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ld\Desktop\"/>
    </mc:Choice>
  </mc:AlternateContent>
  <xr:revisionPtr revIDLastSave="0" documentId="13_ncr:1_{3E9E9BF2-5E8A-45BE-8A8F-7507605084DE}" xr6:coauthVersionLast="47" xr6:coauthVersionMax="47" xr10:uidLastSave="{00000000-0000-0000-0000-000000000000}"/>
  <bookViews>
    <workbookView xWindow="-120" yWindow="-120" windowWidth="29040" windowHeight="15840" activeTab="3" xr2:uid="{D5D9609E-8788-4185-B4A2-3BEB61355864}"/>
  </bookViews>
  <sheets>
    <sheet name="calldebit_raw" sheetId="3" r:id="rId1"/>
    <sheet name="calldebit_1차filter_positive" sheetId="4" r:id="rId2"/>
    <sheet name="calldebit_2차filter_custom조건들" sheetId="5" r:id="rId3"/>
    <sheet name="callbs_raw" sheetId="6" r:id="rId4"/>
    <sheet name="callbs_1차filter" sheetId="7" r:id="rId5"/>
    <sheet name="callbs_2차filter" sheetId="8" r:id="rId6"/>
  </sheets>
  <definedNames>
    <definedName name="_xlnm._FilterDatabase" localSheetId="3" hidden="1">callbs_raw!$A$1:$AG$420</definedName>
    <definedName name="_xlnm._FilterDatabase" localSheetId="0" hidden="1">calldebit_raw!$A$1:$AJ$214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0" i="7" l="1"/>
  <c r="I2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K57" i="3"/>
  <c r="K56" i="3"/>
  <c r="K53" i="3"/>
  <c r="K52" i="3"/>
  <c r="K49" i="3"/>
  <c r="K48" i="3"/>
  <c r="K45" i="3"/>
  <c r="K44" i="3"/>
  <c r="K41" i="3"/>
  <c r="K40" i="3"/>
  <c r="K37" i="3"/>
  <c r="K36" i="3"/>
  <c r="K33" i="3"/>
  <c r="K32" i="3"/>
  <c r="K29" i="3"/>
  <c r="K28" i="3"/>
  <c r="K25" i="3"/>
  <c r="K24" i="3"/>
  <c r="K21" i="3"/>
  <c r="K20" i="3"/>
  <c r="K17" i="3"/>
  <c r="K16" i="3"/>
  <c r="K13" i="3"/>
  <c r="K12" i="3"/>
  <c r="K9" i="3"/>
  <c r="K8" i="3"/>
  <c r="K5" i="3"/>
  <c r="K4" i="3"/>
  <c r="J59" i="3"/>
  <c r="K59" i="3" s="1"/>
  <c r="J58" i="3"/>
  <c r="K58" i="3" s="1"/>
  <c r="J57" i="3"/>
  <c r="J56" i="3"/>
  <c r="J55" i="3"/>
  <c r="K55" i="3" s="1"/>
  <c r="J54" i="3"/>
  <c r="K54" i="3" s="1"/>
  <c r="J53" i="3"/>
  <c r="J52" i="3"/>
  <c r="J51" i="3"/>
  <c r="K51" i="3" s="1"/>
  <c r="J50" i="3"/>
  <c r="K50" i="3" s="1"/>
  <c r="J49" i="3"/>
  <c r="J48" i="3"/>
  <c r="J47" i="3"/>
  <c r="K47" i="3" s="1"/>
  <c r="J46" i="3"/>
  <c r="K46" i="3" s="1"/>
  <c r="J45" i="3"/>
  <c r="J44" i="3"/>
  <c r="J43" i="3"/>
  <c r="K43" i="3" s="1"/>
  <c r="J42" i="3"/>
  <c r="K42" i="3" s="1"/>
  <c r="J41" i="3"/>
  <c r="J40" i="3"/>
  <c r="J39" i="3"/>
  <c r="K39" i="3" s="1"/>
  <c r="J38" i="3"/>
  <c r="K38" i="3" s="1"/>
  <c r="J37" i="3"/>
  <c r="J36" i="3"/>
  <c r="J35" i="3"/>
  <c r="K35" i="3" s="1"/>
  <c r="J34" i="3"/>
  <c r="K34" i="3" s="1"/>
  <c r="J33" i="3"/>
  <c r="J32" i="3"/>
  <c r="J31" i="3"/>
  <c r="K31" i="3" s="1"/>
  <c r="J30" i="3"/>
  <c r="K30" i="3" s="1"/>
  <c r="J29" i="3"/>
  <c r="J28" i="3"/>
  <c r="J27" i="3"/>
  <c r="K27" i="3" s="1"/>
  <c r="J26" i="3"/>
  <c r="K26" i="3" s="1"/>
  <c r="J25" i="3"/>
  <c r="J24" i="3"/>
  <c r="J23" i="3"/>
  <c r="K23" i="3" s="1"/>
  <c r="J22" i="3"/>
  <c r="K22" i="3" s="1"/>
  <c r="J21" i="3"/>
  <c r="J20" i="3"/>
  <c r="J19" i="3"/>
  <c r="K19" i="3" s="1"/>
  <c r="J18" i="3"/>
  <c r="K18" i="3" s="1"/>
  <c r="J17" i="3"/>
  <c r="J16" i="3"/>
  <c r="J15" i="3"/>
  <c r="K15" i="3" s="1"/>
  <c r="J14" i="3"/>
  <c r="K14" i="3" s="1"/>
  <c r="J13" i="3"/>
  <c r="J12" i="3"/>
  <c r="J11" i="3"/>
  <c r="K11" i="3" s="1"/>
  <c r="J10" i="3"/>
  <c r="K10" i="3" s="1"/>
  <c r="J9" i="3"/>
  <c r="J8" i="3"/>
  <c r="J7" i="3"/>
  <c r="K7" i="3" s="1"/>
  <c r="J6" i="3"/>
  <c r="K6" i="3" s="1"/>
  <c r="J5" i="3"/>
  <c r="J4" i="3"/>
  <c r="J3" i="3"/>
  <c r="K3" i="3" s="1"/>
  <c r="J2" i="3"/>
  <c r="K2" i="3" s="1"/>
  <c r="R104" i="3"/>
  <c r="R106" i="3"/>
  <c r="R105" i="3"/>
  <c r="R101" i="3"/>
  <c r="R100" i="3"/>
  <c r="R40" i="3"/>
  <c r="R24" i="3"/>
  <c r="R19" i="3"/>
  <c r="R16" i="3"/>
  <c r="R30" i="3"/>
  <c r="R29" i="3"/>
  <c r="R28" i="3"/>
  <c r="R36" i="3"/>
  <c r="R47" i="3"/>
  <c r="R46" i="3"/>
  <c r="R48" i="3"/>
  <c r="R51" i="3"/>
  <c r="R140" i="3"/>
  <c r="R139" i="3"/>
  <c r="R119" i="3"/>
  <c r="R41" i="3"/>
  <c r="R34" i="3"/>
  <c r="R33" i="3"/>
  <c r="R32" i="3"/>
  <c r="R21" i="3"/>
  <c r="R27" i="3"/>
  <c r="R26" i="3"/>
  <c r="R25" i="3"/>
  <c r="R22" i="3"/>
  <c r="R99" i="3"/>
  <c r="R98" i="3"/>
  <c r="R138" i="3"/>
  <c r="R97" i="3"/>
  <c r="R96" i="3"/>
  <c r="R111" i="3"/>
  <c r="R95" i="3"/>
  <c r="R94" i="3"/>
  <c r="R116" i="3"/>
  <c r="R125" i="3"/>
  <c r="R31" i="3"/>
  <c r="R35" i="3"/>
  <c r="R42" i="3"/>
  <c r="R59" i="3"/>
  <c r="R44" i="3"/>
  <c r="R107" i="3"/>
  <c r="R118" i="3"/>
  <c r="R112" i="3"/>
  <c r="R132" i="3"/>
  <c r="R117" i="3"/>
  <c r="R20" i="3"/>
  <c r="R93" i="3"/>
  <c r="R92" i="3"/>
  <c r="R12" i="3"/>
  <c r="R102" i="3"/>
  <c r="R103" i="3"/>
  <c r="R45" i="3"/>
  <c r="R39" i="3"/>
  <c r="R58" i="3"/>
  <c r="R109" i="3"/>
  <c r="R127" i="3"/>
  <c r="R122" i="3"/>
  <c r="R91" i="3"/>
  <c r="R90" i="3"/>
  <c r="R160" i="3"/>
  <c r="R150" i="3"/>
  <c r="R56" i="3"/>
  <c r="R89" i="3"/>
  <c r="R88" i="3"/>
  <c r="R11" i="3"/>
  <c r="R143" i="3"/>
  <c r="R142" i="3"/>
  <c r="R52" i="3"/>
  <c r="R38" i="3"/>
  <c r="R121" i="3"/>
  <c r="R124" i="3"/>
  <c r="R115" i="3"/>
  <c r="R129" i="3"/>
  <c r="R162" i="3"/>
  <c r="R161" i="3"/>
  <c r="R151" i="3"/>
  <c r="R15" i="3"/>
  <c r="R146" i="3"/>
  <c r="R54" i="3"/>
  <c r="R57" i="3"/>
  <c r="R17" i="3"/>
  <c r="R154" i="3"/>
  <c r="R123" i="3"/>
  <c r="R131" i="3"/>
  <c r="R136" i="3"/>
  <c r="R177" i="3"/>
  <c r="R152" i="3"/>
  <c r="R153" i="3"/>
  <c r="R133" i="3"/>
  <c r="R168" i="3"/>
  <c r="R135" i="3"/>
  <c r="R134" i="3"/>
  <c r="R55" i="3"/>
  <c r="R141" i="3"/>
  <c r="R144" i="3"/>
  <c r="R120" i="3"/>
  <c r="R49" i="3"/>
  <c r="R87" i="3"/>
  <c r="R86" i="3"/>
  <c r="R158" i="3"/>
  <c r="R85" i="3"/>
  <c r="R84" i="3"/>
  <c r="R148" i="3"/>
  <c r="R83" i="3"/>
  <c r="R82" i="3"/>
  <c r="R128" i="3"/>
  <c r="R81" i="3"/>
  <c r="R80" i="3"/>
  <c r="R23" i="3"/>
  <c r="R156" i="3"/>
  <c r="R149" i="3"/>
  <c r="R53" i="3"/>
  <c r="R10" i="3"/>
  <c r="R145" i="3"/>
  <c r="R130" i="3"/>
  <c r="R113" i="3"/>
  <c r="R18" i="3"/>
  <c r="R137" i="3"/>
  <c r="R110" i="3"/>
  <c r="R79" i="3"/>
  <c r="R78" i="3"/>
  <c r="R13" i="3"/>
  <c r="R77" i="3"/>
  <c r="R76" i="3"/>
  <c r="R5" i="3"/>
  <c r="R108" i="3"/>
  <c r="R43" i="3"/>
  <c r="R37" i="3"/>
  <c r="R14" i="3"/>
  <c r="R163" i="3"/>
  <c r="R164" i="3"/>
  <c r="R165" i="3"/>
  <c r="R114" i="3"/>
  <c r="R184" i="3"/>
  <c r="R178" i="3"/>
  <c r="R167" i="3"/>
  <c r="R9" i="3"/>
  <c r="R170" i="3"/>
  <c r="R157" i="3"/>
  <c r="R147" i="3"/>
  <c r="R7" i="3"/>
  <c r="R172" i="3"/>
  <c r="R171" i="3"/>
  <c r="R173" i="3"/>
  <c r="R159" i="3"/>
  <c r="R208" i="3"/>
  <c r="R200" i="3"/>
  <c r="R179" i="3"/>
  <c r="R6" i="3"/>
  <c r="R193" i="3"/>
  <c r="R185" i="3"/>
  <c r="R183" i="3"/>
  <c r="R175" i="3"/>
  <c r="R155" i="3"/>
  <c r="R169" i="3"/>
  <c r="R166" i="3"/>
  <c r="R182" i="3"/>
  <c r="R212" i="3"/>
  <c r="R210" i="3"/>
  <c r="R206" i="3"/>
  <c r="R75" i="3"/>
  <c r="R74" i="3"/>
  <c r="R8" i="3"/>
  <c r="R197" i="3"/>
  <c r="R194" i="3"/>
  <c r="R188" i="3"/>
  <c r="R126" i="3"/>
  <c r="R174" i="3"/>
  <c r="R181" i="3"/>
  <c r="R180" i="3"/>
  <c r="R176" i="3"/>
  <c r="R73" i="3"/>
  <c r="R72" i="3"/>
  <c r="R213" i="3"/>
  <c r="R71" i="3"/>
  <c r="R70" i="3"/>
  <c r="R209" i="3"/>
  <c r="R69" i="3"/>
  <c r="R68" i="3"/>
  <c r="R201" i="3"/>
  <c r="R3" i="3"/>
  <c r="R196" i="3"/>
  <c r="R195" i="3"/>
  <c r="R191" i="3"/>
  <c r="R50" i="3"/>
  <c r="R189" i="3"/>
  <c r="R190" i="3"/>
  <c r="R187" i="3"/>
  <c r="R186" i="3"/>
  <c r="R67" i="3"/>
  <c r="R66" i="3"/>
  <c r="R214" i="3"/>
  <c r="R65" i="3"/>
  <c r="R64" i="3"/>
  <c r="R211" i="3"/>
  <c r="R63" i="3"/>
  <c r="R62" i="3"/>
  <c r="R204" i="3"/>
  <c r="R61" i="3"/>
  <c r="R60" i="3"/>
  <c r="R2" i="3"/>
  <c r="R202" i="3"/>
  <c r="R199" i="3"/>
  <c r="R192" i="3"/>
  <c r="R4" i="3"/>
  <c r="R207" i="3"/>
  <c r="R205" i="3"/>
  <c r="R203" i="3"/>
  <c r="R198" i="3"/>
</calcChain>
</file>

<file path=xl/sharedStrings.xml><?xml version="1.0" encoding="utf-8"?>
<sst xmlns="http://schemas.openxmlformats.org/spreadsheetml/2006/main" count="16986" uniqueCount="1752">
  <si>
    <t>{'n':</t>
  </si>
  <si>
    <t>3073,</t>
  </si>
  <si>
    <t>'win':</t>
  </si>
  <si>
    <t>1136,</t>
  </si>
  <si>
    <t>'total_ret':</t>
  </si>
  <si>
    <t>-186.43999999999951,</t>
  </si>
  <si>
    <t>'avg_ret':</t>
  </si>
  <si>
    <t>-0.0606703547022452,</t>
  </si>
  <si>
    <t>'avg_win':</t>
  </si>
  <si>
    <t>1.2144278169014127,</t>
  </si>
  <si>
    <t>'avg_loss':</t>
  </si>
  <si>
    <t>-0.8084821889519884,</t>
  </si>
  <si>
    <t>'vol':</t>
  </si>
  <si>
    <t>2.7986358746118407,</t>
  </si>
  <si>
    <t>'single_strat_mdd':</t>
  </si>
  <si>
    <t>00:00:00')),</t>
  </si>
  <si>
    <t>'net_liq_mdd':</t>
  </si>
  <si>
    <t>00:00:00'))}</t>
  </si>
  <si>
    <t>1076,</t>
  </si>
  <si>
    <t>-246.2800000000003,</t>
  </si>
  <si>
    <t>-0.08014318255776125,</t>
  </si>
  <si>
    <t>1.2778252788104105,</t>
  </si>
  <si>
    <t>-0.8118277416124199,</t>
  </si>
  <si>
    <t>3.029272815319314,</t>
  </si>
  <si>
    <t>1074,</t>
  </si>
  <si>
    <t>-259.2300000000003,</t>
  </si>
  <si>
    <t>-0.08435730556459496,</t>
  </si>
  <si>
    <t>1.2755865921787726,</t>
  </si>
  <si>
    <t>-0.8150125062531278,</t>
  </si>
  <si>
    <t>3.0622051734399687,</t>
  </si>
  <si>
    <t>1071,</t>
  </si>
  <si>
    <t>-272.88,</t>
  </si>
  <si>
    <t>-0.08879921900423039,</t>
  </si>
  <si>
    <t>1.2826610644257714,</t>
  </si>
  <si>
    <t>-0.8224825174825188,</t>
  </si>
  <si>
    <t>3.1061370114269438,</t>
  </si>
  <si>
    <t>3050,</t>
  </si>
  <si>
    <t>1194,</t>
  </si>
  <si>
    <t>38.26783345727525,</t>
  </si>
  <si>
    <t>0.012546830641729591,</t>
  </si>
  <si>
    <t>1.2677496429319735,</t>
  </si>
  <si>
    <t>-0.7949489440751634,</t>
  </si>
  <si>
    <t>2.4561766564188066,</t>
  </si>
  <si>
    <t>1087,</t>
  </si>
  <si>
    <t>-125.80201938505192,</t>
  </si>
  <si>
    <t>-0.04124656373280391,</t>
  </si>
  <si>
    <t>1.34202791034872,</t>
  </si>
  <si>
    <t>-0.8072268761763183,</t>
  </si>
  <si>
    <t>2.7555020708536087,</t>
  </si>
  <si>
    <t>-193.14313374905726,</t>
  </si>
  <si>
    <t>-0.06332561762264172,</t>
  </si>
  <si>
    <t>1.316960921296365,</t>
  </si>
  <si>
    <t>-0.8135420866504831,</t>
  </si>
  <si>
    <t>2.806136905211674,</t>
  </si>
  <si>
    <t>1066,</t>
  </si>
  <si>
    <t>-238.76090088556367,</t>
  </si>
  <si>
    <t>-0.07828226258543071,</t>
  </si>
  <si>
    <t>1.3092103774256931,</t>
  </si>
  <si>
    <t>-0.8237798201720536,</t>
  </si>
  <si>
    <t>2.8512385522378083,</t>
  </si>
  <si>
    <t>3810,</t>
  </si>
  <si>
    <t>1538,</t>
  </si>
  <si>
    <t>130.14468102157625,</t>
  </si>
  <si>
    <t>0.034158708929547574,</t>
  </si>
  <si>
    <t>1.3260880315423906,</t>
  </si>
  <si>
    <t>-0.840395559634955,</t>
  </si>
  <si>
    <t>2.308871367207927,</t>
  </si>
  <si>
    <t>Name:</t>
  </si>
  <si>
    <t>drawdown_date,</t>
  </si>
  <si>
    <t>dtype:</t>
  </si>
  <si>
    <t>datetime64[ns]),</t>
  </si>
  <si>
    <t>1285,</t>
  </si>
  <si>
    <t>-258.848859784739,</t>
  </si>
  <si>
    <t>-0.06793933327683438,</t>
  </si>
  <si>
    <t>1.463096399122406,</t>
  </si>
  <si>
    <t>-0.8471000921413973,</t>
  </si>
  <si>
    <t>2.7530820246490664,</t>
  </si>
  <si>
    <t>1237,</t>
  </si>
  <si>
    <t>-427.25261944718085,</t>
  </si>
  <si>
    <t>-0.11213979513049366,</t>
  </si>
  <si>
    <t>1.4275233835052135,</t>
  </si>
  <si>
    <t>-0.8523509696242229,</t>
  </si>
  <si>
    <t>2.8629976192328406,</t>
  </si>
  <si>
    <t>1223,</t>
  </si>
  <si>
    <t>-499.9028771043753,</t>
  </si>
  <si>
    <t>-0.13120810422687015,</t>
  </si>
  <si>
    <t>1.4022166242628062,</t>
  </si>
  <si>
    <t>-0.8561321254649334,</t>
  </si>
  <si>
    <t>2.888726941070889,</t>
  </si>
  <si>
    <t>1029,</t>
  </si>
  <si>
    <t>-103.80000000000024,</t>
  </si>
  <si>
    <t>-0.0337780670354703,</t>
  </si>
  <si>
    <t>1.103654033041788,</t>
  </si>
  <si>
    <t>-0.6063894324853241,</t>
  </si>
  <si>
    <t>2.1924527140260226,</t>
  </si>
  <si>
    <t>838,</t>
  </si>
  <si>
    <t>-107.72999999999978,</t>
  </si>
  <si>
    <t>-0.035056947608200384,</t>
  </si>
  <si>
    <t>1.497040572792361,</t>
  </si>
  <si>
    <t>-0.6095078299776298,</t>
  </si>
  <si>
    <t>2.6466512403529605,</t>
  </si>
  <si>
    <t>828,</t>
  </si>
  <si>
    <t>-115.09999999999981,</t>
  </si>
  <si>
    <t>-0.03745525545069958,</t>
  </si>
  <si>
    <t>1.5192753623188393,</t>
  </si>
  <si>
    <t>-0.611608017817373,</t>
  </si>
  <si>
    <t>2.7011421701314897,</t>
  </si>
  <si>
    <t>827,</t>
  </si>
  <si>
    <t>-114.07999999999984,</t>
  </si>
  <si>
    <t>-0.037123332248616935,</t>
  </si>
  <si>
    <t>1.5227206771463109,</t>
  </si>
  <si>
    <t>-0.611473731077472,</t>
  </si>
  <si>
    <t>2.7023001443857706,</t>
  </si>
  <si>
    <t>1100,</t>
  </si>
  <si>
    <t>3.0280873957638663,</t>
  </si>
  <si>
    <t>0.0009928155395947103,</t>
  </si>
  <si>
    <t>1.167856346974822,</t>
  </si>
  <si>
    <t>-0.6572378945007904,</t>
  </si>
  <si>
    <t>2.1134696662169605,</t>
  </si>
  <si>
    <t>875,</t>
  </si>
  <si>
    <t>-115.39311574933035,</t>
  </si>
  <si>
    <t>-0.037833808442403395,</t>
  </si>
  <si>
    <t>1.5340256324089874,</t>
  </si>
  <si>
    <t>-0.6701910547619288,</t>
  </si>
  <si>
    <t>2.532242010221982,</t>
  </si>
  <si>
    <t>863,</t>
  </si>
  <si>
    <t>-164.91311574933027,</t>
  </si>
  <si>
    <t>-0.05406987401617386,</t>
  </si>
  <si>
    <t>1.5212426748063312,</t>
  </si>
  <si>
    <t>-0.6756952647952424,</t>
  </si>
  <si>
    <t>2.579614206443155,</t>
  </si>
  <si>
    <t>862,</t>
  </si>
  <si>
    <t>-169.8331157493304,</t>
  </si>
  <si>
    <t>-0.055682988770272265,</t>
  </si>
  <si>
    <t>1.5202812393942737,</t>
  </si>
  <si>
    <t>-0.67656103478391,</t>
  </si>
  <si>
    <t>2.606504523426394,</t>
  </si>
  <si>
    <t>1455,</t>
  </si>
  <si>
    <t>124.99133127310573,</t>
  </si>
  <si>
    <t>0.03280612369372854,</t>
  </si>
  <si>
    <t>1.2348461624624723,</t>
  </si>
  <si>
    <t>-0.7098555563098891,</t>
  </si>
  <si>
    <t>2.133069293712557,</t>
  </si>
  <si>
    <t>1102,</t>
  </si>
  <si>
    <t>-237.55401405965227,</t>
  </si>
  <si>
    <t>-0.062350134923793245,</t>
  </si>
  <si>
    <t>1.575593434595471,</t>
  </si>
  <si>
    <t>-0.7288988105553402,</t>
  </si>
  <si>
    <t>2.626120400345738,</t>
  </si>
  <si>
    <t>1057,</t>
  </si>
  <si>
    <t>-392.6645357792554,</t>
  </si>
  <si>
    <t>-0.10306155794731113,</t>
  </si>
  <si>
    <t>1.5420241383832396,</t>
  </si>
  <si>
    <t>-0.7346836360517025,</t>
  </si>
  <si>
    <t>2.7165495269131745,</t>
  </si>
  <si>
    <t>1044,</t>
  </si>
  <si>
    <t>-461.57771543205945,</t>
  </si>
  <si>
    <t>-0.12114900667508122,</t>
  </si>
  <si>
    <t>1.5210891981806463,</t>
  </si>
  <si>
    <t>-0.7409959646900404,</t>
  </si>
  <si>
    <t>2.7755838492287412,</t>
  </si>
  <si>
    <t>985,</t>
  </si>
  <si>
    <t>-34.96999999999976,</t>
  </si>
  <si>
    <t>-0.011379759192970958,</t>
  </si>
  <si>
    <t>0.8624873096446702,</t>
  </si>
  <si>
    <t>-0.42362068965517213,</t>
  </si>
  <si>
    <t>1.573410882254627,</t>
  </si>
  <si>
    <t>701,</t>
  </si>
  <si>
    <t>-45.60999999999986,</t>
  </si>
  <si>
    <t>-0.01484217377155869,</t>
  </si>
  <si>
    <t>1.3786162624821667,</t>
  </si>
  <si>
    <t>-0.4266526138279931,</t>
  </si>
  <si>
    <t>2.1022711138919097,</t>
  </si>
  <si>
    <t>645,</t>
  </si>
  <si>
    <t>-46.69000000000012,</t>
  </si>
  <si>
    <t>-0.015193621867881587,</t>
  </si>
  <si>
    <t>1.5291937984496105,</t>
  </si>
  <si>
    <t>-0.4254612850082372,</t>
  </si>
  <si>
    <t>2.2358666120644615,</t>
  </si>
  <si>
    <t>636,</t>
  </si>
  <si>
    <t>-32.63000000000008,</t>
  </si>
  <si>
    <t>-0.010618288317604972,</t>
  </si>
  <si>
    <t>1.5775786163521994,</t>
  </si>
  <si>
    <t>-0.4251005334427575,</t>
  </si>
  <si>
    <t>2.2613452010580235,</t>
  </si>
  <si>
    <t>1062,</t>
  </si>
  <si>
    <t>-4.043894276540474,</t>
  </si>
  <si>
    <t>-0.0013258669759149094,</t>
  </si>
  <si>
    <t>0.9674387947269308,</t>
  </si>
  <si>
    <t>-0.5188450172417207,</t>
  </si>
  <si>
    <t>1.7357372971488094,</t>
  </si>
  <si>
    <t>736,</t>
  </si>
  <si>
    <t>-111.5536213392863,</t>
  </si>
  <si>
    <t>-0.036574957816159444,</t>
  </si>
  <si>
    <t>1.5003943925777903,</t>
  </si>
  <si>
    <t>-0.5254295135162229,</t>
  </si>
  <si>
    <t>2.2125964869876458,</t>
  </si>
  <si>
    <t>692,</t>
  </si>
  <si>
    <t>-164.84834517325018,</t>
  </si>
  <si>
    <t>-0.05404863776172137,</t>
  </si>
  <si>
    <t>1.5697431184375505,</t>
  </si>
  <si>
    <t>-0.5305812481475974,</t>
  </si>
  <si>
    <t>2.3148253589324295,</t>
  </si>
  <si>
    <t>684,</t>
  </si>
  <si>
    <t>-181.76802447860294,</t>
  </si>
  <si>
    <t>-0.05959607359954195,</t>
  </si>
  <si>
    <t>1.5706762553412765,</t>
  </si>
  <si>
    <t>-0.5309005000558048,</t>
  </si>
  <si>
    <t>2.34803353979338,</t>
  </si>
  <si>
    <t>1384,</t>
  </si>
  <si>
    <t>24.348239372627244,</t>
  </si>
  <si>
    <t>0.0063906140085635815,</t>
  </si>
  <si>
    <t>1.0692833562962802,</t>
  </si>
  <si>
    <t>-0.5999752373212797,</t>
  </si>
  <si>
    <t>1.8338259887183346,</t>
  </si>
  <si>
    <t>942,</t>
  </si>
  <si>
    <t>-270.7691185990277,</t>
  </si>
  <si>
    <t>-0.0710680101309784,</t>
  </si>
  <si>
    <t>1.5859148621521602,</t>
  </si>
  <si>
    <t>-0.6153071543746023,</t>
  </si>
  <si>
    <t>2.41468892779743,</t>
  </si>
  <si>
    <t>873,</t>
  </si>
  <si>
    <t>-403.5559102936751,</t>
  </si>
  <si>
    <t>-0.10592018642878612,</t>
  </si>
  <si>
    <t>1.6388977723329092,</t>
  </si>
  <si>
    <t>-0.6245535122711278,</t>
  </si>
  <si>
    <t>2.5765685503384654,</t>
  </si>
  <si>
    <t>847,</t>
  </si>
  <si>
    <t>-455.21839125485553,</t>
  </si>
  <si>
    <t>-0.11947989271780986,</t>
  </si>
  <si>
    <t>1.6455717888873018,</t>
  </si>
  <si>
    <t>-0.6240356721034076,</t>
  </si>
  <si>
    <t>2.6376232916299474,</t>
  </si>
  <si>
    <t>898,</t>
  </si>
  <si>
    <t>-48.649999999999835,</t>
  </si>
  <si>
    <t>-0.015831435079726598,</t>
  </si>
  <si>
    <t>0.626380846325166,</t>
  </si>
  <si>
    <t>-0.28098390804597656,</t>
  </si>
  <si>
    <t>1.1213002955652875,</t>
  </si>
  <si>
    <t>617,</t>
  </si>
  <si>
    <t>-22.739999999999913,</t>
  </si>
  <si>
    <t>-0.007399934917019171,</t>
  </si>
  <si>
    <t>1.1117990275526735,</t>
  </si>
  <si>
    <t>-0.2885667752442991,</t>
  </si>
  <si>
    <t>1.5393466085547267,</t>
  </si>
  <si>
    <t>509,</t>
  </si>
  <si>
    <t>-24.029999999999973,</t>
  </si>
  <si>
    <t>-0.00781972014318255,</t>
  </si>
  <si>
    <t>1.3983104125736732,</t>
  </si>
  <si>
    <t>-0.28696177847113813,</t>
  </si>
  <si>
    <t>1.6994511413229576,</t>
  </si>
  <si>
    <t>471,</t>
  </si>
  <si>
    <t>-14.57000000000003,</t>
  </si>
  <si>
    <t>-0.00474129515131794,</t>
  </si>
  <si>
    <t>1.550233545647559,</t>
  </si>
  <si>
    <t>-0.28621445042275084,</t>
  </si>
  <si>
    <t>1.7632441493829119,</t>
  </si>
  <si>
    <t>992,</t>
  </si>
  <si>
    <t>-33.58610572345908,</t>
  </si>
  <si>
    <t>-0.011011837942117731,</t>
  </si>
  <si>
    <t>0.7695906192303841,</t>
  </si>
  <si>
    <t>-0.38727891156462557,</t>
  </si>
  <si>
    <t>1.3749225053189795,</t>
  </si>
  <si>
    <t>664,</t>
  </si>
  <si>
    <t>-54.16999999999984,</t>
  </si>
  <si>
    <t>-0.017760655737704866,</t>
  </si>
  <si>
    <t>1.3411203227056332,</t>
  </si>
  <si>
    <t>-0.39592367740005857,</t>
  </si>
  <si>
    <t>1.8279019244298307,</t>
  </si>
  <si>
    <t>555,</t>
  </si>
  <si>
    <t>-103.19511317009216,</t>
  </si>
  <si>
    <t>-0.033834463334456444,</t>
  </si>
  <si>
    <t>1.6010097870472217,</t>
  </si>
  <si>
    <t>-0.3974972124173551,</t>
  </si>
  <si>
    <t>2.020361178384863,</t>
  </si>
  <si>
    <t>523,</t>
  </si>
  <si>
    <t>-137.01445599200224,</t>
  </si>
  <si>
    <t>-0.04492277245639418,</t>
  </si>
  <si>
    <t>1.6843169748466411,</t>
  </si>
  <si>
    <t>-0.40281449696746996,</t>
  </si>
  <si>
    <t>2.090229691331342,</t>
  </si>
  <si>
    <t>1346,</t>
  </si>
  <si>
    <t>29.047204409173407,</t>
  </si>
  <si>
    <t>0.007623938165137377,</t>
  </si>
  <si>
    <t>0.910842987152436,</t>
  </si>
  <si>
    <t>-0.48577412999107406,</t>
  </si>
  <si>
    <t>1.5998649985590387,</t>
  </si>
  <si>
    <t>917,</t>
  </si>
  <si>
    <t>-45.21576780050017,</t>
  </si>
  <si>
    <t>-0.011867655590682459,</t>
  </si>
  <si>
    <t>1.5102666235916624,</t>
  </si>
  <si>
    <t>-0.49434160443624564,</t>
  </si>
  <si>
    <t>2.0964875342517284,</t>
  </si>
  <si>
    <t>765,</t>
  </si>
  <si>
    <t>-194.93541307865792,</t>
  </si>
  <si>
    <t>-0.05116415041434591,</t>
  </si>
  <si>
    <t>1.743784532299066,</t>
  </si>
  <si>
    <t>-0.5021118490270766,</t>
  </si>
  <si>
    <t>2.360580480298739,</t>
  </si>
  <si>
    <t>724,</t>
  </si>
  <si>
    <t>-276.12268769600905,</t>
  </si>
  <si>
    <t>-0.07247314637690526,</t>
  </si>
  <si>
    <t>1.773452238785976,</t>
  </si>
  <si>
    <t>-0.5055418368687815,</t>
  </si>
  <si>
    <t>2.4489500999533758,</t>
  </si>
  <si>
    <t>191,</t>
  </si>
  <si>
    <t>71,</t>
  </si>
  <si>
    <t>-16.919999999999995,</t>
  </si>
  <si>
    <t>-0.08858638743455495,</t>
  </si>
  <si>
    <t>1.214647887323944,</t>
  </si>
  <si>
    <t>-0.8596666666666668,</t>
  </si>
  <si>
    <t>0.2746419593841683,</t>
  </si>
  <si>
    <t>68,</t>
  </si>
  <si>
    <t>-27.41000000000002,</t>
  </si>
  <si>
    <t>-0.14350785340314148,</t>
  </si>
  <si>
    <t>1.173235294117647,</t>
  </si>
  <si>
    <t>-0.8714634146341464,</t>
  </si>
  <si>
    <t>0.289439694366952,</t>
  </si>
  <si>
    <t>-27.070000000000025,</t>
  </si>
  <si>
    <t>-0.1417277486910996,</t>
  </si>
  <si>
    <t>1.1782352941176468,</t>
  </si>
  <si>
    <t>0.2893963682913315,</t>
  </si>
  <si>
    <t>200,</t>
  </si>
  <si>
    <t>89,</t>
  </si>
  <si>
    <t>27.166424943649965,</t>
  </si>
  <si>
    <t>0.13583212471824982,</t>
  </si>
  <si>
    <t>1.315016010602809,</t>
  </si>
  <si>
    <t>-0.8096396396396397,</t>
  </si>
  <si>
    <t>0.30765017758576363,</t>
  </si>
  <si>
    <t>79,</t>
  </si>
  <si>
    <t>-8.164420167707354,</t>
  </si>
  <si>
    <t>-0.04082210083853677,</t>
  </si>
  <si>
    <t>1.2429113924050639,</t>
  </si>
  <si>
    <t>-0.8789621501463424,</t>
  </si>
  <si>
    <t>0.3724947586820908,</t>
  </si>
  <si>
    <t>77,</t>
  </si>
  <si>
    <t>-15.904420167707352,</t>
  </si>
  <si>
    <t>-0.07952210083853677,</t>
  </si>
  <si>
    <t>1.2106493506493514,</t>
  </si>
  <si>
    <t>-0.8871904078675401,</t>
  </si>
  <si>
    <t>0.37652421463848484,</t>
  </si>
  <si>
    <t>75,</t>
  </si>
  <si>
    <t>-25.604420167707346,</t>
  </si>
  <si>
    <t>-0.12802210083853674,</t>
  </si>
  <si>
    <t>1.1346666666666674,</t>
  </si>
  <si>
    <t>-0.8856353613416594,</t>
  </si>
  <si>
    <t>0.39414838576407535,</t>
  </si>
  <si>
    <t>247,</t>
  </si>
  <si>
    <t>106,</t>
  </si>
  <si>
    <t>23.72923026940299,</t>
  </si>
  <si>
    <t>0.09606975817572061,</t>
  </si>
  <si>
    <t>1.435857261476766,</t>
  </si>
  <si>
    <t>-0.91114637905769,</t>
  </si>
  <si>
    <t>0.3660892568712739,</t>
  </si>
  <si>
    <t>87,</t>
  </si>
  <si>
    <t>-23.028542749636117,</t>
  </si>
  <si>
    <t>-0.09323296659771707,</t>
  </si>
  <si>
    <t>1.4813664258666732,</t>
  </si>
  <si>
    <t>-0.9494213862502289,</t>
  </si>
  <si>
    <t>0.4396331460155549,</t>
  </si>
  <si>
    <t>81,</t>
  </si>
  <si>
    <t>-44.393562186766566,</t>
  </si>
  <si>
    <t>-0.1797310209990549,</t>
  </si>
  <si>
    <t>1.4028871557193845,</t>
  </si>
  <si>
    <t>-0.9519724204821487,</t>
  </si>
  <si>
    <t>0.46176280119460167,</t>
  </si>
  <si>
    <t>78,</t>
  </si>
  <si>
    <t>-60.766042572526,</t>
  </si>
  <si>
    <t>-0.24601636669038865,</t>
  </si>
  <si>
    <t>1.280274092660393,</t>
  </si>
  <si>
    <t>-0.9504581171599803,</t>
  </si>
  <si>
    <t>0.4789991709688484,</t>
  </si>
  <si>
    <t>67,</t>
  </si>
  <si>
    <t>-2.769999999999997,</t>
  </si>
  <si>
    <t>-0.014502617801047104,</t>
  </si>
  <si>
    <t>1.169402985074627,</t>
  </si>
  <si>
    <t>-0.6541935483870966,</t>
  </si>
  <si>
    <t>0.22686955615602092,</t>
  </si>
  <si>
    <t>53,</t>
  </si>
  <si>
    <t>-21.82999999999994,</t>
  </si>
  <si>
    <t>-0.11429319371727718,</t>
  </si>
  <si>
    <t>1.3622641509433973,</t>
  </si>
  <si>
    <t>-0.6813768115942027,</t>
  </si>
  <si>
    <t>0.26092202677146437,</t>
  </si>
  <si>
    <t>-20.429999999999946,</t>
  </si>
  <si>
    <t>-0.10696335078534003,</t>
  </si>
  <si>
    <t>1.3886792452830197,</t>
  </si>
  <si>
    <t>0.2643956847848745,</t>
  </si>
  <si>
    <t>-20.009999999999945,</t>
  </si>
  <si>
    <t>-0.10476439790575888,</t>
  </si>
  <si>
    <t>1.3966037735849064,</t>
  </si>
  <si>
    <t>0.26439066721843,</t>
  </si>
  <si>
    <t>80,</t>
  </si>
  <si>
    <t>16.27247804724971,</t>
  </si>
  <si>
    <t>0.08136239023624854,</t>
  </si>
  <si>
    <t>1.2425309755906213,</t>
  </si>
  <si>
    <t>-0.6927499999999999,</t>
  </si>
  <si>
    <t>0.2595395489877473,</t>
  </si>
  <si>
    <t>6.440778527210345,</t>
  </si>
  <si>
    <t>0.03220389263605172,</t>
  </si>
  <si>
    <t>1.4525357111450612,</t>
  </si>
  <si>
    <t>-0.6994821956867714,</t>
  </si>
  <si>
    <t>0.31141931347297924,</t>
  </si>
  <si>
    <t>66,</t>
  </si>
  <si>
    <t>4.060778527210342,</t>
  </si>
  <si>
    <t>0.020303892636051712,</t>
  </si>
  <si>
    <t>1.4821580054221843,</t>
  </si>
  <si>
    <t>-0.6997138047063718,</t>
  </si>
  <si>
    <t>0.32398903804674234,</t>
  </si>
  <si>
    <t>-0.8792214727896575,</t>
  </si>
  <si>
    <t>-0.004396107363948287,</t>
  </si>
  <si>
    <t>1.4073095205736996,</t>
  </si>
  <si>
    <t>0.3566694143186464,</t>
  </si>
  <si>
    <t>36.29292289201383,</t>
  </si>
  <si>
    <t>0.1469349104939831,</t>
  </si>
  <si>
    <t>1.3952880699609411,</t>
  </si>
  <si>
    <t>-0.7915433512329506,</t>
  </si>
  <si>
    <t>0.3346384395285286,</t>
  </si>
  <si>
    <t>88,</t>
  </si>
  <si>
    <t>16.445384126231072,</t>
  </si>
  <si>
    <t>0.06658050253534847,</t>
  </si>
  <si>
    <t>1.637094865765404,</t>
  </si>
  <si>
    <t>-0.802634994095123,</t>
  </si>
  <si>
    <t>0.40148305627097897,</t>
  </si>
  <si>
    <t>-1.0884293909368807,</t>
  </si>
  <si>
    <t>-0.0044065967244408125,</t>
  </si>
  <si>
    <t>1.634935033719364,</t>
  </si>
  <si>
    <t>-0.8043263079650927,</t>
  </si>
  <si>
    <t>0.4217733282631958,</t>
  </si>
  <si>
    <t>-6.568429390936887,</t>
  </si>
  <si>
    <t>-0.026592831542254603,</t>
  </si>
  <si>
    <t>1.5672807127317097,</t>
  </si>
  <si>
    <t>0.4468286505573878,</t>
  </si>
  <si>
    <t>70,</t>
  </si>
  <si>
    <t>13.060000000000015,</t>
  </si>
  <si>
    <t>0.06837696335078541,</t>
  </si>
  <si>
    <t>0.9975714285714286,</t>
  </si>
  <si>
    <t>-0.4691735537190084,</t>
  </si>
  <si>
    <t>0.1922649958609794,</t>
  </si>
  <si>
    <t>45,</t>
  </si>
  <si>
    <t>-2.3800000000000208,</t>
  </si>
  <si>
    <t>-0.012460732984293302,</t>
  </si>
  <si>
    <t>1.516,</t>
  </si>
  <si>
    <t>-0.4835616438356167,</t>
  </si>
  <si>
    <t>0.24650626664725464,</t>
  </si>
  <si>
    <t>42,</t>
  </si>
  <si>
    <t>-4.730000000000016,</t>
  </si>
  <si>
    <t>-0.02476439790575925,</t>
  </si>
  <si>
    <t>1.6095238095238098,</t>
  </si>
  <si>
    <t>-0.4854362416107386,</t>
  </si>
  <si>
    <t>0.2498929012391343,</t>
  </si>
  <si>
    <t>41,</t>
  </si>
  <si>
    <t>-7.760000000000012,</t>
  </si>
  <si>
    <t>-0.04062827225130897,</t>
  </si>
  <si>
    <t>1.594390243902439,</t>
  </si>
  <si>
    <t>-0.4875333333333336,</t>
  </si>
  <si>
    <t>0.25849696364705493,</t>
  </si>
  <si>
    <t>20.949999999999992,</t>
  </si>
  <si>
    <t>0.10474999999999995,</t>
  </si>
  <si>
    <t>1.0948148148148147,</t>
  </si>
  <si>
    <t>-0.5691596638655466,</t>
  </si>
  <si>
    <t>0.225054667468103,</t>
  </si>
  <si>
    <t>57,</t>
  </si>
  <si>
    <t>2.1202729372544624,</t>
  </si>
  <si>
    <t>0.010601364686272312,</t>
  </si>
  <si>
    <t>1.4859697006535875,</t>
  </si>
  <si>
    <t>-0.5774825174825178,</t>
  </si>
  <si>
    <t>0.2926294509457271,</t>
  </si>
  <si>
    <t>-9.259727062745549,</t>
  </si>
  <si>
    <t>-0.04629863531372774,</t>
  </si>
  <si>
    <t>1.4747221308915939,</t>
  </si>
  <si>
    <t>-0.5946938775510207,</t>
  </si>
  <si>
    <t>0.31171237570201127,</t>
  </si>
  <si>
    <t>51,</t>
  </si>
  <si>
    <t>-14.590000000000071,</t>
  </si>
  <si>
    <t>-0.07295000000000035,</t>
  </si>
  <si>
    <t>1.4496078431372539,</t>
  </si>
  <si>
    <t>-0.5940939597315439,</t>
  </si>
  <si>
    <t>0.31892012778409273,</t>
  </si>
  <si>
    <t>97,</t>
  </si>
  <si>
    <t>8.724684427738861,</t>
  </si>
  <si>
    <t>0.03532260901918567,</t>
  </si>
  <si>
    <t>1.1404757217033201,</t>
  </si>
  <si>
    <t>-0.6793430705165547,</t>
  </si>
  <si>
    <t>0.27088335596671803,</t>
  </si>
  <si>
    <t>73,</t>
  </si>
  <si>
    <t>-4.53376112863111,</t>
  </si>
  <si>
    <t>-0.018355308213081418,</t>
  </si>
  <si>
    <t>1.5593634369649187,</t>
  </si>
  <si>
    <t>-0.680271793259024,</t>
  </si>
  <si>
    <t>0.3531892709434083,</t>
  </si>
  <si>
    <t>69,</t>
  </si>
  <si>
    <t>-8.330562233361707,</t>
  </si>
  <si>
    <t>-0.03372697260470327,</t>
  </si>
  <si>
    <t>1.6647352144015723,</t>
  </si>
  <si>
    <t>-0.6921196181296078,</t>
  </si>
  <si>
    <t>0.3861054962482408,</t>
  </si>
  <si>
    <t>-16.220835170616233,</t>
  </si>
  <si>
    <t>-0.06567139745188759,</t>
  </si>
  <si>
    <t>1.6426735887341508,</t>
  </si>
  <si>
    <t>-0.6886038233539789,</t>
  </si>
  <si>
    <t>0.39566279270606414,</t>
  </si>
  <si>
    <t>64,</t>
  </si>
  <si>
    <t>3.1400000000000117,</t>
  </si>
  <si>
    <t>0.016439790575916293,</t>
  </si>
  <si>
    <t>0.7534375000000001,</t>
  </si>
  <si>
    <t>-0.35496062992125976,</t>
  </si>
  <si>
    <t>0.15360505257490292,</t>
  </si>
  <si>
    <t>-3.3299999999999845,</t>
  </si>
  <si>
    <t>-0.01743455497382191,</t>
  </si>
  <si>
    <t>1.2458536585365854,</t>
  </si>
  <si>
    <t>-0.36273333333333335,</t>
  </si>
  <si>
    <t>0.19073048882856206,</t>
  </si>
  <si>
    <t>32,</t>
  </si>
  <si>
    <t>-7.739999999999986,</t>
  </si>
  <si>
    <t>-0.04052356020942401,</t>
  </si>
  <si>
    <t>1.5440624999999997,</t>
  </si>
  <si>
    <t>-0.35943396226415103,</t>
  </si>
  <si>
    <t>0.2060563667616443,</t>
  </si>
  <si>
    <t>31,</t>
  </si>
  <si>
    <t>-7.349999999999985,</t>
  </si>
  <si>
    <t>-0.038481675392670084,</t>
  </si>
  <si>
    <t>1.6161290322580644,</t>
  </si>
  <si>
    <t>-0.35906250000000006,</t>
  </si>
  <si>
    <t>0.20903935397266218,</t>
  </si>
  <si>
    <t>1.7500000000000129,</t>
  </si>
  <si>
    <t>0.008750000000000065,</t>
  </si>
  <si>
    <t>0.8844927536231884,</t>
  </si>
  <si>
    <t>-0.4525190839694655,</t>
  </si>
  <si>
    <t>0.1725109122561979,</t>
  </si>
  <si>
    <t>47,</t>
  </si>
  <si>
    <t>-6.023894276540837,</t>
  </si>
  <si>
    <t>-0.030119471382704183,</t>
  </si>
  <si>
    <t>1.3668085106382988,</t>
  </si>
  <si>
    <t>-0.4592411390623587,</t>
  </si>
  <si>
    <t>0.22111699048815647,</t>
  </si>
  <si>
    <t>40,</t>
  </si>
  <si>
    <t>-6.301240310126319,</t>
  </si>
  <si>
    <t>-0.03150620155063159,</t>
  </si>
  <si>
    <t>1.657316349160364,</t>
  </si>
  <si>
    <t>-0.4537118392283806,</t>
  </si>
  <si>
    <t>0.2488864215762476,</t>
  </si>
  <si>
    <t>34,</t>
  </si>
  <si>
    <t>-23.596699563782984,</t>
  </si>
  <si>
    <t>-0.11798349781891491,</t>
  </si>
  <si>
    <t>1.6117647058823539,</t>
  </si>
  <si>
    <t>-0.47226927448062067,</t>
  </si>
  <si>
    <t>0.28877462142048105,</t>
  </si>
  <si>
    <t>-5.663863734637588,</t>
  </si>
  <si>
    <t>-0.02293062240743963,</t>
  </si>
  <si>
    <t>0.9962084881240947,</t>
  </si>
  <si>
    <t>-0.5869824571670308,</t>
  </si>
  <si>
    <t>0.2542890477911502,</t>
  </si>
  <si>
    <t>62,</t>
  </si>
  <si>
    <t>-12.973265457206406,</t>
  </si>
  <si>
    <t>-0.05252334193200974,</t>
  </si>
  <si>
    <t>1.5265334030466944,</t>
  </si>
  <si>
    <t>-0.5817207375464942,</t>
  </si>
  <si>
    <t>0.3097226331893319,</t>
  </si>
  <si>
    <t>-12.405113925330095,</t>
  </si>
  <si>
    <t>-0.05022313330093156,</t>
  </si>
  <si>
    <t>1.7085704457131372,</t>
  </si>
  <si>
    <t>-0.5778612070051521,</t>
  </si>
  <si>
    <t>0.3315617370405959,</t>
  </si>
  <si>
    <t>-41.774094516550775,</t>
  </si>
  <si>
    <t>-0.1691258887309748,</t>
  </si>
  <si>
    <t>1.6096077167827096,</t>
  </si>
  <si>
    <t>-0.5871282860266905,</t>
  </si>
  <si>
    <t>0.36849402664997205,</t>
  </si>
  <si>
    <t>140,</t>
  </si>
  <si>
    <t>52,</t>
  </si>
  <si>
    <t>-6.519999999999971,</t>
  </si>
  <si>
    <t>-0.04657142857142837,</t>
  </si>
  <si>
    <t>1.2071153846153857,</t>
  </si>
  <si>
    <t>-0.7873863636363638,</t>
  </si>
  <si>
    <t>0.22153179172077023,</t>
  </si>
  <si>
    <t>50,</t>
  </si>
  <si>
    <t>-4.939999999999969,</t>
  </si>
  <si>
    <t>-0.035285714285714066,</t>
  </si>
  <si>
    <t>1.3238000000000012,</t>
  </si>
  <si>
    <t>-0.7903333333333333,</t>
  </si>
  <si>
    <t>0.22824016645532064,</t>
  </si>
  <si>
    <t>-3.939999999999965,</t>
  </si>
  <si>
    <t>-0.028142857142856893,</t>
  </si>
  <si>
    <t>1.343800000000001,</t>
  </si>
  <si>
    <t>0.2290208976104561,</t>
  </si>
  <si>
    <t>49,</t>
  </si>
  <si>
    <t>-14.039999999999978,</t>
  </si>
  <si>
    <t>-0.10028571428571413,</t>
  </si>
  <si>
    <t>1.3159183673469401,</t>
  </si>
  <si>
    <t>-0.8628571428571428,</t>
  </si>
  <si>
    <t>0.28790715939341427,</t>
  </si>
  <si>
    <t>136,</t>
  </si>
  <si>
    <t>58,</t>
  </si>
  <si>
    <t>13.080000000000057,</t>
  </si>
  <si>
    <t>0.09617647058823571,</t>
  </si>
  <si>
    <t>1.2331034482758634,</t>
  </si>
  <si>
    <t>-0.7492307692307691,</t>
  </si>
  <si>
    <t>0.202160466120583,</t>
  </si>
  <si>
    <t>1.110000000000066,</t>
  </si>
  <si>
    <t>0.008161764705882838,</t>
  </si>
  <si>
    <t>1.3252941176470596,</t>
  </si>
  <si>
    <t>-0.7821176470588234,</t>
  </si>
  <si>
    <t>0.24878960370848247,</t>
  </si>
  <si>
    <t>2.110000000000068,</t>
  </si>
  <si>
    <t>0.01551470588235344,</t>
  </si>
  <si>
    <t>1.3449019607843147,</t>
  </si>
  <si>
    <t>0.25542533471527495,</t>
  </si>
  <si>
    <t>-7.989999999999936,</t>
  </si>
  <si>
    <t>-0.05874999999999953,</t>
  </si>
  <si>
    <t>1.317600000000001,</t>
  </si>
  <si>
    <t>-0.8589534883720926,</t>
  </si>
  <si>
    <t>0.29883269163060305,</t>
  </si>
  <si>
    <t>177,</t>
  </si>
  <si>
    <t>13.79200725679769,</t>
  </si>
  <si>
    <t>0.07792094495365927,</t>
  </si>
  <si>
    <t>1.3330059189548917,</t>
  </si>
  <si>
    <t>-0.8449356535766582,</t>
  </si>
  <si>
    <t>0.30411774186507,</t>
  </si>
  <si>
    <t>60,</t>
  </si>
  <si>
    <t>-11.277186691997825,</t>
  </si>
  <si>
    <t>-0.06371291916382951,</t>
  </si>
  <si>
    <t>1.48309213743209,</t>
  </si>
  <si>
    <t>-0.856946281520711,</t>
  </si>
  <si>
    <t>0.3676119175934197,</t>
  </si>
  <si>
    <t>-19.507987777031005,</t>
  </si>
  <si>
    <t>-0.11021462020921471,</t>
  </si>
  <si>
    <t>1.4057711579464174,</t>
  </si>
  <si>
    <t>-0.8490984448564972,</t>
  </si>
  <si>
    <t>0.39607663456294273,</t>
  </si>
  <si>
    <t>46,</t>
  </si>
  <si>
    <t>-4.64999999999998,</t>
  </si>
  <si>
    <t>-0.03321428571428557,</t>
  </si>
  <si>
    <t>1.099347826086957,</t>
  </si>
  <si>
    <t>-0.5874468085106385,</t>
  </si>
  <si>
    <t>0.18785808222023145,</t>
  </si>
  <si>
    <t>39,</t>
  </si>
  <si>
    <t>-2.810000000000022,</t>
  </si>
  <si>
    <t>-0.020071428571428726,</t>
  </si>
  <si>
    <t>1.4433333333333336,</t>
  </si>
  <si>
    <t>-0.5851485148514856,</t>
  </si>
  <si>
    <t>0.20610322196220715,</t>
  </si>
  <si>
    <t>38,</t>
  </si>
  <si>
    <t>-3.9600000000000293,</t>
  </si>
  <si>
    <t>-0.028285714285714494,</t>
  </si>
  <si>
    <t>1.460263157894737,</t>
  </si>
  <si>
    <t>-0.5828431372549023,</t>
  </si>
  <si>
    <t>0.21245357022807082,</t>
  </si>
  <si>
    <t>-3.6200000000000365,</t>
  </si>
  <si>
    <t>-0.025857142857143117,</t>
  </si>
  <si>
    <t>1.4692105263157895,</t>
  </si>
  <si>
    <t>0.21254666539766773,</t>
  </si>
  <si>
    <t>6.409999999999993,</t>
  </si>
  <si>
    <t>0.04713235294117642,</t>
  </si>
  <si>
    <t>1.1551923076923076,</t>
  </si>
  <si>
    <t>-0.6388095238095239,</t>
  </si>
  <si>
    <t>0.18077103927431684,</t>
  </si>
  <si>
    <t>2.3799999999999715,</t>
  </si>
  <si>
    <t>0.01749999999999979,</t>
  </si>
  <si>
    <t>1.505238095238095,</t>
  </si>
  <si>
    <t>-0.647234042553192,</t>
  </si>
  <si>
    <t>0.21452920795540747,</t>
  </si>
  <si>
    <t>-7.600000000000032,</t>
  </si>
  <si>
    <t>-0.0558823529411767,</t>
  </si>
  <si>
    <t>1.4462499999999996,</t>
  </si>
  <si>
    <t>-0.6817708333333335,</t>
  </si>
  <si>
    <t>0.23337590680725095,</t>
  </si>
  <si>
    <t>17.35708165238941,</t>
  </si>
  <si>
    <t>0.09806260820558989,</t>
  </si>
  <si>
    <t>1.1856195862820815,</t>
  </si>
  <si>
    <t>-0.7016116403800652,</t>
  </si>
  <si>
    <t>0.23860114689379325,</t>
  </si>
  <si>
    <t>1.416761239806869,</t>
  </si>
  <si>
    <t>0.008004300789869316,</t>
  </si>
  <si>
    <t>1.5335289220802382,</t>
  </si>
  <si>
    <t>-0.7166198943230552,</t>
  </si>
  <si>
    <t>0.2979566241513469,</t>
  </si>
  <si>
    <t>55,</t>
  </si>
  <si>
    <t>-10.828386128197725,</t>
  </si>
  <si>
    <t>-0.061177322758179234,</t>
  </si>
  <si>
    <t>1.4562909307376173,</t>
  </si>
  <si>
    <t>-0.7452818632685787,</t>
  </si>
  <si>
    <t>0.32510416515295026,</t>
  </si>
  <si>
    <t>54,</t>
  </si>
  <si>
    <t>-16.942695186502934,</t>
  </si>
  <si>
    <t>-0.09572144173165499,</t>
  </si>
  <si>
    <t>1.432253558004884,</t>
  </si>
  <si>
    <t>-0.7665397342989155,</t>
  </si>
  <si>
    <t>0.3376855299688183,</t>
  </si>
  <si>
    <t>-3.8899999999999797,</t>
  </si>
  <si>
    <t>-0.02778571428571414,</t>
  </si>
  <si>
    <t>0.7990476190476195,</t>
  </si>
  <si>
    <t>-0.38214285714285734,</t>
  </si>
  <si>
    <t>0.13199790986122265,</t>
  </si>
  <si>
    <t>30,</t>
  </si>
  <si>
    <t>-4.4299999999999535,</t>
  </si>
  <si>
    <t>-0.03164285714285681,</t>
  </si>
  <si>
    <t>1.3136666666666676,</t>
  </si>
  <si>
    <t>-0.39854545454545454,</t>
  </si>
  <si>
    <t>0.1663336410086692,</t>
  </si>
  <si>
    <t>29,</t>
  </si>
  <si>
    <t>-0.9199999999999439,</t>
  </si>
  <si>
    <t>-0.00657142857142817,</t>
  </si>
  <si>
    <t>1.4934482758620702,</t>
  </si>
  <si>
    <t>-0.3984684684684684,</t>
  </si>
  <si>
    <t>0.17167388490145455,</t>
  </si>
  <si>
    <t>28,</t>
  </si>
  <si>
    <t>0.1000000000000495,</t>
  </si>
  <si>
    <t>0.0007142857142860678,</t>
  </si>
  <si>
    <t>1.5942857142857156,</t>
  </si>
  <si>
    <t>-0.3976785714285714,</t>
  </si>
  <si>
    <t>0.1742663107277845,</t>
  </si>
  <si>
    <t>5.640000000000032,</t>
  </si>
  <si>
    <t>0.04147058823529435,</t>
  </si>
  <si>
    <t>0.9188461538461543,</t>
  </si>
  <si>
    <t>-0.5016666666666667,</t>
  </si>
  <si>
    <t>0.147342671119629,</t>
  </si>
  <si>
    <t>37,</t>
  </si>
  <si>
    <t>3.630000000000021,</t>
  </si>
  <si>
    <t>0.02669117647058839,</t>
  </si>
  <si>
    <t>1.4408108108108113,</t>
  </si>
  <si>
    <t>-0.5018181818181819,</t>
  </si>
  <si>
    <t>0.1944292234122319,</t>
  </si>
  <si>
    <t>35,</t>
  </si>
  <si>
    <t>-0.18388356825325425,</t>
  </si>
  <si>
    <t>-0.001352085060685693,</t>
  </si>
  <si>
    <t>1.4611428571428577,</t>
  </si>
  <si>
    <t>-0.5081572630520127,</t>
  </si>
  <si>
    <t>0.21044334014696855,</t>
  </si>
  <si>
    <t>-0.09388356825325972,</t>
  </si>
  <si>
    <t>-0.0006903203548033803,</t>
  </si>
  <si>
    <t>1.5158823529411771,</t>
  </si>
  <si>
    <t>-0.5062145447867968,</t>
  </si>
  <si>
    <t>0.21236762983500726,</t>
  </si>
  <si>
    <t>17.255841015696074,</t>
  </si>
  <si>
    <t>0.09749062720732245,</t>
  </si>
  <si>
    <t>1.0166989997010765,</t>
  </si>
  <si>
    <t>-0.5477229419469473,</t>
  </si>
  <si>
    <t>0.21426527925089728,</t>
  </si>
  <si>
    <t>10.855841015696022,</t>
  </si>
  <si>
    <t>0.06133243511692668,</t>
  </si>
  <si>
    <t>1.5683589890783554,</t>
  </si>
  <si>
    <t>-0.5486545033912705,</t>
  </si>
  <si>
    <t>0.26735972000401687,</t>
  </si>
  <si>
    <t>-2.8592298590118697,</t>
  </si>
  <si>
    <t>-0.016153841011366497,</t>
  </si>
  <si>
    <t>1.5754939834800825,</t>
  </si>
  <si>
    <t>-0.575053077092333,</t>
  </si>
  <si>
    <t>0.3277749556464374,</t>
  </si>
  <si>
    <t>44,</t>
  </si>
  <si>
    <t>-5.451953099095682,</t>
  </si>
  <si>
    <t>-0.030801994910145097,</t>
  </si>
  <si>
    <t>1.6024999999999994,</t>
  </si>
  <si>
    <t>-0.5711425045044785,</t>
  </si>
  <si>
    <t>0.3429554376492695,</t>
  </si>
  <si>
    <t>-1.9299999999999937,</t>
  </si>
  <si>
    <t>-0.013785714285714241,</t>
  </si>
  <si>
    <t>0.5221428571428574,</t>
  </si>
  <si>
    <t>-0.24346938775510188,</t>
  </si>
  <si>
    <t>0.09243219359842958,</t>
  </si>
  <si>
    <t>27,</t>
  </si>
  <si>
    <t>-2.919999999999986,</t>
  </si>
  <si>
    <t>-0.020857142857142758,</t>
  </si>
  <si>
    <t>0.9437037037037042,</t>
  </si>
  <si>
    <t>-0.25132743362831844,</t>
  </si>
  <si>
    <t>0.12509170742823641,</t>
  </si>
  <si>
    <t>23,</t>
  </si>
  <si>
    <t>-0.7799999999999847,</t>
  </si>
  <si>
    <t>-0.0055714285714284625,</t>
  </si>
  <si>
    <t>1.2486956521739139,</t>
  </si>
  <si>
    <t>-0.252136752136752,</t>
  </si>
  <si>
    <t>0.13671293436592627,</t>
  </si>
  <si>
    <t>22,</t>
  </si>
  <si>
    <t>3.9000000000000186,</t>
  </si>
  <si>
    <t>0.02785714285714299,</t>
  </si>
  <si>
    <t>1.5295454545454552,</t>
  </si>
  <si>
    <t>-0.2521186440677965,</t>
  </si>
  <si>
    <t>0.1435864852474823,</t>
  </si>
  <si>
    <t>48,</t>
  </si>
  <si>
    <t>5.551115123125783e-15,</t>
  </si>
  <si>
    <t>4.081702296416017e-17,</t>
  </si>
  <si>
    <t>0.7060416666666668,</t>
  </si>
  <si>
    <t>-0.38511363636363627,</t>
  </si>
  <si>
    <t>0.11998388878371358,</t>
  </si>
  <si>
    <t>33,</t>
  </si>
  <si>
    <t>4.240000000000009,</t>
  </si>
  <si>
    <t>0.03117647058823536,</t>
  </si>
  <si>
    <t>1.344242424242425,</t>
  </si>
  <si>
    <t>-0.389514563106796,</t>
  </si>
  <si>
    <t>0.15587953476914596,</t>
  </si>
  <si>
    <t>7.593883568253279,</t>
  </si>
  <si>
    <t>0.05583737917833293,</t>
  </si>
  <si>
    <t>1.786924413151903,</t>
  </si>
  <si>
    <t>-0.39296296296296307,</t>
  </si>
  <si>
    <t>0.1881784083837403,</t>
  </si>
  <si>
    <t>26,</t>
  </si>
  <si>
    <t>8.153883568253297,</t>
  </si>
  <si>
    <t>0.059955026237156595,</t>
  </si>
  <si>
    <t>1.966687829548204,</t>
  </si>
  <si>
    <t>-0.3907272727272728,</t>
  </si>
  <si>
    <t>0.1922492977620819,</t>
  </si>
  <si>
    <t>-4.006362475059954,</t>
  </si>
  <si>
    <t>-0.022634816243276578,</t>
  </si>
  <si>
    <t>0.816120157736917,</t>
  </si>
  <si>
    <t>-0.49768188115241274,</t>
  </si>
  <si>
    <t>0.18298695656170266,</t>
  </si>
  <si>
    <t>-2.8443340349336914,</t>
  </si>
  <si>
    <t>-0.016069683813184698,</t>
  </si>
  <si>
    <t>1.398444444444444,</t>
  </si>
  <si>
    <t>-0.498290409355558,</t>
  </si>
  <si>
    <t>0.21982733743090388,</t>
  </si>
  <si>
    <t>-1.3504504666804191,</t>
  </si>
  <si>
    <t>-0.00762966365356169,</t>
  </si>
  <si>
    <t>1.834429285628467,</t>
  </si>
  <si>
    <t>-0.494459528820955,</t>
  </si>
  <si>
    <t>0.24690558125173676,</t>
  </si>
  <si>
    <t>-6.970450466680401,</t>
  </si>
  <si>
    <t>-0.039381076082940114,</t>
  </si>
  <si>
    <t>1.8680553990662734,</t>
  </si>
  <si>
    <t>-0.49289744080373216,</t>
  </si>
  <si>
    <t>0.25499418179720856,</t>
  </si>
  <si>
    <t>19,</t>
  </si>
  <si>
    <t>9.610000000000058,</t>
  </si>
  <si>
    <t>0.27457142857143024,</t>
  </si>
  <si>
    <t>1.1768421052631592,</t>
  </si>
  <si>
    <t>-0.7968749999999983,</t>
  </si>
  <si>
    <t>0.08467513529503379,</t>
  </si>
  <si>
    <t>18,</t>
  </si>
  <si>
    <t>8.420000000000032,</t>
  </si>
  <si>
    <t>0.2405714285714295,</t>
  </si>
  <si>
    <t>1.2083333333333333,</t>
  </si>
  <si>
    <t>-0.7841176470588218,</t>
  </si>
  <si>
    <t>0.08791066722360763,</t>
  </si>
  <si>
    <t>10.080000000000028,</t>
  </si>
  <si>
    <t>0.3054545454545463,</t>
  </si>
  <si>
    <t>1.2511111111111113,</t>
  </si>
  <si>
    <t>-0.8293333333333315,</t>
  </si>
  <si>
    <t>0.09165872682794375,</t>
  </si>
  <si>
    <t>17,</t>
  </si>
  <si>
    <t>7.700000000000031,</t>
  </si>
  <si>
    <t>0.23333333333333428,</t>
  </si>
  <si>
    <t>1.218823529411765,</t>
  </si>
  <si>
    <t>-0.8137499999999983,</t>
  </si>
  <si>
    <t>0.09896730972797121,</t>
  </si>
  <si>
    <t>5.2677238729465365,</t>
  </si>
  <si>
    <t>0.13169309682366342,</t>
  </si>
  <si>
    <t>1.3402978412472664,</t>
  </si>
  <si>
    <t>-0.9618064338453106,</t>
  </si>
  <si>
    <t>0.15201013189655005,</t>
  </si>
  <si>
    <t>15,</t>
  </si>
  <si>
    <t>-3.1322761270534762,</t>
  </si>
  <si>
    <t>-0.0783069031763369,</t>
  </si>
  <si>
    <t>1.3097105989132047,</t>
  </si>
  <si>
    <t>-0.9111174044300617,</t>
  </si>
  <si>
    <t>0.16502929884440126,</t>
  </si>
  <si>
    <t>14,</t>
  </si>
  <si>
    <t>-7.001060320989435,</t>
  </si>
  <si>
    <t>-0.17502650802473588,</t>
  </si>
  <si>
    <t>1.2149999999999999,</t>
  </si>
  <si>
    <t>-0.9235023200380552,</t>
  </si>
  <si>
    <t>0.1726224918913712,</t>
  </si>
  <si>
    <t>2.879999999999999,</t>
  </si>
  <si>
    <t>0.08228571428571425,</t>
  </si>
  <si>
    <t>1.1533333333333333,</t>
  </si>
  <si>
    <t>-0.7210000000000001,</t>
  </si>
  <si>
    <t>0.07456464876447946,</t>
  </si>
  <si>
    <t>13,</t>
  </si>
  <si>
    <t>3.449999999999994,</t>
  </si>
  <si>
    <t>0.0985714285714284,</t>
  </si>
  <si>
    <t>1.496923076923077,</t>
  </si>
  <si>
    <t>-0.7277272727272727,</t>
  </si>
  <si>
    <t>0.08489747383253216,</t>
  </si>
  <si>
    <t>3.5999999999999943,</t>
  </si>
  <si>
    <t>0.10285714285714269,</t>
  </si>
  <si>
    <t>1.5084615384615385,</t>
  </si>
  <si>
    <t>0.08490918993329764,</t>
  </si>
  <si>
    <t>16,</t>
  </si>
  <si>
    <t>6.620000000000023,</t>
  </si>
  <si>
    <t>0.20060606060606131,</t>
  </si>
  <si>
    <t>1.2112500000000015,</t>
  </si>
  <si>
    <t>-0.7505882352941178,</t>
  </si>
  <si>
    <t>0.08352090377344747,</t>
  </si>
  <si>
    <t>8.16000000000002,</t>
  </si>
  <si>
    <t>0.24727272727272787,</t>
  </si>
  <si>
    <t>1.4273333333333347,</t>
  </si>
  <si>
    <t>-0.7361111111111112,</t>
  </si>
  <si>
    <t>0.09000370698465687,</t>
  </si>
  <si>
    <t>21,</t>
  </si>
  <si>
    <t>13.664495997076386,</t>
  </si>
  <si>
    <t>0.34161239992690967,</t>
  </si>
  <si>
    <t>1.3272137077869304,</t>
  </si>
  <si>
    <t>-0.7477364140236397,</t>
  </si>
  <si>
    <t>0.10705916628130942,</t>
  </si>
  <si>
    <t>12.554495997076376,</t>
  </si>
  <si>
    <t>0.3138623999269094,</t>
  </si>
  <si>
    <t>1.6389715479736406,</t>
  </si>
  <si>
    <t>-0.7703178121113253,</t>
  </si>
  <si>
    <t>0.12969154465866115,</t>
  </si>
  <si>
    <t>8.665297082109564,</t>
  </si>
  <si>
    <t>0.2166324270527391,</t>
  </si>
  <si>
    <t>1.534840526385807,</t>
  </si>
  <si>
    <t>-0.7576952985412677,</t>
  </si>
  <si>
    <t>0.15472701428582786,</t>
  </si>
  <si>
    <t>5.454495997076375,</t>
  </si>
  <si>
    <t>0.13636239992690938,</t>
  </si>
  <si>
    <t>1.345969874325031,</t>
  </si>
  <si>
    <t>0.1597487556250997,</t>
  </si>
  <si>
    <t>-0.3999999999999977,</t>
  </si>
  <si>
    <t>-0.011428571428571363,</t>
  </si>
  <si>
    <t>0.9446153846153849,</t>
  </si>
  <si>
    <t>-0.5763636363636362,</t>
  </si>
  <si>
    <t>0.06053201291659264,</t>
  </si>
  <si>
    <t>9,</t>
  </si>
  <si>
    <t>-0.6799999999999686,</t>
  </si>
  <si>
    <t>-0.019428571428570532,</t>
  </si>
  <si>
    <t>1.557777777777778,</t>
  </si>
  <si>
    <t>-0.5653846153846142,</t>
  </si>
  <si>
    <t>0.08092729572753513,</t>
  </si>
  <si>
    <t>-0.35999999999997545,</t>
  </si>
  <si>
    <t>-0.010285714285713584,</t>
  </si>
  <si>
    <t>1.5933333333333328,</t>
  </si>
  <si>
    <t>0.08235570538306057,</t>
  </si>
  <si>
    <t>10,</t>
  </si>
  <si>
    <t>5,</t>
  </si>
  <si>
    <t>-3.62,</t>
  </si>
  <si>
    <t>122,</t>
  </si>
  <si>
    <t>-7.869999999999997,</t>
  </si>
  <si>
    <t>Timestamp</t>
  </si>
  <si>
    <t>'2021-01-26</t>
  </si>
  <si>
    <t>-22.37000000000001,</t>
  </si>
  <si>
    <t>'2016-02-11</t>
  </si>
  <si>
    <t>-8.050000000000004,</t>
  </si>
  <si>
    <t>'2021-01-11</t>
  </si>
  <si>
    <t>-30.439999999999976,</t>
  </si>
  <si>
    <t>'2011-11-10</t>
  </si>
  <si>
    <t>-10.0,</t>
  </si>
  <si>
    <t>'2021-01-12</t>
  </si>
  <si>
    <t>-10.450000000000003,</t>
  </si>
  <si>
    <t>-30.880000000000003,</t>
  </si>
  <si>
    <t>-21.029999999999998,</t>
  </si>
  <si>
    <t>'2014-12-10</t>
  </si>
  <si>
    <t>-25.190000000000147,</t>
  </si>
  <si>
    <t>'2011-05-12</t>
  </si>
  <si>
    <t>-29.200000000000017,</t>
  </si>
  <si>
    <t>-5.449999999999996,</t>
  </si>
  <si>
    <t>-16.609999999999996,</t>
  </si>
  <si>
    <t>'2016-07-06</t>
  </si>
  <si>
    <t>-23.55,</t>
  </si>
  <si>
    <t>'2019-05-09</t>
  </si>
  <si>
    <t>-18.5,</t>
  </si>
  <si>
    <t>'2022-06-07</t>
  </si>
  <si>
    <t>-27.679999999999996,</t>
  </si>
  <si>
    <t>-13.499999999999996,</t>
  </si>
  <si>
    <t>'2018-08-02</t>
  </si>
  <si>
    <t>-23.040000000000006,</t>
  </si>
  <si>
    <t>-4.8685704712572715,</t>
  </si>
  <si>
    <t>-15.37,</t>
  </si>
  <si>
    <t>'2012-04-09</t>
  </si>
  <si>
    <t>-21.28,</t>
  </si>
  <si>
    <t>-16.700637302849834,</t>
  </si>
  <si>
    <t>-11.4,</t>
  </si>
  <si>
    <t>-19.81999999999999,</t>
  </si>
  <si>
    <t>-21.81999999999999,</t>
  </si>
  <si>
    <t>-10.080000000000004,</t>
  </si>
  <si>
    <t>'2011-08-02</t>
  </si>
  <si>
    <t>-19.82999999999996,</t>
  </si>
  <si>
    <t>-20.82999999999996,</t>
  </si>
  <si>
    <t>-4.949999999999999,</t>
  </si>
  <si>
    <t>-13.980000000000002,</t>
  </si>
  <si>
    <t>-9.177362463434246,</t>
  </si>
  <si>
    <t>'2020-03-25</t>
  </si>
  <si>
    <t>-22.91,</t>
  </si>
  <si>
    <t>-29.71303545295647,</t>
  </si>
  <si>
    <t>'2021-01-05</t>
  </si>
  <si>
    <t>-1.6100000000000003,</t>
  </si>
  <si>
    <t>-9.03,</t>
  </si>
  <si>
    <t>-4.450000000000001,</t>
  </si>
  <si>
    <t>'2020-11-30</t>
  </si>
  <si>
    <t>-14.17,</t>
  </si>
  <si>
    <t>-14.270000000000005,</t>
  </si>
  <si>
    <t>-2.9000000000000004,</t>
  </si>
  <si>
    <t>-9.690000000000001,</t>
  </si>
  <si>
    <t>'2012-06-22</t>
  </si>
  <si>
    <t>-20.020000000000003,</t>
  </si>
  <si>
    <t>-20.57,</t>
  </si>
  <si>
    <t>-21.119999999999997,</t>
  </si>
  <si>
    <t>-4.981284723860998,</t>
  </si>
  <si>
    <t>'2020-03-20</t>
  </si>
  <si>
    <t>-11.25,</t>
  </si>
  <si>
    <t>-19.549999999999997,</t>
  </si>
  <si>
    <t>'2020-08-12</t>
  </si>
  <si>
    <t>-5.099999999999994,</t>
  </si>
  <si>
    <t>-36.35000000000001,</t>
  </si>
  <si>
    <t>-34.52999844162212,</t>
  </si>
  <si>
    <t>-3.0,</t>
  </si>
  <si>
    <t>'2021-12-06</t>
  </si>
  <si>
    <t>-4.000000000000014,</t>
  </si>
  <si>
    <t>'2022-10-13</t>
  </si>
  <si>
    <t>-3.799999999999997,</t>
  </si>
  <si>
    <t>'2020-03-26</t>
  </si>
  <si>
    <t>-1.2099999999999995,</t>
  </si>
  <si>
    <t>'2018-02-07</t>
  </si>
  <si>
    <t>-3.2699999999999996,</t>
  </si>
  <si>
    <t>-4.80442016770737,</t>
  </si>
  <si>
    <t>-9.049999999999986,</t>
  </si>
  <si>
    <t>'2023-01-27</t>
  </si>
  <si>
    <t>-2.8157210559378676,</t>
  </si>
  <si>
    <t>'2020-03-23</t>
  </si>
  <si>
    <t>-4.949518870590341,</t>
  </si>
  <si>
    <t>'2019-08-09</t>
  </si>
  <si>
    <t>-1.54,</t>
  </si>
  <si>
    <t>-3.08,</t>
  </si>
  <si>
    <t>-4.25,</t>
  </si>
  <si>
    <t>'2021-12-08</t>
  </si>
  <si>
    <t>-1.4499999999999993,</t>
  </si>
  <si>
    <t>'2020-11-09</t>
  </si>
  <si>
    <t>-4.02,</t>
  </si>
  <si>
    <t>-2.0300000000000002,</t>
  </si>
  <si>
    <t>'2021-09-09</t>
  </si>
  <si>
    <t>-4.299999999999999,</t>
  </si>
  <si>
    <t>'2023-01-11</t>
  </si>
  <si>
    <t>-3.8500000000000014,</t>
  </si>
  <si>
    <t>'2023-02-01</t>
  </si>
  <si>
    <t>-11.200000000000005,</t>
  </si>
  <si>
    <t>-3.7991553634427486,</t>
  </si>
  <si>
    <t>'2021-05-10</t>
  </si>
  <si>
    <t>-1.2600000000000007,</t>
  </si>
  <si>
    <t>-2.4400000000000004,</t>
  </si>
  <si>
    <t>-2.02,</t>
  </si>
  <si>
    <t>-3.0500000000000016,</t>
  </si>
  <si>
    <t>-4.099999999999998,</t>
  </si>
  <si>
    <t>'2020-04-01</t>
  </si>
  <si>
    <t>-4.459999999999997,</t>
  </si>
  <si>
    <t>-1.4000000000000004,</t>
  </si>
  <si>
    <t>'2021-02-25</t>
  </si>
  <si>
    <t>-2.3000000000000007,</t>
  </si>
  <si>
    <t>'2023-01-26</t>
  </si>
  <si>
    <t>-4.230000000000001,</t>
  </si>
  <si>
    <t>-2.450000000000003,</t>
  </si>
  <si>
    <t>'2011-11-08</t>
  </si>
  <si>
    <t>-7.150000000000002,</t>
  </si>
  <si>
    <t>-3.25,</t>
  </si>
  <si>
    <t>-4.484960771518891,</t>
  </si>
  <si>
    <t>'2019-08-08</t>
  </si>
  <si>
    <t>-1.3999999999999986,</t>
  </si>
  <si>
    <t>-2.2199999999999998,</t>
  </si>
  <si>
    <t>-3.51,</t>
  </si>
  <si>
    <t>-4.495459253656662,</t>
  </si>
  <si>
    <t>'2020-12-01</t>
  </si>
  <si>
    <t>-7.999999999999993,</t>
  </si>
  <si>
    <t>'2023-02-03</t>
  </si>
  <si>
    <t>-7.381284723860999,</t>
  </si>
  <si>
    <t>-1.7899999999999996,</t>
  </si>
  <si>
    <t>-1.8700000000000006,</t>
  </si>
  <si>
    <t>-2.9499999999999993,</t>
  </si>
  <si>
    <t>'2020-03-27</t>
  </si>
  <si>
    <t>-1.4799999999999998,</t>
  </si>
  <si>
    <t>-1.65,</t>
  </si>
  <si>
    <t>-2.200000000000003,</t>
  </si>
  <si>
    <t>-1.3099999999999998,</t>
  </si>
  <si>
    <t>'2014-03-12</t>
  </si>
  <si>
    <t>-1.379999999999999,</t>
  </si>
  <si>
    <t>-2.4499999999999957,</t>
  </si>
  <si>
    <t>'2020-12-02</t>
  </si>
  <si>
    <t>-5.399999999999999,</t>
  </si>
  <si>
    <t>'2021-01-08</t>
  </si>
  <si>
    <t>-5.5,</t>
  </si>
  <si>
    <t>-2.0734657353448,</t>
  </si>
  <si>
    <t>'2018-06-12</t>
  </si>
  <si>
    <t>-6.114309058305206,</t>
  </si>
  <si>
    <t>'2023-01-30</t>
  </si>
  <si>
    <t>-1.0399999999999998,</t>
  </si>
  <si>
    <t>-1.1099999999999999,</t>
  </si>
  <si>
    <t>-1.2999999999999998,</t>
  </si>
  <si>
    <t>'2011-07-12</t>
  </si>
  <si>
    <t>-1.52,</t>
  </si>
  <si>
    <t>'2021-07-08</t>
  </si>
  <si>
    <t>-1.7299999999999898,</t>
  </si>
  <si>
    <t>-2.5438835682532783,</t>
  </si>
  <si>
    <t>'2020-12-07</t>
  </si>
  <si>
    <t>-1.549999999999999,</t>
  </si>
  <si>
    <t>'2011-10-19</t>
  </si>
  <si>
    <t>-2.299999999999997,</t>
  </si>
  <si>
    <t>'2020-11-17</t>
  </si>
  <si>
    <t>-5.100000000000001,</t>
  </si>
  <si>
    <t>-0.77,</t>
  </si>
  <si>
    <t>'2014-03-10</t>
  </si>
  <si>
    <t>-0.78,</t>
  </si>
  <si>
    <t>-1.0899999999999979,</t>
  </si>
  <si>
    <t>'2011-12-08</t>
  </si>
  <si>
    <t>-0.96,</t>
  </si>
  <si>
    <t>'2011-01-31</t>
  </si>
  <si>
    <t>-1.0500000000000003,</t>
  </si>
  <si>
    <t>'2011-01-21</t>
  </si>
  <si>
    <t>-2.1500000000000004,</t>
  </si>
  <si>
    <t>-2.049999999999999,</t>
  </si>
  <si>
    <t>'2021-02-17</t>
  </si>
  <si>
    <t>-2.2779715598737127,</t>
  </si>
  <si>
    <t>'2020-10-08</t>
  </si>
  <si>
    <t>-2.6999999999999993,</t>
  </si>
  <si>
    <t>'2022-11-16</t>
  </si>
  <si>
    <t>-1.8499999999999999,</t>
  </si>
  <si>
    <t>-0.9599999999999995,</t>
  </si>
  <si>
    <t>'2020-03-09</t>
  </si>
  <si>
    <t>-1.4099999999999997,</t>
  </si>
  <si>
    <t>'2012-06-04</t>
  </si>
  <si>
    <t>-1.0499999999999998,</t>
  </si>
  <si>
    <t>-1.6000000000000003,</t>
  </si>
  <si>
    <t>'2021-11-10</t>
  </si>
  <si>
    <t>-1.3199999999999998,</t>
  </si>
  <si>
    <t>'2015-07-06</t>
  </si>
  <si>
    <t>-1.5999999999999996,</t>
  </si>
  <si>
    <t>'2011-09-01</t>
  </si>
  <si>
    <t>-2.96,</t>
  </si>
  <si>
    <t>'2014-12-11</t>
  </si>
  <si>
    <t>-1.8900000000000006,</t>
  </si>
  <si>
    <t>'2021-10-29</t>
  </si>
  <si>
    <t>-3.219999999999999,</t>
  </si>
  <si>
    <t>'2019-10-07</t>
  </si>
  <si>
    <t>-3.2608010850331866,</t>
  </si>
  <si>
    <t>'2022-12-05</t>
  </si>
  <si>
    <t>-0.9000000000000008,</t>
  </si>
  <si>
    <t>-1.18,</t>
  </si>
  <si>
    <t>alltime_{'C':</t>
  </si>
  <si>
    <t>[</t>
  </si>
  <si>
    <t>'number',</t>
  </si>
  <si>
    <t>0,</t>
  </si>
  <si>
    <t>1),</t>
  </si>
  <si>
    <t>2.5,</t>
  </si>
  <si>
    <t>-1)]}_[7,</t>
  </si>
  <si>
    <t>35]_1{'n':</t>
  </si>
  <si>
    <t>35]_2{'n':</t>
  </si>
  <si>
    <t>35]_3{'n':</t>
  </si>
  <si>
    <t>35]_4{'n':</t>
  </si>
  <si>
    <t>-1)]}_[21,</t>
  </si>
  <si>
    <t>49]_1{'n':</t>
  </si>
  <si>
    <t>49]_2{'n':</t>
  </si>
  <si>
    <t>49]_3{'n':</t>
  </si>
  <si>
    <t>49]_4{'n':</t>
  </si>
  <si>
    <t>-1)]}_[35,</t>
  </si>
  <si>
    <t>70]_1{'n':</t>
  </si>
  <si>
    <t>70]_2{'n':</t>
  </si>
  <si>
    <t>70]_3{'n':</t>
  </si>
  <si>
    <t>70]_4{'n':</t>
  </si>
  <si>
    <t>7.5,</t>
  </si>
  <si>
    <t>bbands_{'C':</t>
  </si>
  <si>
    <t>psar_{'C':</t>
  </si>
  <si>
    <t>rsi_{'C':</t>
  </si>
  <si>
    <t>alltime_{'C':['number',0,1),'number',2.5,-1)]}_[35,70]_1</t>
  </si>
  <si>
    <t>alltime_{'C':['number',2.5,1),'number',5,-1)]}_[35,70]_1</t>
  </si>
  <si>
    <t>alltime_{'C':['number',0,1),'number',2.5,-1)]}_[21,49]_1</t>
  </si>
  <si>
    <t>bbands_{'C':['number',2.5,1),'number',5,-1)]}_[35,70]_1</t>
  </si>
  <si>
    <t>alltime_{'C':['number',7.5,1),'number',10,-1)]}_[35,70]_1</t>
  </si>
  <si>
    <t>bbands_{'C':['number',0,1),'number',2.5,-1)]}_[21,49]_1</t>
  </si>
  <si>
    <t>alltime_{'C':['number',5,1),'number',7.5,-1)]}_[35,70]_1</t>
  </si>
  <si>
    <t>bbands_{'C':['number',0,1),'number',2.5,-1)]}_[35,70]_1</t>
  </si>
  <si>
    <t>bbands_{'C':['number',5,1),'number',7.5,-1)]}_[21,49]_1</t>
  </si>
  <si>
    <t>psar_{'C':['number',2.5,1),'number',5,-1)]}_[35,70]_1</t>
  </si>
  <si>
    <t>psar_{'C':['number',5,1),'number',7.5,-1)]}_[35,70]_1</t>
  </si>
  <si>
    <t>bbands_{'C':['number',2.5,1),'number',5,-1)]}_[35,70]_2</t>
  </si>
  <si>
    <t>bbands_{'C':['number',2.5,1),'number',5,-1)]}_[21,49]_1</t>
  </si>
  <si>
    <t>psar_{'C':['number',0,1),'number',2.5,-1)]}_[35,70]_1</t>
  </si>
  <si>
    <t>rsi_{'C':['number',2.5,1),'number',5,-1)]}_[35,70]_1</t>
  </si>
  <si>
    <t>psar_{'C':['number',0,1),'number',2.5,-1)]}_[21,49]_1</t>
  </si>
  <si>
    <t>bbands_{'C':['number',5,1),'number',7.5,-1)]}_[7,35]_1</t>
  </si>
  <si>
    <t>rsi_{'C':['number',2.5,1),'number',5,-1)]}_[35,70]_2</t>
  </si>
  <si>
    <t>psar_{'C':['number',5,1),'number',7.5,-1)]}_[35,70]_2</t>
  </si>
  <si>
    <t>rsi_{'C':['number',0,1),'number',2.5,-1)]}_[21,49]_1</t>
  </si>
  <si>
    <t>rsi_{'C':['number',0,1),'number',2.5,-1)]}_[7,35]_1</t>
  </si>
  <si>
    <t>bbands_{'C':['number',5,1),'number',7.5,-1)]}_[35,70]_1</t>
  </si>
  <si>
    <t>rsi_{'C':['number',2.5,1),'number',5,-1)]}_[35,70]_3</t>
  </si>
  <si>
    <t>rsi_{'C':['number',0,1),'number',2.5,-1)]}_[7,35]_2</t>
  </si>
  <si>
    <t>rsi_{'C':['number',0,1),'number',2.5,-1)]}_[7,35]_3</t>
  </si>
  <si>
    <t>rsi_{'C':['number',0,1),'number',2.5,-1)]}_[7,35]_4</t>
  </si>
  <si>
    <t>rsi_{'C':['number',2.5,1),'number',5,-1)]}_[21,49]_2</t>
  </si>
  <si>
    <t>rsi_{'C':['number',2.5,1),'number',5,-1)]}_[21,49]_3</t>
  </si>
  <si>
    <t>rsi_{'C':['number',2.5,1),'number',5,-1)]}_[21,49]_4</t>
  </si>
  <si>
    <t>psar_{'C':['number',7.5,1),'number',10,-1)]}_[21,49]_4</t>
  </si>
  <si>
    <t>rsi_{'C':['number',0,1),'number',2.5,-1)]}_[21,49]_2</t>
  </si>
  <si>
    <t>rsi_{'C':['number',0,1),'number',2.5,-1)]}_[21,49]_3</t>
  </si>
  <si>
    <t>rsi_{'C':['number',0,1),'number',2.5,-1)]}_[21,49]_4</t>
  </si>
  <si>
    <t>psar_{'C':['number',7.5,1),'number',10,-1)]}_[21,49]_3</t>
  </si>
  <si>
    <t>rsi_{'C':['number',2.5,1),'number',5,-1)]}_[21,49]_1</t>
  </si>
  <si>
    <t>bbands_{'C':['number',2.5,1),'number',5,-1)]}_[21,49]_2</t>
  </si>
  <si>
    <t>psar_{'C':['number',2.5,1),'number',5,-1)]}_[21,49]_1</t>
  </si>
  <si>
    <t>psar_{'C':['number',5,1),'number',7.5,-1)]}_[21,49]_1</t>
  </si>
  <si>
    <t>rsi_{'C':['number',2.5,1),'number',5,-1)]}_[35,70]_4</t>
  </si>
  <si>
    <t>rsi_{'C':['number',0,1),'number',2.5,-1)]}_[35,70]_1</t>
  </si>
  <si>
    <t>psar_{'C':['number',7.5,1),'number',10,-1)]}_[21,49]_2</t>
  </si>
  <si>
    <t>bbands_{'C':['number',2.5,1),'number',5,-1)]}_[21,49]_3</t>
  </si>
  <si>
    <t>psar_{'C':['number',7.5,1),'number',10,-1)]}_[7,35]_4</t>
  </si>
  <si>
    <t>psar_{'C':['number',5,1),'number',7.5,-1)]}_[21,49]_2</t>
  </si>
  <si>
    <t>rsi_{'C':['number',2.5,1),'number',5,-1)]}_[7,35]_3</t>
  </si>
  <si>
    <t>rsi_{'C':['number',2.5,1),'number',5,-1)]}_[7,35]_4</t>
  </si>
  <si>
    <t>rsi_{'C':['number',2.5,1),'number',5,-1)]}_[7,35]_2</t>
  </si>
  <si>
    <t>bbands_{'C':['number',7.5,1),'number',10,-1)]}_[7,35]_1</t>
  </si>
  <si>
    <t>alltime_{'C':['number',2.5,1),'number',5,-1)]}_[21,49]_1</t>
  </si>
  <si>
    <t>rsi_{'C':['number',2.5,1),'number',5,-1)]}_[7,35]_1</t>
  </si>
  <si>
    <t>psar_{'C':['number',2.5,1),'number',5,-1)]}_[21,49]_2</t>
  </si>
  <si>
    <t>bbands_{'C':['number',5,1),'number',7.5,-1)]}_[21,49]_2</t>
  </si>
  <si>
    <t>psar_{'C':['number',0,1),'number',2.5,-1)]}_[21,49]_3</t>
  </si>
  <si>
    <t>bbands_{'C':['number',7.5,1),'number',10,-1)]}_[21,49]_1</t>
  </si>
  <si>
    <t>psar_{'C':['number',2.5,1),'number',5,-1)]}_[35,70]_2</t>
  </si>
  <si>
    <t>psar_{'C':['number',0,1),'number',2.5,-1)]}_[21,49]_2</t>
  </si>
  <si>
    <t>psar_{'C':['number',5,1),'number',7.5,-1)]}_[7,35]_4</t>
  </si>
  <si>
    <t>psar_{'C':['number',7.5,1),'number',10,-1)]}_[21,49]_1</t>
  </si>
  <si>
    <t>특징</t>
    <phoneticPr fontId="2" type="noConversion"/>
  </si>
  <si>
    <t>1. 볼린저 / psar / rsi</t>
    <phoneticPr fontId="2" type="noConversion"/>
  </si>
  <si>
    <t>2. 2.5/5 조합이 좋음</t>
    <phoneticPr fontId="2" type="noConversion"/>
  </si>
  <si>
    <t xml:space="preserve">3. 익절 2배 (배수1) 에서 짧게 끊을수록 수익 좋음 </t>
    <phoneticPr fontId="2" type="noConversion"/>
  </si>
  <si>
    <t>2. rsi 는 거의 모든 지표가 양의 값(highly reliable)</t>
    <phoneticPr fontId="2" type="noConversion"/>
  </si>
  <si>
    <t>4. dte는 35~70으로 길게 가져가는게 좋음 (콜방향 수익 한달 넘는 기간동안 장기적으로 걸쳐 상승)</t>
    <phoneticPr fontId="2" type="noConversion"/>
  </si>
  <si>
    <t>[{'n':</t>
  </si>
  <si>
    <t>21.455841015696077,</t>
  </si>
  <si>
    <t>0.1212194407666445,</t>
  </si>
  <si>
    <t>0.8402296963802277,</t>
  </si>
  <si>
    <t>-0.3673121868009624,</t>
  </si>
  <si>
    <t>0.19212394755295492,</t>
  </si>
  <si>
    <t>00:00:00'))},</t>
  </si>
  <si>
    <t>34.81584101569604,</t>
  </si>
  <si>
    <t>0.19669966675534484,</t>
  </si>
  <si>
    <t>0.9902234033287142,</t>
  </si>
  <si>
    <t>-0.3673575237970598,</t>
  </si>
  <si>
    <t>0.22223396296363018,</t>
  </si>
  <si>
    <t>74,</t>
  </si>
  <si>
    <t>35.82853727749472,</t>
  </si>
  <si>
    <t>0.20242111456211706,</t>
  </si>
  <si>
    <t>1.0256622257404708,</t>
  </si>
  <si>
    <t>-0.39673730126039713,</t>
  </si>
  <si>
    <t>0.26950237269003874,</t>
  </si>
  <si>
    <t>40.21581403741091,</t>
  </si>
  <si>
    <t>0.22720798891192603,</t>
  </si>
  <si>
    <t>1.1046065954070003,</t>
  </si>
  <si>
    <t>-0.3962790924245108,</t>
  </si>
  <si>
    <t>0.30031542161280805,</t>
  </si>
  <si>
    <t>00:00:00'))}]</t>
  </si>
  <si>
    <t>psar :</t>
    <phoneticPr fontId="2" type="noConversion"/>
  </si>
  <si>
    <t>1. psar short까지 홀딩 exit조건 추가시 수익 늘어남</t>
    <phoneticPr fontId="2" type="noConversion"/>
  </si>
  <si>
    <t>bbands</t>
    <phoneticPr fontId="2" type="noConversion"/>
  </si>
  <si>
    <t>2. 이익실현 타겟 낮출수록 승률 및 수익 늘어남</t>
    <phoneticPr fontId="2" type="noConversion"/>
  </si>
  <si>
    <t>165,</t>
  </si>
  <si>
    <t>36.63706188491864,</t>
  </si>
  <si>
    <t>0.14832818576890136,</t>
  </si>
  <si>
    <t>0.606378343216921,</t>
  </si>
  <si>
    <t>-0.773358106656992,</t>
  </si>
  <si>
    <t>0.22854354603047092,</t>
  </si>
  <si>
    <t>-2.932362214965039,</t>
  </si>
  <si>
    <t>'2018-02-08</t>
  </si>
  <si>
    <t>46.47491399279485,</t>
  </si>
  <si>
    <t>0.18815754652953381,</t>
  </si>
  <si>
    <t>0.9156448481333441,</t>
  </si>
  <si>
    <t>-0.7636949976249846,</t>
  </si>
  <si>
    <t>0.2633068499232941,</t>
  </si>
  <si>
    <t>124,</t>
  </si>
  <si>
    <t>48.9976832593216,</t>
  </si>
  <si>
    <t>0.19837118728470282,</t>
  </si>
  <si>
    <t>1.1606698341231907,</t>
  </si>
  <si>
    <t>-0.7717510257882452,</t>
  </si>
  <si>
    <t>0.2981994782836742,</t>
  </si>
  <si>
    <t>173,</t>
  </si>
  <si>
    <t>40.910514584188,</t>
  </si>
  <si>
    <t>0.165629613701166,</t>
  </si>
  <si>
    <t>0.6415853248405693,</t>
  </si>
  <si>
    <t>-0.9470776569355471,</t>
  </si>
  <si>
    <t>0.24073645218964257,</t>
  </si>
  <si>
    <t>-2.272887945451064,</t>
  </si>
  <si>
    <t>'2020-03-19</t>
  </si>
  <si>
    <t>-3.9728879454510633,</t>
  </si>
  <si>
    <t>142,</t>
  </si>
  <si>
    <t>34.20575674690213,</t>
  </si>
  <si>
    <t>0.13848484512915843,</t>
  </si>
  <si>
    <t>0.9371820177341512,</t>
  </si>
  <si>
    <t>-0.9416579978223558,</t>
  </si>
  <si>
    <t>0.2902008701965495,</t>
  </si>
  <si>
    <t>33.23582969556351,</t>
  </si>
  <si>
    <t>0.1345580149617956,</t>
  </si>
  <si>
    <t>1.2049983628599004,</t>
  </si>
  <si>
    <t>-0.9101917645867553,</t>
  </si>
  <si>
    <t>0.32974851507192426,</t>
  </si>
  <si>
    <t>1. 등가에 붙혀서 구축할수록 유리 (근데 너무 등가로 사면 X)</t>
    <phoneticPr fontId="2" type="noConversion"/>
  </si>
  <si>
    <t>2. 콜사이드 추세가 길기 때문에 DTE 짧게가져가면 오히려 X</t>
    <phoneticPr fontId="2" type="noConversion"/>
  </si>
  <si>
    <t>&gt; Sweet Spot : 2.5-5 / 수익률 타겟 크레딧의 50% (종가매매한다고 가정시 손절보다 더 버는거같음) / 35-70DTE</t>
    <phoneticPr fontId="2" type="noConversion"/>
  </si>
  <si>
    <t>&gt; 승률 40% 에 벌때 크게 벌고 자잘하게 -50% 잃는 전략</t>
    <phoneticPr fontId="2" type="noConversion"/>
  </si>
  <si>
    <t>1. 익절 각각 1/2/3/6배</t>
    <phoneticPr fontId="2" type="noConversion"/>
  </si>
  <si>
    <t>33.40566596506635,</t>
  </si>
  <si>
    <t>0.18873257607382118,</t>
  </si>
  <si>
    <t>1.1108955223880597,</t>
  </si>
  <si>
    <t>-0.3729484912266697,</t>
  </si>
  <si>
    <t>0.26752249922640836,</t>
  </si>
  <si>
    <t>35.20566596506632,</t>
  </si>
  <si>
    <t>0.19890206759924475,</t>
  </si>
  <si>
    <t>1.1377611940298507,</t>
  </si>
  <si>
    <t>0.26735035013948366,</t>
  </si>
  <si>
    <t>23.30566596506633,</t>
  </si>
  <si>
    <t>0.1316704291811657,</t>
  </si>
  <si>
    <t>1.0946969696969695,</t>
  </si>
  <si>
    <t>-0.4409399462606636,</t>
  </si>
  <si>
    <t>0.3305758704553656,</t>
  </si>
  <si>
    <t>-11.499999999999996,</t>
  </si>
  <si>
    <t>2. 행사가 7.5-10으로 늘린다고 크게 실익 없는 모습</t>
    <phoneticPr fontId="2" type="noConversion"/>
  </si>
  <si>
    <t>1. 행사가 0-2.5로 내린 경우</t>
    <phoneticPr fontId="2" type="noConversion"/>
  </si>
  <si>
    <t>행사가 2.5-5로 두고 익절 0.25 / 0.5/ 0.75 / 1로 하향조정</t>
    <phoneticPr fontId="2" type="noConversion"/>
  </si>
  <si>
    <t>&gt; Sweet Spot : 5-7.5 / 수익률 타겟은 6배정도 (어짜피 스프레드라 그 이상은 캡씌워짐) / 35-70DTE / psar Exit 적용</t>
    <phoneticPr fontId="2" type="noConversion"/>
  </si>
  <si>
    <t>2021-01-06   2021-01-08</t>
  </si>
  <si>
    <t>2021-02-04   2021-02-05</t>
  </si>
  <si>
    <t>2021-12-06   2021-12-08</t>
  </si>
  <si>
    <t>2021-05-07   2021-05-10</t>
  </si>
  <si>
    <t>2022-10-04   2022-10-11</t>
  </si>
  <si>
    <t>2021-02-02   2021-02-03</t>
  </si>
  <si>
    <t>alltime_{'C'</t>
  </si>
  <si>
    <t xml:space="preserve"> [('delta'</t>
  </si>
  <si>
    <t xml:space="preserve"> -1)</t>
  </si>
  <si>
    <t xml:space="preserve"> ('delta'</t>
  </si>
  <si>
    <t xml:space="preserve"> 2)]}_[7</t>
  </si>
  <si>
    <t xml:space="preserve"> 35]_1</t>
  </si>
  <si>
    <t xml:space="preserve"> {'n'</t>
  </si>
  <si>
    <t xml:space="preserve"> 'win'</t>
  </si>
  <si>
    <t xml:space="preserve"> 'total_ret'</t>
  </si>
  <si>
    <t xml:space="preserve"> 'avg_ret'</t>
  </si>
  <si>
    <t xml:space="preserve"> 'avg_win'</t>
  </si>
  <si>
    <t xml:space="preserve"> 'avg_loss'</t>
  </si>
  <si>
    <t xml:space="preserve"> 'vol'</t>
  </si>
  <si>
    <t xml:space="preserve"> 'single_strat_mdd'</t>
  </si>
  <si>
    <t xml:space="preserve"> (-3.7599999999999953</t>
  </si>
  <si>
    <t xml:space="preserve"> Timestamp('2013-07-11 00</t>
  </si>
  <si>
    <t>00'))</t>
  </si>
  <si>
    <t xml:space="preserve"> 'net_liq_mdd'</t>
  </si>
  <si>
    <t xml:space="preserve"> (-11.97999999999999</t>
  </si>
  <si>
    <t>00'))}</t>
  </si>
  <si>
    <t xml:space="preserve"> 35]_2</t>
  </si>
  <si>
    <t xml:space="preserve"> (-5.39</t>
  </si>
  <si>
    <t xml:space="preserve"> Timestamp('2016-12-08 00</t>
  </si>
  <si>
    <t xml:space="preserve"> (-12.00999999999999</t>
  </si>
  <si>
    <t xml:space="preserve"> 35]_3</t>
  </si>
  <si>
    <t xml:space="preserve"> (-20.139999999999993</t>
  </si>
  <si>
    <t xml:space="preserve"> Timestamp('2018-01-30 00</t>
  </si>
  <si>
    <t xml:space="preserve"> 35]_4</t>
  </si>
  <si>
    <t xml:space="preserve"> 35]_5</t>
  </si>
  <si>
    <t xml:space="preserve"> (-8.39000000000001</t>
  </si>
  <si>
    <t xml:space="preserve"> Timestamp('2010-11-11 00</t>
  </si>
  <si>
    <t xml:space="preserve"> (-20.329999999999995</t>
  </si>
  <si>
    <t xml:space="preserve"> Timestamp('2020-12-08 00</t>
  </si>
  <si>
    <t xml:space="preserve"> 2)]}_[21</t>
  </si>
  <si>
    <t xml:space="preserve"> 49]_1</t>
  </si>
  <si>
    <t xml:space="preserve"> (-4.199999999999999</t>
  </si>
  <si>
    <t xml:space="preserve"> (-20.779999999999998</t>
  </si>
  <si>
    <t xml:space="preserve"> 49]_2</t>
  </si>
  <si>
    <t xml:space="preserve"> (-26.169999999999998</t>
  </si>
  <si>
    <t xml:space="preserve"> 49]_3</t>
  </si>
  <si>
    <t xml:space="preserve"> 49]_4</t>
  </si>
  <si>
    <t xml:space="preserve"> 49]_5</t>
  </si>
  <si>
    <t xml:space="preserve"> 2)]}_[35</t>
  </si>
  <si>
    <t xml:space="preserve"> 70]_1</t>
  </si>
  <si>
    <t xml:space="preserve"> (-11.218570471257273</t>
  </si>
  <si>
    <t xml:space="preserve"> Timestamp('2021-01-12 00</t>
  </si>
  <si>
    <t xml:space="preserve"> (-22.769999999999996</t>
  </si>
  <si>
    <t xml:space="preserve"> 70]_2</t>
  </si>
  <si>
    <t xml:space="preserve"> (-28.96</t>
  </si>
  <si>
    <t xml:space="preserve"> 70]_3</t>
  </si>
  <si>
    <t xml:space="preserve"> 70]_4</t>
  </si>
  <si>
    <t xml:space="preserve"> 70]_5</t>
  </si>
  <si>
    <t xml:space="preserve"> (-8.729999999999965</t>
  </si>
  <si>
    <t xml:space="preserve"> Timestamp('2016-04-14 00</t>
  </si>
  <si>
    <t xml:space="preserve"> (-4.820000000000004</t>
  </si>
  <si>
    <t xml:space="preserve"> Timestamp('2022-11-10 00</t>
  </si>
  <si>
    <t xml:space="preserve"> (-9.34</t>
  </si>
  <si>
    <t xml:space="preserve"> (-14.210000000000012</t>
  </si>
  <si>
    <t xml:space="preserve"> (-4.249999999999984</t>
  </si>
  <si>
    <t xml:space="preserve"> Timestamp('2012-08-09 00</t>
  </si>
  <si>
    <t xml:space="preserve"> (-12.18</t>
  </si>
  <si>
    <t xml:space="preserve"> (-40.949999999999996</t>
  </si>
  <si>
    <t xml:space="preserve"> (-5.7205470345472005</t>
  </si>
  <si>
    <t xml:space="preserve"> Timestamp('2020-03-20 00</t>
  </si>
  <si>
    <t xml:space="preserve"> (-10.01</t>
  </si>
  <si>
    <t xml:space="preserve"> (-8.239999999999998</t>
  </si>
  <si>
    <t xml:space="preserve"> 2021-01-06   2021-01-07</t>
  </si>
  <si>
    <t>Name</t>
  </si>
  <si>
    <t xml:space="preserve"> drawdown_date</t>
  </si>
  <si>
    <t xml:space="preserve"> dtype</t>
  </si>
  <si>
    <t xml:space="preserve"> datetime64[ns])</t>
  </si>
  <si>
    <t xml:space="preserve"> (-34.4</t>
  </si>
  <si>
    <t xml:space="preserve"> 3)]}_[7</t>
  </si>
  <si>
    <t xml:space="preserve"> (-5.240000000000028</t>
  </si>
  <si>
    <t xml:space="preserve"> Timestamp('2020-11-12 00</t>
  </si>
  <si>
    <t xml:space="preserve"> (-7.040000000000003</t>
  </si>
  <si>
    <t xml:space="preserve"> Timestamp('2017-10-10 00</t>
  </si>
  <si>
    <t xml:space="preserve"> (-10.409999999999998</t>
  </si>
  <si>
    <t xml:space="preserve"> Timestamp('2018-05-02 00</t>
  </si>
  <si>
    <t xml:space="preserve"> (-11.57</t>
  </si>
  <si>
    <t xml:space="preserve"> Timestamp('2016-06-24 00</t>
  </si>
  <si>
    <t xml:space="preserve"> (-15.030000000000008</t>
  </si>
  <si>
    <t xml:space="preserve"> Timestamp('2017-05-30 00</t>
  </si>
  <si>
    <t xml:space="preserve"> 3)]}_[21</t>
  </si>
  <si>
    <t xml:space="preserve"> (-4.21</t>
  </si>
  <si>
    <t xml:space="preserve"> (-9.719999999999946</t>
  </si>
  <si>
    <t xml:space="preserve"> (-5.000000000000002</t>
  </si>
  <si>
    <t xml:space="preserve"> Timestamp('2020-03-23 00</t>
  </si>
  <si>
    <t xml:space="preserve"> (-16.630000000000003</t>
  </si>
  <si>
    <t xml:space="preserve"> (-18.549999999999997</t>
  </si>
  <si>
    <t xml:space="preserve"> Timestamp('2010-11-12 00</t>
  </si>
  <si>
    <t xml:space="preserve"> (-27.66999999999999</t>
  </si>
  <si>
    <t xml:space="preserve"> (-5.0500000000000025</t>
  </si>
  <si>
    <t xml:space="preserve"> Timestamp('2011-10-20 00</t>
  </si>
  <si>
    <t xml:space="preserve"> 3)]}_[35</t>
  </si>
  <si>
    <t xml:space="preserve"> (-6.010547034547201</t>
  </si>
  <si>
    <t xml:space="preserve"> (-11.129999999999997</t>
  </si>
  <si>
    <t xml:space="preserve"> Timestamp('2015-12-24 00</t>
  </si>
  <si>
    <t xml:space="preserve"> (-15.290000000000006</t>
  </si>
  <si>
    <t xml:space="preserve"> Timestamp('2017-01-31 00</t>
  </si>
  <si>
    <t xml:space="preserve"> (-16.680000000000007</t>
  </si>
  <si>
    <t xml:space="preserve"> (-22.800000000000015</t>
  </si>
  <si>
    <t xml:space="preserve"> (-24.760000000000016</t>
  </si>
  <si>
    <t xml:space="preserve"> (-2.6000000000000227</t>
  </si>
  <si>
    <t xml:space="preserve"> Timestamp('2017-07-13 00</t>
  </si>
  <si>
    <t xml:space="preserve"> (-14.010000000000252</t>
  </si>
  <si>
    <t xml:space="preserve"> (-2.670000000000001</t>
  </si>
  <si>
    <t xml:space="preserve"> Timestamp('2020-03-25 00</t>
  </si>
  <si>
    <t xml:space="preserve"> (-2.9299999999999997</t>
  </si>
  <si>
    <t xml:space="preserve"> (-16.669999999999998</t>
  </si>
  <si>
    <t xml:space="preserve"> (-4.454924753215414</t>
  </si>
  <si>
    <t xml:space="preserve"> Timestamp('2021-01-11 00</t>
  </si>
  <si>
    <t xml:space="preserve"> (-13.32999999999992</t>
  </si>
  <si>
    <t xml:space="preserve"> (-13.31999999999992</t>
  </si>
  <si>
    <t xml:space="preserve"> (-23.14999999999999</t>
  </si>
  <si>
    <t xml:space="preserve"> Timestamp('2015-04-24 00</t>
  </si>
  <si>
    <t xml:space="preserve"> (-5.109999999999999</t>
  </si>
  <si>
    <t xml:space="preserve"> (-6.200000000000002</t>
  </si>
  <si>
    <t xml:space="preserve"> Timestamp('2023-04-06 00</t>
  </si>
  <si>
    <t xml:space="preserve"> (-10.810000000000002</t>
  </si>
  <si>
    <t xml:space="preserve"> (-5.9999999999999964</t>
  </si>
  <si>
    <t xml:space="preserve"> (-14.05999999999986</t>
  </si>
  <si>
    <t xml:space="preserve"> Timestamp('2014-11-13 00</t>
  </si>
  <si>
    <t xml:space="preserve"> (-21.760000000000016</t>
  </si>
  <si>
    <t xml:space="preserve"> Timestamp('2017-11-06 00</t>
  </si>
  <si>
    <t xml:space="preserve"> (-3.3100000000000005</t>
  </si>
  <si>
    <t xml:space="preserve"> Timestamp('2011-08-10 00</t>
  </si>
  <si>
    <t xml:space="preserve"> (-6.34</t>
  </si>
  <si>
    <t xml:space="preserve"> Timestamp('2017-01-11 00</t>
  </si>
  <si>
    <t xml:space="preserve"> (-10.759999999999994</t>
  </si>
  <si>
    <t xml:space="preserve"> (-15.749999999999996</t>
  </si>
  <si>
    <t xml:space="preserve"> (-3.4899999999999993</t>
  </si>
  <si>
    <t xml:space="preserve"> Timestamp('2015-11-30 00</t>
  </si>
  <si>
    <t xml:space="preserve"> (-18.349999999999994</t>
  </si>
  <si>
    <t xml:space="preserve"> (-4.4</t>
  </si>
  <si>
    <t xml:space="preserve"> Timestamp('2016-10-11 00</t>
  </si>
  <si>
    <t xml:space="preserve"> (-21.389999999999993</t>
  </si>
  <si>
    <t xml:space="preserve"> (-4.380983681131056</t>
  </si>
  <si>
    <t xml:space="preserve"> 2021-02-04   2021-02-08</t>
  </si>
  <si>
    <t xml:space="preserve"> (-8.579999999999991</t>
  </si>
  <si>
    <t xml:space="preserve"> Timestamp('2017-01-13 00</t>
  </si>
  <si>
    <t xml:space="preserve"> (-16.059999999999995</t>
  </si>
  <si>
    <t xml:space="preserve"> (-21.349999999999994</t>
  </si>
  <si>
    <t xml:space="preserve"> (-25.68999999999999</t>
  </si>
  <si>
    <t xml:space="preserve"> Timestamp('2016-06-13 00</t>
  </si>
  <si>
    <t xml:space="preserve"> (-30.129999999999995</t>
  </si>
  <si>
    <t>bbands_{'C'</t>
  </si>
  <si>
    <t xml:space="preserve"> (-3.3199999999999896</t>
  </si>
  <si>
    <t xml:space="preserve"> Timestamp('2010-02-11 00</t>
  </si>
  <si>
    <t xml:space="preserve"> (-3.2099999999999898</t>
  </si>
  <si>
    <t xml:space="preserve"> (-3.5199999999999996</t>
  </si>
  <si>
    <t xml:space="preserve"> (-3.9799999999999986</t>
  </si>
  <si>
    <t xml:space="preserve"> (-3.8599999999999897</t>
  </si>
  <si>
    <t xml:space="preserve"> Timestamp('2018-06-14 00</t>
  </si>
  <si>
    <t xml:space="preserve"> (-2.7200000000000024</t>
  </si>
  <si>
    <t xml:space="preserve"> (-3.200000000000001</t>
  </si>
  <si>
    <t xml:space="preserve"> (-4.080000000000001</t>
  </si>
  <si>
    <t xml:space="preserve"> (-4.15</t>
  </si>
  <si>
    <t xml:space="preserve"> Timestamp('2013-11-21 00</t>
  </si>
  <si>
    <t xml:space="preserve"> (-4.6099999999999985</t>
  </si>
  <si>
    <t xml:space="preserve"> Timestamp('2013-12-02 00</t>
  </si>
  <si>
    <t xml:space="preserve"> (-4.901699084048335</t>
  </si>
  <si>
    <t xml:space="preserve"> (-3.3099999999999996</t>
  </si>
  <si>
    <t xml:space="preserve"> (-4.5299999999999985</t>
  </si>
  <si>
    <t xml:space="preserve"> Timestamp('2020-03-18 00</t>
  </si>
  <si>
    <t xml:space="preserve"> (-9.319999999999999</t>
  </si>
  <si>
    <t xml:space="preserve"> (-4.05</t>
  </si>
  <si>
    <t xml:space="preserve"> (-5.249999999999997</t>
  </si>
  <si>
    <t xml:space="preserve"> (-3.3999999999999995</t>
  </si>
  <si>
    <t xml:space="preserve"> Timestamp('2021-09-08 00</t>
  </si>
  <si>
    <t xml:space="preserve"> (-2.1100000000000003</t>
  </si>
  <si>
    <t xml:space="preserve"> Timestamp('2015-09-09 00</t>
  </si>
  <si>
    <t xml:space="preserve"> (-4.049999999999999</t>
  </si>
  <si>
    <t xml:space="preserve"> (-7.960547034547201</t>
  </si>
  <si>
    <t xml:space="preserve"> (-3.7500000000000018</t>
  </si>
  <si>
    <t xml:space="preserve"> (-5.339999999999998</t>
  </si>
  <si>
    <t xml:space="preserve"> (-6.560000000000001</t>
  </si>
  <si>
    <t xml:space="preserve"> (-5.300000000000002</t>
  </si>
  <si>
    <t xml:space="preserve"> (-8.110000000000001</t>
  </si>
  <si>
    <t xml:space="preserve"> (-8.3005470345472</t>
  </si>
  <si>
    <t xml:space="preserve"> (-2.1399999999999997</t>
  </si>
  <si>
    <t xml:space="preserve"> (-3.6199999999999997</t>
  </si>
  <si>
    <t xml:space="preserve"> (-3.4299999999999993</t>
  </si>
  <si>
    <t xml:space="preserve"> (-5.719999999999999</t>
  </si>
  <si>
    <t xml:space="preserve"> (-5.49</t>
  </si>
  <si>
    <t xml:space="preserve"> Timestamp('2021-05-11 00</t>
  </si>
  <si>
    <t xml:space="preserve"> (-5.8</t>
  </si>
  <si>
    <t xml:space="preserve"> (-8.169999999999998</t>
  </si>
  <si>
    <t xml:space="preserve"> (-3.129999999999998</t>
  </si>
  <si>
    <t xml:space="preserve"> (-3.589999999999998</t>
  </si>
  <si>
    <t xml:space="preserve"> (-4.22</t>
  </si>
  <si>
    <t>psar_{'C'</t>
  </si>
  <si>
    <t xml:space="preserve"> (-1.38</t>
  </si>
  <si>
    <t xml:space="preserve"> Timestamp('2020-02-06 00</t>
  </si>
  <si>
    <t xml:space="preserve"> (-1.450000000000001</t>
  </si>
  <si>
    <t xml:space="preserve"> Timestamp('2012-08-03 00</t>
  </si>
  <si>
    <t xml:space="preserve"> (-2.0200000000000014</t>
  </si>
  <si>
    <t xml:space="preserve"> Timestamp('2015-10-29 00</t>
  </si>
  <si>
    <t xml:space="preserve"> (-3.12</t>
  </si>
  <si>
    <t xml:space="preserve"> Timestamp('2015-11-10 00</t>
  </si>
  <si>
    <t xml:space="preserve"> (-2.039999999999999</t>
  </si>
  <si>
    <t xml:space="preserve"> Timestamp('2017-10-19 00</t>
  </si>
  <si>
    <t xml:space="preserve"> (-2.163371104752823</t>
  </si>
  <si>
    <t xml:space="preserve"> 2021-12-06   2021-12-09</t>
  </si>
  <si>
    <t xml:space="preserve"> Timestamp('2021-12-08 00</t>
  </si>
  <si>
    <t xml:space="preserve"> (-2.1799999999999997</t>
  </si>
  <si>
    <t xml:space="preserve"> Timestamp('2023-06-07 00</t>
  </si>
  <si>
    <t xml:space="preserve"> (-4.140000000000001</t>
  </si>
  <si>
    <t xml:space="preserve"> (-1.62</t>
  </si>
  <si>
    <t xml:space="preserve"> (-1.8200000000000003</t>
  </si>
  <si>
    <t xml:space="preserve"> Timestamp('2012-06-11 00</t>
  </si>
  <si>
    <t xml:space="preserve"> (-1.8699999999999992</t>
  </si>
  <si>
    <t xml:space="preserve"> Timestamp('2023-05-31 00</t>
  </si>
  <si>
    <t xml:space="preserve"> (-3.1999999999999993</t>
  </si>
  <si>
    <t xml:space="preserve"> Timestamp('2020-01-02 00</t>
  </si>
  <si>
    <t xml:space="preserve"> (-1.46</t>
  </si>
  <si>
    <t xml:space="preserve"> (-3.1728489618173628</t>
  </si>
  <si>
    <t xml:space="preserve"> 2021-05-07   2021-05-28</t>
  </si>
  <si>
    <t xml:space="preserve"> Timestamp('2021-05-10 00</t>
  </si>
  <si>
    <t xml:space="preserve"> (-1.3799999999999955</t>
  </si>
  <si>
    <t xml:space="preserve"> (-2.0199999999999996</t>
  </si>
  <si>
    <t xml:space="preserve"> Timestamp('2020-03-30 00</t>
  </si>
  <si>
    <t xml:space="preserve"> (-3.17</t>
  </si>
  <si>
    <t xml:space="preserve"> (-4.980000000000001</t>
  </si>
  <si>
    <t xml:space="preserve"> (-1.0499999999999998</t>
  </si>
  <si>
    <t xml:space="preserve"> Timestamp('2022-10-11 00</t>
  </si>
  <si>
    <t xml:space="preserve"> (-2.0900000000000025</t>
  </si>
  <si>
    <t xml:space="preserve"> (-2.3900000000000006</t>
  </si>
  <si>
    <t xml:space="preserve"> (-2.980000000000003</t>
  </si>
  <si>
    <t xml:space="preserve"> (-2.5942734427260445</t>
  </si>
  <si>
    <t xml:space="preserve"> 2021-05-07   2021-05-07</t>
  </si>
  <si>
    <t xml:space="preserve"> 2021-05-07   2021-05-11</t>
  </si>
  <si>
    <t xml:space="preserve"> (-1.5900000000000007</t>
  </si>
  <si>
    <t xml:space="preserve"> (-1.729999999999972</t>
  </si>
  <si>
    <t xml:space="preserve"> (-1.9100000000000001</t>
  </si>
  <si>
    <t xml:space="preserve"> (-2.620000000000001</t>
  </si>
  <si>
    <t xml:space="preserve"> Timestamp('2011-04-12 00</t>
  </si>
  <si>
    <t xml:space="preserve"> (-2.649999999999984</t>
  </si>
  <si>
    <t xml:space="preserve"> (-2.88</t>
  </si>
  <si>
    <t xml:space="preserve"> (-2.950000000000001</t>
  </si>
  <si>
    <t xml:space="preserve"> (-1.9400000000000002</t>
  </si>
  <si>
    <t xml:space="preserve"> (-2.8299999999999907</t>
  </si>
  <si>
    <t xml:space="preserve"> Timestamp('2010-03-11 00</t>
  </si>
  <si>
    <t xml:space="preserve"> (-3.1100000000000003</t>
  </si>
  <si>
    <t xml:space="preserve"> (-2.6599999999999837</t>
  </si>
  <si>
    <t xml:space="preserve"> (-3.039999999999999</t>
  </si>
  <si>
    <t xml:space="preserve"> (-2.680815961123294</t>
  </si>
  <si>
    <t xml:space="preserve"> Timestamp('2021-02-10 00</t>
  </si>
  <si>
    <t xml:space="preserve"> (-3.1599999999999993</t>
  </si>
  <si>
    <t xml:space="preserve"> Timestamp('2013-09-25 00</t>
  </si>
  <si>
    <t>rsi_{'C'</t>
  </si>
  <si>
    <t xml:space="preserve"> (-3.769999999999995</t>
  </si>
  <si>
    <t xml:space="preserve"> (-1.4</t>
  </si>
  <si>
    <t xml:space="preserve"> Timestamp('2019-06-10 00</t>
  </si>
  <si>
    <t xml:space="preserve"> (-2.2</t>
  </si>
  <si>
    <t xml:space="preserve"> (-1.4500000000000002</t>
  </si>
  <si>
    <t xml:space="preserve"> Timestamp('2018-02-20 00</t>
  </si>
  <si>
    <t xml:space="preserve"> (-1.299999999999999</t>
  </si>
  <si>
    <t xml:space="preserve"> Timestamp('2010-06-07 00</t>
  </si>
  <si>
    <t xml:space="preserve"> (-1.8399999999999999</t>
  </si>
  <si>
    <t xml:space="preserve"> Timestamp('2021-08-26 00</t>
  </si>
  <si>
    <t xml:space="preserve"> (-1.9800000000000004</t>
  </si>
  <si>
    <t xml:space="preserve"> (-1.3699999999999954</t>
  </si>
  <si>
    <t xml:space="preserve"> (-1.6099999999999999</t>
  </si>
  <si>
    <t xml:space="preserve"> Timestamp('2012-06-07 00</t>
  </si>
  <si>
    <t xml:space="preserve"> (-1.7200000000000042</t>
  </si>
  <si>
    <t xml:space="preserve"> Timestamp('2019-06-13 00</t>
  </si>
  <si>
    <t xml:space="preserve"> (-1.3599999999999997</t>
  </si>
  <si>
    <t xml:space="preserve"> (-1.4400000000000004</t>
  </si>
  <si>
    <t xml:space="preserve"> Timestamp('2021-08-31 00</t>
  </si>
  <si>
    <t xml:space="preserve"> (-1.87</t>
  </si>
  <si>
    <t xml:space="preserve"> (-1.6099999999999994</t>
  </si>
  <si>
    <t xml:space="preserve"> (-2.389999999999999</t>
  </si>
  <si>
    <t xml:space="preserve"> Timestamp('2022-07-18 00</t>
  </si>
  <si>
    <t xml:space="preserve"> (-2.6800000000000015</t>
  </si>
  <si>
    <t xml:space="preserve"> Timestamp('2019-09-25 00</t>
  </si>
  <si>
    <t xml:space="preserve"> (-5.360000000000003</t>
  </si>
  <si>
    <t xml:space="preserve"> (-1.549999999999999</t>
  </si>
  <si>
    <t xml:space="preserve"> Timestamp('2022-06-29 00</t>
  </si>
  <si>
    <t xml:space="preserve"> (-3.160000000000008</t>
  </si>
  <si>
    <t xml:space="preserve"> (-5.150000000000002</t>
  </si>
  <si>
    <t xml:space="preserve"> (-1.6611364668756456</t>
  </si>
  <si>
    <t xml:space="preserve"> 2022-10-04   2022-10-11</t>
  </si>
  <si>
    <t xml:space="preserve"> (-2.5500000000000007</t>
  </si>
  <si>
    <t xml:space="preserve"> Timestamp('2020-03-31 00</t>
  </si>
  <si>
    <t xml:space="preserve"> (-1.1499999999999997</t>
  </si>
  <si>
    <t xml:space="preserve"> (-1.6</t>
  </si>
  <si>
    <t xml:space="preserve"> (-2.570000000000002</t>
  </si>
  <si>
    <t xml:space="preserve"> Timestamp('2021-09-02 00</t>
  </si>
  <si>
    <t xml:space="preserve"> (-0.8499999999999996</t>
  </si>
  <si>
    <t xml:space="preserve"> (-0.8699999999999988</t>
  </si>
  <si>
    <t xml:space="preserve"> Timestamp('2019-06-12 00</t>
  </si>
  <si>
    <t xml:space="preserve"> (-1.6399999999999997</t>
  </si>
  <si>
    <t xml:space="preserve"> Timestamp('2019-07-02 00</t>
  </si>
  <si>
    <t xml:space="preserve"> (-2.3</t>
  </si>
  <si>
    <t>stoch_{'C'</t>
  </si>
  <si>
    <t xml:space="preserve"> (-3.789999999999995</t>
  </si>
  <si>
    <t xml:space="preserve"> (-3.7999999999999954</t>
  </si>
  <si>
    <t xml:space="preserve"> (-5.269999999999998</t>
  </si>
  <si>
    <t xml:space="preserve"> Timestamp('2020-04-01 00</t>
  </si>
  <si>
    <t xml:space="preserve"> (-3.9499999999999993</t>
  </si>
  <si>
    <t xml:space="preserve"> Timestamp('2020-10-06 00</t>
  </si>
  <si>
    <t xml:space="preserve"> (-2.2299999999999986</t>
  </si>
  <si>
    <t xml:space="preserve"> (-4.68</t>
  </si>
  <si>
    <t xml:space="preserve"> (-2.7699999999999996</t>
  </si>
  <si>
    <t xml:space="preserve"> (-5.155193454616157</t>
  </si>
  <si>
    <t xml:space="preserve"> 2021-02-02   2021-02-04</t>
  </si>
  <si>
    <t xml:space="preserve"> Timestamp('2021-02-03 00</t>
  </si>
  <si>
    <t xml:space="preserve"> (-5.729999999999998</t>
  </si>
  <si>
    <t xml:space="preserve"> Timestamp('2022-09-14 00</t>
  </si>
  <si>
    <t xml:space="preserve"> (-4.709999999999997</t>
  </si>
  <si>
    <t xml:space="preserve"> Timestamp('2020-03-24 00</t>
  </si>
  <si>
    <t xml:space="preserve"> (-4.359999999999999</t>
  </si>
  <si>
    <t xml:space="preserve"> Timestamp('2014-10-29 00</t>
  </si>
  <si>
    <t xml:space="preserve"> (-6.520000000000001</t>
  </si>
  <si>
    <t xml:space="preserve"> (-2.6799999999999993</t>
  </si>
  <si>
    <t xml:space="preserve"> (-2.8199999999999994</t>
  </si>
  <si>
    <t xml:space="preserve"> (-4.239999999999998</t>
  </si>
  <si>
    <t xml:space="preserve"> (-5.469999999999998</t>
  </si>
  <si>
    <t xml:space="preserve"> (-4.060000000000002</t>
  </si>
  <si>
    <t xml:space="preserve"> Timestamp('2020-03-26 00</t>
  </si>
  <si>
    <t xml:space="preserve"> (-4.5699999999999985</t>
  </si>
  <si>
    <t xml:space="preserve"> (-5.440000000000005</t>
  </si>
  <si>
    <t xml:space="preserve"> (-1.99</t>
  </si>
  <si>
    <t xml:space="preserve"> (-3.1400000000000006</t>
  </si>
  <si>
    <t xml:space="preserve"> (-2.32</t>
  </si>
  <si>
    <t xml:space="preserve"> (-3.2699999999999996</t>
  </si>
  <si>
    <t xml:space="preserve"> Timestamp('2020-02-07 00</t>
  </si>
  <si>
    <t xml:space="preserve"> (-4.200000000000001</t>
  </si>
  <si>
    <t xml:space="preserve"> (-3.100000000000041</t>
  </si>
  <si>
    <t xml:space="preserve"> Timestamp('2012-12-13 00</t>
  </si>
  <si>
    <t xml:space="preserve"> (-3.7999999999999994</t>
  </si>
  <si>
    <t xml:space="preserve"> (-5.68</t>
  </si>
  <si>
    <t xml:space="preserve"> (-3.769999999999987</t>
  </si>
  <si>
    <t xml:space="preserve"> Timestamp('2020-02-13 00</t>
  </si>
  <si>
    <t xml:space="preserve"> (-4.390000000000001</t>
  </si>
  <si>
    <t xml:space="preserve"> (-3.4200000000000004</t>
  </si>
  <si>
    <t xml:space="preserve"> Timestamp('2019-04-18 00</t>
  </si>
  <si>
    <t xml:space="preserve"> (-4.260000000000001</t>
  </si>
  <si>
    <t xml:space="preserve"> (-5.069999999999997</t>
  </si>
  <si>
    <t xml:space="preserve"> Timestamp('2014-05-27 00</t>
  </si>
  <si>
    <t xml:space="preserve"> 'avg_ret'</t>
    <phoneticPr fontId="2" type="noConversion"/>
  </si>
  <si>
    <t>win':</t>
    <phoneticPr fontId="2" type="noConversion"/>
  </si>
  <si>
    <t>psar_{'C',  [('delta', 0.4,  -1),  ('delta', 0.2,  3)]}_[7,  35]_5</t>
  </si>
  <si>
    <t>psar_{'C',  [('delta', 0.4,  -1),  ('delta', 0.2,  3)]}_[7,  35]_4</t>
  </si>
  <si>
    <t>psar_{'C',  [('delta', 0.4,  -1),  ('delta', 0.2,  3)]}_[21,  49]_5</t>
  </si>
  <si>
    <t>psar_{'C',  [('delta', 0.4,  -1),  ('delta', 0.2,  2)]}_[21,  49]_1</t>
  </si>
  <si>
    <t>psar_{'C',  [('delta', 0.5,  -1),  ('delta', 0.3,  2)]}_[21,  49]_5</t>
  </si>
  <si>
    <t>psar_{'C',  [('delta', 0.5,  -1),  ('delta', 0.3,  2)]}_[7,  35]_4</t>
  </si>
  <si>
    <t>stoch_{'C',  [('delta', 0.4,  -1),  ('delta', 0.2,  3)]}_[35,  70]_1</t>
  </si>
  <si>
    <t>psar_{'C',  [('delta', 0.4,  -1),  ('delta', 0.2,  3)]}_[21,  49]_4</t>
  </si>
  <si>
    <t>psar_{'C',  [('delta', 0.5,  -1),  ('delta', 0.3,  2)]}_[7,  35]_5</t>
  </si>
  <si>
    <t>psar_{'C',  [('delta', 0.4,  -1),  ('delta', 0.2,  2)]}_[7,  35]_3</t>
  </si>
  <si>
    <t>psar_{'C',  [('delta', 0.5,  -1),  ('delta', 0.3,  2)]}_[21,  49]_3</t>
  </si>
  <si>
    <t>psar_{'C',  [('delta', 0.4,  -1),  ('delta', 0.2,  2)]}_[7,  35]_2</t>
  </si>
  <si>
    <t>psar_{'C',  [('delta', 0.3,  -1),  ('delta', 0.15,  3)]}_[21,  49]_4</t>
  </si>
  <si>
    <t>psar_{'C',  [('delta', 0.5,  -1),  ('delta', 0.3,  2)]}_[21,  49]_4</t>
  </si>
  <si>
    <t>psar_{'C',  [('delta', 0.5,  -1),  ('delta', 0.3,  2)]}_[7,  35]_3</t>
  </si>
  <si>
    <t>psar_{'C',  [('delta', 0.4,  -1),  ('delta', 0.2,  2)]}_[7,  35]_5</t>
  </si>
  <si>
    <t>psar_{'C',  [('delta', 0.3,  -1),  ('delta', 0.15,  2)]}_[35,  70]_4</t>
  </si>
  <si>
    <t>psar_{'C',  [('delta', 0.3,  -1),  ('delta', 0.15,  3)]}_[21,  49]_2</t>
  </si>
  <si>
    <t>psar_{'C',  [('delta', 0.4,  -1),  ('delta', 0.2,  3)]}_[7,  35]_1</t>
  </si>
  <si>
    <t>psar_{'C',  [('delta', 0.5,  -1),  ('delta', 0.3,  2)]}_[35,  70]_3</t>
  </si>
  <si>
    <t>psar_{'C',  [('delta', 0.3,  -1),  ('delta', 0.15,  2)]}_[35,  70]_5</t>
  </si>
  <si>
    <t>bbands_{'C',  [('delta', 0.4,  -1),  ('delta', 0.2,  2)]}_[7,  35]_5</t>
  </si>
  <si>
    <t>psar_{'C',  [('delta', 0.3,  -1),  ('delta', 0.15,  2)]}_[7,  35]_1</t>
  </si>
  <si>
    <t>psar_{'C',  [('delta', 0.4,  -1),  ('delta', 0.2,  2)]}_[35,  70]_1</t>
  </si>
  <si>
    <t>psar_{'C',  [('delta', 0.4,  -1),  ('delta', 0.2,  3)]}_[35,  70]_5</t>
  </si>
  <si>
    <t>psar_{'C',  [('delta', 0.3,  -1),  ('delta', 0.15,  3)]}_[35,  70]_5</t>
  </si>
  <si>
    <t>psar_{'C',  [('delta', 0.3,  -1),  ('delta', 0.15,  3)]}_[21,  49]_5</t>
  </si>
  <si>
    <t>psar_{'C',  [('delta', 0.4,  -1),  ('delta', 0.2,  2)]}_[7,  35]_1</t>
  </si>
  <si>
    <t>psar_{'C',  [('delta', 0.4,  -1),  ('delta', 0.2,  3)]}_[35,  70]_4</t>
  </si>
  <si>
    <t>psar_{'C',  [('delta', 0.3,  -1),  ('delta', 0.15,  3)]}_[21,  49]_3</t>
  </si>
  <si>
    <t>psar_{'C',  [('delta', 0.5,  -1),  ('delta', 0.3,  2)]}_[35,  70]_1</t>
  </si>
  <si>
    <t>psar_{'C',  [('delta', 0.3,  -1),  ('delta', 0.15,  2)]}_[7,  35]_2</t>
  </si>
  <si>
    <t>psar_{'C',  [('delta', 0.4,  -1),  ('delta', 0.2,  2)]}_[7,  35]_4</t>
  </si>
  <si>
    <t>psar_{'C',  [('delta', 0.3,  -1),  ('delta', 0.15,  2)]}_[35,  70]_3</t>
  </si>
  <si>
    <t>psar_{'C',  [('delta', 0.4,  -1),  ('delta', 0.2,  2)]}_[21,  49]_3</t>
  </si>
  <si>
    <t>psar_{'C',  [('delta', 0.5,  -1),  ('delta', 0.3,  2)]}_[35,  70]_2</t>
  </si>
  <si>
    <t>psar_{'C',  [('delta', 0.3,  -1),  ('delta', 0.15,  2)]}_[21,  49]_3</t>
  </si>
  <si>
    <t>psar_{'C',  [('delta', 0.3,  -1),  ('delta', 0.15,  2)]}_[7,  35]_3</t>
  </si>
  <si>
    <t>psar_{'C',  [('delta', 0.4,  -1),  ('delta', 0.2,  3)]}_[7,  35]_2</t>
  </si>
  <si>
    <t>psar_{'C',  [('delta', 0.3,  -1),  ('delta', 0.15,  3)]}_[7,  35]_4</t>
  </si>
  <si>
    <t>psar_{'C',  [('delta', 0.4,  -1),  ('delta', 0.2,  3)]}_[21,  49]_1</t>
  </si>
  <si>
    <t>psar_{'C',  [('delta', 0.5,  -1),  ('delta', 0.3,  2)]}_[21,  49]_2</t>
  </si>
  <si>
    <t>psar_{'C',  [('delta', 0.3,  -1),  ('delta', 0.15,  3)]}_[7,  35]_5</t>
  </si>
  <si>
    <t>psar_{'C',  [('delta', 0.3,  -1),  ('delta', 0.15,  3)]}_[35,  70]_2</t>
  </si>
  <si>
    <t>psar_{'C',  [('delta', 0.3,  -1),  ('delta', 0.15,  3)]}_[35,  70]_4</t>
  </si>
  <si>
    <t>psar_{'C',  [('delta', 0.3,  -1),  ('delta', 0.15,  2)]}_[7,  35]_5</t>
  </si>
  <si>
    <t>psar_{'C',  [('delta', 0.3,  -1),  ('delta', 0.15,  2)]}_[21,  49]_5</t>
  </si>
  <si>
    <t>psar_{'C',  [('delta', 0.5,  -1),  ('delta', 0.3,  2)]}_[21,  49]_1</t>
  </si>
  <si>
    <t>psar_{'C',  [('delta', 0.4,  -1),  ('delta', 0.2,  2)]}_[21,  49]_5</t>
  </si>
  <si>
    <t>stoch_{'C',  [('delta', 0.5,  -1),  ('delta', 0.3,  2)]}_[35,  70]_1</t>
  </si>
  <si>
    <t>psar_{'C',  [('delta', 0.4,  -1),  ('delta', 0.2,  3)]}_[35,  70]_2</t>
  </si>
  <si>
    <t>alltime_{'C',  [('delta', 0.4,  -1),  ('delta', 0.2,  3)]}_[21,  49]_4</t>
  </si>
  <si>
    <t>stoch_{'C',  [('delta', 0.4,  -1),  ('delta', 0.2,  2)]}_[7,  35]_1</t>
  </si>
  <si>
    <t>bbands_{'C',  [('delta', 0.4,  -1),  ('delta', 0.2,  2)]}_[7,  35]_3</t>
  </si>
  <si>
    <t>psar_{'C',  [('delta', 0.4,  -1),  ('delta', 0.2,  3)]}_[35,  70]_1</t>
  </si>
  <si>
    <t>psar_{'C',  [('delta', 0.4,  -1),  ('delta', 0.2,  3)]}_[21,  49]_2</t>
  </si>
  <si>
    <t>1. 콜풋불문 볼 너무 높을때는 X : 깨먹은 구간 보면 전부 고변동성 구간임</t>
    <phoneticPr fontId="2" type="noConversion"/>
  </si>
  <si>
    <t>[{'n'</t>
  </si>
  <si>
    <t xml:space="preserve">  'win'</t>
  </si>
  <si>
    <t xml:space="preserve">  'total_ret'</t>
  </si>
  <si>
    <t xml:space="preserve">  'avg_ret'</t>
  </si>
  <si>
    <t xml:space="preserve">  'avg_win'</t>
  </si>
  <si>
    <t xml:space="preserve">  'avg_loss'</t>
  </si>
  <si>
    <t xml:space="preserve">  'vol'</t>
  </si>
  <si>
    <t xml:space="preserve">  'single_strat_mdd'</t>
  </si>
  <si>
    <t xml:space="preserve">  'net_liq_mdd'</t>
  </si>
  <si>
    <t>00'))}]</t>
  </si>
  <si>
    <t xml:space="preserve"> (-2.78</t>
  </si>
  <si>
    <t>5. 과하게 콜 3개 살거없이 2개만</t>
    <phoneticPr fontId="2" type="noConversion"/>
  </si>
  <si>
    <t xml:space="preserve">   Name</t>
  </si>
  <si>
    <t>&gt; 승률 50% 언저리에 익손절 2:1 (크레딧 1.1~1.2에 들어가서 0.6익절 / 0.3손절) 전략으로 취급</t>
    <phoneticPr fontId="2" type="noConversion"/>
  </si>
  <si>
    <t>14, 35(근월물만)</t>
    <phoneticPr fontId="2" type="noConversion"/>
  </si>
  <si>
    <t>36, 70(차월물만)</t>
    <phoneticPr fontId="2" type="noConversion"/>
  </si>
  <si>
    <t>1) 구간별로 쪼개봤을때, 1주일 안쪽(8일 미만) 진입은 실익 없음 : 승률 저하</t>
    <phoneticPr fontId="2" type="noConversion"/>
  </si>
  <si>
    <t>&gt; 80% 이상에서는 진입 X</t>
    <phoneticPr fontId="2" type="noConversion"/>
  </si>
  <si>
    <t>2. DTE 선택 &gt; 근 차월물 구분은 크게 없어보임</t>
    <phoneticPr fontId="2" type="noConversion"/>
  </si>
  <si>
    <t>2) 그 외 구간은 큰 구분 없어보임 &gt; 14~35 / 36~70 구간 둘다 승률은 60% 수준, 차월물이 수익은 더 큼 &gt; 반반씩 진입할 것</t>
    <phoneticPr fontId="2" type="noConversion"/>
  </si>
  <si>
    <t>3. 중요!) 대부분의 손절 초과하는 손실 만기 직전/만기까지 홀딩하다가 발생 =&gt; 손절 안건드려도 마지노선 만기 전날 종가에 청산</t>
    <phoneticPr fontId="2" type="noConversion"/>
  </si>
  <si>
    <t>1. DTE비교</t>
    <phoneticPr fontId="2" type="noConversion"/>
  </si>
  <si>
    <t>6. 델타는 (0.4 0.2) 가 그 위나 그 아래 조합보다 제일 나음</t>
    <phoneticPr fontId="2" type="noConversion"/>
  </si>
  <si>
    <t>4. 추세추종으로 구현하는 차원에서 psar + exit 조건 적용이 다른 지표들 압도</t>
    <phoneticPr fontId="2" type="noConversion"/>
  </si>
  <si>
    <t xml:space="preserve"> (-7.400000000000002</t>
  </si>
  <si>
    <t xml:space="preserve">   2020-12-24   2020-12-29</t>
  </si>
  <si>
    <t xml:space="preserve">   2020-12-24   2021-01-06</t>
  </si>
  <si>
    <t xml:space="preserve"> Timestamp('2021-01-06 00</t>
  </si>
  <si>
    <t>2, 익절비교</t>
    <phoneticPr fontId="2" type="noConversion"/>
  </si>
  <si>
    <t>최대한 개기고 있는게 추세추종 컨셉에도 맞고 수익도 높음</t>
    <phoneticPr fontId="2" type="noConversion"/>
  </si>
  <si>
    <t>7. 익절금액 선택 : 14~16pt or exit 그 이상으로는 marginal 하게 증가하지 않음(데이터상 아예 추가수익 구간이 없음)</t>
    <phoneticPr fontId="2" type="noConversion"/>
  </si>
  <si>
    <t>8. 손절 : 금액기준 -2~-2.5 가 변곡점이긴 함 &gt; 계약당 -2pt?</t>
    <phoneticPr fontId="2" type="noConversion"/>
  </si>
  <si>
    <t>3. 손절비교</t>
    <phoneticPr fontId="2" type="noConversion"/>
  </si>
  <si>
    <t>(10, 12, 14, 16)</t>
    <phoneticPr fontId="2" type="noConversion"/>
  </si>
  <si>
    <t>(-1.5, -2, -2.5, -3)</t>
    <phoneticPr fontId="2" type="noConversion"/>
  </si>
  <si>
    <t>너무 개 쫄아서 0.5에 튀지 말고 -2정도까지 기다렸다가 청산</t>
    <phoneticPr fontId="2" type="noConversion"/>
  </si>
  <si>
    <t>9. 기타 운용 : 백스프레드 특성상 방향 거꾸로 가면 공짜인데 이때 그냥 청산?</t>
    <phoneticPr fontId="2" type="noConversion"/>
  </si>
  <si>
    <t>&gt; 청산하고 행사가 밑에서 다시 구축하는 방향 가능</t>
    <phoneticPr fontId="2" type="noConversion"/>
  </si>
  <si>
    <r>
      <t xml:space="preserve">7. 익절금액 선택 : </t>
    </r>
    <r>
      <rPr>
        <b/>
        <u/>
        <sz val="11"/>
        <color theme="4"/>
        <rFont val="맑은 고딕"/>
        <family val="3"/>
        <charset val="129"/>
        <scheme val="minor"/>
      </rPr>
      <t xml:space="preserve">14~16pt or exit </t>
    </r>
    <r>
      <rPr>
        <b/>
        <sz val="11"/>
        <color theme="4"/>
        <rFont val="맑은 고딕"/>
        <family val="3"/>
        <charset val="129"/>
        <scheme val="minor"/>
      </rPr>
      <t>그 이상으로는 marginal 하게 증가하지 않음(데이터상 아예 추가수익 구간이 없음) =&gt; 끝까지 발라먹는 컨셉으로 운용. 짧게 단타전략은 따로 구상</t>
    </r>
    <phoneticPr fontId="2" type="noConversion"/>
  </si>
  <si>
    <t>optimal 구간</t>
    <phoneticPr fontId="2" type="noConversion"/>
  </si>
  <si>
    <t>이익실현 14pt</t>
    <phoneticPr fontId="2" type="noConversion"/>
  </si>
  <si>
    <t>손절 2pt</t>
    <phoneticPr fontId="2" type="noConversion"/>
  </si>
  <si>
    <t>델타 40/20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</si>
</sst>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%"/>
  </numFmts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u/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180" fontId="0" fillId="0" borderId="0" xfId="1" applyNumberFormat="1" applyFont="1">
      <alignment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44823</xdr:rowOff>
    </xdr:from>
    <xdr:to>
      <xdr:col>9</xdr:col>
      <xdr:colOff>268700</xdr:colOff>
      <xdr:row>74</xdr:row>
      <xdr:rowOff>11771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31FB180-720E-07A2-951F-30C3E17F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29147"/>
          <a:ext cx="6409524" cy="4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E137-E13D-4270-9343-253DD78F8E49}">
  <dimension ref="A2:AJ214"/>
  <sheetViews>
    <sheetView zoomScale="85" zoomScaleNormal="85" workbookViewId="0">
      <selection activeCell="D17" sqref="D17"/>
    </sheetView>
  </sheetViews>
  <sheetFormatPr defaultRowHeight="16.5" x14ac:dyDescent="0.3"/>
  <cols>
    <col min="1" max="1" width="11.625" bestFit="1" customWidth="1"/>
    <col min="2" max="2" width="15.875" bestFit="1" customWidth="1"/>
    <col min="3" max="3" width="9.25" bestFit="1" customWidth="1"/>
    <col min="4" max="4" width="15.625" bestFit="1" customWidth="1"/>
    <col min="5" max="5" width="13.125" bestFit="1" customWidth="1"/>
    <col min="6" max="6" width="21.125" bestFit="1" customWidth="1"/>
    <col min="7" max="7" width="10.875" bestFit="1" customWidth="1"/>
    <col min="8" max="8" width="13" customWidth="1"/>
    <col min="9" max="9" width="10.5" bestFit="1" customWidth="1"/>
    <col min="10" max="10" width="10.125" customWidth="1"/>
    <col min="11" max="11" width="9" customWidth="1"/>
    <col min="12" max="12" width="53.625" bestFit="1" customWidth="1"/>
    <col min="13" max="13" width="5.875" bestFit="1" customWidth="1"/>
    <col min="14" max="14" width="5.625" bestFit="1" customWidth="1"/>
    <col min="15" max="15" width="5.875" bestFit="1" customWidth="1"/>
    <col min="16" max="16" width="9.5" bestFit="1" customWidth="1"/>
    <col min="17" max="17" width="23.25" bestFit="1" customWidth="1"/>
    <col min="18" max="18" width="23.25" customWidth="1"/>
    <col min="19" max="19" width="8.625" bestFit="1" customWidth="1"/>
    <col min="20" max="20" width="24.375" bestFit="1" customWidth="1"/>
    <col min="21" max="21" width="9.375" bestFit="1" customWidth="1"/>
    <col min="22" max="22" width="20.25" bestFit="1" customWidth="1"/>
    <col min="23" max="23" width="9.5" bestFit="1" customWidth="1"/>
    <col min="24" max="24" width="22.25" bestFit="1" customWidth="1"/>
    <col min="25" max="25" width="5.125" bestFit="1" customWidth="1"/>
    <col min="26" max="26" width="21.375" bestFit="1" customWidth="1"/>
    <col min="27" max="27" width="17.375" bestFit="1" customWidth="1"/>
    <col min="28" max="28" width="21.125" bestFit="1" customWidth="1"/>
    <col min="29" max="29" width="11.125" bestFit="1" customWidth="1"/>
    <col min="30" max="30" width="11.5" bestFit="1" customWidth="1"/>
    <col min="31" max="31" width="10.25" bestFit="1" customWidth="1"/>
    <col min="32" max="32" width="13.125" bestFit="1" customWidth="1"/>
    <col min="33" max="33" width="21.125" bestFit="1" customWidth="1"/>
    <col min="34" max="34" width="10.875" bestFit="1" customWidth="1"/>
    <col min="35" max="35" width="11.5" bestFit="1" customWidth="1"/>
    <col min="36" max="36" width="10.5" bestFit="1" customWidth="1"/>
  </cols>
  <sheetData>
    <row r="2" spans="1:36" x14ac:dyDescent="0.3">
      <c r="A2" t="s">
        <v>1123</v>
      </c>
      <c r="B2" t="s">
        <v>1124</v>
      </c>
      <c r="C2" t="s">
        <v>1125</v>
      </c>
      <c r="D2" t="s">
        <v>1126</v>
      </c>
      <c r="E2" t="s">
        <v>1127</v>
      </c>
      <c r="F2" t="s">
        <v>1125</v>
      </c>
      <c r="G2" t="s">
        <v>1128</v>
      </c>
      <c r="H2" t="s">
        <v>1139</v>
      </c>
      <c r="I2" t="s">
        <v>1140</v>
      </c>
      <c r="J2" t="str">
        <f>CONCATENATE(A2,B2,C2,D2,E2,F2,G2,H2,I2)</f>
        <v>alltime_{'C':['number',0,1),'number',2.5,-1)]}_[35,70]_1{'n':</v>
      </c>
      <c r="K2" t="str">
        <f>_xlfn.TEXTBEFORE(J2, "{'n':")</f>
        <v>alltime_{'C':['number',0,1),'number',2.5,-1)]}_[35,70]_1</v>
      </c>
      <c r="L2" t="s">
        <v>1148</v>
      </c>
      <c r="M2" t="s">
        <v>60</v>
      </c>
      <c r="N2" t="s">
        <v>2</v>
      </c>
      <c r="O2" t="s">
        <v>61</v>
      </c>
      <c r="P2" t="s">
        <v>4</v>
      </c>
      <c r="Q2" t="s">
        <v>62</v>
      </c>
      <c r="R2">
        <f t="shared" ref="R2:R65" si="0">IFERROR(VALUE(_xlfn.TEXTBEFORE(Q2, ",")), 0)</f>
        <v>130.14468102157599</v>
      </c>
      <c r="S2" t="s">
        <v>6</v>
      </c>
      <c r="T2" t="s">
        <v>63</v>
      </c>
      <c r="U2" t="s">
        <v>8</v>
      </c>
      <c r="V2" t="s">
        <v>64</v>
      </c>
      <c r="W2" t="s">
        <v>10</v>
      </c>
      <c r="X2" t="s">
        <v>65</v>
      </c>
      <c r="Y2" t="s">
        <v>12</v>
      </c>
      <c r="Z2" t="s">
        <v>66</v>
      </c>
      <c r="AA2" t="s">
        <v>14</v>
      </c>
      <c r="AB2" t="s">
        <v>944</v>
      </c>
      <c r="AC2" s="1">
        <v>44200</v>
      </c>
      <c r="AD2" s="1">
        <v>44204</v>
      </c>
    </row>
    <row r="3" spans="1:36" x14ac:dyDescent="0.3">
      <c r="A3" t="s">
        <v>1123</v>
      </c>
      <c r="B3" t="s">
        <v>1124</v>
      </c>
      <c r="C3" t="s">
        <v>1125</v>
      </c>
      <c r="D3" t="s">
        <v>1128</v>
      </c>
      <c r="E3" t="s">
        <v>1127</v>
      </c>
      <c r="F3" t="s">
        <v>1125</v>
      </c>
      <c r="G3" t="s">
        <v>923</v>
      </c>
      <c r="H3" t="s">
        <v>1139</v>
      </c>
      <c r="I3" t="s">
        <v>1140</v>
      </c>
      <c r="J3" t="str">
        <f t="shared" ref="J3:J59" si="1">CONCATENATE(A3,B3,C3,D3,E3,F3,G3,H3,I3)</f>
        <v>alltime_{'C':['number',2.5,1),'number',5,-1)]}_[35,70]_1{'n':</v>
      </c>
      <c r="K3" t="str">
        <f t="shared" ref="K3:K59" si="2">_xlfn.TEXTBEFORE(J3, "{'n':")</f>
        <v>alltime_{'C':['number',2.5,1),'number',5,-1)]}_[35,70]_1</v>
      </c>
      <c r="L3" t="s">
        <v>1149</v>
      </c>
      <c r="M3" t="s">
        <v>60</v>
      </c>
      <c r="N3" t="s">
        <v>2</v>
      </c>
      <c r="O3" t="s">
        <v>137</v>
      </c>
      <c r="P3" t="s">
        <v>4</v>
      </c>
      <c r="Q3" t="s">
        <v>138</v>
      </c>
      <c r="R3">
        <f t="shared" si="0"/>
        <v>124.991331273105</v>
      </c>
      <c r="S3" t="s">
        <v>6</v>
      </c>
      <c r="T3" t="s">
        <v>139</v>
      </c>
      <c r="U3" t="s">
        <v>8</v>
      </c>
      <c r="V3" t="s">
        <v>140</v>
      </c>
      <c r="W3" t="s">
        <v>10</v>
      </c>
      <c r="X3" t="s">
        <v>141</v>
      </c>
      <c r="Y3" t="s">
        <v>12</v>
      </c>
      <c r="Z3" t="s">
        <v>142</v>
      </c>
      <c r="AA3" t="s">
        <v>14</v>
      </c>
      <c r="AB3" t="s">
        <v>955</v>
      </c>
      <c r="AC3" t="s">
        <v>927</v>
      </c>
      <c r="AD3" t="s">
        <v>932</v>
      </c>
      <c r="AE3" t="s">
        <v>15</v>
      </c>
      <c r="AF3" t="s">
        <v>16</v>
      </c>
      <c r="AG3" t="s">
        <v>956</v>
      </c>
      <c r="AH3" t="s">
        <v>927</v>
      </c>
      <c r="AI3" t="s">
        <v>957</v>
      </c>
      <c r="AJ3" t="s">
        <v>17</v>
      </c>
    </row>
    <row r="4" spans="1:36" x14ac:dyDescent="0.3">
      <c r="A4" t="s">
        <v>1123</v>
      </c>
      <c r="B4" t="s">
        <v>1124</v>
      </c>
      <c r="C4" t="s">
        <v>1125</v>
      </c>
      <c r="D4" t="s">
        <v>1126</v>
      </c>
      <c r="E4" t="s">
        <v>1127</v>
      </c>
      <c r="F4" t="s">
        <v>1125</v>
      </c>
      <c r="G4" t="s">
        <v>1128</v>
      </c>
      <c r="H4" t="s">
        <v>1134</v>
      </c>
      <c r="I4" t="s">
        <v>1135</v>
      </c>
      <c r="J4" t="str">
        <f t="shared" si="1"/>
        <v>alltime_{'C':['number',0,1),'number',2.5,-1)]}_[21,49]_1{'n':</v>
      </c>
      <c r="K4" t="str">
        <f t="shared" si="2"/>
        <v>alltime_{'C':['number',0,1),'number',2.5,-1)]}_[21,49]_1</v>
      </c>
      <c r="L4" t="s">
        <v>1150</v>
      </c>
      <c r="M4" t="s">
        <v>36</v>
      </c>
      <c r="N4" t="s">
        <v>2</v>
      </c>
      <c r="O4" t="s">
        <v>37</v>
      </c>
      <c r="P4" t="s">
        <v>4</v>
      </c>
      <c r="Q4" t="s">
        <v>38</v>
      </c>
      <c r="R4">
        <f t="shared" si="0"/>
        <v>38.267833457275202</v>
      </c>
      <c r="S4" t="s">
        <v>6</v>
      </c>
      <c r="T4" t="s">
        <v>39</v>
      </c>
      <c r="U4" t="s">
        <v>8</v>
      </c>
      <c r="V4" t="s">
        <v>40</v>
      </c>
      <c r="W4" t="s">
        <v>10</v>
      </c>
      <c r="X4" t="s">
        <v>41</v>
      </c>
      <c r="Y4" t="s">
        <v>12</v>
      </c>
      <c r="Z4" t="s">
        <v>42</v>
      </c>
      <c r="AA4" t="s">
        <v>14</v>
      </c>
      <c r="AB4" t="s">
        <v>926</v>
      </c>
      <c r="AC4" t="s">
        <v>927</v>
      </c>
      <c r="AD4" t="s">
        <v>928</v>
      </c>
      <c r="AE4" t="s">
        <v>15</v>
      </c>
      <c r="AF4" t="s">
        <v>16</v>
      </c>
      <c r="AG4" t="s">
        <v>939</v>
      </c>
      <c r="AH4" t="s">
        <v>927</v>
      </c>
      <c r="AI4" t="s">
        <v>940</v>
      </c>
      <c r="AJ4" t="s">
        <v>17</v>
      </c>
    </row>
    <row r="5" spans="1:36" s="2" customFormat="1" x14ac:dyDescent="0.3">
      <c r="A5" s="2" t="s">
        <v>1145</v>
      </c>
      <c r="B5" s="2" t="s">
        <v>1124</v>
      </c>
      <c r="C5" s="2" t="s">
        <v>1125</v>
      </c>
      <c r="D5" s="2" t="s">
        <v>1128</v>
      </c>
      <c r="E5" s="2" t="s">
        <v>1127</v>
      </c>
      <c r="F5" s="2" t="s">
        <v>1125</v>
      </c>
      <c r="G5" s="2" t="s">
        <v>923</v>
      </c>
      <c r="H5" s="2" t="s">
        <v>1139</v>
      </c>
      <c r="I5" s="2" t="s">
        <v>1140</v>
      </c>
      <c r="J5" s="2" t="str">
        <f t="shared" si="1"/>
        <v>bbands_{'C':['number',2.5,1),'number',5,-1)]}_[35,70]_1{'n':</v>
      </c>
      <c r="K5" s="2" t="str">
        <f t="shared" si="2"/>
        <v>bbands_{'C':['number',2.5,1),'number',5,-1)]}_[35,70]_1</v>
      </c>
      <c r="L5" s="2" t="s">
        <v>1151</v>
      </c>
      <c r="M5" s="2" t="s">
        <v>347</v>
      </c>
      <c r="N5" s="2" t="s">
        <v>2</v>
      </c>
      <c r="O5" s="2" t="s">
        <v>348</v>
      </c>
      <c r="P5" s="2" t="s">
        <v>4</v>
      </c>
      <c r="Q5" s="2" t="s">
        <v>413</v>
      </c>
      <c r="R5" s="2">
        <f t="shared" si="0"/>
        <v>36.292922892013799</v>
      </c>
      <c r="S5" s="2" t="s">
        <v>6</v>
      </c>
      <c r="T5" s="2" t="s">
        <v>414</v>
      </c>
      <c r="U5" s="2" t="s">
        <v>8</v>
      </c>
      <c r="V5" s="2" t="s">
        <v>415</v>
      </c>
      <c r="W5" s="2" t="s">
        <v>10</v>
      </c>
      <c r="X5" s="2" t="s">
        <v>416</v>
      </c>
      <c r="Y5" s="2" t="s">
        <v>12</v>
      </c>
      <c r="Z5" s="2" t="s">
        <v>417</v>
      </c>
      <c r="AA5" s="2" t="s">
        <v>14</v>
      </c>
      <c r="AB5" s="2" t="s">
        <v>1024</v>
      </c>
      <c r="AC5" s="3">
        <v>44319</v>
      </c>
      <c r="AD5" s="3">
        <v>44320</v>
      </c>
    </row>
    <row r="6" spans="1:36" x14ac:dyDescent="0.3">
      <c r="A6" t="s">
        <v>1123</v>
      </c>
      <c r="B6" t="s">
        <v>1124</v>
      </c>
      <c r="C6" t="s">
        <v>1125</v>
      </c>
      <c r="D6" t="s">
        <v>1144</v>
      </c>
      <c r="E6" t="s">
        <v>1127</v>
      </c>
      <c r="F6" t="s">
        <v>1125</v>
      </c>
      <c r="G6" t="s">
        <v>922</v>
      </c>
      <c r="H6" t="s">
        <v>1139</v>
      </c>
      <c r="I6" t="s">
        <v>1140</v>
      </c>
      <c r="J6" t="str">
        <f t="shared" si="1"/>
        <v>alltime_{'C':['number',7.5,1),'number',10,-1)]}_[35,70]_1{'n':</v>
      </c>
      <c r="K6" t="str">
        <f t="shared" si="2"/>
        <v>alltime_{'C':['number',7.5,1),'number',10,-1)]}_[35,70]_1</v>
      </c>
      <c r="L6" t="s">
        <v>1152</v>
      </c>
      <c r="M6" t="s">
        <v>60</v>
      </c>
      <c r="N6" t="s">
        <v>2</v>
      </c>
      <c r="O6" t="s">
        <v>281</v>
      </c>
      <c r="P6" t="s">
        <v>4</v>
      </c>
      <c r="Q6" t="s">
        <v>282</v>
      </c>
      <c r="R6">
        <f t="shared" si="0"/>
        <v>29.0472044091734</v>
      </c>
      <c r="S6" t="s">
        <v>6</v>
      </c>
      <c r="T6" t="s">
        <v>283</v>
      </c>
      <c r="U6" t="s">
        <v>8</v>
      </c>
      <c r="V6" t="s">
        <v>284</v>
      </c>
      <c r="W6" t="s">
        <v>10</v>
      </c>
      <c r="X6" t="s">
        <v>285</v>
      </c>
      <c r="Y6" t="s">
        <v>12</v>
      </c>
      <c r="Z6" t="s">
        <v>286</v>
      </c>
      <c r="AA6" t="s">
        <v>14</v>
      </c>
      <c r="AB6" t="s">
        <v>986</v>
      </c>
      <c r="AC6" t="s">
        <v>927</v>
      </c>
      <c r="AD6" t="s">
        <v>987</v>
      </c>
      <c r="AE6" t="s">
        <v>15</v>
      </c>
      <c r="AF6" t="s">
        <v>16</v>
      </c>
      <c r="AG6" t="s">
        <v>988</v>
      </c>
      <c r="AH6" t="s">
        <v>927</v>
      </c>
      <c r="AI6" t="s">
        <v>957</v>
      </c>
      <c r="AJ6" t="s">
        <v>17</v>
      </c>
    </row>
    <row r="7" spans="1:36" s="2" customFormat="1" x14ac:dyDescent="0.3">
      <c r="A7" s="2" t="s">
        <v>1145</v>
      </c>
      <c r="B7" s="2" t="s">
        <v>1124</v>
      </c>
      <c r="C7" s="2" t="s">
        <v>1125</v>
      </c>
      <c r="D7" s="2" t="s">
        <v>1126</v>
      </c>
      <c r="E7" s="2" t="s">
        <v>1127</v>
      </c>
      <c r="F7" s="2" t="s">
        <v>1125</v>
      </c>
      <c r="G7" s="2" t="s">
        <v>1128</v>
      </c>
      <c r="H7" s="2" t="s">
        <v>1134</v>
      </c>
      <c r="I7" s="2" t="s">
        <v>1135</v>
      </c>
      <c r="J7" s="2" t="str">
        <f t="shared" si="1"/>
        <v>bbands_{'C':['number',0,1),'number',2.5,-1)]}_[21,49]_1{'n':</v>
      </c>
      <c r="K7" s="2" t="str">
        <f t="shared" si="2"/>
        <v>bbands_{'C':['number',0,1),'number',2.5,-1)]}_[21,49]_1</v>
      </c>
      <c r="L7" s="2" t="s">
        <v>1153</v>
      </c>
      <c r="M7" s="2" t="s">
        <v>322</v>
      </c>
      <c r="N7" s="2" t="s">
        <v>2</v>
      </c>
      <c r="O7" s="2" t="s">
        <v>323</v>
      </c>
      <c r="P7" s="2" t="s">
        <v>4</v>
      </c>
      <c r="Q7" s="2" t="s">
        <v>324</v>
      </c>
      <c r="R7" s="2">
        <f t="shared" si="0"/>
        <v>27.166424943649901</v>
      </c>
      <c r="S7" s="2" t="s">
        <v>6</v>
      </c>
      <c r="T7" s="2" t="s">
        <v>325</v>
      </c>
      <c r="U7" s="2" t="s">
        <v>8</v>
      </c>
      <c r="V7" s="2" t="s">
        <v>326</v>
      </c>
      <c r="W7" s="2" t="s">
        <v>10</v>
      </c>
      <c r="X7" s="2" t="s">
        <v>327</v>
      </c>
      <c r="Y7" s="2" t="s">
        <v>12</v>
      </c>
      <c r="Z7" s="2" t="s">
        <v>328</v>
      </c>
      <c r="AA7" s="2" t="s">
        <v>14</v>
      </c>
      <c r="AB7" s="2" t="s">
        <v>1000</v>
      </c>
      <c r="AC7" s="2" t="s">
        <v>927</v>
      </c>
      <c r="AD7" s="2" t="s">
        <v>1001</v>
      </c>
      <c r="AE7" s="2" t="s">
        <v>15</v>
      </c>
      <c r="AF7" s="2" t="s">
        <v>16</v>
      </c>
      <c r="AG7" s="2" t="s">
        <v>1002</v>
      </c>
      <c r="AH7" s="2" t="s">
        <v>927</v>
      </c>
      <c r="AI7" s="2" t="s">
        <v>950</v>
      </c>
      <c r="AJ7" s="2" t="s">
        <v>17</v>
      </c>
    </row>
    <row r="8" spans="1:36" x14ac:dyDescent="0.3">
      <c r="A8" t="s">
        <v>1123</v>
      </c>
      <c r="B8" t="s">
        <v>1124</v>
      </c>
      <c r="C8" t="s">
        <v>1125</v>
      </c>
      <c r="D8" t="s">
        <v>923</v>
      </c>
      <c r="E8" t="s">
        <v>1127</v>
      </c>
      <c r="F8" t="s">
        <v>1125</v>
      </c>
      <c r="G8" t="s">
        <v>1144</v>
      </c>
      <c r="H8" t="s">
        <v>1139</v>
      </c>
      <c r="I8" t="s">
        <v>1140</v>
      </c>
      <c r="J8" t="str">
        <f t="shared" si="1"/>
        <v>alltime_{'C':['number',5,1),'number',7.5,-1)]}_[35,70]_1{'n':</v>
      </c>
      <c r="K8" t="str">
        <f t="shared" si="2"/>
        <v>alltime_{'C':['number',5,1),'number',7.5,-1)]}_[35,70]_1</v>
      </c>
      <c r="L8" t="s">
        <v>1154</v>
      </c>
      <c r="M8" t="s">
        <v>60</v>
      </c>
      <c r="N8" t="s">
        <v>2</v>
      </c>
      <c r="O8" t="s">
        <v>209</v>
      </c>
      <c r="P8" t="s">
        <v>4</v>
      </c>
      <c r="Q8" t="s">
        <v>210</v>
      </c>
      <c r="R8">
        <f t="shared" si="0"/>
        <v>24.348239372627202</v>
      </c>
      <c r="S8" t="s">
        <v>6</v>
      </c>
      <c r="T8" t="s">
        <v>211</v>
      </c>
      <c r="U8" t="s">
        <v>8</v>
      </c>
      <c r="V8" t="s">
        <v>212</v>
      </c>
      <c r="W8" t="s">
        <v>10</v>
      </c>
      <c r="X8" t="s">
        <v>213</v>
      </c>
      <c r="Y8" t="s">
        <v>12</v>
      </c>
      <c r="Z8" t="s">
        <v>214</v>
      </c>
      <c r="AA8" t="s">
        <v>14</v>
      </c>
      <c r="AB8" t="s">
        <v>967</v>
      </c>
      <c r="AC8" s="1">
        <v>44202</v>
      </c>
      <c r="AD8" s="1">
        <v>44208</v>
      </c>
    </row>
    <row r="9" spans="1:36" s="2" customFormat="1" x14ac:dyDescent="0.3">
      <c r="A9" s="2" t="s">
        <v>1145</v>
      </c>
      <c r="B9" s="2" t="s">
        <v>1124</v>
      </c>
      <c r="C9" s="2" t="s">
        <v>1125</v>
      </c>
      <c r="D9" s="2" t="s">
        <v>1126</v>
      </c>
      <c r="E9" s="2" t="s">
        <v>1127</v>
      </c>
      <c r="F9" s="2" t="s">
        <v>1125</v>
      </c>
      <c r="G9" s="2" t="s">
        <v>1128</v>
      </c>
      <c r="H9" s="2" t="s">
        <v>1139</v>
      </c>
      <c r="I9" s="2" t="s">
        <v>1140</v>
      </c>
      <c r="J9" s="2" t="str">
        <f t="shared" si="1"/>
        <v>bbands_{'C':['number',0,1),'number',2.5,-1)]}_[35,70]_1{'n':</v>
      </c>
      <c r="K9" s="2" t="str">
        <f t="shared" si="2"/>
        <v>bbands_{'C':['number',0,1),'number',2.5,-1)]}_[35,70]_1</v>
      </c>
      <c r="L9" s="2" t="s">
        <v>1155</v>
      </c>
      <c r="M9" s="2" t="s">
        <v>347</v>
      </c>
      <c r="N9" s="2" t="s">
        <v>2</v>
      </c>
      <c r="O9" s="2" t="s">
        <v>348</v>
      </c>
      <c r="P9" s="2" t="s">
        <v>4</v>
      </c>
      <c r="Q9" s="2" t="s">
        <v>349</v>
      </c>
      <c r="R9" s="2">
        <f t="shared" si="0"/>
        <v>23.729230269402901</v>
      </c>
      <c r="S9" s="2" t="s">
        <v>6</v>
      </c>
      <c r="T9" s="2" t="s">
        <v>350</v>
      </c>
      <c r="U9" s="2" t="s">
        <v>8</v>
      </c>
      <c r="V9" s="2" t="s">
        <v>351</v>
      </c>
      <c r="W9" s="2" t="s">
        <v>10</v>
      </c>
      <c r="X9" s="2" t="s">
        <v>352</v>
      </c>
      <c r="Y9" s="2" t="s">
        <v>12</v>
      </c>
      <c r="Z9" s="2" t="s">
        <v>353</v>
      </c>
      <c r="AA9" s="2" t="s">
        <v>14</v>
      </c>
      <c r="AB9" s="2" t="s">
        <v>1006</v>
      </c>
      <c r="AC9" s="2" t="s">
        <v>927</v>
      </c>
      <c r="AD9" s="2" t="s">
        <v>1007</v>
      </c>
      <c r="AE9" s="2" t="s">
        <v>15</v>
      </c>
      <c r="AF9" s="2" t="s">
        <v>16</v>
      </c>
      <c r="AG9" s="2" t="s">
        <v>1008</v>
      </c>
      <c r="AH9" s="2" t="s">
        <v>927</v>
      </c>
      <c r="AI9" s="2" t="s">
        <v>1009</v>
      </c>
      <c r="AJ9" s="2" t="s">
        <v>17</v>
      </c>
    </row>
    <row r="10" spans="1:36" s="2" customFormat="1" x14ac:dyDescent="0.3">
      <c r="A10" s="2" t="s">
        <v>1145</v>
      </c>
      <c r="B10" s="2" t="s">
        <v>1124</v>
      </c>
      <c r="C10" s="2" t="s">
        <v>1125</v>
      </c>
      <c r="D10" s="2" t="s">
        <v>923</v>
      </c>
      <c r="E10" s="2" t="s">
        <v>1127</v>
      </c>
      <c r="F10" s="2" t="s">
        <v>1125</v>
      </c>
      <c r="G10" s="2" t="s">
        <v>1144</v>
      </c>
      <c r="H10" s="2" t="s">
        <v>1134</v>
      </c>
      <c r="I10" s="2" t="s">
        <v>1135</v>
      </c>
      <c r="J10" s="2" t="str">
        <f t="shared" si="1"/>
        <v>bbands_{'C':['number',5,1),'number',7.5,-1)]}_[21,49]_1{'n':</v>
      </c>
      <c r="K10" s="2" t="str">
        <f t="shared" si="2"/>
        <v>bbands_{'C':['number',5,1),'number',7.5,-1)]}_[21,49]_1</v>
      </c>
      <c r="L10" s="2" t="s">
        <v>1156</v>
      </c>
      <c r="M10" s="2" t="s">
        <v>322</v>
      </c>
      <c r="N10" s="2" t="s">
        <v>2</v>
      </c>
      <c r="O10" s="2" t="s">
        <v>360</v>
      </c>
      <c r="P10" s="2" t="s">
        <v>4</v>
      </c>
      <c r="Q10" s="2" t="s">
        <v>457</v>
      </c>
      <c r="R10" s="2">
        <f t="shared" si="0"/>
        <v>20.9499999999999</v>
      </c>
      <c r="S10" s="2" t="s">
        <v>6</v>
      </c>
      <c r="T10" s="2" t="s">
        <v>458</v>
      </c>
      <c r="U10" s="2" t="s">
        <v>8</v>
      </c>
      <c r="V10" s="2" t="s">
        <v>459</v>
      </c>
      <c r="W10" s="2" t="s">
        <v>10</v>
      </c>
      <c r="X10" s="2" t="s">
        <v>460</v>
      </c>
      <c r="Y10" s="2" t="s">
        <v>12</v>
      </c>
      <c r="Z10" s="2" t="s">
        <v>461</v>
      </c>
      <c r="AA10" s="2" t="s">
        <v>14</v>
      </c>
      <c r="AB10" s="2" t="s">
        <v>1033</v>
      </c>
      <c r="AC10" s="2" t="s">
        <v>927</v>
      </c>
      <c r="AD10" s="2" t="s">
        <v>1034</v>
      </c>
      <c r="AE10" s="2" t="s">
        <v>15</v>
      </c>
      <c r="AF10" s="2" t="s">
        <v>16</v>
      </c>
      <c r="AG10" s="2" t="s">
        <v>924</v>
      </c>
      <c r="AH10" s="2" t="s">
        <v>927</v>
      </c>
      <c r="AI10" s="2" t="s">
        <v>950</v>
      </c>
      <c r="AJ10" s="2" t="s">
        <v>17</v>
      </c>
    </row>
    <row r="11" spans="1:36" s="2" customFormat="1" x14ac:dyDescent="0.3">
      <c r="A11" s="2" t="s">
        <v>1146</v>
      </c>
      <c r="B11" s="2" t="s">
        <v>1124</v>
      </c>
      <c r="C11" s="2" t="s">
        <v>1125</v>
      </c>
      <c r="D11" s="2" t="s">
        <v>1128</v>
      </c>
      <c r="E11" s="2" t="s">
        <v>1127</v>
      </c>
      <c r="F11" s="2" t="s">
        <v>1125</v>
      </c>
      <c r="G11" s="2" t="s">
        <v>923</v>
      </c>
      <c r="H11" s="2" t="s">
        <v>1139</v>
      </c>
      <c r="I11" s="2" t="s">
        <v>1140</v>
      </c>
      <c r="J11" s="2" t="str">
        <f t="shared" si="1"/>
        <v>psar_{'C':['number',2.5,1),'number',5,-1)]}_[35,70]_1{'n':</v>
      </c>
      <c r="K11" s="2" t="str">
        <f t="shared" si="2"/>
        <v>psar_{'C':['number',2.5,1),'number',5,-1)]}_[35,70]_1</v>
      </c>
      <c r="L11" s="2" t="s">
        <v>1157</v>
      </c>
      <c r="M11" s="2" t="s">
        <v>613</v>
      </c>
      <c r="N11" s="2" t="s">
        <v>2</v>
      </c>
      <c r="O11" s="2" t="s">
        <v>341</v>
      </c>
      <c r="P11" s="2" t="s">
        <v>4</v>
      </c>
      <c r="Q11" s="2" t="s">
        <v>667</v>
      </c>
      <c r="R11" s="2">
        <f t="shared" si="0"/>
        <v>17.3570816523894</v>
      </c>
      <c r="S11" s="2" t="s">
        <v>6</v>
      </c>
      <c r="T11" s="2" t="s">
        <v>668</v>
      </c>
      <c r="U11" s="2" t="s">
        <v>8</v>
      </c>
      <c r="V11" s="2" t="s">
        <v>669</v>
      </c>
      <c r="W11" s="2" t="s">
        <v>10</v>
      </c>
      <c r="X11" s="2" t="s">
        <v>670</v>
      </c>
      <c r="Y11" s="2" t="s">
        <v>12</v>
      </c>
      <c r="Z11" s="2" t="s">
        <v>671</v>
      </c>
      <c r="AA11" s="2" t="s">
        <v>14</v>
      </c>
      <c r="AB11" s="2" t="s">
        <v>1067</v>
      </c>
      <c r="AC11" s="3">
        <v>43258</v>
      </c>
      <c r="AD11" s="3">
        <v>43265</v>
      </c>
    </row>
    <row r="12" spans="1:36" s="2" customFormat="1" x14ac:dyDescent="0.3">
      <c r="A12" s="2" t="s">
        <v>1146</v>
      </c>
      <c r="B12" s="2" t="s">
        <v>1124</v>
      </c>
      <c r="C12" s="2" t="s">
        <v>1125</v>
      </c>
      <c r="D12" s="2" t="s">
        <v>923</v>
      </c>
      <c r="E12" s="2" t="s">
        <v>1127</v>
      </c>
      <c r="F12" s="2" t="s">
        <v>1125</v>
      </c>
      <c r="G12" s="2" t="s">
        <v>1144</v>
      </c>
      <c r="H12" s="2" t="s">
        <v>1139</v>
      </c>
      <c r="I12" s="2" t="s">
        <v>1140</v>
      </c>
      <c r="J12" s="2" t="str">
        <f t="shared" si="1"/>
        <v>psar_{'C':['number',5,1),'number',7.5,-1)]}_[35,70]_1{'n':</v>
      </c>
      <c r="K12" s="2" t="str">
        <f t="shared" si="2"/>
        <v>psar_{'C':['number',5,1),'number',7.5,-1)]}_[35,70]_1</v>
      </c>
      <c r="L12" s="2" t="s">
        <v>1158</v>
      </c>
      <c r="M12" s="2" t="s">
        <v>613</v>
      </c>
      <c r="N12" s="2" t="s">
        <v>2</v>
      </c>
      <c r="O12" s="2" t="s">
        <v>485</v>
      </c>
      <c r="P12" s="2" t="s">
        <v>4</v>
      </c>
      <c r="Q12" s="2" t="s">
        <v>734</v>
      </c>
      <c r="R12" s="2">
        <f t="shared" si="0"/>
        <v>17.255841015695999</v>
      </c>
      <c r="S12" s="2" t="s">
        <v>6</v>
      </c>
      <c r="T12" s="2" t="s">
        <v>735</v>
      </c>
      <c r="U12" s="2" t="s">
        <v>8</v>
      </c>
      <c r="V12" s="2" t="s">
        <v>736</v>
      </c>
      <c r="W12" s="2" t="s">
        <v>10</v>
      </c>
      <c r="X12" s="2" t="s">
        <v>737</v>
      </c>
      <c r="Y12" s="2" t="s">
        <v>12</v>
      </c>
      <c r="Z12" s="2" t="s">
        <v>738</v>
      </c>
      <c r="AA12" s="2" t="s">
        <v>14</v>
      </c>
      <c r="AB12" s="2" t="s">
        <v>1080</v>
      </c>
      <c r="AC12" s="3">
        <v>40823</v>
      </c>
      <c r="AD12" s="3">
        <v>40830</v>
      </c>
    </row>
    <row r="13" spans="1:36" x14ac:dyDescent="0.3">
      <c r="A13" t="s">
        <v>1145</v>
      </c>
      <c r="B13" t="s">
        <v>1124</v>
      </c>
      <c r="C13" t="s">
        <v>1125</v>
      </c>
      <c r="D13" t="s">
        <v>1128</v>
      </c>
      <c r="E13" t="s">
        <v>1127</v>
      </c>
      <c r="F13" t="s">
        <v>1125</v>
      </c>
      <c r="G13" t="s">
        <v>923</v>
      </c>
      <c r="H13" t="s">
        <v>1139</v>
      </c>
      <c r="I13" t="s">
        <v>1141</v>
      </c>
      <c r="J13" t="str">
        <f t="shared" si="1"/>
        <v>bbands_{'C':['number',2.5,1),'number',5,-1)]}_[35,70]_2{'n':</v>
      </c>
      <c r="K13" t="str">
        <f t="shared" si="2"/>
        <v>bbands_{'C':['number',2.5,1),'number',5,-1)]}_[35,70]_2</v>
      </c>
      <c r="L13" t="s">
        <v>1159</v>
      </c>
      <c r="M13" t="s">
        <v>347</v>
      </c>
      <c r="N13" t="s">
        <v>2</v>
      </c>
      <c r="O13" t="s">
        <v>418</v>
      </c>
      <c r="P13" t="s">
        <v>4</v>
      </c>
      <c r="Q13" t="s">
        <v>419</v>
      </c>
      <c r="R13">
        <f t="shared" si="0"/>
        <v>16.445384126231001</v>
      </c>
      <c r="S13" t="s">
        <v>6</v>
      </c>
      <c r="T13" t="s">
        <v>420</v>
      </c>
      <c r="U13" t="s">
        <v>8</v>
      </c>
      <c r="V13" t="s">
        <v>421</v>
      </c>
      <c r="W13" t="s">
        <v>10</v>
      </c>
      <c r="X13" t="s">
        <v>422</v>
      </c>
      <c r="Y13" t="s">
        <v>12</v>
      </c>
      <c r="Z13" t="s">
        <v>423</v>
      </c>
      <c r="AA13" t="s">
        <v>14</v>
      </c>
      <c r="AB13" t="s">
        <v>1024</v>
      </c>
      <c r="AC13" s="1">
        <v>44319</v>
      </c>
      <c r="AD13" s="1">
        <v>44326</v>
      </c>
    </row>
    <row r="14" spans="1:36" x14ac:dyDescent="0.3">
      <c r="A14" t="s">
        <v>1145</v>
      </c>
      <c r="B14" t="s">
        <v>1124</v>
      </c>
      <c r="C14" t="s">
        <v>1125</v>
      </c>
      <c r="D14" t="s">
        <v>1128</v>
      </c>
      <c r="E14" t="s">
        <v>1127</v>
      </c>
      <c r="F14" t="s">
        <v>1125</v>
      </c>
      <c r="G14" t="s">
        <v>923</v>
      </c>
      <c r="H14" t="s">
        <v>1134</v>
      </c>
      <c r="I14" t="s">
        <v>1135</v>
      </c>
      <c r="J14" t="str">
        <f t="shared" si="1"/>
        <v>bbands_{'C':['number',2.5,1),'number',5,-1)]}_[21,49]_1{'n':</v>
      </c>
      <c r="K14" t="str">
        <f t="shared" si="2"/>
        <v>bbands_{'C':['number',2.5,1),'number',5,-1)]}_[21,49]_1</v>
      </c>
      <c r="L14" t="s">
        <v>1160</v>
      </c>
      <c r="M14" t="s">
        <v>322</v>
      </c>
      <c r="N14" t="s">
        <v>2</v>
      </c>
      <c r="O14" t="s">
        <v>392</v>
      </c>
      <c r="P14" t="s">
        <v>4</v>
      </c>
      <c r="Q14" t="s">
        <v>393</v>
      </c>
      <c r="R14">
        <f t="shared" si="0"/>
        <v>16.272478047249699</v>
      </c>
      <c r="S14" t="s">
        <v>6</v>
      </c>
      <c r="T14" t="s">
        <v>394</v>
      </c>
      <c r="U14" t="s">
        <v>8</v>
      </c>
      <c r="V14" t="s">
        <v>395</v>
      </c>
      <c r="W14" t="s">
        <v>10</v>
      </c>
      <c r="X14" t="s">
        <v>396</v>
      </c>
      <c r="Y14" t="s">
        <v>12</v>
      </c>
      <c r="Z14" t="s">
        <v>397</v>
      </c>
      <c r="AA14" t="s">
        <v>14</v>
      </c>
      <c r="AB14" t="s">
        <v>1014</v>
      </c>
      <c r="AC14" t="s">
        <v>927</v>
      </c>
      <c r="AD14" t="s">
        <v>1015</v>
      </c>
      <c r="AE14" t="s">
        <v>15</v>
      </c>
      <c r="AF14" t="s">
        <v>16</v>
      </c>
      <c r="AG14" t="s">
        <v>1016</v>
      </c>
      <c r="AH14" t="s">
        <v>927</v>
      </c>
      <c r="AI14" t="s">
        <v>950</v>
      </c>
      <c r="AJ14" t="s">
        <v>17</v>
      </c>
    </row>
    <row r="15" spans="1:36" x14ac:dyDescent="0.3">
      <c r="A15" t="s">
        <v>1146</v>
      </c>
      <c r="B15" t="s">
        <v>1124</v>
      </c>
      <c r="C15" t="s">
        <v>1125</v>
      </c>
      <c r="D15" t="s">
        <v>1126</v>
      </c>
      <c r="E15" t="s">
        <v>1127</v>
      </c>
      <c r="F15" t="s">
        <v>1125</v>
      </c>
      <c r="G15" t="s">
        <v>1128</v>
      </c>
      <c r="H15" t="s">
        <v>1139</v>
      </c>
      <c r="I15" t="s">
        <v>1140</v>
      </c>
      <c r="J15" t="str">
        <f t="shared" si="1"/>
        <v>psar_{'C':['number',0,1),'number',2.5,-1)]}_[35,70]_1{'n':</v>
      </c>
      <c r="K15" t="str">
        <f t="shared" si="2"/>
        <v>psar_{'C':['number',0,1),'number',2.5,-1)]}_[35,70]_1</v>
      </c>
      <c r="L15" t="s">
        <v>1161</v>
      </c>
      <c r="M15" t="s">
        <v>613</v>
      </c>
      <c r="N15" t="s">
        <v>2</v>
      </c>
      <c r="O15" t="s">
        <v>341</v>
      </c>
      <c r="P15" t="s">
        <v>4</v>
      </c>
      <c r="Q15" t="s">
        <v>614</v>
      </c>
      <c r="R15">
        <f t="shared" si="0"/>
        <v>13.7920072567976</v>
      </c>
      <c r="S15" t="s">
        <v>6</v>
      </c>
      <c r="T15" t="s">
        <v>615</v>
      </c>
      <c r="U15" t="s">
        <v>8</v>
      </c>
      <c r="V15" t="s">
        <v>616</v>
      </c>
      <c r="W15" t="s">
        <v>10</v>
      </c>
      <c r="X15" t="s">
        <v>617</v>
      </c>
      <c r="Y15" t="s">
        <v>12</v>
      </c>
      <c r="Z15" t="s">
        <v>618</v>
      </c>
      <c r="AA15" t="s">
        <v>14</v>
      </c>
      <c r="AB15" t="s">
        <v>1021</v>
      </c>
      <c r="AC15" t="s">
        <v>927</v>
      </c>
      <c r="AD15" t="s">
        <v>1055</v>
      </c>
      <c r="AE15" t="s">
        <v>15</v>
      </c>
      <c r="AF15" t="s">
        <v>16</v>
      </c>
      <c r="AG15" t="s">
        <v>1021</v>
      </c>
      <c r="AH15" t="s">
        <v>927</v>
      </c>
      <c r="AI15" t="s">
        <v>1055</v>
      </c>
      <c r="AJ15" t="s">
        <v>17</v>
      </c>
    </row>
    <row r="16" spans="1:36" x14ac:dyDescent="0.3">
      <c r="A16" t="s">
        <v>1147</v>
      </c>
      <c r="B16" t="s">
        <v>1124</v>
      </c>
      <c r="C16" t="s">
        <v>1125</v>
      </c>
      <c r="D16" t="s">
        <v>1128</v>
      </c>
      <c r="E16" t="s">
        <v>1127</v>
      </c>
      <c r="F16" t="s">
        <v>1125</v>
      </c>
      <c r="G16" t="s">
        <v>923</v>
      </c>
      <c r="H16" t="s">
        <v>1139</v>
      </c>
      <c r="I16" t="s">
        <v>1140</v>
      </c>
      <c r="J16" t="str">
        <f t="shared" si="1"/>
        <v>rsi_{'C':['number',2.5,1),'number',5,-1)]}_[35,70]_1{'n':</v>
      </c>
      <c r="K16" t="str">
        <f t="shared" si="2"/>
        <v>rsi_{'C':['number',2.5,1),'number',5,-1)]}_[35,70]_1</v>
      </c>
      <c r="L16" t="s">
        <v>1162</v>
      </c>
      <c r="M16" t="s">
        <v>536</v>
      </c>
      <c r="N16" t="s">
        <v>2</v>
      </c>
      <c r="O16" t="s">
        <v>887</v>
      </c>
      <c r="P16" t="s">
        <v>4</v>
      </c>
      <c r="Q16" t="s">
        <v>888</v>
      </c>
      <c r="R16">
        <f t="shared" si="0"/>
        <v>13.664495997076299</v>
      </c>
      <c r="S16" t="s">
        <v>6</v>
      </c>
      <c r="T16" t="s">
        <v>889</v>
      </c>
      <c r="U16" t="s">
        <v>8</v>
      </c>
      <c r="V16" t="s">
        <v>890</v>
      </c>
      <c r="W16" t="s">
        <v>10</v>
      </c>
      <c r="X16" t="s">
        <v>891</v>
      </c>
      <c r="Y16" t="s">
        <v>12</v>
      </c>
      <c r="Z16" t="s">
        <v>892</v>
      </c>
      <c r="AA16" t="s">
        <v>14</v>
      </c>
      <c r="AB16" t="s">
        <v>1111</v>
      </c>
      <c r="AC16" t="s">
        <v>927</v>
      </c>
      <c r="AD16" t="s">
        <v>1112</v>
      </c>
      <c r="AE16" t="s">
        <v>15</v>
      </c>
      <c r="AF16" t="s">
        <v>16</v>
      </c>
      <c r="AG16" t="s">
        <v>1111</v>
      </c>
      <c r="AH16" t="s">
        <v>927</v>
      </c>
      <c r="AI16" t="s">
        <v>1112</v>
      </c>
      <c r="AJ16" t="s">
        <v>17</v>
      </c>
    </row>
    <row r="17" spans="1:36" x14ac:dyDescent="0.3">
      <c r="A17" t="s">
        <v>1146</v>
      </c>
      <c r="B17" t="s">
        <v>1124</v>
      </c>
      <c r="C17" t="s">
        <v>1125</v>
      </c>
      <c r="D17" t="s">
        <v>1126</v>
      </c>
      <c r="E17" t="s">
        <v>1127</v>
      </c>
      <c r="F17" t="s">
        <v>1125</v>
      </c>
      <c r="G17" t="s">
        <v>1128</v>
      </c>
      <c r="H17" t="s">
        <v>1134</v>
      </c>
      <c r="I17" t="s">
        <v>1135</v>
      </c>
      <c r="J17" t="str">
        <f t="shared" si="1"/>
        <v>psar_{'C':['number',0,1),'number',2.5,-1)]}_[21,49]_1{'n':</v>
      </c>
      <c r="K17" t="str">
        <f t="shared" si="2"/>
        <v>psar_{'C':['number',0,1),'number',2.5,-1)]}_[21,49]_1</v>
      </c>
      <c r="L17" t="s">
        <v>1163</v>
      </c>
      <c r="M17" t="s">
        <v>592</v>
      </c>
      <c r="N17" t="s">
        <v>2</v>
      </c>
      <c r="O17" t="s">
        <v>593</v>
      </c>
      <c r="P17" t="s">
        <v>4</v>
      </c>
      <c r="Q17" t="s">
        <v>594</v>
      </c>
      <c r="R17">
        <f t="shared" si="0"/>
        <v>13.08</v>
      </c>
      <c r="S17" t="s">
        <v>6</v>
      </c>
      <c r="T17" t="s">
        <v>595</v>
      </c>
      <c r="U17" t="s">
        <v>8</v>
      </c>
      <c r="V17" t="s">
        <v>596</v>
      </c>
      <c r="W17" t="s">
        <v>10</v>
      </c>
      <c r="X17" t="s">
        <v>597</v>
      </c>
      <c r="Y17" t="s">
        <v>12</v>
      </c>
      <c r="Z17" t="s">
        <v>598</v>
      </c>
      <c r="AA17" t="s">
        <v>14</v>
      </c>
      <c r="AB17" t="s">
        <v>1052</v>
      </c>
      <c r="AC17" t="s">
        <v>927</v>
      </c>
      <c r="AD17" t="s">
        <v>940</v>
      </c>
      <c r="AE17" t="s">
        <v>15</v>
      </c>
      <c r="AF17" t="s">
        <v>16</v>
      </c>
      <c r="AG17" t="s">
        <v>1053</v>
      </c>
      <c r="AH17" t="s">
        <v>927</v>
      </c>
      <c r="AI17" t="s">
        <v>957</v>
      </c>
      <c r="AJ17" t="s">
        <v>17</v>
      </c>
    </row>
    <row r="18" spans="1:36" x14ac:dyDescent="0.3">
      <c r="A18" t="s">
        <v>1145</v>
      </c>
      <c r="B18" t="s">
        <v>1124</v>
      </c>
      <c r="C18" t="s">
        <v>1125</v>
      </c>
      <c r="D18" t="s">
        <v>923</v>
      </c>
      <c r="E18" t="s">
        <v>1127</v>
      </c>
      <c r="F18" t="s">
        <v>1125</v>
      </c>
      <c r="G18" t="s">
        <v>1144</v>
      </c>
      <c r="H18" t="s">
        <v>1129</v>
      </c>
      <c r="I18" t="s">
        <v>1130</v>
      </c>
      <c r="J18" t="str">
        <f t="shared" si="1"/>
        <v>bbands_{'C':['number',5,1),'number',7.5,-1)]}_[7,35]_1{'n':</v>
      </c>
      <c r="K18" t="str">
        <f t="shared" si="2"/>
        <v>bbands_{'C':['number',5,1),'number',7.5,-1)]}_[7,35]_1</v>
      </c>
      <c r="L18" t="s">
        <v>1164</v>
      </c>
      <c r="M18" t="s">
        <v>305</v>
      </c>
      <c r="N18" t="s">
        <v>2</v>
      </c>
      <c r="O18" t="s">
        <v>433</v>
      </c>
      <c r="P18" t="s">
        <v>4</v>
      </c>
      <c r="Q18" t="s">
        <v>434</v>
      </c>
      <c r="R18">
        <f t="shared" si="0"/>
        <v>13.06</v>
      </c>
      <c r="S18" t="s">
        <v>6</v>
      </c>
      <c r="T18" t="s">
        <v>435</v>
      </c>
      <c r="U18" t="s">
        <v>8</v>
      </c>
      <c r="V18" t="s">
        <v>436</v>
      </c>
      <c r="W18" t="s">
        <v>10</v>
      </c>
      <c r="X18" t="s">
        <v>437</v>
      </c>
      <c r="Y18" t="s">
        <v>12</v>
      </c>
      <c r="Z18" t="s">
        <v>438</v>
      </c>
      <c r="AA18" t="s">
        <v>14</v>
      </c>
      <c r="AB18" t="s">
        <v>1026</v>
      </c>
      <c r="AC18" t="s">
        <v>927</v>
      </c>
      <c r="AD18" t="s">
        <v>950</v>
      </c>
      <c r="AE18" t="s">
        <v>15</v>
      </c>
      <c r="AF18" t="s">
        <v>16</v>
      </c>
      <c r="AG18" t="s">
        <v>1027</v>
      </c>
      <c r="AH18" t="s">
        <v>927</v>
      </c>
      <c r="AI18" t="s">
        <v>950</v>
      </c>
      <c r="AJ18" t="s">
        <v>17</v>
      </c>
    </row>
    <row r="19" spans="1:36" x14ac:dyDescent="0.3">
      <c r="A19" t="s">
        <v>1147</v>
      </c>
      <c r="B19" t="s">
        <v>1124</v>
      </c>
      <c r="C19" t="s">
        <v>1125</v>
      </c>
      <c r="D19" t="s">
        <v>1128</v>
      </c>
      <c r="E19" t="s">
        <v>1127</v>
      </c>
      <c r="F19" t="s">
        <v>1125</v>
      </c>
      <c r="G19" t="s">
        <v>923</v>
      </c>
      <c r="H19" t="s">
        <v>1139</v>
      </c>
      <c r="I19" t="s">
        <v>1141</v>
      </c>
      <c r="J19" t="str">
        <f t="shared" si="1"/>
        <v>rsi_{'C':['number',2.5,1),'number',5,-1)]}_[35,70]_2{'n':</v>
      </c>
      <c r="K19" t="str">
        <f t="shared" si="2"/>
        <v>rsi_{'C':['number',2.5,1),'number',5,-1)]}_[35,70]_2</v>
      </c>
      <c r="L19" t="s">
        <v>1165</v>
      </c>
      <c r="M19" t="s">
        <v>536</v>
      </c>
      <c r="N19" t="s">
        <v>2</v>
      </c>
      <c r="O19" t="s">
        <v>827</v>
      </c>
      <c r="P19" t="s">
        <v>4</v>
      </c>
      <c r="Q19" t="s">
        <v>893</v>
      </c>
      <c r="R19">
        <f t="shared" si="0"/>
        <v>12.5544959970763</v>
      </c>
      <c r="S19" t="s">
        <v>6</v>
      </c>
      <c r="T19" t="s">
        <v>894</v>
      </c>
      <c r="U19" t="s">
        <v>8</v>
      </c>
      <c r="V19" t="s">
        <v>895</v>
      </c>
      <c r="W19" t="s">
        <v>10</v>
      </c>
      <c r="X19" t="s">
        <v>896</v>
      </c>
      <c r="Y19" t="s">
        <v>12</v>
      </c>
      <c r="Z19" t="s">
        <v>897</v>
      </c>
      <c r="AA19" t="s">
        <v>14</v>
      </c>
      <c r="AB19" t="s">
        <v>1111</v>
      </c>
      <c r="AC19" t="s">
        <v>927</v>
      </c>
      <c r="AD19" t="s">
        <v>1112</v>
      </c>
      <c r="AE19" t="s">
        <v>15</v>
      </c>
      <c r="AF19" t="s">
        <v>16</v>
      </c>
      <c r="AG19" t="s">
        <v>1113</v>
      </c>
      <c r="AH19" t="s">
        <v>927</v>
      </c>
      <c r="AI19" t="s">
        <v>1114</v>
      </c>
      <c r="AJ19" t="s">
        <v>17</v>
      </c>
    </row>
    <row r="20" spans="1:36" x14ac:dyDescent="0.3">
      <c r="A20" t="s">
        <v>1146</v>
      </c>
      <c r="B20" t="s">
        <v>1124</v>
      </c>
      <c r="C20" t="s">
        <v>1125</v>
      </c>
      <c r="D20" t="s">
        <v>923</v>
      </c>
      <c r="E20" t="s">
        <v>1127</v>
      </c>
      <c r="F20" t="s">
        <v>1125</v>
      </c>
      <c r="G20" t="s">
        <v>1144</v>
      </c>
      <c r="H20" t="s">
        <v>1139</v>
      </c>
      <c r="I20" t="s">
        <v>1141</v>
      </c>
      <c r="J20" t="str">
        <f t="shared" si="1"/>
        <v>psar_{'C':['number',5,1),'number',7.5,-1)]}_[35,70]_2{'n':</v>
      </c>
      <c r="K20" t="str">
        <f t="shared" si="2"/>
        <v>psar_{'C':['number',5,1),'number',7.5,-1)]}_[35,70]_2</v>
      </c>
      <c r="L20" t="s">
        <v>1166</v>
      </c>
      <c r="M20" t="s">
        <v>613</v>
      </c>
      <c r="N20" t="s">
        <v>2</v>
      </c>
      <c r="O20" t="s">
        <v>473</v>
      </c>
      <c r="P20" t="s">
        <v>4</v>
      </c>
      <c r="Q20" t="s">
        <v>739</v>
      </c>
      <c r="R20">
        <f t="shared" si="0"/>
        <v>10.855841015696001</v>
      </c>
      <c r="S20" t="s">
        <v>6</v>
      </c>
      <c r="T20" t="s">
        <v>740</v>
      </c>
      <c r="U20" t="s">
        <v>8</v>
      </c>
      <c r="V20" t="s">
        <v>741</v>
      </c>
      <c r="W20" t="s">
        <v>10</v>
      </c>
      <c r="X20" t="s">
        <v>742</v>
      </c>
      <c r="Y20" t="s">
        <v>12</v>
      </c>
      <c r="Z20" t="s">
        <v>743</v>
      </c>
      <c r="AA20" t="s">
        <v>14</v>
      </c>
      <c r="AB20" t="s">
        <v>1052</v>
      </c>
      <c r="AC20" t="s">
        <v>927</v>
      </c>
      <c r="AD20" t="s">
        <v>940</v>
      </c>
      <c r="AE20" t="s">
        <v>15</v>
      </c>
      <c r="AF20" t="s">
        <v>16</v>
      </c>
      <c r="AG20" t="s">
        <v>1082</v>
      </c>
      <c r="AH20" t="s">
        <v>927</v>
      </c>
      <c r="AI20" t="s">
        <v>1083</v>
      </c>
      <c r="AJ20" t="s">
        <v>17</v>
      </c>
    </row>
    <row r="21" spans="1:36" x14ac:dyDescent="0.3">
      <c r="A21" t="s">
        <v>1147</v>
      </c>
      <c r="B21" t="s">
        <v>1124</v>
      </c>
      <c r="C21" t="s">
        <v>1125</v>
      </c>
      <c r="D21" t="s">
        <v>1126</v>
      </c>
      <c r="E21" t="s">
        <v>1127</v>
      </c>
      <c r="F21" t="s">
        <v>1125</v>
      </c>
      <c r="G21" t="s">
        <v>1128</v>
      </c>
      <c r="H21" t="s">
        <v>1134</v>
      </c>
      <c r="I21" t="s">
        <v>1135</v>
      </c>
      <c r="J21" t="str">
        <f t="shared" si="1"/>
        <v>rsi_{'C':['number',0,1),'number',2.5,-1)]}_[21,49]_1{'n':</v>
      </c>
      <c r="K21" t="str">
        <f t="shared" si="2"/>
        <v>rsi_{'C':['number',0,1),'number',2.5,-1)]}_[21,49]_1</v>
      </c>
      <c r="L21" t="s">
        <v>1167</v>
      </c>
      <c r="M21" t="s">
        <v>784</v>
      </c>
      <c r="N21" t="s">
        <v>2</v>
      </c>
      <c r="O21" t="s">
        <v>827</v>
      </c>
      <c r="P21" t="s">
        <v>4</v>
      </c>
      <c r="Q21" t="s">
        <v>833</v>
      </c>
      <c r="R21">
        <f t="shared" si="0"/>
        <v>10.08</v>
      </c>
      <c r="S21" t="s">
        <v>6</v>
      </c>
      <c r="T21" t="s">
        <v>834</v>
      </c>
      <c r="U21" t="s">
        <v>8</v>
      </c>
      <c r="V21" t="s">
        <v>835</v>
      </c>
      <c r="W21" t="s">
        <v>10</v>
      </c>
      <c r="X21" t="s">
        <v>836</v>
      </c>
      <c r="Y21" t="s">
        <v>12</v>
      </c>
      <c r="Z21" t="s">
        <v>837</v>
      </c>
      <c r="AA21" t="s">
        <v>14</v>
      </c>
      <c r="AB21" t="s">
        <v>1101</v>
      </c>
      <c r="AC21" t="s">
        <v>927</v>
      </c>
      <c r="AD21" t="s">
        <v>930</v>
      </c>
      <c r="AE21" t="s">
        <v>15</v>
      </c>
      <c r="AF21" t="s">
        <v>16</v>
      </c>
      <c r="AG21" t="s">
        <v>1101</v>
      </c>
      <c r="AH21" t="s">
        <v>927</v>
      </c>
      <c r="AI21" t="s">
        <v>930</v>
      </c>
      <c r="AJ21" t="s">
        <v>17</v>
      </c>
    </row>
    <row r="22" spans="1:36" x14ac:dyDescent="0.3">
      <c r="A22" t="s">
        <v>1147</v>
      </c>
      <c r="B22" t="s">
        <v>1124</v>
      </c>
      <c r="C22" t="s">
        <v>1125</v>
      </c>
      <c r="D22" t="s">
        <v>1126</v>
      </c>
      <c r="E22" t="s">
        <v>1127</v>
      </c>
      <c r="F22" t="s">
        <v>1125</v>
      </c>
      <c r="G22" t="s">
        <v>1128</v>
      </c>
      <c r="H22" t="s">
        <v>1129</v>
      </c>
      <c r="I22" t="s">
        <v>1130</v>
      </c>
      <c r="J22" t="str">
        <f t="shared" si="1"/>
        <v>rsi_{'C':['number',0,1),'number',2.5,-1)]}_[7,35]_1{'n':</v>
      </c>
      <c r="K22" t="str">
        <f t="shared" si="2"/>
        <v>rsi_{'C':['number',0,1),'number',2.5,-1)]}_[7,35]_1</v>
      </c>
      <c r="L22" t="s">
        <v>1168</v>
      </c>
      <c r="M22" t="s">
        <v>723</v>
      </c>
      <c r="N22" t="s">
        <v>2</v>
      </c>
      <c r="O22" t="s">
        <v>821</v>
      </c>
      <c r="P22" t="s">
        <v>4</v>
      </c>
      <c r="Q22" t="s">
        <v>822</v>
      </c>
      <c r="R22">
        <f t="shared" si="0"/>
        <v>9.6100000000000492</v>
      </c>
      <c r="S22" t="s">
        <v>6</v>
      </c>
      <c r="T22" t="s">
        <v>823</v>
      </c>
      <c r="U22" t="s">
        <v>8</v>
      </c>
      <c r="V22" t="s">
        <v>824</v>
      </c>
      <c r="W22" t="s">
        <v>10</v>
      </c>
      <c r="X22" t="s">
        <v>825</v>
      </c>
      <c r="Y22" t="s">
        <v>12</v>
      </c>
      <c r="Z22" t="s">
        <v>826</v>
      </c>
      <c r="AA22" t="s">
        <v>14</v>
      </c>
      <c r="AB22" t="s">
        <v>1101</v>
      </c>
      <c r="AC22" t="s">
        <v>927</v>
      </c>
      <c r="AD22" t="s">
        <v>930</v>
      </c>
      <c r="AE22" t="s">
        <v>15</v>
      </c>
      <c r="AF22" t="s">
        <v>16</v>
      </c>
      <c r="AG22" t="s">
        <v>1101</v>
      </c>
      <c r="AH22" t="s">
        <v>927</v>
      </c>
      <c r="AI22" t="s">
        <v>930</v>
      </c>
      <c r="AJ22" t="s">
        <v>17</v>
      </c>
    </row>
    <row r="23" spans="1:36" x14ac:dyDescent="0.3">
      <c r="A23" t="s">
        <v>1145</v>
      </c>
      <c r="B23" t="s">
        <v>1124</v>
      </c>
      <c r="C23" t="s">
        <v>1125</v>
      </c>
      <c r="D23" t="s">
        <v>923</v>
      </c>
      <c r="E23" t="s">
        <v>1127</v>
      </c>
      <c r="F23" t="s">
        <v>1125</v>
      </c>
      <c r="G23" t="s">
        <v>1144</v>
      </c>
      <c r="H23" t="s">
        <v>1139</v>
      </c>
      <c r="I23" t="s">
        <v>1140</v>
      </c>
      <c r="J23" t="str">
        <f t="shared" si="1"/>
        <v>bbands_{'C':['number',5,1),'number',7.5,-1)]}_[35,70]_1{'n':</v>
      </c>
      <c r="K23" t="str">
        <f t="shared" si="2"/>
        <v>bbands_{'C':['number',5,1),'number',7.5,-1)]}_[35,70]_1</v>
      </c>
      <c r="L23" t="s">
        <v>1169</v>
      </c>
      <c r="M23" t="s">
        <v>347</v>
      </c>
      <c r="N23" t="s">
        <v>2</v>
      </c>
      <c r="O23" t="s">
        <v>479</v>
      </c>
      <c r="P23" t="s">
        <v>4</v>
      </c>
      <c r="Q23" t="s">
        <v>480</v>
      </c>
      <c r="R23">
        <f t="shared" si="0"/>
        <v>8.7246844277388593</v>
      </c>
      <c r="S23" t="s">
        <v>6</v>
      </c>
      <c r="T23" t="s">
        <v>481</v>
      </c>
      <c r="U23" t="s">
        <v>8</v>
      </c>
      <c r="V23" t="s">
        <v>482</v>
      </c>
      <c r="W23" t="s">
        <v>10</v>
      </c>
      <c r="X23" t="s">
        <v>483</v>
      </c>
      <c r="Y23" t="s">
        <v>12</v>
      </c>
      <c r="Z23" t="s">
        <v>484</v>
      </c>
      <c r="AA23" t="s">
        <v>14</v>
      </c>
      <c r="AB23" t="s">
        <v>1041</v>
      </c>
      <c r="AC23" s="1">
        <v>44475</v>
      </c>
      <c r="AD23" s="1">
        <v>44511</v>
      </c>
    </row>
    <row r="24" spans="1:36" x14ac:dyDescent="0.3">
      <c r="A24" t="s">
        <v>1147</v>
      </c>
      <c r="B24" t="s">
        <v>1124</v>
      </c>
      <c r="C24" t="s">
        <v>1125</v>
      </c>
      <c r="D24" t="s">
        <v>1128</v>
      </c>
      <c r="E24" t="s">
        <v>1127</v>
      </c>
      <c r="F24" t="s">
        <v>1125</v>
      </c>
      <c r="G24" t="s">
        <v>923</v>
      </c>
      <c r="H24" t="s">
        <v>1139</v>
      </c>
      <c r="I24" t="s">
        <v>1142</v>
      </c>
      <c r="J24" t="str">
        <f t="shared" si="1"/>
        <v>rsi_{'C':['number',2.5,1),'number',5,-1)]}_[35,70]_3{'n':</v>
      </c>
      <c r="K24" t="str">
        <f t="shared" si="2"/>
        <v>rsi_{'C':['number',2.5,1),'number',5,-1)]}_[35,70]_3</v>
      </c>
      <c r="L24" t="s">
        <v>1170</v>
      </c>
      <c r="M24" t="s">
        <v>536</v>
      </c>
      <c r="N24" t="s">
        <v>2</v>
      </c>
      <c r="O24" t="s">
        <v>838</v>
      </c>
      <c r="P24" t="s">
        <v>4</v>
      </c>
      <c r="Q24" t="s">
        <v>898</v>
      </c>
      <c r="R24">
        <f t="shared" si="0"/>
        <v>8.6652970821095607</v>
      </c>
      <c r="S24" t="s">
        <v>6</v>
      </c>
      <c r="T24" t="s">
        <v>899</v>
      </c>
      <c r="U24" t="s">
        <v>8</v>
      </c>
      <c r="V24" t="s">
        <v>900</v>
      </c>
      <c r="W24" t="s">
        <v>10</v>
      </c>
      <c r="X24" t="s">
        <v>901</v>
      </c>
      <c r="Y24" t="s">
        <v>12</v>
      </c>
      <c r="Z24" t="s">
        <v>902</v>
      </c>
      <c r="AA24" t="s">
        <v>14</v>
      </c>
      <c r="AB24" t="s">
        <v>1115</v>
      </c>
      <c r="AC24" t="s">
        <v>927</v>
      </c>
      <c r="AD24" t="s">
        <v>1116</v>
      </c>
      <c r="AE24" t="s">
        <v>15</v>
      </c>
      <c r="AF24" t="s">
        <v>16</v>
      </c>
      <c r="AG24" t="s">
        <v>1117</v>
      </c>
      <c r="AH24" t="s">
        <v>927</v>
      </c>
      <c r="AI24" t="s">
        <v>1118</v>
      </c>
      <c r="AJ24" t="s">
        <v>17</v>
      </c>
    </row>
    <row r="25" spans="1:36" x14ac:dyDescent="0.3">
      <c r="A25" t="s">
        <v>1147</v>
      </c>
      <c r="B25" t="s">
        <v>1124</v>
      </c>
      <c r="C25" t="s">
        <v>1125</v>
      </c>
      <c r="D25" t="s">
        <v>1126</v>
      </c>
      <c r="E25" t="s">
        <v>1127</v>
      </c>
      <c r="F25" t="s">
        <v>1125</v>
      </c>
      <c r="G25" t="s">
        <v>1128</v>
      </c>
      <c r="H25" t="s">
        <v>1129</v>
      </c>
      <c r="I25" t="s">
        <v>1131</v>
      </c>
      <c r="J25" t="str">
        <f t="shared" si="1"/>
        <v>rsi_{'C':['number',0,1),'number',2.5,-1)]}_[7,35]_2{'n':</v>
      </c>
      <c r="K25" t="str">
        <f t="shared" si="2"/>
        <v>rsi_{'C':['number',0,1),'number',2.5,-1)]}_[7,35]_2</v>
      </c>
      <c r="L25" t="s">
        <v>1171</v>
      </c>
      <c r="M25" t="s">
        <v>723</v>
      </c>
      <c r="N25" t="s">
        <v>2</v>
      </c>
      <c r="O25" t="s">
        <v>827</v>
      </c>
      <c r="P25" t="s">
        <v>4</v>
      </c>
      <c r="Q25" t="s">
        <v>828</v>
      </c>
      <c r="R25">
        <f t="shared" si="0"/>
        <v>8.4200000000000301</v>
      </c>
      <c r="S25" t="s">
        <v>6</v>
      </c>
      <c r="T25" t="s">
        <v>829</v>
      </c>
      <c r="U25" t="s">
        <v>8</v>
      </c>
      <c r="V25" t="s">
        <v>830</v>
      </c>
      <c r="W25" t="s">
        <v>10</v>
      </c>
      <c r="X25" t="s">
        <v>831</v>
      </c>
      <c r="Y25" t="s">
        <v>12</v>
      </c>
      <c r="Z25" t="s">
        <v>832</v>
      </c>
      <c r="AA25" t="s">
        <v>14</v>
      </c>
      <c r="AB25" t="s">
        <v>1101</v>
      </c>
      <c r="AC25" t="s">
        <v>927</v>
      </c>
      <c r="AD25" t="s">
        <v>930</v>
      </c>
      <c r="AE25" t="s">
        <v>15</v>
      </c>
      <c r="AF25" t="s">
        <v>16</v>
      </c>
      <c r="AG25" t="s">
        <v>1101</v>
      </c>
      <c r="AH25" t="s">
        <v>927</v>
      </c>
      <c r="AI25" t="s">
        <v>930</v>
      </c>
      <c r="AJ25" t="s">
        <v>17</v>
      </c>
    </row>
    <row r="26" spans="1:36" x14ac:dyDescent="0.3">
      <c r="A26" t="s">
        <v>1147</v>
      </c>
      <c r="B26" t="s">
        <v>1124</v>
      </c>
      <c r="C26" t="s">
        <v>1125</v>
      </c>
      <c r="D26" t="s">
        <v>1126</v>
      </c>
      <c r="E26" t="s">
        <v>1127</v>
      </c>
      <c r="F26" t="s">
        <v>1125</v>
      </c>
      <c r="G26" t="s">
        <v>1128</v>
      </c>
      <c r="H26" t="s">
        <v>1129</v>
      </c>
      <c r="I26" t="s">
        <v>1132</v>
      </c>
      <c r="J26" t="str">
        <f t="shared" si="1"/>
        <v>rsi_{'C':['number',0,1),'number',2.5,-1)]}_[7,35]_3{'n':</v>
      </c>
      <c r="K26" t="str">
        <f t="shared" si="2"/>
        <v>rsi_{'C':['number',0,1),'number',2.5,-1)]}_[7,35]_3</v>
      </c>
      <c r="L26" t="s">
        <v>1172</v>
      </c>
      <c r="M26" t="s">
        <v>723</v>
      </c>
      <c r="N26" t="s">
        <v>2</v>
      </c>
      <c r="O26" t="s">
        <v>827</v>
      </c>
      <c r="P26" t="s">
        <v>4</v>
      </c>
      <c r="Q26" t="s">
        <v>828</v>
      </c>
      <c r="R26">
        <f t="shared" si="0"/>
        <v>8.4200000000000301</v>
      </c>
      <c r="S26" t="s">
        <v>6</v>
      </c>
      <c r="T26" t="s">
        <v>829</v>
      </c>
      <c r="U26" t="s">
        <v>8</v>
      </c>
      <c r="V26" t="s">
        <v>830</v>
      </c>
      <c r="W26" t="s">
        <v>10</v>
      </c>
      <c r="X26" t="s">
        <v>831</v>
      </c>
      <c r="Y26" t="s">
        <v>12</v>
      </c>
      <c r="Z26" t="s">
        <v>832</v>
      </c>
      <c r="AA26" t="s">
        <v>14</v>
      </c>
      <c r="AB26" t="s">
        <v>1101</v>
      </c>
      <c r="AC26" t="s">
        <v>927</v>
      </c>
      <c r="AD26" t="s">
        <v>930</v>
      </c>
      <c r="AE26" t="s">
        <v>15</v>
      </c>
      <c r="AF26" t="s">
        <v>16</v>
      </c>
      <c r="AG26" t="s">
        <v>1101</v>
      </c>
      <c r="AH26" t="s">
        <v>927</v>
      </c>
      <c r="AI26" t="s">
        <v>930</v>
      </c>
      <c r="AJ26" t="s">
        <v>17</v>
      </c>
    </row>
    <row r="27" spans="1:36" x14ac:dyDescent="0.3">
      <c r="A27" t="s">
        <v>1147</v>
      </c>
      <c r="B27" t="s">
        <v>1124</v>
      </c>
      <c r="C27" t="s">
        <v>1125</v>
      </c>
      <c r="D27" t="s">
        <v>1126</v>
      </c>
      <c r="E27" t="s">
        <v>1127</v>
      </c>
      <c r="F27" t="s">
        <v>1125</v>
      </c>
      <c r="G27" t="s">
        <v>1128</v>
      </c>
      <c r="H27" t="s">
        <v>1129</v>
      </c>
      <c r="I27" t="s">
        <v>1133</v>
      </c>
      <c r="J27" t="str">
        <f t="shared" si="1"/>
        <v>rsi_{'C':['number',0,1),'number',2.5,-1)]}_[7,35]_4{'n':</v>
      </c>
      <c r="K27" t="str">
        <f t="shared" si="2"/>
        <v>rsi_{'C':['number',0,1),'number',2.5,-1)]}_[7,35]_4</v>
      </c>
      <c r="L27" t="s">
        <v>1173</v>
      </c>
      <c r="M27" t="s">
        <v>723</v>
      </c>
      <c r="N27" t="s">
        <v>2</v>
      </c>
      <c r="O27" t="s">
        <v>827</v>
      </c>
      <c r="P27" t="s">
        <v>4</v>
      </c>
      <c r="Q27" t="s">
        <v>828</v>
      </c>
      <c r="R27">
        <f t="shared" si="0"/>
        <v>8.4200000000000301</v>
      </c>
      <c r="S27" t="s">
        <v>6</v>
      </c>
      <c r="T27" t="s">
        <v>829</v>
      </c>
      <c r="U27" t="s">
        <v>8</v>
      </c>
      <c r="V27" t="s">
        <v>830</v>
      </c>
      <c r="W27" t="s">
        <v>10</v>
      </c>
      <c r="X27" t="s">
        <v>831</v>
      </c>
      <c r="Y27" t="s">
        <v>12</v>
      </c>
      <c r="Z27" t="s">
        <v>832</v>
      </c>
      <c r="AA27" t="s">
        <v>14</v>
      </c>
      <c r="AB27" t="s">
        <v>1101</v>
      </c>
      <c r="AC27" t="s">
        <v>927</v>
      </c>
      <c r="AD27" t="s">
        <v>930</v>
      </c>
      <c r="AE27" t="s">
        <v>15</v>
      </c>
      <c r="AF27" t="s">
        <v>16</v>
      </c>
      <c r="AG27" t="s">
        <v>1101</v>
      </c>
      <c r="AH27" t="s">
        <v>927</v>
      </c>
      <c r="AI27" t="s">
        <v>930</v>
      </c>
      <c r="AJ27" t="s">
        <v>17</v>
      </c>
    </row>
    <row r="28" spans="1:36" x14ac:dyDescent="0.3">
      <c r="A28" t="s">
        <v>1147</v>
      </c>
      <c r="B28" t="s">
        <v>1124</v>
      </c>
      <c r="C28" t="s">
        <v>1125</v>
      </c>
      <c r="D28" t="s">
        <v>1128</v>
      </c>
      <c r="E28" t="s">
        <v>1127</v>
      </c>
      <c r="F28" t="s">
        <v>1125</v>
      </c>
      <c r="G28" t="s">
        <v>923</v>
      </c>
      <c r="H28" t="s">
        <v>1134</v>
      </c>
      <c r="I28" t="s">
        <v>1136</v>
      </c>
      <c r="J28" t="str">
        <f t="shared" si="1"/>
        <v>rsi_{'C':['number',2.5,1),'number',5,-1)]}_[21,49]_2{'n':</v>
      </c>
      <c r="K28" t="str">
        <f t="shared" si="2"/>
        <v>rsi_{'C':['number',2.5,1),'number',5,-1)]}_[21,49]_2</v>
      </c>
      <c r="L28" t="s">
        <v>1174</v>
      </c>
      <c r="M28" t="s">
        <v>784</v>
      </c>
      <c r="N28" t="s">
        <v>2</v>
      </c>
      <c r="O28" t="s">
        <v>849</v>
      </c>
      <c r="P28" t="s">
        <v>4</v>
      </c>
      <c r="Q28" t="s">
        <v>882</v>
      </c>
      <c r="R28">
        <f t="shared" si="0"/>
        <v>8.1600000000000197</v>
      </c>
      <c r="S28" t="s">
        <v>6</v>
      </c>
      <c r="T28" t="s">
        <v>883</v>
      </c>
      <c r="U28" t="s">
        <v>8</v>
      </c>
      <c r="V28" t="s">
        <v>884</v>
      </c>
      <c r="W28" t="s">
        <v>10</v>
      </c>
      <c r="X28" t="s">
        <v>885</v>
      </c>
      <c r="Y28" t="s">
        <v>12</v>
      </c>
      <c r="Z28" t="s">
        <v>886</v>
      </c>
      <c r="AA28" t="s">
        <v>14</v>
      </c>
      <c r="AB28" t="s">
        <v>1109</v>
      </c>
      <c r="AC28" t="s">
        <v>927</v>
      </c>
      <c r="AD28" t="s">
        <v>1110</v>
      </c>
      <c r="AE28" t="s">
        <v>15</v>
      </c>
      <c r="AF28" t="s">
        <v>16</v>
      </c>
      <c r="AG28" t="s">
        <v>1107</v>
      </c>
      <c r="AH28" t="s">
        <v>927</v>
      </c>
      <c r="AI28" t="s">
        <v>1108</v>
      </c>
      <c r="AJ28" t="s">
        <v>17</v>
      </c>
    </row>
    <row r="29" spans="1:36" x14ac:dyDescent="0.3">
      <c r="A29" t="s">
        <v>1147</v>
      </c>
      <c r="B29" t="s">
        <v>1124</v>
      </c>
      <c r="C29" t="s">
        <v>1125</v>
      </c>
      <c r="D29" t="s">
        <v>1128</v>
      </c>
      <c r="E29" t="s">
        <v>1127</v>
      </c>
      <c r="F29" t="s">
        <v>1125</v>
      </c>
      <c r="G29" t="s">
        <v>923</v>
      </c>
      <c r="H29" t="s">
        <v>1134</v>
      </c>
      <c r="I29" t="s">
        <v>1137</v>
      </c>
      <c r="J29" t="str">
        <f t="shared" si="1"/>
        <v>rsi_{'C':['number',2.5,1),'number',5,-1)]}_[21,49]_3{'n':</v>
      </c>
      <c r="K29" t="str">
        <f t="shared" si="2"/>
        <v>rsi_{'C':['number',2.5,1),'number',5,-1)]}_[21,49]_3</v>
      </c>
      <c r="L29" t="s">
        <v>1175</v>
      </c>
      <c r="M29" t="s">
        <v>784</v>
      </c>
      <c r="N29" t="s">
        <v>2</v>
      </c>
      <c r="O29" t="s">
        <v>849</v>
      </c>
      <c r="P29" t="s">
        <v>4</v>
      </c>
      <c r="Q29" t="s">
        <v>882</v>
      </c>
      <c r="R29">
        <f t="shared" si="0"/>
        <v>8.1600000000000197</v>
      </c>
      <c r="S29" t="s">
        <v>6</v>
      </c>
      <c r="T29" t="s">
        <v>883</v>
      </c>
      <c r="U29" t="s">
        <v>8</v>
      </c>
      <c r="V29" t="s">
        <v>884</v>
      </c>
      <c r="W29" t="s">
        <v>10</v>
      </c>
      <c r="X29" t="s">
        <v>885</v>
      </c>
      <c r="Y29" t="s">
        <v>12</v>
      </c>
      <c r="Z29" t="s">
        <v>886</v>
      </c>
      <c r="AA29" t="s">
        <v>14</v>
      </c>
      <c r="AB29" t="s">
        <v>1109</v>
      </c>
      <c r="AC29" t="s">
        <v>927</v>
      </c>
      <c r="AD29" t="s">
        <v>1110</v>
      </c>
      <c r="AE29" t="s">
        <v>15</v>
      </c>
      <c r="AF29" t="s">
        <v>16</v>
      </c>
      <c r="AG29" t="s">
        <v>1107</v>
      </c>
      <c r="AH29" t="s">
        <v>927</v>
      </c>
      <c r="AI29" t="s">
        <v>1108</v>
      </c>
      <c r="AJ29" t="s">
        <v>17</v>
      </c>
    </row>
    <row r="30" spans="1:36" x14ac:dyDescent="0.3">
      <c r="A30" t="s">
        <v>1147</v>
      </c>
      <c r="B30" t="s">
        <v>1124</v>
      </c>
      <c r="C30" t="s">
        <v>1125</v>
      </c>
      <c r="D30" t="s">
        <v>1128</v>
      </c>
      <c r="E30" t="s">
        <v>1127</v>
      </c>
      <c r="F30" t="s">
        <v>1125</v>
      </c>
      <c r="G30" t="s">
        <v>923</v>
      </c>
      <c r="H30" t="s">
        <v>1134</v>
      </c>
      <c r="I30" t="s">
        <v>1138</v>
      </c>
      <c r="J30" t="str">
        <f t="shared" si="1"/>
        <v>rsi_{'C':['number',2.5,1),'number',5,-1)]}_[21,49]_4{'n':</v>
      </c>
      <c r="K30" t="str">
        <f t="shared" si="2"/>
        <v>rsi_{'C':['number',2.5,1),'number',5,-1)]}_[21,49]_4</v>
      </c>
      <c r="L30" t="s">
        <v>1176</v>
      </c>
      <c r="M30" t="s">
        <v>784</v>
      </c>
      <c r="N30" t="s">
        <v>2</v>
      </c>
      <c r="O30" t="s">
        <v>849</v>
      </c>
      <c r="P30" t="s">
        <v>4</v>
      </c>
      <c r="Q30" t="s">
        <v>882</v>
      </c>
      <c r="R30">
        <f t="shared" si="0"/>
        <v>8.1600000000000197</v>
      </c>
      <c r="S30" t="s">
        <v>6</v>
      </c>
      <c r="T30" t="s">
        <v>883</v>
      </c>
      <c r="U30" t="s">
        <v>8</v>
      </c>
      <c r="V30" t="s">
        <v>884</v>
      </c>
      <c r="W30" t="s">
        <v>10</v>
      </c>
      <c r="X30" t="s">
        <v>885</v>
      </c>
      <c r="Y30" t="s">
        <v>12</v>
      </c>
      <c r="Z30" t="s">
        <v>886</v>
      </c>
      <c r="AA30" t="s">
        <v>14</v>
      </c>
      <c r="AB30" t="s">
        <v>1109</v>
      </c>
      <c r="AC30" t="s">
        <v>927</v>
      </c>
      <c r="AD30" t="s">
        <v>1110</v>
      </c>
      <c r="AE30" t="s">
        <v>15</v>
      </c>
      <c r="AF30" t="s">
        <v>16</v>
      </c>
      <c r="AG30" t="s">
        <v>1107</v>
      </c>
      <c r="AH30" t="s">
        <v>927</v>
      </c>
      <c r="AI30" t="s">
        <v>1108</v>
      </c>
      <c r="AJ30" t="s">
        <v>17</v>
      </c>
    </row>
    <row r="31" spans="1:36" x14ac:dyDescent="0.3">
      <c r="A31" t="s">
        <v>1146</v>
      </c>
      <c r="B31" t="s">
        <v>1124</v>
      </c>
      <c r="C31" t="s">
        <v>1125</v>
      </c>
      <c r="D31" t="s">
        <v>1144</v>
      </c>
      <c r="E31" t="s">
        <v>1127</v>
      </c>
      <c r="F31" t="s">
        <v>1125</v>
      </c>
      <c r="G31" t="s">
        <v>922</v>
      </c>
      <c r="H31" t="s">
        <v>1134</v>
      </c>
      <c r="I31" t="s">
        <v>1138</v>
      </c>
      <c r="J31" t="str">
        <f t="shared" si="1"/>
        <v>psar_{'C':['number',7.5,1),'number',10,-1)]}_[21,49]_4{'n':</v>
      </c>
      <c r="K31" t="str">
        <f t="shared" si="2"/>
        <v>psar_{'C':['number',7.5,1),'number',10,-1)]}_[21,49]_4</v>
      </c>
      <c r="L31" t="s">
        <v>1177</v>
      </c>
      <c r="M31" t="s">
        <v>592</v>
      </c>
      <c r="N31" t="s">
        <v>2</v>
      </c>
      <c r="O31" t="s">
        <v>795</v>
      </c>
      <c r="P31" t="s">
        <v>4</v>
      </c>
      <c r="Q31" t="s">
        <v>796</v>
      </c>
      <c r="R31">
        <f t="shared" si="0"/>
        <v>8.1538835682532902</v>
      </c>
      <c r="S31" t="s">
        <v>6</v>
      </c>
      <c r="T31" t="s">
        <v>797</v>
      </c>
      <c r="U31" t="s">
        <v>8</v>
      </c>
      <c r="V31" t="s">
        <v>798</v>
      </c>
      <c r="W31" t="s">
        <v>10</v>
      </c>
      <c r="X31" t="s">
        <v>799</v>
      </c>
      <c r="Y31" t="s">
        <v>12</v>
      </c>
      <c r="Z31" t="s">
        <v>800</v>
      </c>
      <c r="AA31" t="s">
        <v>14</v>
      </c>
      <c r="AB31" t="s">
        <v>1094</v>
      </c>
      <c r="AC31" t="s">
        <v>927</v>
      </c>
      <c r="AD31" t="s">
        <v>934</v>
      </c>
      <c r="AE31" t="s">
        <v>15</v>
      </c>
      <c r="AF31" t="s">
        <v>16</v>
      </c>
      <c r="AG31" t="s">
        <v>1094</v>
      </c>
      <c r="AH31" t="s">
        <v>927</v>
      </c>
      <c r="AI31" t="s">
        <v>934</v>
      </c>
      <c r="AJ31" t="s">
        <v>17</v>
      </c>
    </row>
    <row r="32" spans="1:36" x14ac:dyDescent="0.3">
      <c r="A32" t="s">
        <v>1147</v>
      </c>
      <c r="B32" t="s">
        <v>1124</v>
      </c>
      <c r="C32" t="s">
        <v>1125</v>
      </c>
      <c r="D32" t="s">
        <v>1126</v>
      </c>
      <c r="E32" t="s">
        <v>1127</v>
      </c>
      <c r="F32" t="s">
        <v>1125</v>
      </c>
      <c r="G32" t="s">
        <v>1128</v>
      </c>
      <c r="H32" t="s">
        <v>1134</v>
      </c>
      <c r="I32" t="s">
        <v>1136</v>
      </c>
      <c r="J32" t="str">
        <f t="shared" si="1"/>
        <v>rsi_{'C':['number',0,1),'number',2.5,-1)]}_[21,49]_2{'n':</v>
      </c>
      <c r="K32" t="str">
        <f t="shared" si="2"/>
        <v>rsi_{'C':['number',0,1),'number',2.5,-1)]}_[21,49]_2</v>
      </c>
      <c r="L32" t="s">
        <v>1178</v>
      </c>
      <c r="M32" t="s">
        <v>784</v>
      </c>
      <c r="N32" t="s">
        <v>2</v>
      </c>
      <c r="O32" t="s">
        <v>838</v>
      </c>
      <c r="P32" t="s">
        <v>4</v>
      </c>
      <c r="Q32" t="s">
        <v>839</v>
      </c>
      <c r="R32">
        <f t="shared" si="0"/>
        <v>7.7000000000000304</v>
      </c>
      <c r="S32" t="s">
        <v>6</v>
      </c>
      <c r="T32" t="s">
        <v>840</v>
      </c>
      <c r="U32" t="s">
        <v>8</v>
      </c>
      <c r="V32" t="s">
        <v>841</v>
      </c>
      <c r="W32" t="s">
        <v>10</v>
      </c>
      <c r="X32" t="s">
        <v>842</v>
      </c>
      <c r="Y32" t="s">
        <v>12</v>
      </c>
      <c r="Z32" t="s">
        <v>843</v>
      </c>
      <c r="AA32" t="s">
        <v>14</v>
      </c>
      <c r="AB32" t="s">
        <v>1101</v>
      </c>
      <c r="AC32" t="s">
        <v>927</v>
      </c>
      <c r="AD32" t="s">
        <v>930</v>
      </c>
      <c r="AE32" t="s">
        <v>15</v>
      </c>
      <c r="AF32" t="s">
        <v>16</v>
      </c>
      <c r="AG32" t="s">
        <v>1101</v>
      </c>
      <c r="AH32" t="s">
        <v>927</v>
      </c>
      <c r="AI32" t="s">
        <v>930</v>
      </c>
      <c r="AJ32" t="s">
        <v>17</v>
      </c>
    </row>
    <row r="33" spans="1:36" x14ac:dyDescent="0.3">
      <c r="A33" t="s">
        <v>1147</v>
      </c>
      <c r="B33" t="s">
        <v>1124</v>
      </c>
      <c r="C33" t="s">
        <v>1125</v>
      </c>
      <c r="D33" t="s">
        <v>1126</v>
      </c>
      <c r="E33" t="s">
        <v>1127</v>
      </c>
      <c r="F33" t="s">
        <v>1125</v>
      </c>
      <c r="G33" t="s">
        <v>1128</v>
      </c>
      <c r="H33" t="s">
        <v>1134</v>
      </c>
      <c r="I33" t="s">
        <v>1137</v>
      </c>
      <c r="J33" t="str">
        <f t="shared" si="1"/>
        <v>rsi_{'C':['number',0,1),'number',2.5,-1)]}_[21,49]_3{'n':</v>
      </c>
      <c r="K33" t="str">
        <f t="shared" si="2"/>
        <v>rsi_{'C':['number',0,1),'number',2.5,-1)]}_[21,49]_3</v>
      </c>
      <c r="L33" t="s">
        <v>1179</v>
      </c>
      <c r="M33" t="s">
        <v>784</v>
      </c>
      <c r="N33" t="s">
        <v>2</v>
      </c>
      <c r="O33" t="s">
        <v>838</v>
      </c>
      <c r="P33" t="s">
        <v>4</v>
      </c>
      <c r="Q33" t="s">
        <v>839</v>
      </c>
      <c r="R33">
        <f t="shared" si="0"/>
        <v>7.7000000000000304</v>
      </c>
      <c r="S33" t="s">
        <v>6</v>
      </c>
      <c r="T33" t="s">
        <v>840</v>
      </c>
      <c r="U33" t="s">
        <v>8</v>
      </c>
      <c r="V33" t="s">
        <v>841</v>
      </c>
      <c r="W33" t="s">
        <v>10</v>
      </c>
      <c r="X33" t="s">
        <v>842</v>
      </c>
      <c r="Y33" t="s">
        <v>12</v>
      </c>
      <c r="Z33" t="s">
        <v>843</v>
      </c>
      <c r="AA33" t="s">
        <v>14</v>
      </c>
      <c r="AB33" t="s">
        <v>1101</v>
      </c>
      <c r="AC33" t="s">
        <v>927</v>
      </c>
      <c r="AD33" t="s">
        <v>930</v>
      </c>
      <c r="AE33" t="s">
        <v>15</v>
      </c>
      <c r="AF33" t="s">
        <v>16</v>
      </c>
      <c r="AG33" t="s">
        <v>1101</v>
      </c>
      <c r="AH33" t="s">
        <v>927</v>
      </c>
      <c r="AI33" t="s">
        <v>930</v>
      </c>
      <c r="AJ33" t="s">
        <v>17</v>
      </c>
    </row>
    <row r="34" spans="1:36" x14ac:dyDescent="0.3">
      <c r="A34" t="s">
        <v>1147</v>
      </c>
      <c r="B34" t="s">
        <v>1124</v>
      </c>
      <c r="C34" t="s">
        <v>1125</v>
      </c>
      <c r="D34" t="s">
        <v>1126</v>
      </c>
      <c r="E34" t="s">
        <v>1127</v>
      </c>
      <c r="F34" t="s">
        <v>1125</v>
      </c>
      <c r="G34" t="s">
        <v>1128</v>
      </c>
      <c r="H34" t="s">
        <v>1134</v>
      </c>
      <c r="I34" t="s">
        <v>1138</v>
      </c>
      <c r="J34" t="str">
        <f t="shared" si="1"/>
        <v>rsi_{'C':['number',0,1),'number',2.5,-1)]}_[21,49]_4{'n':</v>
      </c>
      <c r="K34" t="str">
        <f t="shared" si="2"/>
        <v>rsi_{'C':['number',0,1),'number',2.5,-1)]}_[21,49]_4</v>
      </c>
      <c r="L34" t="s">
        <v>1180</v>
      </c>
      <c r="M34" t="s">
        <v>784</v>
      </c>
      <c r="N34" t="s">
        <v>2</v>
      </c>
      <c r="O34" t="s">
        <v>838</v>
      </c>
      <c r="P34" t="s">
        <v>4</v>
      </c>
      <c r="Q34" t="s">
        <v>839</v>
      </c>
      <c r="R34">
        <f t="shared" si="0"/>
        <v>7.7000000000000304</v>
      </c>
      <c r="S34" t="s">
        <v>6</v>
      </c>
      <c r="T34" t="s">
        <v>840</v>
      </c>
      <c r="U34" t="s">
        <v>8</v>
      </c>
      <c r="V34" t="s">
        <v>841</v>
      </c>
      <c r="W34" t="s">
        <v>10</v>
      </c>
      <c r="X34" t="s">
        <v>842</v>
      </c>
      <c r="Y34" t="s">
        <v>12</v>
      </c>
      <c r="Z34" t="s">
        <v>843</v>
      </c>
      <c r="AA34" t="s">
        <v>14</v>
      </c>
      <c r="AB34" t="s">
        <v>1101</v>
      </c>
      <c r="AC34" t="s">
        <v>927</v>
      </c>
      <c r="AD34" t="s">
        <v>930</v>
      </c>
      <c r="AE34" t="s">
        <v>15</v>
      </c>
      <c r="AF34" t="s">
        <v>16</v>
      </c>
      <c r="AG34" t="s">
        <v>1101</v>
      </c>
      <c r="AH34" t="s">
        <v>927</v>
      </c>
      <c r="AI34" t="s">
        <v>930</v>
      </c>
      <c r="AJ34" t="s">
        <v>17</v>
      </c>
    </row>
    <row r="35" spans="1:36" x14ac:dyDescent="0.3">
      <c r="A35" t="s">
        <v>1146</v>
      </c>
      <c r="B35" t="s">
        <v>1124</v>
      </c>
      <c r="C35" t="s">
        <v>1125</v>
      </c>
      <c r="D35" t="s">
        <v>1144</v>
      </c>
      <c r="E35" t="s">
        <v>1127</v>
      </c>
      <c r="F35" t="s">
        <v>1125</v>
      </c>
      <c r="G35" t="s">
        <v>922</v>
      </c>
      <c r="H35" t="s">
        <v>1134</v>
      </c>
      <c r="I35" t="s">
        <v>1137</v>
      </c>
      <c r="J35" t="str">
        <f t="shared" si="1"/>
        <v>psar_{'C':['number',7.5,1),'number',10,-1)]}_[21,49]_3{'n':</v>
      </c>
      <c r="K35" t="str">
        <f t="shared" si="2"/>
        <v>psar_{'C':['number',7.5,1),'number',10,-1)]}_[21,49]_3</v>
      </c>
      <c r="L35" t="s">
        <v>1181</v>
      </c>
      <c r="M35" t="s">
        <v>592</v>
      </c>
      <c r="N35" t="s">
        <v>2</v>
      </c>
      <c r="O35" t="s">
        <v>706</v>
      </c>
      <c r="P35" t="s">
        <v>4</v>
      </c>
      <c r="Q35" t="s">
        <v>790</v>
      </c>
      <c r="R35">
        <f t="shared" si="0"/>
        <v>7.5938835682532702</v>
      </c>
      <c r="S35" t="s">
        <v>6</v>
      </c>
      <c r="T35" t="s">
        <v>791</v>
      </c>
      <c r="U35" t="s">
        <v>8</v>
      </c>
      <c r="V35" t="s">
        <v>792</v>
      </c>
      <c r="W35" t="s">
        <v>10</v>
      </c>
      <c r="X35" t="s">
        <v>793</v>
      </c>
      <c r="Y35" t="s">
        <v>12</v>
      </c>
      <c r="Z35" t="s">
        <v>794</v>
      </c>
      <c r="AA35" t="s">
        <v>14</v>
      </c>
      <c r="AB35" t="s">
        <v>1094</v>
      </c>
      <c r="AC35" t="s">
        <v>927</v>
      </c>
      <c r="AD35" t="s">
        <v>934</v>
      </c>
      <c r="AE35" t="s">
        <v>15</v>
      </c>
      <c r="AF35" t="s">
        <v>16</v>
      </c>
      <c r="AG35" t="s">
        <v>1094</v>
      </c>
      <c r="AH35" t="s">
        <v>927</v>
      </c>
      <c r="AI35" t="s">
        <v>934</v>
      </c>
      <c r="AJ35" t="s">
        <v>17</v>
      </c>
    </row>
    <row r="36" spans="1:36" x14ac:dyDescent="0.3">
      <c r="A36" t="s">
        <v>1147</v>
      </c>
      <c r="B36" t="s">
        <v>1124</v>
      </c>
      <c r="C36" t="s">
        <v>1125</v>
      </c>
      <c r="D36" t="s">
        <v>1128</v>
      </c>
      <c r="E36" t="s">
        <v>1127</v>
      </c>
      <c r="F36" t="s">
        <v>1125</v>
      </c>
      <c r="G36" t="s">
        <v>923</v>
      </c>
      <c r="H36" t="s">
        <v>1134</v>
      </c>
      <c r="I36" t="s">
        <v>1135</v>
      </c>
      <c r="J36" t="str">
        <f t="shared" si="1"/>
        <v>rsi_{'C':['number',2.5,1),'number',5,-1)]}_[21,49]_1{'n':</v>
      </c>
      <c r="K36" t="str">
        <f t="shared" si="2"/>
        <v>rsi_{'C':['number',2.5,1),'number',5,-1)]}_[21,49]_1</v>
      </c>
      <c r="L36" t="s">
        <v>1182</v>
      </c>
      <c r="M36" t="s">
        <v>784</v>
      </c>
      <c r="N36" t="s">
        <v>2</v>
      </c>
      <c r="O36" t="s">
        <v>876</v>
      </c>
      <c r="P36" t="s">
        <v>4</v>
      </c>
      <c r="Q36" t="s">
        <v>877</v>
      </c>
      <c r="R36">
        <f t="shared" si="0"/>
        <v>6.6200000000000196</v>
      </c>
      <c r="S36" t="s">
        <v>6</v>
      </c>
      <c r="T36" t="s">
        <v>878</v>
      </c>
      <c r="U36" t="s">
        <v>8</v>
      </c>
      <c r="V36" t="s">
        <v>879</v>
      </c>
      <c r="W36" t="s">
        <v>10</v>
      </c>
      <c r="X36" t="s">
        <v>880</v>
      </c>
      <c r="Y36" t="s">
        <v>12</v>
      </c>
      <c r="Z36" t="s">
        <v>881</v>
      </c>
      <c r="AA36" t="s">
        <v>14</v>
      </c>
      <c r="AB36" t="s">
        <v>1106</v>
      </c>
      <c r="AC36" t="s">
        <v>927</v>
      </c>
      <c r="AD36" t="s">
        <v>953</v>
      </c>
      <c r="AE36" t="s">
        <v>15</v>
      </c>
      <c r="AF36" t="s">
        <v>16</v>
      </c>
      <c r="AG36" t="s">
        <v>1107</v>
      </c>
      <c r="AH36" t="s">
        <v>927</v>
      </c>
      <c r="AI36" t="s">
        <v>1108</v>
      </c>
      <c r="AJ36" t="s">
        <v>17</v>
      </c>
    </row>
    <row r="37" spans="1:36" x14ac:dyDescent="0.3">
      <c r="A37" t="s">
        <v>1145</v>
      </c>
      <c r="B37" t="s">
        <v>1124</v>
      </c>
      <c r="C37" t="s">
        <v>1125</v>
      </c>
      <c r="D37" t="s">
        <v>1128</v>
      </c>
      <c r="E37" t="s">
        <v>1127</v>
      </c>
      <c r="F37" t="s">
        <v>1125</v>
      </c>
      <c r="G37" t="s">
        <v>923</v>
      </c>
      <c r="H37" t="s">
        <v>1134</v>
      </c>
      <c r="I37" t="s">
        <v>1136</v>
      </c>
      <c r="J37" t="str">
        <f t="shared" si="1"/>
        <v>bbands_{'C':['number',2.5,1),'number',5,-1)]}_[21,49]_2{'n':</v>
      </c>
      <c r="K37" t="str">
        <f t="shared" si="2"/>
        <v>bbands_{'C':['number',2.5,1),'number',5,-1)]}_[21,49]_2</v>
      </c>
      <c r="L37" t="s">
        <v>1183</v>
      </c>
      <c r="M37" t="s">
        <v>322</v>
      </c>
      <c r="N37" t="s">
        <v>2</v>
      </c>
      <c r="O37" t="s">
        <v>312</v>
      </c>
      <c r="P37" t="s">
        <v>4</v>
      </c>
      <c r="Q37" t="s">
        <v>398</v>
      </c>
      <c r="R37">
        <f t="shared" si="0"/>
        <v>6.4407785272103402</v>
      </c>
      <c r="S37" t="s">
        <v>6</v>
      </c>
      <c r="T37" t="s">
        <v>399</v>
      </c>
      <c r="U37" t="s">
        <v>8</v>
      </c>
      <c r="V37" t="s">
        <v>400</v>
      </c>
      <c r="W37" t="s">
        <v>10</v>
      </c>
      <c r="X37" t="s">
        <v>401</v>
      </c>
      <c r="Y37" t="s">
        <v>12</v>
      </c>
      <c r="Z37" t="s">
        <v>402</v>
      </c>
      <c r="AA37" t="s">
        <v>14</v>
      </c>
      <c r="AB37" t="s">
        <v>1017</v>
      </c>
      <c r="AC37" t="s">
        <v>927</v>
      </c>
      <c r="AD37" t="s">
        <v>1018</v>
      </c>
      <c r="AE37" t="s">
        <v>15</v>
      </c>
      <c r="AF37" t="s">
        <v>16</v>
      </c>
      <c r="AG37" t="s">
        <v>1019</v>
      </c>
      <c r="AH37" t="s">
        <v>927</v>
      </c>
      <c r="AI37" t="s">
        <v>1020</v>
      </c>
      <c r="AJ37" t="s">
        <v>17</v>
      </c>
    </row>
    <row r="38" spans="1:36" x14ac:dyDescent="0.3">
      <c r="A38" t="s">
        <v>1146</v>
      </c>
      <c r="B38" t="s">
        <v>1124</v>
      </c>
      <c r="C38" t="s">
        <v>1125</v>
      </c>
      <c r="D38" t="s">
        <v>1128</v>
      </c>
      <c r="E38" t="s">
        <v>1127</v>
      </c>
      <c r="F38" t="s">
        <v>1125</v>
      </c>
      <c r="G38" t="s">
        <v>923</v>
      </c>
      <c r="H38" t="s">
        <v>1134</v>
      </c>
      <c r="I38" t="s">
        <v>1135</v>
      </c>
      <c r="J38" t="str">
        <f t="shared" si="1"/>
        <v>psar_{'C':['number',2.5,1),'number',5,-1)]}_[21,49]_1{'n':</v>
      </c>
      <c r="K38" t="str">
        <f t="shared" si="2"/>
        <v>psar_{'C':['number',2.5,1),'number',5,-1)]}_[21,49]_1</v>
      </c>
      <c r="L38" t="s">
        <v>1184</v>
      </c>
      <c r="M38" t="s">
        <v>592</v>
      </c>
      <c r="N38" t="s">
        <v>2</v>
      </c>
      <c r="O38" t="s">
        <v>570</v>
      </c>
      <c r="P38" t="s">
        <v>4</v>
      </c>
      <c r="Q38" t="s">
        <v>652</v>
      </c>
      <c r="R38">
        <f t="shared" si="0"/>
        <v>6.4099999999999904</v>
      </c>
      <c r="S38" t="s">
        <v>6</v>
      </c>
      <c r="T38" t="s">
        <v>653</v>
      </c>
      <c r="U38" t="s">
        <v>8</v>
      </c>
      <c r="V38" t="s">
        <v>654</v>
      </c>
      <c r="W38" t="s">
        <v>10</v>
      </c>
      <c r="X38" t="s">
        <v>655</v>
      </c>
      <c r="Y38" t="s">
        <v>12</v>
      </c>
      <c r="Z38" t="s">
        <v>656</v>
      </c>
      <c r="AA38" t="s">
        <v>14</v>
      </c>
      <c r="AB38" t="s">
        <v>1059</v>
      </c>
      <c r="AC38" t="s">
        <v>927</v>
      </c>
      <c r="AD38" t="s">
        <v>1060</v>
      </c>
      <c r="AE38" t="s">
        <v>15</v>
      </c>
      <c r="AF38" t="s">
        <v>16</v>
      </c>
      <c r="AG38" t="s">
        <v>1061</v>
      </c>
      <c r="AH38" t="s">
        <v>927</v>
      </c>
      <c r="AI38" t="s">
        <v>982</v>
      </c>
      <c r="AJ38" t="s">
        <v>17</v>
      </c>
    </row>
    <row r="39" spans="1:36" x14ac:dyDescent="0.3">
      <c r="A39" t="s">
        <v>1146</v>
      </c>
      <c r="B39" t="s">
        <v>1124</v>
      </c>
      <c r="C39" t="s">
        <v>1125</v>
      </c>
      <c r="D39" t="s">
        <v>923</v>
      </c>
      <c r="E39" t="s">
        <v>1127</v>
      </c>
      <c r="F39" t="s">
        <v>1125</v>
      </c>
      <c r="G39" t="s">
        <v>1144</v>
      </c>
      <c r="H39" t="s">
        <v>1134</v>
      </c>
      <c r="I39" t="s">
        <v>1135</v>
      </c>
      <c r="J39" t="str">
        <f t="shared" si="1"/>
        <v>psar_{'C':['number',5,1),'number',7.5,-1)]}_[21,49]_1{'n':</v>
      </c>
      <c r="K39" t="str">
        <f t="shared" si="2"/>
        <v>psar_{'C':['number',5,1),'number',7.5,-1)]}_[21,49]_1</v>
      </c>
      <c r="L39" t="s">
        <v>1185</v>
      </c>
      <c r="M39" t="s">
        <v>592</v>
      </c>
      <c r="N39" t="s">
        <v>2</v>
      </c>
      <c r="O39" t="s">
        <v>570</v>
      </c>
      <c r="P39" t="s">
        <v>4</v>
      </c>
      <c r="Q39" t="s">
        <v>712</v>
      </c>
      <c r="R39">
        <f t="shared" si="0"/>
        <v>5.6400000000000299</v>
      </c>
      <c r="S39" t="s">
        <v>6</v>
      </c>
      <c r="T39" t="s">
        <v>713</v>
      </c>
      <c r="U39" t="s">
        <v>8</v>
      </c>
      <c r="V39" t="s">
        <v>714</v>
      </c>
      <c r="W39" t="s">
        <v>10</v>
      </c>
      <c r="X39" t="s">
        <v>715</v>
      </c>
      <c r="Y39" t="s">
        <v>12</v>
      </c>
      <c r="Z39" t="s">
        <v>716</v>
      </c>
      <c r="AA39" t="s">
        <v>14</v>
      </c>
      <c r="AB39" t="s">
        <v>1075</v>
      </c>
      <c r="AC39" t="s">
        <v>927</v>
      </c>
      <c r="AD39" t="s">
        <v>1076</v>
      </c>
      <c r="AE39" t="s">
        <v>15</v>
      </c>
      <c r="AF39" t="s">
        <v>16</v>
      </c>
      <c r="AG39" t="s">
        <v>1075</v>
      </c>
      <c r="AH39" t="s">
        <v>927</v>
      </c>
      <c r="AI39" t="s">
        <v>1076</v>
      </c>
      <c r="AJ39" t="s">
        <v>17</v>
      </c>
    </row>
    <row r="40" spans="1:36" x14ac:dyDescent="0.3">
      <c r="A40" t="s">
        <v>1147</v>
      </c>
      <c r="B40" t="s">
        <v>1124</v>
      </c>
      <c r="C40" t="s">
        <v>1125</v>
      </c>
      <c r="D40" t="s">
        <v>1128</v>
      </c>
      <c r="E40" t="s">
        <v>1127</v>
      </c>
      <c r="F40" t="s">
        <v>1125</v>
      </c>
      <c r="G40" t="s">
        <v>923</v>
      </c>
      <c r="H40" t="s">
        <v>1139</v>
      </c>
      <c r="I40" t="s">
        <v>1143</v>
      </c>
      <c r="J40" t="str">
        <f t="shared" si="1"/>
        <v>rsi_{'C':['number',2.5,1),'number',5,-1)]}_[35,70]_4{'n':</v>
      </c>
      <c r="K40" t="str">
        <f t="shared" si="2"/>
        <v>rsi_{'C':['number',2.5,1),'number',5,-1)]}_[35,70]_4</v>
      </c>
      <c r="L40" t="s">
        <v>1186</v>
      </c>
      <c r="M40" t="s">
        <v>536</v>
      </c>
      <c r="N40" t="s">
        <v>2</v>
      </c>
      <c r="O40" t="s">
        <v>838</v>
      </c>
      <c r="P40" t="s">
        <v>4</v>
      </c>
      <c r="Q40" t="s">
        <v>903</v>
      </c>
      <c r="R40">
        <f t="shared" si="0"/>
        <v>5.4544959970763696</v>
      </c>
      <c r="S40" t="s">
        <v>6</v>
      </c>
      <c r="T40" t="s">
        <v>904</v>
      </c>
      <c r="U40" t="s">
        <v>8</v>
      </c>
      <c r="V40" t="s">
        <v>905</v>
      </c>
      <c r="W40" t="s">
        <v>10</v>
      </c>
      <c r="X40" t="s">
        <v>901</v>
      </c>
      <c r="Y40" t="s">
        <v>12</v>
      </c>
      <c r="Z40" t="s">
        <v>906</v>
      </c>
      <c r="AA40" t="s">
        <v>14</v>
      </c>
      <c r="AB40" t="s">
        <v>1119</v>
      </c>
      <c r="AC40" s="1">
        <v>44838</v>
      </c>
      <c r="AD40" s="1">
        <v>44872</v>
      </c>
    </row>
    <row r="41" spans="1:36" x14ac:dyDescent="0.3">
      <c r="A41" t="s">
        <v>1147</v>
      </c>
      <c r="B41" t="s">
        <v>1124</v>
      </c>
      <c r="C41" t="s">
        <v>1125</v>
      </c>
      <c r="D41" t="s">
        <v>1126</v>
      </c>
      <c r="E41" t="s">
        <v>1127</v>
      </c>
      <c r="F41" t="s">
        <v>1125</v>
      </c>
      <c r="G41" t="s">
        <v>1128</v>
      </c>
      <c r="H41" t="s">
        <v>1139</v>
      </c>
      <c r="I41" t="s">
        <v>1140</v>
      </c>
      <c r="J41" t="str">
        <f t="shared" si="1"/>
        <v>rsi_{'C':['number',0,1),'number',2.5,-1)]}_[35,70]_1{'n':</v>
      </c>
      <c r="K41" t="str">
        <f t="shared" si="2"/>
        <v>rsi_{'C':['number',0,1),'number',2.5,-1)]}_[35,70]_1</v>
      </c>
      <c r="L41" t="s">
        <v>1187</v>
      </c>
      <c r="M41" t="s">
        <v>536</v>
      </c>
      <c r="N41" t="s">
        <v>2</v>
      </c>
      <c r="O41" t="s">
        <v>821</v>
      </c>
      <c r="P41" t="s">
        <v>4</v>
      </c>
      <c r="Q41" t="s">
        <v>844</v>
      </c>
      <c r="R41">
        <f t="shared" si="0"/>
        <v>5.2677238729465303</v>
      </c>
      <c r="S41" t="s">
        <v>6</v>
      </c>
      <c r="T41" t="s">
        <v>845</v>
      </c>
      <c r="U41" t="s">
        <v>8</v>
      </c>
      <c r="V41" t="s">
        <v>846</v>
      </c>
      <c r="W41" t="s">
        <v>10</v>
      </c>
      <c r="X41" t="s">
        <v>847</v>
      </c>
      <c r="Y41" t="s">
        <v>12</v>
      </c>
      <c r="Z41" t="s">
        <v>848</v>
      </c>
      <c r="AA41" t="s">
        <v>14</v>
      </c>
      <c r="AB41" t="s">
        <v>1021</v>
      </c>
      <c r="AC41" t="s">
        <v>927</v>
      </c>
      <c r="AD41" t="s">
        <v>1055</v>
      </c>
      <c r="AE41" t="s">
        <v>15</v>
      </c>
      <c r="AF41" t="s">
        <v>16</v>
      </c>
      <c r="AG41" t="s">
        <v>1021</v>
      </c>
      <c r="AH41" t="s">
        <v>927</v>
      </c>
      <c r="AI41" t="s">
        <v>1055</v>
      </c>
      <c r="AJ41" t="s">
        <v>17</v>
      </c>
    </row>
    <row r="42" spans="1:36" x14ac:dyDescent="0.3">
      <c r="A42" t="s">
        <v>1146</v>
      </c>
      <c r="B42" t="s">
        <v>1124</v>
      </c>
      <c r="C42" t="s">
        <v>1125</v>
      </c>
      <c r="D42" t="s">
        <v>1144</v>
      </c>
      <c r="E42" t="s">
        <v>1127</v>
      </c>
      <c r="F42" t="s">
        <v>1125</v>
      </c>
      <c r="G42" t="s">
        <v>922</v>
      </c>
      <c r="H42" t="s">
        <v>1134</v>
      </c>
      <c r="I42" t="s">
        <v>1136</v>
      </c>
      <c r="J42" t="str">
        <f t="shared" si="1"/>
        <v>psar_{'C':['number',7.5,1),'number',10,-1)]}_[21,49]_2{'n':</v>
      </c>
      <c r="K42" t="str">
        <f t="shared" si="2"/>
        <v>psar_{'C':['number',7.5,1),'number',10,-1)]}_[21,49]_2</v>
      </c>
      <c r="L42" t="s">
        <v>1188</v>
      </c>
      <c r="M42" t="s">
        <v>592</v>
      </c>
      <c r="N42" t="s">
        <v>2</v>
      </c>
      <c r="O42" t="s">
        <v>784</v>
      </c>
      <c r="P42" t="s">
        <v>4</v>
      </c>
      <c r="Q42" t="s">
        <v>785</v>
      </c>
      <c r="R42">
        <f t="shared" si="0"/>
        <v>4.24</v>
      </c>
      <c r="S42" t="s">
        <v>6</v>
      </c>
      <c r="T42" t="s">
        <v>786</v>
      </c>
      <c r="U42" t="s">
        <v>8</v>
      </c>
      <c r="V42" t="s">
        <v>787</v>
      </c>
      <c r="W42" t="s">
        <v>10</v>
      </c>
      <c r="X42" t="s">
        <v>788</v>
      </c>
      <c r="Y42" t="s">
        <v>12</v>
      </c>
      <c r="Z42" t="s">
        <v>789</v>
      </c>
      <c r="AA42" t="s">
        <v>14</v>
      </c>
      <c r="AB42" t="s">
        <v>1094</v>
      </c>
      <c r="AC42" t="s">
        <v>927</v>
      </c>
      <c r="AD42" t="s">
        <v>934</v>
      </c>
      <c r="AE42" t="s">
        <v>15</v>
      </c>
      <c r="AF42" t="s">
        <v>16</v>
      </c>
      <c r="AG42" t="s">
        <v>1094</v>
      </c>
      <c r="AH42" t="s">
        <v>927</v>
      </c>
      <c r="AI42" t="s">
        <v>934</v>
      </c>
      <c r="AJ42" t="s">
        <v>17</v>
      </c>
    </row>
    <row r="43" spans="1:36" x14ac:dyDescent="0.3">
      <c r="A43" t="s">
        <v>1145</v>
      </c>
      <c r="B43" t="s">
        <v>1124</v>
      </c>
      <c r="C43" t="s">
        <v>1125</v>
      </c>
      <c r="D43" t="s">
        <v>1128</v>
      </c>
      <c r="E43" t="s">
        <v>1127</v>
      </c>
      <c r="F43" t="s">
        <v>1125</v>
      </c>
      <c r="G43" t="s">
        <v>923</v>
      </c>
      <c r="H43" t="s">
        <v>1134</v>
      </c>
      <c r="I43" t="s">
        <v>1137</v>
      </c>
      <c r="J43" t="str">
        <f t="shared" si="1"/>
        <v>bbands_{'C':['number',2.5,1),'number',5,-1)]}_[21,49]_3{'n':</v>
      </c>
      <c r="K43" t="str">
        <f t="shared" si="2"/>
        <v>bbands_{'C':['number',2.5,1),'number',5,-1)]}_[21,49]_3</v>
      </c>
      <c r="L43" t="s">
        <v>1189</v>
      </c>
      <c r="M43" t="s">
        <v>322</v>
      </c>
      <c r="N43" t="s">
        <v>2</v>
      </c>
      <c r="O43" t="s">
        <v>403</v>
      </c>
      <c r="P43" t="s">
        <v>4</v>
      </c>
      <c r="Q43" t="s">
        <v>404</v>
      </c>
      <c r="R43">
        <f t="shared" si="0"/>
        <v>4.0607785272103403</v>
      </c>
      <c r="S43" t="s">
        <v>6</v>
      </c>
      <c r="T43" t="s">
        <v>405</v>
      </c>
      <c r="U43" t="s">
        <v>8</v>
      </c>
      <c r="V43" t="s">
        <v>406</v>
      </c>
      <c r="W43" t="s">
        <v>10</v>
      </c>
      <c r="X43" t="s">
        <v>407</v>
      </c>
      <c r="Y43" t="s">
        <v>12</v>
      </c>
      <c r="Z43" t="s">
        <v>408</v>
      </c>
      <c r="AA43" t="s">
        <v>14</v>
      </c>
      <c r="AB43" t="s">
        <v>1021</v>
      </c>
      <c r="AC43" t="s">
        <v>927</v>
      </c>
      <c r="AD43" t="s">
        <v>1022</v>
      </c>
      <c r="AE43" t="s">
        <v>15</v>
      </c>
      <c r="AF43" t="s">
        <v>16</v>
      </c>
      <c r="AG43" t="s">
        <v>1019</v>
      </c>
      <c r="AH43" t="s">
        <v>927</v>
      </c>
      <c r="AI43" t="s">
        <v>1020</v>
      </c>
      <c r="AJ43" t="s">
        <v>17</v>
      </c>
    </row>
    <row r="44" spans="1:36" x14ac:dyDescent="0.3">
      <c r="A44" t="s">
        <v>1146</v>
      </c>
      <c r="B44" t="s">
        <v>1124</v>
      </c>
      <c r="C44" t="s">
        <v>1125</v>
      </c>
      <c r="D44" t="s">
        <v>1144</v>
      </c>
      <c r="E44" t="s">
        <v>1127</v>
      </c>
      <c r="F44" t="s">
        <v>1125</v>
      </c>
      <c r="G44" t="s">
        <v>922</v>
      </c>
      <c r="H44" t="s">
        <v>1129</v>
      </c>
      <c r="I44" t="s">
        <v>1133</v>
      </c>
      <c r="J44" t="str">
        <f t="shared" si="1"/>
        <v>psar_{'C':['number',7.5,1),'number',10,-1)]}_[7,35]_4{'n':</v>
      </c>
      <c r="K44" t="str">
        <f t="shared" si="2"/>
        <v>psar_{'C':['number',7.5,1),'number',10,-1)]}_[7,35]_4</v>
      </c>
      <c r="L44" t="s">
        <v>1190</v>
      </c>
      <c r="M44" t="s">
        <v>569</v>
      </c>
      <c r="N44" t="s">
        <v>2</v>
      </c>
      <c r="O44" t="s">
        <v>772</v>
      </c>
      <c r="P44" t="s">
        <v>4</v>
      </c>
      <c r="Q44" t="s">
        <v>773</v>
      </c>
      <c r="R44">
        <f t="shared" si="0"/>
        <v>3.9000000000000101</v>
      </c>
      <c r="S44" t="s">
        <v>6</v>
      </c>
      <c r="T44" t="s">
        <v>774</v>
      </c>
      <c r="U44" t="s">
        <v>8</v>
      </c>
      <c r="V44" t="s">
        <v>775</v>
      </c>
      <c r="W44" t="s">
        <v>10</v>
      </c>
      <c r="X44" t="s">
        <v>776</v>
      </c>
      <c r="Y44" t="s">
        <v>12</v>
      </c>
      <c r="Z44" t="s">
        <v>777</v>
      </c>
      <c r="AA44" t="s">
        <v>14</v>
      </c>
      <c r="AB44" t="s">
        <v>1088</v>
      </c>
      <c r="AC44" t="s">
        <v>927</v>
      </c>
      <c r="AD44" t="s">
        <v>1089</v>
      </c>
      <c r="AE44" t="s">
        <v>15</v>
      </c>
      <c r="AF44" t="s">
        <v>16</v>
      </c>
      <c r="AG44" t="s">
        <v>1088</v>
      </c>
      <c r="AH44" t="s">
        <v>927</v>
      </c>
      <c r="AI44" t="s">
        <v>1089</v>
      </c>
      <c r="AJ44" t="s">
        <v>17</v>
      </c>
    </row>
    <row r="45" spans="1:36" x14ac:dyDescent="0.3">
      <c r="A45" t="s">
        <v>1146</v>
      </c>
      <c r="B45" t="s">
        <v>1124</v>
      </c>
      <c r="C45" t="s">
        <v>1125</v>
      </c>
      <c r="D45" t="s">
        <v>923</v>
      </c>
      <c r="E45" t="s">
        <v>1127</v>
      </c>
      <c r="F45" t="s">
        <v>1125</v>
      </c>
      <c r="G45" t="s">
        <v>1144</v>
      </c>
      <c r="H45" t="s">
        <v>1134</v>
      </c>
      <c r="I45" t="s">
        <v>1136</v>
      </c>
      <c r="J45" t="str">
        <f t="shared" si="1"/>
        <v>psar_{'C':['number',5,1),'number',7.5,-1)]}_[21,49]_2{'n':</v>
      </c>
      <c r="K45" t="str">
        <f t="shared" si="2"/>
        <v>psar_{'C':['number',5,1),'number',7.5,-1)]}_[21,49]_2</v>
      </c>
      <c r="L45" t="s">
        <v>1191</v>
      </c>
      <c r="M45" t="s">
        <v>592</v>
      </c>
      <c r="N45" t="s">
        <v>2</v>
      </c>
      <c r="O45" t="s">
        <v>717</v>
      </c>
      <c r="P45" t="s">
        <v>4</v>
      </c>
      <c r="Q45" t="s">
        <v>718</v>
      </c>
      <c r="R45">
        <f t="shared" si="0"/>
        <v>3.6300000000000199</v>
      </c>
      <c r="S45" t="s">
        <v>6</v>
      </c>
      <c r="T45" t="s">
        <v>719</v>
      </c>
      <c r="U45" t="s">
        <v>8</v>
      </c>
      <c r="V45" t="s">
        <v>720</v>
      </c>
      <c r="W45" t="s">
        <v>10</v>
      </c>
      <c r="X45" t="s">
        <v>721</v>
      </c>
      <c r="Y45" t="s">
        <v>12</v>
      </c>
      <c r="Z45" t="s">
        <v>722</v>
      </c>
      <c r="AA45" t="s">
        <v>14</v>
      </c>
      <c r="AB45" t="s">
        <v>1077</v>
      </c>
      <c r="AC45" t="s">
        <v>927</v>
      </c>
      <c r="AD45" t="s">
        <v>934</v>
      </c>
      <c r="AE45" t="s">
        <v>15</v>
      </c>
      <c r="AF45" t="s">
        <v>16</v>
      </c>
      <c r="AG45" t="s">
        <v>1077</v>
      </c>
      <c r="AH45" t="s">
        <v>927</v>
      </c>
      <c r="AI45" t="s">
        <v>934</v>
      </c>
      <c r="AJ45" t="s">
        <v>17</v>
      </c>
    </row>
    <row r="46" spans="1:36" x14ac:dyDescent="0.3">
      <c r="A46" t="s">
        <v>1147</v>
      </c>
      <c r="B46" t="s">
        <v>1124</v>
      </c>
      <c r="C46" t="s">
        <v>1125</v>
      </c>
      <c r="D46" t="s">
        <v>1128</v>
      </c>
      <c r="E46" t="s">
        <v>1127</v>
      </c>
      <c r="F46" t="s">
        <v>1125</v>
      </c>
      <c r="G46" t="s">
        <v>923</v>
      </c>
      <c r="H46" t="s">
        <v>1129</v>
      </c>
      <c r="I46" t="s">
        <v>1132</v>
      </c>
      <c r="J46" t="str">
        <f t="shared" si="1"/>
        <v>rsi_{'C':['number',2.5,1),'number',5,-1)]}_[7,35]_3{'n':</v>
      </c>
      <c r="K46" t="str">
        <f t="shared" si="2"/>
        <v>rsi_{'C':['number',2.5,1),'number',5,-1)]}_[7,35]_3</v>
      </c>
      <c r="L46" t="s">
        <v>1192</v>
      </c>
      <c r="M46" t="s">
        <v>723</v>
      </c>
      <c r="N46" t="s">
        <v>2</v>
      </c>
      <c r="O46" t="s">
        <v>866</v>
      </c>
      <c r="P46" t="s">
        <v>4</v>
      </c>
      <c r="Q46" t="s">
        <v>872</v>
      </c>
      <c r="R46">
        <f t="shared" si="0"/>
        <v>3.5999999999999899</v>
      </c>
      <c r="S46" t="s">
        <v>6</v>
      </c>
      <c r="T46" t="s">
        <v>873</v>
      </c>
      <c r="U46" t="s">
        <v>8</v>
      </c>
      <c r="V46" t="s">
        <v>874</v>
      </c>
      <c r="W46" t="s">
        <v>10</v>
      </c>
      <c r="X46" t="s">
        <v>870</v>
      </c>
      <c r="Y46" t="s">
        <v>12</v>
      </c>
      <c r="Z46" t="s">
        <v>875</v>
      </c>
      <c r="AA46" t="s">
        <v>14</v>
      </c>
      <c r="AB46" t="s">
        <v>1017</v>
      </c>
      <c r="AC46" t="s">
        <v>927</v>
      </c>
      <c r="AD46" t="s">
        <v>1018</v>
      </c>
      <c r="AE46" t="s">
        <v>15</v>
      </c>
      <c r="AF46" t="s">
        <v>16</v>
      </c>
      <c r="AG46" t="s">
        <v>1017</v>
      </c>
      <c r="AH46" t="s">
        <v>927</v>
      </c>
      <c r="AI46" t="s">
        <v>1018</v>
      </c>
      <c r="AJ46" t="s">
        <v>17</v>
      </c>
    </row>
    <row r="47" spans="1:36" x14ac:dyDescent="0.3">
      <c r="A47" t="s">
        <v>1147</v>
      </c>
      <c r="B47" t="s">
        <v>1124</v>
      </c>
      <c r="C47" t="s">
        <v>1125</v>
      </c>
      <c r="D47" t="s">
        <v>1128</v>
      </c>
      <c r="E47" t="s">
        <v>1127</v>
      </c>
      <c r="F47" t="s">
        <v>1125</v>
      </c>
      <c r="G47" t="s">
        <v>923</v>
      </c>
      <c r="H47" t="s">
        <v>1129</v>
      </c>
      <c r="I47" t="s">
        <v>1133</v>
      </c>
      <c r="J47" t="str">
        <f t="shared" si="1"/>
        <v>rsi_{'C':['number',2.5,1),'number',5,-1)]}_[7,35]_4{'n':</v>
      </c>
      <c r="K47" t="str">
        <f t="shared" si="2"/>
        <v>rsi_{'C':['number',2.5,1),'number',5,-1)]}_[7,35]_4</v>
      </c>
      <c r="L47" t="s">
        <v>1193</v>
      </c>
      <c r="M47" t="s">
        <v>723</v>
      </c>
      <c r="N47" t="s">
        <v>2</v>
      </c>
      <c r="O47" t="s">
        <v>866</v>
      </c>
      <c r="P47" t="s">
        <v>4</v>
      </c>
      <c r="Q47" t="s">
        <v>872</v>
      </c>
      <c r="R47">
        <f t="shared" si="0"/>
        <v>3.5999999999999899</v>
      </c>
      <c r="S47" t="s">
        <v>6</v>
      </c>
      <c r="T47" t="s">
        <v>873</v>
      </c>
      <c r="U47" t="s">
        <v>8</v>
      </c>
      <c r="V47" t="s">
        <v>874</v>
      </c>
      <c r="W47" t="s">
        <v>10</v>
      </c>
      <c r="X47" t="s">
        <v>870</v>
      </c>
      <c r="Y47" t="s">
        <v>12</v>
      </c>
      <c r="Z47" t="s">
        <v>875</v>
      </c>
      <c r="AA47" t="s">
        <v>14</v>
      </c>
      <c r="AB47" t="s">
        <v>1017</v>
      </c>
      <c r="AC47" t="s">
        <v>927</v>
      </c>
      <c r="AD47" t="s">
        <v>1018</v>
      </c>
      <c r="AE47" t="s">
        <v>15</v>
      </c>
      <c r="AF47" t="s">
        <v>16</v>
      </c>
      <c r="AG47" t="s">
        <v>1017</v>
      </c>
      <c r="AH47" t="s">
        <v>927</v>
      </c>
      <c r="AI47" t="s">
        <v>1018</v>
      </c>
      <c r="AJ47" t="s">
        <v>17</v>
      </c>
    </row>
    <row r="48" spans="1:36" x14ac:dyDescent="0.3">
      <c r="A48" t="s">
        <v>1147</v>
      </c>
      <c r="B48" t="s">
        <v>1124</v>
      </c>
      <c r="C48" t="s">
        <v>1125</v>
      </c>
      <c r="D48" t="s">
        <v>1128</v>
      </c>
      <c r="E48" t="s">
        <v>1127</v>
      </c>
      <c r="F48" t="s">
        <v>1125</v>
      </c>
      <c r="G48" t="s">
        <v>923</v>
      </c>
      <c r="H48" t="s">
        <v>1129</v>
      </c>
      <c r="I48" t="s">
        <v>1131</v>
      </c>
      <c r="J48" t="str">
        <f t="shared" si="1"/>
        <v>rsi_{'C':['number',2.5,1),'number',5,-1)]}_[7,35]_2{'n':</v>
      </c>
      <c r="K48" t="str">
        <f t="shared" si="2"/>
        <v>rsi_{'C':['number',2.5,1),'number',5,-1)]}_[7,35]_2</v>
      </c>
      <c r="L48" t="s">
        <v>1194</v>
      </c>
      <c r="M48" t="s">
        <v>723</v>
      </c>
      <c r="N48" t="s">
        <v>2</v>
      </c>
      <c r="O48" t="s">
        <v>866</v>
      </c>
      <c r="P48" t="s">
        <v>4</v>
      </c>
      <c r="Q48" t="s">
        <v>867</v>
      </c>
      <c r="R48">
        <f t="shared" si="0"/>
        <v>3.44999999999999</v>
      </c>
      <c r="S48" t="s">
        <v>6</v>
      </c>
      <c r="T48" t="s">
        <v>868</v>
      </c>
      <c r="U48" t="s">
        <v>8</v>
      </c>
      <c r="V48" t="s">
        <v>869</v>
      </c>
      <c r="W48" t="s">
        <v>10</v>
      </c>
      <c r="X48" t="s">
        <v>870</v>
      </c>
      <c r="Y48" t="s">
        <v>12</v>
      </c>
      <c r="Z48" t="s">
        <v>871</v>
      </c>
      <c r="AA48" t="s">
        <v>14</v>
      </c>
      <c r="AB48" t="s">
        <v>1017</v>
      </c>
      <c r="AC48" t="s">
        <v>927</v>
      </c>
      <c r="AD48" t="s">
        <v>1018</v>
      </c>
      <c r="AE48" t="s">
        <v>15</v>
      </c>
      <c r="AF48" t="s">
        <v>16</v>
      </c>
      <c r="AG48" t="s">
        <v>1017</v>
      </c>
      <c r="AH48" t="s">
        <v>927</v>
      </c>
      <c r="AI48" t="s">
        <v>1018</v>
      </c>
      <c r="AJ48" t="s">
        <v>17</v>
      </c>
    </row>
    <row r="49" spans="1:36" x14ac:dyDescent="0.3">
      <c r="A49" t="s">
        <v>1145</v>
      </c>
      <c r="B49" t="s">
        <v>1124</v>
      </c>
      <c r="C49" t="s">
        <v>1125</v>
      </c>
      <c r="D49" t="s">
        <v>1144</v>
      </c>
      <c r="E49" t="s">
        <v>1127</v>
      </c>
      <c r="F49" t="s">
        <v>1125</v>
      </c>
      <c r="G49" t="s">
        <v>922</v>
      </c>
      <c r="H49" t="s">
        <v>1129</v>
      </c>
      <c r="I49" t="s">
        <v>1130</v>
      </c>
      <c r="J49" t="str">
        <f t="shared" si="1"/>
        <v>bbands_{'C':['number',7.5,1),'number',10,-1)]}_[7,35]_1{'n':</v>
      </c>
      <c r="K49" t="str">
        <f t="shared" si="2"/>
        <v>bbands_{'C':['number',7.5,1),'number',10,-1)]}_[7,35]_1</v>
      </c>
      <c r="L49" t="s">
        <v>1195</v>
      </c>
      <c r="M49" t="s">
        <v>305</v>
      </c>
      <c r="N49" t="s">
        <v>2</v>
      </c>
      <c r="O49" t="s">
        <v>502</v>
      </c>
      <c r="P49" t="s">
        <v>4</v>
      </c>
      <c r="Q49" t="s">
        <v>503</v>
      </c>
      <c r="R49">
        <f t="shared" si="0"/>
        <v>3.1400000000000099</v>
      </c>
      <c r="S49" t="s">
        <v>6</v>
      </c>
      <c r="T49" t="s">
        <v>504</v>
      </c>
      <c r="U49" t="s">
        <v>8</v>
      </c>
      <c r="V49" t="s">
        <v>505</v>
      </c>
      <c r="W49" t="s">
        <v>10</v>
      </c>
      <c r="X49" t="s">
        <v>506</v>
      </c>
      <c r="Y49" t="s">
        <v>12</v>
      </c>
      <c r="Z49" t="s">
        <v>507</v>
      </c>
      <c r="AA49" t="s">
        <v>14</v>
      </c>
      <c r="AB49" t="s">
        <v>1044</v>
      </c>
      <c r="AC49" t="s">
        <v>927</v>
      </c>
      <c r="AD49" t="s">
        <v>999</v>
      </c>
      <c r="AE49" t="s">
        <v>15</v>
      </c>
      <c r="AF49" t="s">
        <v>16</v>
      </c>
      <c r="AG49" t="s">
        <v>1045</v>
      </c>
      <c r="AH49" t="s">
        <v>927</v>
      </c>
      <c r="AI49" t="s">
        <v>950</v>
      </c>
      <c r="AJ49" t="s">
        <v>17</v>
      </c>
    </row>
    <row r="50" spans="1:36" x14ac:dyDescent="0.3">
      <c r="A50" t="s">
        <v>1123</v>
      </c>
      <c r="B50" t="s">
        <v>1124</v>
      </c>
      <c r="C50" t="s">
        <v>1125</v>
      </c>
      <c r="D50" t="s">
        <v>1128</v>
      </c>
      <c r="E50" t="s">
        <v>1127</v>
      </c>
      <c r="F50" t="s">
        <v>1125</v>
      </c>
      <c r="G50" t="s">
        <v>923</v>
      </c>
      <c r="H50" t="s">
        <v>1134</v>
      </c>
      <c r="I50" t="s">
        <v>1135</v>
      </c>
      <c r="J50" t="str">
        <f t="shared" si="1"/>
        <v>alltime_{'C':['number',2.5,1),'number',5,-1)]}_[21,49]_1{'n':</v>
      </c>
      <c r="K50" t="str">
        <f t="shared" si="2"/>
        <v>alltime_{'C':['number',2.5,1),'number',5,-1)]}_[21,49]_1</v>
      </c>
      <c r="L50" t="s">
        <v>1196</v>
      </c>
      <c r="M50" t="s">
        <v>36</v>
      </c>
      <c r="N50" t="s">
        <v>2</v>
      </c>
      <c r="O50" t="s">
        <v>113</v>
      </c>
      <c r="P50" t="s">
        <v>4</v>
      </c>
      <c r="Q50" t="s">
        <v>114</v>
      </c>
      <c r="R50">
        <f t="shared" si="0"/>
        <v>3.0280873957638601</v>
      </c>
      <c r="S50" t="s">
        <v>6</v>
      </c>
      <c r="T50" t="s">
        <v>115</v>
      </c>
      <c r="U50" t="s">
        <v>8</v>
      </c>
      <c r="V50" t="s">
        <v>116</v>
      </c>
      <c r="W50" t="s">
        <v>10</v>
      </c>
      <c r="X50" t="s">
        <v>117</v>
      </c>
      <c r="Y50" t="s">
        <v>12</v>
      </c>
      <c r="Z50" t="s">
        <v>118</v>
      </c>
      <c r="AA50" t="s">
        <v>14</v>
      </c>
      <c r="AB50" t="s">
        <v>926</v>
      </c>
      <c r="AC50" t="s">
        <v>927</v>
      </c>
      <c r="AD50" t="s">
        <v>928</v>
      </c>
      <c r="AE50" t="s">
        <v>15</v>
      </c>
      <c r="AF50" t="s">
        <v>16</v>
      </c>
      <c r="AG50" t="s">
        <v>952</v>
      </c>
      <c r="AH50" t="s">
        <v>927</v>
      </c>
      <c r="AI50" t="s">
        <v>953</v>
      </c>
      <c r="AJ50" t="s">
        <v>17</v>
      </c>
    </row>
    <row r="51" spans="1:36" x14ac:dyDescent="0.3">
      <c r="A51" t="s">
        <v>1147</v>
      </c>
      <c r="B51" t="s">
        <v>1124</v>
      </c>
      <c r="C51" t="s">
        <v>1125</v>
      </c>
      <c r="D51" t="s">
        <v>1128</v>
      </c>
      <c r="E51" t="s">
        <v>1127</v>
      </c>
      <c r="F51" t="s">
        <v>1125</v>
      </c>
      <c r="G51" t="s">
        <v>923</v>
      </c>
      <c r="H51" t="s">
        <v>1129</v>
      </c>
      <c r="I51" t="s">
        <v>1130</v>
      </c>
      <c r="J51" t="str">
        <f t="shared" si="1"/>
        <v>rsi_{'C':['number',2.5,1),'number',5,-1)]}_[7,35]_1{'n':</v>
      </c>
      <c r="K51" t="str">
        <f t="shared" si="2"/>
        <v>rsi_{'C':['number',2.5,1),'number',5,-1)]}_[7,35]_1</v>
      </c>
      <c r="L51" t="s">
        <v>1197</v>
      </c>
      <c r="M51" t="s">
        <v>723</v>
      </c>
      <c r="N51" t="s">
        <v>2</v>
      </c>
      <c r="O51" t="s">
        <v>849</v>
      </c>
      <c r="P51" t="s">
        <v>4</v>
      </c>
      <c r="Q51" t="s">
        <v>861</v>
      </c>
      <c r="R51">
        <f t="shared" si="0"/>
        <v>2.8799999999999901</v>
      </c>
      <c r="S51" t="s">
        <v>6</v>
      </c>
      <c r="T51" t="s">
        <v>862</v>
      </c>
      <c r="U51" t="s">
        <v>8</v>
      </c>
      <c r="V51" t="s">
        <v>863</v>
      </c>
      <c r="W51" t="s">
        <v>10</v>
      </c>
      <c r="X51" t="s">
        <v>864</v>
      </c>
      <c r="Y51" t="s">
        <v>12</v>
      </c>
      <c r="Z51" t="s">
        <v>865</v>
      </c>
      <c r="AA51" t="s">
        <v>14</v>
      </c>
      <c r="AB51" t="s">
        <v>1102</v>
      </c>
      <c r="AC51" t="s">
        <v>927</v>
      </c>
      <c r="AD51" t="s">
        <v>1103</v>
      </c>
      <c r="AE51" t="s">
        <v>15</v>
      </c>
      <c r="AF51" t="s">
        <v>16</v>
      </c>
      <c r="AG51" t="s">
        <v>1104</v>
      </c>
      <c r="AH51" t="s">
        <v>927</v>
      </c>
      <c r="AI51" t="s">
        <v>1105</v>
      </c>
      <c r="AJ51" t="s">
        <v>17</v>
      </c>
    </row>
    <row r="52" spans="1:36" x14ac:dyDescent="0.3">
      <c r="A52" t="s">
        <v>1146</v>
      </c>
      <c r="B52" t="s">
        <v>1124</v>
      </c>
      <c r="C52" t="s">
        <v>1125</v>
      </c>
      <c r="D52" t="s">
        <v>1128</v>
      </c>
      <c r="E52" t="s">
        <v>1127</v>
      </c>
      <c r="F52" t="s">
        <v>1125</v>
      </c>
      <c r="G52" t="s">
        <v>923</v>
      </c>
      <c r="H52" t="s">
        <v>1134</v>
      </c>
      <c r="I52" t="s">
        <v>1136</v>
      </c>
      <c r="J52" t="str">
        <f t="shared" si="1"/>
        <v>psar_{'C':['number',2.5,1),'number',5,-1)]}_[21,49]_2{'n':</v>
      </c>
      <c r="K52" t="str">
        <f t="shared" si="2"/>
        <v>psar_{'C':['number',2.5,1),'number',5,-1)]}_[21,49]_2</v>
      </c>
      <c r="L52" t="s">
        <v>1198</v>
      </c>
      <c r="M52" t="s">
        <v>592</v>
      </c>
      <c r="N52" t="s">
        <v>2</v>
      </c>
      <c r="O52" t="s">
        <v>445</v>
      </c>
      <c r="P52" t="s">
        <v>4</v>
      </c>
      <c r="Q52" t="s">
        <v>657</v>
      </c>
      <c r="R52">
        <f t="shared" si="0"/>
        <v>2.3799999999999701</v>
      </c>
      <c r="S52" t="s">
        <v>6</v>
      </c>
      <c r="T52" t="s">
        <v>658</v>
      </c>
      <c r="U52" t="s">
        <v>8</v>
      </c>
      <c r="V52" t="s">
        <v>659</v>
      </c>
      <c r="W52" t="s">
        <v>10</v>
      </c>
      <c r="X52" t="s">
        <v>660</v>
      </c>
      <c r="Y52" t="s">
        <v>12</v>
      </c>
      <c r="Z52" t="s">
        <v>661</v>
      </c>
      <c r="AA52" t="s">
        <v>14</v>
      </c>
      <c r="AB52" t="s">
        <v>1062</v>
      </c>
      <c r="AC52" t="s">
        <v>927</v>
      </c>
      <c r="AD52" t="s">
        <v>1063</v>
      </c>
      <c r="AE52" t="s">
        <v>15</v>
      </c>
      <c r="AF52" t="s">
        <v>16</v>
      </c>
      <c r="AG52" t="s">
        <v>1062</v>
      </c>
      <c r="AH52" t="s">
        <v>927</v>
      </c>
      <c r="AI52" t="s">
        <v>1063</v>
      </c>
      <c r="AJ52" t="s">
        <v>17</v>
      </c>
    </row>
    <row r="53" spans="1:36" x14ac:dyDescent="0.3">
      <c r="A53" t="s">
        <v>1145</v>
      </c>
      <c r="B53" t="s">
        <v>1124</v>
      </c>
      <c r="C53" t="s">
        <v>1125</v>
      </c>
      <c r="D53" t="s">
        <v>923</v>
      </c>
      <c r="E53" t="s">
        <v>1127</v>
      </c>
      <c r="F53" t="s">
        <v>1125</v>
      </c>
      <c r="G53" t="s">
        <v>1144</v>
      </c>
      <c r="H53" t="s">
        <v>1134</v>
      </c>
      <c r="I53" t="s">
        <v>1136</v>
      </c>
      <c r="J53" t="str">
        <f t="shared" si="1"/>
        <v>bbands_{'C':['number',5,1),'number',7.5,-1)]}_[21,49]_2{'n':</v>
      </c>
      <c r="K53" t="str">
        <f t="shared" si="2"/>
        <v>bbands_{'C':['number',5,1),'number',7.5,-1)]}_[21,49]_2</v>
      </c>
      <c r="L53" t="s">
        <v>1199</v>
      </c>
      <c r="M53" t="s">
        <v>322</v>
      </c>
      <c r="N53" t="s">
        <v>2</v>
      </c>
      <c r="O53" t="s">
        <v>462</v>
      </c>
      <c r="P53" t="s">
        <v>4</v>
      </c>
      <c r="Q53" t="s">
        <v>463</v>
      </c>
      <c r="R53">
        <f t="shared" si="0"/>
        <v>2.1202729372544602</v>
      </c>
      <c r="S53" t="s">
        <v>6</v>
      </c>
      <c r="T53" t="s">
        <v>464</v>
      </c>
      <c r="U53" t="s">
        <v>8</v>
      </c>
      <c r="V53" t="s">
        <v>465</v>
      </c>
      <c r="W53" t="s">
        <v>10</v>
      </c>
      <c r="X53" t="s">
        <v>466</v>
      </c>
      <c r="Y53" t="s">
        <v>12</v>
      </c>
      <c r="Z53" t="s">
        <v>467</v>
      </c>
      <c r="AA53" t="s">
        <v>14</v>
      </c>
      <c r="AB53" t="s">
        <v>1035</v>
      </c>
      <c r="AC53" t="s">
        <v>927</v>
      </c>
      <c r="AD53" t="s">
        <v>1036</v>
      </c>
      <c r="AE53" t="s">
        <v>15</v>
      </c>
      <c r="AF53" t="s">
        <v>16</v>
      </c>
      <c r="AG53" t="s">
        <v>1037</v>
      </c>
      <c r="AH53" t="s">
        <v>927</v>
      </c>
      <c r="AI53" t="s">
        <v>950</v>
      </c>
      <c r="AJ53" t="s">
        <v>17</v>
      </c>
    </row>
    <row r="54" spans="1:36" x14ac:dyDescent="0.3">
      <c r="A54" t="s">
        <v>1146</v>
      </c>
      <c r="B54" t="s">
        <v>1124</v>
      </c>
      <c r="C54" t="s">
        <v>1125</v>
      </c>
      <c r="D54" t="s">
        <v>1126</v>
      </c>
      <c r="E54" t="s">
        <v>1127</v>
      </c>
      <c r="F54" t="s">
        <v>1125</v>
      </c>
      <c r="G54" t="s">
        <v>1128</v>
      </c>
      <c r="H54" t="s">
        <v>1134</v>
      </c>
      <c r="I54" t="s">
        <v>1137</v>
      </c>
      <c r="J54" t="str">
        <f t="shared" si="1"/>
        <v>psar_{'C':['number',0,1),'number',2.5,-1)]}_[21,49]_3{'n':</v>
      </c>
      <c r="K54" t="str">
        <f t="shared" si="2"/>
        <v>psar_{'C':['number',0,1),'number',2.5,-1)]}_[21,49]_3</v>
      </c>
      <c r="L54" t="s">
        <v>1200</v>
      </c>
      <c r="M54" t="s">
        <v>592</v>
      </c>
      <c r="N54" t="s">
        <v>2</v>
      </c>
      <c r="O54" t="s">
        <v>473</v>
      </c>
      <c r="P54" t="s">
        <v>4</v>
      </c>
      <c r="Q54" t="s">
        <v>604</v>
      </c>
      <c r="R54">
        <f t="shared" si="0"/>
        <v>2.1100000000000598</v>
      </c>
      <c r="S54" t="s">
        <v>6</v>
      </c>
      <c r="T54" t="s">
        <v>605</v>
      </c>
      <c r="U54" t="s">
        <v>8</v>
      </c>
      <c r="V54" t="s">
        <v>606</v>
      </c>
      <c r="W54" t="s">
        <v>10</v>
      </c>
      <c r="X54" t="s">
        <v>602</v>
      </c>
      <c r="Y54" t="s">
        <v>12</v>
      </c>
      <c r="Z54" t="s">
        <v>607</v>
      </c>
      <c r="AA54" t="s">
        <v>14</v>
      </c>
      <c r="AB54" t="s">
        <v>1054</v>
      </c>
      <c r="AC54" t="s">
        <v>927</v>
      </c>
      <c r="AD54" t="s">
        <v>1050</v>
      </c>
      <c r="AE54" t="s">
        <v>15</v>
      </c>
      <c r="AF54" t="s">
        <v>16</v>
      </c>
      <c r="AG54" t="s">
        <v>1054</v>
      </c>
      <c r="AH54" t="s">
        <v>927</v>
      </c>
      <c r="AI54" t="s">
        <v>1050</v>
      </c>
      <c r="AJ54" t="s">
        <v>17</v>
      </c>
    </row>
    <row r="55" spans="1:36" x14ac:dyDescent="0.3">
      <c r="A55" t="s">
        <v>1145</v>
      </c>
      <c r="B55" t="s">
        <v>1124</v>
      </c>
      <c r="C55" t="s">
        <v>1125</v>
      </c>
      <c r="D55" t="s">
        <v>1144</v>
      </c>
      <c r="E55" t="s">
        <v>1127</v>
      </c>
      <c r="F55" t="s">
        <v>1125</v>
      </c>
      <c r="G55" t="s">
        <v>922</v>
      </c>
      <c r="H55" t="s">
        <v>1134</v>
      </c>
      <c r="I55" t="s">
        <v>1135</v>
      </c>
      <c r="J55" t="str">
        <f t="shared" si="1"/>
        <v>bbands_{'C':['number',7.5,1),'number',10,-1)]}_[21,49]_1{'n':</v>
      </c>
      <c r="K55" t="str">
        <f t="shared" si="2"/>
        <v>bbands_{'C':['number',7.5,1),'number',10,-1)]}_[21,49]_1</v>
      </c>
      <c r="L55" t="s">
        <v>1201</v>
      </c>
      <c r="M55" t="s">
        <v>322</v>
      </c>
      <c r="N55" t="s">
        <v>2</v>
      </c>
      <c r="O55" t="s">
        <v>491</v>
      </c>
      <c r="P55" t="s">
        <v>4</v>
      </c>
      <c r="Q55" t="s">
        <v>525</v>
      </c>
      <c r="R55">
        <f t="shared" si="0"/>
        <v>1.75000000000001</v>
      </c>
      <c r="S55" t="s">
        <v>6</v>
      </c>
      <c r="T55" t="s">
        <v>526</v>
      </c>
      <c r="U55" t="s">
        <v>8</v>
      </c>
      <c r="V55" t="s">
        <v>527</v>
      </c>
      <c r="W55" t="s">
        <v>10</v>
      </c>
      <c r="X55" t="s">
        <v>528</v>
      </c>
      <c r="Y55" t="s">
        <v>12</v>
      </c>
      <c r="Z55" t="s">
        <v>529</v>
      </c>
      <c r="AA55" t="s">
        <v>14</v>
      </c>
      <c r="AB55" t="s">
        <v>1044</v>
      </c>
      <c r="AC55" t="s">
        <v>927</v>
      </c>
      <c r="AD55" t="s">
        <v>999</v>
      </c>
      <c r="AE55" t="s">
        <v>15</v>
      </c>
      <c r="AF55" t="s">
        <v>16</v>
      </c>
      <c r="AG55" t="s">
        <v>1045</v>
      </c>
      <c r="AH55" t="s">
        <v>927</v>
      </c>
      <c r="AI55" t="s">
        <v>950</v>
      </c>
      <c r="AJ55" t="s">
        <v>17</v>
      </c>
    </row>
    <row r="56" spans="1:36" x14ac:dyDescent="0.3">
      <c r="A56" t="s">
        <v>1146</v>
      </c>
      <c r="B56" t="s">
        <v>1124</v>
      </c>
      <c r="C56" t="s">
        <v>1125</v>
      </c>
      <c r="D56" t="s">
        <v>1128</v>
      </c>
      <c r="E56" t="s">
        <v>1127</v>
      </c>
      <c r="F56" t="s">
        <v>1125</v>
      </c>
      <c r="G56" t="s">
        <v>923</v>
      </c>
      <c r="H56" t="s">
        <v>1139</v>
      </c>
      <c r="I56" t="s">
        <v>1141</v>
      </c>
      <c r="J56" t="str">
        <f t="shared" si="1"/>
        <v>psar_{'C':['number',2.5,1),'number',5,-1)]}_[35,70]_2{'n':</v>
      </c>
      <c r="K56" t="str">
        <f t="shared" si="2"/>
        <v>psar_{'C':['number',2.5,1),'number',5,-1)]}_[35,70]_2</v>
      </c>
      <c r="L56" t="s">
        <v>1202</v>
      </c>
      <c r="M56" t="s">
        <v>613</v>
      </c>
      <c r="N56" t="s">
        <v>2</v>
      </c>
      <c r="O56" t="s">
        <v>462</v>
      </c>
      <c r="P56" t="s">
        <v>4</v>
      </c>
      <c r="Q56" t="s">
        <v>672</v>
      </c>
      <c r="R56">
        <f t="shared" si="0"/>
        <v>1.4167612398068601</v>
      </c>
      <c r="S56" t="s">
        <v>6</v>
      </c>
      <c r="T56" t="s">
        <v>673</v>
      </c>
      <c r="U56" t="s">
        <v>8</v>
      </c>
      <c r="V56" t="s">
        <v>674</v>
      </c>
      <c r="W56" t="s">
        <v>10</v>
      </c>
      <c r="X56" t="s">
        <v>675</v>
      </c>
      <c r="Y56" t="s">
        <v>12</v>
      </c>
      <c r="Z56" t="s">
        <v>676</v>
      </c>
      <c r="AA56" t="s">
        <v>14</v>
      </c>
      <c r="AB56" t="s">
        <v>1062</v>
      </c>
      <c r="AC56" t="s">
        <v>927</v>
      </c>
      <c r="AD56" t="s">
        <v>1063</v>
      </c>
      <c r="AE56" t="s">
        <v>15</v>
      </c>
      <c r="AF56" t="s">
        <v>16</v>
      </c>
      <c r="AG56" t="s">
        <v>1062</v>
      </c>
      <c r="AH56" t="s">
        <v>927</v>
      </c>
      <c r="AI56" t="s">
        <v>1063</v>
      </c>
      <c r="AJ56" t="s">
        <v>17</v>
      </c>
    </row>
    <row r="57" spans="1:36" x14ac:dyDescent="0.3">
      <c r="A57" t="s">
        <v>1146</v>
      </c>
      <c r="B57" t="s">
        <v>1124</v>
      </c>
      <c r="C57" t="s">
        <v>1125</v>
      </c>
      <c r="D57" t="s">
        <v>1126</v>
      </c>
      <c r="E57" t="s">
        <v>1127</v>
      </c>
      <c r="F57" t="s">
        <v>1125</v>
      </c>
      <c r="G57" t="s">
        <v>1128</v>
      </c>
      <c r="H57" t="s">
        <v>1134</v>
      </c>
      <c r="I57" t="s">
        <v>1136</v>
      </c>
      <c r="J57" t="str">
        <f t="shared" si="1"/>
        <v>psar_{'C':['number',0,1),'number',2.5,-1)]}_[21,49]_2{'n':</v>
      </c>
      <c r="K57" t="str">
        <f t="shared" si="2"/>
        <v>psar_{'C':['number',0,1),'number',2.5,-1)]}_[21,49]_2</v>
      </c>
      <c r="L57" t="s">
        <v>1203</v>
      </c>
      <c r="M57" t="s">
        <v>592</v>
      </c>
      <c r="N57" t="s">
        <v>2</v>
      </c>
      <c r="O57" t="s">
        <v>473</v>
      </c>
      <c r="P57" t="s">
        <v>4</v>
      </c>
      <c r="Q57" t="s">
        <v>599</v>
      </c>
      <c r="R57">
        <f t="shared" si="0"/>
        <v>1.11000000000006</v>
      </c>
      <c r="S57" t="s">
        <v>6</v>
      </c>
      <c r="T57" t="s">
        <v>600</v>
      </c>
      <c r="U57" t="s">
        <v>8</v>
      </c>
      <c r="V57" t="s">
        <v>601</v>
      </c>
      <c r="W57" t="s">
        <v>10</v>
      </c>
      <c r="X57" t="s">
        <v>602</v>
      </c>
      <c r="Y57" t="s">
        <v>12</v>
      </c>
      <c r="Z57" t="s">
        <v>603</v>
      </c>
      <c r="AA57" t="s">
        <v>14</v>
      </c>
      <c r="AB57" t="s">
        <v>1054</v>
      </c>
      <c r="AC57" t="s">
        <v>927</v>
      </c>
      <c r="AD57" t="s">
        <v>1050</v>
      </c>
      <c r="AE57" t="s">
        <v>15</v>
      </c>
      <c r="AF57" t="s">
        <v>16</v>
      </c>
      <c r="AG57" t="s">
        <v>1054</v>
      </c>
      <c r="AH57" t="s">
        <v>927</v>
      </c>
      <c r="AI57" t="s">
        <v>1050</v>
      </c>
      <c r="AJ57" t="s">
        <v>17</v>
      </c>
    </row>
    <row r="58" spans="1:36" x14ac:dyDescent="0.3">
      <c r="A58" t="s">
        <v>1146</v>
      </c>
      <c r="B58" t="s">
        <v>1124</v>
      </c>
      <c r="C58" t="s">
        <v>1125</v>
      </c>
      <c r="D58" t="s">
        <v>923</v>
      </c>
      <c r="E58" t="s">
        <v>1127</v>
      </c>
      <c r="F58" t="s">
        <v>1125</v>
      </c>
      <c r="G58" t="s">
        <v>1144</v>
      </c>
      <c r="H58" t="s">
        <v>1129</v>
      </c>
      <c r="I58" t="s">
        <v>1133</v>
      </c>
      <c r="J58" t="str">
        <f t="shared" si="1"/>
        <v>psar_{'C':['number',5,1),'number',7.5,-1)]}_[7,35]_4{'n':</v>
      </c>
      <c r="K58" t="str">
        <f t="shared" si="2"/>
        <v>psar_{'C':['number',5,1),'number',7.5,-1)]}_[7,35]_4</v>
      </c>
      <c r="L58" t="s">
        <v>1204</v>
      </c>
      <c r="M58" t="s">
        <v>569</v>
      </c>
      <c r="N58" t="s">
        <v>2</v>
      </c>
      <c r="O58" t="s">
        <v>706</v>
      </c>
      <c r="P58" t="s">
        <v>4</v>
      </c>
      <c r="Q58" t="s">
        <v>707</v>
      </c>
      <c r="R58">
        <f t="shared" si="0"/>
        <v>0.10000000000004899</v>
      </c>
      <c r="S58" t="s">
        <v>6</v>
      </c>
      <c r="T58" t="s">
        <v>708</v>
      </c>
      <c r="U58" t="s">
        <v>8</v>
      </c>
      <c r="V58" t="s">
        <v>709</v>
      </c>
      <c r="W58" t="s">
        <v>10</v>
      </c>
      <c r="X58" t="s">
        <v>710</v>
      </c>
      <c r="Y58" t="s">
        <v>12</v>
      </c>
      <c r="Z58" t="s">
        <v>711</v>
      </c>
      <c r="AA58" t="s">
        <v>14</v>
      </c>
      <c r="AB58" t="s">
        <v>1073</v>
      </c>
      <c r="AC58" t="s">
        <v>927</v>
      </c>
      <c r="AD58" t="s">
        <v>1074</v>
      </c>
      <c r="AE58" t="s">
        <v>15</v>
      </c>
      <c r="AF58" t="s">
        <v>16</v>
      </c>
      <c r="AG58" t="s">
        <v>1073</v>
      </c>
      <c r="AH58" t="s">
        <v>927</v>
      </c>
      <c r="AI58" t="s">
        <v>1074</v>
      </c>
      <c r="AJ58" t="s">
        <v>17</v>
      </c>
    </row>
    <row r="59" spans="1:36" x14ac:dyDescent="0.3">
      <c r="A59" t="s">
        <v>1146</v>
      </c>
      <c r="B59" t="s">
        <v>1124</v>
      </c>
      <c r="C59" t="s">
        <v>1125</v>
      </c>
      <c r="D59" t="s">
        <v>1144</v>
      </c>
      <c r="E59" t="s">
        <v>1127</v>
      </c>
      <c r="F59" t="s">
        <v>1125</v>
      </c>
      <c r="G59" t="s">
        <v>922</v>
      </c>
      <c r="H59" t="s">
        <v>1134</v>
      </c>
      <c r="I59" t="s">
        <v>1135</v>
      </c>
      <c r="J59" t="str">
        <f t="shared" si="1"/>
        <v>psar_{'C':['number',7.5,1),'number',10,-1)]}_[21,49]_1{'n':</v>
      </c>
      <c r="K59" t="str">
        <f t="shared" si="2"/>
        <v>psar_{'C':['number',7.5,1),'number',10,-1)]}_[21,49]_1</v>
      </c>
      <c r="L59" t="s">
        <v>1205</v>
      </c>
      <c r="M59" t="s">
        <v>592</v>
      </c>
      <c r="N59" t="s">
        <v>2</v>
      </c>
      <c r="O59" t="s">
        <v>778</v>
      </c>
      <c r="P59" t="s">
        <v>4</v>
      </c>
      <c r="Q59" t="s">
        <v>779</v>
      </c>
      <c r="R59">
        <f t="shared" si="0"/>
        <v>5.5511151231257803E-15</v>
      </c>
      <c r="S59" t="s">
        <v>6</v>
      </c>
      <c r="T59" t="s">
        <v>780</v>
      </c>
      <c r="U59" t="s">
        <v>8</v>
      </c>
      <c r="V59" t="s">
        <v>781</v>
      </c>
      <c r="W59" t="s">
        <v>10</v>
      </c>
      <c r="X59" t="s">
        <v>782</v>
      </c>
      <c r="Y59" t="s">
        <v>12</v>
      </c>
      <c r="Z59" t="s">
        <v>783</v>
      </c>
      <c r="AA59" t="s">
        <v>14</v>
      </c>
      <c r="AB59" t="s">
        <v>1090</v>
      </c>
      <c r="AC59" t="s">
        <v>927</v>
      </c>
      <c r="AD59" t="s">
        <v>1091</v>
      </c>
      <c r="AE59" t="s">
        <v>15</v>
      </c>
      <c r="AF59" t="s">
        <v>16</v>
      </c>
      <c r="AG59" t="s">
        <v>1092</v>
      </c>
      <c r="AH59" t="s">
        <v>927</v>
      </c>
      <c r="AI59" t="s">
        <v>1093</v>
      </c>
      <c r="AJ59" t="s">
        <v>17</v>
      </c>
    </row>
    <row r="60" spans="1:36" x14ac:dyDescent="0.3">
      <c r="A60" s="1">
        <v>44200</v>
      </c>
      <c r="B60" s="1">
        <v>44201</v>
      </c>
      <c r="R60">
        <f t="shared" si="0"/>
        <v>0</v>
      </c>
    </row>
    <row r="61" spans="1:36" x14ac:dyDescent="0.3">
      <c r="A61" t="s">
        <v>67</v>
      </c>
      <c r="B61" t="s">
        <v>68</v>
      </c>
      <c r="C61" t="s">
        <v>69</v>
      </c>
      <c r="D61" t="s">
        <v>70</v>
      </c>
      <c r="E61" t="s">
        <v>16</v>
      </c>
      <c r="F61" t="s">
        <v>945</v>
      </c>
      <c r="G61" t="s">
        <v>927</v>
      </c>
      <c r="H61" t="s">
        <v>946</v>
      </c>
      <c r="I61" t="s">
        <v>17</v>
      </c>
      <c r="R61">
        <f t="shared" si="0"/>
        <v>0</v>
      </c>
    </row>
    <row r="62" spans="1:36" x14ac:dyDescent="0.3">
      <c r="A62" s="1">
        <v>44200</v>
      </c>
      <c r="B62" s="1">
        <v>44201</v>
      </c>
      <c r="R62">
        <f t="shared" si="0"/>
        <v>0</v>
      </c>
    </row>
    <row r="63" spans="1:36" x14ac:dyDescent="0.3">
      <c r="A63" t="s">
        <v>67</v>
      </c>
      <c r="B63" t="s">
        <v>68</v>
      </c>
      <c r="C63" t="s">
        <v>69</v>
      </c>
      <c r="D63" t="s">
        <v>70</v>
      </c>
      <c r="E63" t="s">
        <v>16</v>
      </c>
      <c r="F63" t="s">
        <v>947</v>
      </c>
      <c r="G63" t="s">
        <v>927</v>
      </c>
      <c r="H63" t="s">
        <v>948</v>
      </c>
      <c r="I63" t="s">
        <v>17</v>
      </c>
      <c r="R63">
        <f t="shared" si="0"/>
        <v>0</v>
      </c>
    </row>
    <row r="64" spans="1:36" x14ac:dyDescent="0.3">
      <c r="A64" s="1">
        <v>44172</v>
      </c>
      <c r="B64" s="1">
        <v>44172</v>
      </c>
      <c r="R64">
        <f t="shared" si="0"/>
        <v>0</v>
      </c>
    </row>
    <row r="65" spans="1:18" x14ac:dyDescent="0.3">
      <c r="A65" t="s">
        <v>67</v>
      </c>
      <c r="B65" t="s">
        <v>68</v>
      </c>
      <c r="C65" t="s">
        <v>69</v>
      </c>
      <c r="D65" t="s">
        <v>70</v>
      </c>
      <c r="E65" t="s">
        <v>16</v>
      </c>
      <c r="F65" t="s">
        <v>947</v>
      </c>
      <c r="G65" t="s">
        <v>927</v>
      </c>
      <c r="H65" t="s">
        <v>948</v>
      </c>
      <c r="I65" t="s">
        <v>17</v>
      </c>
      <c r="R65">
        <f t="shared" si="0"/>
        <v>0</v>
      </c>
    </row>
    <row r="66" spans="1:18" x14ac:dyDescent="0.3">
      <c r="A66" s="1">
        <v>44169</v>
      </c>
      <c r="B66" s="1">
        <v>44174</v>
      </c>
      <c r="R66">
        <f t="shared" ref="R66:R129" si="3">IFERROR(VALUE(_xlfn.TEXTBEFORE(Q66, ",")), 0)</f>
        <v>0</v>
      </c>
    </row>
    <row r="67" spans="1:18" x14ac:dyDescent="0.3">
      <c r="A67" t="s">
        <v>67</v>
      </c>
      <c r="B67" t="s">
        <v>68</v>
      </c>
      <c r="C67" t="s">
        <v>69</v>
      </c>
      <c r="D67" t="s">
        <v>70</v>
      </c>
      <c r="E67" t="s">
        <v>16</v>
      </c>
      <c r="F67" t="s">
        <v>947</v>
      </c>
      <c r="G67" t="s">
        <v>927</v>
      </c>
      <c r="H67" t="s">
        <v>948</v>
      </c>
      <c r="I67" t="s">
        <v>17</v>
      </c>
      <c r="R67">
        <f t="shared" si="3"/>
        <v>0</v>
      </c>
    </row>
    <row r="68" spans="1:18" x14ac:dyDescent="0.3">
      <c r="A68" s="1">
        <v>44169</v>
      </c>
      <c r="B68" s="1">
        <v>44172</v>
      </c>
      <c r="R68">
        <f t="shared" si="3"/>
        <v>0</v>
      </c>
    </row>
    <row r="69" spans="1:18" x14ac:dyDescent="0.3">
      <c r="A69" t="s">
        <v>67</v>
      </c>
      <c r="B69" t="s">
        <v>68</v>
      </c>
      <c r="C69" t="s">
        <v>69</v>
      </c>
      <c r="D69" t="s">
        <v>70</v>
      </c>
      <c r="E69" t="s">
        <v>16</v>
      </c>
      <c r="F69" t="s">
        <v>958</v>
      </c>
      <c r="G69" t="s">
        <v>927</v>
      </c>
      <c r="H69" t="s">
        <v>940</v>
      </c>
      <c r="I69" t="s">
        <v>17</v>
      </c>
      <c r="R69">
        <f t="shared" si="3"/>
        <v>0</v>
      </c>
    </row>
    <row r="70" spans="1:18" x14ac:dyDescent="0.3">
      <c r="A70" s="1">
        <v>44169</v>
      </c>
      <c r="B70" s="1">
        <v>44172</v>
      </c>
      <c r="R70">
        <f t="shared" si="3"/>
        <v>0</v>
      </c>
    </row>
    <row r="71" spans="1:18" x14ac:dyDescent="0.3">
      <c r="A71" t="s">
        <v>67</v>
      </c>
      <c r="B71" t="s">
        <v>68</v>
      </c>
      <c r="C71" t="s">
        <v>69</v>
      </c>
      <c r="D71" t="s">
        <v>70</v>
      </c>
      <c r="E71" t="s">
        <v>16</v>
      </c>
      <c r="F71" t="s">
        <v>958</v>
      </c>
      <c r="G71" t="s">
        <v>927</v>
      </c>
      <c r="H71" t="s">
        <v>940</v>
      </c>
      <c r="I71" t="s">
        <v>17</v>
      </c>
      <c r="R71">
        <f t="shared" si="3"/>
        <v>0</v>
      </c>
    </row>
    <row r="72" spans="1:18" x14ac:dyDescent="0.3">
      <c r="A72" s="1">
        <v>45022</v>
      </c>
      <c r="B72" s="1">
        <v>45034</v>
      </c>
      <c r="R72">
        <f t="shared" si="3"/>
        <v>0</v>
      </c>
    </row>
    <row r="73" spans="1:18" x14ac:dyDescent="0.3">
      <c r="A73" t="s">
        <v>67</v>
      </c>
      <c r="B73" t="s">
        <v>68</v>
      </c>
      <c r="C73" t="s">
        <v>69</v>
      </c>
      <c r="D73" t="s">
        <v>70</v>
      </c>
      <c r="E73" t="s">
        <v>16</v>
      </c>
      <c r="F73" t="s">
        <v>958</v>
      </c>
      <c r="G73" t="s">
        <v>927</v>
      </c>
      <c r="H73" t="s">
        <v>940</v>
      </c>
      <c r="I73" t="s">
        <v>17</v>
      </c>
      <c r="R73">
        <f t="shared" si="3"/>
        <v>0</v>
      </c>
    </row>
    <row r="74" spans="1:18" x14ac:dyDescent="0.3">
      <c r="A74" s="1">
        <v>44202</v>
      </c>
      <c r="B74" s="1">
        <v>44202</v>
      </c>
      <c r="R74">
        <f t="shared" si="3"/>
        <v>0</v>
      </c>
    </row>
    <row r="75" spans="1:18" x14ac:dyDescent="0.3">
      <c r="A75" t="s">
        <v>67</v>
      </c>
      <c r="B75" t="s">
        <v>68</v>
      </c>
      <c r="C75" t="s">
        <v>69</v>
      </c>
      <c r="D75" t="s">
        <v>70</v>
      </c>
      <c r="E75" t="s">
        <v>16</v>
      </c>
      <c r="F75" t="s">
        <v>968</v>
      </c>
      <c r="G75" t="s">
        <v>927</v>
      </c>
      <c r="H75" t="s">
        <v>957</v>
      </c>
      <c r="I75" t="s">
        <v>17</v>
      </c>
      <c r="R75">
        <f t="shared" si="3"/>
        <v>0</v>
      </c>
    </row>
    <row r="76" spans="1:18" x14ac:dyDescent="0.3">
      <c r="A76" s="1">
        <v>44319</v>
      </c>
      <c r="B76" s="1">
        <v>44326</v>
      </c>
      <c r="R76">
        <f t="shared" si="3"/>
        <v>0</v>
      </c>
    </row>
    <row r="77" spans="1:18" x14ac:dyDescent="0.3">
      <c r="A77" t="s">
        <v>67</v>
      </c>
      <c r="B77" t="s">
        <v>68</v>
      </c>
      <c r="C77" t="s">
        <v>69</v>
      </c>
      <c r="D77" t="s">
        <v>70</v>
      </c>
      <c r="E77" t="s">
        <v>16</v>
      </c>
      <c r="F77" t="s">
        <v>1024</v>
      </c>
      <c r="G77" t="s">
        <v>927</v>
      </c>
      <c r="H77" t="s">
        <v>1025</v>
      </c>
      <c r="I77" t="s">
        <v>17</v>
      </c>
      <c r="R77">
        <f t="shared" si="3"/>
        <v>0</v>
      </c>
    </row>
    <row r="78" spans="1:18" x14ac:dyDescent="0.3">
      <c r="A78" s="1">
        <v>44319</v>
      </c>
      <c r="B78" s="1">
        <v>44326</v>
      </c>
      <c r="R78">
        <f t="shared" si="3"/>
        <v>0</v>
      </c>
    </row>
    <row r="79" spans="1:18" x14ac:dyDescent="0.3">
      <c r="A79" t="s">
        <v>67</v>
      </c>
      <c r="B79" t="s">
        <v>68</v>
      </c>
      <c r="C79" t="s">
        <v>69</v>
      </c>
      <c r="D79" t="s">
        <v>70</v>
      </c>
      <c r="E79" t="s">
        <v>16</v>
      </c>
      <c r="F79" t="s">
        <v>1019</v>
      </c>
      <c r="G79" t="s">
        <v>927</v>
      </c>
      <c r="H79" t="s">
        <v>1020</v>
      </c>
      <c r="I79" t="s">
        <v>17</v>
      </c>
      <c r="R79">
        <f t="shared" si="3"/>
        <v>0</v>
      </c>
    </row>
    <row r="80" spans="1:18" x14ac:dyDescent="0.3">
      <c r="A80" s="1">
        <v>44475</v>
      </c>
      <c r="B80" s="1">
        <v>44476</v>
      </c>
      <c r="R80">
        <f t="shared" si="3"/>
        <v>0</v>
      </c>
    </row>
    <row r="81" spans="1:18" x14ac:dyDescent="0.3">
      <c r="A81" t="s">
        <v>67</v>
      </c>
      <c r="B81" t="s">
        <v>68</v>
      </c>
      <c r="C81" t="s">
        <v>69</v>
      </c>
      <c r="D81" t="s">
        <v>70</v>
      </c>
      <c r="E81" t="s">
        <v>16</v>
      </c>
      <c r="F81" t="s">
        <v>1042</v>
      </c>
      <c r="G81" t="s">
        <v>927</v>
      </c>
      <c r="H81" t="s">
        <v>1043</v>
      </c>
      <c r="I81" t="s">
        <v>17</v>
      </c>
      <c r="R81">
        <f t="shared" si="3"/>
        <v>0</v>
      </c>
    </row>
    <row r="82" spans="1:18" x14ac:dyDescent="0.3">
      <c r="A82" s="1">
        <v>44475</v>
      </c>
      <c r="B82" s="1">
        <v>44476</v>
      </c>
      <c r="R82">
        <f t="shared" si="3"/>
        <v>0</v>
      </c>
    </row>
    <row r="83" spans="1:18" x14ac:dyDescent="0.3">
      <c r="A83" t="s">
        <v>67</v>
      </c>
      <c r="B83" t="s">
        <v>68</v>
      </c>
      <c r="C83" t="s">
        <v>69</v>
      </c>
      <c r="D83" t="s">
        <v>70</v>
      </c>
      <c r="E83" t="s">
        <v>16</v>
      </c>
      <c r="F83" t="s">
        <v>1042</v>
      </c>
      <c r="G83" t="s">
        <v>927</v>
      </c>
      <c r="H83" t="s">
        <v>1043</v>
      </c>
      <c r="I83" t="s">
        <v>17</v>
      </c>
      <c r="R83">
        <f t="shared" si="3"/>
        <v>0</v>
      </c>
    </row>
    <row r="84" spans="1:18" x14ac:dyDescent="0.3">
      <c r="A84" s="1">
        <v>44475</v>
      </c>
      <c r="B84" s="1">
        <v>44476</v>
      </c>
      <c r="R84">
        <f t="shared" si="3"/>
        <v>0</v>
      </c>
    </row>
    <row r="85" spans="1:18" x14ac:dyDescent="0.3">
      <c r="A85" t="s">
        <v>67</v>
      </c>
      <c r="B85" t="s">
        <v>68</v>
      </c>
      <c r="C85" t="s">
        <v>69</v>
      </c>
      <c r="D85" t="s">
        <v>70</v>
      </c>
      <c r="E85" t="s">
        <v>16</v>
      </c>
      <c r="F85" t="s">
        <v>1040</v>
      </c>
      <c r="G85" t="s">
        <v>927</v>
      </c>
      <c r="H85" t="s">
        <v>1036</v>
      </c>
      <c r="I85" t="s">
        <v>17</v>
      </c>
      <c r="R85">
        <f t="shared" si="3"/>
        <v>0</v>
      </c>
    </row>
    <row r="86" spans="1:18" x14ac:dyDescent="0.3">
      <c r="A86" s="1">
        <v>44475</v>
      </c>
      <c r="B86" s="1">
        <v>44476</v>
      </c>
      <c r="R86">
        <f t="shared" si="3"/>
        <v>0</v>
      </c>
    </row>
    <row r="87" spans="1:18" x14ac:dyDescent="0.3">
      <c r="A87" t="s">
        <v>67</v>
      </c>
      <c r="B87" t="s">
        <v>68</v>
      </c>
      <c r="C87" t="s">
        <v>69</v>
      </c>
      <c r="D87" t="s">
        <v>70</v>
      </c>
      <c r="E87" t="s">
        <v>16</v>
      </c>
      <c r="F87" t="s">
        <v>1040</v>
      </c>
      <c r="G87" t="s">
        <v>927</v>
      </c>
      <c r="H87" t="s">
        <v>1036</v>
      </c>
      <c r="I87" t="s">
        <v>17</v>
      </c>
      <c r="R87">
        <f t="shared" si="3"/>
        <v>0</v>
      </c>
    </row>
    <row r="88" spans="1:18" x14ac:dyDescent="0.3">
      <c r="A88" s="1">
        <v>43258</v>
      </c>
      <c r="B88" s="1">
        <v>43263</v>
      </c>
      <c r="R88">
        <f t="shared" si="3"/>
        <v>0</v>
      </c>
    </row>
    <row r="89" spans="1:18" x14ac:dyDescent="0.3">
      <c r="A89" t="s">
        <v>67</v>
      </c>
      <c r="B89" t="s">
        <v>68</v>
      </c>
      <c r="C89" t="s">
        <v>69</v>
      </c>
      <c r="D89" t="s">
        <v>70</v>
      </c>
      <c r="E89" t="s">
        <v>16</v>
      </c>
      <c r="F89" t="s">
        <v>1067</v>
      </c>
      <c r="G89" t="s">
        <v>927</v>
      </c>
      <c r="H89" t="s">
        <v>1068</v>
      </c>
      <c r="I89" t="s">
        <v>17</v>
      </c>
      <c r="R89">
        <f t="shared" si="3"/>
        <v>0</v>
      </c>
    </row>
    <row r="90" spans="1:18" x14ac:dyDescent="0.3">
      <c r="A90" s="1">
        <v>44931</v>
      </c>
      <c r="B90" s="1">
        <v>44956</v>
      </c>
      <c r="R90">
        <f t="shared" si="3"/>
        <v>0</v>
      </c>
    </row>
    <row r="91" spans="1:18" x14ac:dyDescent="0.3">
      <c r="A91" t="s">
        <v>67</v>
      </c>
      <c r="B91" t="s">
        <v>68</v>
      </c>
      <c r="C91" t="s">
        <v>69</v>
      </c>
      <c r="D91" t="s">
        <v>70</v>
      </c>
      <c r="E91" t="s">
        <v>16</v>
      </c>
      <c r="F91" t="s">
        <v>1069</v>
      </c>
      <c r="G91" t="s">
        <v>927</v>
      </c>
      <c r="H91" t="s">
        <v>1070</v>
      </c>
      <c r="I91" t="s">
        <v>17</v>
      </c>
      <c r="R91">
        <f t="shared" si="3"/>
        <v>0</v>
      </c>
    </row>
    <row r="92" spans="1:18" x14ac:dyDescent="0.3">
      <c r="A92" s="1">
        <v>40823</v>
      </c>
      <c r="B92" s="1">
        <v>40835</v>
      </c>
      <c r="R92">
        <f t="shared" si="3"/>
        <v>0</v>
      </c>
    </row>
    <row r="93" spans="1:18" x14ac:dyDescent="0.3">
      <c r="A93" t="s">
        <v>67</v>
      </c>
      <c r="B93" t="s">
        <v>68</v>
      </c>
      <c r="C93" t="s">
        <v>69</v>
      </c>
      <c r="D93" t="s">
        <v>70</v>
      </c>
      <c r="E93" t="s">
        <v>16</v>
      </c>
      <c r="F93" t="s">
        <v>1080</v>
      </c>
      <c r="G93" t="s">
        <v>927</v>
      </c>
      <c r="H93" t="s">
        <v>1081</v>
      </c>
      <c r="I93" t="s">
        <v>17</v>
      </c>
      <c r="R93">
        <f t="shared" si="3"/>
        <v>0</v>
      </c>
    </row>
    <row r="94" spans="1:18" x14ac:dyDescent="0.3">
      <c r="A94" s="1">
        <v>44110</v>
      </c>
      <c r="B94" s="1">
        <v>44112</v>
      </c>
      <c r="R94">
        <f t="shared" si="3"/>
        <v>0</v>
      </c>
    </row>
    <row r="95" spans="1:18" x14ac:dyDescent="0.3">
      <c r="A95" t="s">
        <v>67</v>
      </c>
      <c r="B95" t="s">
        <v>68</v>
      </c>
      <c r="C95" t="s">
        <v>69</v>
      </c>
      <c r="D95" t="s">
        <v>70</v>
      </c>
      <c r="E95" t="s">
        <v>16</v>
      </c>
      <c r="F95" t="s">
        <v>1097</v>
      </c>
      <c r="G95" t="s">
        <v>927</v>
      </c>
      <c r="H95" t="s">
        <v>1098</v>
      </c>
      <c r="I95" t="s">
        <v>17</v>
      </c>
      <c r="R95">
        <f t="shared" si="3"/>
        <v>0</v>
      </c>
    </row>
    <row r="96" spans="1:18" x14ac:dyDescent="0.3">
      <c r="A96" s="1">
        <v>44110</v>
      </c>
      <c r="B96" s="1">
        <v>44112</v>
      </c>
      <c r="R96">
        <f t="shared" si="3"/>
        <v>0</v>
      </c>
    </row>
    <row r="97" spans="1:36" x14ac:dyDescent="0.3">
      <c r="A97" t="s">
        <v>67</v>
      </c>
      <c r="B97" t="s">
        <v>68</v>
      </c>
      <c r="C97" t="s">
        <v>69</v>
      </c>
      <c r="D97" t="s">
        <v>70</v>
      </c>
      <c r="E97" t="s">
        <v>16</v>
      </c>
      <c r="F97" t="s">
        <v>1097</v>
      </c>
      <c r="G97" t="s">
        <v>927</v>
      </c>
      <c r="H97" t="s">
        <v>1098</v>
      </c>
      <c r="I97" t="s">
        <v>17</v>
      </c>
      <c r="R97">
        <f t="shared" si="3"/>
        <v>0</v>
      </c>
    </row>
    <row r="98" spans="1:36" x14ac:dyDescent="0.3">
      <c r="A98" s="1">
        <v>44839</v>
      </c>
      <c r="B98" s="1">
        <v>44881</v>
      </c>
      <c r="R98">
        <f t="shared" si="3"/>
        <v>0</v>
      </c>
    </row>
    <row r="99" spans="1:36" x14ac:dyDescent="0.3">
      <c r="A99" t="s">
        <v>67</v>
      </c>
      <c r="B99" t="s">
        <v>68</v>
      </c>
      <c r="C99" t="s">
        <v>69</v>
      </c>
      <c r="D99" t="s">
        <v>70</v>
      </c>
      <c r="E99" t="s">
        <v>16</v>
      </c>
      <c r="F99" t="s">
        <v>1099</v>
      </c>
      <c r="G99" t="s">
        <v>927</v>
      </c>
      <c r="H99" t="s">
        <v>1100</v>
      </c>
      <c r="I99" t="s">
        <v>17</v>
      </c>
      <c r="R99">
        <f t="shared" si="3"/>
        <v>0</v>
      </c>
    </row>
    <row r="100" spans="1:36" x14ac:dyDescent="0.3">
      <c r="A100" s="1">
        <v>44838</v>
      </c>
      <c r="B100" s="1">
        <v>44900</v>
      </c>
      <c r="R100">
        <f t="shared" si="3"/>
        <v>0</v>
      </c>
    </row>
    <row r="101" spans="1:36" x14ac:dyDescent="0.3">
      <c r="A101" t="s">
        <v>67</v>
      </c>
      <c r="B101" t="s">
        <v>68</v>
      </c>
      <c r="C101" t="s">
        <v>69</v>
      </c>
      <c r="D101" t="s">
        <v>70</v>
      </c>
      <c r="E101" t="s">
        <v>16</v>
      </c>
      <c r="F101" t="s">
        <v>1119</v>
      </c>
      <c r="G101" t="s">
        <v>927</v>
      </c>
      <c r="H101" t="s">
        <v>1120</v>
      </c>
      <c r="I101" t="s">
        <v>17</v>
      </c>
      <c r="R101">
        <f t="shared" si="3"/>
        <v>0</v>
      </c>
    </row>
    <row r="102" spans="1:36" x14ac:dyDescent="0.3">
      <c r="A102" t="s">
        <v>1146</v>
      </c>
      <c r="B102" t="s">
        <v>1124</v>
      </c>
      <c r="C102" t="s">
        <v>1125</v>
      </c>
      <c r="D102" t="s">
        <v>923</v>
      </c>
      <c r="E102" t="s">
        <v>1127</v>
      </c>
      <c r="F102" t="s">
        <v>1125</v>
      </c>
      <c r="G102" t="s">
        <v>1144</v>
      </c>
      <c r="H102" t="s">
        <v>1134</v>
      </c>
      <c r="I102" t="s">
        <v>1138</v>
      </c>
      <c r="M102" t="s">
        <v>592</v>
      </c>
      <c r="N102" t="s">
        <v>2</v>
      </c>
      <c r="O102" t="s">
        <v>542</v>
      </c>
      <c r="P102" t="s">
        <v>4</v>
      </c>
      <c r="Q102" t="s">
        <v>729</v>
      </c>
      <c r="R102">
        <f t="shared" si="3"/>
        <v>-9.3883568253259705E-2</v>
      </c>
      <c r="S102" t="s">
        <v>6</v>
      </c>
      <c r="T102" t="s">
        <v>730</v>
      </c>
      <c r="U102" t="s">
        <v>8</v>
      </c>
      <c r="V102" t="s">
        <v>731</v>
      </c>
      <c r="W102" t="s">
        <v>10</v>
      </c>
      <c r="X102" t="s">
        <v>732</v>
      </c>
      <c r="Y102" t="s">
        <v>12</v>
      </c>
      <c r="Z102" t="s">
        <v>733</v>
      </c>
      <c r="AA102" t="s">
        <v>14</v>
      </c>
      <c r="AB102" t="s">
        <v>1078</v>
      </c>
      <c r="AC102" t="s">
        <v>927</v>
      </c>
      <c r="AD102" t="s">
        <v>1079</v>
      </c>
      <c r="AE102" t="s">
        <v>15</v>
      </c>
      <c r="AF102" t="s">
        <v>16</v>
      </c>
      <c r="AG102" t="s">
        <v>1078</v>
      </c>
      <c r="AH102" t="s">
        <v>927</v>
      </c>
      <c r="AI102" t="s">
        <v>1079</v>
      </c>
      <c r="AJ102" t="s">
        <v>17</v>
      </c>
    </row>
    <row r="103" spans="1:36" x14ac:dyDescent="0.3">
      <c r="A103" t="s">
        <v>1146</v>
      </c>
      <c r="B103" t="s">
        <v>1124</v>
      </c>
      <c r="C103" t="s">
        <v>1125</v>
      </c>
      <c r="D103" t="s">
        <v>923</v>
      </c>
      <c r="E103" t="s">
        <v>1127</v>
      </c>
      <c r="F103" t="s">
        <v>1125</v>
      </c>
      <c r="G103" t="s">
        <v>1144</v>
      </c>
      <c r="H103" t="s">
        <v>1134</v>
      </c>
      <c r="I103" t="s">
        <v>1137</v>
      </c>
      <c r="M103" t="s">
        <v>592</v>
      </c>
      <c r="N103" t="s">
        <v>2</v>
      </c>
      <c r="O103" t="s">
        <v>723</v>
      </c>
      <c r="P103" t="s">
        <v>4</v>
      </c>
      <c r="Q103" t="s">
        <v>724</v>
      </c>
      <c r="R103">
        <f t="shared" si="3"/>
        <v>-0.183883568253254</v>
      </c>
      <c r="S103" t="s">
        <v>6</v>
      </c>
      <c r="T103" t="s">
        <v>725</v>
      </c>
      <c r="U103" t="s">
        <v>8</v>
      </c>
      <c r="V103" t="s">
        <v>726</v>
      </c>
      <c r="W103" t="s">
        <v>10</v>
      </c>
      <c r="X103" t="s">
        <v>727</v>
      </c>
      <c r="Y103" t="s">
        <v>12</v>
      </c>
      <c r="Z103" t="s">
        <v>728</v>
      </c>
      <c r="AA103" t="s">
        <v>14</v>
      </c>
      <c r="AB103" t="s">
        <v>1078</v>
      </c>
      <c r="AC103" t="s">
        <v>927</v>
      </c>
      <c r="AD103" t="s">
        <v>1079</v>
      </c>
      <c r="AE103" t="s">
        <v>15</v>
      </c>
      <c r="AF103" t="s">
        <v>16</v>
      </c>
      <c r="AG103" t="s">
        <v>1078</v>
      </c>
      <c r="AH103" t="s">
        <v>927</v>
      </c>
      <c r="AI103" t="s">
        <v>1079</v>
      </c>
      <c r="AJ103" t="s">
        <v>17</v>
      </c>
    </row>
    <row r="104" spans="1:36" x14ac:dyDescent="0.3">
      <c r="A104" t="s">
        <v>1147</v>
      </c>
      <c r="B104" t="s">
        <v>1124</v>
      </c>
      <c r="C104" t="s">
        <v>1125</v>
      </c>
      <c r="D104" t="s">
        <v>923</v>
      </c>
      <c r="E104" t="s">
        <v>1127</v>
      </c>
      <c r="F104" t="s">
        <v>1125</v>
      </c>
      <c r="G104" t="s">
        <v>1144</v>
      </c>
      <c r="H104" t="s">
        <v>1129</v>
      </c>
      <c r="I104" t="s">
        <v>1132</v>
      </c>
      <c r="M104" t="s">
        <v>723</v>
      </c>
      <c r="N104" t="s">
        <v>2</v>
      </c>
      <c r="O104" t="s">
        <v>912</v>
      </c>
      <c r="P104" t="s">
        <v>4</v>
      </c>
      <c r="Q104" t="s">
        <v>918</v>
      </c>
      <c r="R104">
        <f t="shared" si="3"/>
        <v>-0.35999999999997501</v>
      </c>
      <c r="S104" t="s">
        <v>6</v>
      </c>
      <c r="T104" t="s">
        <v>919</v>
      </c>
      <c r="U104" t="s">
        <v>8</v>
      </c>
      <c r="V104" t="s">
        <v>920</v>
      </c>
      <c r="W104" t="s">
        <v>10</v>
      </c>
      <c r="X104" t="s">
        <v>916</v>
      </c>
      <c r="Y104" t="s">
        <v>12</v>
      </c>
      <c r="Z104" t="s">
        <v>921</v>
      </c>
      <c r="AA104" t="s">
        <v>14</v>
      </c>
      <c r="AB104" t="s">
        <v>1028</v>
      </c>
      <c r="AC104" t="s">
        <v>927</v>
      </c>
      <c r="AD104" t="s">
        <v>1018</v>
      </c>
      <c r="AE104" t="s">
        <v>15</v>
      </c>
      <c r="AF104" t="s">
        <v>16</v>
      </c>
      <c r="AG104" t="s">
        <v>1028</v>
      </c>
      <c r="AH104" t="s">
        <v>927</v>
      </c>
      <c r="AI104" t="s">
        <v>1018</v>
      </c>
      <c r="AJ104" t="s">
        <v>17</v>
      </c>
    </row>
    <row r="105" spans="1:36" x14ac:dyDescent="0.3">
      <c r="A105" t="s">
        <v>1147</v>
      </c>
      <c r="B105" t="s">
        <v>1124</v>
      </c>
      <c r="C105" t="s">
        <v>1125</v>
      </c>
      <c r="D105" t="s">
        <v>923</v>
      </c>
      <c r="E105" t="s">
        <v>1127</v>
      </c>
      <c r="F105" t="s">
        <v>1125</v>
      </c>
      <c r="G105" t="s">
        <v>1144</v>
      </c>
      <c r="H105" t="s">
        <v>1129</v>
      </c>
      <c r="I105" t="s">
        <v>1130</v>
      </c>
      <c r="M105" t="s">
        <v>723</v>
      </c>
      <c r="N105" t="s">
        <v>2</v>
      </c>
      <c r="O105" t="s">
        <v>866</v>
      </c>
      <c r="P105" t="s">
        <v>4</v>
      </c>
      <c r="Q105" t="s">
        <v>907</v>
      </c>
      <c r="R105">
        <f t="shared" si="3"/>
        <v>-0.39999999999999702</v>
      </c>
      <c r="S105" t="s">
        <v>6</v>
      </c>
      <c r="T105" t="s">
        <v>908</v>
      </c>
      <c r="U105" t="s">
        <v>8</v>
      </c>
      <c r="V105" t="s">
        <v>909</v>
      </c>
      <c r="W105" t="s">
        <v>10</v>
      </c>
      <c r="X105" t="s">
        <v>910</v>
      </c>
      <c r="Y105" t="s">
        <v>12</v>
      </c>
      <c r="Z105" t="s">
        <v>911</v>
      </c>
      <c r="AA105" t="s">
        <v>14</v>
      </c>
      <c r="AB105" t="s">
        <v>1121</v>
      </c>
      <c r="AC105" t="s">
        <v>927</v>
      </c>
      <c r="AD105" t="s">
        <v>1103</v>
      </c>
      <c r="AE105" t="s">
        <v>15</v>
      </c>
      <c r="AF105" t="s">
        <v>16</v>
      </c>
      <c r="AG105" t="s">
        <v>1122</v>
      </c>
      <c r="AH105" t="s">
        <v>927</v>
      </c>
      <c r="AI105" t="s">
        <v>1105</v>
      </c>
      <c r="AJ105" t="s">
        <v>17</v>
      </c>
    </row>
    <row r="106" spans="1:36" x14ac:dyDescent="0.3">
      <c r="A106" t="s">
        <v>1147</v>
      </c>
      <c r="B106" t="s">
        <v>1124</v>
      </c>
      <c r="C106" t="s">
        <v>1125</v>
      </c>
      <c r="D106" t="s">
        <v>923</v>
      </c>
      <c r="E106" t="s">
        <v>1127</v>
      </c>
      <c r="F106" t="s">
        <v>1125</v>
      </c>
      <c r="G106" t="s">
        <v>1144</v>
      </c>
      <c r="H106" t="s">
        <v>1129</v>
      </c>
      <c r="I106" t="s">
        <v>1131</v>
      </c>
      <c r="M106" t="s">
        <v>723</v>
      </c>
      <c r="N106" t="s">
        <v>2</v>
      </c>
      <c r="O106" t="s">
        <v>912</v>
      </c>
      <c r="P106" t="s">
        <v>4</v>
      </c>
      <c r="Q106" t="s">
        <v>913</v>
      </c>
      <c r="R106">
        <f t="shared" si="3"/>
        <v>-0.67999999999996796</v>
      </c>
      <c r="S106" t="s">
        <v>6</v>
      </c>
      <c r="T106" t="s">
        <v>914</v>
      </c>
      <c r="U106" t="s">
        <v>8</v>
      </c>
      <c r="V106" t="s">
        <v>915</v>
      </c>
      <c r="W106" t="s">
        <v>10</v>
      </c>
      <c r="X106" t="s">
        <v>916</v>
      </c>
      <c r="Y106" t="s">
        <v>12</v>
      </c>
      <c r="Z106" t="s">
        <v>917</v>
      </c>
      <c r="AA106" t="s">
        <v>14</v>
      </c>
      <c r="AB106" t="s">
        <v>1028</v>
      </c>
      <c r="AC106" t="s">
        <v>927</v>
      </c>
      <c r="AD106" t="s">
        <v>1018</v>
      </c>
      <c r="AE106" t="s">
        <v>15</v>
      </c>
      <c r="AF106" t="s">
        <v>16</v>
      </c>
      <c r="AG106" t="s">
        <v>1028</v>
      </c>
      <c r="AH106" t="s">
        <v>927</v>
      </c>
      <c r="AI106" t="s">
        <v>1018</v>
      </c>
      <c r="AJ106" t="s">
        <v>17</v>
      </c>
    </row>
    <row r="107" spans="1:36" x14ac:dyDescent="0.3">
      <c r="A107" t="s">
        <v>1146</v>
      </c>
      <c r="B107" t="s">
        <v>1124</v>
      </c>
      <c r="C107" t="s">
        <v>1125</v>
      </c>
      <c r="D107" t="s">
        <v>1144</v>
      </c>
      <c r="E107" t="s">
        <v>1127</v>
      </c>
      <c r="F107" t="s">
        <v>1125</v>
      </c>
      <c r="G107" t="s">
        <v>922</v>
      </c>
      <c r="H107" t="s">
        <v>1129</v>
      </c>
      <c r="I107" t="s">
        <v>1132</v>
      </c>
      <c r="M107" t="s">
        <v>569</v>
      </c>
      <c r="N107" t="s">
        <v>2</v>
      </c>
      <c r="O107" t="s">
        <v>766</v>
      </c>
      <c r="P107" t="s">
        <v>4</v>
      </c>
      <c r="Q107" t="s">
        <v>767</v>
      </c>
      <c r="R107">
        <f t="shared" si="3"/>
        <v>-0.77999999999998404</v>
      </c>
      <c r="S107" t="s">
        <v>6</v>
      </c>
      <c r="T107" t="s">
        <v>768</v>
      </c>
      <c r="U107" t="s">
        <v>8</v>
      </c>
      <c r="V107" t="s">
        <v>769</v>
      </c>
      <c r="W107" t="s">
        <v>10</v>
      </c>
      <c r="X107" t="s">
        <v>770</v>
      </c>
      <c r="Y107" t="s">
        <v>12</v>
      </c>
      <c r="Z107" t="s">
        <v>771</v>
      </c>
      <c r="AA107" t="s">
        <v>14</v>
      </c>
      <c r="AB107" t="s">
        <v>1088</v>
      </c>
      <c r="AC107" t="s">
        <v>927</v>
      </c>
      <c r="AD107" t="s">
        <v>1089</v>
      </c>
      <c r="AE107" t="s">
        <v>15</v>
      </c>
      <c r="AF107" t="s">
        <v>16</v>
      </c>
      <c r="AG107" t="s">
        <v>1088</v>
      </c>
      <c r="AH107" t="s">
        <v>927</v>
      </c>
      <c r="AI107" t="s">
        <v>1089</v>
      </c>
      <c r="AJ107" t="s">
        <v>17</v>
      </c>
    </row>
    <row r="108" spans="1:36" x14ac:dyDescent="0.3">
      <c r="A108" t="s">
        <v>1145</v>
      </c>
      <c r="B108" t="s">
        <v>1124</v>
      </c>
      <c r="C108" t="s">
        <v>1125</v>
      </c>
      <c r="D108" t="s">
        <v>1128</v>
      </c>
      <c r="E108" t="s">
        <v>1127</v>
      </c>
      <c r="F108" t="s">
        <v>1125</v>
      </c>
      <c r="G108" t="s">
        <v>923</v>
      </c>
      <c r="H108" t="s">
        <v>1134</v>
      </c>
      <c r="I108" t="s">
        <v>1138</v>
      </c>
      <c r="M108" t="s">
        <v>322</v>
      </c>
      <c r="N108" t="s">
        <v>2</v>
      </c>
      <c r="O108" t="s">
        <v>403</v>
      </c>
      <c r="P108" t="s">
        <v>4</v>
      </c>
      <c r="Q108" t="s">
        <v>409</v>
      </c>
      <c r="R108">
        <f t="shared" si="3"/>
        <v>-0.87922147278965701</v>
      </c>
      <c r="S108" t="s">
        <v>6</v>
      </c>
      <c r="T108" t="s">
        <v>410</v>
      </c>
      <c r="U108" t="s">
        <v>8</v>
      </c>
      <c r="V108" t="s">
        <v>411</v>
      </c>
      <c r="W108" t="s">
        <v>10</v>
      </c>
      <c r="X108" t="s">
        <v>407</v>
      </c>
      <c r="Y108" t="s">
        <v>12</v>
      </c>
      <c r="Z108" t="s">
        <v>412</v>
      </c>
      <c r="AA108" t="s">
        <v>14</v>
      </c>
      <c r="AB108" t="s">
        <v>1021</v>
      </c>
      <c r="AC108" t="s">
        <v>927</v>
      </c>
      <c r="AD108" t="s">
        <v>1022</v>
      </c>
      <c r="AE108" t="s">
        <v>15</v>
      </c>
      <c r="AF108" t="s">
        <v>16</v>
      </c>
      <c r="AG108" t="s">
        <v>1023</v>
      </c>
      <c r="AH108" t="s">
        <v>927</v>
      </c>
      <c r="AI108" t="s">
        <v>1022</v>
      </c>
      <c r="AJ108" t="s">
        <v>17</v>
      </c>
    </row>
    <row r="109" spans="1:36" x14ac:dyDescent="0.3">
      <c r="A109" t="s">
        <v>1146</v>
      </c>
      <c r="B109" t="s">
        <v>1124</v>
      </c>
      <c r="C109" t="s">
        <v>1125</v>
      </c>
      <c r="D109" t="s">
        <v>923</v>
      </c>
      <c r="E109" t="s">
        <v>1127</v>
      </c>
      <c r="F109" t="s">
        <v>1125</v>
      </c>
      <c r="G109" t="s">
        <v>1144</v>
      </c>
      <c r="H109" t="s">
        <v>1129</v>
      </c>
      <c r="I109" t="s">
        <v>1132</v>
      </c>
      <c r="M109" t="s">
        <v>569</v>
      </c>
      <c r="N109" t="s">
        <v>2</v>
      </c>
      <c r="O109" t="s">
        <v>700</v>
      </c>
      <c r="P109" t="s">
        <v>4</v>
      </c>
      <c r="Q109" t="s">
        <v>701</v>
      </c>
      <c r="R109">
        <f t="shared" si="3"/>
        <v>-0.91999999999994297</v>
      </c>
      <c r="S109" t="s">
        <v>6</v>
      </c>
      <c r="T109" t="s">
        <v>702</v>
      </c>
      <c r="U109" t="s">
        <v>8</v>
      </c>
      <c r="V109" t="s">
        <v>703</v>
      </c>
      <c r="W109" t="s">
        <v>10</v>
      </c>
      <c r="X109" t="s">
        <v>704</v>
      </c>
      <c r="Y109" t="s">
        <v>12</v>
      </c>
      <c r="Z109" t="s">
        <v>705</v>
      </c>
      <c r="AA109" t="s">
        <v>14</v>
      </c>
      <c r="AB109" t="s">
        <v>1073</v>
      </c>
      <c r="AC109" t="s">
        <v>927</v>
      </c>
      <c r="AD109" t="s">
        <v>1074</v>
      </c>
      <c r="AE109" t="s">
        <v>15</v>
      </c>
      <c r="AF109" t="s">
        <v>16</v>
      </c>
      <c r="AG109" t="s">
        <v>1073</v>
      </c>
      <c r="AH109" t="s">
        <v>927</v>
      </c>
      <c r="AI109" t="s">
        <v>1074</v>
      </c>
      <c r="AJ109" t="s">
        <v>17</v>
      </c>
    </row>
    <row r="110" spans="1:36" x14ac:dyDescent="0.3">
      <c r="A110" t="s">
        <v>1145</v>
      </c>
      <c r="B110" t="s">
        <v>1124</v>
      </c>
      <c r="C110" t="s">
        <v>1125</v>
      </c>
      <c r="D110" t="s">
        <v>1128</v>
      </c>
      <c r="E110" t="s">
        <v>1127</v>
      </c>
      <c r="F110" t="s">
        <v>1125</v>
      </c>
      <c r="G110" t="s">
        <v>923</v>
      </c>
      <c r="H110" t="s">
        <v>1139</v>
      </c>
      <c r="I110" t="s">
        <v>1142</v>
      </c>
      <c r="M110" t="s">
        <v>347</v>
      </c>
      <c r="N110" t="s">
        <v>2</v>
      </c>
      <c r="O110" t="s">
        <v>360</v>
      </c>
      <c r="P110" t="s">
        <v>4</v>
      </c>
      <c r="Q110" t="s">
        <v>424</v>
      </c>
      <c r="R110">
        <f t="shared" si="3"/>
        <v>-1.0884293909368801</v>
      </c>
      <c r="S110" t="s">
        <v>6</v>
      </c>
      <c r="T110" t="s">
        <v>425</v>
      </c>
      <c r="U110" t="s">
        <v>8</v>
      </c>
      <c r="V110" t="s">
        <v>426</v>
      </c>
      <c r="W110" t="s">
        <v>10</v>
      </c>
      <c r="X110" t="s">
        <v>427</v>
      </c>
      <c r="Y110" t="s">
        <v>12</v>
      </c>
      <c r="Z110" t="s">
        <v>428</v>
      </c>
      <c r="AA110" t="s">
        <v>14</v>
      </c>
      <c r="AB110" t="s">
        <v>1021</v>
      </c>
      <c r="AC110" t="s">
        <v>927</v>
      </c>
      <c r="AD110" t="s">
        <v>1022</v>
      </c>
      <c r="AE110" t="s">
        <v>15</v>
      </c>
      <c r="AF110" t="s">
        <v>16</v>
      </c>
      <c r="AG110" t="s">
        <v>1019</v>
      </c>
      <c r="AH110" t="s">
        <v>927</v>
      </c>
      <c r="AI110" t="s">
        <v>1020</v>
      </c>
      <c r="AJ110" t="s">
        <v>17</v>
      </c>
    </row>
    <row r="111" spans="1:36" x14ac:dyDescent="0.3">
      <c r="A111" t="s">
        <v>1146</v>
      </c>
      <c r="B111" t="s">
        <v>1124</v>
      </c>
      <c r="C111" t="s">
        <v>1125</v>
      </c>
      <c r="D111" t="s">
        <v>1144</v>
      </c>
      <c r="E111" t="s">
        <v>1127</v>
      </c>
      <c r="F111" t="s">
        <v>1125</v>
      </c>
      <c r="G111" t="s">
        <v>922</v>
      </c>
      <c r="H111" t="s">
        <v>1139</v>
      </c>
      <c r="I111" t="s">
        <v>1142</v>
      </c>
      <c r="M111" t="s">
        <v>613</v>
      </c>
      <c r="N111" t="s">
        <v>2</v>
      </c>
      <c r="O111" t="s">
        <v>717</v>
      </c>
      <c r="P111" t="s">
        <v>4</v>
      </c>
      <c r="Q111" t="s">
        <v>811</v>
      </c>
      <c r="R111">
        <f t="shared" si="3"/>
        <v>-1.35045046668041</v>
      </c>
      <c r="S111" t="s">
        <v>6</v>
      </c>
      <c r="T111" t="s">
        <v>812</v>
      </c>
      <c r="U111" t="s">
        <v>8</v>
      </c>
      <c r="V111" t="s">
        <v>813</v>
      </c>
      <c r="W111" t="s">
        <v>10</v>
      </c>
      <c r="X111" t="s">
        <v>814</v>
      </c>
      <c r="Y111" t="s">
        <v>12</v>
      </c>
      <c r="Z111" t="s">
        <v>815</v>
      </c>
      <c r="AA111" t="s">
        <v>14</v>
      </c>
      <c r="AB111" t="s">
        <v>1097</v>
      </c>
      <c r="AC111" s="1">
        <v>44110</v>
      </c>
      <c r="AD111" s="1">
        <v>44133</v>
      </c>
    </row>
    <row r="112" spans="1:36" x14ac:dyDescent="0.3">
      <c r="A112" t="s">
        <v>1146</v>
      </c>
      <c r="B112" t="s">
        <v>1124</v>
      </c>
      <c r="C112" t="s">
        <v>1125</v>
      </c>
      <c r="D112" t="s">
        <v>1144</v>
      </c>
      <c r="E112" t="s">
        <v>1127</v>
      </c>
      <c r="F112" t="s">
        <v>1125</v>
      </c>
      <c r="G112" t="s">
        <v>922</v>
      </c>
      <c r="H112" t="s">
        <v>1129</v>
      </c>
      <c r="I112" t="s">
        <v>1130</v>
      </c>
      <c r="M112" t="s">
        <v>569</v>
      </c>
      <c r="N112" t="s">
        <v>2</v>
      </c>
      <c r="O112" t="s">
        <v>445</v>
      </c>
      <c r="P112" t="s">
        <v>4</v>
      </c>
      <c r="Q112" t="s">
        <v>755</v>
      </c>
      <c r="R112">
        <f t="shared" si="3"/>
        <v>-1.9299999999999899</v>
      </c>
      <c r="S112" t="s">
        <v>6</v>
      </c>
      <c r="T112" t="s">
        <v>756</v>
      </c>
      <c r="U112" t="s">
        <v>8</v>
      </c>
      <c r="V112" t="s">
        <v>757</v>
      </c>
      <c r="W112" t="s">
        <v>10</v>
      </c>
      <c r="X112" t="s">
        <v>758</v>
      </c>
      <c r="Y112" t="s">
        <v>12</v>
      </c>
      <c r="Z112" t="s">
        <v>759</v>
      </c>
      <c r="AA112" t="s">
        <v>14</v>
      </c>
      <c r="AB112" t="s">
        <v>1085</v>
      </c>
      <c r="AC112" t="s">
        <v>927</v>
      </c>
      <c r="AD112" t="s">
        <v>1086</v>
      </c>
      <c r="AE112" t="s">
        <v>15</v>
      </c>
      <c r="AF112" t="s">
        <v>16</v>
      </c>
      <c r="AG112" t="s">
        <v>1087</v>
      </c>
      <c r="AH112" t="s">
        <v>927</v>
      </c>
      <c r="AI112" t="s">
        <v>1086</v>
      </c>
      <c r="AJ112" t="s">
        <v>17</v>
      </c>
    </row>
    <row r="113" spans="1:36" x14ac:dyDescent="0.3">
      <c r="A113" t="s">
        <v>1145</v>
      </c>
      <c r="B113" t="s">
        <v>1124</v>
      </c>
      <c r="C113" t="s">
        <v>1125</v>
      </c>
      <c r="D113" t="s">
        <v>923</v>
      </c>
      <c r="E113" t="s">
        <v>1127</v>
      </c>
      <c r="F113" t="s">
        <v>1125</v>
      </c>
      <c r="G113" t="s">
        <v>1144</v>
      </c>
      <c r="H113" t="s">
        <v>1129</v>
      </c>
      <c r="I113" t="s">
        <v>1131</v>
      </c>
      <c r="M113" t="s">
        <v>305</v>
      </c>
      <c r="N113" t="s">
        <v>2</v>
      </c>
      <c r="O113" t="s">
        <v>439</v>
      </c>
      <c r="P113" t="s">
        <v>4</v>
      </c>
      <c r="Q113" t="s">
        <v>440</v>
      </c>
      <c r="R113">
        <f t="shared" si="3"/>
        <v>-2.3800000000000199</v>
      </c>
      <c r="S113" t="s">
        <v>6</v>
      </c>
      <c r="T113" t="s">
        <v>441</v>
      </c>
      <c r="U113" t="s">
        <v>8</v>
      </c>
      <c r="V113" t="s">
        <v>442</v>
      </c>
      <c r="W113" t="s">
        <v>10</v>
      </c>
      <c r="X113" t="s">
        <v>443</v>
      </c>
      <c r="Y113" t="s">
        <v>12</v>
      </c>
      <c r="Z113" t="s">
        <v>444</v>
      </c>
      <c r="AA113" t="s">
        <v>14</v>
      </c>
      <c r="AB113" t="s">
        <v>1028</v>
      </c>
      <c r="AC113" t="s">
        <v>927</v>
      </c>
      <c r="AD113" t="s">
        <v>1018</v>
      </c>
      <c r="AE113" t="s">
        <v>15</v>
      </c>
      <c r="AF113" t="s">
        <v>16</v>
      </c>
      <c r="AG113" t="s">
        <v>1029</v>
      </c>
      <c r="AH113" t="s">
        <v>927</v>
      </c>
      <c r="AI113" t="s">
        <v>950</v>
      </c>
      <c r="AJ113" t="s">
        <v>17</v>
      </c>
    </row>
    <row r="114" spans="1:36" x14ac:dyDescent="0.3">
      <c r="A114" t="s">
        <v>1145</v>
      </c>
      <c r="B114" t="s">
        <v>1124</v>
      </c>
      <c r="C114" t="s">
        <v>1125</v>
      </c>
      <c r="D114" t="s">
        <v>1128</v>
      </c>
      <c r="E114" t="s">
        <v>1127</v>
      </c>
      <c r="F114" t="s">
        <v>1125</v>
      </c>
      <c r="G114" t="s">
        <v>923</v>
      </c>
      <c r="H114" t="s">
        <v>1129</v>
      </c>
      <c r="I114" t="s">
        <v>1130</v>
      </c>
      <c r="M114" t="s">
        <v>305</v>
      </c>
      <c r="N114" t="s">
        <v>2</v>
      </c>
      <c r="O114" t="s">
        <v>372</v>
      </c>
      <c r="P114" t="s">
        <v>4</v>
      </c>
      <c r="Q114" t="s">
        <v>373</v>
      </c>
      <c r="R114">
        <f t="shared" si="3"/>
        <v>-2.7699999999999898</v>
      </c>
      <c r="S114" t="s">
        <v>6</v>
      </c>
      <c r="T114" t="s">
        <v>374</v>
      </c>
      <c r="U114" t="s">
        <v>8</v>
      </c>
      <c r="V114" t="s">
        <v>375</v>
      </c>
      <c r="W114" t="s">
        <v>10</v>
      </c>
      <c r="X114" t="s">
        <v>376</v>
      </c>
      <c r="Y114" t="s">
        <v>12</v>
      </c>
      <c r="Z114" t="s">
        <v>377</v>
      </c>
      <c r="AA114" t="s">
        <v>14</v>
      </c>
      <c r="AB114" t="s">
        <v>1010</v>
      </c>
      <c r="AC114" t="s">
        <v>927</v>
      </c>
      <c r="AD114" t="s">
        <v>997</v>
      </c>
      <c r="AE114" t="s">
        <v>15</v>
      </c>
      <c r="AF114" t="s">
        <v>16</v>
      </c>
      <c r="AG114" t="s">
        <v>1011</v>
      </c>
      <c r="AH114" t="s">
        <v>927</v>
      </c>
      <c r="AI114" t="s">
        <v>997</v>
      </c>
      <c r="AJ114" t="s">
        <v>17</v>
      </c>
    </row>
    <row r="115" spans="1:36" x14ac:dyDescent="0.3">
      <c r="A115" t="s">
        <v>1146</v>
      </c>
      <c r="B115" t="s">
        <v>1124</v>
      </c>
      <c r="C115" t="s">
        <v>1125</v>
      </c>
      <c r="D115" t="s">
        <v>1128</v>
      </c>
      <c r="E115" t="s">
        <v>1127</v>
      </c>
      <c r="F115" t="s">
        <v>1125</v>
      </c>
      <c r="G115" t="s">
        <v>923</v>
      </c>
      <c r="H115" t="s">
        <v>1129</v>
      </c>
      <c r="I115" t="s">
        <v>1131</v>
      </c>
      <c r="M115" t="s">
        <v>569</v>
      </c>
      <c r="N115" t="s">
        <v>2</v>
      </c>
      <c r="O115" t="s">
        <v>636</v>
      </c>
      <c r="P115" t="s">
        <v>4</v>
      </c>
      <c r="Q115" t="s">
        <v>637</v>
      </c>
      <c r="R115">
        <f t="shared" si="3"/>
        <v>-2.81000000000002</v>
      </c>
      <c r="S115" t="s">
        <v>6</v>
      </c>
      <c r="T115" t="s">
        <v>638</v>
      </c>
      <c r="U115" t="s">
        <v>8</v>
      </c>
      <c r="V115" t="s">
        <v>639</v>
      </c>
      <c r="W115" t="s">
        <v>10</v>
      </c>
      <c r="X115" t="s">
        <v>640</v>
      </c>
      <c r="Y115" t="s">
        <v>12</v>
      </c>
      <c r="Z115" t="s">
        <v>641</v>
      </c>
      <c r="AA115" t="s">
        <v>14</v>
      </c>
      <c r="AB115" t="s">
        <v>1056</v>
      </c>
      <c r="AC115" t="s">
        <v>927</v>
      </c>
      <c r="AD115" t="s">
        <v>1018</v>
      </c>
      <c r="AE115" t="s">
        <v>15</v>
      </c>
      <c r="AF115" t="s">
        <v>16</v>
      </c>
      <c r="AG115" t="s">
        <v>1057</v>
      </c>
      <c r="AH115" t="s">
        <v>927</v>
      </c>
      <c r="AI115" t="s">
        <v>953</v>
      </c>
      <c r="AJ115" t="s">
        <v>17</v>
      </c>
    </row>
    <row r="116" spans="1:36" x14ac:dyDescent="0.3">
      <c r="A116" t="s">
        <v>1146</v>
      </c>
      <c r="B116" t="s">
        <v>1124</v>
      </c>
      <c r="C116" t="s">
        <v>1125</v>
      </c>
      <c r="D116" t="s">
        <v>1144</v>
      </c>
      <c r="E116" t="s">
        <v>1127</v>
      </c>
      <c r="F116" t="s">
        <v>1125</v>
      </c>
      <c r="G116" t="s">
        <v>922</v>
      </c>
      <c r="H116" t="s">
        <v>1139</v>
      </c>
      <c r="I116" t="s">
        <v>1141</v>
      </c>
      <c r="M116" t="s">
        <v>613</v>
      </c>
      <c r="N116" t="s">
        <v>2</v>
      </c>
      <c r="O116" t="s">
        <v>439</v>
      </c>
      <c r="P116" t="s">
        <v>4</v>
      </c>
      <c r="Q116" t="s">
        <v>806</v>
      </c>
      <c r="R116">
        <f t="shared" si="3"/>
        <v>-2.8443340349336901</v>
      </c>
      <c r="S116" t="s">
        <v>6</v>
      </c>
      <c r="T116" t="s">
        <v>807</v>
      </c>
      <c r="U116" t="s">
        <v>8</v>
      </c>
      <c r="V116" t="s">
        <v>808</v>
      </c>
      <c r="W116" t="s">
        <v>10</v>
      </c>
      <c r="X116" t="s">
        <v>809</v>
      </c>
      <c r="Y116" t="s">
        <v>12</v>
      </c>
      <c r="Z116" t="s">
        <v>810</v>
      </c>
      <c r="AA116" t="s">
        <v>14</v>
      </c>
      <c r="AB116" t="s">
        <v>1097</v>
      </c>
      <c r="AC116" s="1">
        <v>44110</v>
      </c>
      <c r="AD116" s="1">
        <v>44133</v>
      </c>
    </row>
    <row r="117" spans="1:36" x14ac:dyDescent="0.3">
      <c r="A117" t="s">
        <v>1146</v>
      </c>
      <c r="B117" t="s">
        <v>1124</v>
      </c>
      <c r="C117" t="s">
        <v>1125</v>
      </c>
      <c r="D117" t="s">
        <v>923</v>
      </c>
      <c r="E117" t="s">
        <v>1127</v>
      </c>
      <c r="F117" t="s">
        <v>1125</v>
      </c>
      <c r="G117" t="s">
        <v>1144</v>
      </c>
      <c r="H117" t="s">
        <v>1139</v>
      </c>
      <c r="I117" t="s">
        <v>1142</v>
      </c>
      <c r="M117" t="s">
        <v>613</v>
      </c>
      <c r="N117" t="s">
        <v>2</v>
      </c>
      <c r="O117" t="s">
        <v>630</v>
      </c>
      <c r="P117" t="s">
        <v>4</v>
      </c>
      <c r="Q117" t="s">
        <v>744</v>
      </c>
      <c r="R117">
        <f t="shared" si="3"/>
        <v>-2.8592298590118599</v>
      </c>
      <c r="S117" t="s">
        <v>6</v>
      </c>
      <c r="T117" t="s">
        <v>745</v>
      </c>
      <c r="U117" t="s">
        <v>8</v>
      </c>
      <c r="V117" t="s">
        <v>746</v>
      </c>
      <c r="W117" t="s">
        <v>10</v>
      </c>
      <c r="X117" t="s">
        <v>747</v>
      </c>
      <c r="Y117" t="s">
        <v>12</v>
      </c>
      <c r="Z117" t="s">
        <v>748</v>
      </c>
      <c r="AA117" t="s">
        <v>14</v>
      </c>
      <c r="AB117" t="s">
        <v>1084</v>
      </c>
      <c r="AC117" t="s">
        <v>927</v>
      </c>
      <c r="AD117" t="s">
        <v>973</v>
      </c>
      <c r="AE117" t="s">
        <v>15</v>
      </c>
      <c r="AF117" t="s">
        <v>16</v>
      </c>
      <c r="AG117" t="s">
        <v>1084</v>
      </c>
      <c r="AH117" t="s">
        <v>927</v>
      </c>
      <c r="AI117" t="s">
        <v>973</v>
      </c>
      <c r="AJ117" t="s">
        <v>17</v>
      </c>
    </row>
    <row r="118" spans="1:36" x14ac:dyDescent="0.3">
      <c r="A118" t="s">
        <v>1146</v>
      </c>
      <c r="B118" t="s">
        <v>1124</v>
      </c>
      <c r="C118" t="s">
        <v>1125</v>
      </c>
      <c r="D118" t="s">
        <v>1144</v>
      </c>
      <c r="E118" t="s">
        <v>1127</v>
      </c>
      <c r="F118" t="s">
        <v>1125</v>
      </c>
      <c r="G118" t="s">
        <v>922</v>
      </c>
      <c r="H118" t="s">
        <v>1129</v>
      </c>
      <c r="I118" t="s">
        <v>1131</v>
      </c>
      <c r="M118" t="s">
        <v>569</v>
      </c>
      <c r="N118" t="s">
        <v>2</v>
      </c>
      <c r="O118" t="s">
        <v>760</v>
      </c>
      <c r="P118" t="s">
        <v>4</v>
      </c>
      <c r="Q118" t="s">
        <v>761</v>
      </c>
      <c r="R118">
        <f t="shared" si="3"/>
        <v>-2.9199999999999799</v>
      </c>
      <c r="S118" t="s">
        <v>6</v>
      </c>
      <c r="T118" t="s">
        <v>762</v>
      </c>
      <c r="U118" t="s">
        <v>8</v>
      </c>
      <c r="V118" t="s">
        <v>763</v>
      </c>
      <c r="W118" t="s">
        <v>10</v>
      </c>
      <c r="X118" t="s">
        <v>764</v>
      </c>
      <c r="Y118" t="s">
        <v>12</v>
      </c>
      <c r="Z118" t="s">
        <v>765</v>
      </c>
      <c r="AA118" t="s">
        <v>14</v>
      </c>
      <c r="AB118" t="s">
        <v>1088</v>
      </c>
      <c r="AC118" t="s">
        <v>927</v>
      </c>
      <c r="AD118" t="s">
        <v>1089</v>
      </c>
      <c r="AE118" t="s">
        <v>15</v>
      </c>
      <c r="AF118" t="s">
        <v>16</v>
      </c>
      <c r="AG118" t="s">
        <v>1088</v>
      </c>
      <c r="AH118" t="s">
        <v>927</v>
      </c>
      <c r="AI118" t="s">
        <v>1089</v>
      </c>
      <c r="AJ118" t="s">
        <v>17</v>
      </c>
    </row>
    <row r="119" spans="1:36" x14ac:dyDescent="0.3">
      <c r="A119" t="s">
        <v>1147</v>
      </c>
      <c r="B119" t="s">
        <v>1124</v>
      </c>
      <c r="C119" t="s">
        <v>1125</v>
      </c>
      <c r="D119" t="s">
        <v>1126</v>
      </c>
      <c r="E119" t="s">
        <v>1127</v>
      </c>
      <c r="F119" t="s">
        <v>1125</v>
      </c>
      <c r="G119" t="s">
        <v>1128</v>
      </c>
      <c r="H119" t="s">
        <v>1139</v>
      </c>
      <c r="I119" t="s">
        <v>1141</v>
      </c>
      <c r="M119" t="s">
        <v>536</v>
      </c>
      <c r="N119" t="s">
        <v>2</v>
      </c>
      <c r="O119" t="s">
        <v>849</v>
      </c>
      <c r="P119" t="s">
        <v>4</v>
      </c>
      <c r="Q119" t="s">
        <v>850</v>
      </c>
      <c r="R119">
        <f t="shared" si="3"/>
        <v>-3.13227612705347</v>
      </c>
      <c r="S119" t="s">
        <v>6</v>
      </c>
      <c r="T119" t="s">
        <v>851</v>
      </c>
      <c r="U119" t="s">
        <v>8</v>
      </c>
      <c r="V119" t="s">
        <v>852</v>
      </c>
      <c r="W119" t="s">
        <v>10</v>
      </c>
      <c r="X119" t="s">
        <v>853</v>
      </c>
      <c r="Y119" t="s">
        <v>12</v>
      </c>
      <c r="Z119" t="s">
        <v>854</v>
      </c>
      <c r="AA119" t="s">
        <v>14</v>
      </c>
      <c r="AB119" t="s">
        <v>1021</v>
      </c>
      <c r="AC119" t="s">
        <v>927</v>
      </c>
      <c r="AD119" t="s">
        <v>1055</v>
      </c>
      <c r="AE119" t="s">
        <v>15</v>
      </c>
      <c r="AF119" t="s">
        <v>16</v>
      </c>
      <c r="AG119" t="s">
        <v>1021</v>
      </c>
      <c r="AH119" t="s">
        <v>927</v>
      </c>
      <c r="AI119" t="s">
        <v>1055</v>
      </c>
      <c r="AJ119" t="s">
        <v>17</v>
      </c>
    </row>
    <row r="120" spans="1:36" x14ac:dyDescent="0.3">
      <c r="A120" t="s">
        <v>1145</v>
      </c>
      <c r="B120" t="s">
        <v>1124</v>
      </c>
      <c r="C120" t="s">
        <v>1125</v>
      </c>
      <c r="D120" t="s">
        <v>1144</v>
      </c>
      <c r="E120" t="s">
        <v>1127</v>
      </c>
      <c r="F120" t="s">
        <v>1125</v>
      </c>
      <c r="G120" t="s">
        <v>922</v>
      </c>
      <c r="H120" t="s">
        <v>1129</v>
      </c>
      <c r="I120" t="s">
        <v>1131</v>
      </c>
      <c r="M120" t="s">
        <v>305</v>
      </c>
      <c r="N120" t="s">
        <v>2</v>
      </c>
      <c r="O120" t="s">
        <v>451</v>
      </c>
      <c r="P120" t="s">
        <v>4</v>
      </c>
      <c r="Q120" t="s">
        <v>508</v>
      </c>
      <c r="R120">
        <f t="shared" si="3"/>
        <v>-3.3299999999999801</v>
      </c>
      <c r="S120" t="s">
        <v>6</v>
      </c>
      <c r="T120" t="s">
        <v>509</v>
      </c>
      <c r="U120" t="s">
        <v>8</v>
      </c>
      <c r="V120" t="s">
        <v>510</v>
      </c>
      <c r="W120" t="s">
        <v>10</v>
      </c>
      <c r="X120" t="s">
        <v>511</v>
      </c>
      <c r="Y120" t="s">
        <v>12</v>
      </c>
      <c r="Z120" t="s">
        <v>512</v>
      </c>
      <c r="AA120" t="s">
        <v>14</v>
      </c>
      <c r="AB120" t="s">
        <v>1017</v>
      </c>
      <c r="AC120" t="s">
        <v>927</v>
      </c>
      <c r="AD120" t="s">
        <v>1018</v>
      </c>
      <c r="AE120" t="s">
        <v>15</v>
      </c>
      <c r="AF120" t="s">
        <v>16</v>
      </c>
      <c r="AG120" t="s">
        <v>1046</v>
      </c>
      <c r="AH120" t="s">
        <v>927</v>
      </c>
      <c r="AI120" t="s">
        <v>1018</v>
      </c>
      <c r="AJ120" t="s">
        <v>17</v>
      </c>
    </row>
    <row r="121" spans="1:36" x14ac:dyDescent="0.3">
      <c r="A121" t="s">
        <v>1146</v>
      </c>
      <c r="B121" t="s">
        <v>1124</v>
      </c>
      <c r="C121" t="s">
        <v>1125</v>
      </c>
      <c r="D121" t="s">
        <v>1128</v>
      </c>
      <c r="E121" t="s">
        <v>1127</v>
      </c>
      <c r="F121" t="s">
        <v>1125</v>
      </c>
      <c r="G121" t="s">
        <v>923</v>
      </c>
      <c r="H121" t="s">
        <v>1129</v>
      </c>
      <c r="I121" t="s">
        <v>1133</v>
      </c>
      <c r="M121" t="s">
        <v>569</v>
      </c>
      <c r="N121" t="s">
        <v>2</v>
      </c>
      <c r="O121" t="s">
        <v>642</v>
      </c>
      <c r="P121" t="s">
        <v>4</v>
      </c>
      <c r="Q121" t="s">
        <v>648</v>
      </c>
      <c r="R121">
        <f t="shared" si="3"/>
        <v>-3.6200000000000299</v>
      </c>
      <c r="S121" t="s">
        <v>6</v>
      </c>
      <c r="T121" t="s">
        <v>649</v>
      </c>
      <c r="U121" t="s">
        <v>8</v>
      </c>
      <c r="V121" t="s">
        <v>650</v>
      </c>
      <c r="W121" t="s">
        <v>10</v>
      </c>
      <c r="X121" t="s">
        <v>646</v>
      </c>
      <c r="Y121" t="s">
        <v>12</v>
      </c>
      <c r="Z121" t="s">
        <v>651</v>
      </c>
      <c r="AA121" t="s">
        <v>14</v>
      </c>
      <c r="AB121" t="s">
        <v>1058</v>
      </c>
      <c r="AC121" t="s">
        <v>927</v>
      </c>
      <c r="AD121" t="s">
        <v>932</v>
      </c>
      <c r="AE121" t="s">
        <v>15</v>
      </c>
      <c r="AF121" t="s">
        <v>16</v>
      </c>
      <c r="AG121" t="s">
        <v>1058</v>
      </c>
      <c r="AH121" t="s">
        <v>927</v>
      </c>
      <c r="AI121" t="s">
        <v>932</v>
      </c>
      <c r="AJ121" t="s">
        <v>17</v>
      </c>
    </row>
    <row r="122" spans="1:36" x14ac:dyDescent="0.3">
      <c r="A122" t="s">
        <v>1146</v>
      </c>
      <c r="B122" t="s">
        <v>1124</v>
      </c>
      <c r="C122" t="s">
        <v>1125</v>
      </c>
      <c r="D122" t="s">
        <v>923</v>
      </c>
      <c r="E122" t="s">
        <v>1127</v>
      </c>
      <c r="F122" t="s">
        <v>1125</v>
      </c>
      <c r="G122" t="s">
        <v>1144</v>
      </c>
      <c r="H122" t="s">
        <v>1129</v>
      </c>
      <c r="I122" t="s">
        <v>1130</v>
      </c>
      <c r="M122" t="s">
        <v>569</v>
      </c>
      <c r="N122" t="s">
        <v>2</v>
      </c>
      <c r="O122" t="s">
        <v>445</v>
      </c>
      <c r="P122" t="s">
        <v>4</v>
      </c>
      <c r="Q122" t="s">
        <v>689</v>
      </c>
      <c r="R122">
        <f t="shared" si="3"/>
        <v>-3.8899999999999699</v>
      </c>
      <c r="S122" t="s">
        <v>6</v>
      </c>
      <c r="T122" t="s">
        <v>690</v>
      </c>
      <c r="U122" t="s">
        <v>8</v>
      </c>
      <c r="V122" t="s">
        <v>691</v>
      </c>
      <c r="W122" t="s">
        <v>10</v>
      </c>
      <c r="X122" t="s">
        <v>692</v>
      </c>
      <c r="Y122" t="s">
        <v>12</v>
      </c>
      <c r="Z122" t="s">
        <v>693</v>
      </c>
      <c r="AA122" t="s">
        <v>14</v>
      </c>
      <c r="AB122" t="s">
        <v>1071</v>
      </c>
      <c r="AC122" t="s">
        <v>927</v>
      </c>
      <c r="AD122" t="s">
        <v>950</v>
      </c>
      <c r="AE122" t="s">
        <v>15</v>
      </c>
      <c r="AF122" t="s">
        <v>16</v>
      </c>
      <c r="AG122" t="s">
        <v>1072</v>
      </c>
      <c r="AH122" t="s">
        <v>927</v>
      </c>
      <c r="AI122" t="s">
        <v>953</v>
      </c>
      <c r="AJ122" t="s">
        <v>17</v>
      </c>
    </row>
    <row r="123" spans="1:36" x14ac:dyDescent="0.3">
      <c r="A123" t="s">
        <v>1146</v>
      </c>
      <c r="B123" t="s">
        <v>1124</v>
      </c>
      <c r="C123" t="s">
        <v>1125</v>
      </c>
      <c r="D123" t="s">
        <v>1126</v>
      </c>
      <c r="E123" t="s">
        <v>1127</v>
      </c>
      <c r="F123" t="s">
        <v>1125</v>
      </c>
      <c r="G123" t="s">
        <v>1128</v>
      </c>
      <c r="H123" t="s">
        <v>1129</v>
      </c>
      <c r="I123" t="s">
        <v>1132</v>
      </c>
      <c r="M123" t="s">
        <v>569</v>
      </c>
      <c r="N123" t="s">
        <v>2</v>
      </c>
      <c r="O123" t="s">
        <v>576</v>
      </c>
      <c r="P123" t="s">
        <v>4</v>
      </c>
      <c r="Q123" t="s">
        <v>582</v>
      </c>
      <c r="R123">
        <f t="shared" si="3"/>
        <v>-3.93999999999996</v>
      </c>
      <c r="S123" t="s">
        <v>6</v>
      </c>
      <c r="T123" t="s">
        <v>583</v>
      </c>
      <c r="U123" t="s">
        <v>8</v>
      </c>
      <c r="V123" t="s">
        <v>584</v>
      </c>
      <c r="W123" t="s">
        <v>10</v>
      </c>
      <c r="X123" t="s">
        <v>580</v>
      </c>
      <c r="Y123" t="s">
        <v>12</v>
      </c>
      <c r="Z123" t="s">
        <v>585</v>
      </c>
      <c r="AA123" t="s">
        <v>14</v>
      </c>
      <c r="AB123" t="s">
        <v>1028</v>
      </c>
      <c r="AC123" t="s">
        <v>927</v>
      </c>
      <c r="AD123" t="s">
        <v>1018</v>
      </c>
      <c r="AE123" t="s">
        <v>15</v>
      </c>
      <c r="AF123" t="s">
        <v>16</v>
      </c>
      <c r="AG123" t="s">
        <v>1028</v>
      </c>
      <c r="AH123" t="s">
        <v>927</v>
      </c>
      <c r="AI123" t="s">
        <v>1018</v>
      </c>
      <c r="AJ123" t="s">
        <v>17</v>
      </c>
    </row>
    <row r="124" spans="1:36" x14ac:dyDescent="0.3">
      <c r="A124" t="s">
        <v>1146</v>
      </c>
      <c r="B124" t="s">
        <v>1124</v>
      </c>
      <c r="C124" t="s">
        <v>1125</v>
      </c>
      <c r="D124" t="s">
        <v>1128</v>
      </c>
      <c r="E124" t="s">
        <v>1127</v>
      </c>
      <c r="F124" t="s">
        <v>1125</v>
      </c>
      <c r="G124" t="s">
        <v>923</v>
      </c>
      <c r="H124" t="s">
        <v>1129</v>
      </c>
      <c r="I124" t="s">
        <v>1132</v>
      </c>
      <c r="M124" t="s">
        <v>569</v>
      </c>
      <c r="N124" t="s">
        <v>2</v>
      </c>
      <c r="O124" t="s">
        <v>642</v>
      </c>
      <c r="P124" t="s">
        <v>4</v>
      </c>
      <c r="Q124" t="s">
        <v>643</v>
      </c>
      <c r="R124">
        <f t="shared" si="3"/>
        <v>-3.9600000000000199</v>
      </c>
      <c r="S124" t="s">
        <v>6</v>
      </c>
      <c r="T124" t="s">
        <v>644</v>
      </c>
      <c r="U124" t="s">
        <v>8</v>
      </c>
      <c r="V124" t="s">
        <v>645</v>
      </c>
      <c r="W124" t="s">
        <v>10</v>
      </c>
      <c r="X124" t="s">
        <v>646</v>
      </c>
      <c r="Y124" t="s">
        <v>12</v>
      </c>
      <c r="Z124" t="s">
        <v>647</v>
      </c>
      <c r="AA124" t="s">
        <v>14</v>
      </c>
      <c r="AB124" t="s">
        <v>1058</v>
      </c>
      <c r="AC124" t="s">
        <v>927</v>
      </c>
      <c r="AD124" t="s">
        <v>932</v>
      </c>
      <c r="AE124" t="s">
        <v>15</v>
      </c>
      <c r="AF124" t="s">
        <v>16</v>
      </c>
      <c r="AG124" t="s">
        <v>1058</v>
      </c>
      <c r="AH124" t="s">
        <v>927</v>
      </c>
      <c r="AI124" t="s">
        <v>932</v>
      </c>
      <c r="AJ124" t="s">
        <v>17</v>
      </c>
    </row>
    <row r="125" spans="1:36" x14ac:dyDescent="0.3">
      <c r="A125" t="s">
        <v>1146</v>
      </c>
      <c r="B125" t="s">
        <v>1124</v>
      </c>
      <c r="C125" t="s">
        <v>1125</v>
      </c>
      <c r="D125" t="s">
        <v>1144</v>
      </c>
      <c r="E125" t="s">
        <v>1127</v>
      </c>
      <c r="F125" t="s">
        <v>1125</v>
      </c>
      <c r="G125" t="s">
        <v>922</v>
      </c>
      <c r="H125" t="s">
        <v>1139</v>
      </c>
      <c r="I125" t="s">
        <v>1140</v>
      </c>
      <c r="M125" t="s">
        <v>613</v>
      </c>
      <c r="N125" t="s">
        <v>2</v>
      </c>
      <c r="O125" t="s">
        <v>502</v>
      </c>
      <c r="P125" t="s">
        <v>4</v>
      </c>
      <c r="Q125" t="s">
        <v>801</v>
      </c>
      <c r="R125">
        <f t="shared" si="3"/>
        <v>-4.0063624750599498</v>
      </c>
      <c r="S125" t="s">
        <v>6</v>
      </c>
      <c r="T125" t="s">
        <v>802</v>
      </c>
      <c r="U125" t="s">
        <v>8</v>
      </c>
      <c r="V125" t="s">
        <v>803</v>
      </c>
      <c r="W125" t="s">
        <v>10</v>
      </c>
      <c r="X125" t="s">
        <v>804</v>
      </c>
      <c r="Y125" t="s">
        <v>12</v>
      </c>
      <c r="Z125" t="s">
        <v>805</v>
      </c>
      <c r="AA125" t="s">
        <v>14</v>
      </c>
      <c r="AB125" t="s">
        <v>1095</v>
      </c>
      <c r="AC125" t="s">
        <v>927</v>
      </c>
      <c r="AD125" t="s">
        <v>1096</v>
      </c>
      <c r="AE125" t="s">
        <v>15</v>
      </c>
      <c r="AF125" t="s">
        <v>16</v>
      </c>
      <c r="AG125" t="s">
        <v>1095</v>
      </c>
      <c r="AH125" t="s">
        <v>927</v>
      </c>
      <c r="AI125" t="s">
        <v>1096</v>
      </c>
      <c r="AJ125" t="s">
        <v>17</v>
      </c>
    </row>
    <row r="126" spans="1:36" x14ac:dyDescent="0.3">
      <c r="A126" t="s">
        <v>1123</v>
      </c>
      <c r="B126" t="s">
        <v>1124</v>
      </c>
      <c r="C126" t="s">
        <v>1125</v>
      </c>
      <c r="D126" t="s">
        <v>923</v>
      </c>
      <c r="E126" t="s">
        <v>1127</v>
      </c>
      <c r="F126" t="s">
        <v>1125</v>
      </c>
      <c r="G126" t="s">
        <v>1144</v>
      </c>
      <c r="H126" t="s">
        <v>1134</v>
      </c>
      <c r="I126" t="s">
        <v>1135</v>
      </c>
      <c r="M126" t="s">
        <v>36</v>
      </c>
      <c r="N126" t="s">
        <v>2</v>
      </c>
      <c r="O126" t="s">
        <v>185</v>
      </c>
      <c r="P126" t="s">
        <v>4</v>
      </c>
      <c r="Q126" t="s">
        <v>186</v>
      </c>
      <c r="R126">
        <f t="shared" si="3"/>
        <v>-4.0438942765404704</v>
      </c>
      <c r="S126" t="s">
        <v>6</v>
      </c>
      <c r="T126" t="s">
        <v>187</v>
      </c>
      <c r="U126" t="s">
        <v>8</v>
      </c>
      <c r="V126" t="s">
        <v>188</v>
      </c>
      <c r="W126" t="s">
        <v>10</v>
      </c>
      <c r="X126" t="s">
        <v>189</v>
      </c>
      <c r="Y126" t="s">
        <v>12</v>
      </c>
      <c r="Z126" t="s">
        <v>190</v>
      </c>
      <c r="AA126" t="s">
        <v>14</v>
      </c>
      <c r="AB126" t="s">
        <v>926</v>
      </c>
      <c r="AC126" t="s">
        <v>927</v>
      </c>
      <c r="AD126" t="s">
        <v>928</v>
      </c>
      <c r="AE126" t="s">
        <v>15</v>
      </c>
      <c r="AF126" t="s">
        <v>16</v>
      </c>
      <c r="AG126" t="s">
        <v>963</v>
      </c>
      <c r="AH126" t="s">
        <v>927</v>
      </c>
      <c r="AI126" t="s">
        <v>964</v>
      </c>
      <c r="AJ126" t="s">
        <v>17</v>
      </c>
    </row>
    <row r="127" spans="1:36" x14ac:dyDescent="0.3">
      <c r="A127" t="s">
        <v>1146</v>
      </c>
      <c r="B127" t="s">
        <v>1124</v>
      </c>
      <c r="C127" t="s">
        <v>1125</v>
      </c>
      <c r="D127" t="s">
        <v>923</v>
      </c>
      <c r="E127" t="s">
        <v>1127</v>
      </c>
      <c r="F127" t="s">
        <v>1125</v>
      </c>
      <c r="G127" t="s">
        <v>1144</v>
      </c>
      <c r="H127" t="s">
        <v>1129</v>
      </c>
      <c r="I127" t="s">
        <v>1131</v>
      </c>
      <c r="M127" t="s">
        <v>569</v>
      </c>
      <c r="N127" t="s">
        <v>2</v>
      </c>
      <c r="O127" t="s">
        <v>694</v>
      </c>
      <c r="P127" t="s">
        <v>4</v>
      </c>
      <c r="Q127" t="s">
        <v>695</v>
      </c>
      <c r="R127">
        <f t="shared" si="3"/>
        <v>-4.42999999999995</v>
      </c>
      <c r="S127" t="s">
        <v>6</v>
      </c>
      <c r="T127" t="s">
        <v>696</v>
      </c>
      <c r="U127" t="s">
        <v>8</v>
      </c>
      <c r="V127" t="s">
        <v>697</v>
      </c>
      <c r="W127" t="s">
        <v>10</v>
      </c>
      <c r="X127" t="s">
        <v>698</v>
      </c>
      <c r="Y127" t="s">
        <v>12</v>
      </c>
      <c r="Z127" t="s">
        <v>699</v>
      </c>
      <c r="AA127" t="s">
        <v>14</v>
      </c>
      <c r="AB127" t="s">
        <v>1073</v>
      </c>
      <c r="AC127" t="s">
        <v>927</v>
      </c>
      <c r="AD127" t="s">
        <v>1074</v>
      </c>
      <c r="AE127" t="s">
        <v>15</v>
      </c>
      <c r="AF127" t="s">
        <v>16</v>
      </c>
      <c r="AG127" t="s">
        <v>1073</v>
      </c>
      <c r="AH127" t="s">
        <v>927</v>
      </c>
      <c r="AI127" t="s">
        <v>1074</v>
      </c>
      <c r="AJ127" t="s">
        <v>17</v>
      </c>
    </row>
    <row r="128" spans="1:36" x14ac:dyDescent="0.3">
      <c r="A128" t="s">
        <v>1145</v>
      </c>
      <c r="B128" t="s">
        <v>1124</v>
      </c>
      <c r="C128" t="s">
        <v>1125</v>
      </c>
      <c r="D128" t="s">
        <v>923</v>
      </c>
      <c r="E128" t="s">
        <v>1127</v>
      </c>
      <c r="F128" t="s">
        <v>1125</v>
      </c>
      <c r="G128" t="s">
        <v>1144</v>
      </c>
      <c r="H128" t="s">
        <v>1139</v>
      </c>
      <c r="I128" t="s">
        <v>1141</v>
      </c>
      <c r="M128" t="s">
        <v>347</v>
      </c>
      <c r="N128" t="s">
        <v>2</v>
      </c>
      <c r="O128" t="s">
        <v>485</v>
      </c>
      <c r="P128" t="s">
        <v>4</v>
      </c>
      <c r="Q128" t="s">
        <v>486</v>
      </c>
      <c r="R128">
        <f t="shared" si="3"/>
        <v>-4.5337611286311104</v>
      </c>
      <c r="S128" t="s">
        <v>6</v>
      </c>
      <c r="T128" t="s">
        <v>487</v>
      </c>
      <c r="U128" t="s">
        <v>8</v>
      </c>
      <c r="V128" t="s">
        <v>488</v>
      </c>
      <c r="W128" t="s">
        <v>10</v>
      </c>
      <c r="X128" t="s">
        <v>489</v>
      </c>
      <c r="Y128" t="s">
        <v>12</v>
      </c>
      <c r="Z128" t="s">
        <v>490</v>
      </c>
      <c r="AA128" t="s">
        <v>14</v>
      </c>
      <c r="AB128" t="s">
        <v>1041</v>
      </c>
      <c r="AC128" s="1">
        <v>44475</v>
      </c>
      <c r="AD128" s="1">
        <v>44511</v>
      </c>
    </row>
    <row r="129" spans="1:36" x14ac:dyDescent="0.3">
      <c r="A129" t="s">
        <v>1146</v>
      </c>
      <c r="B129" t="s">
        <v>1124</v>
      </c>
      <c r="C129" t="s">
        <v>1125</v>
      </c>
      <c r="D129" t="s">
        <v>1128</v>
      </c>
      <c r="E129" t="s">
        <v>1127</v>
      </c>
      <c r="F129" t="s">
        <v>1125</v>
      </c>
      <c r="G129" t="s">
        <v>923</v>
      </c>
      <c r="H129" t="s">
        <v>1129</v>
      </c>
      <c r="I129" t="s">
        <v>1130</v>
      </c>
      <c r="M129" t="s">
        <v>569</v>
      </c>
      <c r="N129" t="s">
        <v>2</v>
      </c>
      <c r="O129" t="s">
        <v>630</v>
      </c>
      <c r="P129" t="s">
        <v>4</v>
      </c>
      <c r="Q129" t="s">
        <v>631</v>
      </c>
      <c r="R129">
        <f t="shared" si="3"/>
        <v>-4.6499999999999799</v>
      </c>
      <c r="S129" t="s">
        <v>6</v>
      </c>
      <c r="T129" t="s">
        <v>632</v>
      </c>
      <c r="U129" t="s">
        <v>8</v>
      </c>
      <c r="V129" t="s">
        <v>633</v>
      </c>
      <c r="W129" t="s">
        <v>10</v>
      </c>
      <c r="X129" t="s">
        <v>634</v>
      </c>
      <c r="Y129" t="s">
        <v>12</v>
      </c>
      <c r="Z129" t="s">
        <v>635</v>
      </c>
      <c r="AA129" t="s">
        <v>14</v>
      </c>
      <c r="AB129" t="s">
        <v>1056</v>
      </c>
      <c r="AC129" t="s">
        <v>927</v>
      </c>
      <c r="AD129" t="s">
        <v>1018</v>
      </c>
      <c r="AE129" t="s">
        <v>15</v>
      </c>
      <c r="AF129" t="s">
        <v>16</v>
      </c>
      <c r="AG129" t="s">
        <v>1057</v>
      </c>
      <c r="AH129" t="s">
        <v>927</v>
      </c>
      <c r="AI129" t="s">
        <v>953</v>
      </c>
      <c r="AJ129" t="s">
        <v>17</v>
      </c>
    </row>
    <row r="130" spans="1:36" x14ac:dyDescent="0.3">
      <c r="A130" t="s">
        <v>1145</v>
      </c>
      <c r="B130" t="s">
        <v>1124</v>
      </c>
      <c r="C130" t="s">
        <v>1125</v>
      </c>
      <c r="D130" t="s">
        <v>923</v>
      </c>
      <c r="E130" t="s">
        <v>1127</v>
      </c>
      <c r="F130" t="s">
        <v>1125</v>
      </c>
      <c r="G130" t="s">
        <v>1144</v>
      </c>
      <c r="H130" t="s">
        <v>1129</v>
      </c>
      <c r="I130" t="s">
        <v>1132</v>
      </c>
      <c r="M130" t="s">
        <v>305</v>
      </c>
      <c r="N130" t="s">
        <v>2</v>
      </c>
      <c r="O130" t="s">
        <v>445</v>
      </c>
      <c r="P130" t="s">
        <v>4</v>
      </c>
      <c r="Q130" t="s">
        <v>446</v>
      </c>
      <c r="R130">
        <f t="shared" ref="R130:R193" si="4">IFERROR(VALUE(_xlfn.TEXTBEFORE(Q130, ",")), 0)</f>
        <v>-4.7300000000000102</v>
      </c>
      <c r="S130" t="s">
        <v>6</v>
      </c>
      <c r="T130" t="s">
        <v>447</v>
      </c>
      <c r="U130" t="s">
        <v>8</v>
      </c>
      <c r="V130" t="s">
        <v>448</v>
      </c>
      <c r="W130" t="s">
        <v>10</v>
      </c>
      <c r="X130" t="s">
        <v>449</v>
      </c>
      <c r="Y130" t="s">
        <v>12</v>
      </c>
      <c r="Z130" t="s">
        <v>450</v>
      </c>
      <c r="AA130" t="s">
        <v>14</v>
      </c>
      <c r="AB130" t="s">
        <v>1028</v>
      </c>
      <c r="AC130" t="s">
        <v>927</v>
      </c>
      <c r="AD130" t="s">
        <v>1018</v>
      </c>
      <c r="AE130" t="s">
        <v>15</v>
      </c>
      <c r="AF130" t="s">
        <v>16</v>
      </c>
      <c r="AG130" t="s">
        <v>1029</v>
      </c>
      <c r="AH130" t="s">
        <v>927</v>
      </c>
      <c r="AI130" t="s">
        <v>950</v>
      </c>
      <c r="AJ130" t="s">
        <v>17</v>
      </c>
    </row>
    <row r="131" spans="1:36" x14ac:dyDescent="0.3">
      <c r="A131" t="s">
        <v>1146</v>
      </c>
      <c r="B131" t="s">
        <v>1124</v>
      </c>
      <c r="C131" t="s">
        <v>1125</v>
      </c>
      <c r="D131" t="s">
        <v>1126</v>
      </c>
      <c r="E131" t="s">
        <v>1127</v>
      </c>
      <c r="F131" t="s">
        <v>1125</v>
      </c>
      <c r="G131" t="s">
        <v>1128</v>
      </c>
      <c r="H131" t="s">
        <v>1129</v>
      </c>
      <c r="I131" t="s">
        <v>1131</v>
      </c>
      <c r="M131" t="s">
        <v>569</v>
      </c>
      <c r="N131" t="s">
        <v>2</v>
      </c>
      <c r="O131" t="s">
        <v>576</v>
      </c>
      <c r="P131" t="s">
        <v>4</v>
      </c>
      <c r="Q131" t="s">
        <v>577</v>
      </c>
      <c r="R131">
        <f t="shared" si="4"/>
        <v>-4.9399999999999604</v>
      </c>
      <c r="S131" t="s">
        <v>6</v>
      </c>
      <c r="T131" t="s">
        <v>578</v>
      </c>
      <c r="U131" t="s">
        <v>8</v>
      </c>
      <c r="V131" t="s">
        <v>579</v>
      </c>
      <c r="W131" t="s">
        <v>10</v>
      </c>
      <c r="X131" t="s">
        <v>580</v>
      </c>
      <c r="Y131" t="s">
        <v>12</v>
      </c>
      <c r="Z131" t="s">
        <v>581</v>
      </c>
      <c r="AA131" t="s">
        <v>14</v>
      </c>
      <c r="AB131" t="s">
        <v>1028</v>
      </c>
      <c r="AC131" t="s">
        <v>927</v>
      </c>
      <c r="AD131" t="s">
        <v>1018</v>
      </c>
      <c r="AE131" t="s">
        <v>15</v>
      </c>
      <c r="AF131" t="s">
        <v>16</v>
      </c>
      <c r="AG131" t="s">
        <v>1028</v>
      </c>
      <c r="AH131" t="s">
        <v>927</v>
      </c>
      <c r="AI131" t="s">
        <v>1018</v>
      </c>
      <c r="AJ131" t="s">
        <v>17</v>
      </c>
    </row>
    <row r="132" spans="1:36" x14ac:dyDescent="0.3">
      <c r="A132" t="s">
        <v>1146</v>
      </c>
      <c r="B132" t="s">
        <v>1124</v>
      </c>
      <c r="C132" t="s">
        <v>1125</v>
      </c>
      <c r="D132" t="s">
        <v>923</v>
      </c>
      <c r="E132" t="s">
        <v>1127</v>
      </c>
      <c r="F132" t="s">
        <v>1125</v>
      </c>
      <c r="G132" t="s">
        <v>1144</v>
      </c>
      <c r="H132" t="s">
        <v>1139</v>
      </c>
      <c r="I132" t="s">
        <v>1143</v>
      </c>
      <c r="M132" t="s">
        <v>613</v>
      </c>
      <c r="N132" t="s">
        <v>2</v>
      </c>
      <c r="O132" t="s">
        <v>749</v>
      </c>
      <c r="P132" t="s">
        <v>4</v>
      </c>
      <c r="Q132" t="s">
        <v>750</v>
      </c>
      <c r="R132">
        <f t="shared" si="4"/>
        <v>-5.4519530990956797</v>
      </c>
      <c r="S132" t="s">
        <v>6</v>
      </c>
      <c r="T132" t="s">
        <v>751</v>
      </c>
      <c r="U132" t="s">
        <v>8</v>
      </c>
      <c r="V132" t="s">
        <v>752</v>
      </c>
      <c r="W132" t="s">
        <v>10</v>
      </c>
      <c r="X132" t="s">
        <v>753</v>
      </c>
      <c r="Y132" t="s">
        <v>12</v>
      </c>
      <c r="Z132" t="s">
        <v>754</v>
      </c>
      <c r="AA132" t="s">
        <v>14</v>
      </c>
      <c r="AB132" t="s">
        <v>1084</v>
      </c>
      <c r="AC132" t="s">
        <v>927</v>
      </c>
      <c r="AD132" t="s">
        <v>973</v>
      </c>
      <c r="AE132" t="s">
        <v>15</v>
      </c>
      <c r="AF132" t="s">
        <v>16</v>
      </c>
      <c r="AG132" t="s">
        <v>1084</v>
      </c>
      <c r="AH132" t="s">
        <v>927</v>
      </c>
      <c r="AI132" t="s">
        <v>973</v>
      </c>
      <c r="AJ132" t="s">
        <v>17</v>
      </c>
    </row>
    <row r="133" spans="1:36" x14ac:dyDescent="0.3">
      <c r="A133" t="s">
        <v>1145</v>
      </c>
      <c r="B133" t="s">
        <v>1124</v>
      </c>
      <c r="C133" t="s">
        <v>1125</v>
      </c>
      <c r="D133" t="s">
        <v>1144</v>
      </c>
      <c r="E133" t="s">
        <v>1127</v>
      </c>
      <c r="F133" t="s">
        <v>1125</v>
      </c>
      <c r="G133" t="s">
        <v>922</v>
      </c>
      <c r="H133" t="s">
        <v>1139</v>
      </c>
      <c r="I133" t="s">
        <v>1140</v>
      </c>
      <c r="M133" t="s">
        <v>347</v>
      </c>
      <c r="N133" t="s">
        <v>2</v>
      </c>
      <c r="O133" t="s">
        <v>418</v>
      </c>
      <c r="P133" t="s">
        <v>4</v>
      </c>
      <c r="Q133" t="s">
        <v>548</v>
      </c>
      <c r="R133">
        <f t="shared" si="4"/>
        <v>-5.6638637346375802</v>
      </c>
      <c r="S133" t="s">
        <v>6</v>
      </c>
      <c r="T133" t="s">
        <v>549</v>
      </c>
      <c r="U133" t="s">
        <v>8</v>
      </c>
      <c r="V133" t="s">
        <v>550</v>
      </c>
      <c r="W133" t="s">
        <v>10</v>
      </c>
      <c r="X133" t="s">
        <v>551</v>
      </c>
      <c r="Y133" t="s">
        <v>12</v>
      </c>
      <c r="Z133" t="s">
        <v>552</v>
      </c>
      <c r="AA133" t="s">
        <v>14</v>
      </c>
      <c r="AB133" t="s">
        <v>986</v>
      </c>
      <c r="AC133" t="s">
        <v>927</v>
      </c>
      <c r="AD133" t="s">
        <v>987</v>
      </c>
      <c r="AE133" t="s">
        <v>15</v>
      </c>
      <c r="AF133" t="s">
        <v>16</v>
      </c>
      <c r="AG133" t="s">
        <v>1051</v>
      </c>
      <c r="AH133" t="s">
        <v>927</v>
      </c>
      <c r="AI133" t="s">
        <v>987</v>
      </c>
      <c r="AJ133" t="s">
        <v>17</v>
      </c>
    </row>
    <row r="134" spans="1:36" x14ac:dyDescent="0.3">
      <c r="A134" t="s">
        <v>1145</v>
      </c>
      <c r="B134" t="s">
        <v>1124</v>
      </c>
      <c r="C134" t="s">
        <v>1125</v>
      </c>
      <c r="D134" t="s">
        <v>1144</v>
      </c>
      <c r="E134" t="s">
        <v>1127</v>
      </c>
      <c r="F134" t="s">
        <v>1125</v>
      </c>
      <c r="G134" t="s">
        <v>922</v>
      </c>
      <c r="H134" t="s">
        <v>1134</v>
      </c>
      <c r="I134" t="s">
        <v>1136</v>
      </c>
      <c r="M134" t="s">
        <v>322</v>
      </c>
      <c r="N134" t="s">
        <v>2</v>
      </c>
      <c r="O134" t="s">
        <v>530</v>
      </c>
      <c r="P134" t="s">
        <v>4</v>
      </c>
      <c r="Q134" t="s">
        <v>531</v>
      </c>
      <c r="R134">
        <f t="shared" si="4"/>
        <v>-6.0238942765408297</v>
      </c>
      <c r="S134" t="s">
        <v>6</v>
      </c>
      <c r="T134" t="s">
        <v>532</v>
      </c>
      <c r="U134" t="s">
        <v>8</v>
      </c>
      <c r="V134" t="s">
        <v>533</v>
      </c>
      <c r="W134" t="s">
        <v>10</v>
      </c>
      <c r="X134" t="s">
        <v>534</v>
      </c>
      <c r="Y134" t="s">
        <v>12</v>
      </c>
      <c r="Z134" t="s">
        <v>535</v>
      </c>
      <c r="AA134" t="s">
        <v>14</v>
      </c>
      <c r="AB134" t="s">
        <v>1017</v>
      </c>
      <c r="AC134" t="s">
        <v>927</v>
      </c>
      <c r="AD134" t="s">
        <v>1018</v>
      </c>
      <c r="AE134" t="s">
        <v>15</v>
      </c>
      <c r="AF134" t="s">
        <v>16</v>
      </c>
      <c r="AG134" t="s">
        <v>1046</v>
      </c>
      <c r="AH134" t="s">
        <v>927</v>
      </c>
      <c r="AI134" t="s">
        <v>1018</v>
      </c>
      <c r="AJ134" t="s">
        <v>17</v>
      </c>
    </row>
    <row r="135" spans="1:36" x14ac:dyDescent="0.3">
      <c r="A135" t="s">
        <v>1145</v>
      </c>
      <c r="B135" t="s">
        <v>1124</v>
      </c>
      <c r="C135" t="s">
        <v>1125</v>
      </c>
      <c r="D135" t="s">
        <v>1144</v>
      </c>
      <c r="E135" t="s">
        <v>1127</v>
      </c>
      <c r="F135" t="s">
        <v>1125</v>
      </c>
      <c r="G135" t="s">
        <v>922</v>
      </c>
      <c r="H135" t="s">
        <v>1134</v>
      </c>
      <c r="I135" t="s">
        <v>1137</v>
      </c>
      <c r="M135" t="s">
        <v>322</v>
      </c>
      <c r="N135" t="s">
        <v>2</v>
      </c>
      <c r="O135" t="s">
        <v>536</v>
      </c>
      <c r="P135" t="s">
        <v>4</v>
      </c>
      <c r="Q135" t="s">
        <v>537</v>
      </c>
      <c r="R135">
        <f t="shared" si="4"/>
        <v>-6.3012403101263104</v>
      </c>
      <c r="S135" t="s">
        <v>6</v>
      </c>
      <c r="T135" t="s">
        <v>538</v>
      </c>
      <c r="U135" t="s">
        <v>8</v>
      </c>
      <c r="V135" t="s">
        <v>539</v>
      </c>
      <c r="W135" t="s">
        <v>10</v>
      </c>
      <c r="X135" t="s">
        <v>540</v>
      </c>
      <c r="Y135" t="s">
        <v>12</v>
      </c>
      <c r="Z135" t="s">
        <v>541</v>
      </c>
      <c r="AA135" t="s">
        <v>14</v>
      </c>
      <c r="AB135" t="s">
        <v>1017</v>
      </c>
      <c r="AC135" t="s">
        <v>927</v>
      </c>
      <c r="AD135" t="s">
        <v>1018</v>
      </c>
      <c r="AE135" t="s">
        <v>15</v>
      </c>
      <c r="AF135" t="s">
        <v>16</v>
      </c>
      <c r="AG135" t="s">
        <v>1046</v>
      </c>
      <c r="AH135" t="s">
        <v>927</v>
      </c>
      <c r="AI135" t="s">
        <v>1018</v>
      </c>
      <c r="AJ135" t="s">
        <v>17</v>
      </c>
    </row>
    <row r="136" spans="1:36" x14ac:dyDescent="0.3">
      <c r="A136" t="s">
        <v>1146</v>
      </c>
      <c r="B136" t="s">
        <v>1124</v>
      </c>
      <c r="C136" t="s">
        <v>1125</v>
      </c>
      <c r="D136" t="s">
        <v>1126</v>
      </c>
      <c r="E136" t="s">
        <v>1127</v>
      </c>
      <c r="F136" t="s">
        <v>1125</v>
      </c>
      <c r="G136" t="s">
        <v>1128</v>
      </c>
      <c r="H136" t="s">
        <v>1129</v>
      </c>
      <c r="I136" t="s">
        <v>1130</v>
      </c>
      <c r="M136" t="s">
        <v>569</v>
      </c>
      <c r="N136" t="s">
        <v>2</v>
      </c>
      <c r="O136" t="s">
        <v>570</v>
      </c>
      <c r="P136" t="s">
        <v>4</v>
      </c>
      <c r="Q136" t="s">
        <v>571</v>
      </c>
      <c r="R136">
        <f t="shared" si="4"/>
        <v>-6.5199999999999703</v>
      </c>
      <c r="S136" t="s">
        <v>6</v>
      </c>
      <c r="T136" t="s">
        <v>572</v>
      </c>
      <c r="U136" t="s">
        <v>8</v>
      </c>
      <c r="V136" t="s">
        <v>573</v>
      </c>
      <c r="W136" t="s">
        <v>10</v>
      </c>
      <c r="X136" t="s">
        <v>574</v>
      </c>
      <c r="Y136" t="s">
        <v>12</v>
      </c>
      <c r="Z136" t="s">
        <v>575</v>
      </c>
      <c r="AA136" t="s">
        <v>14</v>
      </c>
      <c r="AB136" t="s">
        <v>1028</v>
      </c>
      <c r="AC136" t="s">
        <v>927</v>
      </c>
      <c r="AD136" t="s">
        <v>1018</v>
      </c>
      <c r="AE136" t="s">
        <v>15</v>
      </c>
      <c r="AF136" t="s">
        <v>16</v>
      </c>
      <c r="AG136" t="s">
        <v>1028</v>
      </c>
      <c r="AH136" t="s">
        <v>927</v>
      </c>
      <c r="AI136" t="s">
        <v>1018</v>
      </c>
      <c r="AJ136" t="s">
        <v>17</v>
      </c>
    </row>
    <row r="137" spans="1:36" x14ac:dyDescent="0.3">
      <c r="A137" t="s">
        <v>1145</v>
      </c>
      <c r="B137" t="s">
        <v>1124</v>
      </c>
      <c r="C137" t="s">
        <v>1125</v>
      </c>
      <c r="D137" t="s">
        <v>1128</v>
      </c>
      <c r="E137" t="s">
        <v>1127</v>
      </c>
      <c r="F137" t="s">
        <v>1125</v>
      </c>
      <c r="G137" t="s">
        <v>923</v>
      </c>
      <c r="H137" t="s">
        <v>1139</v>
      </c>
      <c r="I137" t="s">
        <v>1143</v>
      </c>
      <c r="M137" t="s">
        <v>347</v>
      </c>
      <c r="N137" t="s">
        <v>2</v>
      </c>
      <c r="O137" t="s">
        <v>360</v>
      </c>
      <c r="P137" t="s">
        <v>4</v>
      </c>
      <c r="Q137" t="s">
        <v>429</v>
      </c>
      <c r="R137">
        <f t="shared" si="4"/>
        <v>-6.5684293909368803</v>
      </c>
      <c r="S137" t="s">
        <v>6</v>
      </c>
      <c r="T137" t="s">
        <v>430</v>
      </c>
      <c r="U137" t="s">
        <v>8</v>
      </c>
      <c r="V137" t="s">
        <v>431</v>
      </c>
      <c r="W137" t="s">
        <v>10</v>
      </c>
      <c r="X137" t="s">
        <v>427</v>
      </c>
      <c r="Y137" t="s">
        <v>12</v>
      </c>
      <c r="Z137" t="s">
        <v>432</v>
      </c>
      <c r="AA137" t="s">
        <v>14</v>
      </c>
      <c r="AB137" t="s">
        <v>1021</v>
      </c>
      <c r="AC137" t="s">
        <v>927</v>
      </c>
      <c r="AD137" t="s">
        <v>1022</v>
      </c>
      <c r="AE137" t="s">
        <v>15</v>
      </c>
      <c r="AF137" t="s">
        <v>16</v>
      </c>
      <c r="AG137" t="s">
        <v>1023</v>
      </c>
      <c r="AH137" t="s">
        <v>927</v>
      </c>
      <c r="AI137" t="s">
        <v>1022</v>
      </c>
      <c r="AJ137" t="s">
        <v>17</v>
      </c>
    </row>
    <row r="138" spans="1:36" x14ac:dyDescent="0.3">
      <c r="A138" t="s">
        <v>1146</v>
      </c>
      <c r="B138" t="s">
        <v>1124</v>
      </c>
      <c r="C138" t="s">
        <v>1125</v>
      </c>
      <c r="D138" t="s">
        <v>1144</v>
      </c>
      <c r="E138" t="s">
        <v>1127</v>
      </c>
      <c r="F138" t="s">
        <v>1125</v>
      </c>
      <c r="G138" t="s">
        <v>922</v>
      </c>
      <c r="H138" t="s">
        <v>1139</v>
      </c>
      <c r="I138" t="s">
        <v>1143</v>
      </c>
      <c r="M138" t="s">
        <v>613</v>
      </c>
      <c r="N138" t="s">
        <v>2</v>
      </c>
      <c r="O138" t="s">
        <v>542</v>
      </c>
      <c r="P138" t="s">
        <v>4</v>
      </c>
      <c r="Q138" t="s">
        <v>816</v>
      </c>
      <c r="R138">
        <f t="shared" si="4"/>
        <v>-6.9704504666803997</v>
      </c>
      <c r="S138" t="s">
        <v>6</v>
      </c>
      <c r="T138" t="s">
        <v>817</v>
      </c>
      <c r="U138" t="s">
        <v>8</v>
      </c>
      <c r="V138" t="s">
        <v>818</v>
      </c>
      <c r="W138" t="s">
        <v>10</v>
      </c>
      <c r="X138" t="s">
        <v>819</v>
      </c>
      <c r="Y138" t="s">
        <v>12</v>
      </c>
      <c r="Z138" t="s">
        <v>820</v>
      </c>
      <c r="AA138" t="s">
        <v>14</v>
      </c>
      <c r="AB138" t="s">
        <v>1099</v>
      </c>
      <c r="AC138" s="1">
        <v>44839</v>
      </c>
      <c r="AD138" s="1">
        <v>44862</v>
      </c>
    </row>
    <row r="139" spans="1:36" x14ac:dyDescent="0.3">
      <c r="A139" t="s">
        <v>1147</v>
      </c>
      <c r="B139" t="s">
        <v>1124</v>
      </c>
      <c r="C139" t="s">
        <v>1125</v>
      </c>
      <c r="D139" t="s">
        <v>1126</v>
      </c>
      <c r="E139" t="s">
        <v>1127</v>
      </c>
      <c r="F139" t="s">
        <v>1125</v>
      </c>
      <c r="G139" t="s">
        <v>1128</v>
      </c>
      <c r="H139" t="s">
        <v>1139</v>
      </c>
      <c r="I139" t="s">
        <v>1142</v>
      </c>
      <c r="M139" t="s">
        <v>536</v>
      </c>
      <c r="N139" t="s">
        <v>2</v>
      </c>
      <c r="O139" t="s">
        <v>855</v>
      </c>
      <c r="P139" t="s">
        <v>4</v>
      </c>
      <c r="Q139" t="s">
        <v>856</v>
      </c>
      <c r="R139">
        <f t="shared" si="4"/>
        <v>-7.0010603209894304</v>
      </c>
      <c r="S139" t="s">
        <v>6</v>
      </c>
      <c r="T139" t="s">
        <v>857</v>
      </c>
      <c r="U139" t="s">
        <v>8</v>
      </c>
      <c r="V139" t="s">
        <v>858</v>
      </c>
      <c r="W139" t="s">
        <v>10</v>
      </c>
      <c r="X139" t="s">
        <v>859</v>
      </c>
      <c r="Y139" t="s">
        <v>12</v>
      </c>
      <c r="Z139" t="s">
        <v>860</v>
      </c>
      <c r="AA139" t="s">
        <v>14</v>
      </c>
      <c r="AB139" t="s">
        <v>1021</v>
      </c>
      <c r="AC139" t="s">
        <v>927</v>
      </c>
      <c r="AD139" t="s">
        <v>1055</v>
      </c>
      <c r="AE139" t="s">
        <v>15</v>
      </c>
      <c r="AF139" t="s">
        <v>16</v>
      </c>
      <c r="AG139" t="s">
        <v>1021</v>
      </c>
      <c r="AH139" t="s">
        <v>927</v>
      </c>
      <c r="AI139" t="s">
        <v>1055</v>
      </c>
      <c r="AJ139" t="s">
        <v>17</v>
      </c>
    </row>
    <row r="140" spans="1:36" x14ac:dyDescent="0.3">
      <c r="A140" t="s">
        <v>1147</v>
      </c>
      <c r="B140" t="s">
        <v>1124</v>
      </c>
      <c r="C140" t="s">
        <v>1125</v>
      </c>
      <c r="D140" t="s">
        <v>1126</v>
      </c>
      <c r="E140" t="s">
        <v>1127</v>
      </c>
      <c r="F140" t="s">
        <v>1125</v>
      </c>
      <c r="G140" t="s">
        <v>1128</v>
      </c>
      <c r="H140" t="s">
        <v>1139</v>
      </c>
      <c r="I140" t="s">
        <v>1143</v>
      </c>
      <c r="M140" t="s">
        <v>536</v>
      </c>
      <c r="N140" t="s">
        <v>2</v>
      </c>
      <c r="O140" t="s">
        <v>855</v>
      </c>
      <c r="P140" t="s">
        <v>4</v>
      </c>
      <c r="Q140" t="s">
        <v>856</v>
      </c>
      <c r="R140">
        <f t="shared" si="4"/>
        <v>-7.0010603209894304</v>
      </c>
      <c r="S140" t="s">
        <v>6</v>
      </c>
      <c r="T140" t="s">
        <v>857</v>
      </c>
      <c r="U140" t="s">
        <v>8</v>
      </c>
      <c r="V140" t="s">
        <v>858</v>
      </c>
      <c r="W140" t="s">
        <v>10</v>
      </c>
      <c r="X140" t="s">
        <v>859</v>
      </c>
      <c r="Y140" t="s">
        <v>12</v>
      </c>
      <c r="Z140" t="s">
        <v>860</v>
      </c>
      <c r="AA140" t="s">
        <v>14</v>
      </c>
      <c r="AB140" t="s">
        <v>1021</v>
      </c>
      <c r="AC140" t="s">
        <v>927</v>
      </c>
      <c r="AD140" t="s">
        <v>1055</v>
      </c>
      <c r="AE140" t="s">
        <v>15</v>
      </c>
      <c r="AF140" t="s">
        <v>16</v>
      </c>
      <c r="AG140" t="s">
        <v>1021</v>
      </c>
      <c r="AH140" t="s">
        <v>927</v>
      </c>
      <c r="AI140" t="s">
        <v>1055</v>
      </c>
      <c r="AJ140" t="s">
        <v>17</v>
      </c>
    </row>
    <row r="141" spans="1:36" x14ac:dyDescent="0.3">
      <c r="A141" t="s">
        <v>1145</v>
      </c>
      <c r="B141" t="s">
        <v>1124</v>
      </c>
      <c r="C141" t="s">
        <v>1125</v>
      </c>
      <c r="D141" t="s">
        <v>1144</v>
      </c>
      <c r="E141" t="s">
        <v>1127</v>
      </c>
      <c r="F141" t="s">
        <v>1125</v>
      </c>
      <c r="G141" t="s">
        <v>922</v>
      </c>
      <c r="H141" t="s">
        <v>1129</v>
      </c>
      <c r="I141" t="s">
        <v>1133</v>
      </c>
      <c r="M141" t="s">
        <v>305</v>
      </c>
      <c r="N141" t="s">
        <v>2</v>
      </c>
      <c r="O141" t="s">
        <v>519</v>
      </c>
      <c r="P141" t="s">
        <v>4</v>
      </c>
      <c r="Q141" t="s">
        <v>520</v>
      </c>
      <c r="R141">
        <f t="shared" si="4"/>
        <v>-7.3499999999999801</v>
      </c>
      <c r="S141" t="s">
        <v>6</v>
      </c>
      <c r="T141" t="s">
        <v>521</v>
      </c>
      <c r="U141" t="s">
        <v>8</v>
      </c>
      <c r="V141" t="s">
        <v>522</v>
      </c>
      <c r="W141" t="s">
        <v>10</v>
      </c>
      <c r="X141" t="s">
        <v>523</v>
      </c>
      <c r="Y141" t="s">
        <v>12</v>
      </c>
      <c r="Z141" t="s">
        <v>524</v>
      </c>
      <c r="AA141" t="s">
        <v>14</v>
      </c>
      <c r="AB141" t="s">
        <v>1017</v>
      </c>
      <c r="AC141" t="s">
        <v>927</v>
      </c>
      <c r="AD141" t="s">
        <v>1018</v>
      </c>
      <c r="AE141" t="s">
        <v>15</v>
      </c>
      <c r="AF141" t="s">
        <v>16</v>
      </c>
      <c r="AG141" t="s">
        <v>1046</v>
      </c>
      <c r="AH141" t="s">
        <v>927</v>
      </c>
      <c r="AI141" t="s">
        <v>1018</v>
      </c>
      <c r="AJ141" t="s">
        <v>17</v>
      </c>
    </row>
    <row r="142" spans="1:36" x14ac:dyDescent="0.3">
      <c r="A142" t="s">
        <v>1146</v>
      </c>
      <c r="B142" t="s">
        <v>1124</v>
      </c>
      <c r="C142" t="s">
        <v>1125</v>
      </c>
      <c r="D142" t="s">
        <v>1128</v>
      </c>
      <c r="E142" t="s">
        <v>1127</v>
      </c>
      <c r="F142" t="s">
        <v>1125</v>
      </c>
      <c r="G142" t="s">
        <v>923</v>
      </c>
      <c r="H142" t="s">
        <v>1134</v>
      </c>
      <c r="I142" t="s">
        <v>1137</v>
      </c>
      <c r="M142" t="s">
        <v>592</v>
      </c>
      <c r="N142" t="s">
        <v>2</v>
      </c>
      <c r="O142" t="s">
        <v>536</v>
      </c>
      <c r="P142" t="s">
        <v>4</v>
      </c>
      <c r="Q142" t="s">
        <v>662</v>
      </c>
      <c r="R142">
        <f t="shared" si="4"/>
        <v>-7.6000000000000298</v>
      </c>
      <c r="S142" t="s">
        <v>6</v>
      </c>
      <c r="T142" t="s">
        <v>663</v>
      </c>
      <c r="U142" t="s">
        <v>8</v>
      </c>
      <c r="V142" t="s">
        <v>664</v>
      </c>
      <c r="W142" t="s">
        <v>10</v>
      </c>
      <c r="X142" t="s">
        <v>665</v>
      </c>
      <c r="Y142" t="s">
        <v>12</v>
      </c>
      <c r="Z142" t="s">
        <v>666</v>
      </c>
      <c r="AA142" t="s">
        <v>14</v>
      </c>
      <c r="AB142" t="s">
        <v>1064</v>
      </c>
      <c r="AC142" t="s">
        <v>927</v>
      </c>
      <c r="AD142" t="s">
        <v>1065</v>
      </c>
      <c r="AE142" t="s">
        <v>15</v>
      </c>
      <c r="AF142" t="s">
        <v>16</v>
      </c>
      <c r="AG142" t="s">
        <v>1066</v>
      </c>
      <c r="AH142" t="s">
        <v>927</v>
      </c>
      <c r="AI142" t="s">
        <v>1065</v>
      </c>
      <c r="AJ142" t="s">
        <v>17</v>
      </c>
    </row>
    <row r="143" spans="1:36" x14ac:dyDescent="0.3">
      <c r="A143" t="s">
        <v>1146</v>
      </c>
      <c r="B143" t="s">
        <v>1124</v>
      </c>
      <c r="C143" t="s">
        <v>1125</v>
      </c>
      <c r="D143" t="s">
        <v>1128</v>
      </c>
      <c r="E143" t="s">
        <v>1127</v>
      </c>
      <c r="F143" t="s">
        <v>1125</v>
      </c>
      <c r="G143" t="s">
        <v>923</v>
      </c>
      <c r="H143" t="s">
        <v>1134</v>
      </c>
      <c r="I143" t="s">
        <v>1138</v>
      </c>
      <c r="M143" t="s">
        <v>592</v>
      </c>
      <c r="N143" t="s">
        <v>2</v>
      </c>
      <c r="O143" t="s">
        <v>536</v>
      </c>
      <c r="P143" t="s">
        <v>4</v>
      </c>
      <c r="Q143" t="s">
        <v>662</v>
      </c>
      <c r="R143">
        <f t="shared" si="4"/>
        <v>-7.6000000000000298</v>
      </c>
      <c r="S143" t="s">
        <v>6</v>
      </c>
      <c r="T143" t="s">
        <v>663</v>
      </c>
      <c r="U143" t="s">
        <v>8</v>
      </c>
      <c r="V143" t="s">
        <v>664</v>
      </c>
      <c r="W143" t="s">
        <v>10</v>
      </c>
      <c r="X143" t="s">
        <v>665</v>
      </c>
      <c r="Y143" t="s">
        <v>12</v>
      </c>
      <c r="Z143" t="s">
        <v>666</v>
      </c>
      <c r="AA143" t="s">
        <v>14</v>
      </c>
      <c r="AB143" t="s">
        <v>1064</v>
      </c>
      <c r="AC143" t="s">
        <v>927</v>
      </c>
      <c r="AD143" t="s">
        <v>1065</v>
      </c>
      <c r="AE143" t="s">
        <v>15</v>
      </c>
      <c r="AF143" t="s">
        <v>16</v>
      </c>
      <c r="AG143" t="s">
        <v>1066</v>
      </c>
      <c r="AH143" t="s">
        <v>927</v>
      </c>
      <c r="AI143" t="s">
        <v>1065</v>
      </c>
      <c r="AJ143" t="s">
        <v>17</v>
      </c>
    </row>
    <row r="144" spans="1:36" x14ac:dyDescent="0.3">
      <c r="A144" t="s">
        <v>1145</v>
      </c>
      <c r="B144" t="s">
        <v>1124</v>
      </c>
      <c r="C144" t="s">
        <v>1125</v>
      </c>
      <c r="D144" t="s">
        <v>1144</v>
      </c>
      <c r="E144" t="s">
        <v>1127</v>
      </c>
      <c r="F144" t="s">
        <v>1125</v>
      </c>
      <c r="G144" t="s">
        <v>922</v>
      </c>
      <c r="H144" t="s">
        <v>1129</v>
      </c>
      <c r="I144" t="s">
        <v>1132</v>
      </c>
      <c r="M144" t="s">
        <v>305</v>
      </c>
      <c r="N144" t="s">
        <v>2</v>
      </c>
      <c r="O144" t="s">
        <v>513</v>
      </c>
      <c r="P144" t="s">
        <v>4</v>
      </c>
      <c r="Q144" t="s">
        <v>514</v>
      </c>
      <c r="R144">
        <f t="shared" si="4"/>
        <v>-7.7399999999999798</v>
      </c>
      <c r="S144" t="s">
        <v>6</v>
      </c>
      <c r="T144" t="s">
        <v>515</v>
      </c>
      <c r="U144" t="s">
        <v>8</v>
      </c>
      <c r="V144" t="s">
        <v>516</v>
      </c>
      <c r="W144" t="s">
        <v>10</v>
      </c>
      <c r="X144" t="s">
        <v>517</v>
      </c>
      <c r="Y144" t="s">
        <v>12</v>
      </c>
      <c r="Z144" t="s">
        <v>518</v>
      </c>
      <c r="AA144" t="s">
        <v>14</v>
      </c>
      <c r="AB144" t="s">
        <v>1017</v>
      </c>
      <c r="AC144" t="s">
        <v>927</v>
      </c>
      <c r="AD144" t="s">
        <v>1018</v>
      </c>
      <c r="AE144" t="s">
        <v>15</v>
      </c>
      <c r="AF144" t="s">
        <v>16</v>
      </c>
      <c r="AG144" t="s">
        <v>1046</v>
      </c>
      <c r="AH144" t="s">
        <v>927</v>
      </c>
      <c r="AI144" t="s">
        <v>1018</v>
      </c>
      <c r="AJ144" t="s">
        <v>17</v>
      </c>
    </row>
    <row r="145" spans="1:36" x14ac:dyDescent="0.3">
      <c r="A145" t="s">
        <v>1145</v>
      </c>
      <c r="B145" t="s">
        <v>1124</v>
      </c>
      <c r="C145" t="s">
        <v>1125</v>
      </c>
      <c r="D145" t="s">
        <v>923</v>
      </c>
      <c r="E145" t="s">
        <v>1127</v>
      </c>
      <c r="F145" t="s">
        <v>1125</v>
      </c>
      <c r="G145" t="s">
        <v>1144</v>
      </c>
      <c r="H145" t="s">
        <v>1129</v>
      </c>
      <c r="I145" t="s">
        <v>1133</v>
      </c>
      <c r="M145" t="s">
        <v>305</v>
      </c>
      <c r="N145" t="s">
        <v>2</v>
      </c>
      <c r="O145" t="s">
        <v>451</v>
      </c>
      <c r="P145" t="s">
        <v>4</v>
      </c>
      <c r="Q145" t="s">
        <v>452</v>
      </c>
      <c r="R145">
        <f t="shared" si="4"/>
        <v>-7.7600000000000096</v>
      </c>
      <c r="S145" t="s">
        <v>6</v>
      </c>
      <c r="T145" t="s">
        <v>453</v>
      </c>
      <c r="U145" t="s">
        <v>8</v>
      </c>
      <c r="V145" t="s">
        <v>454</v>
      </c>
      <c r="W145" t="s">
        <v>10</v>
      </c>
      <c r="X145" t="s">
        <v>455</v>
      </c>
      <c r="Y145" t="s">
        <v>12</v>
      </c>
      <c r="Z145" t="s">
        <v>456</v>
      </c>
      <c r="AA145" t="s">
        <v>14</v>
      </c>
      <c r="AB145" t="s">
        <v>1030</v>
      </c>
      <c r="AC145" t="s">
        <v>927</v>
      </c>
      <c r="AD145" t="s">
        <v>1031</v>
      </c>
      <c r="AE145" t="s">
        <v>15</v>
      </c>
      <c r="AF145" t="s">
        <v>16</v>
      </c>
      <c r="AG145" t="s">
        <v>1032</v>
      </c>
      <c r="AH145" t="s">
        <v>927</v>
      </c>
      <c r="AI145" t="s">
        <v>1031</v>
      </c>
      <c r="AJ145" t="s">
        <v>17</v>
      </c>
    </row>
    <row r="146" spans="1:36" x14ac:dyDescent="0.3">
      <c r="A146" t="s">
        <v>1146</v>
      </c>
      <c r="B146" t="s">
        <v>1124</v>
      </c>
      <c r="C146" t="s">
        <v>1125</v>
      </c>
      <c r="D146" t="s">
        <v>1126</v>
      </c>
      <c r="E146" t="s">
        <v>1127</v>
      </c>
      <c r="F146" t="s">
        <v>1125</v>
      </c>
      <c r="G146" t="s">
        <v>1128</v>
      </c>
      <c r="H146" t="s">
        <v>1134</v>
      </c>
      <c r="I146" t="s">
        <v>1138</v>
      </c>
      <c r="M146" t="s">
        <v>592</v>
      </c>
      <c r="N146" t="s">
        <v>2</v>
      </c>
      <c r="O146" t="s">
        <v>576</v>
      </c>
      <c r="P146" t="s">
        <v>4</v>
      </c>
      <c r="Q146" t="s">
        <v>608</v>
      </c>
      <c r="R146">
        <f t="shared" si="4"/>
        <v>-7.98999999999993</v>
      </c>
      <c r="S146" t="s">
        <v>6</v>
      </c>
      <c r="T146" t="s">
        <v>609</v>
      </c>
      <c r="U146" t="s">
        <v>8</v>
      </c>
      <c r="V146" t="s">
        <v>610</v>
      </c>
      <c r="W146" t="s">
        <v>10</v>
      </c>
      <c r="X146" t="s">
        <v>611</v>
      </c>
      <c r="Y146" t="s">
        <v>12</v>
      </c>
      <c r="Z146" t="s">
        <v>612</v>
      </c>
      <c r="AA146" t="s">
        <v>14</v>
      </c>
      <c r="AB146" t="s">
        <v>935</v>
      </c>
      <c r="AC146" t="s">
        <v>927</v>
      </c>
      <c r="AD146" t="s">
        <v>936</v>
      </c>
      <c r="AE146" t="s">
        <v>15</v>
      </c>
      <c r="AF146" t="s">
        <v>16</v>
      </c>
      <c r="AG146" t="s">
        <v>935</v>
      </c>
      <c r="AH146" t="s">
        <v>927</v>
      </c>
      <c r="AI146" t="s">
        <v>936</v>
      </c>
      <c r="AJ146" t="s">
        <v>17</v>
      </c>
    </row>
    <row r="147" spans="1:36" x14ac:dyDescent="0.3">
      <c r="A147" t="s">
        <v>1145</v>
      </c>
      <c r="B147" t="s">
        <v>1124</v>
      </c>
      <c r="C147" t="s">
        <v>1125</v>
      </c>
      <c r="D147" t="s">
        <v>1126</v>
      </c>
      <c r="E147" t="s">
        <v>1127</v>
      </c>
      <c r="F147" t="s">
        <v>1125</v>
      </c>
      <c r="G147" t="s">
        <v>1128</v>
      </c>
      <c r="H147" t="s">
        <v>1134</v>
      </c>
      <c r="I147" t="s">
        <v>1136</v>
      </c>
      <c r="M147" t="s">
        <v>322</v>
      </c>
      <c r="N147" t="s">
        <v>2</v>
      </c>
      <c r="O147" t="s">
        <v>329</v>
      </c>
      <c r="P147" t="s">
        <v>4</v>
      </c>
      <c r="Q147" t="s">
        <v>330</v>
      </c>
      <c r="R147">
        <f t="shared" si="4"/>
        <v>-8.16442016770735</v>
      </c>
      <c r="S147" t="s">
        <v>6</v>
      </c>
      <c r="T147" t="s">
        <v>331</v>
      </c>
      <c r="U147" t="s">
        <v>8</v>
      </c>
      <c r="V147" t="s">
        <v>332</v>
      </c>
      <c r="W147" t="s">
        <v>10</v>
      </c>
      <c r="X147" t="s">
        <v>333</v>
      </c>
      <c r="Y147" t="s">
        <v>12</v>
      </c>
      <c r="Z147" t="s">
        <v>334</v>
      </c>
      <c r="AA147" t="s">
        <v>14</v>
      </c>
      <c r="AB147" t="s">
        <v>1003</v>
      </c>
      <c r="AC147" t="s">
        <v>927</v>
      </c>
      <c r="AD147" t="s">
        <v>977</v>
      </c>
      <c r="AE147" t="s">
        <v>15</v>
      </c>
      <c r="AF147" t="s">
        <v>16</v>
      </c>
      <c r="AG147" t="s">
        <v>1003</v>
      </c>
      <c r="AH147" t="s">
        <v>927</v>
      </c>
      <c r="AI147" t="s">
        <v>977</v>
      </c>
      <c r="AJ147" t="s">
        <v>17</v>
      </c>
    </row>
    <row r="148" spans="1:36" x14ac:dyDescent="0.3">
      <c r="A148" t="s">
        <v>1145</v>
      </c>
      <c r="B148" t="s">
        <v>1124</v>
      </c>
      <c r="C148" t="s">
        <v>1125</v>
      </c>
      <c r="D148" t="s">
        <v>923</v>
      </c>
      <c r="E148" t="s">
        <v>1127</v>
      </c>
      <c r="F148" t="s">
        <v>1125</v>
      </c>
      <c r="G148" t="s">
        <v>1144</v>
      </c>
      <c r="H148" t="s">
        <v>1139</v>
      </c>
      <c r="I148" t="s">
        <v>1142</v>
      </c>
      <c r="M148" t="s">
        <v>347</v>
      </c>
      <c r="N148" t="s">
        <v>2</v>
      </c>
      <c r="O148" t="s">
        <v>491</v>
      </c>
      <c r="P148" t="s">
        <v>4</v>
      </c>
      <c r="Q148" t="s">
        <v>492</v>
      </c>
      <c r="R148">
        <f t="shared" si="4"/>
        <v>-8.3305622333617002</v>
      </c>
      <c r="S148" t="s">
        <v>6</v>
      </c>
      <c r="T148" t="s">
        <v>493</v>
      </c>
      <c r="U148" t="s">
        <v>8</v>
      </c>
      <c r="V148" t="s">
        <v>494</v>
      </c>
      <c r="W148" t="s">
        <v>10</v>
      </c>
      <c r="X148" t="s">
        <v>495</v>
      </c>
      <c r="Y148" t="s">
        <v>12</v>
      </c>
      <c r="Z148" t="s">
        <v>496</v>
      </c>
      <c r="AA148" t="s">
        <v>14</v>
      </c>
      <c r="AB148" t="s">
        <v>1041</v>
      </c>
      <c r="AC148" s="1">
        <v>44475</v>
      </c>
      <c r="AD148" s="1">
        <v>44511</v>
      </c>
    </row>
    <row r="149" spans="1:36" x14ac:dyDescent="0.3">
      <c r="A149" t="s">
        <v>1145</v>
      </c>
      <c r="B149" t="s">
        <v>1124</v>
      </c>
      <c r="C149" t="s">
        <v>1125</v>
      </c>
      <c r="D149" t="s">
        <v>923</v>
      </c>
      <c r="E149" t="s">
        <v>1127</v>
      </c>
      <c r="F149" t="s">
        <v>1125</v>
      </c>
      <c r="G149" t="s">
        <v>1144</v>
      </c>
      <c r="H149" t="s">
        <v>1134</v>
      </c>
      <c r="I149" t="s">
        <v>1137</v>
      </c>
      <c r="M149" t="s">
        <v>322</v>
      </c>
      <c r="N149" t="s">
        <v>2</v>
      </c>
      <c r="O149" t="s">
        <v>378</v>
      </c>
      <c r="P149" t="s">
        <v>4</v>
      </c>
      <c r="Q149" t="s">
        <v>468</v>
      </c>
      <c r="R149">
        <f t="shared" si="4"/>
        <v>-9.2597270627455401</v>
      </c>
      <c r="S149" t="s">
        <v>6</v>
      </c>
      <c r="T149" t="s">
        <v>469</v>
      </c>
      <c r="U149" t="s">
        <v>8</v>
      </c>
      <c r="V149" t="s">
        <v>470</v>
      </c>
      <c r="W149" t="s">
        <v>10</v>
      </c>
      <c r="X149" t="s">
        <v>471</v>
      </c>
      <c r="Y149" t="s">
        <v>12</v>
      </c>
      <c r="Z149" t="s">
        <v>472</v>
      </c>
      <c r="AA149" t="s">
        <v>14</v>
      </c>
      <c r="AB149" t="s">
        <v>1038</v>
      </c>
      <c r="AC149" t="s">
        <v>927</v>
      </c>
      <c r="AD149" t="s">
        <v>1039</v>
      </c>
      <c r="AE149" t="s">
        <v>15</v>
      </c>
      <c r="AF149" t="s">
        <v>16</v>
      </c>
      <c r="AG149" t="s">
        <v>1040</v>
      </c>
      <c r="AH149" t="s">
        <v>927</v>
      </c>
      <c r="AI149" t="s">
        <v>1036</v>
      </c>
      <c r="AJ149" t="s">
        <v>17</v>
      </c>
    </row>
    <row r="150" spans="1:36" x14ac:dyDescent="0.3">
      <c r="A150" t="s">
        <v>1146</v>
      </c>
      <c r="B150" t="s">
        <v>1124</v>
      </c>
      <c r="C150" t="s">
        <v>1125</v>
      </c>
      <c r="D150" t="s">
        <v>1128</v>
      </c>
      <c r="E150" t="s">
        <v>1127</v>
      </c>
      <c r="F150" t="s">
        <v>1125</v>
      </c>
      <c r="G150" t="s">
        <v>923</v>
      </c>
      <c r="H150" t="s">
        <v>1139</v>
      </c>
      <c r="I150" t="s">
        <v>1142</v>
      </c>
      <c r="M150" t="s">
        <v>613</v>
      </c>
      <c r="N150" t="s">
        <v>2</v>
      </c>
      <c r="O150" t="s">
        <v>677</v>
      </c>
      <c r="P150" t="s">
        <v>4</v>
      </c>
      <c r="Q150" t="s">
        <v>678</v>
      </c>
      <c r="R150">
        <f t="shared" si="4"/>
        <v>-10.8283861281977</v>
      </c>
      <c r="S150" t="s">
        <v>6</v>
      </c>
      <c r="T150" t="s">
        <v>679</v>
      </c>
      <c r="U150" t="s">
        <v>8</v>
      </c>
      <c r="V150" t="s">
        <v>680</v>
      </c>
      <c r="W150" t="s">
        <v>10</v>
      </c>
      <c r="X150" t="s">
        <v>681</v>
      </c>
      <c r="Y150" t="s">
        <v>12</v>
      </c>
      <c r="Z150" t="s">
        <v>682</v>
      </c>
      <c r="AA150" t="s">
        <v>14</v>
      </c>
      <c r="AB150" t="s">
        <v>1064</v>
      </c>
      <c r="AC150" t="s">
        <v>927</v>
      </c>
      <c r="AD150" t="s">
        <v>1065</v>
      </c>
      <c r="AE150" t="s">
        <v>15</v>
      </c>
      <c r="AF150" t="s">
        <v>16</v>
      </c>
      <c r="AG150" t="s">
        <v>1064</v>
      </c>
      <c r="AH150" t="s">
        <v>927</v>
      </c>
      <c r="AI150" t="s">
        <v>1065</v>
      </c>
      <c r="AJ150" t="s">
        <v>17</v>
      </c>
    </row>
    <row r="151" spans="1:36" x14ac:dyDescent="0.3">
      <c r="A151" t="s">
        <v>1146</v>
      </c>
      <c r="B151" t="s">
        <v>1124</v>
      </c>
      <c r="C151" t="s">
        <v>1125</v>
      </c>
      <c r="D151" t="s">
        <v>1126</v>
      </c>
      <c r="E151" t="s">
        <v>1127</v>
      </c>
      <c r="F151" t="s">
        <v>1125</v>
      </c>
      <c r="G151" t="s">
        <v>1128</v>
      </c>
      <c r="H151" t="s">
        <v>1139</v>
      </c>
      <c r="I151" t="s">
        <v>1141</v>
      </c>
      <c r="M151" t="s">
        <v>613</v>
      </c>
      <c r="N151" t="s">
        <v>2</v>
      </c>
      <c r="O151" t="s">
        <v>619</v>
      </c>
      <c r="P151" t="s">
        <v>4</v>
      </c>
      <c r="Q151" t="s">
        <v>620</v>
      </c>
      <c r="R151">
        <f t="shared" si="4"/>
        <v>-11.2771866919978</v>
      </c>
      <c r="S151" t="s">
        <v>6</v>
      </c>
      <c r="T151" t="s">
        <v>621</v>
      </c>
      <c r="U151" t="s">
        <v>8</v>
      </c>
      <c r="V151" t="s">
        <v>622</v>
      </c>
      <c r="W151" t="s">
        <v>10</v>
      </c>
      <c r="X151" t="s">
        <v>623</v>
      </c>
      <c r="Y151" t="s">
        <v>12</v>
      </c>
      <c r="Z151" t="s">
        <v>624</v>
      </c>
      <c r="AA151" t="s">
        <v>14</v>
      </c>
      <c r="AB151" t="s">
        <v>1021</v>
      </c>
      <c r="AC151" t="s">
        <v>927</v>
      </c>
      <c r="AD151" t="s">
        <v>1055</v>
      </c>
      <c r="AE151" t="s">
        <v>15</v>
      </c>
      <c r="AF151" t="s">
        <v>16</v>
      </c>
      <c r="AG151" t="s">
        <v>1021</v>
      </c>
      <c r="AH151" t="s">
        <v>927</v>
      </c>
      <c r="AI151" t="s">
        <v>1055</v>
      </c>
      <c r="AJ151" t="s">
        <v>17</v>
      </c>
    </row>
    <row r="152" spans="1:36" x14ac:dyDescent="0.3">
      <c r="A152" t="s">
        <v>1145</v>
      </c>
      <c r="B152" t="s">
        <v>1124</v>
      </c>
      <c r="C152" t="s">
        <v>1125</v>
      </c>
      <c r="D152" t="s">
        <v>1144</v>
      </c>
      <c r="E152" t="s">
        <v>1127</v>
      </c>
      <c r="F152" t="s">
        <v>1125</v>
      </c>
      <c r="G152" t="s">
        <v>922</v>
      </c>
      <c r="H152" t="s">
        <v>1139</v>
      </c>
      <c r="I152" t="s">
        <v>1142</v>
      </c>
      <c r="M152" t="s">
        <v>347</v>
      </c>
      <c r="N152" t="s">
        <v>2</v>
      </c>
      <c r="O152" t="s">
        <v>462</v>
      </c>
      <c r="P152" t="s">
        <v>4</v>
      </c>
      <c r="Q152" t="s">
        <v>559</v>
      </c>
      <c r="R152">
        <f t="shared" si="4"/>
        <v>-12.405113925329999</v>
      </c>
      <c r="S152" t="s">
        <v>6</v>
      </c>
      <c r="T152" t="s">
        <v>560</v>
      </c>
      <c r="U152" t="s">
        <v>8</v>
      </c>
      <c r="V152" t="s">
        <v>561</v>
      </c>
      <c r="W152" t="s">
        <v>10</v>
      </c>
      <c r="X152" t="s">
        <v>562</v>
      </c>
      <c r="Y152" t="s">
        <v>12</v>
      </c>
      <c r="Z152" t="s">
        <v>563</v>
      </c>
      <c r="AA152" t="s">
        <v>14</v>
      </c>
      <c r="AB152" t="s">
        <v>986</v>
      </c>
      <c r="AC152" t="s">
        <v>927</v>
      </c>
      <c r="AD152" t="s">
        <v>987</v>
      </c>
      <c r="AE152" t="s">
        <v>15</v>
      </c>
      <c r="AF152" t="s">
        <v>16</v>
      </c>
      <c r="AG152" t="s">
        <v>1051</v>
      </c>
      <c r="AH152" t="s">
        <v>927</v>
      </c>
      <c r="AI152" t="s">
        <v>987</v>
      </c>
      <c r="AJ152" t="s">
        <v>17</v>
      </c>
    </row>
    <row r="153" spans="1:36" x14ac:dyDescent="0.3">
      <c r="A153" t="s">
        <v>1145</v>
      </c>
      <c r="B153" t="s">
        <v>1124</v>
      </c>
      <c r="C153" t="s">
        <v>1125</v>
      </c>
      <c r="D153" t="s">
        <v>1144</v>
      </c>
      <c r="E153" t="s">
        <v>1127</v>
      </c>
      <c r="F153" t="s">
        <v>1125</v>
      </c>
      <c r="G153" t="s">
        <v>922</v>
      </c>
      <c r="H153" t="s">
        <v>1139</v>
      </c>
      <c r="I153" t="s">
        <v>1141</v>
      </c>
      <c r="M153" t="s">
        <v>347</v>
      </c>
      <c r="N153" t="s">
        <v>2</v>
      </c>
      <c r="O153" t="s">
        <v>553</v>
      </c>
      <c r="P153" t="s">
        <v>4</v>
      </c>
      <c r="Q153" t="s">
        <v>554</v>
      </c>
      <c r="R153">
        <f t="shared" si="4"/>
        <v>-12.9732654572064</v>
      </c>
      <c r="S153" t="s">
        <v>6</v>
      </c>
      <c r="T153" t="s">
        <v>555</v>
      </c>
      <c r="U153" t="s">
        <v>8</v>
      </c>
      <c r="V153" t="s">
        <v>556</v>
      </c>
      <c r="W153" t="s">
        <v>10</v>
      </c>
      <c r="X153" t="s">
        <v>557</v>
      </c>
      <c r="Y153" t="s">
        <v>12</v>
      </c>
      <c r="Z153" t="s">
        <v>558</v>
      </c>
      <c r="AA153" t="s">
        <v>14</v>
      </c>
      <c r="AB153" t="s">
        <v>986</v>
      </c>
      <c r="AC153" t="s">
        <v>927</v>
      </c>
      <c r="AD153" t="s">
        <v>987</v>
      </c>
      <c r="AE153" t="s">
        <v>15</v>
      </c>
      <c r="AF153" t="s">
        <v>16</v>
      </c>
      <c r="AG153" t="s">
        <v>1051</v>
      </c>
      <c r="AH153" t="s">
        <v>927</v>
      </c>
      <c r="AI153" t="s">
        <v>987</v>
      </c>
      <c r="AJ153" t="s">
        <v>17</v>
      </c>
    </row>
    <row r="154" spans="1:36" x14ac:dyDescent="0.3">
      <c r="A154" t="s">
        <v>1146</v>
      </c>
      <c r="B154" t="s">
        <v>1124</v>
      </c>
      <c r="C154" t="s">
        <v>1125</v>
      </c>
      <c r="D154" t="s">
        <v>1126</v>
      </c>
      <c r="E154" t="s">
        <v>1127</v>
      </c>
      <c r="F154" t="s">
        <v>1125</v>
      </c>
      <c r="G154" t="s">
        <v>1128</v>
      </c>
      <c r="H154" t="s">
        <v>1129</v>
      </c>
      <c r="I154" t="s">
        <v>1133</v>
      </c>
      <c r="M154" t="s">
        <v>569</v>
      </c>
      <c r="N154" t="s">
        <v>2</v>
      </c>
      <c r="O154" t="s">
        <v>586</v>
      </c>
      <c r="P154" t="s">
        <v>4</v>
      </c>
      <c r="Q154" t="s">
        <v>587</v>
      </c>
      <c r="R154">
        <f t="shared" si="4"/>
        <v>-14.0399999999999</v>
      </c>
      <c r="S154" t="s">
        <v>6</v>
      </c>
      <c r="T154" t="s">
        <v>588</v>
      </c>
      <c r="U154" t="s">
        <v>8</v>
      </c>
      <c r="V154" t="s">
        <v>589</v>
      </c>
      <c r="W154" t="s">
        <v>10</v>
      </c>
      <c r="X154" t="s">
        <v>590</v>
      </c>
      <c r="Y154" t="s">
        <v>12</v>
      </c>
      <c r="Z154" t="s">
        <v>591</v>
      </c>
      <c r="AA154" t="s">
        <v>14</v>
      </c>
      <c r="AB154" t="s">
        <v>935</v>
      </c>
      <c r="AC154" t="s">
        <v>927</v>
      </c>
      <c r="AD154" t="s">
        <v>936</v>
      </c>
      <c r="AE154" t="s">
        <v>15</v>
      </c>
      <c r="AF154" t="s">
        <v>16</v>
      </c>
      <c r="AG154" t="s">
        <v>935</v>
      </c>
      <c r="AH154" t="s">
        <v>927</v>
      </c>
      <c r="AI154" t="s">
        <v>936</v>
      </c>
      <c r="AJ154" t="s">
        <v>17</v>
      </c>
    </row>
    <row r="155" spans="1:36" x14ac:dyDescent="0.3">
      <c r="A155" t="s">
        <v>1123</v>
      </c>
      <c r="B155" t="s">
        <v>1124</v>
      </c>
      <c r="C155" t="s">
        <v>1125</v>
      </c>
      <c r="D155" t="s">
        <v>1144</v>
      </c>
      <c r="E155" t="s">
        <v>1127</v>
      </c>
      <c r="F155" t="s">
        <v>1125</v>
      </c>
      <c r="G155" t="s">
        <v>922</v>
      </c>
      <c r="H155" t="s">
        <v>1129</v>
      </c>
      <c r="I155" t="s">
        <v>1133</v>
      </c>
      <c r="M155" t="s">
        <v>1</v>
      </c>
      <c r="N155" t="s">
        <v>2</v>
      </c>
      <c r="O155" t="s">
        <v>251</v>
      </c>
      <c r="P155" t="s">
        <v>4</v>
      </c>
      <c r="Q155" t="s">
        <v>252</v>
      </c>
      <c r="R155">
        <f t="shared" si="4"/>
        <v>-14.57</v>
      </c>
      <c r="S155" t="s">
        <v>6</v>
      </c>
      <c r="T155" t="s">
        <v>253</v>
      </c>
      <c r="U155" t="s">
        <v>8</v>
      </c>
      <c r="V155" t="s">
        <v>254</v>
      </c>
      <c r="W155" t="s">
        <v>10</v>
      </c>
      <c r="X155" t="s">
        <v>255</v>
      </c>
      <c r="Y155" t="s">
        <v>12</v>
      </c>
      <c r="Z155" t="s">
        <v>256</v>
      </c>
      <c r="AA155" t="s">
        <v>14</v>
      </c>
      <c r="AB155" t="s">
        <v>976</v>
      </c>
      <c r="AC155" t="s">
        <v>927</v>
      </c>
      <c r="AD155" t="s">
        <v>977</v>
      </c>
      <c r="AE155" t="s">
        <v>15</v>
      </c>
      <c r="AF155" t="s">
        <v>16</v>
      </c>
      <c r="AG155" t="s">
        <v>979</v>
      </c>
      <c r="AH155" t="s">
        <v>927</v>
      </c>
      <c r="AI155" t="s">
        <v>977</v>
      </c>
      <c r="AJ155" t="s">
        <v>17</v>
      </c>
    </row>
    <row r="156" spans="1:36" x14ac:dyDescent="0.3">
      <c r="A156" t="s">
        <v>1145</v>
      </c>
      <c r="B156" t="s">
        <v>1124</v>
      </c>
      <c r="C156" t="s">
        <v>1125</v>
      </c>
      <c r="D156" t="s">
        <v>923</v>
      </c>
      <c r="E156" t="s">
        <v>1127</v>
      </c>
      <c r="F156" t="s">
        <v>1125</v>
      </c>
      <c r="G156" t="s">
        <v>1144</v>
      </c>
      <c r="H156" t="s">
        <v>1134</v>
      </c>
      <c r="I156" t="s">
        <v>1138</v>
      </c>
      <c r="M156" t="s">
        <v>322</v>
      </c>
      <c r="N156" t="s">
        <v>2</v>
      </c>
      <c r="O156" t="s">
        <v>473</v>
      </c>
      <c r="P156" t="s">
        <v>4</v>
      </c>
      <c r="Q156" t="s">
        <v>474</v>
      </c>
      <c r="R156">
        <f t="shared" si="4"/>
        <v>-14.59</v>
      </c>
      <c r="S156" t="s">
        <v>6</v>
      </c>
      <c r="T156" t="s">
        <v>475</v>
      </c>
      <c r="U156" t="s">
        <v>8</v>
      </c>
      <c r="V156" t="s">
        <v>476</v>
      </c>
      <c r="W156" t="s">
        <v>10</v>
      </c>
      <c r="X156" t="s">
        <v>477</v>
      </c>
      <c r="Y156" t="s">
        <v>12</v>
      </c>
      <c r="Z156" t="s">
        <v>478</v>
      </c>
      <c r="AA156" t="s">
        <v>14</v>
      </c>
      <c r="AB156" t="s">
        <v>1030</v>
      </c>
      <c r="AC156" t="s">
        <v>927</v>
      </c>
      <c r="AD156" t="s">
        <v>1031</v>
      </c>
      <c r="AE156" t="s">
        <v>15</v>
      </c>
      <c r="AF156" t="s">
        <v>16</v>
      </c>
      <c r="AG156" t="s">
        <v>1040</v>
      </c>
      <c r="AH156" t="s">
        <v>927</v>
      </c>
      <c r="AI156" t="s">
        <v>1036</v>
      </c>
      <c r="AJ156" t="s">
        <v>17</v>
      </c>
    </row>
    <row r="157" spans="1:36" x14ac:dyDescent="0.3">
      <c r="A157" t="s">
        <v>1145</v>
      </c>
      <c r="B157" t="s">
        <v>1124</v>
      </c>
      <c r="C157" t="s">
        <v>1125</v>
      </c>
      <c r="D157" t="s">
        <v>1126</v>
      </c>
      <c r="E157" t="s">
        <v>1127</v>
      </c>
      <c r="F157" t="s">
        <v>1125</v>
      </c>
      <c r="G157" t="s">
        <v>1128</v>
      </c>
      <c r="H157" t="s">
        <v>1134</v>
      </c>
      <c r="I157" t="s">
        <v>1137</v>
      </c>
      <c r="M157" t="s">
        <v>322</v>
      </c>
      <c r="N157" t="s">
        <v>2</v>
      </c>
      <c r="O157" t="s">
        <v>335</v>
      </c>
      <c r="P157" t="s">
        <v>4</v>
      </c>
      <c r="Q157" t="s">
        <v>336</v>
      </c>
      <c r="R157">
        <f t="shared" si="4"/>
        <v>-15.9044201677073</v>
      </c>
      <c r="S157" t="s">
        <v>6</v>
      </c>
      <c r="T157" t="s">
        <v>337</v>
      </c>
      <c r="U157" t="s">
        <v>8</v>
      </c>
      <c r="V157" t="s">
        <v>338</v>
      </c>
      <c r="W157" t="s">
        <v>10</v>
      </c>
      <c r="X157" t="s">
        <v>339</v>
      </c>
      <c r="Y157" t="s">
        <v>12</v>
      </c>
      <c r="Z157" t="s">
        <v>340</v>
      </c>
      <c r="AA157" t="s">
        <v>14</v>
      </c>
      <c r="AB157" t="s">
        <v>1003</v>
      </c>
      <c r="AC157" t="s">
        <v>927</v>
      </c>
      <c r="AD157" t="s">
        <v>977</v>
      </c>
      <c r="AE157" t="s">
        <v>15</v>
      </c>
      <c r="AF157" t="s">
        <v>16</v>
      </c>
      <c r="AG157" t="s">
        <v>1003</v>
      </c>
      <c r="AH157" t="s">
        <v>927</v>
      </c>
      <c r="AI157" t="s">
        <v>977</v>
      </c>
      <c r="AJ157" t="s">
        <v>17</v>
      </c>
    </row>
    <row r="158" spans="1:36" x14ac:dyDescent="0.3">
      <c r="A158" t="s">
        <v>1145</v>
      </c>
      <c r="B158" t="s">
        <v>1124</v>
      </c>
      <c r="C158" t="s">
        <v>1125</v>
      </c>
      <c r="D158" t="s">
        <v>923</v>
      </c>
      <c r="E158" t="s">
        <v>1127</v>
      </c>
      <c r="F158" t="s">
        <v>1125</v>
      </c>
      <c r="G158" t="s">
        <v>1144</v>
      </c>
      <c r="H158" t="s">
        <v>1139</v>
      </c>
      <c r="I158" t="s">
        <v>1143</v>
      </c>
      <c r="M158" t="s">
        <v>347</v>
      </c>
      <c r="N158" t="s">
        <v>2</v>
      </c>
      <c r="O158" t="s">
        <v>403</v>
      </c>
      <c r="P158" t="s">
        <v>4</v>
      </c>
      <c r="Q158" t="s">
        <v>497</v>
      </c>
      <c r="R158">
        <f t="shared" si="4"/>
        <v>-16.220835170616201</v>
      </c>
      <c r="S158" t="s">
        <v>6</v>
      </c>
      <c r="T158" t="s">
        <v>498</v>
      </c>
      <c r="U158" t="s">
        <v>8</v>
      </c>
      <c r="V158" t="s">
        <v>499</v>
      </c>
      <c r="W158" t="s">
        <v>10</v>
      </c>
      <c r="X158" t="s">
        <v>500</v>
      </c>
      <c r="Y158" t="s">
        <v>12</v>
      </c>
      <c r="Z158" t="s">
        <v>501</v>
      </c>
      <c r="AA158" t="s">
        <v>14</v>
      </c>
      <c r="AB158" t="s">
        <v>1041</v>
      </c>
      <c r="AC158" s="1">
        <v>44475</v>
      </c>
      <c r="AD158" s="1">
        <v>44511</v>
      </c>
    </row>
    <row r="159" spans="1:36" x14ac:dyDescent="0.3">
      <c r="A159" t="s">
        <v>1145</v>
      </c>
      <c r="B159" t="s">
        <v>1124</v>
      </c>
      <c r="C159" t="s">
        <v>1125</v>
      </c>
      <c r="D159" t="s">
        <v>1126</v>
      </c>
      <c r="E159" t="s">
        <v>1127</v>
      </c>
      <c r="F159" t="s">
        <v>1125</v>
      </c>
      <c r="G159" t="s">
        <v>1128</v>
      </c>
      <c r="H159" t="s">
        <v>1129</v>
      </c>
      <c r="I159" t="s">
        <v>1130</v>
      </c>
      <c r="M159" t="s">
        <v>305</v>
      </c>
      <c r="N159" t="s">
        <v>2</v>
      </c>
      <c r="O159" t="s">
        <v>306</v>
      </c>
      <c r="P159" t="s">
        <v>4</v>
      </c>
      <c r="Q159" t="s">
        <v>307</v>
      </c>
      <c r="R159">
        <f t="shared" si="4"/>
        <v>-16.919999999999899</v>
      </c>
      <c r="S159" t="s">
        <v>6</v>
      </c>
      <c r="T159" t="s">
        <v>308</v>
      </c>
      <c r="U159" t="s">
        <v>8</v>
      </c>
      <c r="V159" t="s">
        <v>309</v>
      </c>
      <c r="W159" t="s">
        <v>10</v>
      </c>
      <c r="X159" t="s">
        <v>310</v>
      </c>
      <c r="Y159" t="s">
        <v>12</v>
      </c>
      <c r="Z159" t="s">
        <v>311</v>
      </c>
      <c r="AA159" t="s">
        <v>14</v>
      </c>
      <c r="AB159" t="s">
        <v>994</v>
      </c>
      <c r="AC159" t="s">
        <v>927</v>
      </c>
      <c r="AD159" t="s">
        <v>995</v>
      </c>
      <c r="AE159" t="s">
        <v>15</v>
      </c>
      <c r="AF159" t="s">
        <v>16</v>
      </c>
      <c r="AG159" t="s">
        <v>996</v>
      </c>
      <c r="AH159" t="s">
        <v>927</v>
      </c>
      <c r="AI159" t="s">
        <v>997</v>
      </c>
      <c r="AJ159" t="s">
        <v>17</v>
      </c>
    </row>
    <row r="160" spans="1:36" x14ac:dyDescent="0.3">
      <c r="A160" t="s">
        <v>1146</v>
      </c>
      <c r="B160" t="s">
        <v>1124</v>
      </c>
      <c r="C160" t="s">
        <v>1125</v>
      </c>
      <c r="D160" t="s">
        <v>1128</v>
      </c>
      <c r="E160" t="s">
        <v>1127</v>
      </c>
      <c r="F160" t="s">
        <v>1125</v>
      </c>
      <c r="G160" t="s">
        <v>923</v>
      </c>
      <c r="H160" t="s">
        <v>1139</v>
      </c>
      <c r="I160" t="s">
        <v>1143</v>
      </c>
      <c r="M160" t="s">
        <v>613</v>
      </c>
      <c r="N160" t="s">
        <v>2</v>
      </c>
      <c r="O160" t="s">
        <v>683</v>
      </c>
      <c r="P160" t="s">
        <v>4</v>
      </c>
      <c r="Q160" t="s">
        <v>684</v>
      </c>
      <c r="R160">
        <f t="shared" si="4"/>
        <v>-16.942695186502899</v>
      </c>
      <c r="S160" t="s">
        <v>6</v>
      </c>
      <c r="T160" t="s">
        <v>685</v>
      </c>
      <c r="U160" t="s">
        <v>8</v>
      </c>
      <c r="V160" t="s">
        <v>686</v>
      </c>
      <c r="W160" t="s">
        <v>10</v>
      </c>
      <c r="X160" t="s">
        <v>687</v>
      </c>
      <c r="Y160" t="s">
        <v>12</v>
      </c>
      <c r="Z160" t="s">
        <v>688</v>
      </c>
      <c r="AA160" t="s">
        <v>14</v>
      </c>
      <c r="AB160" t="s">
        <v>1069</v>
      </c>
      <c r="AC160" s="1">
        <v>44931</v>
      </c>
      <c r="AD160" s="1">
        <v>44963</v>
      </c>
    </row>
    <row r="161" spans="1:36" x14ac:dyDescent="0.3">
      <c r="A161" t="s">
        <v>1146</v>
      </c>
      <c r="B161" t="s">
        <v>1124</v>
      </c>
      <c r="C161" t="s">
        <v>1125</v>
      </c>
      <c r="D161" t="s">
        <v>1126</v>
      </c>
      <c r="E161" t="s">
        <v>1127</v>
      </c>
      <c r="F161" t="s">
        <v>1125</v>
      </c>
      <c r="G161" t="s">
        <v>1128</v>
      </c>
      <c r="H161" t="s">
        <v>1139</v>
      </c>
      <c r="I161" t="s">
        <v>1142</v>
      </c>
      <c r="M161" t="s">
        <v>613</v>
      </c>
      <c r="N161" t="s">
        <v>2</v>
      </c>
      <c r="O161" t="s">
        <v>593</v>
      </c>
      <c r="P161" t="s">
        <v>4</v>
      </c>
      <c r="Q161" t="s">
        <v>625</v>
      </c>
      <c r="R161">
        <f t="shared" si="4"/>
        <v>-19.507987777031001</v>
      </c>
      <c r="S161" t="s">
        <v>6</v>
      </c>
      <c r="T161" t="s">
        <v>626</v>
      </c>
      <c r="U161" t="s">
        <v>8</v>
      </c>
      <c r="V161" t="s">
        <v>627</v>
      </c>
      <c r="W161" t="s">
        <v>10</v>
      </c>
      <c r="X161" t="s">
        <v>628</v>
      </c>
      <c r="Y161" t="s">
        <v>12</v>
      </c>
      <c r="Z161" t="s">
        <v>629</v>
      </c>
      <c r="AA161" t="s">
        <v>14</v>
      </c>
      <c r="AB161" t="s">
        <v>1021</v>
      </c>
      <c r="AC161" t="s">
        <v>927</v>
      </c>
      <c r="AD161" t="s">
        <v>1055</v>
      </c>
      <c r="AE161" t="s">
        <v>15</v>
      </c>
      <c r="AF161" t="s">
        <v>16</v>
      </c>
      <c r="AG161" t="s">
        <v>1021</v>
      </c>
      <c r="AH161" t="s">
        <v>927</v>
      </c>
      <c r="AI161" t="s">
        <v>1055</v>
      </c>
      <c r="AJ161" t="s">
        <v>17</v>
      </c>
    </row>
    <row r="162" spans="1:36" x14ac:dyDescent="0.3">
      <c r="A162" t="s">
        <v>1146</v>
      </c>
      <c r="B162" t="s">
        <v>1124</v>
      </c>
      <c r="C162" t="s">
        <v>1125</v>
      </c>
      <c r="D162" t="s">
        <v>1126</v>
      </c>
      <c r="E162" t="s">
        <v>1127</v>
      </c>
      <c r="F162" t="s">
        <v>1125</v>
      </c>
      <c r="G162" t="s">
        <v>1128</v>
      </c>
      <c r="H162" t="s">
        <v>1139</v>
      </c>
      <c r="I162" t="s">
        <v>1143</v>
      </c>
      <c r="M162" t="s">
        <v>613</v>
      </c>
      <c r="N162" t="s">
        <v>2</v>
      </c>
      <c r="O162" t="s">
        <v>593</v>
      </c>
      <c r="P162" t="s">
        <v>4</v>
      </c>
      <c r="Q162" t="s">
        <v>625</v>
      </c>
      <c r="R162">
        <f t="shared" si="4"/>
        <v>-19.507987777031001</v>
      </c>
      <c r="S162" t="s">
        <v>6</v>
      </c>
      <c r="T162" t="s">
        <v>626</v>
      </c>
      <c r="U162" t="s">
        <v>8</v>
      </c>
      <c r="V162" t="s">
        <v>627</v>
      </c>
      <c r="W162" t="s">
        <v>10</v>
      </c>
      <c r="X162" t="s">
        <v>628</v>
      </c>
      <c r="Y162" t="s">
        <v>12</v>
      </c>
      <c r="Z162" t="s">
        <v>629</v>
      </c>
      <c r="AA162" t="s">
        <v>14</v>
      </c>
      <c r="AB162" t="s">
        <v>1021</v>
      </c>
      <c r="AC162" t="s">
        <v>927</v>
      </c>
      <c r="AD162" t="s">
        <v>1055</v>
      </c>
      <c r="AE162" t="s">
        <v>15</v>
      </c>
      <c r="AF162" t="s">
        <v>16</v>
      </c>
      <c r="AG162" t="s">
        <v>1021</v>
      </c>
      <c r="AH162" t="s">
        <v>927</v>
      </c>
      <c r="AI162" t="s">
        <v>1055</v>
      </c>
      <c r="AJ162" t="s">
        <v>17</v>
      </c>
    </row>
    <row r="163" spans="1:36" x14ac:dyDescent="0.3">
      <c r="A163" t="s">
        <v>1145</v>
      </c>
      <c r="B163" t="s">
        <v>1124</v>
      </c>
      <c r="C163" t="s">
        <v>1125</v>
      </c>
      <c r="D163" t="s">
        <v>1128</v>
      </c>
      <c r="E163" t="s">
        <v>1127</v>
      </c>
      <c r="F163" t="s">
        <v>1125</v>
      </c>
      <c r="G163" t="s">
        <v>923</v>
      </c>
      <c r="H163" t="s">
        <v>1129</v>
      </c>
      <c r="I163" t="s">
        <v>1133</v>
      </c>
      <c r="M163" t="s">
        <v>305</v>
      </c>
      <c r="N163" t="s">
        <v>2</v>
      </c>
      <c r="O163" t="s">
        <v>378</v>
      </c>
      <c r="P163" t="s">
        <v>4</v>
      </c>
      <c r="Q163" t="s">
        <v>388</v>
      </c>
      <c r="R163">
        <f t="shared" si="4"/>
        <v>-20.009999999999899</v>
      </c>
      <c r="S163" t="s">
        <v>6</v>
      </c>
      <c r="T163" t="s">
        <v>389</v>
      </c>
      <c r="U163" t="s">
        <v>8</v>
      </c>
      <c r="V163" t="s">
        <v>390</v>
      </c>
      <c r="W163" t="s">
        <v>10</v>
      </c>
      <c r="X163" t="s">
        <v>382</v>
      </c>
      <c r="Y163" t="s">
        <v>12</v>
      </c>
      <c r="Z163" t="s">
        <v>391</v>
      </c>
      <c r="AA163" t="s">
        <v>14</v>
      </c>
      <c r="AB163" t="s">
        <v>1012</v>
      </c>
      <c r="AC163" t="s">
        <v>927</v>
      </c>
      <c r="AD163" t="s">
        <v>1013</v>
      </c>
      <c r="AE163" t="s">
        <v>15</v>
      </c>
      <c r="AF163" t="s">
        <v>16</v>
      </c>
      <c r="AG163" t="s">
        <v>1012</v>
      </c>
      <c r="AH163" t="s">
        <v>927</v>
      </c>
      <c r="AI163" t="s">
        <v>1013</v>
      </c>
      <c r="AJ163" t="s">
        <v>17</v>
      </c>
    </row>
    <row r="164" spans="1:36" x14ac:dyDescent="0.3">
      <c r="A164" t="s">
        <v>1145</v>
      </c>
      <c r="B164" t="s">
        <v>1124</v>
      </c>
      <c r="C164" t="s">
        <v>1125</v>
      </c>
      <c r="D164" t="s">
        <v>1128</v>
      </c>
      <c r="E164" t="s">
        <v>1127</v>
      </c>
      <c r="F164" t="s">
        <v>1125</v>
      </c>
      <c r="G164" t="s">
        <v>923</v>
      </c>
      <c r="H164" t="s">
        <v>1129</v>
      </c>
      <c r="I164" t="s">
        <v>1132</v>
      </c>
      <c r="M164" t="s">
        <v>305</v>
      </c>
      <c r="N164" t="s">
        <v>2</v>
      </c>
      <c r="O164" t="s">
        <v>378</v>
      </c>
      <c r="P164" t="s">
        <v>4</v>
      </c>
      <c r="Q164" t="s">
        <v>384</v>
      </c>
      <c r="R164">
        <f t="shared" si="4"/>
        <v>-20.4299999999999</v>
      </c>
      <c r="S164" t="s">
        <v>6</v>
      </c>
      <c r="T164" t="s">
        <v>385</v>
      </c>
      <c r="U164" t="s">
        <v>8</v>
      </c>
      <c r="V164" t="s">
        <v>386</v>
      </c>
      <c r="W164" t="s">
        <v>10</v>
      </c>
      <c r="X164" t="s">
        <v>382</v>
      </c>
      <c r="Y164" t="s">
        <v>12</v>
      </c>
      <c r="Z164" t="s">
        <v>387</v>
      </c>
      <c r="AA164" t="s">
        <v>14</v>
      </c>
      <c r="AB164" t="s">
        <v>1012</v>
      </c>
      <c r="AC164" t="s">
        <v>927</v>
      </c>
      <c r="AD164" t="s">
        <v>1013</v>
      </c>
      <c r="AE164" t="s">
        <v>15</v>
      </c>
      <c r="AF164" t="s">
        <v>16</v>
      </c>
      <c r="AG164" t="s">
        <v>1012</v>
      </c>
      <c r="AH164" t="s">
        <v>927</v>
      </c>
      <c r="AI164" t="s">
        <v>1013</v>
      </c>
      <c r="AJ164" t="s">
        <v>17</v>
      </c>
    </row>
    <row r="165" spans="1:36" x14ac:dyDescent="0.3">
      <c r="A165" t="s">
        <v>1145</v>
      </c>
      <c r="B165" t="s">
        <v>1124</v>
      </c>
      <c r="C165" t="s">
        <v>1125</v>
      </c>
      <c r="D165" t="s">
        <v>1128</v>
      </c>
      <c r="E165" t="s">
        <v>1127</v>
      </c>
      <c r="F165" t="s">
        <v>1125</v>
      </c>
      <c r="G165" t="s">
        <v>923</v>
      </c>
      <c r="H165" t="s">
        <v>1129</v>
      </c>
      <c r="I165" t="s">
        <v>1131</v>
      </c>
      <c r="M165" t="s">
        <v>305</v>
      </c>
      <c r="N165" t="s">
        <v>2</v>
      </c>
      <c r="O165" t="s">
        <v>378</v>
      </c>
      <c r="P165" t="s">
        <v>4</v>
      </c>
      <c r="Q165" t="s">
        <v>379</v>
      </c>
      <c r="R165">
        <f t="shared" si="4"/>
        <v>-21.829999999999899</v>
      </c>
      <c r="S165" t="s">
        <v>6</v>
      </c>
      <c r="T165" t="s">
        <v>380</v>
      </c>
      <c r="U165" t="s">
        <v>8</v>
      </c>
      <c r="V165" t="s">
        <v>381</v>
      </c>
      <c r="W165" t="s">
        <v>10</v>
      </c>
      <c r="X165" t="s">
        <v>382</v>
      </c>
      <c r="Y165" t="s">
        <v>12</v>
      </c>
      <c r="Z165" t="s">
        <v>383</v>
      </c>
      <c r="AA165" t="s">
        <v>14</v>
      </c>
      <c r="AB165" t="s">
        <v>1012</v>
      </c>
      <c r="AC165" t="s">
        <v>927</v>
      </c>
      <c r="AD165" t="s">
        <v>1013</v>
      </c>
      <c r="AE165" t="s">
        <v>15</v>
      </c>
      <c r="AF165" t="s">
        <v>16</v>
      </c>
      <c r="AG165" t="s">
        <v>1012</v>
      </c>
      <c r="AH165" t="s">
        <v>927</v>
      </c>
      <c r="AI165" t="s">
        <v>1013</v>
      </c>
      <c r="AJ165" t="s">
        <v>17</v>
      </c>
    </row>
    <row r="166" spans="1:36" x14ac:dyDescent="0.3">
      <c r="A166" t="s">
        <v>1123</v>
      </c>
      <c r="B166" t="s">
        <v>1124</v>
      </c>
      <c r="C166" t="s">
        <v>1125</v>
      </c>
      <c r="D166" t="s">
        <v>1144</v>
      </c>
      <c r="E166" t="s">
        <v>1127</v>
      </c>
      <c r="F166" t="s">
        <v>1125</v>
      </c>
      <c r="G166" t="s">
        <v>922</v>
      </c>
      <c r="H166" t="s">
        <v>1129</v>
      </c>
      <c r="I166" t="s">
        <v>1131</v>
      </c>
      <c r="M166" t="s">
        <v>1</v>
      </c>
      <c r="N166" t="s">
        <v>2</v>
      </c>
      <c r="O166" t="s">
        <v>239</v>
      </c>
      <c r="P166" t="s">
        <v>4</v>
      </c>
      <c r="Q166" t="s">
        <v>240</v>
      </c>
      <c r="R166">
        <f t="shared" si="4"/>
        <v>-22.739999999999899</v>
      </c>
      <c r="S166" t="s">
        <v>6</v>
      </c>
      <c r="T166" t="s">
        <v>241</v>
      </c>
      <c r="U166" t="s">
        <v>8</v>
      </c>
      <c r="V166" t="s">
        <v>242</v>
      </c>
      <c r="W166" t="s">
        <v>10</v>
      </c>
      <c r="X166" t="s">
        <v>243</v>
      </c>
      <c r="Y166" t="s">
        <v>12</v>
      </c>
      <c r="Z166" t="s">
        <v>244</v>
      </c>
      <c r="AA166" t="s">
        <v>14</v>
      </c>
      <c r="AB166" t="s">
        <v>976</v>
      </c>
      <c r="AC166" t="s">
        <v>927</v>
      </c>
      <c r="AD166" t="s">
        <v>977</v>
      </c>
      <c r="AE166" t="s">
        <v>15</v>
      </c>
      <c r="AF166" t="s">
        <v>16</v>
      </c>
      <c r="AG166" t="s">
        <v>978</v>
      </c>
      <c r="AH166" t="s">
        <v>927</v>
      </c>
      <c r="AI166" t="s">
        <v>934</v>
      </c>
      <c r="AJ166" t="s">
        <v>17</v>
      </c>
    </row>
    <row r="167" spans="1:36" x14ac:dyDescent="0.3">
      <c r="A167" t="s">
        <v>1145</v>
      </c>
      <c r="B167" t="s">
        <v>1124</v>
      </c>
      <c r="C167" t="s">
        <v>1125</v>
      </c>
      <c r="D167" t="s">
        <v>1126</v>
      </c>
      <c r="E167" t="s">
        <v>1127</v>
      </c>
      <c r="F167" t="s">
        <v>1125</v>
      </c>
      <c r="G167" t="s">
        <v>1128</v>
      </c>
      <c r="H167" t="s">
        <v>1139</v>
      </c>
      <c r="I167" t="s">
        <v>1141</v>
      </c>
      <c r="M167" t="s">
        <v>347</v>
      </c>
      <c r="N167" t="s">
        <v>2</v>
      </c>
      <c r="O167" t="s">
        <v>354</v>
      </c>
      <c r="P167" t="s">
        <v>4</v>
      </c>
      <c r="Q167" t="s">
        <v>355</v>
      </c>
      <c r="R167">
        <f t="shared" si="4"/>
        <v>-23.028542749636099</v>
      </c>
      <c r="S167" t="s">
        <v>6</v>
      </c>
      <c r="T167" t="s">
        <v>356</v>
      </c>
      <c r="U167" t="s">
        <v>8</v>
      </c>
      <c r="V167" t="s">
        <v>357</v>
      </c>
      <c r="W167" t="s">
        <v>10</v>
      </c>
      <c r="X167" t="s">
        <v>358</v>
      </c>
      <c r="Y167" t="s">
        <v>12</v>
      </c>
      <c r="Z167" t="s">
        <v>359</v>
      </c>
      <c r="AA167" t="s">
        <v>14</v>
      </c>
      <c r="AB167" t="s">
        <v>1003</v>
      </c>
      <c r="AC167" t="s">
        <v>927</v>
      </c>
      <c r="AD167" t="s">
        <v>977</v>
      </c>
      <c r="AE167" t="s">
        <v>15</v>
      </c>
      <c r="AF167" t="s">
        <v>16</v>
      </c>
      <c r="AG167" t="s">
        <v>1008</v>
      </c>
      <c r="AH167" t="s">
        <v>927</v>
      </c>
      <c r="AI167" t="s">
        <v>1009</v>
      </c>
      <c r="AJ167" t="s">
        <v>17</v>
      </c>
    </row>
    <row r="168" spans="1:36" x14ac:dyDescent="0.3">
      <c r="A168" t="s">
        <v>1145</v>
      </c>
      <c r="B168" t="s">
        <v>1124</v>
      </c>
      <c r="C168" t="s">
        <v>1125</v>
      </c>
      <c r="D168" t="s">
        <v>1144</v>
      </c>
      <c r="E168" t="s">
        <v>1127</v>
      </c>
      <c r="F168" t="s">
        <v>1125</v>
      </c>
      <c r="G168" t="s">
        <v>922</v>
      </c>
      <c r="H168" t="s">
        <v>1134</v>
      </c>
      <c r="I168" t="s">
        <v>1138</v>
      </c>
      <c r="M168" t="s">
        <v>322</v>
      </c>
      <c r="N168" t="s">
        <v>2</v>
      </c>
      <c r="O168" t="s">
        <v>542</v>
      </c>
      <c r="P168" t="s">
        <v>4</v>
      </c>
      <c r="Q168" t="s">
        <v>543</v>
      </c>
      <c r="R168">
        <f t="shared" si="4"/>
        <v>-23.596699563782899</v>
      </c>
      <c r="S168" t="s">
        <v>6</v>
      </c>
      <c r="T168" t="s">
        <v>544</v>
      </c>
      <c r="U168" t="s">
        <v>8</v>
      </c>
      <c r="V168" t="s">
        <v>545</v>
      </c>
      <c r="W168" t="s">
        <v>10</v>
      </c>
      <c r="X168" t="s">
        <v>546</v>
      </c>
      <c r="Y168" t="s">
        <v>12</v>
      </c>
      <c r="Z168" t="s">
        <v>547</v>
      </c>
      <c r="AA168" t="s">
        <v>14</v>
      </c>
      <c r="AB168" t="s">
        <v>1047</v>
      </c>
      <c r="AC168" t="s">
        <v>927</v>
      </c>
      <c r="AD168" t="s">
        <v>1048</v>
      </c>
      <c r="AE168" t="s">
        <v>15</v>
      </c>
      <c r="AF168" t="s">
        <v>16</v>
      </c>
      <c r="AG168" t="s">
        <v>1049</v>
      </c>
      <c r="AH168" t="s">
        <v>927</v>
      </c>
      <c r="AI168" t="s">
        <v>1050</v>
      </c>
      <c r="AJ168" t="s">
        <v>17</v>
      </c>
    </row>
    <row r="169" spans="1:36" x14ac:dyDescent="0.3">
      <c r="A169" t="s">
        <v>1123</v>
      </c>
      <c r="B169" t="s">
        <v>1124</v>
      </c>
      <c r="C169" t="s">
        <v>1125</v>
      </c>
      <c r="D169" t="s">
        <v>1144</v>
      </c>
      <c r="E169" t="s">
        <v>1127</v>
      </c>
      <c r="F169" t="s">
        <v>1125</v>
      </c>
      <c r="G169" t="s">
        <v>922</v>
      </c>
      <c r="H169" t="s">
        <v>1129</v>
      </c>
      <c r="I169" t="s">
        <v>1132</v>
      </c>
      <c r="M169" t="s">
        <v>1</v>
      </c>
      <c r="N169" t="s">
        <v>2</v>
      </c>
      <c r="O169" t="s">
        <v>245</v>
      </c>
      <c r="P169" t="s">
        <v>4</v>
      </c>
      <c r="Q169" t="s">
        <v>246</v>
      </c>
      <c r="R169">
        <f t="shared" si="4"/>
        <v>-24.029999999999902</v>
      </c>
      <c r="S169" t="s">
        <v>6</v>
      </c>
      <c r="T169" t="s">
        <v>247</v>
      </c>
      <c r="U169" t="s">
        <v>8</v>
      </c>
      <c r="V169" t="s">
        <v>248</v>
      </c>
      <c r="W169" t="s">
        <v>10</v>
      </c>
      <c r="X169" t="s">
        <v>249</v>
      </c>
      <c r="Y169" t="s">
        <v>12</v>
      </c>
      <c r="Z169" t="s">
        <v>250</v>
      </c>
      <c r="AA169" t="s">
        <v>14</v>
      </c>
      <c r="AB169" t="s">
        <v>976</v>
      </c>
      <c r="AC169" t="s">
        <v>927</v>
      </c>
      <c r="AD169" t="s">
        <v>977</v>
      </c>
      <c r="AE169" t="s">
        <v>15</v>
      </c>
      <c r="AF169" t="s">
        <v>16</v>
      </c>
      <c r="AG169" t="s">
        <v>979</v>
      </c>
      <c r="AH169" t="s">
        <v>927</v>
      </c>
      <c r="AI169" t="s">
        <v>977</v>
      </c>
      <c r="AJ169" t="s">
        <v>17</v>
      </c>
    </row>
    <row r="170" spans="1:36" x14ac:dyDescent="0.3">
      <c r="A170" t="s">
        <v>1145</v>
      </c>
      <c r="B170" t="s">
        <v>1124</v>
      </c>
      <c r="C170" t="s">
        <v>1125</v>
      </c>
      <c r="D170" t="s">
        <v>1126</v>
      </c>
      <c r="E170" t="s">
        <v>1127</v>
      </c>
      <c r="F170" t="s">
        <v>1125</v>
      </c>
      <c r="G170" t="s">
        <v>1128</v>
      </c>
      <c r="H170" t="s">
        <v>1134</v>
      </c>
      <c r="I170" t="s">
        <v>1138</v>
      </c>
      <c r="M170" t="s">
        <v>322</v>
      </c>
      <c r="N170" t="s">
        <v>2</v>
      </c>
      <c r="O170" t="s">
        <v>341</v>
      </c>
      <c r="P170" t="s">
        <v>4</v>
      </c>
      <c r="Q170" t="s">
        <v>342</v>
      </c>
      <c r="R170">
        <f t="shared" si="4"/>
        <v>-25.6044201677073</v>
      </c>
      <c r="S170" t="s">
        <v>6</v>
      </c>
      <c r="T170" t="s">
        <v>343</v>
      </c>
      <c r="U170" t="s">
        <v>8</v>
      </c>
      <c r="V170" t="s">
        <v>344</v>
      </c>
      <c r="W170" t="s">
        <v>10</v>
      </c>
      <c r="X170" t="s">
        <v>345</v>
      </c>
      <c r="Y170" t="s">
        <v>12</v>
      </c>
      <c r="Z170" t="s">
        <v>346</v>
      </c>
      <c r="AA170" t="s">
        <v>14</v>
      </c>
      <c r="AB170" t="s">
        <v>1003</v>
      </c>
      <c r="AC170" t="s">
        <v>927</v>
      </c>
      <c r="AD170" t="s">
        <v>977</v>
      </c>
      <c r="AE170" t="s">
        <v>15</v>
      </c>
      <c r="AF170" t="s">
        <v>16</v>
      </c>
      <c r="AG170" t="s">
        <v>1004</v>
      </c>
      <c r="AH170" t="s">
        <v>927</v>
      </c>
      <c r="AI170" t="s">
        <v>1005</v>
      </c>
      <c r="AJ170" t="s">
        <v>17</v>
      </c>
    </row>
    <row r="171" spans="1:36" x14ac:dyDescent="0.3">
      <c r="A171" t="s">
        <v>1145</v>
      </c>
      <c r="B171" t="s">
        <v>1124</v>
      </c>
      <c r="C171" t="s">
        <v>1125</v>
      </c>
      <c r="D171" t="s">
        <v>1126</v>
      </c>
      <c r="E171" t="s">
        <v>1127</v>
      </c>
      <c r="F171" t="s">
        <v>1125</v>
      </c>
      <c r="G171" t="s">
        <v>1128</v>
      </c>
      <c r="H171" t="s">
        <v>1129</v>
      </c>
      <c r="I171" t="s">
        <v>1132</v>
      </c>
      <c r="M171" t="s">
        <v>305</v>
      </c>
      <c r="N171" t="s">
        <v>2</v>
      </c>
      <c r="O171" t="s">
        <v>312</v>
      </c>
      <c r="P171" t="s">
        <v>4</v>
      </c>
      <c r="Q171" t="s">
        <v>318</v>
      </c>
      <c r="R171">
        <f t="shared" si="4"/>
        <v>-27.07</v>
      </c>
      <c r="S171" t="s">
        <v>6</v>
      </c>
      <c r="T171" t="s">
        <v>319</v>
      </c>
      <c r="U171" t="s">
        <v>8</v>
      </c>
      <c r="V171" t="s">
        <v>320</v>
      </c>
      <c r="W171" t="s">
        <v>10</v>
      </c>
      <c r="X171" t="s">
        <v>316</v>
      </c>
      <c r="Y171" t="s">
        <v>12</v>
      </c>
      <c r="Z171" t="s">
        <v>321</v>
      </c>
      <c r="AA171" t="s">
        <v>14</v>
      </c>
      <c r="AB171" t="s">
        <v>998</v>
      </c>
      <c r="AC171" t="s">
        <v>927</v>
      </c>
      <c r="AD171" t="s">
        <v>999</v>
      </c>
      <c r="AE171" t="s">
        <v>15</v>
      </c>
      <c r="AF171" t="s">
        <v>16</v>
      </c>
      <c r="AG171" t="s">
        <v>996</v>
      </c>
      <c r="AH171" t="s">
        <v>927</v>
      </c>
      <c r="AI171" t="s">
        <v>997</v>
      </c>
      <c r="AJ171" t="s">
        <v>17</v>
      </c>
    </row>
    <row r="172" spans="1:36" x14ac:dyDescent="0.3">
      <c r="A172" t="s">
        <v>1145</v>
      </c>
      <c r="B172" t="s">
        <v>1124</v>
      </c>
      <c r="C172" t="s">
        <v>1125</v>
      </c>
      <c r="D172" t="s">
        <v>1126</v>
      </c>
      <c r="E172" t="s">
        <v>1127</v>
      </c>
      <c r="F172" t="s">
        <v>1125</v>
      </c>
      <c r="G172" t="s">
        <v>1128</v>
      </c>
      <c r="H172" t="s">
        <v>1129</v>
      </c>
      <c r="I172" t="s">
        <v>1133</v>
      </c>
      <c r="M172" t="s">
        <v>305</v>
      </c>
      <c r="N172" t="s">
        <v>2</v>
      </c>
      <c r="O172" t="s">
        <v>312</v>
      </c>
      <c r="P172" t="s">
        <v>4</v>
      </c>
      <c r="Q172" t="s">
        <v>318</v>
      </c>
      <c r="R172">
        <f t="shared" si="4"/>
        <v>-27.07</v>
      </c>
      <c r="S172" t="s">
        <v>6</v>
      </c>
      <c r="T172" t="s">
        <v>319</v>
      </c>
      <c r="U172" t="s">
        <v>8</v>
      </c>
      <c r="V172" t="s">
        <v>320</v>
      </c>
      <c r="W172" t="s">
        <v>10</v>
      </c>
      <c r="X172" t="s">
        <v>316</v>
      </c>
      <c r="Y172" t="s">
        <v>12</v>
      </c>
      <c r="Z172" t="s">
        <v>321</v>
      </c>
      <c r="AA172" t="s">
        <v>14</v>
      </c>
      <c r="AB172" t="s">
        <v>998</v>
      </c>
      <c r="AC172" t="s">
        <v>927</v>
      </c>
      <c r="AD172" t="s">
        <v>999</v>
      </c>
      <c r="AE172" t="s">
        <v>15</v>
      </c>
      <c r="AF172" t="s">
        <v>16</v>
      </c>
      <c r="AG172" t="s">
        <v>996</v>
      </c>
      <c r="AH172" t="s">
        <v>927</v>
      </c>
      <c r="AI172" t="s">
        <v>997</v>
      </c>
      <c r="AJ172" t="s">
        <v>17</v>
      </c>
    </row>
    <row r="173" spans="1:36" x14ac:dyDescent="0.3">
      <c r="A173" t="s">
        <v>1145</v>
      </c>
      <c r="B173" t="s">
        <v>1124</v>
      </c>
      <c r="C173" t="s">
        <v>1125</v>
      </c>
      <c r="D173" t="s">
        <v>1126</v>
      </c>
      <c r="E173" t="s">
        <v>1127</v>
      </c>
      <c r="F173" t="s">
        <v>1125</v>
      </c>
      <c r="G173" t="s">
        <v>1128</v>
      </c>
      <c r="H173" t="s">
        <v>1129</v>
      </c>
      <c r="I173" t="s">
        <v>1131</v>
      </c>
      <c r="M173" t="s">
        <v>305</v>
      </c>
      <c r="N173" t="s">
        <v>2</v>
      </c>
      <c r="O173" t="s">
        <v>312</v>
      </c>
      <c r="P173" t="s">
        <v>4</v>
      </c>
      <c r="Q173" t="s">
        <v>313</v>
      </c>
      <c r="R173">
        <f t="shared" si="4"/>
        <v>-27.41</v>
      </c>
      <c r="S173" t="s">
        <v>6</v>
      </c>
      <c r="T173" t="s">
        <v>314</v>
      </c>
      <c r="U173" t="s">
        <v>8</v>
      </c>
      <c r="V173" t="s">
        <v>315</v>
      </c>
      <c r="W173" t="s">
        <v>10</v>
      </c>
      <c r="X173" t="s">
        <v>316</v>
      </c>
      <c r="Y173" t="s">
        <v>12</v>
      </c>
      <c r="Z173" t="s">
        <v>317</v>
      </c>
      <c r="AA173" t="s">
        <v>14</v>
      </c>
      <c r="AB173" t="s">
        <v>998</v>
      </c>
      <c r="AC173" t="s">
        <v>927</v>
      </c>
      <c r="AD173" t="s">
        <v>999</v>
      </c>
      <c r="AE173" t="s">
        <v>15</v>
      </c>
      <c r="AF173" t="s">
        <v>16</v>
      </c>
      <c r="AG173" t="s">
        <v>996</v>
      </c>
      <c r="AH173" t="s">
        <v>927</v>
      </c>
      <c r="AI173" t="s">
        <v>997</v>
      </c>
      <c r="AJ173" t="s">
        <v>17</v>
      </c>
    </row>
    <row r="174" spans="1:36" x14ac:dyDescent="0.3">
      <c r="A174" t="s">
        <v>1123</v>
      </c>
      <c r="B174" t="s">
        <v>1124</v>
      </c>
      <c r="C174" t="s">
        <v>1125</v>
      </c>
      <c r="D174" t="s">
        <v>923</v>
      </c>
      <c r="E174" t="s">
        <v>1127</v>
      </c>
      <c r="F174" t="s">
        <v>1125</v>
      </c>
      <c r="G174" t="s">
        <v>1144</v>
      </c>
      <c r="H174" t="s">
        <v>1129</v>
      </c>
      <c r="I174" t="s">
        <v>1133</v>
      </c>
      <c r="M174" t="s">
        <v>1</v>
      </c>
      <c r="N174" t="s">
        <v>2</v>
      </c>
      <c r="O174" t="s">
        <v>179</v>
      </c>
      <c r="P174" t="s">
        <v>4</v>
      </c>
      <c r="Q174" t="s">
        <v>180</v>
      </c>
      <c r="R174">
        <f t="shared" si="4"/>
        <v>-32.630000000000003</v>
      </c>
      <c r="S174" t="s">
        <v>6</v>
      </c>
      <c r="T174" t="s">
        <v>181</v>
      </c>
      <c r="U174" t="s">
        <v>8</v>
      </c>
      <c r="V174" t="s">
        <v>182</v>
      </c>
      <c r="W174" t="s">
        <v>10</v>
      </c>
      <c r="X174" t="s">
        <v>183</v>
      </c>
      <c r="Y174" t="s">
        <v>12</v>
      </c>
      <c r="Z174" t="s">
        <v>184</v>
      </c>
      <c r="AA174" t="s">
        <v>14</v>
      </c>
      <c r="AB174" t="s">
        <v>926</v>
      </c>
      <c r="AC174" t="s">
        <v>927</v>
      </c>
      <c r="AD174" t="s">
        <v>928</v>
      </c>
      <c r="AE174" t="s">
        <v>15</v>
      </c>
      <c r="AF174" t="s">
        <v>16</v>
      </c>
      <c r="AG174" t="s">
        <v>962</v>
      </c>
      <c r="AH174" t="s">
        <v>927</v>
      </c>
      <c r="AI174" t="s">
        <v>934</v>
      </c>
      <c r="AJ174" t="s">
        <v>17</v>
      </c>
    </row>
    <row r="175" spans="1:36" x14ac:dyDescent="0.3">
      <c r="A175" t="s">
        <v>1123</v>
      </c>
      <c r="B175" t="s">
        <v>1124</v>
      </c>
      <c r="C175" t="s">
        <v>1125</v>
      </c>
      <c r="D175" t="s">
        <v>1144</v>
      </c>
      <c r="E175" t="s">
        <v>1127</v>
      </c>
      <c r="F175" t="s">
        <v>1125</v>
      </c>
      <c r="G175" t="s">
        <v>922</v>
      </c>
      <c r="H175" t="s">
        <v>1134</v>
      </c>
      <c r="I175" t="s">
        <v>1135</v>
      </c>
      <c r="M175" t="s">
        <v>36</v>
      </c>
      <c r="N175" t="s">
        <v>2</v>
      </c>
      <c r="O175" t="s">
        <v>257</v>
      </c>
      <c r="P175" t="s">
        <v>4</v>
      </c>
      <c r="Q175" t="s">
        <v>258</v>
      </c>
      <c r="R175">
        <f t="shared" si="4"/>
        <v>-33.586105723458999</v>
      </c>
      <c r="S175" t="s">
        <v>6</v>
      </c>
      <c r="T175" t="s">
        <v>259</v>
      </c>
      <c r="U175" t="s">
        <v>8</v>
      </c>
      <c r="V175" t="s">
        <v>260</v>
      </c>
      <c r="W175" t="s">
        <v>10</v>
      </c>
      <c r="X175" t="s">
        <v>261</v>
      </c>
      <c r="Y175" t="s">
        <v>12</v>
      </c>
      <c r="Z175" t="s">
        <v>262</v>
      </c>
      <c r="AA175" t="s">
        <v>14</v>
      </c>
      <c r="AB175" t="s">
        <v>980</v>
      </c>
      <c r="AC175" t="s">
        <v>927</v>
      </c>
      <c r="AD175" t="s">
        <v>973</v>
      </c>
      <c r="AE175" t="s">
        <v>15</v>
      </c>
      <c r="AF175" t="s">
        <v>16</v>
      </c>
      <c r="AG175" t="s">
        <v>981</v>
      </c>
      <c r="AH175" t="s">
        <v>927</v>
      </c>
      <c r="AI175" t="s">
        <v>982</v>
      </c>
      <c r="AJ175" t="s">
        <v>17</v>
      </c>
    </row>
    <row r="176" spans="1:36" x14ac:dyDescent="0.3">
      <c r="A176" t="s">
        <v>1123</v>
      </c>
      <c r="B176" t="s">
        <v>1124</v>
      </c>
      <c r="C176" t="s">
        <v>1125</v>
      </c>
      <c r="D176" t="s">
        <v>923</v>
      </c>
      <c r="E176" t="s">
        <v>1127</v>
      </c>
      <c r="F176" t="s">
        <v>1125</v>
      </c>
      <c r="G176" t="s">
        <v>1144</v>
      </c>
      <c r="H176" t="s">
        <v>1129</v>
      </c>
      <c r="I176" t="s">
        <v>1130</v>
      </c>
      <c r="M176" t="s">
        <v>1</v>
      </c>
      <c r="N176" t="s">
        <v>2</v>
      </c>
      <c r="O176" t="s">
        <v>161</v>
      </c>
      <c r="P176" t="s">
        <v>4</v>
      </c>
      <c r="Q176" t="s">
        <v>162</v>
      </c>
      <c r="R176">
        <f t="shared" si="4"/>
        <v>-34.9699999999997</v>
      </c>
      <c r="S176" t="s">
        <v>6</v>
      </c>
      <c r="T176" t="s">
        <v>163</v>
      </c>
      <c r="U176" t="s">
        <v>8</v>
      </c>
      <c r="V176" t="s">
        <v>164</v>
      </c>
      <c r="W176" t="s">
        <v>10</v>
      </c>
      <c r="X176" t="s">
        <v>165</v>
      </c>
      <c r="Y176" t="s">
        <v>12</v>
      </c>
      <c r="Z176" t="s">
        <v>166</v>
      </c>
      <c r="AA176" t="s">
        <v>14</v>
      </c>
      <c r="AB176" t="s">
        <v>926</v>
      </c>
      <c r="AC176" t="s">
        <v>927</v>
      </c>
      <c r="AD176" t="s">
        <v>928</v>
      </c>
      <c r="AE176" t="s">
        <v>15</v>
      </c>
      <c r="AF176" t="s">
        <v>16</v>
      </c>
      <c r="AG176" t="s">
        <v>960</v>
      </c>
      <c r="AH176" t="s">
        <v>927</v>
      </c>
      <c r="AI176" t="s">
        <v>950</v>
      </c>
      <c r="AJ176" t="s">
        <v>17</v>
      </c>
    </row>
    <row r="177" spans="1:36" x14ac:dyDescent="0.3">
      <c r="A177" t="s">
        <v>1145</v>
      </c>
      <c r="B177" t="s">
        <v>1124</v>
      </c>
      <c r="C177" t="s">
        <v>1125</v>
      </c>
      <c r="D177" t="s">
        <v>1144</v>
      </c>
      <c r="E177" t="s">
        <v>1127</v>
      </c>
      <c r="F177" t="s">
        <v>1125</v>
      </c>
      <c r="G177" t="s">
        <v>922</v>
      </c>
      <c r="H177" t="s">
        <v>1139</v>
      </c>
      <c r="I177" t="s">
        <v>1143</v>
      </c>
      <c r="M177" t="s">
        <v>347</v>
      </c>
      <c r="N177" t="s">
        <v>2</v>
      </c>
      <c r="O177" t="s">
        <v>530</v>
      </c>
      <c r="P177" t="s">
        <v>4</v>
      </c>
      <c r="Q177" t="s">
        <v>564</v>
      </c>
      <c r="R177">
        <f t="shared" si="4"/>
        <v>-41.774094516550697</v>
      </c>
      <c r="S177" t="s">
        <v>6</v>
      </c>
      <c r="T177" t="s">
        <v>565</v>
      </c>
      <c r="U177" t="s">
        <v>8</v>
      </c>
      <c r="V177" t="s">
        <v>566</v>
      </c>
      <c r="W177" t="s">
        <v>10</v>
      </c>
      <c r="X177" t="s">
        <v>567</v>
      </c>
      <c r="Y177" t="s">
        <v>12</v>
      </c>
      <c r="Z177" t="s">
        <v>568</v>
      </c>
      <c r="AA177" t="s">
        <v>14</v>
      </c>
      <c r="AB177" t="s">
        <v>986</v>
      </c>
      <c r="AC177" t="s">
        <v>927</v>
      </c>
      <c r="AD177" t="s">
        <v>987</v>
      </c>
      <c r="AE177" t="s">
        <v>15</v>
      </c>
      <c r="AF177" t="s">
        <v>16</v>
      </c>
      <c r="AG177" t="s">
        <v>1049</v>
      </c>
      <c r="AH177" t="s">
        <v>927</v>
      </c>
      <c r="AI177" t="s">
        <v>1050</v>
      </c>
      <c r="AJ177" t="s">
        <v>17</v>
      </c>
    </row>
    <row r="178" spans="1:36" x14ac:dyDescent="0.3">
      <c r="A178" t="s">
        <v>1145</v>
      </c>
      <c r="B178" t="s">
        <v>1124</v>
      </c>
      <c r="C178" t="s">
        <v>1125</v>
      </c>
      <c r="D178" t="s">
        <v>1126</v>
      </c>
      <c r="E178" t="s">
        <v>1127</v>
      </c>
      <c r="F178" t="s">
        <v>1125</v>
      </c>
      <c r="G178" t="s">
        <v>1128</v>
      </c>
      <c r="H178" t="s">
        <v>1139</v>
      </c>
      <c r="I178" t="s">
        <v>1142</v>
      </c>
      <c r="M178" t="s">
        <v>347</v>
      </c>
      <c r="N178" t="s">
        <v>2</v>
      </c>
      <c r="O178" t="s">
        <v>360</v>
      </c>
      <c r="P178" t="s">
        <v>4</v>
      </c>
      <c r="Q178" t="s">
        <v>361</v>
      </c>
      <c r="R178">
        <f t="shared" si="4"/>
        <v>-44.393562186766502</v>
      </c>
      <c r="S178" t="s">
        <v>6</v>
      </c>
      <c r="T178" t="s">
        <v>362</v>
      </c>
      <c r="U178" t="s">
        <v>8</v>
      </c>
      <c r="V178" t="s">
        <v>363</v>
      </c>
      <c r="W178" t="s">
        <v>10</v>
      </c>
      <c r="X178" t="s">
        <v>364</v>
      </c>
      <c r="Y178" t="s">
        <v>12</v>
      </c>
      <c r="Z178" t="s">
        <v>365</v>
      </c>
      <c r="AA178" t="s">
        <v>14</v>
      </c>
      <c r="AB178" t="s">
        <v>1003</v>
      </c>
      <c r="AC178" t="s">
        <v>927</v>
      </c>
      <c r="AD178" t="s">
        <v>977</v>
      </c>
      <c r="AE178" t="s">
        <v>15</v>
      </c>
      <c r="AF178" t="s">
        <v>16</v>
      </c>
      <c r="AG178" t="s">
        <v>1008</v>
      </c>
      <c r="AH178" t="s">
        <v>927</v>
      </c>
      <c r="AI178" t="s">
        <v>1009</v>
      </c>
      <c r="AJ178" t="s">
        <v>17</v>
      </c>
    </row>
    <row r="179" spans="1:36" x14ac:dyDescent="0.3">
      <c r="A179" t="s">
        <v>1123</v>
      </c>
      <c r="B179" t="s">
        <v>1124</v>
      </c>
      <c r="C179" t="s">
        <v>1125</v>
      </c>
      <c r="D179" t="s">
        <v>1144</v>
      </c>
      <c r="E179" t="s">
        <v>1127</v>
      </c>
      <c r="F179" t="s">
        <v>1125</v>
      </c>
      <c r="G179" t="s">
        <v>922</v>
      </c>
      <c r="H179" t="s">
        <v>1139</v>
      </c>
      <c r="I179" t="s">
        <v>1141</v>
      </c>
      <c r="M179" t="s">
        <v>60</v>
      </c>
      <c r="N179" t="s">
        <v>2</v>
      </c>
      <c r="O179" t="s">
        <v>287</v>
      </c>
      <c r="P179" t="s">
        <v>4</v>
      </c>
      <c r="Q179" t="s">
        <v>288</v>
      </c>
      <c r="R179">
        <f t="shared" si="4"/>
        <v>-45.215767800500103</v>
      </c>
      <c r="S179" t="s">
        <v>6</v>
      </c>
      <c r="T179" t="s">
        <v>289</v>
      </c>
      <c r="U179" t="s">
        <v>8</v>
      </c>
      <c r="V179" t="s">
        <v>290</v>
      </c>
      <c r="W179" t="s">
        <v>10</v>
      </c>
      <c r="X179" t="s">
        <v>291</v>
      </c>
      <c r="Y179" t="s">
        <v>12</v>
      </c>
      <c r="Z179" t="s">
        <v>292</v>
      </c>
      <c r="AA179" t="s">
        <v>14</v>
      </c>
      <c r="AB179" t="s">
        <v>986</v>
      </c>
      <c r="AC179" t="s">
        <v>927</v>
      </c>
      <c r="AD179" t="s">
        <v>987</v>
      </c>
      <c r="AE179" t="s">
        <v>15</v>
      </c>
      <c r="AF179" t="s">
        <v>16</v>
      </c>
      <c r="AG179" t="s">
        <v>989</v>
      </c>
      <c r="AH179" t="s">
        <v>927</v>
      </c>
      <c r="AI179" t="s">
        <v>990</v>
      </c>
      <c r="AJ179" t="s">
        <v>17</v>
      </c>
    </row>
    <row r="180" spans="1:36" x14ac:dyDescent="0.3">
      <c r="A180" t="s">
        <v>1123</v>
      </c>
      <c r="B180" t="s">
        <v>1124</v>
      </c>
      <c r="C180" t="s">
        <v>1125</v>
      </c>
      <c r="D180" t="s">
        <v>923</v>
      </c>
      <c r="E180" t="s">
        <v>1127</v>
      </c>
      <c r="F180" t="s">
        <v>1125</v>
      </c>
      <c r="G180" t="s">
        <v>1144</v>
      </c>
      <c r="H180" t="s">
        <v>1129</v>
      </c>
      <c r="I180" t="s">
        <v>1131</v>
      </c>
      <c r="M180" t="s">
        <v>1</v>
      </c>
      <c r="N180" t="s">
        <v>2</v>
      </c>
      <c r="O180" t="s">
        <v>167</v>
      </c>
      <c r="P180" t="s">
        <v>4</v>
      </c>
      <c r="Q180" t="s">
        <v>168</v>
      </c>
      <c r="R180">
        <f t="shared" si="4"/>
        <v>-45.6099999999998</v>
      </c>
      <c r="S180" t="s">
        <v>6</v>
      </c>
      <c r="T180" t="s">
        <v>169</v>
      </c>
      <c r="U180" t="s">
        <v>8</v>
      </c>
      <c r="V180" t="s">
        <v>170</v>
      </c>
      <c r="W180" t="s">
        <v>10</v>
      </c>
      <c r="X180" t="s">
        <v>171</v>
      </c>
      <c r="Y180" t="s">
        <v>12</v>
      </c>
      <c r="Z180" t="s">
        <v>172</v>
      </c>
      <c r="AA180" t="s">
        <v>14</v>
      </c>
      <c r="AB180" t="s">
        <v>926</v>
      </c>
      <c r="AC180" t="s">
        <v>927</v>
      </c>
      <c r="AD180" t="s">
        <v>928</v>
      </c>
      <c r="AE180" t="s">
        <v>15</v>
      </c>
      <c r="AF180" t="s">
        <v>16</v>
      </c>
      <c r="AG180" t="s">
        <v>961</v>
      </c>
      <c r="AH180" t="s">
        <v>927</v>
      </c>
      <c r="AI180" t="s">
        <v>934</v>
      </c>
      <c r="AJ180" t="s">
        <v>17</v>
      </c>
    </row>
    <row r="181" spans="1:36" x14ac:dyDescent="0.3">
      <c r="A181" t="s">
        <v>1123</v>
      </c>
      <c r="B181" t="s">
        <v>1124</v>
      </c>
      <c r="C181" t="s">
        <v>1125</v>
      </c>
      <c r="D181" t="s">
        <v>923</v>
      </c>
      <c r="E181" t="s">
        <v>1127</v>
      </c>
      <c r="F181" t="s">
        <v>1125</v>
      </c>
      <c r="G181" t="s">
        <v>1144</v>
      </c>
      <c r="H181" t="s">
        <v>1129</v>
      </c>
      <c r="I181" t="s">
        <v>1132</v>
      </c>
      <c r="M181" t="s">
        <v>1</v>
      </c>
      <c r="N181" t="s">
        <v>2</v>
      </c>
      <c r="O181" t="s">
        <v>173</v>
      </c>
      <c r="P181" t="s">
        <v>4</v>
      </c>
      <c r="Q181" t="s">
        <v>174</v>
      </c>
      <c r="R181">
        <f t="shared" si="4"/>
        <v>-46.690000000000097</v>
      </c>
      <c r="S181" t="s">
        <v>6</v>
      </c>
      <c r="T181" t="s">
        <v>175</v>
      </c>
      <c r="U181" t="s">
        <v>8</v>
      </c>
      <c r="V181" t="s">
        <v>176</v>
      </c>
      <c r="W181" t="s">
        <v>10</v>
      </c>
      <c r="X181" t="s">
        <v>177</v>
      </c>
      <c r="Y181" t="s">
        <v>12</v>
      </c>
      <c r="Z181" t="s">
        <v>178</v>
      </c>
      <c r="AA181" t="s">
        <v>14</v>
      </c>
      <c r="AB181" t="s">
        <v>926</v>
      </c>
      <c r="AC181" t="s">
        <v>927</v>
      </c>
      <c r="AD181" t="s">
        <v>928</v>
      </c>
      <c r="AE181" t="s">
        <v>15</v>
      </c>
      <c r="AF181" t="s">
        <v>16</v>
      </c>
      <c r="AG181" t="s">
        <v>962</v>
      </c>
      <c r="AH181" t="s">
        <v>927</v>
      </c>
      <c r="AI181" t="s">
        <v>934</v>
      </c>
      <c r="AJ181" t="s">
        <v>17</v>
      </c>
    </row>
    <row r="182" spans="1:36" x14ac:dyDescent="0.3">
      <c r="A182" t="s">
        <v>1123</v>
      </c>
      <c r="B182" t="s">
        <v>1124</v>
      </c>
      <c r="C182" t="s">
        <v>1125</v>
      </c>
      <c r="D182" t="s">
        <v>1144</v>
      </c>
      <c r="E182" t="s">
        <v>1127</v>
      </c>
      <c r="F182" t="s">
        <v>1125</v>
      </c>
      <c r="G182" t="s">
        <v>922</v>
      </c>
      <c r="H182" t="s">
        <v>1129</v>
      </c>
      <c r="I182" t="s">
        <v>1130</v>
      </c>
      <c r="M182" t="s">
        <v>1</v>
      </c>
      <c r="N182" t="s">
        <v>2</v>
      </c>
      <c r="O182" t="s">
        <v>233</v>
      </c>
      <c r="P182" t="s">
        <v>4</v>
      </c>
      <c r="Q182" t="s">
        <v>234</v>
      </c>
      <c r="R182">
        <f t="shared" si="4"/>
        <v>-48.6499999999998</v>
      </c>
      <c r="S182" t="s">
        <v>6</v>
      </c>
      <c r="T182" t="s">
        <v>235</v>
      </c>
      <c r="U182" t="s">
        <v>8</v>
      </c>
      <c r="V182" t="s">
        <v>236</v>
      </c>
      <c r="W182" t="s">
        <v>10</v>
      </c>
      <c r="X182" t="s">
        <v>237</v>
      </c>
      <c r="Y182" t="s">
        <v>12</v>
      </c>
      <c r="Z182" t="s">
        <v>238</v>
      </c>
      <c r="AA182" t="s">
        <v>14</v>
      </c>
      <c r="AB182" t="s">
        <v>974</v>
      </c>
      <c r="AC182" t="s">
        <v>927</v>
      </c>
      <c r="AD182" t="s">
        <v>934</v>
      </c>
      <c r="AE182" t="s">
        <v>15</v>
      </c>
      <c r="AF182" t="s">
        <v>16</v>
      </c>
      <c r="AG182" t="s">
        <v>975</v>
      </c>
      <c r="AH182" t="s">
        <v>927</v>
      </c>
      <c r="AI182" t="s">
        <v>950</v>
      </c>
      <c r="AJ182" t="s">
        <v>17</v>
      </c>
    </row>
    <row r="183" spans="1:36" x14ac:dyDescent="0.3">
      <c r="A183" t="s">
        <v>1123</v>
      </c>
      <c r="B183" t="s">
        <v>1124</v>
      </c>
      <c r="C183" t="s">
        <v>1125</v>
      </c>
      <c r="D183" t="s">
        <v>1144</v>
      </c>
      <c r="E183" t="s">
        <v>1127</v>
      </c>
      <c r="F183" t="s">
        <v>1125</v>
      </c>
      <c r="G183" t="s">
        <v>922</v>
      </c>
      <c r="H183" t="s">
        <v>1134</v>
      </c>
      <c r="I183" t="s">
        <v>1136</v>
      </c>
      <c r="M183" t="s">
        <v>36</v>
      </c>
      <c r="N183" t="s">
        <v>2</v>
      </c>
      <c r="O183" t="s">
        <v>263</v>
      </c>
      <c r="P183" t="s">
        <v>4</v>
      </c>
      <c r="Q183" t="s">
        <v>264</v>
      </c>
      <c r="R183">
        <f t="shared" si="4"/>
        <v>-54.169999999999803</v>
      </c>
      <c r="S183" t="s">
        <v>6</v>
      </c>
      <c r="T183" t="s">
        <v>265</v>
      </c>
      <c r="U183" t="s">
        <v>8</v>
      </c>
      <c r="V183" t="s">
        <v>266</v>
      </c>
      <c r="W183" t="s">
        <v>10</v>
      </c>
      <c r="X183" t="s">
        <v>267</v>
      </c>
      <c r="Y183" t="s">
        <v>12</v>
      </c>
      <c r="Z183" t="s">
        <v>268</v>
      </c>
      <c r="AA183" t="s">
        <v>14</v>
      </c>
      <c r="AB183" t="s">
        <v>976</v>
      </c>
      <c r="AC183" t="s">
        <v>927</v>
      </c>
      <c r="AD183" t="s">
        <v>977</v>
      </c>
      <c r="AE183" t="s">
        <v>15</v>
      </c>
      <c r="AF183" t="s">
        <v>16</v>
      </c>
      <c r="AG183" t="s">
        <v>983</v>
      </c>
      <c r="AH183" t="s">
        <v>927</v>
      </c>
      <c r="AI183" t="s">
        <v>934</v>
      </c>
      <c r="AJ183" t="s">
        <v>17</v>
      </c>
    </row>
    <row r="184" spans="1:36" x14ac:dyDescent="0.3">
      <c r="A184" t="s">
        <v>1145</v>
      </c>
      <c r="B184" t="s">
        <v>1124</v>
      </c>
      <c r="C184" t="s">
        <v>1125</v>
      </c>
      <c r="D184" t="s">
        <v>1126</v>
      </c>
      <c r="E184" t="s">
        <v>1127</v>
      </c>
      <c r="F184" t="s">
        <v>1125</v>
      </c>
      <c r="G184" t="s">
        <v>1128</v>
      </c>
      <c r="H184" t="s">
        <v>1139</v>
      </c>
      <c r="I184" t="s">
        <v>1143</v>
      </c>
      <c r="M184" t="s">
        <v>347</v>
      </c>
      <c r="N184" t="s">
        <v>2</v>
      </c>
      <c r="O184" t="s">
        <v>366</v>
      </c>
      <c r="P184" t="s">
        <v>4</v>
      </c>
      <c r="Q184" t="s">
        <v>367</v>
      </c>
      <c r="R184">
        <f t="shared" si="4"/>
        <v>-60.766042572525997</v>
      </c>
      <c r="S184" t="s">
        <v>6</v>
      </c>
      <c r="T184" t="s">
        <v>368</v>
      </c>
      <c r="U184" t="s">
        <v>8</v>
      </c>
      <c r="V184" t="s">
        <v>369</v>
      </c>
      <c r="W184" t="s">
        <v>10</v>
      </c>
      <c r="X184" t="s">
        <v>370</v>
      </c>
      <c r="Y184" t="s">
        <v>12</v>
      </c>
      <c r="Z184" t="s">
        <v>371</v>
      </c>
      <c r="AA184" t="s">
        <v>14</v>
      </c>
      <c r="AB184" t="s">
        <v>1003</v>
      </c>
      <c r="AC184" t="s">
        <v>927</v>
      </c>
      <c r="AD184" t="s">
        <v>977</v>
      </c>
      <c r="AE184" t="s">
        <v>15</v>
      </c>
      <c r="AF184" t="s">
        <v>16</v>
      </c>
      <c r="AG184" t="s">
        <v>1004</v>
      </c>
      <c r="AH184" t="s">
        <v>927</v>
      </c>
      <c r="AI184" t="s">
        <v>1005</v>
      </c>
      <c r="AJ184" t="s">
        <v>17</v>
      </c>
    </row>
    <row r="185" spans="1:36" x14ac:dyDescent="0.3">
      <c r="A185" t="s">
        <v>1123</v>
      </c>
      <c r="B185" t="s">
        <v>1124</v>
      </c>
      <c r="C185" t="s">
        <v>1125</v>
      </c>
      <c r="D185" t="s">
        <v>1144</v>
      </c>
      <c r="E185" t="s">
        <v>1127</v>
      </c>
      <c r="F185" t="s">
        <v>1125</v>
      </c>
      <c r="G185" t="s">
        <v>922</v>
      </c>
      <c r="H185" t="s">
        <v>1134</v>
      </c>
      <c r="I185" t="s">
        <v>1137</v>
      </c>
      <c r="M185" t="s">
        <v>36</v>
      </c>
      <c r="N185" t="s">
        <v>2</v>
      </c>
      <c r="O185" t="s">
        <v>269</v>
      </c>
      <c r="P185" t="s">
        <v>4</v>
      </c>
      <c r="Q185" t="s">
        <v>270</v>
      </c>
      <c r="R185">
        <f t="shared" si="4"/>
        <v>-103.195113170092</v>
      </c>
      <c r="S185" t="s">
        <v>6</v>
      </c>
      <c r="T185" t="s">
        <v>271</v>
      </c>
      <c r="U185" t="s">
        <v>8</v>
      </c>
      <c r="V185" t="s">
        <v>272</v>
      </c>
      <c r="W185" t="s">
        <v>10</v>
      </c>
      <c r="X185" t="s">
        <v>273</v>
      </c>
      <c r="Y185" t="s">
        <v>12</v>
      </c>
      <c r="Z185" t="s">
        <v>274</v>
      </c>
      <c r="AA185" t="s">
        <v>14</v>
      </c>
      <c r="AB185" t="s">
        <v>967</v>
      </c>
      <c r="AC185" t="s">
        <v>927</v>
      </c>
      <c r="AD185" t="s">
        <v>936</v>
      </c>
      <c r="AE185" t="s">
        <v>15</v>
      </c>
      <c r="AF185" t="s">
        <v>16</v>
      </c>
      <c r="AG185" t="s">
        <v>984</v>
      </c>
      <c r="AH185" t="s">
        <v>927</v>
      </c>
      <c r="AI185" t="s">
        <v>934</v>
      </c>
      <c r="AJ185" t="s">
        <v>17</v>
      </c>
    </row>
    <row r="186" spans="1:36" x14ac:dyDescent="0.3">
      <c r="A186" t="s">
        <v>1123</v>
      </c>
      <c r="B186" t="s">
        <v>1124</v>
      </c>
      <c r="C186" t="s">
        <v>1125</v>
      </c>
      <c r="D186" t="s">
        <v>1128</v>
      </c>
      <c r="E186" t="s">
        <v>1127</v>
      </c>
      <c r="F186" t="s">
        <v>1125</v>
      </c>
      <c r="G186" t="s">
        <v>923</v>
      </c>
      <c r="H186" t="s">
        <v>1129</v>
      </c>
      <c r="I186" t="s">
        <v>1130</v>
      </c>
      <c r="M186" t="s">
        <v>1</v>
      </c>
      <c r="N186" t="s">
        <v>2</v>
      </c>
      <c r="O186" t="s">
        <v>89</v>
      </c>
      <c r="P186" t="s">
        <v>4</v>
      </c>
      <c r="Q186" t="s">
        <v>90</v>
      </c>
      <c r="R186">
        <f t="shared" si="4"/>
        <v>-103.8</v>
      </c>
      <c r="S186" t="s">
        <v>6</v>
      </c>
      <c r="T186" t="s">
        <v>91</v>
      </c>
      <c r="U186" t="s">
        <v>8</v>
      </c>
      <c r="V186" t="s">
        <v>92</v>
      </c>
      <c r="W186" t="s">
        <v>10</v>
      </c>
      <c r="X186" t="s">
        <v>93</v>
      </c>
      <c r="Y186" t="s">
        <v>12</v>
      </c>
      <c r="Z186" t="s">
        <v>94</v>
      </c>
      <c r="AA186" t="s">
        <v>14</v>
      </c>
      <c r="AB186" t="s">
        <v>926</v>
      </c>
      <c r="AC186" t="s">
        <v>927</v>
      </c>
      <c r="AD186" t="s">
        <v>928</v>
      </c>
      <c r="AE186" t="s">
        <v>15</v>
      </c>
      <c r="AF186" t="s">
        <v>16</v>
      </c>
      <c r="AG186" t="s">
        <v>949</v>
      </c>
      <c r="AH186" t="s">
        <v>927</v>
      </c>
      <c r="AI186" t="s">
        <v>950</v>
      </c>
      <c r="AJ186" t="s">
        <v>17</v>
      </c>
    </row>
    <row r="187" spans="1:36" x14ac:dyDescent="0.3">
      <c r="A187" t="s">
        <v>1123</v>
      </c>
      <c r="B187" t="s">
        <v>1124</v>
      </c>
      <c r="C187" t="s">
        <v>1125</v>
      </c>
      <c r="D187" t="s">
        <v>1128</v>
      </c>
      <c r="E187" t="s">
        <v>1127</v>
      </c>
      <c r="F187" t="s">
        <v>1125</v>
      </c>
      <c r="G187" t="s">
        <v>923</v>
      </c>
      <c r="H187" t="s">
        <v>1129</v>
      </c>
      <c r="I187" t="s">
        <v>1131</v>
      </c>
      <c r="M187" t="s">
        <v>1</v>
      </c>
      <c r="N187" t="s">
        <v>2</v>
      </c>
      <c r="O187" t="s">
        <v>95</v>
      </c>
      <c r="P187" t="s">
        <v>4</v>
      </c>
      <c r="Q187" t="s">
        <v>96</v>
      </c>
      <c r="R187">
        <f t="shared" si="4"/>
        <v>-107.729999999999</v>
      </c>
      <c r="S187" t="s">
        <v>6</v>
      </c>
      <c r="T187" t="s">
        <v>97</v>
      </c>
      <c r="U187" t="s">
        <v>8</v>
      </c>
      <c r="V187" t="s">
        <v>98</v>
      </c>
      <c r="W187" t="s">
        <v>10</v>
      </c>
      <c r="X187" t="s">
        <v>99</v>
      </c>
      <c r="Y187" t="s">
        <v>12</v>
      </c>
      <c r="Z187" t="s">
        <v>100</v>
      </c>
      <c r="AA187" t="s">
        <v>14</v>
      </c>
      <c r="AB187" t="s">
        <v>926</v>
      </c>
      <c r="AC187" t="s">
        <v>927</v>
      </c>
      <c r="AD187" t="s">
        <v>928</v>
      </c>
      <c r="AE187" t="s">
        <v>15</v>
      </c>
      <c r="AF187" t="s">
        <v>16</v>
      </c>
      <c r="AG187" t="s">
        <v>951</v>
      </c>
      <c r="AH187" t="s">
        <v>927</v>
      </c>
      <c r="AI187" t="s">
        <v>934</v>
      </c>
      <c r="AJ187" t="s">
        <v>17</v>
      </c>
    </row>
    <row r="188" spans="1:36" x14ac:dyDescent="0.3">
      <c r="A188" t="s">
        <v>1123</v>
      </c>
      <c r="B188" t="s">
        <v>1124</v>
      </c>
      <c r="C188" t="s">
        <v>1125</v>
      </c>
      <c r="D188" t="s">
        <v>923</v>
      </c>
      <c r="E188" t="s">
        <v>1127</v>
      </c>
      <c r="F188" t="s">
        <v>1125</v>
      </c>
      <c r="G188" t="s">
        <v>1144</v>
      </c>
      <c r="H188" t="s">
        <v>1134</v>
      </c>
      <c r="I188" t="s">
        <v>1136</v>
      </c>
      <c r="M188" t="s">
        <v>36</v>
      </c>
      <c r="N188" t="s">
        <v>2</v>
      </c>
      <c r="O188" t="s">
        <v>191</v>
      </c>
      <c r="P188" t="s">
        <v>4</v>
      </c>
      <c r="Q188" t="s">
        <v>192</v>
      </c>
      <c r="R188">
        <f t="shared" si="4"/>
        <v>-111.553621339286</v>
      </c>
      <c r="S188" t="s">
        <v>6</v>
      </c>
      <c r="T188" t="s">
        <v>193</v>
      </c>
      <c r="U188" t="s">
        <v>8</v>
      </c>
      <c r="V188" t="s">
        <v>194</v>
      </c>
      <c r="W188" t="s">
        <v>10</v>
      </c>
      <c r="X188" t="s">
        <v>195</v>
      </c>
      <c r="Y188" t="s">
        <v>12</v>
      </c>
      <c r="Z188" t="s">
        <v>196</v>
      </c>
      <c r="AA188" t="s">
        <v>14</v>
      </c>
      <c r="AB188" t="s">
        <v>926</v>
      </c>
      <c r="AC188" t="s">
        <v>927</v>
      </c>
      <c r="AD188" t="s">
        <v>928</v>
      </c>
      <c r="AE188" t="s">
        <v>15</v>
      </c>
      <c r="AF188" t="s">
        <v>16</v>
      </c>
      <c r="AG188" t="s">
        <v>965</v>
      </c>
      <c r="AH188" t="s">
        <v>927</v>
      </c>
      <c r="AI188" t="s">
        <v>934</v>
      </c>
      <c r="AJ188" t="s">
        <v>17</v>
      </c>
    </row>
    <row r="189" spans="1:36" x14ac:dyDescent="0.3">
      <c r="A189" t="s">
        <v>1123</v>
      </c>
      <c r="B189" t="s">
        <v>1124</v>
      </c>
      <c r="C189" t="s">
        <v>1125</v>
      </c>
      <c r="D189" t="s">
        <v>1128</v>
      </c>
      <c r="E189" t="s">
        <v>1127</v>
      </c>
      <c r="F189" t="s">
        <v>1125</v>
      </c>
      <c r="G189" t="s">
        <v>923</v>
      </c>
      <c r="H189" t="s">
        <v>1129</v>
      </c>
      <c r="I189" t="s">
        <v>1133</v>
      </c>
      <c r="M189" t="s">
        <v>1</v>
      </c>
      <c r="N189" t="s">
        <v>2</v>
      </c>
      <c r="O189" t="s">
        <v>107</v>
      </c>
      <c r="P189" t="s">
        <v>4</v>
      </c>
      <c r="Q189" t="s">
        <v>108</v>
      </c>
      <c r="R189">
        <f t="shared" si="4"/>
        <v>-114.079999999999</v>
      </c>
      <c r="S189" t="s">
        <v>6</v>
      </c>
      <c r="T189" t="s">
        <v>109</v>
      </c>
      <c r="U189" t="s">
        <v>8</v>
      </c>
      <c r="V189" t="s">
        <v>110</v>
      </c>
      <c r="W189" t="s">
        <v>10</v>
      </c>
      <c r="X189" t="s">
        <v>111</v>
      </c>
      <c r="Y189" t="s">
        <v>12</v>
      </c>
      <c r="Z189" t="s">
        <v>112</v>
      </c>
      <c r="AA189" t="s">
        <v>14</v>
      </c>
      <c r="AB189" t="s">
        <v>931</v>
      </c>
      <c r="AC189" t="s">
        <v>927</v>
      </c>
      <c r="AD189" t="s">
        <v>932</v>
      </c>
      <c r="AE189" t="s">
        <v>15</v>
      </c>
      <c r="AF189" t="s">
        <v>16</v>
      </c>
      <c r="AG189" t="s">
        <v>951</v>
      </c>
      <c r="AH189" t="s">
        <v>927</v>
      </c>
      <c r="AI189" t="s">
        <v>934</v>
      </c>
      <c r="AJ189" t="s">
        <v>17</v>
      </c>
    </row>
    <row r="190" spans="1:36" x14ac:dyDescent="0.3">
      <c r="A190" t="s">
        <v>1123</v>
      </c>
      <c r="B190" t="s">
        <v>1124</v>
      </c>
      <c r="C190" t="s">
        <v>1125</v>
      </c>
      <c r="D190" t="s">
        <v>1128</v>
      </c>
      <c r="E190" t="s">
        <v>1127</v>
      </c>
      <c r="F190" t="s">
        <v>1125</v>
      </c>
      <c r="G190" t="s">
        <v>923</v>
      </c>
      <c r="H190" t="s">
        <v>1129</v>
      </c>
      <c r="I190" t="s">
        <v>1132</v>
      </c>
      <c r="M190" t="s">
        <v>1</v>
      </c>
      <c r="N190" t="s">
        <v>2</v>
      </c>
      <c r="O190" t="s">
        <v>101</v>
      </c>
      <c r="P190" t="s">
        <v>4</v>
      </c>
      <c r="Q190" t="s">
        <v>102</v>
      </c>
      <c r="R190">
        <f t="shared" si="4"/>
        <v>-115.099999999999</v>
      </c>
      <c r="S190" t="s">
        <v>6</v>
      </c>
      <c r="T190" t="s">
        <v>103</v>
      </c>
      <c r="U190" t="s">
        <v>8</v>
      </c>
      <c r="V190" t="s">
        <v>104</v>
      </c>
      <c r="W190" t="s">
        <v>10</v>
      </c>
      <c r="X190" t="s">
        <v>105</v>
      </c>
      <c r="Y190" t="s">
        <v>12</v>
      </c>
      <c r="Z190" t="s">
        <v>106</v>
      </c>
      <c r="AA190" t="s">
        <v>14</v>
      </c>
      <c r="AB190" t="s">
        <v>931</v>
      </c>
      <c r="AC190" t="s">
        <v>927</v>
      </c>
      <c r="AD190" t="s">
        <v>932</v>
      </c>
      <c r="AE190" t="s">
        <v>15</v>
      </c>
      <c r="AF190" t="s">
        <v>16</v>
      </c>
      <c r="AG190" t="s">
        <v>951</v>
      </c>
      <c r="AH190" t="s">
        <v>927</v>
      </c>
      <c r="AI190" t="s">
        <v>934</v>
      </c>
      <c r="AJ190" t="s">
        <v>17</v>
      </c>
    </row>
    <row r="191" spans="1:36" x14ac:dyDescent="0.3">
      <c r="A191" t="s">
        <v>1123</v>
      </c>
      <c r="B191" t="s">
        <v>1124</v>
      </c>
      <c r="C191" t="s">
        <v>1125</v>
      </c>
      <c r="D191" t="s">
        <v>1128</v>
      </c>
      <c r="E191" t="s">
        <v>1127</v>
      </c>
      <c r="F191" t="s">
        <v>1125</v>
      </c>
      <c r="G191" t="s">
        <v>923</v>
      </c>
      <c r="H191" t="s">
        <v>1134</v>
      </c>
      <c r="I191" t="s">
        <v>1136</v>
      </c>
      <c r="M191" t="s">
        <v>36</v>
      </c>
      <c r="N191" t="s">
        <v>2</v>
      </c>
      <c r="O191" t="s">
        <v>119</v>
      </c>
      <c r="P191" t="s">
        <v>4</v>
      </c>
      <c r="Q191" t="s">
        <v>120</v>
      </c>
      <c r="R191">
        <f t="shared" si="4"/>
        <v>-115.39311574932999</v>
      </c>
      <c r="S191" t="s">
        <v>6</v>
      </c>
      <c r="T191" t="s">
        <v>121</v>
      </c>
      <c r="U191" t="s">
        <v>8</v>
      </c>
      <c r="V191" t="s">
        <v>122</v>
      </c>
      <c r="W191" t="s">
        <v>10</v>
      </c>
      <c r="X191" t="s">
        <v>123</v>
      </c>
      <c r="Y191" t="s">
        <v>12</v>
      </c>
      <c r="Z191" t="s">
        <v>124</v>
      </c>
      <c r="AA191" t="s">
        <v>14</v>
      </c>
      <c r="AB191" t="s">
        <v>931</v>
      </c>
      <c r="AC191" t="s">
        <v>927</v>
      </c>
      <c r="AD191" t="s">
        <v>932</v>
      </c>
      <c r="AE191" t="s">
        <v>15</v>
      </c>
      <c r="AF191" t="s">
        <v>16</v>
      </c>
      <c r="AG191" t="s">
        <v>954</v>
      </c>
      <c r="AH191" t="s">
        <v>927</v>
      </c>
      <c r="AI191" t="s">
        <v>940</v>
      </c>
      <c r="AJ191" t="s">
        <v>17</v>
      </c>
    </row>
    <row r="192" spans="1:36" x14ac:dyDescent="0.3">
      <c r="A192" t="s">
        <v>1123</v>
      </c>
      <c r="B192" t="s">
        <v>1124</v>
      </c>
      <c r="C192" t="s">
        <v>1125</v>
      </c>
      <c r="D192" t="s">
        <v>1126</v>
      </c>
      <c r="E192" t="s">
        <v>1127</v>
      </c>
      <c r="F192" t="s">
        <v>1125</v>
      </c>
      <c r="G192" t="s">
        <v>1128</v>
      </c>
      <c r="H192" t="s">
        <v>1134</v>
      </c>
      <c r="I192" t="s">
        <v>1136</v>
      </c>
      <c r="M192" t="s">
        <v>36</v>
      </c>
      <c r="N192" t="s">
        <v>2</v>
      </c>
      <c r="O192" t="s">
        <v>43</v>
      </c>
      <c r="P192" t="s">
        <v>4</v>
      </c>
      <c r="Q192" t="s">
        <v>44</v>
      </c>
      <c r="R192">
        <f t="shared" si="4"/>
        <v>-125.802019385051</v>
      </c>
      <c r="S192" t="s">
        <v>6</v>
      </c>
      <c r="T192" t="s">
        <v>45</v>
      </c>
      <c r="U192" t="s">
        <v>8</v>
      </c>
      <c r="V192" t="s">
        <v>46</v>
      </c>
      <c r="W192" t="s">
        <v>10</v>
      </c>
      <c r="X192" t="s">
        <v>47</v>
      </c>
      <c r="Y192" t="s">
        <v>12</v>
      </c>
      <c r="Z192" t="s">
        <v>48</v>
      </c>
      <c r="AA192" t="s">
        <v>14</v>
      </c>
      <c r="AB192" t="s">
        <v>931</v>
      </c>
      <c r="AC192" t="s">
        <v>927</v>
      </c>
      <c r="AD192" t="s">
        <v>932</v>
      </c>
      <c r="AE192" t="s">
        <v>15</v>
      </c>
      <c r="AF192" t="s">
        <v>16</v>
      </c>
      <c r="AG192" t="s">
        <v>941</v>
      </c>
      <c r="AH192" t="s">
        <v>927</v>
      </c>
      <c r="AI192" t="s">
        <v>942</v>
      </c>
      <c r="AJ192" t="s">
        <v>17</v>
      </c>
    </row>
    <row r="193" spans="1:36" x14ac:dyDescent="0.3">
      <c r="A193" t="s">
        <v>1123</v>
      </c>
      <c r="B193" t="s">
        <v>1124</v>
      </c>
      <c r="C193" t="s">
        <v>1125</v>
      </c>
      <c r="D193" t="s">
        <v>1144</v>
      </c>
      <c r="E193" t="s">
        <v>1127</v>
      </c>
      <c r="F193" t="s">
        <v>1125</v>
      </c>
      <c r="G193" t="s">
        <v>922</v>
      </c>
      <c r="H193" t="s">
        <v>1134</v>
      </c>
      <c r="I193" t="s">
        <v>1138</v>
      </c>
      <c r="M193" t="s">
        <v>36</v>
      </c>
      <c r="N193" t="s">
        <v>2</v>
      </c>
      <c r="O193" t="s">
        <v>275</v>
      </c>
      <c r="P193" t="s">
        <v>4</v>
      </c>
      <c r="Q193" t="s">
        <v>276</v>
      </c>
      <c r="R193">
        <f t="shared" si="4"/>
        <v>-137.01445599200201</v>
      </c>
      <c r="S193" t="s">
        <v>6</v>
      </c>
      <c r="T193" t="s">
        <v>277</v>
      </c>
      <c r="U193" t="s">
        <v>8</v>
      </c>
      <c r="V193" t="s">
        <v>278</v>
      </c>
      <c r="W193" t="s">
        <v>10</v>
      </c>
      <c r="X193" t="s">
        <v>279</v>
      </c>
      <c r="Y193" t="s">
        <v>12</v>
      </c>
      <c r="Z193" t="s">
        <v>280</v>
      </c>
      <c r="AA193" t="s">
        <v>14</v>
      </c>
      <c r="AB193" t="s">
        <v>931</v>
      </c>
      <c r="AC193" t="s">
        <v>927</v>
      </c>
      <c r="AD193" t="s">
        <v>932</v>
      </c>
      <c r="AE193" t="s">
        <v>15</v>
      </c>
      <c r="AF193" t="s">
        <v>16</v>
      </c>
      <c r="AG193" t="s">
        <v>985</v>
      </c>
      <c r="AH193" t="s">
        <v>927</v>
      </c>
      <c r="AI193" t="s">
        <v>934</v>
      </c>
      <c r="AJ193" t="s">
        <v>17</v>
      </c>
    </row>
    <row r="194" spans="1:36" x14ac:dyDescent="0.3">
      <c r="A194" t="s">
        <v>1123</v>
      </c>
      <c r="B194" t="s">
        <v>1124</v>
      </c>
      <c r="C194" t="s">
        <v>1125</v>
      </c>
      <c r="D194" t="s">
        <v>923</v>
      </c>
      <c r="E194" t="s">
        <v>1127</v>
      </c>
      <c r="F194" t="s">
        <v>1125</v>
      </c>
      <c r="G194" t="s">
        <v>1144</v>
      </c>
      <c r="H194" t="s">
        <v>1134</v>
      </c>
      <c r="I194" t="s">
        <v>1137</v>
      </c>
      <c r="M194" t="s">
        <v>36</v>
      </c>
      <c r="N194" t="s">
        <v>2</v>
      </c>
      <c r="O194" t="s">
        <v>197</v>
      </c>
      <c r="P194" t="s">
        <v>4</v>
      </c>
      <c r="Q194" t="s">
        <v>198</v>
      </c>
      <c r="R194">
        <f t="shared" ref="R194:R257" si="5">IFERROR(VALUE(_xlfn.TEXTBEFORE(Q194, ",")), 0)</f>
        <v>-164.84834517325001</v>
      </c>
      <c r="S194" t="s">
        <v>6</v>
      </c>
      <c r="T194" t="s">
        <v>199</v>
      </c>
      <c r="U194" t="s">
        <v>8</v>
      </c>
      <c r="V194" t="s">
        <v>200</v>
      </c>
      <c r="W194" t="s">
        <v>10</v>
      </c>
      <c r="X194" t="s">
        <v>201</v>
      </c>
      <c r="Y194" t="s">
        <v>12</v>
      </c>
      <c r="Z194" t="s">
        <v>202</v>
      </c>
      <c r="AA194" t="s">
        <v>14</v>
      </c>
      <c r="AB194" t="s">
        <v>926</v>
      </c>
      <c r="AC194" t="s">
        <v>927</v>
      </c>
      <c r="AD194" t="s">
        <v>928</v>
      </c>
      <c r="AE194" t="s">
        <v>15</v>
      </c>
      <c r="AF194" t="s">
        <v>16</v>
      </c>
      <c r="AG194" t="s">
        <v>966</v>
      </c>
      <c r="AH194" t="s">
        <v>927</v>
      </c>
      <c r="AI194" t="s">
        <v>934</v>
      </c>
      <c r="AJ194" t="s">
        <v>17</v>
      </c>
    </row>
    <row r="195" spans="1:36" x14ac:dyDescent="0.3">
      <c r="A195" t="s">
        <v>1123</v>
      </c>
      <c r="B195" t="s">
        <v>1124</v>
      </c>
      <c r="C195" t="s">
        <v>1125</v>
      </c>
      <c r="D195" t="s">
        <v>1128</v>
      </c>
      <c r="E195" t="s">
        <v>1127</v>
      </c>
      <c r="F195" t="s">
        <v>1125</v>
      </c>
      <c r="G195" t="s">
        <v>923</v>
      </c>
      <c r="H195" t="s">
        <v>1134</v>
      </c>
      <c r="I195" t="s">
        <v>1137</v>
      </c>
      <c r="M195" t="s">
        <v>36</v>
      </c>
      <c r="N195" t="s">
        <v>2</v>
      </c>
      <c r="O195" t="s">
        <v>125</v>
      </c>
      <c r="P195" t="s">
        <v>4</v>
      </c>
      <c r="Q195" t="s">
        <v>126</v>
      </c>
      <c r="R195">
        <f t="shared" si="5"/>
        <v>-164.91311574932999</v>
      </c>
      <c r="S195" t="s">
        <v>6</v>
      </c>
      <c r="T195" t="s">
        <v>127</v>
      </c>
      <c r="U195" t="s">
        <v>8</v>
      </c>
      <c r="V195" t="s">
        <v>128</v>
      </c>
      <c r="W195" t="s">
        <v>10</v>
      </c>
      <c r="X195" t="s">
        <v>129</v>
      </c>
      <c r="Y195" t="s">
        <v>12</v>
      </c>
      <c r="Z195" t="s">
        <v>130</v>
      </c>
      <c r="AA195" t="s">
        <v>14</v>
      </c>
      <c r="AB195" t="s">
        <v>931</v>
      </c>
      <c r="AC195" t="s">
        <v>927</v>
      </c>
      <c r="AD195" t="s">
        <v>932</v>
      </c>
      <c r="AE195" t="s">
        <v>15</v>
      </c>
      <c r="AF195" t="s">
        <v>16</v>
      </c>
      <c r="AG195" t="s">
        <v>954</v>
      </c>
      <c r="AH195" t="s">
        <v>927</v>
      </c>
      <c r="AI195" t="s">
        <v>940</v>
      </c>
      <c r="AJ195" t="s">
        <v>17</v>
      </c>
    </row>
    <row r="196" spans="1:36" x14ac:dyDescent="0.3">
      <c r="A196" t="s">
        <v>1123</v>
      </c>
      <c r="B196" t="s">
        <v>1124</v>
      </c>
      <c r="C196" t="s">
        <v>1125</v>
      </c>
      <c r="D196" t="s">
        <v>1128</v>
      </c>
      <c r="E196" t="s">
        <v>1127</v>
      </c>
      <c r="F196" t="s">
        <v>1125</v>
      </c>
      <c r="G196" t="s">
        <v>923</v>
      </c>
      <c r="H196" t="s">
        <v>1134</v>
      </c>
      <c r="I196" t="s">
        <v>1138</v>
      </c>
      <c r="M196" t="s">
        <v>36</v>
      </c>
      <c r="N196" t="s">
        <v>2</v>
      </c>
      <c r="O196" t="s">
        <v>131</v>
      </c>
      <c r="P196" t="s">
        <v>4</v>
      </c>
      <c r="Q196" t="s">
        <v>132</v>
      </c>
      <c r="R196">
        <f t="shared" si="5"/>
        <v>-169.83311574933001</v>
      </c>
      <c r="S196" t="s">
        <v>6</v>
      </c>
      <c r="T196" t="s">
        <v>133</v>
      </c>
      <c r="U196" t="s">
        <v>8</v>
      </c>
      <c r="V196" t="s">
        <v>134</v>
      </c>
      <c r="W196" t="s">
        <v>10</v>
      </c>
      <c r="X196" t="s">
        <v>135</v>
      </c>
      <c r="Y196" t="s">
        <v>12</v>
      </c>
      <c r="Z196" t="s">
        <v>136</v>
      </c>
      <c r="AA196" t="s">
        <v>14</v>
      </c>
      <c r="AB196" t="s">
        <v>931</v>
      </c>
      <c r="AC196" t="s">
        <v>927</v>
      </c>
      <c r="AD196" t="s">
        <v>932</v>
      </c>
      <c r="AE196" t="s">
        <v>15</v>
      </c>
      <c r="AF196" t="s">
        <v>16</v>
      </c>
      <c r="AG196" t="s">
        <v>954</v>
      </c>
      <c r="AH196" t="s">
        <v>927</v>
      </c>
      <c r="AI196" t="s">
        <v>940</v>
      </c>
      <c r="AJ196" t="s">
        <v>17</v>
      </c>
    </row>
    <row r="197" spans="1:36" x14ac:dyDescent="0.3">
      <c r="A197" t="s">
        <v>1123</v>
      </c>
      <c r="B197" t="s">
        <v>1124</v>
      </c>
      <c r="C197" t="s">
        <v>1125</v>
      </c>
      <c r="D197" t="s">
        <v>923</v>
      </c>
      <c r="E197" t="s">
        <v>1127</v>
      </c>
      <c r="F197" t="s">
        <v>1125</v>
      </c>
      <c r="G197" t="s">
        <v>1144</v>
      </c>
      <c r="H197" t="s">
        <v>1134</v>
      </c>
      <c r="I197" t="s">
        <v>1138</v>
      </c>
      <c r="M197" t="s">
        <v>36</v>
      </c>
      <c r="N197" t="s">
        <v>2</v>
      </c>
      <c r="O197" t="s">
        <v>203</v>
      </c>
      <c r="P197" t="s">
        <v>4</v>
      </c>
      <c r="Q197" t="s">
        <v>204</v>
      </c>
      <c r="R197">
        <f t="shared" si="5"/>
        <v>-181.768024478602</v>
      </c>
      <c r="S197" t="s">
        <v>6</v>
      </c>
      <c r="T197" t="s">
        <v>205</v>
      </c>
      <c r="U197" t="s">
        <v>8</v>
      </c>
      <c r="V197" t="s">
        <v>206</v>
      </c>
      <c r="W197" t="s">
        <v>10</v>
      </c>
      <c r="X197" t="s">
        <v>207</v>
      </c>
      <c r="Y197" t="s">
        <v>12</v>
      </c>
      <c r="Z197" t="s">
        <v>208</v>
      </c>
      <c r="AA197" t="s">
        <v>14</v>
      </c>
      <c r="AB197" t="s">
        <v>926</v>
      </c>
      <c r="AC197" t="s">
        <v>927</v>
      </c>
      <c r="AD197" t="s">
        <v>928</v>
      </c>
      <c r="AE197" t="s">
        <v>15</v>
      </c>
      <c r="AF197" t="s">
        <v>16</v>
      </c>
      <c r="AG197" t="s">
        <v>966</v>
      </c>
      <c r="AH197" t="s">
        <v>927</v>
      </c>
      <c r="AI197" t="s">
        <v>934</v>
      </c>
      <c r="AJ197" t="s">
        <v>17</v>
      </c>
    </row>
    <row r="198" spans="1:36" x14ac:dyDescent="0.3">
      <c r="A198" t="s">
        <v>1123</v>
      </c>
      <c r="B198" t="s">
        <v>1124</v>
      </c>
      <c r="C198" t="s">
        <v>1125</v>
      </c>
      <c r="D198" t="s">
        <v>1126</v>
      </c>
      <c r="E198" t="s">
        <v>1127</v>
      </c>
      <c r="F198" t="s">
        <v>1125</v>
      </c>
      <c r="G198" t="s">
        <v>1128</v>
      </c>
      <c r="H198" t="s">
        <v>1129</v>
      </c>
      <c r="I198" t="s">
        <v>1130</v>
      </c>
      <c r="M198" t="s">
        <v>1</v>
      </c>
      <c r="N198" t="s">
        <v>2</v>
      </c>
      <c r="O198" t="s">
        <v>3</v>
      </c>
      <c r="P198" t="s">
        <v>4</v>
      </c>
      <c r="Q198" t="s">
        <v>5</v>
      </c>
      <c r="R198">
        <f t="shared" si="5"/>
        <v>-186.439999999999</v>
      </c>
      <c r="S198" t="s">
        <v>6</v>
      </c>
      <c r="T198" t="s">
        <v>7</v>
      </c>
      <c r="U198" t="s">
        <v>8</v>
      </c>
      <c r="V198" t="s">
        <v>9</v>
      </c>
      <c r="W198" t="s">
        <v>10</v>
      </c>
      <c r="X198" t="s">
        <v>11</v>
      </c>
      <c r="Y198" t="s">
        <v>12</v>
      </c>
      <c r="Z198" t="s">
        <v>13</v>
      </c>
      <c r="AA198" t="s">
        <v>14</v>
      </c>
      <c r="AB198" t="s">
        <v>926</v>
      </c>
      <c r="AC198" t="s">
        <v>927</v>
      </c>
      <c r="AD198" t="s">
        <v>928</v>
      </c>
      <c r="AE198" t="s">
        <v>15</v>
      </c>
      <c r="AF198" t="s">
        <v>16</v>
      </c>
      <c r="AG198" t="s">
        <v>929</v>
      </c>
      <c r="AH198" t="s">
        <v>927</v>
      </c>
      <c r="AI198" t="s">
        <v>930</v>
      </c>
      <c r="AJ198" t="s">
        <v>17</v>
      </c>
    </row>
    <row r="199" spans="1:36" x14ac:dyDescent="0.3">
      <c r="A199" t="s">
        <v>1123</v>
      </c>
      <c r="B199" t="s">
        <v>1124</v>
      </c>
      <c r="C199" t="s">
        <v>1125</v>
      </c>
      <c r="D199" t="s">
        <v>1126</v>
      </c>
      <c r="E199" t="s">
        <v>1127</v>
      </c>
      <c r="F199" t="s">
        <v>1125</v>
      </c>
      <c r="G199" t="s">
        <v>1128</v>
      </c>
      <c r="H199" t="s">
        <v>1134</v>
      </c>
      <c r="I199" t="s">
        <v>1137</v>
      </c>
      <c r="M199" t="s">
        <v>36</v>
      </c>
      <c r="N199" t="s">
        <v>2</v>
      </c>
      <c r="O199" t="s">
        <v>24</v>
      </c>
      <c r="P199" t="s">
        <v>4</v>
      </c>
      <c r="Q199" t="s">
        <v>49</v>
      </c>
      <c r="R199">
        <f t="shared" si="5"/>
        <v>-193.143133749057</v>
      </c>
      <c r="S199" t="s">
        <v>6</v>
      </c>
      <c r="T199" t="s">
        <v>50</v>
      </c>
      <c r="U199" t="s">
        <v>8</v>
      </c>
      <c r="V199" t="s">
        <v>51</v>
      </c>
      <c r="W199" t="s">
        <v>10</v>
      </c>
      <c r="X199" t="s">
        <v>52</v>
      </c>
      <c r="Y199" t="s">
        <v>12</v>
      </c>
      <c r="Z199" t="s">
        <v>53</v>
      </c>
      <c r="AA199" t="s">
        <v>14</v>
      </c>
      <c r="AB199" t="s">
        <v>931</v>
      </c>
      <c r="AC199" t="s">
        <v>927</v>
      </c>
      <c r="AD199" t="s">
        <v>932</v>
      </c>
      <c r="AE199" t="s">
        <v>15</v>
      </c>
      <c r="AF199" t="s">
        <v>16</v>
      </c>
      <c r="AG199" t="s">
        <v>941</v>
      </c>
      <c r="AH199" t="s">
        <v>927</v>
      </c>
      <c r="AI199" t="s">
        <v>942</v>
      </c>
      <c r="AJ199" t="s">
        <v>17</v>
      </c>
    </row>
    <row r="200" spans="1:36" x14ac:dyDescent="0.3">
      <c r="A200" t="s">
        <v>1123</v>
      </c>
      <c r="B200" t="s">
        <v>1124</v>
      </c>
      <c r="C200" t="s">
        <v>1125</v>
      </c>
      <c r="D200" t="s">
        <v>1144</v>
      </c>
      <c r="E200" t="s">
        <v>1127</v>
      </c>
      <c r="F200" t="s">
        <v>1125</v>
      </c>
      <c r="G200" t="s">
        <v>922</v>
      </c>
      <c r="H200" t="s">
        <v>1139</v>
      </c>
      <c r="I200" t="s">
        <v>1142</v>
      </c>
      <c r="M200" t="s">
        <v>60</v>
      </c>
      <c r="N200" t="s">
        <v>2</v>
      </c>
      <c r="O200" t="s">
        <v>293</v>
      </c>
      <c r="P200" t="s">
        <v>4</v>
      </c>
      <c r="Q200" t="s">
        <v>294</v>
      </c>
      <c r="R200">
        <f t="shared" si="5"/>
        <v>-194.93541307865701</v>
      </c>
      <c r="S200" t="s">
        <v>6</v>
      </c>
      <c r="T200" t="s">
        <v>295</v>
      </c>
      <c r="U200" t="s">
        <v>8</v>
      </c>
      <c r="V200" t="s">
        <v>296</v>
      </c>
      <c r="W200" t="s">
        <v>10</v>
      </c>
      <c r="X200" t="s">
        <v>297</v>
      </c>
      <c r="Y200" t="s">
        <v>12</v>
      </c>
      <c r="Z200" t="s">
        <v>298</v>
      </c>
      <c r="AA200" t="s">
        <v>14</v>
      </c>
      <c r="AB200" t="s">
        <v>991</v>
      </c>
      <c r="AC200" t="s">
        <v>927</v>
      </c>
      <c r="AD200" t="s">
        <v>973</v>
      </c>
      <c r="AE200" t="s">
        <v>15</v>
      </c>
      <c r="AF200" t="s">
        <v>16</v>
      </c>
      <c r="AG200" t="s">
        <v>992</v>
      </c>
      <c r="AH200" t="s">
        <v>927</v>
      </c>
      <c r="AI200" t="s">
        <v>990</v>
      </c>
      <c r="AJ200" t="s">
        <v>17</v>
      </c>
    </row>
    <row r="201" spans="1:36" x14ac:dyDescent="0.3">
      <c r="A201" t="s">
        <v>1123</v>
      </c>
      <c r="B201" t="s">
        <v>1124</v>
      </c>
      <c r="C201" t="s">
        <v>1125</v>
      </c>
      <c r="D201" t="s">
        <v>1128</v>
      </c>
      <c r="E201" t="s">
        <v>1127</v>
      </c>
      <c r="F201" t="s">
        <v>1125</v>
      </c>
      <c r="G201" t="s">
        <v>923</v>
      </c>
      <c r="H201" t="s">
        <v>1139</v>
      </c>
      <c r="I201" t="s">
        <v>1141</v>
      </c>
      <c r="M201" t="s">
        <v>60</v>
      </c>
      <c r="N201" t="s">
        <v>2</v>
      </c>
      <c r="O201" t="s">
        <v>143</v>
      </c>
      <c r="P201" t="s">
        <v>4</v>
      </c>
      <c r="Q201" t="s">
        <v>144</v>
      </c>
      <c r="R201">
        <f t="shared" si="5"/>
        <v>-237.55401405965199</v>
      </c>
      <c r="S201" t="s">
        <v>6</v>
      </c>
      <c r="T201" t="s">
        <v>145</v>
      </c>
      <c r="U201" t="s">
        <v>8</v>
      </c>
      <c r="V201" t="s">
        <v>146</v>
      </c>
      <c r="W201" t="s">
        <v>10</v>
      </c>
      <c r="X201" t="s">
        <v>147</v>
      </c>
      <c r="Y201" t="s">
        <v>12</v>
      </c>
      <c r="Z201" t="s">
        <v>148</v>
      </c>
      <c r="AA201" t="s">
        <v>14</v>
      </c>
      <c r="AB201" t="s">
        <v>931</v>
      </c>
      <c r="AC201" s="1">
        <v>44169</v>
      </c>
      <c r="AD201" s="1">
        <v>44207</v>
      </c>
    </row>
    <row r="202" spans="1:36" x14ac:dyDescent="0.3">
      <c r="A202" t="s">
        <v>1123</v>
      </c>
      <c r="B202" t="s">
        <v>1124</v>
      </c>
      <c r="C202" t="s">
        <v>1125</v>
      </c>
      <c r="D202" t="s">
        <v>1126</v>
      </c>
      <c r="E202" t="s">
        <v>1127</v>
      </c>
      <c r="F202" t="s">
        <v>1125</v>
      </c>
      <c r="G202" t="s">
        <v>1128</v>
      </c>
      <c r="H202" t="s">
        <v>1134</v>
      </c>
      <c r="I202" t="s">
        <v>1138</v>
      </c>
      <c r="M202" t="s">
        <v>36</v>
      </c>
      <c r="N202" t="s">
        <v>2</v>
      </c>
      <c r="O202" t="s">
        <v>54</v>
      </c>
      <c r="P202" t="s">
        <v>4</v>
      </c>
      <c r="Q202" t="s">
        <v>55</v>
      </c>
      <c r="R202">
        <f t="shared" si="5"/>
        <v>-238.76090088556299</v>
      </c>
      <c r="S202" t="s">
        <v>6</v>
      </c>
      <c r="T202" t="s">
        <v>56</v>
      </c>
      <c r="U202" t="s">
        <v>8</v>
      </c>
      <c r="V202" t="s">
        <v>57</v>
      </c>
      <c r="W202" t="s">
        <v>10</v>
      </c>
      <c r="X202" t="s">
        <v>58</v>
      </c>
      <c r="Y202" t="s">
        <v>12</v>
      </c>
      <c r="Z202" t="s">
        <v>59</v>
      </c>
      <c r="AA202" t="s">
        <v>14</v>
      </c>
      <c r="AB202" t="s">
        <v>937</v>
      </c>
      <c r="AC202" t="s">
        <v>927</v>
      </c>
      <c r="AD202" t="s">
        <v>936</v>
      </c>
      <c r="AE202" t="s">
        <v>15</v>
      </c>
      <c r="AF202" t="s">
        <v>16</v>
      </c>
      <c r="AG202" t="s">
        <v>943</v>
      </c>
      <c r="AH202" t="s">
        <v>927</v>
      </c>
      <c r="AI202" t="s">
        <v>936</v>
      </c>
      <c r="AJ202" t="s">
        <v>17</v>
      </c>
    </row>
    <row r="203" spans="1:36" x14ac:dyDescent="0.3">
      <c r="A203" t="s">
        <v>1123</v>
      </c>
      <c r="B203" t="s">
        <v>1124</v>
      </c>
      <c r="C203" t="s">
        <v>1125</v>
      </c>
      <c r="D203" t="s">
        <v>1126</v>
      </c>
      <c r="E203" t="s">
        <v>1127</v>
      </c>
      <c r="F203" t="s">
        <v>1125</v>
      </c>
      <c r="G203" t="s">
        <v>1128</v>
      </c>
      <c r="H203" t="s">
        <v>1129</v>
      </c>
      <c r="I203" t="s">
        <v>1131</v>
      </c>
      <c r="M203" t="s">
        <v>1</v>
      </c>
      <c r="N203" t="s">
        <v>2</v>
      </c>
      <c r="O203" t="s">
        <v>18</v>
      </c>
      <c r="P203" t="s">
        <v>4</v>
      </c>
      <c r="Q203" t="s">
        <v>19</v>
      </c>
      <c r="R203">
        <f t="shared" si="5"/>
        <v>-246.28</v>
      </c>
      <c r="S203" t="s">
        <v>6</v>
      </c>
      <c r="T203" t="s">
        <v>20</v>
      </c>
      <c r="U203" t="s">
        <v>8</v>
      </c>
      <c r="V203" t="s">
        <v>21</v>
      </c>
      <c r="W203" t="s">
        <v>10</v>
      </c>
      <c r="X203" t="s">
        <v>22</v>
      </c>
      <c r="Y203" t="s">
        <v>12</v>
      </c>
      <c r="Z203" t="s">
        <v>23</v>
      </c>
      <c r="AA203" t="s">
        <v>14</v>
      </c>
      <c r="AB203" t="s">
        <v>931</v>
      </c>
      <c r="AC203" t="s">
        <v>927</v>
      </c>
      <c r="AD203" t="s">
        <v>932</v>
      </c>
      <c r="AE203" t="s">
        <v>15</v>
      </c>
      <c r="AF203" t="s">
        <v>16</v>
      </c>
      <c r="AG203" t="s">
        <v>933</v>
      </c>
      <c r="AH203" t="s">
        <v>927</v>
      </c>
      <c r="AI203" t="s">
        <v>934</v>
      </c>
      <c r="AJ203" t="s">
        <v>17</v>
      </c>
    </row>
    <row r="204" spans="1:36" x14ac:dyDescent="0.3">
      <c r="A204" t="s">
        <v>1123</v>
      </c>
      <c r="B204" t="s">
        <v>1124</v>
      </c>
      <c r="C204" t="s">
        <v>1125</v>
      </c>
      <c r="D204" t="s">
        <v>1126</v>
      </c>
      <c r="E204" t="s">
        <v>1127</v>
      </c>
      <c r="F204" t="s">
        <v>1125</v>
      </c>
      <c r="G204" t="s">
        <v>1128</v>
      </c>
      <c r="H204" t="s">
        <v>1139</v>
      </c>
      <c r="I204" t="s">
        <v>1141</v>
      </c>
      <c r="M204" t="s">
        <v>60</v>
      </c>
      <c r="N204" t="s">
        <v>2</v>
      </c>
      <c r="O204" t="s">
        <v>71</v>
      </c>
      <c r="P204" t="s">
        <v>4</v>
      </c>
      <c r="Q204" t="s">
        <v>72</v>
      </c>
      <c r="R204">
        <f t="shared" si="5"/>
        <v>-258.84885978473898</v>
      </c>
      <c r="S204" t="s">
        <v>6</v>
      </c>
      <c r="T204" t="s">
        <v>73</v>
      </c>
      <c r="U204" t="s">
        <v>8</v>
      </c>
      <c r="V204" t="s">
        <v>74</v>
      </c>
      <c r="W204" t="s">
        <v>10</v>
      </c>
      <c r="X204" t="s">
        <v>75</v>
      </c>
      <c r="Y204" t="s">
        <v>12</v>
      </c>
      <c r="Z204" t="s">
        <v>76</v>
      </c>
      <c r="AA204" t="s">
        <v>14</v>
      </c>
      <c r="AB204" t="s">
        <v>944</v>
      </c>
      <c r="AC204" s="1">
        <v>44200</v>
      </c>
      <c r="AD204" s="1">
        <v>44204</v>
      </c>
    </row>
    <row r="205" spans="1:36" x14ac:dyDescent="0.3">
      <c r="A205" t="s">
        <v>1123</v>
      </c>
      <c r="B205" t="s">
        <v>1124</v>
      </c>
      <c r="C205" t="s">
        <v>1125</v>
      </c>
      <c r="D205" t="s">
        <v>1126</v>
      </c>
      <c r="E205" t="s">
        <v>1127</v>
      </c>
      <c r="F205" t="s">
        <v>1125</v>
      </c>
      <c r="G205" t="s">
        <v>1128</v>
      </c>
      <c r="H205" t="s">
        <v>1129</v>
      </c>
      <c r="I205" t="s">
        <v>1132</v>
      </c>
      <c r="M205" t="s">
        <v>1</v>
      </c>
      <c r="N205" t="s">
        <v>2</v>
      </c>
      <c r="O205" t="s">
        <v>24</v>
      </c>
      <c r="P205" t="s">
        <v>4</v>
      </c>
      <c r="Q205" t="s">
        <v>25</v>
      </c>
      <c r="R205">
        <f t="shared" si="5"/>
        <v>-259.23</v>
      </c>
      <c r="S205" t="s">
        <v>6</v>
      </c>
      <c r="T205" t="s">
        <v>26</v>
      </c>
      <c r="U205" t="s">
        <v>8</v>
      </c>
      <c r="V205" t="s">
        <v>27</v>
      </c>
      <c r="W205" t="s">
        <v>10</v>
      </c>
      <c r="X205" t="s">
        <v>28</v>
      </c>
      <c r="Y205" t="s">
        <v>12</v>
      </c>
      <c r="Z205" t="s">
        <v>29</v>
      </c>
      <c r="AA205" t="s">
        <v>14</v>
      </c>
      <c r="AB205" t="s">
        <v>935</v>
      </c>
      <c r="AC205" t="s">
        <v>927</v>
      </c>
      <c r="AD205" t="s">
        <v>936</v>
      </c>
      <c r="AE205" t="s">
        <v>15</v>
      </c>
      <c r="AF205" t="s">
        <v>16</v>
      </c>
      <c r="AG205" t="s">
        <v>933</v>
      </c>
      <c r="AH205" t="s">
        <v>927</v>
      </c>
      <c r="AI205" t="s">
        <v>934</v>
      </c>
      <c r="AJ205" t="s">
        <v>17</v>
      </c>
    </row>
    <row r="206" spans="1:36" x14ac:dyDescent="0.3">
      <c r="A206" t="s">
        <v>1123</v>
      </c>
      <c r="B206" t="s">
        <v>1124</v>
      </c>
      <c r="C206" t="s">
        <v>1125</v>
      </c>
      <c r="D206" t="s">
        <v>923</v>
      </c>
      <c r="E206" t="s">
        <v>1127</v>
      </c>
      <c r="F206" t="s">
        <v>1125</v>
      </c>
      <c r="G206" t="s">
        <v>1144</v>
      </c>
      <c r="H206" t="s">
        <v>1139</v>
      </c>
      <c r="I206" t="s">
        <v>1141</v>
      </c>
      <c r="M206" t="s">
        <v>60</v>
      </c>
      <c r="N206" t="s">
        <v>2</v>
      </c>
      <c r="O206" t="s">
        <v>215</v>
      </c>
      <c r="P206" t="s">
        <v>4</v>
      </c>
      <c r="Q206" t="s">
        <v>216</v>
      </c>
      <c r="R206">
        <f t="shared" si="5"/>
        <v>-270.76911859902702</v>
      </c>
      <c r="S206" t="s">
        <v>6</v>
      </c>
      <c r="T206" t="s">
        <v>217</v>
      </c>
      <c r="U206" t="s">
        <v>8</v>
      </c>
      <c r="V206" t="s">
        <v>218</v>
      </c>
      <c r="W206" t="s">
        <v>10</v>
      </c>
      <c r="X206" t="s">
        <v>219</v>
      </c>
      <c r="Y206" t="s">
        <v>12</v>
      </c>
      <c r="Z206" t="s">
        <v>220</v>
      </c>
      <c r="AA206" t="s">
        <v>14</v>
      </c>
      <c r="AB206" t="s">
        <v>969</v>
      </c>
      <c r="AC206" t="s">
        <v>927</v>
      </c>
      <c r="AD206" t="s">
        <v>970</v>
      </c>
      <c r="AE206" t="s">
        <v>15</v>
      </c>
      <c r="AF206" t="s">
        <v>16</v>
      </c>
      <c r="AG206" t="s">
        <v>971</v>
      </c>
      <c r="AH206" t="s">
        <v>927</v>
      </c>
      <c r="AI206" t="s">
        <v>940</v>
      </c>
      <c r="AJ206" t="s">
        <v>17</v>
      </c>
    </row>
    <row r="207" spans="1:36" x14ac:dyDescent="0.3">
      <c r="A207" t="s">
        <v>1123</v>
      </c>
      <c r="B207" t="s">
        <v>1124</v>
      </c>
      <c r="C207" t="s">
        <v>1125</v>
      </c>
      <c r="D207" t="s">
        <v>1126</v>
      </c>
      <c r="E207" t="s">
        <v>1127</v>
      </c>
      <c r="F207" t="s">
        <v>1125</v>
      </c>
      <c r="G207" t="s">
        <v>1128</v>
      </c>
      <c r="H207" t="s">
        <v>1129</v>
      </c>
      <c r="I207" t="s">
        <v>1133</v>
      </c>
      <c r="M207" t="s">
        <v>1</v>
      </c>
      <c r="N207" t="s">
        <v>2</v>
      </c>
      <c r="O207" t="s">
        <v>30</v>
      </c>
      <c r="P207" t="s">
        <v>4</v>
      </c>
      <c r="Q207" t="s">
        <v>31</v>
      </c>
      <c r="R207">
        <f t="shared" si="5"/>
        <v>-272.88</v>
      </c>
      <c r="S207" t="s">
        <v>6</v>
      </c>
      <c r="T207" t="s">
        <v>32</v>
      </c>
      <c r="U207" t="s">
        <v>8</v>
      </c>
      <c r="V207" t="s">
        <v>33</v>
      </c>
      <c r="W207" t="s">
        <v>10</v>
      </c>
      <c r="X207" t="s">
        <v>34</v>
      </c>
      <c r="Y207" t="s">
        <v>12</v>
      </c>
      <c r="Z207" t="s">
        <v>35</v>
      </c>
      <c r="AA207" t="s">
        <v>14</v>
      </c>
      <c r="AB207" t="s">
        <v>937</v>
      </c>
      <c r="AC207" t="s">
        <v>927</v>
      </c>
      <c r="AD207" t="s">
        <v>936</v>
      </c>
      <c r="AE207" t="s">
        <v>15</v>
      </c>
      <c r="AF207" t="s">
        <v>16</v>
      </c>
      <c r="AG207" t="s">
        <v>938</v>
      </c>
      <c r="AH207" t="s">
        <v>927</v>
      </c>
      <c r="AI207" t="s">
        <v>936</v>
      </c>
      <c r="AJ207" t="s">
        <v>17</v>
      </c>
    </row>
    <row r="208" spans="1:36" x14ac:dyDescent="0.3">
      <c r="A208" t="s">
        <v>1123</v>
      </c>
      <c r="B208" t="s">
        <v>1124</v>
      </c>
      <c r="C208" t="s">
        <v>1125</v>
      </c>
      <c r="D208" t="s">
        <v>1144</v>
      </c>
      <c r="E208" t="s">
        <v>1127</v>
      </c>
      <c r="F208" t="s">
        <v>1125</v>
      </c>
      <c r="G208" t="s">
        <v>922</v>
      </c>
      <c r="H208" t="s">
        <v>1139</v>
      </c>
      <c r="I208" t="s">
        <v>1143</v>
      </c>
      <c r="M208" t="s">
        <v>60</v>
      </c>
      <c r="N208" t="s">
        <v>2</v>
      </c>
      <c r="O208" t="s">
        <v>299</v>
      </c>
      <c r="P208" t="s">
        <v>4</v>
      </c>
      <c r="Q208" t="s">
        <v>300</v>
      </c>
      <c r="R208">
        <f t="shared" si="5"/>
        <v>-276.122687696009</v>
      </c>
      <c r="S208" t="s">
        <v>6</v>
      </c>
      <c r="T208" t="s">
        <v>301</v>
      </c>
      <c r="U208" t="s">
        <v>8</v>
      </c>
      <c r="V208" t="s">
        <v>302</v>
      </c>
      <c r="W208" t="s">
        <v>10</v>
      </c>
      <c r="X208" t="s">
        <v>303</v>
      </c>
      <c r="Y208" t="s">
        <v>12</v>
      </c>
      <c r="Z208" t="s">
        <v>304</v>
      </c>
      <c r="AA208" t="s">
        <v>14</v>
      </c>
      <c r="AB208" t="s">
        <v>931</v>
      </c>
      <c r="AC208" t="s">
        <v>927</v>
      </c>
      <c r="AD208" t="s">
        <v>932</v>
      </c>
      <c r="AE208" t="s">
        <v>15</v>
      </c>
      <c r="AF208" t="s">
        <v>16</v>
      </c>
      <c r="AG208" t="s">
        <v>993</v>
      </c>
      <c r="AH208" t="s">
        <v>927</v>
      </c>
      <c r="AI208" t="s">
        <v>990</v>
      </c>
      <c r="AJ208" t="s">
        <v>17</v>
      </c>
    </row>
    <row r="209" spans="1:36" x14ac:dyDescent="0.3">
      <c r="A209" t="s">
        <v>1123</v>
      </c>
      <c r="B209" t="s">
        <v>1124</v>
      </c>
      <c r="C209" t="s">
        <v>1125</v>
      </c>
      <c r="D209" t="s">
        <v>1128</v>
      </c>
      <c r="E209" t="s">
        <v>1127</v>
      </c>
      <c r="F209" t="s">
        <v>1125</v>
      </c>
      <c r="G209" t="s">
        <v>923</v>
      </c>
      <c r="H209" t="s">
        <v>1139</v>
      </c>
      <c r="I209" t="s">
        <v>1142</v>
      </c>
      <c r="M209" t="s">
        <v>60</v>
      </c>
      <c r="N209" t="s">
        <v>2</v>
      </c>
      <c r="O209" t="s">
        <v>149</v>
      </c>
      <c r="P209" t="s">
        <v>4</v>
      </c>
      <c r="Q209" t="s">
        <v>150</v>
      </c>
      <c r="R209">
        <f t="shared" si="5"/>
        <v>-392.664535779255</v>
      </c>
      <c r="S209" t="s">
        <v>6</v>
      </c>
      <c r="T209" t="s">
        <v>151</v>
      </c>
      <c r="U209" t="s">
        <v>8</v>
      </c>
      <c r="V209" t="s">
        <v>152</v>
      </c>
      <c r="W209" t="s">
        <v>10</v>
      </c>
      <c r="X209" t="s">
        <v>153</v>
      </c>
      <c r="Y209" t="s">
        <v>12</v>
      </c>
      <c r="Z209" t="s">
        <v>154</v>
      </c>
      <c r="AA209" t="s">
        <v>14</v>
      </c>
      <c r="AB209" t="s">
        <v>931</v>
      </c>
      <c r="AC209" s="1">
        <v>44169</v>
      </c>
      <c r="AD209" s="1">
        <v>44207</v>
      </c>
    </row>
    <row r="210" spans="1:36" x14ac:dyDescent="0.3">
      <c r="A210" t="s">
        <v>1123</v>
      </c>
      <c r="B210" t="s">
        <v>1124</v>
      </c>
      <c r="C210" t="s">
        <v>1125</v>
      </c>
      <c r="D210" t="s">
        <v>923</v>
      </c>
      <c r="E210" t="s">
        <v>1127</v>
      </c>
      <c r="F210" t="s">
        <v>1125</v>
      </c>
      <c r="G210" t="s">
        <v>1144</v>
      </c>
      <c r="H210" t="s">
        <v>1139</v>
      </c>
      <c r="I210" t="s">
        <v>1142</v>
      </c>
      <c r="M210" t="s">
        <v>60</v>
      </c>
      <c r="N210" t="s">
        <v>2</v>
      </c>
      <c r="O210" t="s">
        <v>221</v>
      </c>
      <c r="P210" t="s">
        <v>4</v>
      </c>
      <c r="Q210" t="s">
        <v>222</v>
      </c>
      <c r="R210">
        <f t="shared" si="5"/>
        <v>-403.55591029367503</v>
      </c>
      <c r="S210" t="s">
        <v>6</v>
      </c>
      <c r="T210" t="s">
        <v>223</v>
      </c>
      <c r="U210" t="s">
        <v>8</v>
      </c>
      <c r="V210" t="s">
        <v>224</v>
      </c>
      <c r="W210" t="s">
        <v>10</v>
      </c>
      <c r="X210" t="s">
        <v>225</v>
      </c>
      <c r="Y210" t="s">
        <v>12</v>
      </c>
      <c r="Z210" t="s">
        <v>226</v>
      </c>
      <c r="AA210" t="s">
        <v>14</v>
      </c>
      <c r="AB210" t="s">
        <v>969</v>
      </c>
      <c r="AC210" t="s">
        <v>927</v>
      </c>
      <c r="AD210" t="s">
        <v>970</v>
      </c>
      <c r="AE210" t="s">
        <v>15</v>
      </c>
      <c r="AF210" t="s">
        <v>16</v>
      </c>
      <c r="AG210" t="s">
        <v>972</v>
      </c>
      <c r="AH210" t="s">
        <v>927</v>
      </c>
      <c r="AI210" t="s">
        <v>973</v>
      </c>
      <c r="AJ210" t="s">
        <v>17</v>
      </c>
    </row>
    <row r="211" spans="1:36" x14ac:dyDescent="0.3">
      <c r="A211" t="s">
        <v>1123</v>
      </c>
      <c r="B211" t="s">
        <v>1124</v>
      </c>
      <c r="C211" t="s">
        <v>1125</v>
      </c>
      <c r="D211" t="s">
        <v>1126</v>
      </c>
      <c r="E211" t="s">
        <v>1127</v>
      </c>
      <c r="F211" t="s">
        <v>1125</v>
      </c>
      <c r="G211" t="s">
        <v>1128</v>
      </c>
      <c r="H211" t="s">
        <v>1139</v>
      </c>
      <c r="I211" t="s">
        <v>1142</v>
      </c>
      <c r="M211" t="s">
        <v>60</v>
      </c>
      <c r="N211" t="s">
        <v>2</v>
      </c>
      <c r="O211" t="s">
        <v>77</v>
      </c>
      <c r="P211" t="s">
        <v>4</v>
      </c>
      <c r="Q211" t="s">
        <v>78</v>
      </c>
      <c r="R211">
        <f t="shared" si="5"/>
        <v>-427.25261944718</v>
      </c>
      <c r="S211" t="s">
        <v>6</v>
      </c>
      <c r="T211" t="s">
        <v>79</v>
      </c>
      <c r="U211" t="s">
        <v>8</v>
      </c>
      <c r="V211" t="s">
        <v>80</v>
      </c>
      <c r="W211" t="s">
        <v>10</v>
      </c>
      <c r="X211" t="s">
        <v>81</v>
      </c>
      <c r="Y211" t="s">
        <v>12</v>
      </c>
      <c r="Z211" t="s">
        <v>82</v>
      </c>
      <c r="AA211" t="s">
        <v>14</v>
      </c>
      <c r="AB211" t="s">
        <v>931</v>
      </c>
      <c r="AC211" s="1">
        <v>44172</v>
      </c>
      <c r="AD211" s="1">
        <v>44207</v>
      </c>
    </row>
    <row r="212" spans="1:36" x14ac:dyDescent="0.3">
      <c r="A212" t="s">
        <v>1123</v>
      </c>
      <c r="B212" t="s">
        <v>1124</v>
      </c>
      <c r="C212" t="s">
        <v>1125</v>
      </c>
      <c r="D212" t="s">
        <v>923</v>
      </c>
      <c r="E212" t="s">
        <v>1127</v>
      </c>
      <c r="F212" t="s">
        <v>1125</v>
      </c>
      <c r="G212" t="s">
        <v>1144</v>
      </c>
      <c r="H212" t="s">
        <v>1139</v>
      </c>
      <c r="I212" t="s">
        <v>1143</v>
      </c>
      <c r="M212" t="s">
        <v>60</v>
      </c>
      <c r="N212" t="s">
        <v>2</v>
      </c>
      <c r="O212" t="s">
        <v>227</v>
      </c>
      <c r="P212" t="s">
        <v>4</v>
      </c>
      <c r="Q212" t="s">
        <v>228</v>
      </c>
      <c r="R212">
        <f t="shared" si="5"/>
        <v>-455.21839125485502</v>
      </c>
      <c r="S212" t="s">
        <v>6</v>
      </c>
      <c r="T212" t="s">
        <v>229</v>
      </c>
      <c r="U212" t="s">
        <v>8</v>
      </c>
      <c r="V212" t="s">
        <v>230</v>
      </c>
      <c r="W212" t="s">
        <v>10</v>
      </c>
      <c r="X212" t="s">
        <v>231</v>
      </c>
      <c r="Y212" t="s">
        <v>12</v>
      </c>
      <c r="Z212" t="s">
        <v>232</v>
      </c>
      <c r="AA212" t="s">
        <v>14</v>
      </c>
      <c r="AB212" t="s">
        <v>969</v>
      </c>
      <c r="AC212" t="s">
        <v>927</v>
      </c>
      <c r="AD212" t="s">
        <v>970</v>
      </c>
      <c r="AE212" t="s">
        <v>15</v>
      </c>
      <c r="AF212" t="s">
        <v>16</v>
      </c>
      <c r="AG212" t="s">
        <v>972</v>
      </c>
      <c r="AH212" t="s">
        <v>927</v>
      </c>
      <c r="AI212" t="s">
        <v>973</v>
      </c>
      <c r="AJ212" t="s">
        <v>17</v>
      </c>
    </row>
    <row r="213" spans="1:36" x14ac:dyDescent="0.3">
      <c r="A213" t="s">
        <v>1123</v>
      </c>
      <c r="B213" t="s">
        <v>1124</v>
      </c>
      <c r="C213" t="s">
        <v>1125</v>
      </c>
      <c r="D213" t="s">
        <v>1128</v>
      </c>
      <c r="E213" t="s">
        <v>1127</v>
      </c>
      <c r="F213" t="s">
        <v>1125</v>
      </c>
      <c r="G213" t="s">
        <v>923</v>
      </c>
      <c r="H213" t="s">
        <v>1139</v>
      </c>
      <c r="I213" t="s">
        <v>1143</v>
      </c>
      <c r="M213" t="s">
        <v>60</v>
      </c>
      <c r="N213" t="s">
        <v>2</v>
      </c>
      <c r="O213" t="s">
        <v>155</v>
      </c>
      <c r="P213" t="s">
        <v>4</v>
      </c>
      <c r="Q213" t="s">
        <v>156</v>
      </c>
      <c r="R213">
        <f t="shared" si="5"/>
        <v>-461.57771543205899</v>
      </c>
      <c r="S213" t="s">
        <v>6</v>
      </c>
      <c r="T213" t="s">
        <v>157</v>
      </c>
      <c r="U213" t="s">
        <v>8</v>
      </c>
      <c r="V213" t="s">
        <v>158</v>
      </c>
      <c r="W213" t="s">
        <v>10</v>
      </c>
      <c r="X213" t="s">
        <v>159</v>
      </c>
      <c r="Y213" t="s">
        <v>12</v>
      </c>
      <c r="Z213" t="s">
        <v>160</v>
      </c>
      <c r="AA213" t="s">
        <v>14</v>
      </c>
      <c r="AB213" t="s">
        <v>959</v>
      </c>
      <c r="AC213" s="1">
        <v>45022</v>
      </c>
      <c r="AD213" s="1">
        <v>45041</v>
      </c>
    </row>
    <row r="214" spans="1:36" x14ac:dyDescent="0.3">
      <c r="A214" t="s">
        <v>1123</v>
      </c>
      <c r="B214" t="s">
        <v>1124</v>
      </c>
      <c r="C214" t="s">
        <v>1125</v>
      </c>
      <c r="D214" t="s">
        <v>1126</v>
      </c>
      <c r="E214" t="s">
        <v>1127</v>
      </c>
      <c r="F214" t="s">
        <v>1125</v>
      </c>
      <c r="G214" t="s">
        <v>1128</v>
      </c>
      <c r="H214" t="s">
        <v>1139</v>
      </c>
      <c r="I214" t="s">
        <v>1143</v>
      </c>
      <c r="M214" t="s">
        <v>60</v>
      </c>
      <c r="N214" t="s">
        <v>2</v>
      </c>
      <c r="O214" t="s">
        <v>83</v>
      </c>
      <c r="P214" t="s">
        <v>4</v>
      </c>
      <c r="Q214" t="s">
        <v>84</v>
      </c>
      <c r="R214">
        <f t="shared" si="5"/>
        <v>-499.90287710437502</v>
      </c>
      <c r="S214" t="s">
        <v>6</v>
      </c>
      <c r="T214" t="s">
        <v>85</v>
      </c>
      <c r="U214" t="s">
        <v>8</v>
      </c>
      <c r="V214" t="s">
        <v>86</v>
      </c>
      <c r="W214" t="s">
        <v>10</v>
      </c>
      <c r="X214" t="s">
        <v>87</v>
      </c>
      <c r="Y214" t="s">
        <v>12</v>
      </c>
      <c r="Z214" t="s">
        <v>88</v>
      </c>
      <c r="AA214" t="s">
        <v>14</v>
      </c>
      <c r="AB214" t="s">
        <v>937</v>
      </c>
      <c r="AC214" s="1">
        <v>44169</v>
      </c>
      <c r="AD214" s="1">
        <v>44208</v>
      </c>
    </row>
  </sheetData>
  <autoFilter ref="A1:AJ214" xr:uid="{D466E137-E13D-4270-9343-253DD78F8E49}">
    <sortState xmlns:xlrd2="http://schemas.microsoft.com/office/spreadsheetml/2017/richdata2" ref="A2:AJ214">
      <sortCondition descending="1" ref="R1:R214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D3AB-9E6D-4202-8A1E-180A3260DC6A}">
  <dimension ref="A1:Y60"/>
  <sheetViews>
    <sheetView workbookViewId="0">
      <selection activeCell="A21" sqref="A21"/>
    </sheetView>
  </sheetViews>
  <sheetFormatPr defaultRowHeight="16.5" x14ac:dyDescent="0.3"/>
  <cols>
    <col min="1" max="1" width="53.625" bestFit="1" customWidth="1"/>
    <col min="2" max="2" width="5.875" bestFit="1" customWidth="1"/>
    <col min="3" max="3" width="6.375" bestFit="1" customWidth="1"/>
    <col min="4" max="4" width="5.875" bestFit="1" customWidth="1"/>
    <col min="5" max="5" width="10.625" bestFit="1" customWidth="1"/>
    <col min="6" max="6" width="23.25" bestFit="1" customWidth="1"/>
    <col min="7" max="7" width="14.5" bestFit="1" customWidth="1"/>
    <col min="8" max="8" width="9.625" bestFit="1" customWidth="1"/>
    <col min="9" max="9" width="24.375" bestFit="1" customWidth="1"/>
    <col min="10" max="10" width="10.25" bestFit="1" customWidth="1"/>
    <col min="11" max="11" width="23.125" bestFit="1" customWidth="1"/>
    <col min="12" max="12" width="10.5" bestFit="1" customWidth="1"/>
    <col min="13" max="13" width="24" bestFit="1" customWidth="1"/>
    <col min="14" max="14" width="5.875" bestFit="1" customWidth="1"/>
    <col min="15" max="15" width="24.375" bestFit="1" customWidth="1"/>
    <col min="16" max="16" width="18.875" bestFit="1" customWidth="1"/>
    <col min="17" max="17" width="24" bestFit="1" customWidth="1"/>
    <col min="18" max="18" width="12.5" bestFit="1" customWidth="1"/>
    <col min="19" max="19" width="13" bestFit="1" customWidth="1"/>
    <col min="20" max="20" width="11.875" bestFit="1" customWidth="1"/>
    <col min="21" max="21" width="14.125" bestFit="1" customWidth="1"/>
    <col min="22" max="22" width="24" bestFit="1" customWidth="1"/>
    <col min="23" max="23" width="11.75" bestFit="1" customWidth="1"/>
    <col min="24" max="24" width="13" bestFit="1" customWidth="1"/>
    <col min="25" max="25" width="12" bestFit="1" customWidth="1"/>
  </cols>
  <sheetData>
    <row r="1" spans="1:25" x14ac:dyDescent="0.3">
      <c r="A1" t="s">
        <v>1206</v>
      </c>
    </row>
    <row r="2" spans="1:25" x14ac:dyDescent="0.3">
      <c r="A2" s="2" t="s">
        <v>1207</v>
      </c>
    </row>
    <row r="3" spans="1:25" x14ac:dyDescent="0.3">
      <c r="A3" s="2" t="s">
        <v>1210</v>
      </c>
    </row>
    <row r="4" spans="1:25" x14ac:dyDescent="0.3">
      <c r="A4" s="2" t="s">
        <v>1208</v>
      </c>
    </row>
    <row r="5" spans="1:25" x14ac:dyDescent="0.3">
      <c r="A5" s="2" t="s">
        <v>1209</v>
      </c>
    </row>
    <row r="6" spans="1:25" x14ac:dyDescent="0.3">
      <c r="A6" s="2" t="s">
        <v>1211</v>
      </c>
    </row>
    <row r="7" spans="1:25" x14ac:dyDescent="0.3">
      <c r="A7" s="2"/>
    </row>
    <row r="8" spans="1:25" s="2" customFormat="1" x14ac:dyDescent="0.3">
      <c r="A8" s="2" t="s">
        <v>1151</v>
      </c>
      <c r="B8" s="2" t="s">
        <v>347</v>
      </c>
      <c r="C8" s="2" t="s">
        <v>2</v>
      </c>
      <c r="D8" s="2" t="s">
        <v>348</v>
      </c>
      <c r="E8" s="2" t="s">
        <v>4</v>
      </c>
      <c r="F8" s="2" t="s">
        <v>413</v>
      </c>
      <c r="G8" s="2">
        <v>36.292922892013799</v>
      </c>
      <c r="H8" s="2" t="s">
        <v>6</v>
      </c>
      <c r="I8" s="2" t="s">
        <v>414</v>
      </c>
      <c r="J8" s="2" t="s">
        <v>8</v>
      </c>
      <c r="K8" s="2" t="s">
        <v>415</v>
      </c>
      <c r="L8" s="2" t="s">
        <v>10</v>
      </c>
      <c r="M8" s="2" t="s">
        <v>416</v>
      </c>
      <c r="N8" s="2" t="s">
        <v>12</v>
      </c>
      <c r="O8" s="2" t="s">
        <v>417</v>
      </c>
      <c r="P8" s="2" t="s">
        <v>14</v>
      </c>
      <c r="Q8" s="2" t="s">
        <v>1024</v>
      </c>
      <c r="R8" s="3">
        <v>44319</v>
      </c>
      <c r="S8" s="3">
        <v>44320</v>
      </c>
    </row>
    <row r="9" spans="1:25" s="2" customFormat="1" x14ac:dyDescent="0.3">
      <c r="A9" s="2" t="s">
        <v>1153</v>
      </c>
      <c r="B9" s="2" t="s">
        <v>322</v>
      </c>
      <c r="C9" s="2" t="s">
        <v>2</v>
      </c>
      <c r="D9" s="2" t="s">
        <v>323</v>
      </c>
      <c r="E9" s="2" t="s">
        <v>4</v>
      </c>
      <c r="F9" s="2" t="s">
        <v>324</v>
      </c>
      <c r="G9" s="2">
        <v>27.166424943649901</v>
      </c>
      <c r="H9" s="2" t="s">
        <v>6</v>
      </c>
      <c r="I9" s="2" t="s">
        <v>325</v>
      </c>
      <c r="J9" s="2" t="s">
        <v>8</v>
      </c>
      <c r="K9" s="2" t="s">
        <v>326</v>
      </c>
      <c r="L9" s="2" t="s">
        <v>10</v>
      </c>
      <c r="M9" s="2" t="s">
        <v>327</v>
      </c>
      <c r="N9" s="2" t="s">
        <v>12</v>
      </c>
      <c r="O9" s="2" t="s">
        <v>328</v>
      </c>
      <c r="P9" s="2" t="s">
        <v>14</v>
      </c>
      <c r="Q9" s="2" t="s">
        <v>1000</v>
      </c>
      <c r="R9" s="2" t="s">
        <v>927</v>
      </c>
      <c r="S9" s="2" t="s">
        <v>1001</v>
      </c>
      <c r="T9" s="2" t="s">
        <v>15</v>
      </c>
      <c r="U9" s="2" t="s">
        <v>16</v>
      </c>
      <c r="V9" s="2" t="s">
        <v>1002</v>
      </c>
      <c r="W9" s="2" t="s">
        <v>927</v>
      </c>
      <c r="X9" s="2" t="s">
        <v>950</v>
      </c>
      <c r="Y9" s="2" t="s">
        <v>17</v>
      </c>
    </row>
    <row r="10" spans="1:25" s="2" customFormat="1" x14ac:dyDescent="0.3">
      <c r="A10" s="2" t="s">
        <v>1155</v>
      </c>
      <c r="B10" s="2" t="s">
        <v>347</v>
      </c>
      <c r="C10" s="2" t="s">
        <v>2</v>
      </c>
      <c r="D10" s="2" t="s">
        <v>348</v>
      </c>
      <c r="E10" s="2" t="s">
        <v>4</v>
      </c>
      <c r="F10" s="2" t="s">
        <v>349</v>
      </c>
      <c r="G10" s="2">
        <v>23.729230269402901</v>
      </c>
      <c r="H10" s="2" t="s">
        <v>6</v>
      </c>
      <c r="I10" s="2" t="s">
        <v>350</v>
      </c>
      <c r="J10" s="2" t="s">
        <v>8</v>
      </c>
      <c r="K10" s="2" t="s">
        <v>351</v>
      </c>
      <c r="L10" s="2" t="s">
        <v>10</v>
      </c>
      <c r="M10" s="2" t="s">
        <v>352</v>
      </c>
      <c r="N10" s="2" t="s">
        <v>12</v>
      </c>
      <c r="O10" s="2" t="s">
        <v>353</v>
      </c>
      <c r="P10" s="2" t="s">
        <v>14</v>
      </c>
      <c r="Q10" s="2" t="s">
        <v>1006</v>
      </c>
      <c r="R10" s="2" t="s">
        <v>927</v>
      </c>
      <c r="S10" s="2" t="s">
        <v>1007</v>
      </c>
      <c r="T10" s="2" t="s">
        <v>15</v>
      </c>
      <c r="U10" s="2" t="s">
        <v>16</v>
      </c>
      <c r="V10" s="2" t="s">
        <v>1008</v>
      </c>
      <c r="W10" s="2" t="s">
        <v>927</v>
      </c>
      <c r="X10" s="2" t="s">
        <v>1009</v>
      </c>
      <c r="Y10" s="2" t="s">
        <v>17</v>
      </c>
    </row>
    <row r="11" spans="1:25" s="2" customFormat="1" x14ac:dyDescent="0.3">
      <c r="A11" s="2" t="s">
        <v>1156</v>
      </c>
      <c r="B11" s="2" t="s">
        <v>322</v>
      </c>
      <c r="C11" s="2" t="s">
        <v>2</v>
      </c>
      <c r="D11" s="2" t="s">
        <v>360</v>
      </c>
      <c r="E11" s="2" t="s">
        <v>4</v>
      </c>
      <c r="F11" s="2" t="s">
        <v>457</v>
      </c>
      <c r="G11" s="2">
        <v>20.9499999999999</v>
      </c>
      <c r="H11" s="2" t="s">
        <v>6</v>
      </c>
      <c r="I11" s="2" t="s">
        <v>458</v>
      </c>
      <c r="J11" s="2" t="s">
        <v>8</v>
      </c>
      <c r="K11" s="2" t="s">
        <v>459</v>
      </c>
      <c r="L11" s="2" t="s">
        <v>10</v>
      </c>
      <c r="M11" s="2" t="s">
        <v>460</v>
      </c>
      <c r="N11" s="2" t="s">
        <v>12</v>
      </c>
      <c r="O11" s="2" t="s">
        <v>461</v>
      </c>
      <c r="P11" s="2" t="s">
        <v>14</v>
      </c>
      <c r="Q11" s="2" t="s">
        <v>1033</v>
      </c>
      <c r="R11" s="2" t="s">
        <v>927</v>
      </c>
      <c r="S11" s="2" t="s">
        <v>1034</v>
      </c>
      <c r="T11" s="2" t="s">
        <v>15</v>
      </c>
      <c r="U11" s="2" t="s">
        <v>16</v>
      </c>
      <c r="V11" s="2" t="s">
        <v>924</v>
      </c>
      <c r="W11" s="2" t="s">
        <v>927</v>
      </c>
      <c r="X11" s="2" t="s">
        <v>950</v>
      </c>
      <c r="Y11" s="2" t="s">
        <v>17</v>
      </c>
    </row>
    <row r="12" spans="1:25" s="2" customFormat="1" x14ac:dyDescent="0.3">
      <c r="A12" s="2" t="s">
        <v>1157</v>
      </c>
      <c r="B12" s="2" t="s">
        <v>613</v>
      </c>
      <c r="C12" s="2" t="s">
        <v>2</v>
      </c>
      <c r="D12" s="2" t="s">
        <v>341</v>
      </c>
      <c r="E12" s="2" t="s">
        <v>4</v>
      </c>
      <c r="F12" s="2" t="s">
        <v>667</v>
      </c>
      <c r="G12" s="2">
        <v>17.3570816523894</v>
      </c>
      <c r="H12" s="2" t="s">
        <v>6</v>
      </c>
      <c r="I12" s="2" t="s">
        <v>668</v>
      </c>
      <c r="J12" s="2" t="s">
        <v>8</v>
      </c>
      <c r="K12" s="2" t="s">
        <v>669</v>
      </c>
      <c r="L12" s="2" t="s">
        <v>10</v>
      </c>
      <c r="M12" s="2" t="s">
        <v>670</v>
      </c>
      <c r="N12" s="2" t="s">
        <v>12</v>
      </c>
      <c r="O12" s="2" t="s">
        <v>671</v>
      </c>
      <c r="P12" s="2" t="s">
        <v>14</v>
      </c>
      <c r="Q12" s="2" t="s">
        <v>1067</v>
      </c>
      <c r="R12" s="3">
        <v>43258</v>
      </c>
      <c r="S12" s="3">
        <v>43265</v>
      </c>
    </row>
    <row r="13" spans="1:25" s="2" customFormat="1" x14ac:dyDescent="0.3">
      <c r="A13" s="2" t="s">
        <v>1158</v>
      </c>
      <c r="B13" s="2" t="s">
        <v>613</v>
      </c>
      <c r="C13" s="2" t="s">
        <v>2</v>
      </c>
      <c r="D13" s="2" t="s">
        <v>485</v>
      </c>
      <c r="E13" s="2" t="s">
        <v>4</v>
      </c>
      <c r="F13" s="2" t="s">
        <v>734</v>
      </c>
      <c r="G13" s="2">
        <v>17.255841015695999</v>
      </c>
      <c r="H13" s="2" t="s">
        <v>6</v>
      </c>
      <c r="I13" s="2" t="s">
        <v>735</v>
      </c>
      <c r="J13" s="2" t="s">
        <v>8</v>
      </c>
      <c r="K13" s="2" t="s">
        <v>736</v>
      </c>
      <c r="L13" s="2" t="s">
        <v>10</v>
      </c>
      <c r="M13" s="2" t="s">
        <v>737</v>
      </c>
      <c r="N13" s="2" t="s">
        <v>12</v>
      </c>
      <c r="O13" s="2" t="s">
        <v>738</v>
      </c>
      <c r="P13" s="2" t="s">
        <v>14</v>
      </c>
      <c r="Q13" s="2" t="s">
        <v>1080</v>
      </c>
      <c r="R13" s="3">
        <v>40823</v>
      </c>
      <c r="S13" s="3">
        <v>40830</v>
      </c>
    </row>
    <row r="14" spans="1:25" x14ac:dyDescent="0.3">
      <c r="A14" t="s">
        <v>1159</v>
      </c>
      <c r="B14" t="s">
        <v>347</v>
      </c>
      <c r="C14" t="s">
        <v>2</v>
      </c>
      <c r="D14" t="s">
        <v>418</v>
      </c>
      <c r="E14" t="s">
        <v>4</v>
      </c>
      <c r="F14" t="s">
        <v>419</v>
      </c>
      <c r="G14">
        <v>16.445384126231001</v>
      </c>
      <c r="H14" t="s">
        <v>6</v>
      </c>
      <c r="I14" t="s">
        <v>420</v>
      </c>
      <c r="J14" t="s">
        <v>8</v>
      </c>
      <c r="K14" t="s">
        <v>421</v>
      </c>
      <c r="L14" t="s">
        <v>10</v>
      </c>
      <c r="M14" t="s">
        <v>422</v>
      </c>
      <c r="N14" t="s">
        <v>12</v>
      </c>
      <c r="O14" t="s">
        <v>423</v>
      </c>
      <c r="P14" t="s">
        <v>14</v>
      </c>
      <c r="Q14" t="s">
        <v>1024</v>
      </c>
      <c r="R14" s="1">
        <v>44319</v>
      </c>
      <c r="S14" s="1">
        <v>44326</v>
      </c>
    </row>
    <row r="15" spans="1:25" x14ac:dyDescent="0.3">
      <c r="A15" t="s">
        <v>1160</v>
      </c>
      <c r="B15" t="s">
        <v>322</v>
      </c>
      <c r="C15" s="9" t="s">
        <v>1651</v>
      </c>
      <c r="D15" t="s">
        <v>392</v>
      </c>
      <c r="E15" t="s">
        <v>4</v>
      </c>
      <c r="F15" t="s">
        <v>393</v>
      </c>
      <c r="G15">
        <v>16.272478047249699</v>
      </c>
      <c r="H15" t="s">
        <v>6</v>
      </c>
      <c r="I15" t="s">
        <v>394</v>
      </c>
      <c r="J15" t="s">
        <v>8</v>
      </c>
      <c r="K15" t="s">
        <v>395</v>
      </c>
      <c r="L15" t="s">
        <v>10</v>
      </c>
      <c r="M15" t="s">
        <v>396</v>
      </c>
      <c r="N15" t="s">
        <v>12</v>
      </c>
      <c r="O15" t="s">
        <v>397</v>
      </c>
      <c r="P15" t="s">
        <v>14</v>
      </c>
      <c r="Q15" t="s">
        <v>1014</v>
      </c>
      <c r="R15" t="s">
        <v>927</v>
      </c>
      <c r="S15" t="s">
        <v>1015</v>
      </c>
      <c r="T15" t="s">
        <v>15</v>
      </c>
      <c r="U15" t="s">
        <v>16</v>
      </c>
      <c r="V15" t="s">
        <v>1016</v>
      </c>
      <c r="W15" t="s">
        <v>927</v>
      </c>
      <c r="X15" t="s">
        <v>950</v>
      </c>
      <c r="Y15" t="s">
        <v>17</v>
      </c>
    </row>
    <row r="16" spans="1:25" x14ac:dyDescent="0.3">
      <c r="A16" t="s">
        <v>1161</v>
      </c>
      <c r="B16" t="s">
        <v>613</v>
      </c>
      <c r="C16" t="s">
        <v>2</v>
      </c>
      <c r="D16" t="s">
        <v>341</v>
      </c>
      <c r="E16" t="s">
        <v>4</v>
      </c>
      <c r="F16" t="s">
        <v>614</v>
      </c>
      <c r="G16">
        <v>13.7920072567976</v>
      </c>
      <c r="H16" t="s">
        <v>6</v>
      </c>
      <c r="I16" t="s">
        <v>615</v>
      </c>
      <c r="J16" t="s">
        <v>8</v>
      </c>
      <c r="K16" t="s">
        <v>616</v>
      </c>
      <c r="L16" t="s">
        <v>10</v>
      </c>
      <c r="M16" t="s">
        <v>617</v>
      </c>
      <c r="N16" t="s">
        <v>12</v>
      </c>
      <c r="O16" t="s">
        <v>618</v>
      </c>
      <c r="P16" t="s">
        <v>14</v>
      </c>
      <c r="Q16" t="s">
        <v>1021</v>
      </c>
      <c r="R16" t="s">
        <v>927</v>
      </c>
      <c r="S16" t="s">
        <v>1055</v>
      </c>
      <c r="T16" t="s">
        <v>15</v>
      </c>
      <c r="U16" t="s">
        <v>16</v>
      </c>
      <c r="V16" t="s">
        <v>1021</v>
      </c>
      <c r="W16" t="s">
        <v>927</v>
      </c>
      <c r="X16" t="s">
        <v>1055</v>
      </c>
      <c r="Y16" t="s">
        <v>17</v>
      </c>
    </row>
    <row r="17" spans="1:25" x14ac:dyDescent="0.3">
      <c r="A17" t="s">
        <v>1162</v>
      </c>
      <c r="B17" t="s">
        <v>536</v>
      </c>
      <c r="C17" t="s">
        <v>2</v>
      </c>
      <c r="D17" t="s">
        <v>887</v>
      </c>
      <c r="E17" t="s">
        <v>4</v>
      </c>
      <c r="F17" t="s">
        <v>888</v>
      </c>
      <c r="G17">
        <v>13.664495997076299</v>
      </c>
      <c r="H17" t="s">
        <v>6</v>
      </c>
      <c r="I17" t="s">
        <v>889</v>
      </c>
      <c r="J17" t="s">
        <v>8</v>
      </c>
      <c r="K17" t="s">
        <v>890</v>
      </c>
      <c r="L17" t="s">
        <v>10</v>
      </c>
      <c r="M17" t="s">
        <v>891</v>
      </c>
      <c r="N17" t="s">
        <v>12</v>
      </c>
      <c r="O17" t="s">
        <v>892</v>
      </c>
      <c r="P17" t="s">
        <v>14</v>
      </c>
      <c r="Q17" t="s">
        <v>1111</v>
      </c>
      <c r="R17" t="s">
        <v>927</v>
      </c>
      <c r="S17" t="s">
        <v>1112</v>
      </c>
      <c r="T17" t="s">
        <v>15</v>
      </c>
      <c r="U17" t="s">
        <v>16</v>
      </c>
      <c r="V17" t="s">
        <v>1111</v>
      </c>
      <c r="W17" t="s">
        <v>927</v>
      </c>
      <c r="X17" t="s">
        <v>1112</v>
      </c>
      <c r="Y17" t="s">
        <v>17</v>
      </c>
    </row>
    <row r="18" spans="1:25" x14ac:dyDescent="0.3">
      <c r="A18" t="s">
        <v>1163</v>
      </c>
      <c r="B18" t="s">
        <v>592</v>
      </c>
      <c r="C18" t="s">
        <v>2</v>
      </c>
      <c r="D18" t="s">
        <v>593</v>
      </c>
      <c r="E18" t="s">
        <v>4</v>
      </c>
      <c r="F18" t="s">
        <v>594</v>
      </c>
      <c r="G18">
        <v>13.08</v>
      </c>
      <c r="H18" t="s">
        <v>6</v>
      </c>
      <c r="I18" t="s">
        <v>595</v>
      </c>
      <c r="J18" t="s">
        <v>8</v>
      </c>
      <c r="K18" t="s">
        <v>596</v>
      </c>
      <c r="L18" t="s">
        <v>10</v>
      </c>
      <c r="M18" t="s">
        <v>597</v>
      </c>
      <c r="N18" t="s">
        <v>12</v>
      </c>
      <c r="O18" t="s">
        <v>598</v>
      </c>
      <c r="P18" t="s">
        <v>14</v>
      </c>
      <c r="Q18" t="s">
        <v>1052</v>
      </c>
      <c r="R18" t="s">
        <v>927</v>
      </c>
      <c r="S18" t="s">
        <v>940</v>
      </c>
      <c r="T18" t="s">
        <v>15</v>
      </c>
      <c r="U18" t="s">
        <v>16</v>
      </c>
      <c r="V18" t="s">
        <v>1053</v>
      </c>
      <c r="W18" t="s">
        <v>927</v>
      </c>
      <c r="X18" t="s">
        <v>957</v>
      </c>
      <c r="Y18" t="s">
        <v>17</v>
      </c>
    </row>
    <row r="19" spans="1:25" x14ac:dyDescent="0.3">
      <c r="A19" t="s">
        <v>1164</v>
      </c>
      <c r="B19" t="s">
        <v>305</v>
      </c>
      <c r="C19" t="s">
        <v>2</v>
      </c>
      <c r="D19" t="s">
        <v>433</v>
      </c>
      <c r="E19" t="s">
        <v>4</v>
      </c>
      <c r="F19" t="s">
        <v>434</v>
      </c>
      <c r="G19">
        <v>13.06</v>
      </c>
      <c r="H19" t="s">
        <v>6</v>
      </c>
      <c r="I19" t="s">
        <v>435</v>
      </c>
      <c r="J19" t="s">
        <v>8</v>
      </c>
      <c r="K19" t="s">
        <v>436</v>
      </c>
      <c r="L19" t="s">
        <v>10</v>
      </c>
      <c r="M19" t="s">
        <v>437</v>
      </c>
      <c r="N19" t="s">
        <v>12</v>
      </c>
      <c r="O19" t="s">
        <v>438</v>
      </c>
      <c r="P19" t="s">
        <v>14</v>
      </c>
      <c r="Q19" t="s">
        <v>1026</v>
      </c>
      <c r="R19" t="s">
        <v>927</v>
      </c>
      <c r="S19" t="s">
        <v>950</v>
      </c>
      <c r="T19" t="s">
        <v>15</v>
      </c>
      <c r="U19" t="s">
        <v>16</v>
      </c>
      <c r="V19" t="s">
        <v>1027</v>
      </c>
      <c r="W19" t="s">
        <v>927</v>
      </c>
      <c r="X19" t="s">
        <v>950</v>
      </c>
      <c r="Y19" t="s">
        <v>17</v>
      </c>
    </row>
    <row r="20" spans="1:25" x14ac:dyDescent="0.3">
      <c r="A20" t="s">
        <v>1165</v>
      </c>
      <c r="B20" t="s">
        <v>536</v>
      </c>
      <c r="C20" t="s">
        <v>2</v>
      </c>
      <c r="D20" t="s">
        <v>827</v>
      </c>
      <c r="E20" t="s">
        <v>4</v>
      </c>
      <c r="F20" t="s">
        <v>893</v>
      </c>
      <c r="G20">
        <v>12.5544959970763</v>
      </c>
      <c r="H20" t="s">
        <v>6</v>
      </c>
      <c r="I20" t="s">
        <v>894</v>
      </c>
      <c r="J20" t="s">
        <v>8</v>
      </c>
      <c r="K20" t="s">
        <v>895</v>
      </c>
      <c r="L20" t="s">
        <v>10</v>
      </c>
      <c r="M20" t="s">
        <v>896</v>
      </c>
      <c r="N20" t="s">
        <v>12</v>
      </c>
      <c r="O20" t="s">
        <v>897</v>
      </c>
      <c r="P20" t="s">
        <v>14</v>
      </c>
      <c r="Q20" t="s">
        <v>1111</v>
      </c>
      <c r="R20" t="s">
        <v>927</v>
      </c>
      <c r="S20" t="s">
        <v>1112</v>
      </c>
      <c r="T20" t="s">
        <v>15</v>
      </c>
      <c r="U20" t="s">
        <v>16</v>
      </c>
      <c r="V20" t="s">
        <v>1113</v>
      </c>
      <c r="W20" t="s">
        <v>927</v>
      </c>
      <c r="X20" t="s">
        <v>1114</v>
      </c>
      <c r="Y20" t="s">
        <v>17</v>
      </c>
    </row>
    <row r="21" spans="1:25" x14ac:dyDescent="0.3">
      <c r="A21" t="s">
        <v>1166</v>
      </c>
      <c r="B21" t="s">
        <v>613</v>
      </c>
      <c r="C21" t="s">
        <v>2</v>
      </c>
      <c r="D21" t="s">
        <v>473</v>
      </c>
      <c r="E21" t="s">
        <v>4</v>
      </c>
      <c r="F21" t="s">
        <v>739</v>
      </c>
      <c r="G21">
        <v>10.855841015696001</v>
      </c>
      <c r="H21" t="s">
        <v>6</v>
      </c>
      <c r="I21" t="s">
        <v>740</v>
      </c>
      <c r="J21" t="s">
        <v>8</v>
      </c>
      <c r="K21" t="s">
        <v>741</v>
      </c>
      <c r="L21" t="s">
        <v>10</v>
      </c>
      <c r="M21" t="s">
        <v>742</v>
      </c>
      <c r="N21" t="s">
        <v>12</v>
      </c>
      <c r="O21" t="s">
        <v>743</v>
      </c>
      <c r="P21" t="s">
        <v>14</v>
      </c>
      <c r="Q21" t="s">
        <v>1052</v>
      </c>
      <c r="R21" t="s">
        <v>927</v>
      </c>
      <c r="S21" t="s">
        <v>940</v>
      </c>
      <c r="T21" t="s">
        <v>15</v>
      </c>
      <c r="U21" t="s">
        <v>16</v>
      </c>
      <c r="V21" t="s">
        <v>1082</v>
      </c>
      <c r="W21" t="s">
        <v>927</v>
      </c>
      <c r="X21" t="s">
        <v>1083</v>
      </c>
      <c r="Y21" t="s">
        <v>17</v>
      </c>
    </row>
    <row r="22" spans="1:25" x14ac:dyDescent="0.3">
      <c r="A22" t="s">
        <v>1167</v>
      </c>
      <c r="B22" t="s">
        <v>784</v>
      </c>
      <c r="C22" t="s">
        <v>2</v>
      </c>
      <c r="D22" t="s">
        <v>827</v>
      </c>
      <c r="E22" t="s">
        <v>4</v>
      </c>
      <c r="F22" t="s">
        <v>833</v>
      </c>
      <c r="G22">
        <v>10.08</v>
      </c>
      <c r="H22" t="s">
        <v>6</v>
      </c>
      <c r="I22" t="s">
        <v>834</v>
      </c>
      <c r="J22" t="s">
        <v>8</v>
      </c>
      <c r="K22" t="s">
        <v>835</v>
      </c>
      <c r="L22" t="s">
        <v>10</v>
      </c>
      <c r="M22" t="s">
        <v>836</v>
      </c>
      <c r="N22" t="s">
        <v>12</v>
      </c>
      <c r="O22" t="s">
        <v>837</v>
      </c>
      <c r="P22" t="s">
        <v>14</v>
      </c>
      <c r="Q22" t="s">
        <v>1101</v>
      </c>
      <c r="R22" t="s">
        <v>927</v>
      </c>
      <c r="S22" t="s">
        <v>930</v>
      </c>
      <c r="T22" t="s">
        <v>15</v>
      </c>
      <c r="U22" t="s">
        <v>16</v>
      </c>
      <c r="V22" t="s">
        <v>1101</v>
      </c>
      <c r="W22" t="s">
        <v>927</v>
      </c>
      <c r="X22" t="s">
        <v>930</v>
      </c>
      <c r="Y22" t="s">
        <v>17</v>
      </c>
    </row>
    <row r="23" spans="1:25" x14ac:dyDescent="0.3">
      <c r="A23" t="s">
        <v>1168</v>
      </c>
      <c r="B23" t="s">
        <v>723</v>
      </c>
      <c r="C23" t="s">
        <v>2</v>
      </c>
      <c r="D23" t="s">
        <v>821</v>
      </c>
      <c r="E23" t="s">
        <v>4</v>
      </c>
      <c r="F23" t="s">
        <v>822</v>
      </c>
      <c r="G23">
        <v>9.6100000000000492</v>
      </c>
      <c r="H23" t="s">
        <v>6</v>
      </c>
      <c r="I23" t="s">
        <v>823</v>
      </c>
      <c r="J23" t="s">
        <v>8</v>
      </c>
      <c r="K23" t="s">
        <v>824</v>
      </c>
      <c r="L23" t="s">
        <v>10</v>
      </c>
      <c r="M23" t="s">
        <v>825</v>
      </c>
      <c r="N23" t="s">
        <v>12</v>
      </c>
      <c r="O23" t="s">
        <v>826</v>
      </c>
      <c r="P23" t="s">
        <v>14</v>
      </c>
      <c r="Q23" t="s">
        <v>1101</v>
      </c>
      <c r="R23" t="s">
        <v>927</v>
      </c>
      <c r="S23" t="s">
        <v>930</v>
      </c>
      <c r="T23" t="s">
        <v>15</v>
      </c>
      <c r="U23" t="s">
        <v>16</v>
      </c>
      <c r="V23" t="s">
        <v>1101</v>
      </c>
      <c r="W23" t="s">
        <v>927</v>
      </c>
      <c r="X23" t="s">
        <v>930</v>
      </c>
      <c r="Y23" t="s">
        <v>17</v>
      </c>
    </row>
    <row r="24" spans="1:25" x14ac:dyDescent="0.3">
      <c r="A24" t="s">
        <v>1169</v>
      </c>
      <c r="B24" t="s">
        <v>347</v>
      </c>
      <c r="C24" t="s">
        <v>2</v>
      </c>
      <c r="D24" t="s">
        <v>479</v>
      </c>
      <c r="E24" t="s">
        <v>4</v>
      </c>
      <c r="F24" t="s">
        <v>480</v>
      </c>
      <c r="G24">
        <f t="shared" ref="G24:G60" si="0">IFERROR(VALUE(_xlfn.TEXTBEFORE(F24, ",")), 0)</f>
        <v>8.7246844277388593</v>
      </c>
      <c r="H24" t="s">
        <v>6</v>
      </c>
      <c r="I24" t="s">
        <v>481</v>
      </c>
      <c r="J24" t="s">
        <v>8</v>
      </c>
      <c r="K24" t="s">
        <v>482</v>
      </c>
      <c r="L24" t="s">
        <v>10</v>
      </c>
      <c r="M24" t="s">
        <v>483</v>
      </c>
      <c r="N24" t="s">
        <v>12</v>
      </c>
      <c r="O24" t="s">
        <v>484</v>
      </c>
      <c r="P24" t="s">
        <v>14</v>
      </c>
      <c r="Q24" t="s">
        <v>1041</v>
      </c>
      <c r="R24" s="1">
        <v>44475</v>
      </c>
      <c r="S24" s="1">
        <v>44511</v>
      </c>
    </row>
    <row r="25" spans="1:25" x14ac:dyDescent="0.3">
      <c r="A25" t="s">
        <v>1170</v>
      </c>
      <c r="B25" t="s">
        <v>536</v>
      </c>
      <c r="C25" t="s">
        <v>2</v>
      </c>
      <c r="D25" t="s">
        <v>838</v>
      </c>
      <c r="E25" t="s">
        <v>4</v>
      </c>
      <c r="F25" t="s">
        <v>898</v>
      </c>
      <c r="G25">
        <f t="shared" si="0"/>
        <v>8.6652970821095607</v>
      </c>
      <c r="H25" t="s">
        <v>6</v>
      </c>
      <c r="I25" t="s">
        <v>899</v>
      </c>
      <c r="J25" t="s">
        <v>8</v>
      </c>
      <c r="K25" t="s">
        <v>900</v>
      </c>
      <c r="L25" t="s">
        <v>10</v>
      </c>
      <c r="M25" t="s">
        <v>901</v>
      </c>
      <c r="N25" t="s">
        <v>12</v>
      </c>
      <c r="O25" t="s">
        <v>902</v>
      </c>
      <c r="P25" t="s">
        <v>14</v>
      </c>
      <c r="Q25" t="s">
        <v>1115</v>
      </c>
      <c r="R25" t="s">
        <v>927</v>
      </c>
      <c r="S25" t="s">
        <v>1116</v>
      </c>
      <c r="T25" t="s">
        <v>15</v>
      </c>
      <c r="U25" t="s">
        <v>16</v>
      </c>
      <c r="V25" t="s">
        <v>1117</v>
      </c>
      <c r="W25" t="s">
        <v>927</v>
      </c>
      <c r="X25" t="s">
        <v>1118</v>
      </c>
      <c r="Y25" t="s">
        <v>17</v>
      </c>
    </row>
    <row r="26" spans="1:25" x14ac:dyDescent="0.3">
      <c r="A26" t="s">
        <v>1171</v>
      </c>
      <c r="B26" t="s">
        <v>723</v>
      </c>
      <c r="C26" t="s">
        <v>2</v>
      </c>
      <c r="D26" t="s">
        <v>827</v>
      </c>
      <c r="E26" t="s">
        <v>4</v>
      </c>
      <c r="F26" t="s">
        <v>828</v>
      </c>
      <c r="G26">
        <f t="shared" si="0"/>
        <v>8.4200000000000301</v>
      </c>
      <c r="H26" t="s">
        <v>6</v>
      </c>
      <c r="I26" t="s">
        <v>829</v>
      </c>
      <c r="J26" t="s">
        <v>8</v>
      </c>
      <c r="K26" t="s">
        <v>830</v>
      </c>
      <c r="L26" t="s">
        <v>10</v>
      </c>
      <c r="M26" t="s">
        <v>831</v>
      </c>
      <c r="N26" t="s">
        <v>12</v>
      </c>
      <c r="O26" t="s">
        <v>832</v>
      </c>
      <c r="P26" t="s">
        <v>14</v>
      </c>
      <c r="Q26" t="s">
        <v>1101</v>
      </c>
      <c r="R26" t="s">
        <v>927</v>
      </c>
      <c r="S26" t="s">
        <v>930</v>
      </c>
      <c r="T26" t="s">
        <v>15</v>
      </c>
      <c r="U26" t="s">
        <v>16</v>
      </c>
      <c r="V26" t="s">
        <v>1101</v>
      </c>
      <c r="W26" t="s">
        <v>927</v>
      </c>
      <c r="X26" t="s">
        <v>930</v>
      </c>
      <c r="Y26" t="s">
        <v>17</v>
      </c>
    </row>
    <row r="27" spans="1:25" x14ac:dyDescent="0.3">
      <c r="A27" t="s">
        <v>1172</v>
      </c>
      <c r="B27" t="s">
        <v>723</v>
      </c>
      <c r="C27" t="s">
        <v>2</v>
      </c>
      <c r="D27" t="s">
        <v>827</v>
      </c>
      <c r="E27" t="s">
        <v>4</v>
      </c>
      <c r="F27" t="s">
        <v>828</v>
      </c>
      <c r="G27">
        <f t="shared" si="0"/>
        <v>8.4200000000000301</v>
      </c>
      <c r="H27" t="s">
        <v>6</v>
      </c>
      <c r="I27" t="s">
        <v>829</v>
      </c>
      <c r="J27" t="s">
        <v>8</v>
      </c>
      <c r="K27" t="s">
        <v>830</v>
      </c>
      <c r="L27" t="s">
        <v>10</v>
      </c>
      <c r="M27" t="s">
        <v>831</v>
      </c>
      <c r="N27" t="s">
        <v>12</v>
      </c>
      <c r="O27" t="s">
        <v>832</v>
      </c>
      <c r="P27" t="s">
        <v>14</v>
      </c>
      <c r="Q27" t="s">
        <v>1101</v>
      </c>
      <c r="R27" t="s">
        <v>927</v>
      </c>
      <c r="S27" t="s">
        <v>930</v>
      </c>
      <c r="T27" t="s">
        <v>15</v>
      </c>
      <c r="U27" t="s">
        <v>16</v>
      </c>
      <c r="V27" t="s">
        <v>1101</v>
      </c>
      <c r="W27" t="s">
        <v>927</v>
      </c>
      <c r="X27" t="s">
        <v>930</v>
      </c>
      <c r="Y27" t="s">
        <v>17</v>
      </c>
    </row>
    <row r="28" spans="1:25" x14ac:dyDescent="0.3">
      <c r="A28" t="s">
        <v>1173</v>
      </c>
      <c r="B28" t="s">
        <v>723</v>
      </c>
      <c r="C28" t="s">
        <v>2</v>
      </c>
      <c r="D28" t="s">
        <v>827</v>
      </c>
      <c r="E28" t="s">
        <v>4</v>
      </c>
      <c r="F28" t="s">
        <v>828</v>
      </c>
      <c r="G28">
        <f t="shared" si="0"/>
        <v>8.4200000000000301</v>
      </c>
      <c r="H28" t="s">
        <v>6</v>
      </c>
      <c r="I28" t="s">
        <v>829</v>
      </c>
      <c r="J28" t="s">
        <v>8</v>
      </c>
      <c r="K28" t="s">
        <v>830</v>
      </c>
      <c r="L28" t="s">
        <v>10</v>
      </c>
      <c r="M28" t="s">
        <v>831</v>
      </c>
      <c r="N28" t="s">
        <v>12</v>
      </c>
      <c r="O28" t="s">
        <v>832</v>
      </c>
      <c r="P28" t="s">
        <v>14</v>
      </c>
      <c r="Q28" t="s">
        <v>1101</v>
      </c>
      <c r="R28" t="s">
        <v>927</v>
      </c>
      <c r="S28" t="s">
        <v>930</v>
      </c>
      <c r="T28" t="s">
        <v>15</v>
      </c>
      <c r="U28" t="s">
        <v>16</v>
      </c>
      <c r="V28" t="s">
        <v>1101</v>
      </c>
      <c r="W28" t="s">
        <v>927</v>
      </c>
      <c r="X28" t="s">
        <v>930</v>
      </c>
      <c r="Y28" t="s">
        <v>17</v>
      </c>
    </row>
    <row r="29" spans="1:25" x14ac:dyDescent="0.3">
      <c r="A29" t="s">
        <v>1174</v>
      </c>
      <c r="B29" t="s">
        <v>784</v>
      </c>
      <c r="C29" t="s">
        <v>2</v>
      </c>
      <c r="D29" t="s">
        <v>849</v>
      </c>
      <c r="E29" t="s">
        <v>4</v>
      </c>
      <c r="F29" t="s">
        <v>882</v>
      </c>
      <c r="G29">
        <f t="shared" si="0"/>
        <v>8.1600000000000197</v>
      </c>
      <c r="H29" t="s">
        <v>6</v>
      </c>
      <c r="I29" t="s">
        <v>883</v>
      </c>
      <c r="J29" t="s">
        <v>8</v>
      </c>
      <c r="K29" t="s">
        <v>884</v>
      </c>
      <c r="L29" t="s">
        <v>10</v>
      </c>
      <c r="M29" t="s">
        <v>885</v>
      </c>
      <c r="N29" t="s">
        <v>12</v>
      </c>
      <c r="O29" t="s">
        <v>886</v>
      </c>
      <c r="P29" t="s">
        <v>14</v>
      </c>
      <c r="Q29" t="s">
        <v>1109</v>
      </c>
      <c r="R29" t="s">
        <v>927</v>
      </c>
      <c r="S29" t="s">
        <v>1110</v>
      </c>
      <c r="T29" t="s">
        <v>15</v>
      </c>
      <c r="U29" t="s">
        <v>16</v>
      </c>
      <c r="V29" t="s">
        <v>1107</v>
      </c>
      <c r="W29" t="s">
        <v>927</v>
      </c>
      <c r="X29" t="s">
        <v>1108</v>
      </c>
      <c r="Y29" t="s">
        <v>17</v>
      </c>
    </row>
    <row r="30" spans="1:25" x14ac:dyDescent="0.3">
      <c r="A30" t="s">
        <v>1175</v>
      </c>
      <c r="B30" t="s">
        <v>784</v>
      </c>
      <c r="C30" t="s">
        <v>2</v>
      </c>
      <c r="D30" t="s">
        <v>849</v>
      </c>
      <c r="E30" t="s">
        <v>4</v>
      </c>
      <c r="F30" t="s">
        <v>882</v>
      </c>
      <c r="G30">
        <f t="shared" si="0"/>
        <v>8.1600000000000197</v>
      </c>
      <c r="H30" t="s">
        <v>6</v>
      </c>
      <c r="I30" t="s">
        <v>883</v>
      </c>
      <c r="J30" t="s">
        <v>8</v>
      </c>
      <c r="K30" t="s">
        <v>884</v>
      </c>
      <c r="L30" t="s">
        <v>10</v>
      </c>
      <c r="M30" t="s">
        <v>885</v>
      </c>
      <c r="N30" t="s">
        <v>12</v>
      </c>
      <c r="O30" t="s">
        <v>886</v>
      </c>
      <c r="P30" t="s">
        <v>14</v>
      </c>
      <c r="Q30" t="s">
        <v>1109</v>
      </c>
      <c r="R30" t="s">
        <v>927</v>
      </c>
      <c r="S30" t="s">
        <v>1110</v>
      </c>
      <c r="T30" t="s">
        <v>15</v>
      </c>
      <c r="U30" t="s">
        <v>16</v>
      </c>
      <c r="V30" t="s">
        <v>1107</v>
      </c>
      <c r="W30" t="s">
        <v>927</v>
      </c>
      <c r="X30" t="s">
        <v>1108</v>
      </c>
      <c r="Y30" t="s">
        <v>17</v>
      </c>
    </row>
    <row r="31" spans="1:25" x14ac:dyDescent="0.3">
      <c r="A31" t="s">
        <v>1176</v>
      </c>
      <c r="B31" t="s">
        <v>784</v>
      </c>
      <c r="C31" t="s">
        <v>2</v>
      </c>
      <c r="D31" t="s">
        <v>849</v>
      </c>
      <c r="E31" t="s">
        <v>4</v>
      </c>
      <c r="F31" t="s">
        <v>882</v>
      </c>
      <c r="G31">
        <f t="shared" si="0"/>
        <v>8.1600000000000197</v>
      </c>
      <c r="H31" t="s">
        <v>6</v>
      </c>
      <c r="I31" t="s">
        <v>883</v>
      </c>
      <c r="J31" t="s">
        <v>8</v>
      </c>
      <c r="K31" t="s">
        <v>884</v>
      </c>
      <c r="L31" t="s">
        <v>10</v>
      </c>
      <c r="M31" t="s">
        <v>885</v>
      </c>
      <c r="N31" t="s">
        <v>12</v>
      </c>
      <c r="O31" t="s">
        <v>886</v>
      </c>
      <c r="P31" t="s">
        <v>14</v>
      </c>
      <c r="Q31" t="s">
        <v>1109</v>
      </c>
      <c r="R31" t="s">
        <v>927</v>
      </c>
      <c r="S31" t="s">
        <v>1110</v>
      </c>
      <c r="T31" t="s">
        <v>15</v>
      </c>
      <c r="U31" t="s">
        <v>16</v>
      </c>
      <c r="V31" t="s">
        <v>1107</v>
      </c>
      <c r="W31" t="s">
        <v>927</v>
      </c>
      <c r="X31" t="s">
        <v>1108</v>
      </c>
      <c r="Y31" t="s">
        <v>17</v>
      </c>
    </row>
    <row r="32" spans="1:25" x14ac:dyDescent="0.3">
      <c r="A32" t="s">
        <v>1177</v>
      </c>
      <c r="B32" t="s">
        <v>592</v>
      </c>
      <c r="C32" t="s">
        <v>2</v>
      </c>
      <c r="D32" t="s">
        <v>795</v>
      </c>
      <c r="E32" t="s">
        <v>4</v>
      </c>
      <c r="F32" t="s">
        <v>796</v>
      </c>
      <c r="G32">
        <f t="shared" si="0"/>
        <v>8.1538835682532902</v>
      </c>
      <c r="H32" t="s">
        <v>6</v>
      </c>
      <c r="I32" t="s">
        <v>797</v>
      </c>
      <c r="J32" t="s">
        <v>8</v>
      </c>
      <c r="K32" t="s">
        <v>798</v>
      </c>
      <c r="L32" t="s">
        <v>10</v>
      </c>
      <c r="M32" t="s">
        <v>799</v>
      </c>
      <c r="N32" t="s">
        <v>12</v>
      </c>
      <c r="O32" t="s">
        <v>800</v>
      </c>
      <c r="P32" t="s">
        <v>14</v>
      </c>
      <c r="Q32" t="s">
        <v>1094</v>
      </c>
      <c r="R32" t="s">
        <v>927</v>
      </c>
      <c r="S32" t="s">
        <v>934</v>
      </c>
      <c r="T32" t="s">
        <v>15</v>
      </c>
      <c r="U32" t="s">
        <v>16</v>
      </c>
      <c r="V32" t="s">
        <v>1094</v>
      </c>
      <c r="W32" t="s">
        <v>927</v>
      </c>
      <c r="X32" t="s">
        <v>934</v>
      </c>
      <c r="Y32" t="s">
        <v>17</v>
      </c>
    </row>
    <row r="33" spans="1:25" x14ac:dyDescent="0.3">
      <c r="A33" t="s">
        <v>1178</v>
      </c>
      <c r="B33" t="s">
        <v>784</v>
      </c>
      <c r="C33" t="s">
        <v>2</v>
      </c>
      <c r="D33" t="s">
        <v>838</v>
      </c>
      <c r="E33" t="s">
        <v>4</v>
      </c>
      <c r="F33" t="s">
        <v>839</v>
      </c>
      <c r="G33">
        <f t="shared" si="0"/>
        <v>7.7000000000000304</v>
      </c>
      <c r="H33" t="s">
        <v>6</v>
      </c>
      <c r="I33" t="s">
        <v>840</v>
      </c>
      <c r="J33" t="s">
        <v>8</v>
      </c>
      <c r="K33" t="s">
        <v>841</v>
      </c>
      <c r="L33" t="s">
        <v>10</v>
      </c>
      <c r="M33" t="s">
        <v>842</v>
      </c>
      <c r="N33" t="s">
        <v>12</v>
      </c>
      <c r="O33" t="s">
        <v>843</v>
      </c>
      <c r="P33" t="s">
        <v>14</v>
      </c>
      <c r="Q33" t="s">
        <v>1101</v>
      </c>
      <c r="R33" t="s">
        <v>927</v>
      </c>
      <c r="S33" t="s">
        <v>930</v>
      </c>
      <c r="T33" t="s">
        <v>15</v>
      </c>
      <c r="U33" t="s">
        <v>16</v>
      </c>
      <c r="V33" t="s">
        <v>1101</v>
      </c>
      <c r="W33" t="s">
        <v>927</v>
      </c>
      <c r="X33" t="s">
        <v>930</v>
      </c>
      <c r="Y33" t="s">
        <v>17</v>
      </c>
    </row>
    <row r="34" spans="1:25" x14ac:dyDescent="0.3">
      <c r="A34" t="s">
        <v>1179</v>
      </c>
      <c r="B34" t="s">
        <v>784</v>
      </c>
      <c r="C34" t="s">
        <v>2</v>
      </c>
      <c r="D34" t="s">
        <v>838</v>
      </c>
      <c r="E34" t="s">
        <v>4</v>
      </c>
      <c r="F34" t="s">
        <v>839</v>
      </c>
      <c r="G34">
        <f t="shared" si="0"/>
        <v>7.7000000000000304</v>
      </c>
      <c r="H34" t="s">
        <v>6</v>
      </c>
      <c r="I34" t="s">
        <v>840</v>
      </c>
      <c r="J34" t="s">
        <v>8</v>
      </c>
      <c r="K34" t="s">
        <v>841</v>
      </c>
      <c r="L34" t="s">
        <v>10</v>
      </c>
      <c r="M34" t="s">
        <v>842</v>
      </c>
      <c r="N34" t="s">
        <v>12</v>
      </c>
      <c r="O34" t="s">
        <v>843</v>
      </c>
      <c r="P34" t="s">
        <v>14</v>
      </c>
      <c r="Q34" t="s">
        <v>1101</v>
      </c>
      <c r="R34" t="s">
        <v>927</v>
      </c>
      <c r="S34" t="s">
        <v>930</v>
      </c>
      <c r="T34" t="s">
        <v>15</v>
      </c>
      <c r="U34" t="s">
        <v>16</v>
      </c>
      <c r="V34" t="s">
        <v>1101</v>
      </c>
      <c r="W34" t="s">
        <v>927</v>
      </c>
      <c r="X34" t="s">
        <v>930</v>
      </c>
      <c r="Y34" t="s">
        <v>17</v>
      </c>
    </row>
    <row r="35" spans="1:25" x14ac:dyDescent="0.3">
      <c r="A35" t="s">
        <v>1180</v>
      </c>
      <c r="B35" t="s">
        <v>784</v>
      </c>
      <c r="C35" t="s">
        <v>2</v>
      </c>
      <c r="D35" t="s">
        <v>838</v>
      </c>
      <c r="E35" t="s">
        <v>4</v>
      </c>
      <c r="F35" t="s">
        <v>839</v>
      </c>
      <c r="G35">
        <f t="shared" si="0"/>
        <v>7.7000000000000304</v>
      </c>
      <c r="H35" t="s">
        <v>6</v>
      </c>
      <c r="I35" t="s">
        <v>840</v>
      </c>
      <c r="J35" t="s">
        <v>8</v>
      </c>
      <c r="K35" t="s">
        <v>841</v>
      </c>
      <c r="L35" t="s">
        <v>10</v>
      </c>
      <c r="M35" t="s">
        <v>842</v>
      </c>
      <c r="N35" t="s">
        <v>12</v>
      </c>
      <c r="O35" t="s">
        <v>843</v>
      </c>
      <c r="P35" t="s">
        <v>14</v>
      </c>
      <c r="Q35" t="s">
        <v>1101</v>
      </c>
      <c r="R35" t="s">
        <v>927</v>
      </c>
      <c r="S35" t="s">
        <v>930</v>
      </c>
      <c r="T35" t="s">
        <v>15</v>
      </c>
      <c r="U35" t="s">
        <v>16</v>
      </c>
      <c r="V35" t="s">
        <v>1101</v>
      </c>
      <c r="W35" t="s">
        <v>927</v>
      </c>
      <c r="X35" t="s">
        <v>930</v>
      </c>
      <c r="Y35" t="s">
        <v>17</v>
      </c>
    </row>
    <row r="36" spans="1:25" x14ac:dyDescent="0.3">
      <c r="A36" t="s">
        <v>1181</v>
      </c>
      <c r="B36" t="s">
        <v>592</v>
      </c>
      <c r="C36" t="s">
        <v>2</v>
      </c>
      <c r="D36" t="s">
        <v>706</v>
      </c>
      <c r="E36" t="s">
        <v>4</v>
      </c>
      <c r="F36" t="s">
        <v>790</v>
      </c>
      <c r="G36">
        <f t="shared" si="0"/>
        <v>7.5938835682532702</v>
      </c>
      <c r="H36" t="s">
        <v>6</v>
      </c>
      <c r="I36" t="s">
        <v>791</v>
      </c>
      <c r="J36" t="s">
        <v>8</v>
      </c>
      <c r="K36" t="s">
        <v>792</v>
      </c>
      <c r="L36" t="s">
        <v>10</v>
      </c>
      <c r="M36" t="s">
        <v>793</v>
      </c>
      <c r="N36" t="s">
        <v>12</v>
      </c>
      <c r="O36" t="s">
        <v>794</v>
      </c>
      <c r="P36" t="s">
        <v>14</v>
      </c>
      <c r="Q36" t="s">
        <v>1094</v>
      </c>
      <c r="R36" t="s">
        <v>927</v>
      </c>
      <c r="S36" t="s">
        <v>934</v>
      </c>
      <c r="T36" t="s">
        <v>15</v>
      </c>
      <c r="U36" t="s">
        <v>16</v>
      </c>
      <c r="V36" t="s">
        <v>1094</v>
      </c>
      <c r="W36" t="s">
        <v>927</v>
      </c>
      <c r="X36" t="s">
        <v>934</v>
      </c>
      <c r="Y36" t="s">
        <v>17</v>
      </c>
    </row>
    <row r="37" spans="1:25" x14ac:dyDescent="0.3">
      <c r="A37" t="s">
        <v>1182</v>
      </c>
      <c r="B37" t="s">
        <v>784</v>
      </c>
      <c r="C37" t="s">
        <v>2</v>
      </c>
      <c r="D37" t="s">
        <v>876</v>
      </c>
      <c r="E37" t="s">
        <v>4</v>
      </c>
      <c r="F37" t="s">
        <v>877</v>
      </c>
      <c r="G37">
        <f t="shared" si="0"/>
        <v>6.6200000000000196</v>
      </c>
      <c r="H37" t="s">
        <v>6</v>
      </c>
      <c r="I37" t="s">
        <v>878</v>
      </c>
      <c r="J37" t="s">
        <v>8</v>
      </c>
      <c r="K37" t="s">
        <v>879</v>
      </c>
      <c r="L37" t="s">
        <v>10</v>
      </c>
      <c r="M37" t="s">
        <v>880</v>
      </c>
      <c r="N37" t="s">
        <v>12</v>
      </c>
      <c r="O37" t="s">
        <v>881</v>
      </c>
      <c r="P37" t="s">
        <v>14</v>
      </c>
      <c r="Q37" t="s">
        <v>1106</v>
      </c>
      <c r="R37" t="s">
        <v>927</v>
      </c>
      <c r="S37" t="s">
        <v>953</v>
      </c>
      <c r="T37" t="s">
        <v>15</v>
      </c>
      <c r="U37" t="s">
        <v>16</v>
      </c>
      <c r="V37" t="s">
        <v>1107</v>
      </c>
      <c r="W37" t="s">
        <v>927</v>
      </c>
      <c r="X37" t="s">
        <v>1108</v>
      </c>
      <c r="Y37" t="s">
        <v>17</v>
      </c>
    </row>
    <row r="38" spans="1:25" x14ac:dyDescent="0.3">
      <c r="A38" t="s">
        <v>1183</v>
      </c>
      <c r="B38" t="s">
        <v>322</v>
      </c>
      <c r="C38" t="s">
        <v>2</v>
      </c>
      <c r="D38" t="s">
        <v>312</v>
      </c>
      <c r="E38" t="s">
        <v>4</v>
      </c>
      <c r="F38" t="s">
        <v>398</v>
      </c>
      <c r="G38">
        <f t="shared" si="0"/>
        <v>6.4407785272103402</v>
      </c>
      <c r="H38" t="s">
        <v>6</v>
      </c>
      <c r="I38" t="s">
        <v>399</v>
      </c>
      <c r="J38" t="s">
        <v>8</v>
      </c>
      <c r="K38" t="s">
        <v>400</v>
      </c>
      <c r="L38" t="s">
        <v>10</v>
      </c>
      <c r="M38" t="s">
        <v>401</v>
      </c>
      <c r="N38" t="s">
        <v>12</v>
      </c>
      <c r="O38" t="s">
        <v>402</v>
      </c>
      <c r="P38" t="s">
        <v>14</v>
      </c>
      <c r="Q38" t="s">
        <v>1017</v>
      </c>
      <c r="R38" t="s">
        <v>927</v>
      </c>
      <c r="S38" t="s">
        <v>1018</v>
      </c>
      <c r="T38" t="s">
        <v>15</v>
      </c>
      <c r="U38" t="s">
        <v>16</v>
      </c>
      <c r="V38" t="s">
        <v>1019</v>
      </c>
      <c r="W38" t="s">
        <v>927</v>
      </c>
      <c r="X38" t="s">
        <v>1020</v>
      </c>
      <c r="Y38" t="s">
        <v>17</v>
      </c>
    </row>
    <row r="39" spans="1:25" x14ac:dyDescent="0.3">
      <c r="A39" t="s">
        <v>1184</v>
      </c>
      <c r="B39" t="s">
        <v>592</v>
      </c>
      <c r="C39" t="s">
        <v>2</v>
      </c>
      <c r="D39" t="s">
        <v>570</v>
      </c>
      <c r="E39" t="s">
        <v>4</v>
      </c>
      <c r="F39" t="s">
        <v>652</v>
      </c>
      <c r="G39">
        <f t="shared" si="0"/>
        <v>6.4099999999999904</v>
      </c>
      <c r="H39" t="s">
        <v>6</v>
      </c>
      <c r="I39" t="s">
        <v>653</v>
      </c>
      <c r="J39" t="s">
        <v>8</v>
      </c>
      <c r="K39" t="s">
        <v>654</v>
      </c>
      <c r="L39" t="s">
        <v>10</v>
      </c>
      <c r="M39" t="s">
        <v>655</v>
      </c>
      <c r="N39" t="s">
        <v>12</v>
      </c>
      <c r="O39" t="s">
        <v>656</v>
      </c>
      <c r="P39" t="s">
        <v>14</v>
      </c>
      <c r="Q39" t="s">
        <v>1059</v>
      </c>
      <c r="R39" t="s">
        <v>927</v>
      </c>
      <c r="S39" t="s">
        <v>1060</v>
      </c>
      <c r="T39" t="s">
        <v>15</v>
      </c>
      <c r="U39" t="s">
        <v>16</v>
      </c>
      <c r="V39" t="s">
        <v>1061</v>
      </c>
      <c r="W39" t="s">
        <v>927</v>
      </c>
      <c r="X39" t="s">
        <v>982</v>
      </c>
      <c r="Y39" t="s">
        <v>17</v>
      </c>
    </row>
    <row r="40" spans="1:25" x14ac:dyDescent="0.3">
      <c r="A40" t="s">
        <v>1185</v>
      </c>
      <c r="B40" t="s">
        <v>592</v>
      </c>
      <c r="C40" t="s">
        <v>2</v>
      </c>
      <c r="D40" t="s">
        <v>570</v>
      </c>
      <c r="E40" t="s">
        <v>4</v>
      </c>
      <c r="F40" t="s">
        <v>712</v>
      </c>
      <c r="G40">
        <f t="shared" si="0"/>
        <v>5.6400000000000299</v>
      </c>
      <c r="H40" t="s">
        <v>6</v>
      </c>
      <c r="I40" t="s">
        <v>713</v>
      </c>
      <c r="J40" t="s">
        <v>8</v>
      </c>
      <c r="K40" t="s">
        <v>714</v>
      </c>
      <c r="L40" t="s">
        <v>10</v>
      </c>
      <c r="M40" t="s">
        <v>715</v>
      </c>
      <c r="N40" t="s">
        <v>12</v>
      </c>
      <c r="O40" t="s">
        <v>716</v>
      </c>
      <c r="P40" t="s">
        <v>14</v>
      </c>
      <c r="Q40" t="s">
        <v>1075</v>
      </c>
      <c r="R40" t="s">
        <v>927</v>
      </c>
      <c r="S40" t="s">
        <v>1076</v>
      </c>
      <c r="T40" t="s">
        <v>15</v>
      </c>
      <c r="U40" t="s">
        <v>16</v>
      </c>
      <c r="V40" t="s">
        <v>1075</v>
      </c>
      <c r="W40" t="s">
        <v>927</v>
      </c>
      <c r="X40" t="s">
        <v>1076</v>
      </c>
      <c r="Y40" t="s">
        <v>17</v>
      </c>
    </row>
    <row r="41" spans="1:25" x14ac:dyDescent="0.3">
      <c r="A41" t="s">
        <v>1186</v>
      </c>
      <c r="B41" t="s">
        <v>536</v>
      </c>
      <c r="C41" t="s">
        <v>2</v>
      </c>
      <c r="D41" t="s">
        <v>838</v>
      </c>
      <c r="E41" t="s">
        <v>4</v>
      </c>
      <c r="F41" t="s">
        <v>903</v>
      </c>
      <c r="G41">
        <f t="shared" si="0"/>
        <v>5.4544959970763696</v>
      </c>
      <c r="H41" t="s">
        <v>6</v>
      </c>
      <c r="I41" t="s">
        <v>904</v>
      </c>
      <c r="J41" t="s">
        <v>8</v>
      </c>
      <c r="K41" t="s">
        <v>905</v>
      </c>
      <c r="L41" t="s">
        <v>10</v>
      </c>
      <c r="M41" t="s">
        <v>901</v>
      </c>
      <c r="N41" t="s">
        <v>12</v>
      </c>
      <c r="O41" t="s">
        <v>906</v>
      </c>
      <c r="P41" t="s">
        <v>14</v>
      </c>
      <c r="Q41" t="s">
        <v>1119</v>
      </c>
      <c r="R41" s="1">
        <v>44838</v>
      </c>
      <c r="S41" s="1">
        <v>44872</v>
      </c>
    </row>
    <row r="42" spans="1:25" x14ac:dyDescent="0.3">
      <c r="A42" t="s">
        <v>1187</v>
      </c>
      <c r="B42" t="s">
        <v>536</v>
      </c>
      <c r="C42" t="s">
        <v>2</v>
      </c>
      <c r="D42" t="s">
        <v>821</v>
      </c>
      <c r="E42" t="s">
        <v>4</v>
      </c>
      <c r="F42" t="s">
        <v>844</v>
      </c>
      <c r="G42">
        <f t="shared" si="0"/>
        <v>5.2677238729465303</v>
      </c>
      <c r="H42" t="s">
        <v>6</v>
      </c>
      <c r="I42" t="s">
        <v>845</v>
      </c>
      <c r="J42" t="s">
        <v>8</v>
      </c>
      <c r="K42" t="s">
        <v>846</v>
      </c>
      <c r="L42" t="s">
        <v>10</v>
      </c>
      <c r="M42" t="s">
        <v>847</v>
      </c>
      <c r="N42" t="s">
        <v>12</v>
      </c>
      <c r="O42" t="s">
        <v>848</v>
      </c>
      <c r="P42" t="s">
        <v>14</v>
      </c>
      <c r="Q42" t="s">
        <v>1021</v>
      </c>
      <c r="R42" t="s">
        <v>927</v>
      </c>
      <c r="S42" t="s">
        <v>1055</v>
      </c>
      <c r="T42" t="s">
        <v>15</v>
      </c>
      <c r="U42" t="s">
        <v>16</v>
      </c>
      <c r="V42" t="s">
        <v>1021</v>
      </c>
      <c r="W42" t="s">
        <v>927</v>
      </c>
      <c r="X42" t="s">
        <v>1055</v>
      </c>
      <c r="Y42" t="s">
        <v>17</v>
      </c>
    </row>
    <row r="43" spans="1:25" x14ac:dyDescent="0.3">
      <c r="A43" t="s">
        <v>1188</v>
      </c>
      <c r="B43" t="s">
        <v>592</v>
      </c>
      <c r="C43" t="s">
        <v>2</v>
      </c>
      <c r="D43" t="s">
        <v>784</v>
      </c>
      <c r="E43" t="s">
        <v>4</v>
      </c>
      <c r="F43" t="s">
        <v>785</v>
      </c>
      <c r="G43">
        <f t="shared" si="0"/>
        <v>4.24</v>
      </c>
      <c r="H43" t="s">
        <v>6</v>
      </c>
      <c r="I43" t="s">
        <v>786</v>
      </c>
      <c r="J43" t="s">
        <v>8</v>
      </c>
      <c r="K43" t="s">
        <v>787</v>
      </c>
      <c r="L43" t="s">
        <v>10</v>
      </c>
      <c r="M43" t="s">
        <v>788</v>
      </c>
      <c r="N43" t="s">
        <v>12</v>
      </c>
      <c r="O43" t="s">
        <v>789</v>
      </c>
      <c r="P43" t="s">
        <v>14</v>
      </c>
      <c r="Q43" t="s">
        <v>1094</v>
      </c>
      <c r="R43" t="s">
        <v>927</v>
      </c>
      <c r="S43" t="s">
        <v>934</v>
      </c>
      <c r="T43" t="s">
        <v>15</v>
      </c>
      <c r="U43" t="s">
        <v>16</v>
      </c>
      <c r="V43" t="s">
        <v>1094</v>
      </c>
      <c r="W43" t="s">
        <v>927</v>
      </c>
      <c r="X43" t="s">
        <v>934</v>
      </c>
      <c r="Y43" t="s">
        <v>17</v>
      </c>
    </row>
    <row r="44" spans="1:25" x14ac:dyDescent="0.3">
      <c r="A44" t="s">
        <v>1189</v>
      </c>
      <c r="B44" t="s">
        <v>322</v>
      </c>
      <c r="C44" t="s">
        <v>2</v>
      </c>
      <c r="D44" t="s">
        <v>403</v>
      </c>
      <c r="E44" t="s">
        <v>4</v>
      </c>
      <c r="F44" t="s">
        <v>404</v>
      </c>
      <c r="G44">
        <f t="shared" si="0"/>
        <v>4.0607785272103403</v>
      </c>
      <c r="H44" t="s">
        <v>6</v>
      </c>
      <c r="I44" t="s">
        <v>405</v>
      </c>
      <c r="J44" t="s">
        <v>8</v>
      </c>
      <c r="K44" t="s">
        <v>406</v>
      </c>
      <c r="L44" t="s">
        <v>10</v>
      </c>
      <c r="M44" t="s">
        <v>407</v>
      </c>
      <c r="N44" t="s">
        <v>12</v>
      </c>
      <c r="O44" t="s">
        <v>408</v>
      </c>
      <c r="P44" t="s">
        <v>14</v>
      </c>
      <c r="Q44" t="s">
        <v>1021</v>
      </c>
      <c r="R44" t="s">
        <v>927</v>
      </c>
      <c r="S44" t="s">
        <v>1022</v>
      </c>
      <c r="T44" t="s">
        <v>15</v>
      </c>
      <c r="U44" t="s">
        <v>16</v>
      </c>
      <c r="V44" t="s">
        <v>1019</v>
      </c>
      <c r="W44" t="s">
        <v>927</v>
      </c>
      <c r="X44" t="s">
        <v>1020</v>
      </c>
      <c r="Y44" t="s">
        <v>17</v>
      </c>
    </row>
    <row r="45" spans="1:25" x14ac:dyDescent="0.3">
      <c r="A45" t="s">
        <v>1190</v>
      </c>
      <c r="B45" t="s">
        <v>569</v>
      </c>
      <c r="C45" t="s">
        <v>2</v>
      </c>
      <c r="D45" t="s">
        <v>772</v>
      </c>
      <c r="E45" t="s">
        <v>4</v>
      </c>
      <c r="F45" t="s">
        <v>773</v>
      </c>
      <c r="G45">
        <f t="shared" si="0"/>
        <v>3.9000000000000101</v>
      </c>
      <c r="H45" t="s">
        <v>6</v>
      </c>
      <c r="I45" t="s">
        <v>774</v>
      </c>
      <c r="J45" t="s">
        <v>8</v>
      </c>
      <c r="K45" t="s">
        <v>775</v>
      </c>
      <c r="L45" t="s">
        <v>10</v>
      </c>
      <c r="M45" t="s">
        <v>776</v>
      </c>
      <c r="N45" t="s">
        <v>12</v>
      </c>
      <c r="O45" t="s">
        <v>777</v>
      </c>
      <c r="P45" t="s">
        <v>14</v>
      </c>
      <c r="Q45" t="s">
        <v>1088</v>
      </c>
      <c r="R45" t="s">
        <v>927</v>
      </c>
      <c r="S45" t="s">
        <v>1089</v>
      </c>
      <c r="T45" t="s">
        <v>15</v>
      </c>
      <c r="U45" t="s">
        <v>16</v>
      </c>
      <c r="V45" t="s">
        <v>1088</v>
      </c>
      <c r="W45" t="s">
        <v>927</v>
      </c>
      <c r="X45" t="s">
        <v>1089</v>
      </c>
      <c r="Y45" t="s">
        <v>17</v>
      </c>
    </row>
    <row r="46" spans="1:25" x14ac:dyDescent="0.3">
      <c r="A46" t="s">
        <v>1191</v>
      </c>
      <c r="B46" t="s">
        <v>592</v>
      </c>
      <c r="C46" t="s">
        <v>2</v>
      </c>
      <c r="D46" t="s">
        <v>717</v>
      </c>
      <c r="E46" t="s">
        <v>4</v>
      </c>
      <c r="F46" t="s">
        <v>718</v>
      </c>
      <c r="G46">
        <f t="shared" si="0"/>
        <v>3.6300000000000199</v>
      </c>
      <c r="H46" t="s">
        <v>6</v>
      </c>
      <c r="I46" t="s">
        <v>719</v>
      </c>
      <c r="J46" t="s">
        <v>8</v>
      </c>
      <c r="K46" t="s">
        <v>720</v>
      </c>
      <c r="L46" t="s">
        <v>10</v>
      </c>
      <c r="M46" t="s">
        <v>721</v>
      </c>
      <c r="N46" t="s">
        <v>12</v>
      </c>
      <c r="O46" t="s">
        <v>722</v>
      </c>
      <c r="P46" t="s">
        <v>14</v>
      </c>
      <c r="Q46" t="s">
        <v>1077</v>
      </c>
      <c r="R46" t="s">
        <v>927</v>
      </c>
      <c r="S46" t="s">
        <v>934</v>
      </c>
      <c r="T46" t="s">
        <v>15</v>
      </c>
      <c r="U46" t="s">
        <v>16</v>
      </c>
      <c r="V46" t="s">
        <v>1077</v>
      </c>
      <c r="W46" t="s">
        <v>927</v>
      </c>
      <c r="X46" t="s">
        <v>934</v>
      </c>
      <c r="Y46" t="s">
        <v>17</v>
      </c>
    </row>
    <row r="47" spans="1:25" x14ac:dyDescent="0.3">
      <c r="A47" t="s">
        <v>1192</v>
      </c>
      <c r="B47" t="s">
        <v>723</v>
      </c>
      <c r="C47" t="s">
        <v>2</v>
      </c>
      <c r="D47" t="s">
        <v>866</v>
      </c>
      <c r="E47" t="s">
        <v>4</v>
      </c>
      <c r="F47" t="s">
        <v>872</v>
      </c>
      <c r="G47">
        <f t="shared" si="0"/>
        <v>3.5999999999999899</v>
      </c>
      <c r="H47" t="s">
        <v>6</v>
      </c>
      <c r="I47" t="s">
        <v>873</v>
      </c>
      <c r="J47" t="s">
        <v>8</v>
      </c>
      <c r="K47" t="s">
        <v>874</v>
      </c>
      <c r="L47" t="s">
        <v>10</v>
      </c>
      <c r="M47" t="s">
        <v>870</v>
      </c>
      <c r="N47" t="s">
        <v>12</v>
      </c>
      <c r="O47" t="s">
        <v>875</v>
      </c>
      <c r="P47" t="s">
        <v>14</v>
      </c>
      <c r="Q47" t="s">
        <v>1017</v>
      </c>
      <c r="R47" t="s">
        <v>927</v>
      </c>
      <c r="S47" t="s">
        <v>1018</v>
      </c>
      <c r="T47" t="s">
        <v>15</v>
      </c>
      <c r="U47" t="s">
        <v>16</v>
      </c>
      <c r="V47" t="s">
        <v>1017</v>
      </c>
      <c r="W47" t="s">
        <v>927</v>
      </c>
      <c r="X47" t="s">
        <v>1018</v>
      </c>
      <c r="Y47" t="s">
        <v>17</v>
      </c>
    </row>
    <row r="48" spans="1:25" x14ac:dyDescent="0.3">
      <c r="A48" t="s">
        <v>1193</v>
      </c>
      <c r="B48" t="s">
        <v>723</v>
      </c>
      <c r="C48" t="s">
        <v>2</v>
      </c>
      <c r="D48" t="s">
        <v>866</v>
      </c>
      <c r="E48" t="s">
        <v>4</v>
      </c>
      <c r="F48" t="s">
        <v>872</v>
      </c>
      <c r="G48">
        <f t="shared" si="0"/>
        <v>3.5999999999999899</v>
      </c>
      <c r="H48" t="s">
        <v>6</v>
      </c>
      <c r="I48" t="s">
        <v>873</v>
      </c>
      <c r="J48" t="s">
        <v>8</v>
      </c>
      <c r="K48" t="s">
        <v>874</v>
      </c>
      <c r="L48" t="s">
        <v>10</v>
      </c>
      <c r="M48" t="s">
        <v>870</v>
      </c>
      <c r="N48" t="s">
        <v>12</v>
      </c>
      <c r="O48" t="s">
        <v>875</v>
      </c>
      <c r="P48" t="s">
        <v>14</v>
      </c>
      <c r="Q48" t="s">
        <v>1017</v>
      </c>
      <c r="R48" t="s">
        <v>927</v>
      </c>
      <c r="S48" t="s">
        <v>1018</v>
      </c>
      <c r="T48" t="s">
        <v>15</v>
      </c>
      <c r="U48" t="s">
        <v>16</v>
      </c>
      <c r="V48" t="s">
        <v>1017</v>
      </c>
      <c r="W48" t="s">
        <v>927</v>
      </c>
      <c r="X48" t="s">
        <v>1018</v>
      </c>
      <c r="Y48" t="s">
        <v>17</v>
      </c>
    </row>
    <row r="49" spans="1:25" x14ac:dyDescent="0.3">
      <c r="A49" t="s">
        <v>1194</v>
      </c>
      <c r="B49" t="s">
        <v>723</v>
      </c>
      <c r="C49" t="s">
        <v>2</v>
      </c>
      <c r="D49" t="s">
        <v>866</v>
      </c>
      <c r="E49" t="s">
        <v>4</v>
      </c>
      <c r="F49" t="s">
        <v>867</v>
      </c>
      <c r="G49">
        <f t="shared" si="0"/>
        <v>3.44999999999999</v>
      </c>
      <c r="H49" t="s">
        <v>6</v>
      </c>
      <c r="I49" t="s">
        <v>868</v>
      </c>
      <c r="J49" t="s">
        <v>8</v>
      </c>
      <c r="K49" t="s">
        <v>869</v>
      </c>
      <c r="L49" t="s">
        <v>10</v>
      </c>
      <c r="M49" t="s">
        <v>870</v>
      </c>
      <c r="N49" t="s">
        <v>12</v>
      </c>
      <c r="O49" t="s">
        <v>871</v>
      </c>
      <c r="P49" t="s">
        <v>14</v>
      </c>
      <c r="Q49" t="s">
        <v>1017</v>
      </c>
      <c r="R49" t="s">
        <v>927</v>
      </c>
      <c r="S49" t="s">
        <v>1018</v>
      </c>
      <c r="T49" t="s">
        <v>15</v>
      </c>
      <c r="U49" t="s">
        <v>16</v>
      </c>
      <c r="V49" t="s">
        <v>1017</v>
      </c>
      <c r="W49" t="s">
        <v>927</v>
      </c>
      <c r="X49" t="s">
        <v>1018</v>
      </c>
      <c r="Y49" t="s">
        <v>17</v>
      </c>
    </row>
    <row r="50" spans="1:25" x14ac:dyDescent="0.3">
      <c r="A50" t="s">
        <v>1195</v>
      </c>
      <c r="B50" t="s">
        <v>305</v>
      </c>
      <c r="C50" t="s">
        <v>2</v>
      </c>
      <c r="D50" t="s">
        <v>502</v>
      </c>
      <c r="E50" t="s">
        <v>4</v>
      </c>
      <c r="F50" t="s">
        <v>503</v>
      </c>
      <c r="G50">
        <f t="shared" si="0"/>
        <v>3.1400000000000099</v>
      </c>
      <c r="H50" t="s">
        <v>6</v>
      </c>
      <c r="I50" t="s">
        <v>504</v>
      </c>
      <c r="J50" t="s">
        <v>8</v>
      </c>
      <c r="K50" t="s">
        <v>505</v>
      </c>
      <c r="L50" t="s">
        <v>10</v>
      </c>
      <c r="M50" t="s">
        <v>506</v>
      </c>
      <c r="N50" t="s">
        <v>12</v>
      </c>
      <c r="O50" t="s">
        <v>507</v>
      </c>
      <c r="P50" t="s">
        <v>14</v>
      </c>
      <c r="Q50" t="s">
        <v>1044</v>
      </c>
      <c r="R50" t="s">
        <v>927</v>
      </c>
      <c r="S50" t="s">
        <v>999</v>
      </c>
      <c r="T50" t="s">
        <v>15</v>
      </c>
      <c r="U50" t="s">
        <v>16</v>
      </c>
      <c r="V50" t="s">
        <v>1045</v>
      </c>
      <c r="W50" t="s">
        <v>927</v>
      </c>
      <c r="X50" t="s">
        <v>950</v>
      </c>
      <c r="Y50" t="s">
        <v>17</v>
      </c>
    </row>
    <row r="51" spans="1:25" x14ac:dyDescent="0.3">
      <c r="A51" t="s">
        <v>1196</v>
      </c>
      <c r="B51" t="s">
        <v>36</v>
      </c>
      <c r="C51" t="s">
        <v>2</v>
      </c>
      <c r="D51" t="s">
        <v>113</v>
      </c>
      <c r="E51" t="s">
        <v>4</v>
      </c>
      <c r="F51" t="s">
        <v>114</v>
      </c>
      <c r="G51">
        <f t="shared" si="0"/>
        <v>3.0280873957638601</v>
      </c>
      <c r="H51" t="s">
        <v>6</v>
      </c>
      <c r="I51" t="s">
        <v>115</v>
      </c>
      <c r="J51" t="s">
        <v>8</v>
      </c>
      <c r="K51" t="s">
        <v>116</v>
      </c>
      <c r="L51" t="s">
        <v>10</v>
      </c>
      <c r="M51" t="s">
        <v>117</v>
      </c>
      <c r="N51" t="s">
        <v>12</v>
      </c>
      <c r="O51" t="s">
        <v>118</v>
      </c>
      <c r="P51" t="s">
        <v>14</v>
      </c>
      <c r="Q51" t="s">
        <v>926</v>
      </c>
      <c r="R51" t="s">
        <v>927</v>
      </c>
      <c r="S51" t="s">
        <v>928</v>
      </c>
      <c r="T51" t="s">
        <v>15</v>
      </c>
      <c r="U51" t="s">
        <v>16</v>
      </c>
      <c r="V51" t="s">
        <v>952</v>
      </c>
      <c r="W51" t="s">
        <v>927</v>
      </c>
      <c r="X51" t="s">
        <v>953</v>
      </c>
      <c r="Y51" t="s">
        <v>17</v>
      </c>
    </row>
    <row r="52" spans="1:25" x14ac:dyDescent="0.3">
      <c r="A52" t="s">
        <v>1197</v>
      </c>
      <c r="B52" t="s">
        <v>723</v>
      </c>
      <c r="C52" t="s">
        <v>2</v>
      </c>
      <c r="D52" t="s">
        <v>849</v>
      </c>
      <c r="E52" t="s">
        <v>4</v>
      </c>
      <c r="F52" t="s">
        <v>861</v>
      </c>
      <c r="G52">
        <f t="shared" si="0"/>
        <v>2.8799999999999901</v>
      </c>
      <c r="H52" t="s">
        <v>6</v>
      </c>
      <c r="I52" t="s">
        <v>862</v>
      </c>
      <c r="J52" t="s">
        <v>8</v>
      </c>
      <c r="K52" t="s">
        <v>863</v>
      </c>
      <c r="L52" t="s">
        <v>10</v>
      </c>
      <c r="M52" t="s">
        <v>864</v>
      </c>
      <c r="N52" t="s">
        <v>12</v>
      </c>
      <c r="O52" t="s">
        <v>865</v>
      </c>
      <c r="P52" t="s">
        <v>14</v>
      </c>
      <c r="Q52" t="s">
        <v>1102</v>
      </c>
      <c r="R52" t="s">
        <v>927</v>
      </c>
      <c r="S52" t="s">
        <v>1103</v>
      </c>
      <c r="T52" t="s">
        <v>15</v>
      </c>
      <c r="U52" t="s">
        <v>16</v>
      </c>
      <c r="V52" t="s">
        <v>1104</v>
      </c>
      <c r="W52" t="s">
        <v>927</v>
      </c>
      <c r="X52" t="s">
        <v>1105</v>
      </c>
      <c r="Y52" t="s">
        <v>17</v>
      </c>
    </row>
    <row r="53" spans="1:25" x14ac:dyDescent="0.3">
      <c r="A53" t="s">
        <v>1198</v>
      </c>
      <c r="B53" t="s">
        <v>592</v>
      </c>
      <c r="C53" t="s">
        <v>2</v>
      </c>
      <c r="D53" t="s">
        <v>445</v>
      </c>
      <c r="E53" t="s">
        <v>4</v>
      </c>
      <c r="F53" t="s">
        <v>657</v>
      </c>
      <c r="G53">
        <f t="shared" si="0"/>
        <v>2.3799999999999701</v>
      </c>
      <c r="H53" t="s">
        <v>6</v>
      </c>
      <c r="I53" t="s">
        <v>658</v>
      </c>
      <c r="J53" t="s">
        <v>8</v>
      </c>
      <c r="K53" t="s">
        <v>659</v>
      </c>
      <c r="L53" t="s">
        <v>10</v>
      </c>
      <c r="M53" t="s">
        <v>660</v>
      </c>
      <c r="N53" t="s">
        <v>12</v>
      </c>
      <c r="O53" t="s">
        <v>661</v>
      </c>
      <c r="P53" t="s">
        <v>14</v>
      </c>
      <c r="Q53" t="s">
        <v>1062</v>
      </c>
      <c r="R53" t="s">
        <v>927</v>
      </c>
      <c r="S53" t="s">
        <v>1063</v>
      </c>
      <c r="T53" t="s">
        <v>15</v>
      </c>
      <c r="U53" t="s">
        <v>16</v>
      </c>
      <c r="V53" t="s">
        <v>1062</v>
      </c>
      <c r="W53" t="s">
        <v>927</v>
      </c>
      <c r="X53" t="s">
        <v>1063</v>
      </c>
      <c r="Y53" t="s">
        <v>17</v>
      </c>
    </row>
    <row r="54" spans="1:25" x14ac:dyDescent="0.3">
      <c r="A54" t="s">
        <v>1199</v>
      </c>
      <c r="B54" t="s">
        <v>322</v>
      </c>
      <c r="C54" t="s">
        <v>2</v>
      </c>
      <c r="D54" t="s">
        <v>462</v>
      </c>
      <c r="E54" t="s">
        <v>4</v>
      </c>
      <c r="F54" t="s">
        <v>463</v>
      </c>
      <c r="G54">
        <f t="shared" si="0"/>
        <v>2.1202729372544602</v>
      </c>
      <c r="H54" t="s">
        <v>6</v>
      </c>
      <c r="I54" t="s">
        <v>464</v>
      </c>
      <c r="J54" t="s">
        <v>8</v>
      </c>
      <c r="K54" t="s">
        <v>465</v>
      </c>
      <c r="L54" t="s">
        <v>10</v>
      </c>
      <c r="M54" t="s">
        <v>466</v>
      </c>
      <c r="N54" t="s">
        <v>12</v>
      </c>
      <c r="O54" t="s">
        <v>467</v>
      </c>
      <c r="P54" t="s">
        <v>14</v>
      </c>
      <c r="Q54" t="s">
        <v>1035</v>
      </c>
      <c r="R54" t="s">
        <v>927</v>
      </c>
      <c r="S54" t="s">
        <v>1036</v>
      </c>
      <c r="T54" t="s">
        <v>15</v>
      </c>
      <c r="U54" t="s">
        <v>16</v>
      </c>
      <c r="V54" t="s">
        <v>1037</v>
      </c>
      <c r="W54" t="s">
        <v>927</v>
      </c>
      <c r="X54" t="s">
        <v>950</v>
      </c>
      <c r="Y54" t="s">
        <v>17</v>
      </c>
    </row>
    <row r="55" spans="1:25" x14ac:dyDescent="0.3">
      <c r="A55" t="s">
        <v>1200</v>
      </c>
      <c r="B55" t="s">
        <v>592</v>
      </c>
      <c r="C55" t="s">
        <v>2</v>
      </c>
      <c r="D55" t="s">
        <v>473</v>
      </c>
      <c r="E55" t="s">
        <v>4</v>
      </c>
      <c r="F55" t="s">
        <v>604</v>
      </c>
      <c r="G55">
        <f t="shared" si="0"/>
        <v>2.1100000000000598</v>
      </c>
      <c r="H55" t="s">
        <v>6</v>
      </c>
      <c r="I55" t="s">
        <v>605</v>
      </c>
      <c r="J55" t="s">
        <v>8</v>
      </c>
      <c r="K55" t="s">
        <v>606</v>
      </c>
      <c r="L55" t="s">
        <v>10</v>
      </c>
      <c r="M55" t="s">
        <v>602</v>
      </c>
      <c r="N55" t="s">
        <v>12</v>
      </c>
      <c r="O55" t="s">
        <v>607</v>
      </c>
      <c r="P55" t="s">
        <v>14</v>
      </c>
      <c r="Q55" t="s">
        <v>1054</v>
      </c>
      <c r="R55" t="s">
        <v>927</v>
      </c>
      <c r="S55" t="s">
        <v>1050</v>
      </c>
      <c r="T55" t="s">
        <v>15</v>
      </c>
      <c r="U55" t="s">
        <v>16</v>
      </c>
      <c r="V55" t="s">
        <v>1054</v>
      </c>
      <c r="W55" t="s">
        <v>927</v>
      </c>
      <c r="X55" t="s">
        <v>1050</v>
      </c>
      <c r="Y55" t="s">
        <v>17</v>
      </c>
    </row>
    <row r="56" spans="1:25" x14ac:dyDescent="0.3">
      <c r="A56" t="s">
        <v>1201</v>
      </c>
      <c r="B56" t="s">
        <v>322</v>
      </c>
      <c r="C56" t="s">
        <v>2</v>
      </c>
      <c r="D56" t="s">
        <v>491</v>
      </c>
      <c r="E56" t="s">
        <v>4</v>
      </c>
      <c r="F56" t="s">
        <v>525</v>
      </c>
      <c r="G56">
        <f t="shared" si="0"/>
        <v>1.75000000000001</v>
      </c>
      <c r="H56" t="s">
        <v>6</v>
      </c>
      <c r="I56" t="s">
        <v>526</v>
      </c>
      <c r="J56" t="s">
        <v>8</v>
      </c>
      <c r="K56" t="s">
        <v>527</v>
      </c>
      <c r="L56" t="s">
        <v>10</v>
      </c>
      <c r="M56" t="s">
        <v>528</v>
      </c>
      <c r="N56" t="s">
        <v>12</v>
      </c>
      <c r="O56" t="s">
        <v>529</v>
      </c>
      <c r="P56" t="s">
        <v>14</v>
      </c>
      <c r="Q56" t="s">
        <v>1044</v>
      </c>
      <c r="R56" t="s">
        <v>927</v>
      </c>
      <c r="S56" t="s">
        <v>999</v>
      </c>
      <c r="T56" t="s">
        <v>15</v>
      </c>
      <c r="U56" t="s">
        <v>16</v>
      </c>
      <c r="V56" t="s">
        <v>1045</v>
      </c>
      <c r="W56" t="s">
        <v>927</v>
      </c>
      <c r="X56" t="s">
        <v>950</v>
      </c>
      <c r="Y56" t="s">
        <v>17</v>
      </c>
    </row>
    <row r="57" spans="1:25" x14ac:dyDescent="0.3">
      <c r="A57" t="s">
        <v>1202</v>
      </c>
      <c r="B57" t="s">
        <v>613</v>
      </c>
      <c r="C57" t="s">
        <v>2</v>
      </c>
      <c r="D57" t="s">
        <v>462</v>
      </c>
      <c r="E57" t="s">
        <v>4</v>
      </c>
      <c r="F57" t="s">
        <v>672</v>
      </c>
      <c r="G57">
        <f t="shared" si="0"/>
        <v>1.4167612398068601</v>
      </c>
      <c r="H57" t="s">
        <v>6</v>
      </c>
      <c r="I57" t="s">
        <v>673</v>
      </c>
      <c r="J57" t="s">
        <v>8</v>
      </c>
      <c r="K57" t="s">
        <v>674</v>
      </c>
      <c r="L57" t="s">
        <v>10</v>
      </c>
      <c r="M57" t="s">
        <v>675</v>
      </c>
      <c r="N57" t="s">
        <v>12</v>
      </c>
      <c r="O57" t="s">
        <v>676</v>
      </c>
      <c r="P57" t="s">
        <v>14</v>
      </c>
      <c r="Q57" t="s">
        <v>1062</v>
      </c>
      <c r="R57" t="s">
        <v>927</v>
      </c>
      <c r="S57" t="s">
        <v>1063</v>
      </c>
      <c r="T57" t="s">
        <v>15</v>
      </c>
      <c r="U57" t="s">
        <v>16</v>
      </c>
      <c r="V57" t="s">
        <v>1062</v>
      </c>
      <c r="W57" t="s">
        <v>927</v>
      </c>
      <c r="X57" t="s">
        <v>1063</v>
      </c>
      <c r="Y57" t="s">
        <v>17</v>
      </c>
    </row>
    <row r="58" spans="1:25" x14ac:dyDescent="0.3">
      <c r="A58" t="s">
        <v>1203</v>
      </c>
      <c r="B58" t="s">
        <v>592</v>
      </c>
      <c r="C58" t="s">
        <v>2</v>
      </c>
      <c r="D58" t="s">
        <v>473</v>
      </c>
      <c r="E58" t="s">
        <v>4</v>
      </c>
      <c r="F58" t="s">
        <v>599</v>
      </c>
      <c r="G58">
        <f t="shared" si="0"/>
        <v>1.11000000000006</v>
      </c>
      <c r="H58" t="s">
        <v>6</v>
      </c>
      <c r="I58" t="s">
        <v>600</v>
      </c>
      <c r="J58" t="s">
        <v>8</v>
      </c>
      <c r="K58" t="s">
        <v>601</v>
      </c>
      <c r="L58" t="s">
        <v>10</v>
      </c>
      <c r="M58" t="s">
        <v>602</v>
      </c>
      <c r="N58" t="s">
        <v>12</v>
      </c>
      <c r="O58" t="s">
        <v>603</v>
      </c>
      <c r="P58" t="s">
        <v>14</v>
      </c>
      <c r="Q58" t="s">
        <v>1054</v>
      </c>
      <c r="R58" t="s">
        <v>927</v>
      </c>
      <c r="S58" t="s">
        <v>1050</v>
      </c>
      <c r="T58" t="s">
        <v>15</v>
      </c>
      <c r="U58" t="s">
        <v>16</v>
      </c>
      <c r="V58" t="s">
        <v>1054</v>
      </c>
      <c r="W58" t="s">
        <v>927</v>
      </c>
      <c r="X58" t="s">
        <v>1050</v>
      </c>
      <c r="Y58" t="s">
        <v>17</v>
      </c>
    </row>
    <row r="59" spans="1:25" x14ac:dyDescent="0.3">
      <c r="A59" t="s">
        <v>1204</v>
      </c>
      <c r="B59" t="s">
        <v>569</v>
      </c>
      <c r="C59" t="s">
        <v>2</v>
      </c>
      <c r="D59" t="s">
        <v>706</v>
      </c>
      <c r="E59" t="s">
        <v>4</v>
      </c>
      <c r="F59" t="s">
        <v>707</v>
      </c>
      <c r="G59">
        <f t="shared" si="0"/>
        <v>0.10000000000004899</v>
      </c>
      <c r="H59" t="s">
        <v>6</v>
      </c>
      <c r="I59" t="s">
        <v>708</v>
      </c>
      <c r="J59" t="s">
        <v>8</v>
      </c>
      <c r="K59" t="s">
        <v>709</v>
      </c>
      <c r="L59" t="s">
        <v>10</v>
      </c>
      <c r="M59" t="s">
        <v>710</v>
      </c>
      <c r="N59" t="s">
        <v>12</v>
      </c>
      <c r="O59" t="s">
        <v>711</v>
      </c>
      <c r="P59" t="s">
        <v>14</v>
      </c>
      <c r="Q59" t="s">
        <v>1073</v>
      </c>
      <c r="R59" t="s">
        <v>927</v>
      </c>
      <c r="S59" t="s">
        <v>1074</v>
      </c>
      <c r="T59" t="s">
        <v>15</v>
      </c>
      <c r="U59" t="s">
        <v>16</v>
      </c>
      <c r="V59" t="s">
        <v>1073</v>
      </c>
      <c r="W59" t="s">
        <v>927</v>
      </c>
      <c r="X59" t="s">
        <v>1074</v>
      </c>
      <c r="Y59" t="s">
        <v>17</v>
      </c>
    </row>
    <row r="60" spans="1:25" x14ac:dyDescent="0.3">
      <c r="A60" t="s">
        <v>1205</v>
      </c>
      <c r="B60" t="s">
        <v>592</v>
      </c>
      <c r="C60" t="s">
        <v>2</v>
      </c>
      <c r="D60" t="s">
        <v>778</v>
      </c>
      <c r="E60" t="s">
        <v>4</v>
      </c>
      <c r="F60" t="s">
        <v>779</v>
      </c>
      <c r="G60">
        <f t="shared" si="0"/>
        <v>5.5511151231257803E-15</v>
      </c>
      <c r="H60" t="s">
        <v>6</v>
      </c>
      <c r="I60" t="s">
        <v>780</v>
      </c>
      <c r="J60" t="s">
        <v>8</v>
      </c>
      <c r="K60" t="s">
        <v>781</v>
      </c>
      <c r="L60" t="s">
        <v>10</v>
      </c>
      <c r="M60" t="s">
        <v>782</v>
      </c>
      <c r="N60" t="s">
        <v>12</v>
      </c>
      <c r="O60" t="s">
        <v>783</v>
      </c>
      <c r="P60" t="s">
        <v>14</v>
      </c>
      <c r="Q60" t="s">
        <v>1090</v>
      </c>
      <c r="R60" t="s">
        <v>927</v>
      </c>
      <c r="S60" t="s">
        <v>1091</v>
      </c>
      <c r="T60" t="s">
        <v>15</v>
      </c>
      <c r="U60" t="s">
        <v>16</v>
      </c>
      <c r="V60" t="s">
        <v>1092</v>
      </c>
      <c r="W60" t="s">
        <v>927</v>
      </c>
      <c r="X60" t="s">
        <v>1093</v>
      </c>
      <c r="Y60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8E6E-0BEF-4FBF-912C-12E76248DD7A}">
  <dimension ref="A1:X52"/>
  <sheetViews>
    <sheetView zoomScale="85" zoomScaleNormal="85" workbookViewId="0">
      <selection activeCell="D11" sqref="D11"/>
    </sheetView>
  </sheetViews>
  <sheetFormatPr defaultRowHeight="16.5" x14ac:dyDescent="0.3"/>
  <cols>
    <col min="6" max="6" width="8.75" customWidth="1"/>
    <col min="13" max="13" width="3.625" style="7" customWidth="1"/>
  </cols>
  <sheetData>
    <row r="1" spans="1:24" x14ac:dyDescent="0.3">
      <c r="A1" s="2" t="s">
        <v>1236</v>
      </c>
      <c r="N1" s="2" t="s">
        <v>1238</v>
      </c>
    </row>
    <row r="2" spans="1:24" x14ac:dyDescent="0.3">
      <c r="A2" s="2" t="s">
        <v>1237</v>
      </c>
      <c r="N2" s="2" t="s">
        <v>1279</v>
      </c>
    </row>
    <row r="3" spans="1:24" x14ac:dyDescent="0.3">
      <c r="A3" s="2" t="s">
        <v>1280</v>
      </c>
      <c r="N3" s="2" t="s">
        <v>1239</v>
      </c>
    </row>
    <row r="4" spans="1:24" x14ac:dyDescent="0.3">
      <c r="A4" s="2" t="s">
        <v>1302</v>
      </c>
      <c r="N4" s="2" t="s">
        <v>1281</v>
      </c>
      <c r="S4" s="2"/>
    </row>
    <row r="5" spans="1:24" s="6" customFormat="1" x14ac:dyDescent="0.3">
      <c r="A5" s="5" t="s">
        <v>1282</v>
      </c>
      <c r="M5" s="7"/>
      <c r="N5" s="12" t="s">
        <v>1722</v>
      </c>
      <c r="S5" s="5"/>
    </row>
    <row r="6" spans="1:24" x14ac:dyDescent="0.3">
      <c r="A6" s="2" t="s">
        <v>1283</v>
      </c>
      <c r="F6" s="2" t="s">
        <v>1299</v>
      </c>
      <c r="N6" s="2" t="s">
        <v>1301</v>
      </c>
      <c r="U6" s="2" t="s">
        <v>1300</v>
      </c>
    </row>
    <row r="8" spans="1:24" x14ac:dyDescent="0.3">
      <c r="A8" t="s">
        <v>1212</v>
      </c>
      <c r="B8" t="s">
        <v>613</v>
      </c>
      <c r="F8" t="s">
        <v>1212</v>
      </c>
      <c r="G8" t="s">
        <v>613</v>
      </c>
      <c r="N8" t="s">
        <v>1212</v>
      </c>
      <c r="O8" t="s">
        <v>347</v>
      </c>
      <c r="U8" t="s">
        <v>1212</v>
      </c>
      <c r="V8" t="s">
        <v>347</v>
      </c>
    </row>
    <row r="9" spans="1:24" x14ac:dyDescent="0.3">
      <c r="A9" t="s">
        <v>2</v>
      </c>
      <c r="B9" t="s">
        <v>306</v>
      </c>
      <c r="F9" t="s">
        <v>2</v>
      </c>
      <c r="G9" t="s">
        <v>372</v>
      </c>
      <c r="N9" t="s">
        <v>2</v>
      </c>
      <c r="O9" t="s">
        <v>1240</v>
      </c>
      <c r="U9" t="s">
        <v>2</v>
      </c>
      <c r="V9" t="s">
        <v>1259</v>
      </c>
    </row>
    <row r="10" spans="1:24" x14ac:dyDescent="0.3">
      <c r="A10" t="s">
        <v>4</v>
      </c>
      <c r="B10" t="s">
        <v>1213</v>
      </c>
      <c r="F10" t="s">
        <v>4</v>
      </c>
      <c r="G10" t="s">
        <v>1284</v>
      </c>
      <c r="N10" t="s">
        <v>4</v>
      </c>
      <c r="O10" t="s">
        <v>1241</v>
      </c>
      <c r="U10" t="s">
        <v>4</v>
      </c>
      <c r="V10" t="s">
        <v>1260</v>
      </c>
    </row>
    <row r="11" spans="1:24" x14ac:dyDescent="0.3">
      <c r="A11" t="s">
        <v>6</v>
      </c>
      <c r="B11" t="s">
        <v>1214</v>
      </c>
      <c r="F11" t="s">
        <v>6</v>
      </c>
      <c r="G11" t="s">
        <v>1285</v>
      </c>
      <c r="N11" t="s">
        <v>6</v>
      </c>
      <c r="O11" t="s">
        <v>1242</v>
      </c>
      <c r="U11" t="s">
        <v>6</v>
      </c>
      <c r="V11" t="s">
        <v>1261</v>
      </c>
    </row>
    <row r="12" spans="1:24" x14ac:dyDescent="0.3">
      <c r="A12" t="s">
        <v>8</v>
      </c>
      <c r="B12" t="s">
        <v>1215</v>
      </c>
      <c r="F12" t="s">
        <v>8</v>
      </c>
      <c r="G12" t="s">
        <v>1286</v>
      </c>
      <c r="N12" t="s">
        <v>8</v>
      </c>
      <c r="O12" t="s">
        <v>1243</v>
      </c>
      <c r="U12" t="s">
        <v>8</v>
      </c>
      <c r="V12" t="s">
        <v>1262</v>
      </c>
    </row>
    <row r="13" spans="1:24" x14ac:dyDescent="0.3">
      <c r="A13" t="s">
        <v>10</v>
      </c>
      <c r="B13" t="s">
        <v>1216</v>
      </c>
      <c r="F13" t="s">
        <v>10</v>
      </c>
      <c r="G13" t="s">
        <v>1287</v>
      </c>
      <c r="N13" t="s">
        <v>10</v>
      </c>
      <c r="O13" t="s">
        <v>1244</v>
      </c>
      <c r="U13" t="s">
        <v>10</v>
      </c>
      <c r="V13" t="s">
        <v>1263</v>
      </c>
    </row>
    <row r="14" spans="1:24" x14ac:dyDescent="0.3">
      <c r="A14" t="s">
        <v>12</v>
      </c>
      <c r="B14" t="s">
        <v>1217</v>
      </c>
      <c r="F14" t="s">
        <v>12</v>
      </c>
      <c r="G14" t="s">
        <v>1288</v>
      </c>
      <c r="N14" t="s">
        <v>12</v>
      </c>
      <c r="O14" t="s">
        <v>1245</v>
      </c>
      <c r="U14" t="s">
        <v>12</v>
      </c>
      <c r="V14" t="s">
        <v>1264</v>
      </c>
    </row>
    <row r="15" spans="1:24" x14ac:dyDescent="0.3">
      <c r="A15" t="s">
        <v>14</v>
      </c>
      <c r="B15" t="s">
        <v>1080</v>
      </c>
      <c r="F15" t="s">
        <v>14</v>
      </c>
      <c r="G15" t="s">
        <v>1099</v>
      </c>
      <c r="N15" t="s">
        <v>14</v>
      </c>
      <c r="O15" t="s">
        <v>1246</v>
      </c>
      <c r="Q15" t="s">
        <v>927</v>
      </c>
      <c r="R15" t="s">
        <v>1247</v>
      </c>
      <c r="S15" t="s">
        <v>15</v>
      </c>
      <c r="U15" t="s">
        <v>14</v>
      </c>
      <c r="V15" t="s">
        <v>1265</v>
      </c>
      <c r="W15" t="s">
        <v>927</v>
      </c>
      <c r="X15" t="s">
        <v>1266</v>
      </c>
    </row>
    <row r="16" spans="1:24" x14ac:dyDescent="0.3">
      <c r="A16" s="1">
        <v>40823</v>
      </c>
      <c r="B16" s="1">
        <v>40830</v>
      </c>
      <c r="F16" s="1">
        <v>44839</v>
      </c>
      <c r="G16" s="1">
        <v>44862</v>
      </c>
      <c r="N16" t="s">
        <v>16</v>
      </c>
      <c r="O16" t="s">
        <v>1246</v>
      </c>
      <c r="Q16" t="s">
        <v>927</v>
      </c>
      <c r="R16" t="s">
        <v>1247</v>
      </c>
      <c r="S16" t="s">
        <v>1218</v>
      </c>
      <c r="U16" t="s">
        <v>16</v>
      </c>
      <c r="V16" t="s">
        <v>1267</v>
      </c>
      <c r="W16" t="s">
        <v>927</v>
      </c>
      <c r="X16" t="s">
        <v>1266</v>
      </c>
    </row>
    <row r="17" spans="1:24" x14ac:dyDescent="0.3">
      <c r="A17" s="1">
        <v>40823</v>
      </c>
      <c r="B17" s="1">
        <v>40835</v>
      </c>
      <c r="C17" t="s">
        <v>69</v>
      </c>
      <c r="D17" t="s">
        <v>70</v>
      </c>
      <c r="F17" s="1">
        <v>44839</v>
      </c>
      <c r="G17" s="1">
        <v>44881</v>
      </c>
      <c r="N17" s="4" t="s">
        <v>0</v>
      </c>
      <c r="O17" s="4" t="s">
        <v>347</v>
      </c>
      <c r="P17" s="4"/>
      <c r="Q17" s="4"/>
      <c r="R17" s="4"/>
      <c r="S17" s="4"/>
      <c r="U17" t="s">
        <v>0</v>
      </c>
      <c r="V17" t="s">
        <v>347</v>
      </c>
    </row>
    <row r="18" spans="1:24" x14ac:dyDescent="0.3">
      <c r="A18" t="s">
        <v>67</v>
      </c>
      <c r="B18" t="s">
        <v>68</v>
      </c>
      <c r="C18" t="s">
        <v>927</v>
      </c>
      <c r="D18" t="s">
        <v>1081</v>
      </c>
      <c r="E18" t="s">
        <v>1218</v>
      </c>
      <c r="F18" t="s">
        <v>67</v>
      </c>
      <c r="G18" t="s">
        <v>68</v>
      </c>
      <c r="H18" t="s">
        <v>69</v>
      </c>
      <c r="I18" t="s">
        <v>70</v>
      </c>
      <c r="N18" s="4" t="s">
        <v>2</v>
      </c>
      <c r="O18" s="4" t="s">
        <v>569</v>
      </c>
      <c r="P18" s="4"/>
      <c r="Q18" s="4"/>
      <c r="R18" s="4"/>
      <c r="S18" s="4"/>
      <c r="U18" t="s">
        <v>2</v>
      </c>
      <c r="V18" t="s">
        <v>1268</v>
      </c>
    </row>
    <row r="19" spans="1:24" x14ac:dyDescent="0.3">
      <c r="A19" t="s">
        <v>16</v>
      </c>
      <c r="B19" t="s">
        <v>1080</v>
      </c>
      <c r="F19" t="s">
        <v>16</v>
      </c>
      <c r="G19" t="s">
        <v>1099</v>
      </c>
      <c r="H19" t="s">
        <v>927</v>
      </c>
      <c r="I19" t="s">
        <v>1100</v>
      </c>
      <c r="K19" t="s">
        <v>1218</v>
      </c>
      <c r="N19" s="4" t="s">
        <v>4</v>
      </c>
      <c r="O19" s="4" t="s">
        <v>1248</v>
      </c>
      <c r="P19" s="4"/>
      <c r="Q19" s="4"/>
      <c r="R19" s="4"/>
      <c r="S19" s="4"/>
      <c r="U19" t="s">
        <v>4</v>
      </c>
      <c r="V19" t="s">
        <v>1269</v>
      </c>
    </row>
    <row r="20" spans="1:24" x14ac:dyDescent="0.3">
      <c r="A20" t="s">
        <v>0</v>
      </c>
      <c r="B20" t="s">
        <v>613</v>
      </c>
      <c r="F20" t="s">
        <v>0</v>
      </c>
      <c r="G20" t="s">
        <v>613</v>
      </c>
      <c r="N20" s="4" t="s">
        <v>6</v>
      </c>
      <c r="O20" s="4" t="s">
        <v>1249</v>
      </c>
      <c r="P20" s="4"/>
      <c r="Q20" s="4"/>
      <c r="R20" s="4"/>
      <c r="S20" s="4"/>
      <c r="U20" t="s">
        <v>6</v>
      </c>
      <c r="V20" t="s">
        <v>1270</v>
      </c>
    </row>
    <row r="21" spans="1:24" x14ac:dyDescent="0.3">
      <c r="A21" t="s">
        <v>2</v>
      </c>
      <c r="B21" t="s">
        <v>485</v>
      </c>
      <c r="F21" t="s">
        <v>2</v>
      </c>
      <c r="G21" t="s">
        <v>372</v>
      </c>
      <c r="N21" s="4" t="s">
        <v>8</v>
      </c>
      <c r="O21" s="4" t="s">
        <v>1250</v>
      </c>
      <c r="P21" s="4"/>
      <c r="Q21" s="4"/>
      <c r="R21" s="4"/>
      <c r="S21" s="4"/>
      <c r="U21" t="s">
        <v>8</v>
      </c>
      <c r="V21" t="s">
        <v>1271</v>
      </c>
    </row>
    <row r="22" spans="1:24" x14ac:dyDescent="0.3">
      <c r="A22" t="s">
        <v>4</v>
      </c>
      <c r="B22" t="s">
        <v>1219</v>
      </c>
      <c r="F22" t="s">
        <v>4</v>
      </c>
      <c r="G22" t="s">
        <v>1289</v>
      </c>
      <c r="N22" s="4" t="s">
        <v>10</v>
      </c>
      <c r="O22" s="4" t="s">
        <v>1251</v>
      </c>
      <c r="P22" s="4"/>
      <c r="Q22" s="4"/>
      <c r="R22" s="4"/>
      <c r="S22" s="4"/>
      <c r="U22" t="s">
        <v>10</v>
      </c>
      <c r="V22" t="s">
        <v>1272</v>
      </c>
    </row>
    <row r="23" spans="1:24" x14ac:dyDescent="0.3">
      <c r="A23" t="s">
        <v>6</v>
      </c>
      <c r="B23" t="s">
        <v>1220</v>
      </c>
      <c r="F23" t="s">
        <v>6</v>
      </c>
      <c r="G23" t="s">
        <v>1290</v>
      </c>
      <c r="N23" s="4" t="s">
        <v>12</v>
      </c>
      <c r="O23" s="4" t="s">
        <v>1252</v>
      </c>
      <c r="P23" s="4"/>
      <c r="Q23" s="4"/>
      <c r="R23" s="4"/>
      <c r="S23" s="4"/>
      <c r="U23" t="s">
        <v>12</v>
      </c>
      <c r="V23" t="s">
        <v>1273</v>
      </c>
    </row>
    <row r="24" spans="1:24" x14ac:dyDescent="0.3">
      <c r="A24" t="s">
        <v>8</v>
      </c>
      <c r="B24" t="s">
        <v>1221</v>
      </c>
      <c r="F24" t="s">
        <v>8</v>
      </c>
      <c r="G24" t="s">
        <v>1291</v>
      </c>
      <c r="N24" s="4" t="s">
        <v>14</v>
      </c>
      <c r="O24" s="4" t="s">
        <v>1246</v>
      </c>
      <c r="P24" s="4"/>
      <c r="Q24" s="4" t="s">
        <v>927</v>
      </c>
      <c r="R24" s="4" t="s">
        <v>1247</v>
      </c>
      <c r="S24" s="4" t="s">
        <v>15</v>
      </c>
      <c r="U24" t="s">
        <v>14</v>
      </c>
      <c r="V24" t="s">
        <v>1006</v>
      </c>
      <c r="W24" t="s">
        <v>927</v>
      </c>
      <c r="X24" t="s">
        <v>1007</v>
      </c>
    </row>
    <row r="25" spans="1:24" x14ac:dyDescent="0.3">
      <c r="A25" t="s">
        <v>10</v>
      </c>
      <c r="B25" t="s">
        <v>1222</v>
      </c>
      <c r="F25" t="s">
        <v>10</v>
      </c>
      <c r="G25" t="s">
        <v>1287</v>
      </c>
      <c r="N25" s="4" t="s">
        <v>16</v>
      </c>
      <c r="O25" s="4" t="s">
        <v>1246</v>
      </c>
      <c r="P25" s="4"/>
      <c r="Q25" s="4" t="s">
        <v>927</v>
      </c>
      <c r="R25" s="4" t="s">
        <v>1247</v>
      </c>
      <c r="S25" s="4" t="s">
        <v>1218</v>
      </c>
      <c r="U25" t="s">
        <v>16</v>
      </c>
      <c r="V25" t="s">
        <v>1267</v>
      </c>
      <c r="W25" t="s">
        <v>927</v>
      </c>
      <c r="X25" t="s">
        <v>1266</v>
      </c>
    </row>
    <row r="26" spans="1:24" x14ac:dyDescent="0.3">
      <c r="A26" t="s">
        <v>12</v>
      </c>
      <c r="B26" t="s">
        <v>1223</v>
      </c>
      <c r="F26" t="s">
        <v>12</v>
      </c>
      <c r="G26" t="s">
        <v>1292</v>
      </c>
      <c r="N26" s="4" t="s">
        <v>0</v>
      </c>
      <c r="O26" s="4" t="s">
        <v>347</v>
      </c>
      <c r="P26" s="4"/>
      <c r="Q26" s="4"/>
      <c r="R26" s="4"/>
      <c r="S26" s="4"/>
      <c r="U26" t="s">
        <v>0</v>
      </c>
      <c r="V26" t="s">
        <v>347</v>
      </c>
    </row>
    <row r="27" spans="1:24" x14ac:dyDescent="0.3">
      <c r="A27" t="s">
        <v>14</v>
      </c>
      <c r="B27" t="s">
        <v>1077</v>
      </c>
      <c r="F27" t="s">
        <v>14</v>
      </c>
      <c r="G27" t="s">
        <v>1099</v>
      </c>
      <c r="N27" s="4" t="s">
        <v>2</v>
      </c>
      <c r="O27" s="4" t="s">
        <v>1253</v>
      </c>
      <c r="P27" s="4"/>
      <c r="Q27" s="4"/>
      <c r="R27" s="4"/>
      <c r="S27" s="4"/>
      <c r="U27" t="s">
        <v>2</v>
      </c>
      <c r="V27" t="s">
        <v>925</v>
      </c>
    </row>
    <row r="28" spans="1:24" x14ac:dyDescent="0.3">
      <c r="A28" s="1">
        <v>40823</v>
      </c>
      <c r="B28" s="1">
        <v>40857</v>
      </c>
      <c r="F28" s="1">
        <v>44839</v>
      </c>
      <c r="G28" s="1">
        <v>44862</v>
      </c>
      <c r="N28" s="4" t="s">
        <v>4</v>
      </c>
      <c r="O28" s="4" t="s">
        <v>1254</v>
      </c>
      <c r="P28" s="4"/>
      <c r="Q28" s="4"/>
      <c r="R28" s="4"/>
      <c r="S28" s="4"/>
      <c r="U28" t="s">
        <v>4</v>
      </c>
      <c r="V28" t="s">
        <v>1274</v>
      </c>
    </row>
    <row r="29" spans="1:24" x14ac:dyDescent="0.3">
      <c r="A29" s="1">
        <v>40823</v>
      </c>
      <c r="B29" s="1">
        <v>40835</v>
      </c>
      <c r="C29" t="s">
        <v>69</v>
      </c>
      <c r="D29" t="s">
        <v>70</v>
      </c>
      <c r="F29" s="1">
        <v>44839</v>
      </c>
      <c r="G29" s="1">
        <v>44881</v>
      </c>
      <c r="N29" s="4" t="s">
        <v>6</v>
      </c>
      <c r="O29" s="4" t="s">
        <v>1255</v>
      </c>
      <c r="P29" s="4"/>
      <c r="Q29" s="4"/>
      <c r="R29" s="4"/>
      <c r="S29" s="4"/>
      <c r="U29" t="s">
        <v>6</v>
      </c>
      <c r="V29" t="s">
        <v>1275</v>
      </c>
    </row>
    <row r="30" spans="1:24" x14ac:dyDescent="0.3">
      <c r="A30" t="s">
        <v>67</v>
      </c>
      <c r="B30" t="s">
        <v>68</v>
      </c>
      <c r="C30" t="s">
        <v>927</v>
      </c>
      <c r="D30" t="s">
        <v>934</v>
      </c>
      <c r="E30" t="s">
        <v>1218</v>
      </c>
      <c r="F30" t="s">
        <v>67</v>
      </c>
      <c r="G30" t="s">
        <v>68</v>
      </c>
      <c r="H30" t="s">
        <v>69</v>
      </c>
      <c r="I30" t="s">
        <v>70</v>
      </c>
      <c r="N30" s="4" t="s">
        <v>8</v>
      </c>
      <c r="O30" s="4" t="s">
        <v>1256</v>
      </c>
      <c r="P30" s="4"/>
      <c r="Q30" s="4"/>
      <c r="R30" s="4"/>
      <c r="S30" s="4"/>
      <c r="U30" t="s">
        <v>8</v>
      </c>
      <c r="V30" t="s">
        <v>1276</v>
      </c>
    </row>
    <row r="31" spans="1:24" x14ac:dyDescent="0.3">
      <c r="A31" t="s">
        <v>16</v>
      </c>
      <c r="B31" t="s">
        <v>1077</v>
      </c>
      <c r="F31" t="s">
        <v>16</v>
      </c>
      <c r="G31" t="s">
        <v>1099</v>
      </c>
      <c r="H31" t="s">
        <v>927</v>
      </c>
      <c r="I31" t="s">
        <v>1100</v>
      </c>
      <c r="K31" t="s">
        <v>1218</v>
      </c>
      <c r="N31" s="4" t="s">
        <v>10</v>
      </c>
      <c r="O31" s="4" t="s">
        <v>1257</v>
      </c>
      <c r="P31" s="4"/>
      <c r="Q31" s="4"/>
      <c r="R31" s="4"/>
      <c r="S31" s="4"/>
      <c r="U31" t="s">
        <v>10</v>
      </c>
      <c r="V31" t="s">
        <v>1277</v>
      </c>
    </row>
    <row r="32" spans="1:24" x14ac:dyDescent="0.3">
      <c r="A32" t="s">
        <v>0</v>
      </c>
      <c r="B32" t="s">
        <v>613</v>
      </c>
      <c r="F32" t="s">
        <v>0</v>
      </c>
      <c r="G32" t="s">
        <v>613</v>
      </c>
      <c r="N32" s="4" t="s">
        <v>12</v>
      </c>
      <c r="O32" s="4" t="s">
        <v>1258</v>
      </c>
      <c r="P32" s="4"/>
      <c r="Q32" s="4"/>
      <c r="R32" s="4"/>
      <c r="S32" s="4"/>
      <c r="U32" t="s">
        <v>12</v>
      </c>
      <c r="V32" t="s">
        <v>1278</v>
      </c>
    </row>
    <row r="33" spans="1:24" x14ac:dyDescent="0.3">
      <c r="A33" t="s">
        <v>2</v>
      </c>
      <c r="B33" t="s">
        <v>1224</v>
      </c>
      <c r="F33" t="s">
        <v>2</v>
      </c>
      <c r="G33" t="s">
        <v>372</v>
      </c>
      <c r="N33" s="4" t="s">
        <v>14</v>
      </c>
      <c r="O33" s="4" t="s">
        <v>1246</v>
      </c>
      <c r="P33" s="4"/>
      <c r="Q33" s="4" t="s">
        <v>927</v>
      </c>
      <c r="R33" s="4" t="s">
        <v>1247</v>
      </c>
      <c r="S33" s="4" t="s">
        <v>15</v>
      </c>
      <c r="U33" t="s">
        <v>14</v>
      </c>
      <c r="V33" t="s">
        <v>1006</v>
      </c>
      <c r="W33" t="s">
        <v>927</v>
      </c>
      <c r="X33" t="s">
        <v>1007</v>
      </c>
    </row>
    <row r="34" spans="1:24" x14ac:dyDescent="0.3">
      <c r="A34" t="s">
        <v>4</v>
      </c>
      <c r="B34" t="s">
        <v>1225</v>
      </c>
      <c r="F34" t="s">
        <v>4</v>
      </c>
      <c r="G34" t="s">
        <v>1289</v>
      </c>
      <c r="N34" s="4" t="s">
        <v>16</v>
      </c>
      <c r="O34" s="4" t="s">
        <v>1246</v>
      </c>
      <c r="P34" s="4"/>
      <c r="Q34" s="4" t="s">
        <v>927</v>
      </c>
      <c r="R34" s="4" t="s">
        <v>1247</v>
      </c>
      <c r="S34" s="4" t="s">
        <v>1218</v>
      </c>
      <c r="U34" t="s">
        <v>16</v>
      </c>
      <c r="V34" t="s">
        <v>1008</v>
      </c>
      <c r="W34" t="s">
        <v>927</v>
      </c>
      <c r="X34" t="s">
        <v>1009</v>
      </c>
    </row>
    <row r="35" spans="1:24" x14ac:dyDescent="0.3">
      <c r="A35" t="s">
        <v>6</v>
      </c>
      <c r="B35" t="s">
        <v>1226</v>
      </c>
      <c r="F35" t="s">
        <v>6</v>
      </c>
      <c r="G35" t="s">
        <v>1290</v>
      </c>
      <c r="N35" t="s">
        <v>0</v>
      </c>
      <c r="O35" t="s">
        <v>347</v>
      </c>
      <c r="U35" t="s">
        <v>0</v>
      </c>
      <c r="V35" t="s">
        <v>347</v>
      </c>
    </row>
    <row r="36" spans="1:24" x14ac:dyDescent="0.3">
      <c r="A36" t="s">
        <v>8</v>
      </c>
      <c r="B36" t="s">
        <v>1227</v>
      </c>
      <c r="F36" t="s">
        <v>8</v>
      </c>
      <c r="G36" t="s">
        <v>1291</v>
      </c>
      <c r="N36" t="s">
        <v>2</v>
      </c>
      <c r="O36" t="s">
        <v>348</v>
      </c>
      <c r="U36" t="s">
        <v>2</v>
      </c>
      <c r="V36" t="s">
        <v>348</v>
      </c>
    </row>
    <row r="37" spans="1:24" x14ac:dyDescent="0.3">
      <c r="A37" t="s">
        <v>10</v>
      </c>
      <c r="B37" t="s">
        <v>1228</v>
      </c>
      <c r="F37" t="s">
        <v>10</v>
      </c>
      <c r="G37" t="s">
        <v>1287</v>
      </c>
      <c r="N37" t="s">
        <v>4</v>
      </c>
      <c r="O37" t="s">
        <v>413</v>
      </c>
      <c r="U37" t="s">
        <v>4</v>
      </c>
      <c r="V37" t="s">
        <v>349</v>
      </c>
    </row>
    <row r="38" spans="1:24" x14ac:dyDescent="0.3">
      <c r="A38" t="s">
        <v>12</v>
      </c>
      <c r="B38" t="s">
        <v>1229</v>
      </c>
      <c r="C38" t="s">
        <v>927</v>
      </c>
      <c r="D38" t="s">
        <v>973</v>
      </c>
      <c r="E38" t="s">
        <v>15</v>
      </c>
      <c r="F38" t="s">
        <v>12</v>
      </c>
      <c r="G38" t="s">
        <v>1292</v>
      </c>
      <c r="N38" t="s">
        <v>6</v>
      </c>
      <c r="O38" t="s">
        <v>414</v>
      </c>
      <c r="U38" t="s">
        <v>6</v>
      </c>
      <c r="V38" t="s">
        <v>350</v>
      </c>
    </row>
    <row r="39" spans="1:24" x14ac:dyDescent="0.3">
      <c r="A39" t="s">
        <v>14</v>
      </c>
      <c r="B39" t="s">
        <v>1084</v>
      </c>
      <c r="C39" t="s">
        <v>927</v>
      </c>
      <c r="D39" t="s">
        <v>973</v>
      </c>
      <c r="E39" t="s">
        <v>1218</v>
      </c>
      <c r="F39" t="s">
        <v>14</v>
      </c>
      <c r="G39" t="s">
        <v>1099</v>
      </c>
      <c r="N39" t="s">
        <v>8</v>
      </c>
      <c r="O39" t="s">
        <v>415</v>
      </c>
      <c r="U39" t="s">
        <v>8</v>
      </c>
      <c r="V39" t="s">
        <v>351</v>
      </c>
    </row>
    <row r="40" spans="1:24" x14ac:dyDescent="0.3">
      <c r="A40" t="s">
        <v>16</v>
      </c>
      <c r="B40" t="s">
        <v>1084</v>
      </c>
      <c r="C40" s="2"/>
      <c r="D40" s="2"/>
      <c r="F40" s="1">
        <v>44839</v>
      </c>
      <c r="G40" s="1">
        <v>44862</v>
      </c>
      <c r="N40" t="s">
        <v>10</v>
      </c>
      <c r="O40" t="s">
        <v>416</v>
      </c>
      <c r="U40" t="s">
        <v>10</v>
      </c>
      <c r="V40" t="s">
        <v>352</v>
      </c>
    </row>
    <row r="41" spans="1:24" x14ac:dyDescent="0.3">
      <c r="A41" s="4" t="s">
        <v>0</v>
      </c>
      <c r="B41" s="4" t="s">
        <v>613</v>
      </c>
      <c r="C41" s="4"/>
      <c r="D41" s="4"/>
      <c r="E41" s="4"/>
      <c r="F41" s="1">
        <v>44839</v>
      </c>
      <c r="G41" s="1">
        <v>44881</v>
      </c>
      <c r="N41" t="s">
        <v>12</v>
      </c>
      <c r="O41" t="s">
        <v>417</v>
      </c>
      <c r="U41" t="s">
        <v>12</v>
      </c>
      <c r="V41" t="s">
        <v>353</v>
      </c>
    </row>
    <row r="42" spans="1:24" x14ac:dyDescent="0.3">
      <c r="A42" s="4" t="s">
        <v>2</v>
      </c>
      <c r="B42" s="4" t="s">
        <v>485</v>
      </c>
      <c r="C42" s="4"/>
      <c r="D42" s="4"/>
      <c r="E42" s="4"/>
      <c r="F42" t="s">
        <v>67</v>
      </c>
      <c r="G42" t="s">
        <v>68</v>
      </c>
      <c r="H42" t="s">
        <v>69</v>
      </c>
      <c r="I42" t="s">
        <v>70</v>
      </c>
      <c r="N42" t="s">
        <v>14</v>
      </c>
      <c r="O42" t="s">
        <v>1024</v>
      </c>
      <c r="U42" t="s">
        <v>14</v>
      </c>
      <c r="V42" t="s">
        <v>1006</v>
      </c>
      <c r="W42" t="s">
        <v>927</v>
      </c>
      <c r="X42" t="s">
        <v>1007</v>
      </c>
    </row>
    <row r="43" spans="1:24" x14ac:dyDescent="0.3">
      <c r="A43" s="4" t="s">
        <v>4</v>
      </c>
      <c r="B43" s="4" t="s">
        <v>1230</v>
      </c>
      <c r="C43" s="4"/>
      <c r="D43" s="4"/>
      <c r="E43" s="4"/>
      <c r="F43" t="s">
        <v>16</v>
      </c>
      <c r="G43" t="s">
        <v>1099</v>
      </c>
      <c r="H43" t="s">
        <v>927</v>
      </c>
      <c r="I43" t="s">
        <v>1100</v>
      </c>
      <c r="K43" t="s">
        <v>1218</v>
      </c>
      <c r="N43" s="1">
        <v>44319</v>
      </c>
      <c r="O43" s="1">
        <v>44320</v>
      </c>
      <c r="U43" t="s">
        <v>16</v>
      </c>
      <c r="V43" t="s">
        <v>1008</v>
      </c>
      <c r="W43" t="s">
        <v>927</v>
      </c>
      <c r="X43" t="s">
        <v>1009</v>
      </c>
    </row>
    <row r="44" spans="1:24" x14ac:dyDescent="0.3">
      <c r="A44" s="4" t="s">
        <v>6</v>
      </c>
      <c r="B44" s="4" t="s">
        <v>1231</v>
      </c>
      <c r="C44" s="4"/>
      <c r="D44" s="4"/>
      <c r="E44" s="4"/>
      <c r="F44" t="s">
        <v>0</v>
      </c>
      <c r="G44" t="s">
        <v>613</v>
      </c>
      <c r="N44" s="1">
        <v>44319</v>
      </c>
      <c r="O44" s="1">
        <v>44326</v>
      </c>
    </row>
    <row r="45" spans="1:24" x14ac:dyDescent="0.3">
      <c r="A45" s="4" t="s">
        <v>8</v>
      </c>
      <c r="B45" s="4" t="s">
        <v>1232</v>
      </c>
      <c r="C45" s="4"/>
      <c r="D45" s="4"/>
      <c r="E45" s="4"/>
      <c r="F45" t="s">
        <v>2</v>
      </c>
      <c r="G45" t="s">
        <v>403</v>
      </c>
      <c r="N45" t="s">
        <v>67</v>
      </c>
      <c r="O45" t="s">
        <v>68</v>
      </c>
      <c r="Q45" t="s">
        <v>69</v>
      </c>
      <c r="R45" t="s">
        <v>70</v>
      </c>
    </row>
    <row r="46" spans="1:24" x14ac:dyDescent="0.3">
      <c r="A46" s="4" t="s">
        <v>10</v>
      </c>
      <c r="B46" s="4" t="s">
        <v>1233</v>
      </c>
      <c r="C46" s="4"/>
      <c r="D46" s="4"/>
      <c r="E46" s="4"/>
      <c r="F46" t="s">
        <v>4</v>
      </c>
      <c r="G46" t="s">
        <v>1293</v>
      </c>
      <c r="N46" t="s">
        <v>16</v>
      </c>
      <c r="O46" t="s">
        <v>1024</v>
      </c>
      <c r="Q46" t="s">
        <v>927</v>
      </c>
      <c r="R46" t="s">
        <v>1025</v>
      </c>
      <c r="S46" t="s">
        <v>1235</v>
      </c>
    </row>
    <row r="47" spans="1:24" x14ac:dyDescent="0.3">
      <c r="A47" s="4" t="s">
        <v>12</v>
      </c>
      <c r="B47" s="4" t="s">
        <v>1234</v>
      </c>
      <c r="C47" s="4" t="s">
        <v>927</v>
      </c>
      <c r="D47" s="4" t="s">
        <v>973</v>
      </c>
      <c r="E47" s="4" t="s">
        <v>15</v>
      </c>
      <c r="F47" t="s">
        <v>6</v>
      </c>
      <c r="G47" t="s">
        <v>1294</v>
      </c>
    </row>
    <row r="48" spans="1:24" x14ac:dyDescent="0.3">
      <c r="A48" s="4" t="s">
        <v>14</v>
      </c>
      <c r="B48" s="4" t="s">
        <v>1084</v>
      </c>
      <c r="C48" s="4" t="s">
        <v>927</v>
      </c>
      <c r="D48" s="4" t="s">
        <v>973</v>
      </c>
      <c r="E48" s="4" t="s">
        <v>1235</v>
      </c>
      <c r="F48" t="s">
        <v>8</v>
      </c>
      <c r="G48" t="s">
        <v>1295</v>
      </c>
    </row>
    <row r="49" spans="1:11" x14ac:dyDescent="0.3">
      <c r="A49" s="4" t="s">
        <v>16</v>
      </c>
      <c r="B49" s="4" t="s">
        <v>1084</v>
      </c>
      <c r="C49" s="4"/>
      <c r="D49" s="4"/>
      <c r="E49" s="4"/>
      <c r="F49" t="s">
        <v>10</v>
      </c>
      <c r="G49" t="s">
        <v>1296</v>
      </c>
    </row>
    <row r="50" spans="1:11" x14ac:dyDescent="0.3">
      <c r="F50" t="s">
        <v>12</v>
      </c>
      <c r="G50" t="s">
        <v>1297</v>
      </c>
    </row>
    <row r="51" spans="1:11" x14ac:dyDescent="0.3">
      <c r="F51" t="s">
        <v>14</v>
      </c>
      <c r="G51" t="s">
        <v>1298</v>
      </c>
      <c r="H51" t="s">
        <v>927</v>
      </c>
      <c r="I51" t="s">
        <v>1065</v>
      </c>
      <c r="K51" t="s">
        <v>15</v>
      </c>
    </row>
    <row r="52" spans="1:11" x14ac:dyDescent="0.3">
      <c r="F52" t="s">
        <v>16</v>
      </c>
      <c r="G52" t="s">
        <v>1298</v>
      </c>
      <c r="H52" t="s">
        <v>927</v>
      </c>
      <c r="I52" t="s">
        <v>1065</v>
      </c>
      <c r="K52" t="s">
        <v>1235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4899-6A68-4EB6-9D9E-AA8C2643E4E5}">
  <dimension ref="A2:AG420"/>
  <sheetViews>
    <sheetView tabSelected="1" topLeftCell="A19" workbookViewId="0">
      <selection activeCell="I31" activeCellId="1" sqref="I35 I31"/>
    </sheetView>
  </sheetViews>
  <sheetFormatPr defaultRowHeight="16.5" x14ac:dyDescent="0.3"/>
  <cols>
    <col min="1" max="1" width="12.75" customWidth="1"/>
    <col min="9" max="9" width="54.75" bestFit="1" customWidth="1"/>
  </cols>
  <sheetData>
    <row r="2" spans="1:33" x14ac:dyDescent="0.3">
      <c r="A2" t="s">
        <v>1309</v>
      </c>
      <c r="B2" t="s">
        <v>1310</v>
      </c>
      <c r="C2">
        <v>0.3</v>
      </c>
      <c r="D2" t="s">
        <v>1311</v>
      </c>
      <c r="E2" t="s">
        <v>1312</v>
      </c>
      <c r="F2">
        <v>0.15</v>
      </c>
      <c r="G2" t="s">
        <v>1313</v>
      </c>
      <c r="H2" t="s">
        <v>1337</v>
      </c>
      <c r="I2" t="str">
        <f>_xlfn.TEXTJOIN(", ", FALSE, A2,B2,C2,D2,E2,F2,G2,H2)</f>
        <v>alltime_{'C',  [('delta', 0.3,  -1),  ('delta', 0.15,  2)]}_[7,  35]_5</v>
      </c>
      <c r="J2" t="s">
        <v>1315</v>
      </c>
      <c r="K2">
        <v>3073</v>
      </c>
      <c r="L2" t="s">
        <v>1316</v>
      </c>
      <c r="M2">
        <v>1482</v>
      </c>
      <c r="N2" t="s">
        <v>1317</v>
      </c>
      <c r="O2">
        <v>221.924952778891</v>
      </c>
      <c r="P2" t="s">
        <v>1318</v>
      </c>
      <c r="Q2">
        <v>7.2217687204325198E-2</v>
      </c>
      <c r="R2" t="s">
        <v>1319</v>
      </c>
      <c r="S2">
        <v>0.81499281036415605</v>
      </c>
      <c r="T2" t="s">
        <v>1320</v>
      </c>
      <c r="U2">
        <v>-0.62084029734306301</v>
      </c>
      <c r="V2" t="s">
        <v>1321</v>
      </c>
      <c r="W2">
        <v>2.3893238757258399</v>
      </c>
      <c r="X2" t="s">
        <v>1322</v>
      </c>
      <c r="Y2" t="s">
        <v>1363</v>
      </c>
      <c r="Z2" t="s">
        <v>1364</v>
      </c>
      <c r="AA2">
        <v>0</v>
      </c>
      <c r="AB2" t="s">
        <v>1325</v>
      </c>
      <c r="AC2" t="s">
        <v>1326</v>
      </c>
      <c r="AD2" t="s">
        <v>1414</v>
      </c>
      <c r="AE2" t="s">
        <v>1413</v>
      </c>
      <c r="AF2">
        <v>0</v>
      </c>
      <c r="AG2" t="s">
        <v>1328</v>
      </c>
    </row>
    <row r="3" spans="1:33" x14ac:dyDescent="0.3">
      <c r="A3" t="s">
        <v>1309</v>
      </c>
      <c r="B3" t="s">
        <v>1310</v>
      </c>
      <c r="C3">
        <v>0.3</v>
      </c>
      <c r="D3" t="s">
        <v>1311</v>
      </c>
      <c r="E3" t="s">
        <v>1312</v>
      </c>
      <c r="F3">
        <v>0.15</v>
      </c>
      <c r="G3" t="s">
        <v>1381</v>
      </c>
      <c r="H3" t="s">
        <v>1337</v>
      </c>
      <c r="I3" t="str">
        <f t="shared" ref="I3:I66" si="0">_xlfn.TEXTJOIN(", ", FALSE, A3,B3,C3,D3,E3,F3,G3,H3)</f>
        <v>alltime_{'C',  [('delta', 0.3,  -1),  ('delta', 0.15,  3)]}_[7,  35]_5</v>
      </c>
      <c r="J3" t="s">
        <v>1315</v>
      </c>
      <c r="K3">
        <v>3073</v>
      </c>
      <c r="L3" t="s">
        <v>1316</v>
      </c>
      <c r="M3">
        <v>597</v>
      </c>
      <c r="N3" t="s">
        <v>1317</v>
      </c>
      <c r="O3">
        <v>210.35046471445</v>
      </c>
      <c r="P3" t="s">
        <v>1318</v>
      </c>
      <c r="Q3">
        <v>6.8451176281956003E-2</v>
      </c>
      <c r="R3" t="s">
        <v>1319</v>
      </c>
      <c r="S3">
        <v>2.8483584589614699</v>
      </c>
      <c r="T3" t="s">
        <v>1320</v>
      </c>
      <c r="U3">
        <v>-0.60206849910526705</v>
      </c>
      <c r="V3" t="s">
        <v>1321</v>
      </c>
      <c r="W3">
        <v>3.9336784525253901</v>
      </c>
      <c r="X3" t="s">
        <v>1322</v>
      </c>
      <c r="Y3" t="s">
        <v>1429</v>
      </c>
      <c r="Z3" t="s">
        <v>1364</v>
      </c>
      <c r="AA3">
        <v>0</v>
      </c>
      <c r="AB3" t="s">
        <v>1325</v>
      </c>
      <c r="AC3" t="s">
        <v>1326</v>
      </c>
      <c r="AD3" t="s">
        <v>1432</v>
      </c>
      <c r="AE3" t="s">
        <v>1433</v>
      </c>
      <c r="AF3">
        <v>0</v>
      </c>
      <c r="AG3" t="s">
        <v>1328</v>
      </c>
    </row>
    <row r="4" spans="1:33" x14ac:dyDescent="0.3">
      <c r="A4" t="s">
        <v>1309</v>
      </c>
      <c r="B4" t="s">
        <v>1310</v>
      </c>
      <c r="C4">
        <v>0.3</v>
      </c>
      <c r="D4" t="s">
        <v>1311</v>
      </c>
      <c r="E4" t="s">
        <v>1312</v>
      </c>
      <c r="F4">
        <v>0.15</v>
      </c>
      <c r="G4" t="s">
        <v>1313</v>
      </c>
      <c r="H4" t="s">
        <v>1336</v>
      </c>
      <c r="I4" t="str">
        <f t="shared" si="0"/>
        <v>alltime_{'C',  [('delta', 0.3,  -1),  ('delta', 0.15,  2)]}_[7,  35]_4</v>
      </c>
      <c r="J4" t="s">
        <v>1315</v>
      </c>
      <c r="K4">
        <v>3073</v>
      </c>
      <c r="L4" t="s">
        <v>1316</v>
      </c>
      <c r="M4">
        <v>1487</v>
      </c>
      <c r="N4" t="s">
        <v>1317</v>
      </c>
      <c r="O4">
        <v>190.90495277889099</v>
      </c>
      <c r="P4" t="s">
        <v>1318</v>
      </c>
      <c r="Q4">
        <v>6.2123316882164402E-2</v>
      </c>
      <c r="R4" t="s">
        <v>1319</v>
      </c>
      <c r="S4">
        <v>0.78745752855391904</v>
      </c>
      <c r="T4" t="s">
        <v>1320</v>
      </c>
      <c r="U4">
        <v>-0.61910574363915605</v>
      </c>
      <c r="V4" t="s">
        <v>1321</v>
      </c>
      <c r="W4">
        <v>2.1851325028885098</v>
      </c>
      <c r="X4" t="s">
        <v>1322</v>
      </c>
      <c r="Y4" t="s">
        <v>1363</v>
      </c>
      <c r="Z4" t="s">
        <v>1364</v>
      </c>
      <c r="AA4">
        <v>0</v>
      </c>
      <c r="AB4" t="s">
        <v>1325</v>
      </c>
      <c r="AC4" t="s">
        <v>1326</v>
      </c>
      <c r="AD4" t="s">
        <v>1414</v>
      </c>
      <c r="AE4" t="s">
        <v>1413</v>
      </c>
      <c r="AF4">
        <v>0</v>
      </c>
      <c r="AG4" t="s">
        <v>1328</v>
      </c>
    </row>
    <row r="5" spans="1:33" x14ac:dyDescent="0.3">
      <c r="A5" t="s">
        <v>1309</v>
      </c>
      <c r="B5" t="s">
        <v>1310</v>
      </c>
      <c r="C5">
        <v>0.4</v>
      </c>
      <c r="D5" t="s">
        <v>1311</v>
      </c>
      <c r="E5" t="s">
        <v>1312</v>
      </c>
      <c r="F5">
        <v>0.2</v>
      </c>
      <c r="G5" t="s">
        <v>1313</v>
      </c>
      <c r="H5" t="s">
        <v>1337</v>
      </c>
      <c r="I5" t="str">
        <f t="shared" si="0"/>
        <v>alltime_{'C',  [('delta', 0.4,  -1),  ('delta', 0.2,  2)]}_[7,  35]_5</v>
      </c>
      <c r="J5" t="s">
        <v>1315</v>
      </c>
      <c r="K5">
        <v>3073</v>
      </c>
      <c r="L5" t="s">
        <v>1316</v>
      </c>
      <c r="M5">
        <v>1247</v>
      </c>
      <c r="N5" t="s">
        <v>1317</v>
      </c>
      <c r="O5">
        <v>172.28365112129799</v>
      </c>
      <c r="P5" t="s">
        <v>1318</v>
      </c>
      <c r="Q5">
        <v>5.6063667790855198E-2</v>
      </c>
      <c r="R5" t="s">
        <v>1319</v>
      </c>
      <c r="S5">
        <v>1.17014709633506</v>
      </c>
      <c r="T5" t="s">
        <v>1320</v>
      </c>
      <c r="U5">
        <v>-0.704758914572022</v>
      </c>
      <c r="V5" t="s">
        <v>1321</v>
      </c>
      <c r="W5">
        <v>2.7215942942401101</v>
      </c>
      <c r="X5" t="s">
        <v>1322</v>
      </c>
      <c r="Y5" t="s">
        <v>1363</v>
      </c>
      <c r="Z5" t="s">
        <v>1364</v>
      </c>
      <c r="AA5">
        <v>0</v>
      </c>
      <c r="AB5" t="s">
        <v>1325</v>
      </c>
      <c r="AC5" t="s">
        <v>1326</v>
      </c>
      <c r="AD5" t="s">
        <v>1366</v>
      </c>
      <c r="AE5" t="s">
        <v>1364</v>
      </c>
      <c r="AF5">
        <v>0</v>
      </c>
      <c r="AG5" t="s">
        <v>1328</v>
      </c>
    </row>
    <row r="6" spans="1:33" x14ac:dyDescent="0.3">
      <c r="A6" t="s">
        <v>1309</v>
      </c>
      <c r="B6" t="s">
        <v>1310</v>
      </c>
      <c r="C6">
        <v>0.3</v>
      </c>
      <c r="D6" t="s">
        <v>1311</v>
      </c>
      <c r="E6" t="s">
        <v>1312</v>
      </c>
      <c r="F6">
        <v>0.15</v>
      </c>
      <c r="G6" t="s">
        <v>1313</v>
      </c>
      <c r="H6" t="s">
        <v>1333</v>
      </c>
      <c r="I6" t="str">
        <f t="shared" si="0"/>
        <v>alltime_{'C',  [('delta', 0.3,  -1),  ('delta', 0.15,  2)]}_[7,  35]_3</v>
      </c>
      <c r="J6" t="s">
        <v>1315</v>
      </c>
      <c r="K6">
        <v>3073</v>
      </c>
      <c r="L6" t="s">
        <v>1316</v>
      </c>
      <c r="M6">
        <v>1502</v>
      </c>
      <c r="N6" t="s">
        <v>1317</v>
      </c>
      <c r="O6">
        <v>156.50495277889101</v>
      </c>
      <c r="P6" t="s">
        <v>1318</v>
      </c>
      <c r="Q6">
        <v>5.0929044184474997E-2</v>
      </c>
      <c r="R6" t="s">
        <v>1319</v>
      </c>
      <c r="S6">
        <v>0.74426720703041205</v>
      </c>
      <c r="T6" t="s">
        <v>1320</v>
      </c>
      <c r="U6">
        <v>-0.61312780113570398</v>
      </c>
      <c r="V6" t="s">
        <v>1321</v>
      </c>
      <c r="W6">
        <v>1.9058864025316899</v>
      </c>
      <c r="X6" t="s">
        <v>1322</v>
      </c>
      <c r="Y6" t="s">
        <v>1417</v>
      </c>
      <c r="Z6" t="s">
        <v>1341</v>
      </c>
      <c r="AA6">
        <v>0</v>
      </c>
      <c r="AB6" t="s">
        <v>1325</v>
      </c>
      <c r="AC6" t="s">
        <v>1326</v>
      </c>
      <c r="AD6" t="s">
        <v>1414</v>
      </c>
      <c r="AE6" t="s">
        <v>1413</v>
      </c>
      <c r="AF6">
        <v>0</v>
      </c>
      <c r="AG6" t="s">
        <v>1328</v>
      </c>
    </row>
    <row r="7" spans="1:33" x14ac:dyDescent="0.3">
      <c r="A7" t="s">
        <v>1309</v>
      </c>
      <c r="B7" t="s">
        <v>1310</v>
      </c>
      <c r="C7">
        <v>0.5</v>
      </c>
      <c r="D7" t="s">
        <v>1311</v>
      </c>
      <c r="E7" t="s">
        <v>1312</v>
      </c>
      <c r="F7">
        <v>0.3</v>
      </c>
      <c r="G7" t="s">
        <v>1313</v>
      </c>
      <c r="H7" t="s">
        <v>1336</v>
      </c>
      <c r="I7" t="str">
        <f t="shared" si="0"/>
        <v>alltime_{'C',  [('delta', 0.5,  -1),  ('delta', 0.3,  2)]}_[7,  35]_4</v>
      </c>
      <c r="J7" t="s">
        <v>1315</v>
      </c>
      <c r="K7">
        <v>3073</v>
      </c>
      <c r="L7" t="s">
        <v>1316</v>
      </c>
      <c r="M7">
        <v>827</v>
      </c>
      <c r="N7" t="s">
        <v>1317</v>
      </c>
      <c r="O7">
        <v>151.379999999999</v>
      </c>
      <c r="P7" t="s">
        <v>1318</v>
      </c>
      <c r="Q7">
        <v>4.9261308167913999E-2</v>
      </c>
      <c r="R7" t="s">
        <v>1319</v>
      </c>
      <c r="S7">
        <v>2.0577871825876599</v>
      </c>
      <c r="T7" t="s">
        <v>1320</v>
      </c>
      <c r="U7">
        <v>-0.69029830810328996</v>
      </c>
      <c r="V7" t="s">
        <v>1321</v>
      </c>
      <c r="W7">
        <v>3.0890972756428199</v>
      </c>
      <c r="X7" t="s">
        <v>1322</v>
      </c>
      <c r="Y7" t="s">
        <v>1330</v>
      </c>
      <c r="Z7" t="s">
        <v>1331</v>
      </c>
      <c r="AA7">
        <v>0</v>
      </c>
      <c r="AB7" t="s">
        <v>1325</v>
      </c>
      <c r="AC7" t="s">
        <v>1326</v>
      </c>
      <c r="AD7" t="s">
        <v>1334</v>
      </c>
      <c r="AE7" t="s">
        <v>1335</v>
      </c>
      <c r="AF7">
        <v>0</v>
      </c>
      <c r="AG7" t="s">
        <v>1328</v>
      </c>
    </row>
    <row r="8" spans="1:33" x14ac:dyDescent="0.3">
      <c r="A8" t="s">
        <v>1309</v>
      </c>
      <c r="B8" t="s">
        <v>1310</v>
      </c>
      <c r="C8">
        <v>0.4</v>
      </c>
      <c r="D8" t="s">
        <v>1311</v>
      </c>
      <c r="E8" t="s">
        <v>1312</v>
      </c>
      <c r="F8">
        <v>0.2</v>
      </c>
      <c r="G8" t="s">
        <v>1313</v>
      </c>
      <c r="H8" t="s">
        <v>1333</v>
      </c>
      <c r="I8" t="str">
        <f t="shared" si="0"/>
        <v>alltime_{'C',  [('delta', 0.4,  -1),  ('delta', 0.2,  2)]}_[7,  35]_3</v>
      </c>
      <c r="J8" t="s">
        <v>1315</v>
      </c>
      <c r="K8">
        <v>3073</v>
      </c>
      <c r="L8" t="s">
        <v>1316</v>
      </c>
      <c r="M8">
        <v>1275</v>
      </c>
      <c r="N8" t="s">
        <v>1317</v>
      </c>
      <c r="O8">
        <v>143.03365112129799</v>
      </c>
      <c r="P8" t="s">
        <v>1318</v>
      </c>
      <c r="Q8">
        <v>4.6545281848779298E-2</v>
      </c>
      <c r="R8" t="s">
        <v>1319</v>
      </c>
      <c r="S8">
        <v>1.10042621892534</v>
      </c>
      <c r="T8" t="s">
        <v>1320</v>
      </c>
      <c r="U8">
        <v>-0.70078408120606905</v>
      </c>
      <c r="V8" t="s">
        <v>1321</v>
      </c>
      <c r="W8">
        <v>2.2724396874203601</v>
      </c>
      <c r="X8" t="s">
        <v>1322</v>
      </c>
      <c r="Y8" t="s">
        <v>1363</v>
      </c>
      <c r="Z8" t="s">
        <v>1364</v>
      </c>
      <c r="AA8">
        <v>0</v>
      </c>
      <c r="AB8" t="s">
        <v>1325</v>
      </c>
      <c r="AC8" t="s">
        <v>1326</v>
      </c>
      <c r="AD8" t="s">
        <v>1365</v>
      </c>
      <c r="AE8" t="s">
        <v>1324</v>
      </c>
      <c r="AF8">
        <v>0</v>
      </c>
      <c r="AG8" t="s">
        <v>1328</v>
      </c>
    </row>
    <row r="9" spans="1:33" x14ac:dyDescent="0.3">
      <c r="A9" t="s">
        <v>1309</v>
      </c>
      <c r="B9" t="s">
        <v>1310</v>
      </c>
      <c r="C9">
        <v>0.4</v>
      </c>
      <c r="D9" t="s">
        <v>1311</v>
      </c>
      <c r="E9" t="s">
        <v>1312</v>
      </c>
      <c r="F9">
        <v>0.2</v>
      </c>
      <c r="G9" t="s">
        <v>1381</v>
      </c>
      <c r="H9" t="s">
        <v>1337</v>
      </c>
      <c r="I9" t="str">
        <f t="shared" si="0"/>
        <v>alltime_{'C',  [('delta', 0.4,  -1),  ('delta', 0.2,  3)]}_[7,  35]_5</v>
      </c>
      <c r="J9" t="s">
        <v>1315</v>
      </c>
      <c r="K9">
        <v>3073</v>
      </c>
      <c r="L9" t="s">
        <v>1316</v>
      </c>
      <c r="M9">
        <v>553</v>
      </c>
      <c r="N9" t="s">
        <v>1317</v>
      </c>
      <c r="O9">
        <v>142.19047668194801</v>
      </c>
      <c r="P9" t="s">
        <v>1318</v>
      </c>
      <c r="Q9">
        <v>4.6270900319540599E-2</v>
      </c>
      <c r="R9" t="s">
        <v>1319</v>
      </c>
      <c r="S9">
        <v>3.4811529301997299</v>
      </c>
      <c r="T9" t="s">
        <v>1320</v>
      </c>
      <c r="U9">
        <v>-0.70749487845972103</v>
      </c>
      <c r="V9" t="s">
        <v>1321</v>
      </c>
      <c r="W9">
        <v>4.11020103398317</v>
      </c>
      <c r="X9" t="s">
        <v>1322</v>
      </c>
      <c r="Y9" t="s">
        <v>1382</v>
      </c>
      <c r="Z9" t="s">
        <v>1383</v>
      </c>
      <c r="AA9">
        <v>0</v>
      </c>
      <c r="AB9" t="s">
        <v>1325</v>
      </c>
      <c r="AC9" t="s">
        <v>1326</v>
      </c>
      <c r="AD9" t="s">
        <v>1390</v>
      </c>
      <c r="AE9" t="s">
        <v>1391</v>
      </c>
      <c r="AF9">
        <v>0</v>
      </c>
      <c r="AG9" t="s">
        <v>1328</v>
      </c>
    </row>
    <row r="10" spans="1:33" x14ac:dyDescent="0.3">
      <c r="A10" t="s">
        <v>1309</v>
      </c>
      <c r="B10" t="s">
        <v>1310</v>
      </c>
      <c r="C10">
        <v>0.4</v>
      </c>
      <c r="D10" t="s">
        <v>1311</v>
      </c>
      <c r="E10" t="s">
        <v>1312</v>
      </c>
      <c r="F10">
        <v>0.2</v>
      </c>
      <c r="G10" t="s">
        <v>1313</v>
      </c>
      <c r="H10" t="s">
        <v>1336</v>
      </c>
      <c r="I10" t="str">
        <f t="shared" si="0"/>
        <v>alltime_{'C',  [('delta', 0.4,  -1),  ('delta', 0.2,  2)]}_[7,  35]_4</v>
      </c>
      <c r="J10" t="s">
        <v>1315</v>
      </c>
      <c r="K10">
        <v>3073</v>
      </c>
      <c r="L10" t="s">
        <v>1316</v>
      </c>
      <c r="M10">
        <v>1255</v>
      </c>
      <c r="N10" t="s">
        <v>1317</v>
      </c>
      <c r="O10">
        <v>136.81365112129799</v>
      </c>
      <c r="P10" t="s">
        <v>1318</v>
      </c>
      <c r="Q10">
        <v>4.4521201145883003E-2</v>
      </c>
      <c r="R10" t="s">
        <v>1319</v>
      </c>
      <c r="S10">
        <v>1.1283134893464699</v>
      </c>
      <c r="T10" t="s">
        <v>1320</v>
      </c>
      <c r="U10">
        <v>-0.70364124202888501</v>
      </c>
      <c r="V10" t="s">
        <v>1321</v>
      </c>
      <c r="W10">
        <v>2.4236196264181502</v>
      </c>
      <c r="X10" t="s">
        <v>1322</v>
      </c>
      <c r="Y10" t="s">
        <v>1363</v>
      </c>
      <c r="Z10" t="s">
        <v>1364</v>
      </c>
      <c r="AA10">
        <v>0</v>
      </c>
      <c r="AB10" t="s">
        <v>1325</v>
      </c>
      <c r="AC10" t="s">
        <v>1326</v>
      </c>
      <c r="AD10" t="s">
        <v>1366</v>
      </c>
      <c r="AE10" t="s">
        <v>1364</v>
      </c>
      <c r="AF10">
        <v>0</v>
      </c>
      <c r="AG10" t="s">
        <v>1328</v>
      </c>
    </row>
    <row r="11" spans="1:33" x14ac:dyDescent="0.3">
      <c r="A11" t="s">
        <v>1309</v>
      </c>
      <c r="B11" t="s">
        <v>1310</v>
      </c>
      <c r="C11">
        <v>0.4</v>
      </c>
      <c r="D11" t="s">
        <v>1311</v>
      </c>
      <c r="E11" t="s">
        <v>1312</v>
      </c>
      <c r="F11">
        <v>0.2</v>
      </c>
      <c r="G11" t="s">
        <v>1313</v>
      </c>
      <c r="H11" t="s">
        <v>1329</v>
      </c>
      <c r="I11" t="str">
        <f t="shared" si="0"/>
        <v>alltime_{'C',  [('delta', 0.4,  -1),  ('delta', 0.2,  2)]}_[7,  35]_2</v>
      </c>
      <c r="J11" t="s">
        <v>1315</v>
      </c>
      <c r="K11">
        <v>3073</v>
      </c>
      <c r="L11" t="s">
        <v>1316</v>
      </c>
      <c r="M11">
        <v>1298</v>
      </c>
      <c r="N11" t="s">
        <v>1317</v>
      </c>
      <c r="O11">
        <v>133.60365112129901</v>
      </c>
      <c r="P11" t="s">
        <v>1318</v>
      </c>
      <c r="Q11">
        <v>4.3476619304034798E-2</v>
      </c>
      <c r="R11" t="s">
        <v>1319</v>
      </c>
      <c r="S11">
        <v>1.05263746466087</v>
      </c>
      <c r="T11" t="s">
        <v>1320</v>
      </c>
      <c r="U11">
        <v>-0.69449001577944403</v>
      </c>
      <c r="V11" t="s">
        <v>1321</v>
      </c>
      <c r="W11">
        <v>2.1536662588339799</v>
      </c>
      <c r="X11" t="s">
        <v>1322</v>
      </c>
      <c r="Y11" t="s">
        <v>1363</v>
      </c>
      <c r="Z11" t="s">
        <v>1364</v>
      </c>
      <c r="AA11">
        <v>0</v>
      </c>
      <c r="AB11" t="s">
        <v>1325</v>
      </c>
      <c r="AC11" t="s">
        <v>1326</v>
      </c>
      <c r="AD11" t="s">
        <v>1365</v>
      </c>
      <c r="AE11" t="s">
        <v>1324</v>
      </c>
      <c r="AF11">
        <v>0</v>
      </c>
      <c r="AG11" t="s">
        <v>1328</v>
      </c>
    </row>
    <row r="12" spans="1:33" x14ac:dyDescent="0.3">
      <c r="A12" t="s">
        <v>1309</v>
      </c>
      <c r="B12" t="s">
        <v>1310</v>
      </c>
      <c r="C12">
        <v>0.3</v>
      </c>
      <c r="D12" t="s">
        <v>1311</v>
      </c>
      <c r="E12" t="s">
        <v>1312</v>
      </c>
      <c r="F12">
        <v>0.15</v>
      </c>
      <c r="G12" t="s">
        <v>1381</v>
      </c>
      <c r="H12" t="s">
        <v>1336</v>
      </c>
      <c r="I12" t="str">
        <f t="shared" si="0"/>
        <v>alltime_{'C',  [('delta', 0.3,  -1),  ('delta', 0.15,  3)]}_[7,  35]_4</v>
      </c>
      <c r="J12" t="s">
        <v>1315</v>
      </c>
      <c r="K12">
        <v>3073</v>
      </c>
      <c r="L12" t="s">
        <v>1316</v>
      </c>
      <c r="M12">
        <v>617</v>
      </c>
      <c r="N12" t="s">
        <v>1317</v>
      </c>
      <c r="O12">
        <v>130.250464714451</v>
      </c>
      <c r="P12" t="s">
        <v>1318</v>
      </c>
      <c r="Q12">
        <v>4.2385442471347498E-2</v>
      </c>
      <c r="R12" t="s">
        <v>1319</v>
      </c>
      <c r="S12">
        <v>2.5958689257428</v>
      </c>
      <c r="T12" t="s">
        <v>1320</v>
      </c>
      <c r="U12">
        <v>-0.59934853868384996</v>
      </c>
      <c r="V12" t="s">
        <v>1321</v>
      </c>
      <c r="W12">
        <v>3.6396091870292899</v>
      </c>
      <c r="X12" t="s">
        <v>1322</v>
      </c>
      <c r="Y12" t="s">
        <v>1429</v>
      </c>
      <c r="Z12" t="s">
        <v>1364</v>
      </c>
      <c r="AA12">
        <v>0</v>
      </c>
      <c r="AB12" t="s">
        <v>1325</v>
      </c>
      <c r="AC12" t="s">
        <v>1326</v>
      </c>
      <c r="AD12" t="s">
        <v>1432</v>
      </c>
      <c r="AE12" t="s">
        <v>1433</v>
      </c>
      <c r="AF12">
        <v>0</v>
      </c>
      <c r="AG12" t="s">
        <v>1328</v>
      </c>
    </row>
    <row r="13" spans="1:33" x14ac:dyDescent="0.3">
      <c r="A13" t="s">
        <v>1309</v>
      </c>
      <c r="B13" t="s">
        <v>1310</v>
      </c>
      <c r="C13">
        <v>0.4</v>
      </c>
      <c r="D13" t="s">
        <v>1311</v>
      </c>
      <c r="E13" t="s">
        <v>1312</v>
      </c>
      <c r="F13">
        <v>0.2</v>
      </c>
      <c r="G13" t="s">
        <v>1403</v>
      </c>
      <c r="H13" t="s">
        <v>1360</v>
      </c>
      <c r="I13" t="str">
        <f t="shared" si="0"/>
        <v>alltime_{'C',  [('delta', 0.4,  -1),  ('delta', 0.2,  3)]}_[35,  70]_5</v>
      </c>
      <c r="J13" t="s">
        <v>1315</v>
      </c>
      <c r="K13">
        <v>3810</v>
      </c>
      <c r="L13" t="s">
        <v>1316</v>
      </c>
      <c r="M13">
        <v>488</v>
      </c>
      <c r="N13" t="s">
        <v>1317</v>
      </c>
      <c r="O13">
        <v>130.13456987886801</v>
      </c>
      <c r="P13" t="s">
        <v>1318</v>
      </c>
      <c r="Q13">
        <v>3.4156055086317097E-2</v>
      </c>
      <c r="R13" t="s">
        <v>1319</v>
      </c>
      <c r="S13">
        <v>5.3257187117148597</v>
      </c>
      <c r="T13" t="s">
        <v>1320</v>
      </c>
      <c r="U13">
        <v>-0.74317163198012304</v>
      </c>
      <c r="V13" t="s">
        <v>1321</v>
      </c>
      <c r="W13">
        <v>4.1463919393659401</v>
      </c>
      <c r="X13" t="s">
        <v>1322</v>
      </c>
      <c r="Y13" t="s">
        <v>1404</v>
      </c>
      <c r="Z13" t="s">
        <v>1372</v>
      </c>
      <c r="AA13">
        <v>0</v>
      </c>
      <c r="AB13" t="s">
        <v>1325</v>
      </c>
      <c r="AC13" t="s">
        <v>1326</v>
      </c>
      <c r="AD13" t="s">
        <v>1411</v>
      </c>
      <c r="AE13" t="s">
        <v>1408</v>
      </c>
      <c r="AF13">
        <v>0</v>
      </c>
      <c r="AG13" t="s">
        <v>1328</v>
      </c>
    </row>
    <row r="14" spans="1:33" x14ac:dyDescent="0.3">
      <c r="A14" t="s">
        <v>1309</v>
      </c>
      <c r="B14" t="s">
        <v>1310</v>
      </c>
      <c r="C14">
        <v>0.3</v>
      </c>
      <c r="D14" t="s">
        <v>1311</v>
      </c>
      <c r="E14" t="s">
        <v>1312</v>
      </c>
      <c r="F14">
        <v>0.15</v>
      </c>
      <c r="G14" t="s">
        <v>1313</v>
      </c>
      <c r="H14" t="s">
        <v>1329</v>
      </c>
      <c r="I14" t="str">
        <f t="shared" si="0"/>
        <v>alltime_{'C',  [('delta', 0.3,  -1),  ('delta', 0.15,  2)]}_[7,  35]_2</v>
      </c>
      <c r="J14" t="s">
        <v>1315</v>
      </c>
      <c r="K14">
        <v>3073</v>
      </c>
      <c r="L14" t="s">
        <v>1316</v>
      </c>
      <c r="M14">
        <v>1515</v>
      </c>
      <c r="N14" t="s">
        <v>1317</v>
      </c>
      <c r="O14">
        <v>120.004952778892</v>
      </c>
      <c r="P14" t="s">
        <v>1318</v>
      </c>
      <c r="Q14">
        <v>3.9051400188380103E-2</v>
      </c>
      <c r="R14" t="s">
        <v>1319</v>
      </c>
      <c r="S14">
        <v>0.70714808248163596</v>
      </c>
      <c r="T14" t="s">
        <v>1320</v>
      </c>
      <c r="U14">
        <v>-0.61178417503587401</v>
      </c>
      <c r="V14" t="s">
        <v>1321</v>
      </c>
      <c r="W14">
        <v>1.7026410969955601</v>
      </c>
      <c r="X14" t="s">
        <v>1322</v>
      </c>
      <c r="Y14" t="s">
        <v>1415</v>
      </c>
      <c r="Z14" t="s">
        <v>1416</v>
      </c>
      <c r="AA14">
        <v>0</v>
      </c>
      <c r="AB14" t="s">
        <v>1325</v>
      </c>
      <c r="AC14" t="s">
        <v>1326</v>
      </c>
      <c r="AD14" t="s">
        <v>1414</v>
      </c>
      <c r="AE14" t="s">
        <v>1413</v>
      </c>
      <c r="AF14">
        <v>0</v>
      </c>
      <c r="AG14" t="s">
        <v>1328</v>
      </c>
    </row>
    <row r="15" spans="1:33" x14ac:dyDescent="0.3">
      <c r="A15" t="s">
        <v>1309</v>
      </c>
      <c r="B15" t="s">
        <v>1310</v>
      </c>
      <c r="C15">
        <v>0.3</v>
      </c>
      <c r="D15" t="s">
        <v>1311</v>
      </c>
      <c r="E15" t="s">
        <v>1312</v>
      </c>
      <c r="F15">
        <v>0.15</v>
      </c>
      <c r="G15" t="s">
        <v>1392</v>
      </c>
      <c r="H15" t="s">
        <v>1350</v>
      </c>
      <c r="I15" t="str">
        <f t="shared" si="0"/>
        <v>alltime_{'C',  [('delta', 0.3,  -1),  ('delta', 0.15,  3)]}_[21,  49]_5</v>
      </c>
      <c r="J15" t="s">
        <v>1315</v>
      </c>
      <c r="K15">
        <v>3050</v>
      </c>
      <c r="L15" t="s">
        <v>1316</v>
      </c>
      <c r="M15">
        <v>453</v>
      </c>
      <c r="N15" t="s">
        <v>1317</v>
      </c>
      <c r="O15">
        <v>112.065205529477</v>
      </c>
      <c r="P15" t="s">
        <v>1318</v>
      </c>
      <c r="Q15">
        <v>3.6742690337533503E-2</v>
      </c>
      <c r="R15" t="s">
        <v>1319</v>
      </c>
      <c r="S15">
        <v>3.8195836206354801</v>
      </c>
      <c r="T15" t="s">
        <v>1320</v>
      </c>
      <c r="U15">
        <v>-0.62358619445795105</v>
      </c>
      <c r="V15" t="s">
        <v>1321</v>
      </c>
      <c r="W15">
        <v>3.5793658475820598</v>
      </c>
      <c r="X15" t="s">
        <v>1322</v>
      </c>
      <c r="Y15" t="s">
        <v>1443</v>
      </c>
      <c r="Z15" t="s">
        <v>1444</v>
      </c>
      <c r="AA15">
        <v>0</v>
      </c>
      <c r="AB15" t="s">
        <v>1325</v>
      </c>
      <c r="AC15" t="s">
        <v>1326</v>
      </c>
      <c r="AD15" t="s">
        <v>1445</v>
      </c>
      <c r="AE15" t="s">
        <v>1399</v>
      </c>
      <c r="AF15">
        <v>0</v>
      </c>
      <c r="AG15" t="s">
        <v>1328</v>
      </c>
    </row>
    <row r="16" spans="1:33" x14ac:dyDescent="0.3">
      <c r="A16" t="s">
        <v>1309</v>
      </c>
      <c r="B16" t="s">
        <v>1310</v>
      </c>
      <c r="C16">
        <v>0.5</v>
      </c>
      <c r="D16" t="s">
        <v>1311</v>
      </c>
      <c r="E16" t="s">
        <v>1312</v>
      </c>
      <c r="F16">
        <v>0.3</v>
      </c>
      <c r="G16" t="s">
        <v>1313</v>
      </c>
      <c r="H16" t="s">
        <v>1337</v>
      </c>
      <c r="I16" t="str">
        <f t="shared" si="0"/>
        <v>alltime_{'C',  [('delta', 0.5,  -1),  ('delta', 0.3,  2)]}_[7,  35]_5</v>
      </c>
      <c r="J16" t="s">
        <v>1315</v>
      </c>
      <c r="K16">
        <v>3073</v>
      </c>
      <c r="L16" t="s">
        <v>1316</v>
      </c>
      <c r="M16">
        <v>804</v>
      </c>
      <c r="N16" t="s">
        <v>1317</v>
      </c>
      <c r="O16">
        <v>106.80999999999899</v>
      </c>
      <c r="P16" t="s">
        <v>1318</v>
      </c>
      <c r="Q16">
        <v>3.4757565896517899E-2</v>
      </c>
      <c r="R16" t="s">
        <v>1319</v>
      </c>
      <c r="S16">
        <v>2.0989427860696499</v>
      </c>
      <c r="T16" t="s">
        <v>1320</v>
      </c>
      <c r="U16">
        <v>-0.69666813574261199</v>
      </c>
      <c r="V16" t="s">
        <v>1321</v>
      </c>
      <c r="W16">
        <v>3.4087146094774599</v>
      </c>
      <c r="X16" t="s">
        <v>1322</v>
      </c>
      <c r="Y16" t="s">
        <v>1338</v>
      </c>
      <c r="Z16" t="s">
        <v>1339</v>
      </c>
      <c r="AA16">
        <v>0</v>
      </c>
      <c r="AB16" t="s">
        <v>1325</v>
      </c>
      <c r="AC16" t="s">
        <v>1326</v>
      </c>
      <c r="AD16" t="s">
        <v>1340</v>
      </c>
      <c r="AE16" t="s">
        <v>1341</v>
      </c>
      <c r="AF16">
        <v>0</v>
      </c>
      <c r="AG16" t="s">
        <v>1328</v>
      </c>
    </row>
    <row r="17" spans="1:33" x14ac:dyDescent="0.3">
      <c r="A17" t="s">
        <v>1309</v>
      </c>
      <c r="B17" t="s">
        <v>1310</v>
      </c>
      <c r="C17">
        <v>0.3</v>
      </c>
      <c r="D17" t="s">
        <v>1311</v>
      </c>
      <c r="E17" t="s">
        <v>1312</v>
      </c>
      <c r="F17">
        <v>0.15</v>
      </c>
      <c r="G17" t="s">
        <v>1403</v>
      </c>
      <c r="H17" t="s">
        <v>1360</v>
      </c>
      <c r="I17" t="str">
        <f t="shared" si="0"/>
        <v>alltime_{'C',  [('delta', 0.3,  -1),  ('delta', 0.15,  3)]}_[35,  70]_5</v>
      </c>
      <c r="J17" t="s">
        <v>1315</v>
      </c>
      <c r="K17">
        <v>3810</v>
      </c>
      <c r="L17" t="s">
        <v>1316</v>
      </c>
      <c r="M17">
        <v>470</v>
      </c>
      <c r="N17" t="s">
        <v>1317</v>
      </c>
      <c r="O17">
        <v>106.428288097201</v>
      </c>
      <c r="P17" t="s">
        <v>1318</v>
      </c>
      <c r="Q17">
        <v>2.7933933883779901E-2</v>
      </c>
      <c r="R17" t="s">
        <v>1319</v>
      </c>
      <c r="S17">
        <v>4.8607685100307103</v>
      </c>
      <c r="T17" t="s">
        <v>1320</v>
      </c>
      <c r="U17">
        <v>-0.65272187941780602</v>
      </c>
      <c r="V17" t="s">
        <v>1321</v>
      </c>
      <c r="W17">
        <v>3.9308612092348598</v>
      </c>
      <c r="X17" t="s">
        <v>1322</v>
      </c>
      <c r="Y17" t="s">
        <v>1446</v>
      </c>
      <c r="Z17" t="s">
        <v>1447</v>
      </c>
    </row>
    <row r="18" spans="1:33" x14ac:dyDescent="0.3">
      <c r="A18" t="s">
        <v>1309</v>
      </c>
      <c r="B18" t="s">
        <v>1310</v>
      </c>
      <c r="C18">
        <v>0.4</v>
      </c>
      <c r="D18" t="s">
        <v>1311</v>
      </c>
      <c r="E18" t="s">
        <v>1312</v>
      </c>
      <c r="F18">
        <v>0.2</v>
      </c>
      <c r="G18" t="s">
        <v>1381</v>
      </c>
      <c r="H18" t="s">
        <v>1336</v>
      </c>
      <c r="I18" t="str">
        <f t="shared" si="0"/>
        <v>alltime_{'C',  [('delta', 0.4,  -1),  ('delta', 0.2,  3)]}_[7,  35]_4</v>
      </c>
      <c r="J18" t="s">
        <v>1315</v>
      </c>
      <c r="K18">
        <v>3073</v>
      </c>
      <c r="L18" t="s">
        <v>1316</v>
      </c>
      <c r="M18">
        <v>575</v>
      </c>
      <c r="N18" t="s">
        <v>1317</v>
      </c>
      <c r="O18">
        <v>101.62047668194801</v>
      </c>
      <c r="P18" t="s">
        <v>1318</v>
      </c>
      <c r="Q18">
        <v>3.3068817664155002E-2</v>
      </c>
      <c r="R18" t="s">
        <v>1319</v>
      </c>
      <c r="S18">
        <v>3.24138707895731</v>
      </c>
      <c r="T18" t="s">
        <v>1320</v>
      </c>
      <c r="U18">
        <v>-0.70543518563590701</v>
      </c>
      <c r="V18" t="s">
        <v>1321</v>
      </c>
      <c r="W18">
        <v>3.8577931619540702</v>
      </c>
      <c r="X18" t="s">
        <v>1322</v>
      </c>
      <c r="Y18" t="s">
        <v>1382</v>
      </c>
      <c r="Z18" t="s">
        <v>1383</v>
      </c>
      <c r="AA18">
        <v>0</v>
      </c>
      <c r="AB18" t="s">
        <v>1325</v>
      </c>
      <c r="AC18" t="s">
        <v>1326</v>
      </c>
      <c r="AD18" t="s">
        <v>1390</v>
      </c>
      <c r="AE18" t="s">
        <v>1391</v>
      </c>
      <c r="AF18">
        <v>0</v>
      </c>
      <c r="AG18" t="s">
        <v>1328</v>
      </c>
    </row>
    <row r="19" spans="1:33" x14ac:dyDescent="0.3">
      <c r="A19" t="s">
        <v>1309</v>
      </c>
      <c r="B19" t="s">
        <v>1310</v>
      </c>
      <c r="C19">
        <v>0.4</v>
      </c>
      <c r="D19" t="s">
        <v>1311</v>
      </c>
      <c r="E19" t="s">
        <v>1312</v>
      </c>
      <c r="F19">
        <v>0.2</v>
      </c>
      <c r="G19" t="s">
        <v>1313</v>
      </c>
      <c r="H19" t="s">
        <v>1314</v>
      </c>
      <c r="I19" t="str">
        <f t="shared" si="0"/>
        <v>alltime_{'C',  [('delta', 0.4,  -1),  ('delta', 0.2,  2)]}_[7,  35]_1</v>
      </c>
      <c r="J19" t="s">
        <v>1315</v>
      </c>
      <c r="K19">
        <v>3073</v>
      </c>
      <c r="L19" t="s">
        <v>1316</v>
      </c>
      <c r="M19">
        <v>1376</v>
      </c>
      <c r="N19" t="s">
        <v>1317</v>
      </c>
      <c r="O19">
        <v>99.553651121298998</v>
      </c>
      <c r="P19" t="s">
        <v>1318</v>
      </c>
      <c r="Q19">
        <v>3.23962418227461E-2</v>
      </c>
      <c r="R19" t="s">
        <v>1319</v>
      </c>
      <c r="S19">
        <v>0.915932724658299</v>
      </c>
      <c r="T19" t="s">
        <v>1320</v>
      </c>
      <c r="U19">
        <v>-0.68401283324013895</v>
      </c>
      <c r="V19" t="s">
        <v>1321</v>
      </c>
      <c r="W19">
        <v>1.80097707686051</v>
      </c>
      <c r="X19" t="s">
        <v>1322</v>
      </c>
      <c r="Y19" t="s">
        <v>1344</v>
      </c>
      <c r="Z19" t="s">
        <v>1331</v>
      </c>
      <c r="AA19">
        <v>0</v>
      </c>
      <c r="AB19" t="s">
        <v>1325</v>
      </c>
      <c r="AC19" t="s">
        <v>1326</v>
      </c>
      <c r="AD19" t="s">
        <v>1361</v>
      </c>
      <c r="AE19" t="s">
        <v>1362</v>
      </c>
      <c r="AF19">
        <v>0</v>
      </c>
      <c r="AG19" t="s">
        <v>1328</v>
      </c>
    </row>
    <row r="20" spans="1:33" x14ac:dyDescent="0.3">
      <c r="A20" t="s">
        <v>1309</v>
      </c>
      <c r="B20" t="s">
        <v>1310</v>
      </c>
      <c r="C20">
        <v>0.4</v>
      </c>
      <c r="D20" t="s">
        <v>1311</v>
      </c>
      <c r="E20" t="s">
        <v>1312</v>
      </c>
      <c r="F20">
        <v>0.2</v>
      </c>
      <c r="G20" t="s">
        <v>1392</v>
      </c>
      <c r="H20" t="s">
        <v>1350</v>
      </c>
      <c r="I20" t="str">
        <f t="shared" si="0"/>
        <v>alltime_{'C',  [('delta', 0.4,  -1),  ('delta', 0.2,  3)]}_[21,  49]_5</v>
      </c>
      <c r="J20" t="s">
        <v>1315</v>
      </c>
      <c r="K20">
        <v>3050</v>
      </c>
      <c r="L20" t="s">
        <v>1316</v>
      </c>
      <c r="M20">
        <v>426</v>
      </c>
      <c r="N20" t="s">
        <v>1317</v>
      </c>
      <c r="O20">
        <v>90.218248629286805</v>
      </c>
      <c r="P20" t="s">
        <v>1318</v>
      </c>
      <c r="Q20">
        <v>2.95797536489464E-2</v>
      </c>
      <c r="R20" t="s">
        <v>1319</v>
      </c>
      <c r="S20">
        <v>4.57032157606137</v>
      </c>
      <c r="T20" t="s">
        <v>1320</v>
      </c>
      <c r="U20">
        <v>-0.70759860623965098</v>
      </c>
      <c r="V20" t="s">
        <v>1321</v>
      </c>
      <c r="W20">
        <v>3.7331502487692898</v>
      </c>
      <c r="X20" t="s">
        <v>1322</v>
      </c>
      <c r="Y20" t="s">
        <v>1401</v>
      </c>
      <c r="Z20" t="s">
        <v>1402</v>
      </c>
      <c r="AA20">
        <v>0</v>
      </c>
      <c r="AB20" t="s">
        <v>1325</v>
      </c>
      <c r="AC20" t="s">
        <v>1326</v>
      </c>
      <c r="AD20" t="s">
        <v>1400</v>
      </c>
      <c r="AE20" t="s">
        <v>1399</v>
      </c>
      <c r="AF20">
        <v>0</v>
      </c>
      <c r="AG20" t="s">
        <v>1328</v>
      </c>
    </row>
    <row r="21" spans="1:33" x14ac:dyDescent="0.3">
      <c r="A21" t="s">
        <v>1309</v>
      </c>
      <c r="B21" t="s">
        <v>1310</v>
      </c>
      <c r="C21">
        <v>0.3</v>
      </c>
      <c r="D21" t="s">
        <v>1311</v>
      </c>
      <c r="E21" t="s">
        <v>1312</v>
      </c>
      <c r="F21">
        <v>0.15</v>
      </c>
      <c r="G21" t="s">
        <v>1381</v>
      </c>
      <c r="H21" t="s">
        <v>1333</v>
      </c>
      <c r="I21" t="str">
        <f t="shared" si="0"/>
        <v>alltime_{'C',  [('delta', 0.3,  -1),  ('delta', 0.15,  3)]}_[7,  35]_3</v>
      </c>
      <c r="J21" t="s">
        <v>1315</v>
      </c>
      <c r="K21">
        <v>3073</v>
      </c>
      <c r="L21" t="s">
        <v>1316</v>
      </c>
      <c r="M21">
        <v>659</v>
      </c>
      <c r="N21" t="s">
        <v>1317</v>
      </c>
      <c r="O21">
        <v>85.210464714450595</v>
      </c>
      <c r="P21" t="s">
        <v>1318</v>
      </c>
      <c r="Q21">
        <v>2.77287551950701E-2</v>
      </c>
      <c r="R21" t="s">
        <v>1319</v>
      </c>
      <c r="S21">
        <v>2.2986511793373499</v>
      </c>
      <c r="T21" t="s">
        <v>1320</v>
      </c>
      <c r="U21">
        <v>-0.59245779629873696</v>
      </c>
      <c r="V21" t="s">
        <v>1321</v>
      </c>
      <c r="W21">
        <v>3.1607881086476799</v>
      </c>
      <c r="X21" t="s">
        <v>1322</v>
      </c>
      <c r="Y21" t="s">
        <v>1429</v>
      </c>
      <c r="Z21" t="s">
        <v>1364</v>
      </c>
      <c r="AA21">
        <v>0</v>
      </c>
      <c r="AB21" t="s">
        <v>1325</v>
      </c>
      <c r="AC21" t="s">
        <v>1326</v>
      </c>
      <c r="AD21" t="s">
        <v>1430</v>
      </c>
      <c r="AE21" t="s">
        <v>1431</v>
      </c>
      <c r="AF21">
        <v>0</v>
      </c>
      <c r="AG21" t="s">
        <v>1328</v>
      </c>
    </row>
    <row r="22" spans="1:33" x14ac:dyDescent="0.3">
      <c r="A22" t="s">
        <v>1309</v>
      </c>
      <c r="B22" t="s">
        <v>1310</v>
      </c>
      <c r="C22">
        <v>0.4</v>
      </c>
      <c r="D22" t="s">
        <v>1311</v>
      </c>
      <c r="E22" t="s">
        <v>1312</v>
      </c>
      <c r="F22">
        <v>0.2</v>
      </c>
      <c r="G22" t="s">
        <v>1403</v>
      </c>
      <c r="H22" t="s">
        <v>1359</v>
      </c>
      <c r="I22" t="str">
        <f t="shared" si="0"/>
        <v>alltime_{'C',  [('delta', 0.4,  -1),  ('delta', 0.2,  3)]}_[35,  70]_4</v>
      </c>
      <c r="J22" t="s">
        <v>1315</v>
      </c>
      <c r="K22">
        <v>3810</v>
      </c>
      <c r="L22" t="s">
        <v>1316</v>
      </c>
      <c r="M22">
        <v>539</v>
      </c>
      <c r="N22" t="s">
        <v>1317</v>
      </c>
      <c r="O22">
        <v>80.274278433488206</v>
      </c>
      <c r="P22" t="s">
        <v>1318</v>
      </c>
      <c r="Q22">
        <v>2.1069364418238298E-2</v>
      </c>
      <c r="R22" t="s">
        <v>1319</v>
      </c>
      <c r="S22">
        <v>4.63610172841571</v>
      </c>
      <c r="T22" t="s">
        <v>1320</v>
      </c>
      <c r="U22">
        <v>-0.73940218684884396</v>
      </c>
      <c r="V22" t="s">
        <v>1321</v>
      </c>
      <c r="W22">
        <v>3.7250872154206598</v>
      </c>
      <c r="X22" t="s">
        <v>1322</v>
      </c>
      <c r="Y22" t="s">
        <v>1404</v>
      </c>
      <c r="Z22" t="s">
        <v>1372</v>
      </c>
      <c r="AA22">
        <v>0</v>
      </c>
      <c r="AB22" t="s">
        <v>1325</v>
      </c>
      <c r="AC22" t="s">
        <v>1326</v>
      </c>
      <c r="AD22" t="s">
        <v>1410</v>
      </c>
      <c r="AE22" t="s">
        <v>1408</v>
      </c>
      <c r="AF22">
        <v>0</v>
      </c>
      <c r="AG22" t="s">
        <v>1328</v>
      </c>
    </row>
    <row r="23" spans="1:33" x14ac:dyDescent="0.3">
      <c r="A23" t="s">
        <v>1309</v>
      </c>
      <c r="B23" t="s">
        <v>1310</v>
      </c>
      <c r="C23">
        <v>0.3</v>
      </c>
      <c r="D23" t="s">
        <v>1311</v>
      </c>
      <c r="E23" t="s">
        <v>1312</v>
      </c>
      <c r="F23">
        <v>0.15</v>
      </c>
      <c r="G23" t="s">
        <v>1342</v>
      </c>
      <c r="H23" t="s">
        <v>1348</v>
      </c>
      <c r="I23" t="str">
        <f t="shared" si="0"/>
        <v>alltime_{'C',  [('delta', 0.3,  -1),  ('delta', 0.15,  2)]}_[21,  49]_3</v>
      </c>
      <c r="J23" t="s">
        <v>1315</v>
      </c>
      <c r="K23">
        <v>3050</v>
      </c>
      <c r="L23" t="s">
        <v>1316</v>
      </c>
      <c r="M23">
        <v>1297</v>
      </c>
      <c r="N23" t="s">
        <v>1317</v>
      </c>
      <c r="O23">
        <v>77.546155723207406</v>
      </c>
      <c r="P23" t="s">
        <v>1318</v>
      </c>
      <c r="Q23">
        <v>2.5424969089576199E-2</v>
      </c>
      <c r="R23" t="s">
        <v>1319</v>
      </c>
      <c r="S23">
        <v>0.91378019804376198</v>
      </c>
      <c r="T23" t="s">
        <v>1320</v>
      </c>
      <c r="U23">
        <v>-0.63220705544494504</v>
      </c>
      <c r="V23" t="s">
        <v>1321</v>
      </c>
      <c r="W23">
        <v>1.91007191136587</v>
      </c>
      <c r="X23" t="s">
        <v>1322</v>
      </c>
      <c r="Y23" t="s">
        <v>1344</v>
      </c>
      <c r="Z23" t="s">
        <v>1331</v>
      </c>
      <c r="AA23">
        <v>0</v>
      </c>
      <c r="AB23" t="s">
        <v>1325</v>
      </c>
      <c r="AC23" t="s">
        <v>1326</v>
      </c>
      <c r="AD23" t="s">
        <v>1418</v>
      </c>
      <c r="AE23" t="s">
        <v>1331</v>
      </c>
      <c r="AF23">
        <v>0</v>
      </c>
      <c r="AG23" t="s">
        <v>1328</v>
      </c>
    </row>
    <row r="24" spans="1:33" x14ac:dyDescent="0.3">
      <c r="A24" t="s">
        <v>1309</v>
      </c>
      <c r="B24" t="s">
        <v>1310</v>
      </c>
      <c r="C24">
        <v>0.3</v>
      </c>
      <c r="D24" t="s">
        <v>1311</v>
      </c>
      <c r="E24" t="s">
        <v>1312</v>
      </c>
      <c r="F24">
        <v>0.15</v>
      </c>
      <c r="G24" t="s">
        <v>1381</v>
      </c>
      <c r="H24" t="s">
        <v>1329</v>
      </c>
      <c r="I24" t="str">
        <f t="shared" si="0"/>
        <v>alltime_{'C',  [('delta', 0.3,  -1),  ('delta', 0.15,  3)]}_[7,  35]_2</v>
      </c>
      <c r="J24" t="s">
        <v>1315</v>
      </c>
      <c r="K24">
        <v>3073</v>
      </c>
      <c r="L24" t="s">
        <v>1316</v>
      </c>
      <c r="M24">
        <v>730</v>
      </c>
      <c r="N24" t="s">
        <v>1317</v>
      </c>
      <c r="O24">
        <v>77.500464714450601</v>
      </c>
      <c r="P24" t="s">
        <v>1318</v>
      </c>
      <c r="Q24">
        <v>2.5219806285210099E-2</v>
      </c>
      <c r="R24" t="s">
        <v>1319</v>
      </c>
      <c r="S24">
        <v>1.9671111331278199</v>
      </c>
      <c r="T24" t="s">
        <v>1320</v>
      </c>
      <c r="U24">
        <v>-0.58005579097730697</v>
      </c>
      <c r="V24" t="s">
        <v>1321</v>
      </c>
      <c r="W24">
        <v>2.7289610992533699</v>
      </c>
      <c r="X24" t="s">
        <v>1322</v>
      </c>
      <c r="Y24" t="s">
        <v>1382</v>
      </c>
      <c r="Z24" t="s">
        <v>1383</v>
      </c>
      <c r="AA24">
        <v>0</v>
      </c>
      <c r="AB24" t="s">
        <v>1325</v>
      </c>
      <c r="AC24" t="s">
        <v>1326</v>
      </c>
      <c r="AD24" t="s">
        <v>1428</v>
      </c>
      <c r="AE24" t="s">
        <v>1335</v>
      </c>
      <c r="AF24">
        <v>0</v>
      </c>
      <c r="AG24" t="s">
        <v>1328</v>
      </c>
    </row>
    <row r="25" spans="1:33" x14ac:dyDescent="0.3">
      <c r="A25" t="s">
        <v>1309</v>
      </c>
      <c r="B25" t="s">
        <v>1310</v>
      </c>
      <c r="C25">
        <v>0.3</v>
      </c>
      <c r="D25" t="s">
        <v>1311</v>
      </c>
      <c r="E25" t="s">
        <v>1312</v>
      </c>
      <c r="F25">
        <v>0.15</v>
      </c>
      <c r="G25" t="s">
        <v>1313</v>
      </c>
      <c r="H25" t="s">
        <v>1314</v>
      </c>
      <c r="I25" t="str">
        <f t="shared" si="0"/>
        <v>alltime_{'C',  [('delta', 0.3,  -1),  ('delta', 0.15,  2)]}_[7,  35]_1</v>
      </c>
      <c r="J25" t="s">
        <v>1315</v>
      </c>
      <c r="K25">
        <v>3073</v>
      </c>
      <c r="L25" t="s">
        <v>1316</v>
      </c>
      <c r="M25">
        <v>1560</v>
      </c>
      <c r="N25" t="s">
        <v>1317</v>
      </c>
      <c r="O25">
        <v>73.194952778891803</v>
      </c>
      <c r="P25" t="s">
        <v>1318</v>
      </c>
      <c r="Q25">
        <v>2.3818728532018101E-2</v>
      </c>
      <c r="R25" t="s">
        <v>1319</v>
      </c>
      <c r="S25">
        <v>0.63482650317928102</v>
      </c>
      <c r="T25" t="s">
        <v>1320</v>
      </c>
      <c r="U25">
        <v>-0.60737376965614798</v>
      </c>
      <c r="V25" t="s">
        <v>1321</v>
      </c>
      <c r="W25">
        <v>1.5232907401524201</v>
      </c>
      <c r="X25" t="s">
        <v>1322</v>
      </c>
      <c r="Y25" t="s">
        <v>1412</v>
      </c>
      <c r="Z25" t="s">
        <v>1413</v>
      </c>
      <c r="AA25">
        <v>0</v>
      </c>
      <c r="AB25" t="s">
        <v>1325</v>
      </c>
      <c r="AC25" t="s">
        <v>1326</v>
      </c>
      <c r="AD25" t="s">
        <v>1414</v>
      </c>
      <c r="AE25" t="s">
        <v>1413</v>
      </c>
      <c r="AF25">
        <v>0</v>
      </c>
      <c r="AG25" t="s">
        <v>1328</v>
      </c>
    </row>
    <row r="26" spans="1:33" x14ac:dyDescent="0.3">
      <c r="A26" t="s">
        <v>1309</v>
      </c>
      <c r="B26" t="s">
        <v>1310</v>
      </c>
      <c r="C26">
        <v>0.4</v>
      </c>
      <c r="D26" t="s">
        <v>1311</v>
      </c>
      <c r="E26" t="s">
        <v>1312</v>
      </c>
      <c r="F26">
        <v>0.2</v>
      </c>
      <c r="G26" t="s">
        <v>1342</v>
      </c>
      <c r="H26" t="s">
        <v>1350</v>
      </c>
      <c r="I26" t="str">
        <f t="shared" si="0"/>
        <v>alltime_{'C',  [('delta', 0.4,  -1),  ('delta', 0.2,  2)]}_[21,  49]_5</v>
      </c>
      <c r="J26" t="s">
        <v>1315</v>
      </c>
      <c r="K26">
        <v>3050</v>
      </c>
      <c r="L26" t="s">
        <v>1316</v>
      </c>
      <c r="M26">
        <v>1013</v>
      </c>
      <c r="N26" t="s">
        <v>1317</v>
      </c>
      <c r="O26">
        <v>53.775378420447403</v>
      </c>
      <c r="P26" t="s">
        <v>1318</v>
      </c>
      <c r="Q26">
        <v>1.76312716132614E-2</v>
      </c>
      <c r="R26" t="s">
        <v>1319</v>
      </c>
      <c r="S26">
        <v>1.45591678220237</v>
      </c>
      <c r="T26" t="s">
        <v>1320</v>
      </c>
      <c r="U26">
        <v>-0.69762804219466901</v>
      </c>
      <c r="V26" t="s">
        <v>1321</v>
      </c>
      <c r="W26">
        <v>2.57308624304435</v>
      </c>
      <c r="X26" t="s">
        <v>1322</v>
      </c>
      <c r="Y26" t="s">
        <v>1330</v>
      </c>
      <c r="Z26" t="s">
        <v>1331</v>
      </c>
      <c r="AA26">
        <v>0</v>
      </c>
      <c r="AB26" t="s">
        <v>1325</v>
      </c>
      <c r="AC26" t="s">
        <v>1326</v>
      </c>
      <c r="AD26" t="s">
        <v>1370</v>
      </c>
      <c r="AE26" t="s">
        <v>1331</v>
      </c>
      <c r="AF26">
        <v>0</v>
      </c>
      <c r="AG26" t="s">
        <v>1328</v>
      </c>
    </row>
    <row r="27" spans="1:33" x14ac:dyDescent="0.3">
      <c r="A27" t="s">
        <v>1309</v>
      </c>
      <c r="B27" t="s">
        <v>1310</v>
      </c>
      <c r="C27">
        <v>0.3</v>
      </c>
      <c r="D27" t="s">
        <v>1311</v>
      </c>
      <c r="E27" t="s">
        <v>1312</v>
      </c>
      <c r="F27">
        <v>0.15</v>
      </c>
      <c r="G27" t="s">
        <v>1392</v>
      </c>
      <c r="H27" t="s">
        <v>1348</v>
      </c>
      <c r="I27" t="str">
        <f t="shared" si="0"/>
        <v>alltime_{'C',  [('delta', 0.3,  -1),  ('delta', 0.15,  3)]}_[21,  49]_3</v>
      </c>
      <c r="J27" t="s">
        <v>1315</v>
      </c>
      <c r="K27">
        <v>3050</v>
      </c>
      <c r="L27" t="s">
        <v>1316</v>
      </c>
      <c r="M27">
        <v>548</v>
      </c>
      <c r="N27" t="s">
        <v>1317</v>
      </c>
      <c r="O27">
        <v>53.775205529476999</v>
      </c>
      <c r="P27" t="s">
        <v>1318</v>
      </c>
      <c r="Q27">
        <v>1.7631214927697401E-2</v>
      </c>
      <c r="R27" t="s">
        <v>1319</v>
      </c>
      <c r="S27">
        <v>2.8999498308963298</v>
      </c>
      <c r="T27" t="s">
        <v>1320</v>
      </c>
      <c r="U27">
        <v>-0.61415892072067901</v>
      </c>
      <c r="V27" t="s">
        <v>1321</v>
      </c>
      <c r="W27">
        <v>2.77484351251193</v>
      </c>
      <c r="X27" t="s">
        <v>1322</v>
      </c>
      <c r="Y27" t="s">
        <v>1434</v>
      </c>
      <c r="Z27" t="s">
        <v>1435</v>
      </c>
      <c r="AA27">
        <v>0</v>
      </c>
      <c r="AB27" t="s">
        <v>1325</v>
      </c>
      <c r="AC27" t="s">
        <v>1326</v>
      </c>
      <c r="AD27" t="s">
        <v>1439</v>
      </c>
      <c r="AE27" t="s">
        <v>1399</v>
      </c>
      <c r="AF27">
        <v>0</v>
      </c>
      <c r="AG27" t="s">
        <v>1328</v>
      </c>
    </row>
    <row r="28" spans="1:33" x14ac:dyDescent="0.3">
      <c r="A28" t="s">
        <v>1309</v>
      </c>
      <c r="B28" t="s">
        <v>1310</v>
      </c>
      <c r="C28">
        <v>0.3</v>
      </c>
      <c r="D28" t="s">
        <v>1311</v>
      </c>
      <c r="E28" t="s">
        <v>1312</v>
      </c>
      <c r="F28">
        <v>0.15</v>
      </c>
      <c r="G28" t="s">
        <v>1351</v>
      </c>
      <c r="H28" t="s">
        <v>1358</v>
      </c>
      <c r="I28" t="str">
        <f t="shared" si="0"/>
        <v>alltime_{'C',  [('delta', 0.3,  -1),  ('delta', 0.15,  2)]}_[35,  70]_3</v>
      </c>
      <c r="J28" t="s">
        <v>1315</v>
      </c>
      <c r="K28">
        <v>3810</v>
      </c>
      <c r="L28" t="s">
        <v>1316</v>
      </c>
      <c r="M28">
        <v>1459</v>
      </c>
      <c r="N28" t="s">
        <v>1317</v>
      </c>
      <c r="O28">
        <v>43.097001898118201</v>
      </c>
      <c r="P28" t="s">
        <v>1318</v>
      </c>
      <c r="Q28">
        <v>1.13115490546242E-2</v>
      </c>
      <c r="R28" t="s">
        <v>1319</v>
      </c>
      <c r="S28">
        <v>1.07853822548689</v>
      </c>
      <c r="T28" t="s">
        <v>1320</v>
      </c>
      <c r="U28">
        <v>-0.65099543559644701</v>
      </c>
      <c r="V28" t="s">
        <v>1321</v>
      </c>
      <c r="W28">
        <v>2.3638642235724898</v>
      </c>
      <c r="X28" t="s">
        <v>1322</v>
      </c>
      <c r="Y28" t="s">
        <v>1419</v>
      </c>
      <c r="Z28" t="s">
        <v>1420</v>
      </c>
      <c r="AA28">
        <v>0</v>
      </c>
      <c r="AB28" t="s">
        <v>1325</v>
      </c>
      <c r="AC28" t="s">
        <v>1326</v>
      </c>
      <c r="AD28" t="s">
        <v>1422</v>
      </c>
      <c r="AE28" t="s">
        <v>1368</v>
      </c>
      <c r="AF28">
        <v>0</v>
      </c>
      <c r="AG28" t="s">
        <v>1328</v>
      </c>
    </row>
    <row r="29" spans="1:33" x14ac:dyDescent="0.3">
      <c r="A29" t="s">
        <v>1309</v>
      </c>
      <c r="B29" t="s">
        <v>1310</v>
      </c>
      <c r="C29">
        <v>0.3</v>
      </c>
      <c r="D29" t="s">
        <v>1311</v>
      </c>
      <c r="E29" t="s">
        <v>1312</v>
      </c>
      <c r="F29">
        <v>0.15</v>
      </c>
      <c r="G29" t="s">
        <v>1342</v>
      </c>
      <c r="H29" t="s">
        <v>1349</v>
      </c>
      <c r="I29" t="str">
        <f t="shared" si="0"/>
        <v>alltime_{'C',  [('delta', 0.3,  -1),  ('delta', 0.15,  2)]}_[21,  49]_4</v>
      </c>
      <c r="J29" t="s">
        <v>1315</v>
      </c>
      <c r="K29">
        <v>3050</v>
      </c>
      <c r="L29" t="s">
        <v>1316</v>
      </c>
      <c r="M29">
        <v>1266</v>
      </c>
      <c r="N29" t="s">
        <v>1317</v>
      </c>
      <c r="O29">
        <v>34.0361557232076</v>
      </c>
      <c r="P29" t="s">
        <v>1318</v>
      </c>
      <c r="Q29">
        <v>1.11593953190844E-2</v>
      </c>
      <c r="R29" t="s">
        <v>1319</v>
      </c>
      <c r="S29">
        <v>0.92408603227706099</v>
      </c>
      <c r="T29" t="s">
        <v>1320</v>
      </c>
      <c r="U29">
        <v>-0.63704809934915496</v>
      </c>
      <c r="V29" t="s">
        <v>1321</v>
      </c>
      <c r="W29">
        <v>2.1230285366782198</v>
      </c>
      <c r="X29" t="s">
        <v>1322</v>
      </c>
      <c r="Y29" t="s">
        <v>1344</v>
      </c>
      <c r="Z29" t="s">
        <v>1331</v>
      </c>
      <c r="AA29">
        <v>0</v>
      </c>
      <c r="AB29" t="s">
        <v>1325</v>
      </c>
      <c r="AC29" t="s">
        <v>1326</v>
      </c>
      <c r="AD29" t="s">
        <v>1418</v>
      </c>
      <c r="AE29" t="s">
        <v>1331</v>
      </c>
      <c r="AF29">
        <v>0</v>
      </c>
      <c r="AG29" t="s">
        <v>1328</v>
      </c>
    </row>
    <row r="30" spans="1:33" x14ac:dyDescent="0.3">
      <c r="A30" t="s">
        <v>1309</v>
      </c>
      <c r="B30" t="s">
        <v>1310</v>
      </c>
      <c r="C30">
        <v>0.3</v>
      </c>
      <c r="D30" t="s">
        <v>1311</v>
      </c>
      <c r="E30" t="s">
        <v>1312</v>
      </c>
      <c r="F30">
        <v>0.15</v>
      </c>
      <c r="G30" t="s">
        <v>1392</v>
      </c>
      <c r="H30" t="s">
        <v>1349</v>
      </c>
      <c r="I30" t="str">
        <f t="shared" si="0"/>
        <v>alltime_{'C',  [('delta', 0.3,  -1),  ('delta', 0.15,  3)]}_[21,  49]_4</v>
      </c>
      <c r="J30" t="s">
        <v>1315</v>
      </c>
      <c r="K30">
        <v>3050</v>
      </c>
      <c r="L30" t="s">
        <v>1316</v>
      </c>
      <c r="M30">
        <v>485</v>
      </c>
      <c r="N30" t="s">
        <v>1317</v>
      </c>
      <c r="O30">
        <v>33.3352055294773</v>
      </c>
      <c r="P30" t="s">
        <v>1318</v>
      </c>
      <c r="Q30">
        <v>1.0929575583435099E-2</v>
      </c>
      <c r="R30" t="s">
        <v>1319</v>
      </c>
      <c r="S30">
        <v>3.3434690872808002</v>
      </c>
      <c r="T30" t="s">
        <v>1320</v>
      </c>
      <c r="U30">
        <v>-0.61968291135454401</v>
      </c>
      <c r="V30" t="s">
        <v>1321</v>
      </c>
      <c r="W30">
        <v>3.1702154568144101</v>
      </c>
      <c r="X30" t="s">
        <v>1322</v>
      </c>
      <c r="Y30" t="s">
        <v>1440</v>
      </c>
      <c r="Z30" t="s">
        <v>1441</v>
      </c>
      <c r="AA30">
        <v>0</v>
      </c>
      <c r="AB30" t="s">
        <v>1325</v>
      </c>
      <c r="AC30" t="s">
        <v>1326</v>
      </c>
      <c r="AD30" t="s">
        <v>1442</v>
      </c>
      <c r="AE30" t="s">
        <v>1399</v>
      </c>
      <c r="AF30">
        <v>0</v>
      </c>
      <c r="AG30" t="s">
        <v>1328</v>
      </c>
    </row>
    <row r="31" spans="1:33" s="2" customFormat="1" x14ac:dyDescent="0.3">
      <c r="A31" s="2" t="s">
        <v>1500</v>
      </c>
      <c r="B31" s="2" t="s">
        <v>1310</v>
      </c>
      <c r="C31" s="2">
        <v>0.4</v>
      </c>
      <c r="D31" s="2" t="s">
        <v>1311</v>
      </c>
      <c r="E31" s="2" t="s">
        <v>1312</v>
      </c>
      <c r="F31" s="2">
        <v>0.2</v>
      </c>
      <c r="G31" s="2" t="s">
        <v>1381</v>
      </c>
      <c r="H31" s="2" t="s">
        <v>1337</v>
      </c>
      <c r="I31" s="2" t="str">
        <f t="shared" si="0"/>
        <v>psar_{'C',  [('delta', 0.4,  -1),  ('delta', 0.2,  3)]}_[7,  35]_5</v>
      </c>
      <c r="J31" s="2" t="s">
        <v>1315</v>
      </c>
      <c r="K31" s="2">
        <v>140</v>
      </c>
      <c r="L31" s="2" t="s">
        <v>1316</v>
      </c>
      <c r="M31" s="2">
        <v>29</v>
      </c>
      <c r="N31" s="2" t="s">
        <v>1317</v>
      </c>
      <c r="O31" s="2">
        <v>33.009999999999899</v>
      </c>
      <c r="P31" s="2" t="s">
        <v>1318</v>
      </c>
      <c r="Q31" s="2">
        <v>0.23578571428571299</v>
      </c>
      <c r="R31" s="2" t="s">
        <v>1319</v>
      </c>
      <c r="S31" s="2">
        <v>3.6151724137931001</v>
      </c>
      <c r="T31" s="2" t="s">
        <v>1320</v>
      </c>
      <c r="U31" s="2">
        <v>-0.64711711711711695</v>
      </c>
      <c r="V31" s="2" t="s">
        <v>1321</v>
      </c>
      <c r="W31" s="2">
        <v>0.49609467221015002</v>
      </c>
      <c r="X31" s="2" t="s">
        <v>1322</v>
      </c>
      <c r="Y31" s="2" t="s">
        <v>1532</v>
      </c>
      <c r="Z31" s="2" t="s">
        <v>1341</v>
      </c>
      <c r="AA31" s="2">
        <v>0</v>
      </c>
      <c r="AB31" s="2" t="s">
        <v>1325</v>
      </c>
      <c r="AC31" s="2" t="s">
        <v>1326</v>
      </c>
      <c r="AD31" s="2" t="s">
        <v>1532</v>
      </c>
      <c r="AE31" s="2" t="s">
        <v>1341</v>
      </c>
      <c r="AF31" s="2">
        <v>0</v>
      </c>
      <c r="AG31" s="2" t="s">
        <v>1328</v>
      </c>
    </row>
    <row r="32" spans="1:33" x14ac:dyDescent="0.3">
      <c r="A32" t="s">
        <v>1309</v>
      </c>
      <c r="B32" t="s">
        <v>1310</v>
      </c>
      <c r="C32">
        <v>0.5</v>
      </c>
      <c r="D32" t="s">
        <v>1311</v>
      </c>
      <c r="E32" t="s">
        <v>1312</v>
      </c>
      <c r="F32">
        <v>0.3</v>
      </c>
      <c r="G32" t="s">
        <v>1313</v>
      </c>
      <c r="H32" t="s">
        <v>1333</v>
      </c>
      <c r="I32" t="str">
        <f t="shared" si="0"/>
        <v>alltime_{'C',  [('delta', 0.5,  -1),  ('delta', 0.3,  2)]}_[7,  35]_3</v>
      </c>
      <c r="J32" t="s">
        <v>1315</v>
      </c>
      <c r="K32">
        <v>3073</v>
      </c>
      <c r="L32" t="s">
        <v>1316</v>
      </c>
      <c r="M32">
        <v>848</v>
      </c>
      <c r="N32" t="s">
        <v>1317</v>
      </c>
      <c r="O32">
        <v>31.999999999999702</v>
      </c>
      <c r="P32" t="s">
        <v>1318</v>
      </c>
      <c r="Q32">
        <v>1.04132769280832E-2</v>
      </c>
      <c r="R32" t="s">
        <v>1319</v>
      </c>
      <c r="S32">
        <v>1.8430896226414999</v>
      </c>
      <c r="T32" t="s">
        <v>1320</v>
      </c>
      <c r="U32">
        <v>-0.68806292134830904</v>
      </c>
      <c r="V32" t="s">
        <v>1321</v>
      </c>
      <c r="W32">
        <v>2.6943190845958398</v>
      </c>
      <c r="X32" t="s">
        <v>1322</v>
      </c>
      <c r="Y32" t="s">
        <v>1330</v>
      </c>
      <c r="Z32" t="s">
        <v>1331</v>
      </c>
      <c r="AA32">
        <v>0</v>
      </c>
      <c r="AB32" t="s">
        <v>1325</v>
      </c>
      <c r="AC32" t="s">
        <v>1326</v>
      </c>
      <c r="AD32" t="s">
        <v>1334</v>
      </c>
      <c r="AE32" t="s">
        <v>1335</v>
      </c>
      <c r="AF32">
        <v>0</v>
      </c>
      <c r="AG32" t="s">
        <v>1328</v>
      </c>
    </row>
    <row r="33" spans="1:33" x14ac:dyDescent="0.3">
      <c r="A33" t="s">
        <v>1309</v>
      </c>
      <c r="B33" t="s">
        <v>1310</v>
      </c>
      <c r="C33">
        <v>0.4</v>
      </c>
      <c r="D33" t="s">
        <v>1311</v>
      </c>
      <c r="E33" t="s">
        <v>1312</v>
      </c>
      <c r="F33">
        <v>0.2</v>
      </c>
      <c r="G33" t="s">
        <v>1342</v>
      </c>
      <c r="H33" t="s">
        <v>1348</v>
      </c>
      <c r="I33" t="str">
        <f t="shared" si="0"/>
        <v>alltime_{'C',  [('delta', 0.4,  -1),  ('delta', 0.2,  2)]}_[21,  49]_3</v>
      </c>
      <c r="J33" t="s">
        <v>1315</v>
      </c>
      <c r="K33">
        <v>3050</v>
      </c>
      <c r="L33" t="s">
        <v>1316</v>
      </c>
      <c r="M33">
        <v>1057</v>
      </c>
      <c r="N33" t="s">
        <v>1317</v>
      </c>
      <c r="O33">
        <v>29.865378420447101</v>
      </c>
      <c r="P33" t="s">
        <v>1318</v>
      </c>
      <c r="Q33">
        <v>9.7919273509662792E-3</v>
      </c>
      <c r="R33" t="s">
        <v>1319</v>
      </c>
      <c r="S33">
        <v>1.3311766323282901</v>
      </c>
      <c r="T33" t="s">
        <v>1320</v>
      </c>
      <c r="U33">
        <v>-0.69101270544432603</v>
      </c>
      <c r="V33" t="s">
        <v>1321</v>
      </c>
      <c r="W33">
        <v>2.19662580720171</v>
      </c>
      <c r="X33" t="s">
        <v>1322</v>
      </c>
      <c r="Y33" t="s">
        <v>1330</v>
      </c>
      <c r="Z33" t="s">
        <v>1331</v>
      </c>
      <c r="AA33">
        <v>0</v>
      </c>
      <c r="AB33" t="s">
        <v>1325</v>
      </c>
      <c r="AC33" t="s">
        <v>1326</v>
      </c>
      <c r="AD33" t="s">
        <v>1370</v>
      </c>
      <c r="AE33" t="s">
        <v>1331</v>
      </c>
      <c r="AF33">
        <v>0</v>
      </c>
      <c r="AG33" t="s">
        <v>1328</v>
      </c>
    </row>
    <row r="34" spans="1:33" x14ac:dyDescent="0.3">
      <c r="A34" t="s">
        <v>1309</v>
      </c>
      <c r="B34" t="s">
        <v>1310</v>
      </c>
      <c r="C34">
        <v>0.3</v>
      </c>
      <c r="D34" t="s">
        <v>1311</v>
      </c>
      <c r="E34" t="s">
        <v>1312</v>
      </c>
      <c r="F34">
        <v>0.15</v>
      </c>
      <c r="G34" t="s">
        <v>1342</v>
      </c>
      <c r="H34" t="s">
        <v>1350</v>
      </c>
      <c r="I34" t="str">
        <f t="shared" si="0"/>
        <v>alltime_{'C',  [('delta', 0.3,  -1),  ('delta', 0.15,  2)]}_[21,  49]_5</v>
      </c>
      <c r="J34" t="s">
        <v>1315</v>
      </c>
      <c r="K34">
        <v>3050</v>
      </c>
      <c r="L34" t="s">
        <v>1316</v>
      </c>
      <c r="M34">
        <v>1254</v>
      </c>
      <c r="N34" t="s">
        <v>1317</v>
      </c>
      <c r="O34">
        <v>29.066155723207402</v>
      </c>
      <c r="P34" t="s">
        <v>1318</v>
      </c>
      <c r="Q34">
        <v>9.5298871223630892E-3</v>
      </c>
      <c r="R34" t="s">
        <v>1319</v>
      </c>
      <c r="S34">
        <v>0.93634203896551804</v>
      </c>
      <c r="T34" t="s">
        <v>1320</v>
      </c>
      <c r="U34">
        <v>-0.63794248531450803</v>
      </c>
      <c r="V34" t="s">
        <v>1321</v>
      </c>
      <c r="W34">
        <v>2.2630441874263498</v>
      </c>
      <c r="X34" t="s">
        <v>1322</v>
      </c>
      <c r="Y34" t="s">
        <v>1344</v>
      </c>
      <c r="Z34" t="s">
        <v>1331</v>
      </c>
      <c r="AA34">
        <v>0</v>
      </c>
      <c r="AB34" t="s">
        <v>1325</v>
      </c>
      <c r="AC34" t="s">
        <v>1326</v>
      </c>
      <c r="AD34" t="s">
        <v>1418</v>
      </c>
      <c r="AE34" t="s">
        <v>1331</v>
      </c>
      <c r="AF34">
        <v>0</v>
      </c>
      <c r="AG34" t="s">
        <v>1328</v>
      </c>
    </row>
    <row r="35" spans="1:33" s="2" customFormat="1" x14ac:dyDescent="0.3">
      <c r="A35" s="2" t="s">
        <v>1500</v>
      </c>
      <c r="B35" s="2" t="s">
        <v>1310</v>
      </c>
      <c r="C35" s="2">
        <v>0.4</v>
      </c>
      <c r="D35" s="2" t="s">
        <v>1311</v>
      </c>
      <c r="E35" s="2" t="s">
        <v>1312</v>
      </c>
      <c r="F35" s="2">
        <v>0.2</v>
      </c>
      <c r="G35" s="2" t="s">
        <v>1381</v>
      </c>
      <c r="H35" s="2" t="s">
        <v>1336</v>
      </c>
      <c r="I35" s="2" t="str">
        <f t="shared" si="0"/>
        <v>psar_{'C',  [('delta', 0.4,  -1),  ('delta', 0.2,  3)]}_[7,  35]_4</v>
      </c>
      <c r="J35" s="2" t="s">
        <v>1315</v>
      </c>
      <c r="K35" s="2">
        <v>140</v>
      </c>
      <c r="L35" s="2" t="s">
        <v>1316</v>
      </c>
      <c r="M35" s="2">
        <v>30</v>
      </c>
      <c r="N35" s="2" t="s">
        <v>1317</v>
      </c>
      <c r="O35" s="2">
        <v>21.919999999999899</v>
      </c>
      <c r="P35" s="2" t="s">
        <v>1318</v>
      </c>
      <c r="Q35" s="2">
        <v>0.156571428571428</v>
      </c>
      <c r="R35" s="2" t="s">
        <v>1319</v>
      </c>
      <c r="S35" s="2">
        <v>3.0936666666666599</v>
      </c>
      <c r="T35" s="2" t="s">
        <v>1320</v>
      </c>
      <c r="U35" s="2">
        <v>-0.64445454545454495</v>
      </c>
      <c r="V35" s="2" t="s">
        <v>1321</v>
      </c>
      <c r="W35" s="2">
        <v>0.41113216186271301</v>
      </c>
      <c r="X35" s="2" t="s">
        <v>1322</v>
      </c>
      <c r="Y35" s="2" t="s">
        <v>1531</v>
      </c>
      <c r="Z35" s="2" t="s">
        <v>1494</v>
      </c>
      <c r="AA35" s="2">
        <v>0</v>
      </c>
      <c r="AB35" s="2" t="s">
        <v>1325</v>
      </c>
      <c r="AC35" s="2" t="s">
        <v>1326</v>
      </c>
      <c r="AD35" s="2" t="s">
        <v>1531</v>
      </c>
      <c r="AE35" s="2" t="s">
        <v>1494</v>
      </c>
      <c r="AF35" s="2">
        <v>0</v>
      </c>
      <c r="AG35" s="2" t="s">
        <v>1328</v>
      </c>
    </row>
    <row r="36" spans="1:33" s="2" customFormat="1" x14ac:dyDescent="0.3">
      <c r="A36" s="2" t="s">
        <v>1500</v>
      </c>
      <c r="B36" s="2" t="s">
        <v>1310</v>
      </c>
      <c r="C36" s="2">
        <v>0.4</v>
      </c>
      <c r="D36" s="2" t="s">
        <v>1311</v>
      </c>
      <c r="E36" s="2" t="s">
        <v>1312</v>
      </c>
      <c r="F36" s="2">
        <v>0.2</v>
      </c>
      <c r="G36" s="2" t="s">
        <v>1392</v>
      </c>
      <c r="H36" s="2" t="s">
        <v>1350</v>
      </c>
      <c r="I36" s="2" t="str">
        <f t="shared" si="0"/>
        <v>psar_{'C',  [('delta', 0.4,  -1),  ('delta', 0.2,  3)]}_[21,  49]_5</v>
      </c>
      <c r="J36" s="2" t="s">
        <v>1315</v>
      </c>
      <c r="K36" s="2">
        <v>136</v>
      </c>
      <c r="L36" s="2" t="s">
        <v>1316</v>
      </c>
      <c r="M36" s="2">
        <v>22</v>
      </c>
      <c r="N36" s="2" t="s">
        <v>1317</v>
      </c>
      <c r="O36" s="2">
        <v>19.8542899048648</v>
      </c>
      <c r="P36" s="2" t="s">
        <v>1318</v>
      </c>
      <c r="Q36" s="2">
        <v>0.14598742577106399</v>
      </c>
      <c r="R36" s="2" t="s">
        <v>1319</v>
      </c>
      <c r="S36" s="2">
        <v>4.3463636363636304</v>
      </c>
      <c r="T36" s="2" t="s">
        <v>1320</v>
      </c>
      <c r="U36" s="2">
        <v>-0.66461149206258896</v>
      </c>
      <c r="V36" s="2" t="s">
        <v>1321</v>
      </c>
      <c r="W36" s="2">
        <v>0.42093352959513602</v>
      </c>
      <c r="X36" s="2" t="s">
        <v>1322</v>
      </c>
      <c r="Y36" s="2" t="s">
        <v>1537</v>
      </c>
      <c r="Z36" s="2" t="s">
        <v>1341</v>
      </c>
      <c r="AA36" s="2">
        <v>0</v>
      </c>
      <c r="AB36" s="2" t="s">
        <v>1325</v>
      </c>
      <c r="AC36" s="2" t="s">
        <v>1326</v>
      </c>
      <c r="AD36" s="2" t="s">
        <v>1537</v>
      </c>
      <c r="AE36" s="2" t="s">
        <v>1341</v>
      </c>
      <c r="AF36" s="2">
        <v>0</v>
      </c>
      <c r="AG36" s="2" t="s">
        <v>1328</v>
      </c>
    </row>
    <row r="37" spans="1:33" s="2" customFormat="1" x14ac:dyDescent="0.3">
      <c r="A37" s="2" t="s">
        <v>1500</v>
      </c>
      <c r="B37" s="2" t="s">
        <v>1310</v>
      </c>
      <c r="C37" s="2">
        <v>0.4</v>
      </c>
      <c r="D37" s="2" t="s">
        <v>1311</v>
      </c>
      <c r="E37" s="2" t="s">
        <v>1312</v>
      </c>
      <c r="F37" s="2">
        <v>0.2</v>
      </c>
      <c r="G37" s="2" t="s">
        <v>1342</v>
      </c>
      <c r="H37" s="2" t="s">
        <v>1343</v>
      </c>
      <c r="I37" s="2" t="str">
        <f t="shared" si="0"/>
        <v>psar_{'C',  [('delta', 0.4,  -1),  ('delta', 0.2,  2)]}_[21,  49]_1</v>
      </c>
      <c r="J37" s="2" t="s">
        <v>1315</v>
      </c>
      <c r="K37" s="2">
        <v>136</v>
      </c>
      <c r="L37" s="2" t="s">
        <v>1316</v>
      </c>
      <c r="M37" s="2">
        <v>58</v>
      </c>
      <c r="N37" s="2" t="s">
        <v>1317</v>
      </c>
      <c r="O37" s="2">
        <v>19.3028599365765</v>
      </c>
      <c r="P37" s="2" t="s">
        <v>1318</v>
      </c>
      <c r="Q37" s="2">
        <v>0.14193279365129799</v>
      </c>
      <c r="R37" s="2" t="s">
        <v>1319</v>
      </c>
      <c r="S37" s="2">
        <v>1.18832517132028</v>
      </c>
      <c r="T37" s="2" t="s">
        <v>1320</v>
      </c>
      <c r="U37" s="2">
        <v>-0.63615384615384596</v>
      </c>
      <c r="V37" s="2" t="s">
        <v>1321</v>
      </c>
      <c r="W37" s="2">
        <v>0.19512565712170901</v>
      </c>
      <c r="X37" s="2" t="s">
        <v>1322</v>
      </c>
      <c r="Y37" s="2" t="s">
        <v>1524</v>
      </c>
      <c r="Z37" s="2" t="s">
        <v>1502</v>
      </c>
      <c r="AA37" s="2">
        <v>0</v>
      </c>
      <c r="AB37" s="2" t="s">
        <v>1325</v>
      </c>
      <c r="AC37" s="2" t="s">
        <v>1326</v>
      </c>
      <c r="AD37" s="2" t="s">
        <v>1524</v>
      </c>
      <c r="AE37" s="2" t="s">
        <v>1502</v>
      </c>
      <c r="AF37" s="2">
        <v>0</v>
      </c>
      <c r="AG37" s="2" t="s">
        <v>1328</v>
      </c>
    </row>
    <row r="38" spans="1:33" s="2" customFormat="1" x14ac:dyDescent="0.3">
      <c r="A38" s="2" t="s">
        <v>1500</v>
      </c>
      <c r="B38" s="2" t="s">
        <v>1310</v>
      </c>
      <c r="C38" s="2">
        <v>0.5</v>
      </c>
      <c r="D38" s="2" t="s">
        <v>1311</v>
      </c>
      <c r="E38" s="2" t="s">
        <v>1312</v>
      </c>
      <c r="F38" s="2">
        <v>0.3</v>
      </c>
      <c r="G38" s="2" t="s">
        <v>1342</v>
      </c>
      <c r="H38" s="2" t="s">
        <v>1350</v>
      </c>
      <c r="I38" s="2" t="str">
        <f t="shared" si="0"/>
        <v>psar_{'C',  [('delta', 0.5,  -1),  ('delta', 0.3,  2)]}_[21,  49]_5</v>
      </c>
      <c r="J38" s="2" t="s">
        <v>1315</v>
      </c>
      <c r="K38" s="2">
        <v>136</v>
      </c>
      <c r="L38" s="2" t="s">
        <v>1316</v>
      </c>
      <c r="M38" s="2">
        <v>32</v>
      </c>
      <c r="N38" s="2" t="s">
        <v>1317</v>
      </c>
      <c r="O38" s="2">
        <v>18.3799999999999</v>
      </c>
      <c r="P38" s="2" t="s">
        <v>1318</v>
      </c>
      <c r="Q38" s="2">
        <v>0.13514705882352901</v>
      </c>
      <c r="R38" s="2" t="s">
        <v>1319</v>
      </c>
      <c r="S38" s="2">
        <v>2.7728124999999899</v>
      </c>
      <c r="T38" s="2" t="s">
        <v>1320</v>
      </c>
      <c r="U38" s="2">
        <v>-0.67644230769230695</v>
      </c>
      <c r="V38" s="2" t="s">
        <v>1321</v>
      </c>
      <c r="W38" s="2">
        <v>0.33958254878210298</v>
      </c>
      <c r="X38" s="2" t="s">
        <v>1322</v>
      </c>
      <c r="Y38" s="2" t="s">
        <v>1507</v>
      </c>
      <c r="Z38" s="2" t="s">
        <v>1508</v>
      </c>
      <c r="AA38" s="2">
        <v>0</v>
      </c>
      <c r="AB38" s="2" t="s">
        <v>1325</v>
      </c>
      <c r="AC38" s="2" t="s">
        <v>1326</v>
      </c>
      <c r="AD38" s="2" t="s">
        <v>1507</v>
      </c>
      <c r="AE38" s="2" t="s">
        <v>1508</v>
      </c>
      <c r="AF38" s="2">
        <v>0</v>
      </c>
      <c r="AG38" s="2" t="s">
        <v>1328</v>
      </c>
    </row>
    <row r="39" spans="1:33" s="2" customFormat="1" x14ac:dyDescent="0.3">
      <c r="A39" s="2" t="s">
        <v>1500</v>
      </c>
      <c r="B39" s="2" t="s">
        <v>1310</v>
      </c>
      <c r="C39" s="2">
        <v>0.5</v>
      </c>
      <c r="D39" s="2" t="s">
        <v>1311</v>
      </c>
      <c r="E39" s="2" t="s">
        <v>1312</v>
      </c>
      <c r="F39" s="2">
        <v>0.3</v>
      </c>
      <c r="G39" s="2" t="s">
        <v>1313</v>
      </c>
      <c r="H39" s="2" t="s">
        <v>1336</v>
      </c>
      <c r="I39" s="2" t="str">
        <f t="shared" si="0"/>
        <v>psar_{'C',  [('delta', 0.5,  -1),  ('delta', 0.3,  2)]}_[7,  35]_4</v>
      </c>
      <c r="J39" s="2" t="s">
        <v>1315</v>
      </c>
      <c r="K39" s="2">
        <v>140</v>
      </c>
      <c r="L39" s="2" t="s">
        <v>1316</v>
      </c>
      <c r="M39" s="2">
        <v>43</v>
      </c>
      <c r="N39" s="2" t="s">
        <v>1317</v>
      </c>
      <c r="O39" s="2">
        <v>17.989999999999899</v>
      </c>
      <c r="P39" s="2" t="s">
        <v>1318</v>
      </c>
      <c r="Q39" s="2">
        <v>0.128499999999999</v>
      </c>
      <c r="R39" s="2" t="s">
        <v>1319</v>
      </c>
      <c r="S39" s="2">
        <v>2.0002325581395302</v>
      </c>
      <c r="T39" s="2" t="s">
        <v>1320</v>
      </c>
      <c r="U39" s="2">
        <v>-0.70123711340206196</v>
      </c>
      <c r="V39" s="2" t="s">
        <v>1321</v>
      </c>
      <c r="W39" s="2">
        <v>0.35969706679181901</v>
      </c>
      <c r="X39" s="2" t="s">
        <v>1322</v>
      </c>
      <c r="Y39" s="2" t="s">
        <v>1323</v>
      </c>
      <c r="Z39" s="2" t="s">
        <v>1324</v>
      </c>
      <c r="AA39" s="2">
        <v>0</v>
      </c>
      <c r="AB39" s="2" t="s">
        <v>1325</v>
      </c>
      <c r="AC39" s="2" t="s">
        <v>1326</v>
      </c>
      <c r="AD39" s="2" t="s">
        <v>1323</v>
      </c>
      <c r="AE39" s="2" t="s">
        <v>1324</v>
      </c>
      <c r="AF39" s="2">
        <v>0</v>
      </c>
      <c r="AG39" s="2" t="s">
        <v>1328</v>
      </c>
    </row>
    <row r="40" spans="1:33" s="2" customFormat="1" x14ac:dyDescent="0.3">
      <c r="A40" s="2" t="s">
        <v>1604</v>
      </c>
      <c r="B40" s="2" t="s">
        <v>1310</v>
      </c>
      <c r="C40" s="2">
        <v>0.4</v>
      </c>
      <c r="D40" s="2" t="s">
        <v>1311</v>
      </c>
      <c r="E40" s="2" t="s">
        <v>1312</v>
      </c>
      <c r="F40" s="2">
        <v>0.2</v>
      </c>
      <c r="G40" s="2" t="s">
        <v>1403</v>
      </c>
      <c r="H40" s="2" t="s">
        <v>1352</v>
      </c>
      <c r="I40" s="2" t="str">
        <f t="shared" si="0"/>
        <v>stoch_{'C',  [('delta', 0.4,  -1),  ('delta', 0.2,  3)]}_[35,  70]_1</v>
      </c>
      <c r="J40" s="2" t="s">
        <v>1315</v>
      </c>
      <c r="K40" s="2">
        <v>291</v>
      </c>
      <c r="L40" s="2" t="s">
        <v>1316</v>
      </c>
      <c r="M40" s="2">
        <v>89</v>
      </c>
      <c r="N40" s="2" t="s">
        <v>1317</v>
      </c>
      <c r="O40" s="2">
        <v>17.618261130531302</v>
      </c>
      <c r="P40" s="2" t="s">
        <v>1318</v>
      </c>
      <c r="Q40" s="2">
        <v>6.0543852682238102E-2</v>
      </c>
      <c r="R40" s="2" t="s">
        <v>1319</v>
      </c>
      <c r="S40" s="2">
        <v>1.8878162690710101</v>
      </c>
      <c r="T40" s="2" t="s">
        <v>1320</v>
      </c>
      <c r="U40" s="2">
        <v>-0.74454151889499698</v>
      </c>
      <c r="V40" s="2" t="s">
        <v>1321</v>
      </c>
      <c r="W40" s="2">
        <v>0.416582592445082</v>
      </c>
      <c r="X40" s="2" t="s">
        <v>1322</v>
      </c>
      <c r="Y40" s="2" t="s">
        <v>1630</v>
      </c>
      <c r="Z40" s="2" t="s">
        <v>1473</v>
      </c>
      <c r="AA40" s="2">
        <v>0</v>
      </c>
      <c r="AB40" s="2" t="s">
        <v>1325</v>
      </c>
      <c r="AC40" s="2" t="s">
        <v>1326</v>
      </c>
      <c r="AD40" s="2" t="s">
        <v>1630</v>
      </c>
      <c r="AE40" s="2" t="s">
        <v>1473</v>
      </c>
      <c r="AF40" s="2">
        <v>0</v>
      </c>
      <c r="AG40" s="2" t="s">
        <v>1328</v>
      </c>
    </row>
    <row r="41" spans="1:33" s="2" customFormat="1" x14ac:dyDescent="0.3">
      <c r="A41" s="2" t="s">
        <v>1500</v>
      </c>
      <c r="B41" s="2" t="s">
        <v>1310</v>
      </c>
      <c r="C41" s="2">
        <v>0.4</v>
      </c>
      <c r="D41" s="2" t="s">
        <v>1311</v>
      </c>
      <c r="E41" s="2" t="s">
        <v>1312</v>
      </c>
      <c r="F41" s="2">
        <v>0.2</v>
      </c>
      <c r="G41" s="2" t="s">
        <v>1392</v>
      </c>
      <c r="H41" s="2" t="s">
        <v>1349</v>
      </c>
      <c r="I41" s="2" t="str">
        <f t="shared" si="0"/>
        <v>psar_{'C',  [('delta', 0.4,  -1),  ('delta', 0.2,  3)]}_[21,  49]_4</v>
      </c>
      <c r="J41" s="2" t="s">
        <v>1315</v>
      </c>
      <c r="K41" s="2">
        <v>136</v>
      </c>
      <c r="L41" s="2" t="s">
        <v>1316</v>
      </c>
      <c r="M41" s="2">
        <v>23</v>
      </c>
      <c r="N41" s="2" t="s">
        <v>1317</v>
      </c>
      <c r="O41" s="2">
        <v>17.204289904864801</v>
      </c>
      <c r="P41" s="2" t="s">
        <v>1318</v>
      </c>
      <c r="Q41" s="2">
        <v>0.126502131653417</v>
      </c>
      <c r="R41" s="2" t="s">
        <v>1319</v>
      </c>
      <c r="S41" s="2">
        <v>3.9921739130434699</v>
      </c>
      <c r="T41" s="2" t="s">
        <v>1320</v>
      </c>
      <c r="U41" s="2">
        <v>-0.66031601854101896</v>
      </c>
      <c r="V41" s="2" t="s">
        <v>1321</v>
      </c>
      <c r="W41" s="2">
        <v>0.402535581965769</v>
      </c>
      <c r="X41" s="2" t="s">
        <v>1322</v>
      </c>
      <c r="Y41" s="2" t="s">
        <v>1536</v>
      </c>
      <c r="Z41" s="2" t="s">
        <v>1399</v>
      </c>
      <c r="AA41" s="2">
        <v>0</v>
      </c>
      <c r="AB41" s="2" t="s">
        <v>1325</v>
      </c>
      <c r="AC41" s="2" t="s">
        <v>1326</v>
      </c>
      <c r="AD41" s="2" t="s">
        <v>1536</v>
      </c>
      <c r="AE41" s="2" t="s">
        <v>1399</v>
      </c>
      <c r="AF41" s="2">
        <v>0</v>
      </c>
      <c r="AG41" s="2" t="s">
        <v>1328</v>
      </c>
    </row>
    <row r="42" spans="1:33" s="2" customFormat="1" x14ac:dyDescent="0.3">
      <c r="A42" s="2" t="s">
        <v>1500</v>
      </c>
      <c r="B42" s="2" t="s">
        <v>1310</v>
      </c>
      <c r="C42" s="2">
        <v>0.5</v>
      </c>
      <c r="D42" s="2" t="s">
        <v>1311</v>
      </c>
      <c r="E42" s="2" t="s">
        <v>1312</v>
      </c>
      <c r="F42" s="2">
        <v>0.3</v>
      </c>
      <c r="G42" s="2" t="s">
        <v>1313</v>
      </c>
      <c r="H42" s="2" t="s">
        <v>1337</v>
      </c>
      <c r="I42" s="2" t="str">
        <f t="shared" si="0"/>
        <v>psar_{'C',  [('delta', 0.5,  -1),  ('delta', 0.3,  2)]}_[7,  35]_5</v>
      </c>
      <c r="J42" s="2" t="s">
        <v>1315</v>
      </c>
      <c r="K42" s="2">
        <v>140</v>
      </c>
      <c r="L42" s="2" t="s">
        <v>1316</v>
      </c>
      <c r="M42" s="2">
        <v>43</v>
      </c>
      <c r="N42" s="2" t="s">
        <v>1317</v>
      </c>
      <c r="O42" s="2">
        <v>16.659999999999901</v>
      </c>
      <c r="P42" s="2" t="s">
        <v>1318</v>
      </c>
      <c r="Q42" s="2">
        <v>0.118999999999999</v>
      </c>
      <c r="R42" s="2" t="s">
        <v>1319</v>
      </c>
      <c r="S42" s="2">
        <v>1.96930232558139</v>
      </c>
      <c r="T42" s="2" t="s">
        <v>1320</v>
      </c>
      <c r="U42" s="2">
        <v>-0.70123711340206196</v>
      </c>
      <c r="V42" s="2" t="s">
        <v>1321</v>
      </c>
      <c r="W42" s="2">
        <v>0.36018721380868401</v>
      </c>
      <c r="X42" s="2" t="s">
        <v>1322</v>
      </c>
      <c r="Y42" s="2" t="s">
        <v>1323</v>
      </c>
      <c r="Z42" s="2" t="s">
        <v>1324</v>
      </c>
      <c r="AA42" s="2">
        <v>0</v>
      </c>
      <c r="AB42" s="2" t="s">
        <v>1325</v>
      </c>
      <c r="AC42" s="2" t="s">
        <v>1326</v>
      </c>
      <c r="AD42" s="2" t="s">
        <v>1323</v>
      </c>
      <c r="AE42" s="2" t="s">
        <v>1324</v>
      </c>
      <c r="AF42" s="2">
        <v>0</v>
      </c>
      <c r="AG42" s="2" t="s">
        <v>1328</v>
      </c>
    </row>
    <row r="43" spans="1:33" s="2" customFormat="1" x14ac:dyDescent="0.3">
      <c r="A43" s="2" t="s">
        <v>1500</v>
      </c>
      <c r="B43" s="2" t="s">
        <v>1310</v>
      </c>
      <c r="C43" s="2">
        <v>0.4</v>
      </c>
      <c r="D43" s="2" t="s">
        <v>1311</v>
      </c>
      <c r="E43" s="2" t="s">
        <v>1312</v>
      </c>
      <c r="F43" s="2">
        <v>0.2</v>
      </c>
      <c r="G43" s="2" t="s">
        <v>1313</v>
      </c>
      <c r="H43" s="2" t="s">
        <v>1333</v>
      </c>
      <c r="I43" s="2" t="str">
        <f t="shared" si="0"/>
        <v>psar_{'C',  [('delta', 0.4,  -1),  ('delta', 0.2,  2)]}_[7,  35]_3</v>
      </c>
      <c r="J43" s="2" t="s">
        <v>1315</v>
      </c>
      <c r="K43" s="2">
        <v>140</v>
      </c>
      <c r="L43" s="2" t="s">
        <v>1316</v>
      </c>
      <c r="M43" s="2">
        <v>61</v>
      </c>
      <c r="N43" s="2" t="s">
        <v>1317</v>
      </c>
      <c r="O43" s="2">
        <v>15.819999999999901</v>
      </c>
      <c r="P43" s="2" t="s">
        <v>1318</v>
      </c>
      <c r="Q43" s="2">
        <v>0.112999999999999</v>
      </c>
      <c r="R43" s="2" t="s">
        <v>1319</v>
      </c>
      <c r="S43" s="2">
        <v>1.1152459016393399</v>
      </c>
      <c r="T43" s="2" t="s">
        <v>1320</v>
      </c>
      <c r="U43" s="2">
        <v>-0.66088607594936699</v>
      </c>
      <c r="V43" s="2" t="s">
        <v>1321</v>
      </c>
      <c r="W43" s="2">
        <v>0.23930388797232999</v>
      </c>
      <c r="X43" s="2" t="s">
        <v>1322</v>
      </c>
      <c r="Y43" s="2" t="s">
        <v>1520</v>
      </c>
      <c r="Z43" s="2" t="s">
        <v>1521</v>
      </c>
      <c r="AA43" s="2">
        <v>0</v>
      </c>
      <c r="AB43" s="2" t="s">
        <v>1325</v>
      </c>
      <c r="AC43" s="2" t="s">
        <v>1326</v>
      </c>
      <c r="AD43" s="2" t="s">
        <v>1520</v>
      </c>
      <c r="AE43" s="2" t="s">
        <v>1521</v>
      </c>
      <c r="AF43" s="2">
        <v>0</v>
      </c>
      <c r="AG43" s="2" t="s">
        <v>1328</v>
      </c>
    </row>
    <row r="44" spans="1:33" s="2" customFormat="1" x14ac:dyDescent="0.3">
      <c r="A44" s="2" t="s">
        <v>1500</v>
      </c>
      <c r="B44" s="2" t="s">
        <v>1310</v>
      </c>
      <c r="C44" s="2">
        <v>0.5</v>
      </c>
      <c r="D44" s="2" t="s">
        <v>1311</v>
      </c>
      <c r="E44" s="2" t="s">
        <v>1312</v>
      </c>
      <c r="F44" s="2">
        <v>0.3</v>
      </c>
      <c r="G44" s="2" t="s">
        <v>1342</v>
      </c>
      <c r="H44" s="2" t="s">
        <v>1348</v>
      </c>
      <c r="I44" s="2" t="str">
        <f t="shared" si="0"/>
        <v>psar_{'C',  [('delta', 0.5,  -1),  ('delta', 0.3,  2)]}_[21,  49]_3</v>
      </c>
      <c r="J44" s="2" t="s">
        <v>1315</v>
      </c>
      <c r="K44" s="2">
        <v>136</v>
      </c>
      <c r="L44" s="2" t="s">
        <v>1316</v>
      </c>
      <c r="M44" s="2">
        <v>35</v>
      </c>
      <c r="N44" s="2" t="s">
        <v>1317</v>
      </c>
      <c r="O44" s="2">
        <v>15.1299999999999</v>
      </c>
      <c r="P44" s="2" t="s">
        <v>1318</v>
      </c>
      <c r="Q44" s="2">
        <v>0.111249999999999</v>
      </c>
      <c r="R44" s="2" t="s">
        <v>1319</v>
      </c>
      <c r="S44" s="2">
        <v>2.3091428571428501</v>
      </c>
      <c r="T44" s="2" t="s">
        <v>1320</v>
      </c>
      <c r="U44" s="2">
        <v>-0.65039603960395997</v>
      </c>
      <c r="V44" s="2" t="s">
        <v>1321</v>
      </c>
      <c r="W44" s="2">
        <v>0.29455710888390602</v>
      </c>
      <c r="X44" s="2" t="s">
        <v>1322</v>
      </c>
      <c r="Y44" s="2" t="s">
        <v>1505</v>
      </c>
      <c r="Z44" s="2" t="s">
        <v>1506</v>
      </c>
      <c r="AA44" s="2">
        <v>0</v>
      </c>
      <c r="AB44" s="2" t="s">
        <v>1325</v>
      </c>
      <c r="AC44" s="2" t="s">
        <v>1326</v>
      </c>
      <c r="AD44" s="2" t="s">
        <v>1505</v>
      </c>
      <c r="AE44" s="2" t="s">
        <v>1506</v>
      </c>
      <c r="AF44" s="2">
        <v>0</v>
      </c>
      <c r="AG44" s="2" t="s">
        <v>1328</v>
      </c>
    </row>
    <row r="45" spans="1:33" x14ac:dyDescent="0.3">
      <c r="A45" t="s">
        <v>1309</v>
      </c>
      <c r="B45" t="s">
        <v>1310</v>
      </c>
      <c r="C45">
        <v>0.3</v>
      </c>
      <c r="D45" t="s">
        <v>1311</v>
      </c>
      <c r="E45" t="s">
        <v>1312</v>
      </c>
      <c r="F45">
        <v>0.15</v>
      </c>
      <c r="G45" t="s">
        <v>1403</v>
      </c>
      <c r="H45" t="s">
        <v>1359</v>
      </c>
      <c r="I45" t="str">
        <f t="shared" si="0"/>
        <v>alltime_{'C',  [('delta', 0.3,  -1),  ('delta', 0.15,  3)]}_[35,  70]_4</v>
      </c>
      <c r="J45" t="s">
        <v>1315</v>
      </c>
      <c r="K45">
        <v>3810</v>
      </c>
      <c r="L45" t="s">
        <v>1316</v>
      </c>
      <c r="M45">
        <v>514</v>
      </c>
      <c r="N45" t="s">
        <v>1317</v>
      </c>
      <c r="O45">
        <v>12.050440094645801</v>
      </c>
      <c r="P45" t="s">
        <v>1318</v>
      </c>
      <c r="Q45">
        <v>3.1628451691983902E-3</v>
      </c>
      <c r="R45" t="s">
        <v>1319</v>
      </c>
      <c r="S45">
        <v>4.18862519788303</v>
      </c>
      <c r="T45" t="s">
        <v>1320</v>
      </c>
      <c r="U45">
        <v>-0.65013753769122895</v>
      </c>
      <c r="V45" t="s">
        <v>1321</v>
      </c>
      <c r="W45">
        <v>3.5393001959941599</v>
      </c>
      <c r="X45" t="s">
        <v>1322</v>
      </c>
      <c r="Y45" t="s">
        <v>1446</v>
      </c>
      <c r="Z45" t="s">
        <v>1447</v>
      </c>
    </row>
    <row r="46" spans="1:33" s="2" customFormat="1" x14ac:dyDescent="0.3">
      <c r="A46" s="2" t="s">
        <v>1500</v>
      </c>
      <c r="B46" s="2" t="s">
        <v>1310</v>
      </c>
      <c r="C46" s="2">
        <v>0.4</v>
      </c>
      <c r="D46" s="2" t="s">
        <v>1311</v>
      </c>
      <c r="E46" s="2" t="s">
        <v>1312</v>
      </c>
      <c r="F46" s="2">
        <v>0.2</v>
      </c>
      <c r="G46" s="2" t="s">
        <v>1313</v>
      </c>
      <c r="H46" s="2" t="s">
        <v>1329</v>
      </c>
      <c r="I46" s="2" t="str">
        <f t="shared" si="0"/>
        <v>psar_{'C',  [('delta', 0.4,  -1),  ('delta', 0.2,  2)]}_[7,  35]_2</v>
      </c>
      <c r="J46" s="2" t="s">
        <v>1315</v>
      </c>
      <c r="K46" s="2">
        <v>140</v>
      </c>
      <c r="L46" s="2" t="s">
        <v>1316</v>
      </c>
      <c r="M46" s="2">
        <v>61</v>
      </c>
      <c r="N46" s="2" t="s">
        <v>1317</v>
      </c>
      <c r="O46" s="2">
        <v>11.909999999999901</v>
      </c>
      <c r="P46" s="2" t="s">
        <v>1318</v>
      </c>
      <c r="Q46" s="2">
        <v>8.5071428571428395E-2</v>
      </c>
      <c r="R46" s="2" t="s">
        <v>1319</v>
      </c>
      <c r="S46" s="2">
        <v>1.0511475409836</v>
      </c>
      <c r="T46" s="2" t="s">
        <v>1320</v>
      </c>
      <c r="U46" s="2">
        <v>-0.66088607594936699</v>
      </c>
      <c r="V46" s="2" t="s">
        <v>1321</v>
      </c>
      <c r="W46" s="2">
        <v>0.23090374711713599</v>
      </c>
      <c r="X46" s="2" t="s">
        <v>1322</v>
      </c>
      <c r="Y46" s="2" t="s">
        <v>1520</v>
      </c>
      <c r="Z46" s="2" t="s">
        <v>1521</v>
      </c>
      <c r="AA46" s="2">
        <v>0</v>
      </c>
      <c r="AB46" s="2" t="s">
        <v>1325</v>
      </c>
      <c r="AC46" s="2" t="s">
        <v>1326</v>
      </c>
      <c r="AD46" s="2" t="s">
        <v>1520</v>
      </c>
      <c r="AE46" s="2" t="s">
        <v>1521</v>
      </c>
      <c r="AF46" s="2">
        <v>0</v>
      </c>
      <c r="AG46" s="2" t="s">
        <v>1328</v>
      </c>
    </row>
    <row r="47" spans="1:33" s="2" customFormat="1" x14ac:dyDescent="0.3">
      <c r="A47" s="2" t="s">
        <v>1500</v>
      </c>
      <c r="B47" s="2" t="s">
        <v>1310</v>
      </c>
      <c r="C47" s="2">
        <v>0.3</v>
      </c>
      <c r="D47" s="2" t="s">
        <v>1311</v>
      </c>
      <c r="E47" s="2" t="s">
        <v>1312</v>
      </c>
      <c r="F47" s="2">
        <v>0.15</v>
      </c>
      <c r="G47" s="2" t="s">
        <v>1392</v>
      </c>
      <c r="H47" s="2" t="s">
        <v>1349</v>
      </c>
      <c r="I47" s="2" t="str">
        <f t="shared" si="0"/>
        <v>psar_{'C',  [('delta', 0.3,  -1),  ('delta', 0.15,  3)]}_[21,  49]_4</v>
      </c>
      <c r="J47" s="2" t="s">
        <v>1315</v>
      </c>
      <c r="K47" s="2">
        <v>136</v>
      </c>
      <c r="L47" s="2" t="s">
        <v>1316</v>
      </c>
      <c r="M47" s="2">
        <v>29</v>
      </c>
      <c r="N47" s="2" t="s">
        <v>1317</v>
      </c>
      <c r="O47" s="2">
        <v>11.2060664353956</v>
      </c>
      <c r="P47" s="2" t="s">
        <v>1318</v>
      </c>
      <c r="Q47" s="2">
        <v>8.2397547319085801E-2</v>
      </c>
      <c r="R47" s="2" t="s">
        <v>1319</v>
      </c>
      <c r="S47" s="2">
        <v>2.66379310344827</v>
      </c>
      <c r="T47" s="2" t="s">
        <v>1320</v>
      </c>
      <c r="U47" s="2">
        <v>-0.61723302396826496</v>
      </c>
      <c r="V47" s="2" t="s">
        <v>1321</v>
      </c>
      <c r="W47" s="2">
        <v>0.36716265405936799</v>
      </c>
      <c r="X47" s="2" t="s">
        <v>1322</v>
      </c>
      <c r="Y47" s="2" t="s">
        <v>1554</v>
      </c>
      <c r="Z47" s="2" t="s">
        <v>1341</v>
      </c>
      <c r="AA47" s="2">
        <v>0</v>
      </c>
      <c r="AB47" s="2" t="s">
        <v>1325</v>
      </c>
      <c r="AC47" s="2" t="s">
        <v>1326</v>
      </c>
      <c r="AD47" s="2" t="s">
        <v>1554</v>
      </c>
      <c r="AE47" s="2" t="s">
        <v>1341</v>
      </c>
      <c r="AF47" s="2">
        <v>0</v>
      </c>
      <c r="AG47" s="2" t="s">
        <v>1328</v>
      </c>
    </row>
    <row r="48" spans="1:33" x14ac:dyDescent="0.3">
      <c r="A48" t="s">
        <v>1309</v>
      </c>
      <c r="B48" t="s">
        <v>1310</v>
      </c>
      <c r="C48">
        <v>0.3</v>
      </c>
      <c r="D48" t="s">
        <v>1311</v>
      </c>
      <c r="E48" t="s">
        <v>1312</v>
      </c>
      <c r="F48">
        <v>0.15</v>
      </c>
      <c r="G48" t="s">
        <v>1351</v>
      </c>
      <c r="H48" t="s">
        <v>1359</v>
      </c>
      <c r="I48" t="str">
        <f t="shared" si="0"/>
        <v>alltime_{'C',  [('delta', 0.3,  -1),  ('delta', 0.15,  2)]}_[35,  70]_4</v>
      </c>
      <c r="J48" t="s">
        <v>1315</v>
      </c>
      <c r="K48">
        <v>3810</v>
      </c>
      <c r="L48" t="s">
        <v>1316</v>
      </c>
      <c r="M48">
        <v>1425</v>
      </c>
      <c r="N48" t="s">
        <v>1317</v>
      </c>
      <c r="O48">
        <v>10.9241032712034</v>
      </c>
      <c r="P48" t="s">
        <v>1318</v>
      </c>
      <c r="Q48">
        <v>2.8672187063525901E-3</v>
      </c>
      <c r="R48" t="s">
        <v>1319</v>
      </c>
      <c r="S48">
        <v>1.10342066403912</v>
      </c>
      <c r="T48" t="s">
        <v>1320</v>
      </c>
      <c r="U48">
        <v>-0.65469616058051605</v>
      </c>
      <c r="V48" t="s">
        <v>1321</v>
      </c>
      <c r="W48">
        <v>2.5200415572788399</v>
      </c>
      <c r="X48" t="s">
        <v>1322</v>
      </c>
      <c r="Y48" t="s">
        <v>1419</v>
      </c>
      <c r="Z48" t="s">
        <v>1420</v>
      </c>
      <c r="AA48">
        <v>0</v>
      </c>
      <c r="AB48" t="s">
        <v>1325</v>
      </c>
      <c r="AC48" t="s">
        <v>1326</v>
      </c>
      <c r="AD48" t="s">
        <v>1423</v>
      </c>
      <c r="AE48" t="s">
        <v>1424</v>
      </c>
      <c r="AF48">
        <v>0</v>
      </c>
      <c r="AG48" t="s">
        <v>1328</v>
      </c>
    </row>
    <row r="49" spans="1:33" s="2" customFormat="1" x14ac:dyDescent="0.3">
      <c r="A49" s="2" t="s">
        <v>1500</v>
      </c>
      <c r="B49" s="2" t="s">
        <v>1310</v>
      </c>
      <c r="C49" s="2">
        <v>0.5</v>
      </c>
      <c r="D49" s="2" t="s">
        <v>1311</v>
      </c>
      <c r="E49" s="2" t="s">
        <v>1312</v>
      </c>
      <c r="F49" s="2">
        <v>0.3</v>
      </c>
      <c r="G49" s="2" t="s">
        <v>1342</v>
      </c>
      <c r="H49" s="2" t="s">
        <v>1349</v>
      </c>
      <c r="I49" s="2" t="str">
        <f t="shared" si="0"/>
        <v>psar_{'C',  [('delta', 0.5,  -1),  ('delta', 0.3,  2)]}_[21,  49]_4</v>
      </c>
      <c r="J49" s="2" t="s">
        <v>1315</v>
      </c>
      <c r="K49" s="2">
        <v>136</v>
      </c>
      <c r="L49" s="2" t="s">
        <v>1316</v>
      </c>
      <c r="M49" s="2">
        <v>32</v>
      </c>
      <c r="N49" s="2" t="s">
        <v>1317</v>
      </c>
      <c r="O49" s="2">
        <v>10.2799999999999</v>
      </c>
      <c r="P49" s="2" t="s">
        <v>1318</v>
      </c>
      <c r="Q49" s="2">
        <v>7.5588235294117498E-2</v>
      </c>
      <c r="R49" s="2" t="s">
        <v>1319</v>
      </c>
      <c r="S49" s="2">
        <v>2.5196874999999999</v>
      </c>
      <c r="T49" s="2" t="s">
        <v>1320</v>
      </c>
      <c r="U49" s="2">
        <v>-0.67644230769230695</v>
      </c>
      <c r="V49" s="2" t="s">
        <v>1321</v>
      </c>
      <c r="W49" s="2">
        <v>0.324942928324575</v>
      </c>
      <c r="X49" s="2" t="s">
        <v>1322</v>
      </c>
      <c r="Y49" s="2" t="s">
        <v>1507</v>
      </c>
      <c r="Z49" s="2" t="s">
        <v>1508</v>
      </c>
      <c r="AA49" s="2">
        <v>0</v>
      </c>
      <c r="AB49" s="2" t="s">
        <v>1325</v>
      </c>
      <c r="AC49" s="2" t="s">
        <v>1326</v>
      </c>
      <c r="AD49" s="2" t="s">
        <v>1507</v>
      </c>
      <c r="AE49" s="2" t="s">
        <v>1508</v>
      </c>
      <c r="AF49" s="2">
        <v>0</v>
      </c>
      <c r="AG49" s="2" t="s">
        <v>1328</v>
      </c>
    </row>
    <row r="50" spans="1:33" s="2" customFormat="1" x14ac:dyDescent="0.3">
      <c r="A50" s="2" t="s">
        <v>1500</v>
      </c>
      <c r="B50" s="2" t="s">
        <v>1310</v>
      </c>
      <c r="C50" s="2">
        <v>0.5</v>
      </c>
      <c r="D50" s="2" t="s">
        <v>1311</v>
      </c>
      <c r="E50" s="2" t="s">
        <v>1312</v>
      </c>
      <c r="F50" s="2">
        <v>0.3</v>
      </c>
      <c r="G50" s="2" t="s">
        <v>1313</v>
      </c>
      <c r="H50" s="2" t="s">
        <v>1333</v>
      </c>
      <c r="I50" s="2" t="str">
        <f t="shared" si="0"/>
        <v>psar_{'C',  [('delta', 0.5,  -1),  ('delta', 0.3,  2)]}_[7,  35]_3</v>
      </c>
      <c r="J50" s="2" t="s">
        <v>1315</v>
      </c>
      <c r="K50" s="2">
        <v>140</v>
      </c>
      <c r="L50" s="2" t="s">
        <v>1316</v>
      </c>
      <c r="M50" s="2">
        <v>43</v>
      </c>
      <c r="N50" s="2" t="s">
        <v>1317</v>
      </c>
      <c r="O50" s="2">
        <v>9.8800000000000008</v>
      </c>
      <c r="P50" s="2" t="s">
        <v>1318</v>
      </c>
      <c r="Q50" s="2">
        <v>7.0571428571428604E-2</v>
      </c>
      <c r="R50" s="2" t="s">
        <v>1319</v>
      </c>
      <c r="S50" s="2">
        <v>1.81162790697674</v>
      </c>
      <c r="T50" s="2" t="s">
        <v>1320</v>
      </c>
      <c r="U50" s="2">
        <v>-0.70123711340206196</v>
      </c>
      <c r="V50" s="2" t="s">
        <v>1321</v>
      </c>
      <c r="W50" s="2">
        <v>0.33572240117594598</v>
      </c>
      <c r="X50" s="2" t="s">
        <v>1322</v>
      </c>
      <c r="Y50" s="2" t="s">
        <v>1323</v>
      </c>
      <c r="Z50" s="2" t="s">
        <v>1324</v>
      </c>
      <c r="AA50" s="2">
        <v>0</v>
      </c>
      <c r="AB50" s="2" t="s">
        <v>1325</v>
      </c>
      <c r="AC50" s="2" t="s">
        <v>1326</v>
      </c>
      <c r="AD50" s="2" t="s">
        <v>1323</v>
      </c>
      <c r="AE50" s="2" t="s">
        <v>1324</v>
      </c>
      <c r="AF50" s="2">
        <v>0</v>
      </c>
      <c r="AG50" s="2" t="s">
        <v>1328</v>
      </c>
    </row>
    <row r="51" spans="1:33" s="2" customFormat="1" x14ac:dyDescent="0.3">
      <c r="A51" s="2" t="s">
        <v>1500</v>
      </c>
      <c r="B51" s="2" t="s">
        <v>1310</v>
      </c>
      <c r="C51" s="2">
        <v>0.4</v>
      </c>
      <c r="D51" s="2" t="s">
        <v>1311</v>
      </c>
      <c r="E51" s="2" t="s">
        <v>1312</v>
      </c>
      <c r="F51" s="2">
        <v>0.2</v>
      </c>
      <c r="G51" s="2" t="s">
        <v>1313</v>
      </c>
      <c r="H51" s="2" t="s">
        <v>1337</v>
      </c>
      <c r="I51" s="2" t="str">
        <f t="shared" si="0"/>
        <v>psar_{'C',  [('delta', 0.4,  -1),  ('delta', 0.2,  2)]}_[7,  35]_5</v>
      </c>
      <c r="J51" s="2" t="s">
        <v>1315</v>
      </c>
      <c r="K51" s="2">
        <v>140</v>
      </c>
      <c r="L51" s="2" t="s">
        <v>1316</v>
      </c>
      <c r="M51" s="2">
        <v>59</v>
      </c>
      <c r="N51" s="2" t="s">
        <v>1317</v>
      </c>
      <c r="O51" s="2">
        <v>9.5299999999999798</v>
      </c>
      <c r="P51" s="2" t="s">
        <v>1318</v>
      </c>
      <c r="Q51" s="2">
        <v>6.8071428571428394E-2</v>
      </c>
      <c r="R51" s="2" t="s">
        <v>1319</v>
      </c>
      <c r="S51" s="2">
        <v>1.07847457627118</v>
      </c>
      <c r="T51" s="2" t="s">
        <v>1320</v>
      </c>
      <c r="U51" s="2">
        <v>-0.66790123456790096</v>
      </c>
      <c r="V51" s="2" t="s">
        <v>1321</v>
      </c>
      <c r="W51" s="2">
        <v>0.25853599580126901</v>
      </c>
      <c r="X51" s="2" t="s">
        <v>1322</v>
      </c>
      <c r="Y51" s="2" t="s">
        <v>1522</v>
      </c>
      <c r="Z51" s="2" t="s">
        <v>1523</v>
      </c>
      <c r="AA51" s="2">
        <v>0</v>
      </c>
      <c r="AB51" s="2" t="s">
        <v>1325</v>
      </c>
      <c r="AC51" s="2" t="s">
        <v>1326</v>
      </c>
      <c r="AD51" s="2" t="s">
        <v>1522</v>
      </c>
      <c r="AE51" s="2" t="s">
        <v>1523</v>
      </c>
      <c r="AF51" s="2">
        <v>0</v>
      </c>
      <c r="AG51" s="2" t="s">
        <v>1328</v>
      </c>
    </row>
    <row r="52" spans="1:33" s="2" customFormat="1" x14ac:dyDescent="0.3">
      <c r="A52" s="2" t="s">
        <v>1500</v>
      </c>
      <c r="B52" s="2" t="s">
        <v>1310</v>
      </c>
      <c r="C52" s="2">
        <v>0.3</v>
      </c>
      <c r="D52" s="2" t="s">
        <v>1311</v>
      </c>
      <c r="E52" s="2" t="s">
        <v>1312</v>
      </c>
      <c r="F52" s="2">
        <v>0.15</v>
      </c>
      <c r="G52" s="2" t="s">
        <v>1351</v>
      </c>
      <c r="H52" s="2" t="s">
        <v>1359</v>
      </c>
      <c r="I52" s="2" t="str">
        <f t="shared" si="0"/>
        <v>psar_{'C',  [('delta', 0.3,  -1),  ('delta', 0.15,  2)]}_[35,  70]_4</v>
      </c>
      <c r="J52" s="2" t="s">
        <v>1315</v>
      </c>
      <c r="K52" s="2">
        <v>177</v>
      </c>
      <c r="L52" s="2" t="s">
        <v>1316</v>
      </c>
      <c r="M52" s="2">
        <v>68</v>
      </c>
      <c r="N52" s="2" t="s">
        <v>1317</v>
      </c>
      <c r="O52" s="2">
        <v>9.4578074402130099</v>
      </c>
      <c r="P52" s="2" t="s">
        <v>1318</v>
      </c>
      <c r="Q52" s="2">
        <v>5.3433940340186503E-2</v>
      </c>
      <c r="R52" s="2" t="s">
        <v>1319</v>
      </c>
      <c r="S52" s="2">
        <v>1.2741024803110099</v>
      </c>
      <c r="T52" s="2" t="s">
        <v>1320</v>
      </c>
      <c r="U52" s="2">
        <v>-0.70808404789849799</v>
      </c>
      <c r="V52" s="2" t="s">
        <v>1321</v>
      </c>
      <c r="W52" s="2">
        <v>0.288508747427414</v>
      </c>
      <c r="X52" s="2" t="s">
        <v>1322</v>
      </c>
      <c r="Y52" s="2" t="s">
        <v>1547</v>
      </c>
      <c r="Z52" s="2" t="s">
        <v>1416</v>
      </c>
      <c r="AA52" s="2">
        <v>0</v>
      </c>
      <c r="AB52" s="2" t="s">
        <v>1325</v>
      </c>
      <c r="AC52" s="2" t="s">
        <v>1326</v>
      </c>
      <c r="AD52" s="2" t="s">
        <v>1548</v>
      </c>
      <c r="AE52" s="2" t="s">
        <v>1424</v>
      </c>
      <c r="AF52" s="2">
        <v>0</v>
      </c>
      <c r="AG52" s="2" t="s">
        <v>1328</v>
      </c>
    </row>
    <row r="53" spans="1:33" s="2" customFormat="1" x14ac:dyDescent="0.3">
      <c r="A53" s="2" t="s">
        <v>1500</v>
      </c>
      <c r="B53" s="2" t="s">
        <v>1310</v>
      </c>
      <c r="C53" s="2">
        <v>0.3</v>
      </c>
      <c r="D53" s="2" t="s">
        <v>1311</v>
      </c>
      <c r="E53" s="2" t="s">
        <v>1312</v>
      </c>
      <c r="F53" s="2">
        <v>0.15</v>
      </c>
      <c r="G53" s="2" t="s">
        <v>1392</v>
      </c>
      <c r="H53" s="2" t="s">
        <v>1346</v>
      </c>
      <c r="I53" s="2" t="str">
        <f t="shared" si="0"/>
        <v>psar_{'C',  [('delta', 0.3,  -1),  ('delta', 0.15,  3)]}_[21,  49]_2</v>
      </c>
      <c r="J53" s="2" t="s">
        <v>1315</v>
      </c>
      <c r="K53" s="2">
        <v>136</v>
      </c>
      <c r="L53" s="2" t="s">
        <v>1316</v>
      </c>
      <c r="M53" s="2">
        <v>37</v>
      </c>
      <c r="N53" s="2" t="s">
        <v>1317</v>
      </c>
      <c r="O53" s="2">
        <v>9.0860664353956704</v>
      </c>
      <c r="P53" s="2" t="s">
        <v>1318</v>
      </c>
      <c r="Q53" s="2">
        <v>6.6809312024968204E-2</v>
      </c>
      <c r="R53" s="2" t="s">
        <v>1319</v>
      </c>
      <c r="S53" s="2">
        <v>1.8818918918918901</v>
      </c>
      <c r="T53" s="2" t="s">
        <v>1320</v>
      </c>
      <c r="U53" s="2">
        <v>-0.61155488449095297</v>
      </c>
      <c r="V53" s="2" t="s">
        <v>1321</v>
      </c>
      <c r="W53" s="2">
        <v>0.26248919580726499</v>
      </c>
      <c r="X53" s="2" t="s">
        <v>1322</v>
      </c>
      <c r="Y53" s="2" t="s">
        <v>1553</v>
      </c>
      <c r="Z53" s="2" t="s">
        <v>1368</v>
      </c>
      <c r="AA53" s="2">
        <v>0</v>
      </c>
      <c r="AB53" s="2" t="s">
        <v>1325</v>
      </c>
      <c r="AC53" s="2" t="s">
        <v>1326</v>
      </c>
      <c r="AD53" s="2" t="s">
        <v>1553</v>
      </c>
      <c r="AE53" s="2" t="s">
        <v>1368</v>
      </c>
      <c r="AF53" s="2">
        <v>0</v>
      </c>
      <c r="AG53" s="2" t="s">
        <v>1328</v>
      </c>
    </row>
    <row r="54" spans="1:33" s="2" customFormat="1" x14ac:dyDescent="0.3">
      <c r="A54" s="2" t="s">
        <v>1500</v>
      </c>
      <c r="B54" s="2" t="s">
        <v>1310</v>
      </c>
      <c r="C54" s="2">
        <v>0.4</v>
      </c>
      <c r="D54" s="2" t="s">
        <v>1311</v>
      </c>
      <c r="E54" s="2" t="s">
        <v>1312</v>
      </c>
      <c r="F54" s="2">
        <v>0.2</v>
      </c>
      <c r="G54" s="2" t="s">
        <v>1381</v>
      </c>
      <c r="H54" s="2" t="s">
        <v>1314</v>
      </c>
      <c r="I54" s="2" t="str">
        <f t="shared" si="0"/>
        <v>psar_{'C',  [('delta', 0.4,  -1),  ('delta', 0.2,  3)]}_[7,  35]_1</v>
      </c>
      <c r="J54" s="2" t="s">
        <v>1315</v>
      </c>
      <c r="K54" s="2">
        <v>140</v>
      </c>
      <c r="L54" s="2" t="s">
        <v>1316</v>
      </c>
      <c r="M54" s="2">
        <v>43</v>
      </c>
      <c r="N54" s="2" t="s">
        <v>1317</v>
      </c>
      <c r="O54" s="2">
        <v>9.0699999999999701</v>
      </c>
      <c r="P54" s="2" t="s">
        <v>1318</v>
      </c>
      <c r="Q54" s="2">
        <v>6.4785714285714002E-2</v>
      </c>
      <c r="R54" s="2" t="s">
        <v>1319</v>
      </c>
      <c r="S54" s="2">
        <v>1.6037209302325499</v>
      </c>
      <c r="T54" s="2" t="s">
        <v>1320</v>
      </c>
      <c r="U54" s="2">
        <v>-0.61742268041237103</v>
      </c>
      <c r="V54" s="2" t="s">
        <v>1321</v>
      </c>
      <c r="W54" s="2">
        <v>0.26723803963614801</v>
      </c>
      <c r="X54" s="2" t="s">
        <v>1322</v>
      </c>
      <c r="Y54" s="2" t="s">
        <v>1528</v>
      </c>
      <c r="Z54" s="2" t="s">
        <v>1324</v>
      </c>
      <c r="AA54" s="2">
        <v>0</v>
      </c>
      <c r="AB54" s="2" t="s">
        <v>1325</v>
      </c>
      <c r="AC54" s="2" t="s">
        <v>1326</v>
      </c>
      <c r="AD54" s="2" t="s">
        <v>1528</v>
      </c>
      <c r="AE54" s="2" t="s">
        <v>1324</v>
      </c>
      <c r="AF54" s="2">
        <v>0</v>
      </c>
      <c r="AG54" s="2" t="s">
        <v>1328</v>
      </c>
    </row>
    <row r="55" spans="1:33" s="2" customFormat="1" x14ac:dyDescent="0.3">
      <c r="A55" s="2" t="s">
        <v>1500</v>
      </c>
      <c r="B55" s="2" t="s">
        <v>1310</v>
      </c>
      <c r="C55" s="2">
        <v>0.5</v>
      </c>
      <c r="D55" s="2" t="s">
        <v>1311</v>
      </c>
      <c r="E55" s="2" t="s">
        <v>1312</v>
      </c>
      <c r="F55" s="2">
        <v>0.3</v>
      </c>
      <c r="G55" s="2" t="s">
        <v>1351</v>
      </c>
      <c r="H55" s="2" t="s">
        <v>1358</v>
      </c>
      <c r="I55" s="2" t="str">
        <f t="shared" si="0"/>
        <v>psar_{'C',  [('delta', 0.5,  -1),  ('delta', 0.3,  2)]}_[35,  70]_3</v>
      </c>
      <c r="J55" s="2" t="s">
        <v>1315</v>
      </c>
      <c r="K55" s="2">
        <v>177</v>
      </c>
      <c r="L55" s="2" t="s">
        <v>1316</v>
      </c>
      <c r="M55" s="2">
        <v>37</v>
      </c>
      <c r="N55" s="2" t="s">
        <v>1317</v>
      </c>
      <c r="O55" s="2">
        <v>9.0500887026611405</v>
      </c>
      <c r="P55" s="2" t="s">
        <v>1318</v>
      </c>
      <c r="Q55" s="2">
        <v>5.1130444647803003E-2</v>
      </c>
      <c r="R55" s="2" t="s">
        <v>1319</v>
      </c>
      <c r="S55" s="2">
        <v>2.7723547275204199</v>
      </c>
      <c r="T55" s="2" t="s">
        <v>1320</v>
      </c>
      <c r="U55" s="2">
        <v>-0.66805025868281898</v>
      </c>
      <c r="V55" s="2" t="s">
        <v>1321</v>
      </c>
      <c r="W55" s="2">
        <v>0.40295670542052903</v>
      </c>
      <c r="X55" s="2" t="s">
        <v>1322</v>
      </c>
      <c r="Y55" s="2" t="s">
        <v>1514</v>
      </c>
      <c r="Z55" s="2" t="s">
        <v>1515</v>
      </c>
      <c r="AA55" s="2">
        <v>0</v>
      </c>
      <c r="AB55" s="2" t="s">
        <v>1325</v>
      </c>
      <c r="AC55" s="2" t="s">
        <v>1326</v>
      </c>
      <c r="AD55" s="2" t="s">
        <v>1516</v>
      </c>
      <c r="AE55" s="2" t="s">
        <v>1515</v>
      </c>
      <c r="AF55" s="2">
        <v>0</v>
      </c>
      <c r="AG55" s="2" t="s">
        <v>1328</v>
      </c>
    </row>
    <row r="56" spans="1:33" x14ac:dyDescent="0.3">
      <c r="A56" t="s">
        <v>1309</v>
      </c>
      <c r="B56" t="s">
        <v>1310</v>
      </c>
      <c r="C56">
        <v>0.4</v>
      </c>
      <c r="D56" t="s">
        <v>1311</v>
      </c>
      <c r="E56" t="s">
        <v>1312</v>
      </c>
      <c r="F56">
        <v>0.2</v>
      </c>
      <c r="G56" t="s">
        <v>1342</v>
      </c>
      <c r="H56" t="s">
        <v>1343</v>
      </c>
      <c r="I56" t="str">
        <f t="shared" si="0"/>
        <v>alltime_{'C',  [('delta', 0.4,  -1),  ('delta', 0.2,  2)]}_[21,  49]_1</v>
      </c>
      <c r="J56" t="s">
        <v>1315</v>
      </c>
      <c r="K56">
        <v>3050</v>
      </c>
      <c r="L56" t="s">
        <v>1316</v>
      </c>
      <c r="M56">
        <v>1206</v>
      </c>
      <c r="N56" t="s">
        <v>1317</v>
      </c>
      <c r="O56">
        <v>8.9681475876001002</v>
      </c>
      <c r="P56" t="s">
        <v>1318</v>
      </c>
      <c r="Q56">
        <v>2.9403762582295399E-3</v>
      </c>
      <c r="R56" t="s">
        <v>1319</v>
      </c>
      <c r="S56">
        <v>1.02416433947326</v>
      </c>
      <c r="T56" t="s">
        <v>1320</v>
      </c>
      <c r="U56">
        <v>-0.66495338710257601</v>
      </c>
      <c r="V56" t="s">
        <v>1321</v>
      </c>
      <c r="W56">
        <v>1.6177865223596499</v>
      </c>
      <c r="X56" t="s">
        <v>1322</v>
      </c>
      <c r="Y56" t="s">
        <v>1367</v>
      </c>
      <c r="Z56" t="s">
        <v>1368</v>
      </c>
      <c r="AA56">
        <v>0</v>
      </c>
      <c r="AB56" t="s">
        <v>1325</v>
      </c>
      <c r="AC56" t="s">
        <v>1326</v>
      </c>
      <c r="AD56" t="s">
        <v>1369</v>
      </c>
      <c r="AE56" t="s">
        <v>1331</v>
      </c>
      <c r="AF56">
        <v>0</v>
      </c>
      <c r="AG56" t="s">
        <v>1328</v>
      </c>
    </row>
    <row r="57" spans="1:33" x14ac:dyDescent="0.3">
      <c r="A57" t="s">
        <v>1500</v>
      </c>
      <c r="B57" t="s">
        <v>1310</v>
      </c>
      <c r="C57">
        <v>0.3</v>
      </c>
      <c r="D57" t="s">
        <v>1311</v>
      </c>
      <c r="E57" t="s">
        <v>1312</v>
      </c>
      <c r="F57">
        <v>0.15</v>
      </c>
      <c r="G57" t="s">
        <v>1351</v>
      </c>
      <c r="H57" t="s">
        <v>1360</v>
      </c>
      <c r="I57" t="str">
        <f t="shared" si="0"/>
        <v>psar_{'C',  [('delta', 0.3,  -1),  ('delta', 0.15,  2)]}_[35,  70]_5</v>
      </c>
      <c r="J57" t="s">
        <v>1315</v>
      </c>
      <c r="K57">
        <v>177</v>
      </c>
      <c r="L57" t="s">
        <v>1316</v>
      </c>
      <c r="M57">
        <v>67</v>
      </c>
      <c r="N57" t="s">
        <v>1317</v>
      </c>
      <c r="O57">
        <v>8.4878074402130199</v>
      </c>
      <c r="P57" t="s">
        <v>1318</v>
      </c>
      <c r="Q57">
        <v>4.7953714351485897E-2</v>
      </c>
      <c r="R57" t="s">
        <v>1319</v>
      </c>
      <c r="S57">
        <v>1.2865517710619301</v>
      </c>
      <c r="T57" t="s">
        <v>1320</v>
      </c>
      <c r="U57">
        <v>-0.70646510200851198</v>
      </c>
      <c r="V57" t="s">
        <v>1321</v>
      </c>
      <c r="W57">
        <v>0.30140061624217102</v>
      </c>
      <c r="X57" t="s">
        <v>1322</v>
      </c>
      <c r="Y57" t="s">
        <v>1547</v>
      </c>
      <c r="Z57" t="s">
        <v>1416</v>
      </c>
      <c r="AA57">
        <v>0</v>
      </c>
      <c r="AB57" t="s">
        <v>1325</v>
      </c>
      <c r="AC57" t="s">
        <v>1326</v>
      </c>
      <c r="AD57" t="s">
        <v>1548</v>
      </c>
      <c r="AE57" t="s">
        <v>1424</v>
      </c>
      <c r="AF57">
        <v>0</v>
      </c>
      <c r="AG57" t="s">
        <v>1328</v>
      </c>
    </row>
    <row r="58" spans="1:33" x14ac:dyDescent="0.3">
      <c r="A58" t="s">
        <v>1455</v>
      </c>
      <c r="B58" t="s">
        <v>1310</v>
      </c>
      <c r="C58">
        <v>0.4</v>
      </c>
      <c r="D58" t="s">
        <v>1311</v>
      </c>
      <c r="E58" t="s">
        <v>1312</v>
      </c>
      <c r="F58">
        <v>0.2</v>
      </c>
      <c r="G58" t="s">
        <v>1313</v>
      </c>
      <c r="H58" t="s">
        <v>1337</v>
      </c>
      <c r="I58" t="str">
        <f t="shared" si="0"/>
        <v>bbands_{'C',  [('delta', 0.4,  -1),  ('delta', 0.2,  2)]}_[7,  35]_5</v>
      </c>
      <c r="J58" t="s">
        <v>1315</v>
      </c>
      <c r="K58">
        <v>191</v>
      </c>
      <c r="L58" t="s">
        <v>1316</v>
      </c>
      <c r="M58">
        <v>70</v>
      </c>
      <c r="N58" t="s">
        <v>1317</v>
      </c>
      <c r="O58">
        <v>8.3399999999999892</v>
      </c>
      <c r="P58" t="s">
        <v>1318</v>
      </c>
      <c r="Q58">
        <v>4.3664921465968502E-2</v>
      </c>
      <c r="R58" t="s">
        <v>1319</v>
      </c>
      <c r="S58">
        <v>1.47571428571428</v>
      </c>
      <c r="T58" t="s">
        <v>1320</v>
      </c>
      <c r="U58">
        <v>-0.78479338842975199</v>
      </c>
      <c r="V58" t="s">
        <v>1321</v>
      </c>
      <c r="W58">
        <v>0.42598173569425801</v>
      </c>
      <c r="X58" t="s">
        <v>1322</v>
      </c>
      <c r="Y58" t="s">
        <v>1477</v>
      </c>
      <c r="Z58" t="s">
        <v>1478</v>
      </c>
      <c r="AA58">
        <v>0</v>
      </c>
      <c r="AB58" t="s">
        <v>1325</v>
      </c>
      <c r="AC58" t="s">
        <v>1326</v>
      </c>
      <c r="AD58" t="s">
        <v>1476</v>
      </c>
      <c r="AE58" t="s">
        <v>1372</v>
      </c>
      <c r="AF58">
        <v>0</v>
      </c>
      <c r="AG58" t="s">
        <v>1328</v>
      </c>
    </row>
    <row r="59" spans="1:33" x14ac:dyDescent="0.3">
      <c r="A59" t="s">
        <v>1500</v>
      </c>
      <c r="B59" t="s">
        <v>1310</v>
      </c>
      <c r="C59">
        <v>0.3</v>
      </c>
      <c r="D59" t="s">
        <v>1311</v>
      </c>
      <c r="E59" t="s">
        <v>1312</v>
      </c>
      <c r="F59">
        <v>0.15</v>
      </c>
      <c r="G59" t="s">
        <v>1313</v>
      </c>
      <c r="H59" t="s">
        <v>1314</v>
      </c>
      <c r="I59" t="str">
        <f t="shared" si="0"/>
        <v>psar_{'C',  [('delta', 0.3,  -1),  ('delta', 0.15,  2)]}_[7,  35]_1</v>
      </c>
      <c r="J59" t="s">
        <v>1315</v>
      </c>
      <c r="K59">
        <v>140</v>
      </c>
      <c r="L59" t="s">
        <v>1316</v>
      </c>
      <c r="M59">
        <v>72</v>
      </c>
      <c r="N59" t="s">
        <v>1317</v>
      </c>
      <c r="O59">
        <v>8.1889501915969305</v>
      </c>
      <c r="P59" t="s">
        <v>1318</v>
      </c>
      <c r="Q59">
        <v>5.8492501368549499E-2</v>
      </c>
      <c r="R59" t="s">
        <v>1319</v>
      </c>
      <c r="S59">
        <v>0.66817986377217897</v>
      </c>
      <c r="T59" t="s">
        <v>1320</v>
      </c>
      <c r="U59">
        <v>-0.58705882352941097</v>
      </c>
      <c r="V59" t="s">
        <v>1321</v>
      </c>
      <c r="W59">
        <v>0.178364828546691</v>
      </c>
      <c r="X59" t="s">
        <v>1322</v>
      </c>
      <c r="Y59" t="s">
        <v>1541</v>
      </c>
      <c r="Z59" t="s">
        <v>1416</v>
      </c>
      <c r="AA59">
        <v>0</v>
      </c>
      <c r="AB59" t="s">
        <v>1325</v>
      </c>
      <c r="AC59" t="s">
        <v>1326</v>
      </c>
      <c r="AD59" t="s">
        <v>1541</v>
      </c>
      <c r="AE59" t="s">
        <v>1416</v>
      </c>
      <c r="AF59">
        <v>0</v>
      </c>
      <c r="AG59" t="s">
        <v>1328</v>
      </c>
    </row>
    <row r="60" spans="1:33" x14ac:dyDescent="0.3">
      <c r="A60" t="s">
        <v>1500</v>
      </c>
      <c r="B60" t="s">
        <v>1310</v>
      </c>
      <c r="C60">
        <v>0.4</v>
      </c>
      <c r="D60" t="s">
        <v>1311</v>
      </c>
      <c r="E60" t="s">
        <v>1312</v>
      </c>
      <c r="F60">
        <v>0.2</v>
      </c>
      <c r="G60" t="s">
        <v>1351</v>
      </c>
      <c r="H60" t="s">
        <v>1352</v>
      </c>
      <c r="I60" t="str">
        <f t="shared" si="0"/>
        <v>psar_{'C',  [('delta', 0.4,  -1),  ('delta', 0.2,  2)]}_[35,  70]_1</v>
      </c>
      <c r="J60" t="s">
        <v>1315</v>
      </c>
      <c r="K60">
        <v>177</v>
      </c>
      <c r="L60" t="s">
        <v>1316</v>
      </c>
      <c r="M60">
        <v>70</v>
      </c>
      <c r="N60" t="s">
        <v>1317</v>
      </c>
      <c r="O60">
        <v>8.0913106887136408</v>
      </c>
      <c r="P60" t="s">
        <v>1318</v>
      </c>
      <c r="Q60">
        <v>4.5713619710246498E-2</v>
      </c>
      <c r="R60" t="s">
        <v>1319</v>
      </c>
      <c r="S60">
        <v>1.1945551249334601</v>
      </c>
      <c r="T60" t="s">
        <v>1320</v>
      </c>
      <c r="U60">
        <v>-0.70586493510867998</v>
      </c>
      <c r="V60" t="s">
        <v>1321</v>
      </c>
      <c r="W60">
        <v>0.255150335467699</v>
      </c>
      <c r="X60" t="s">
        <v>1322</v>
      </c>
      <c r="Y60" t="s">
        <v>1525</v>
      </c>
      <c r="Z60" t="s">
        <v>1526</v>
      </c>
    </row>
    <row r="61" spans="1:33" x14ac:dyDescent="0.3">
      <c r="A61" t="s">
        <v>1500</v>
      </c>
      <c r="B61" t="s">
        <v>1310</v>
      </c>
      <c r="C61">
        <v>0.4</v>
      </c>
      <c r="D61" t="s">
        <v>1311</v>
      </c>
      <c r="E61" t="s">
        <v>1312</v>
      </c>
      <c r="F61">
        <v>0.2</v>
      </c>
      <c r="G61" t="s">
        <v>1403</v>
      </c>
      <c r="H61" t="s">
        <v>1360</v>
      </c>
      <c r="I61" t="str">
        <f t="shared" si="0"/>
        <v>psar_{'C',  [('delta', 0.4,  -1),  ('delta', 0.2,  3)]}_[35,  70]_5</v>
      </c>
      <c r="J61" t="s">
        <v>1315</v>
      </c>
      <c r="K61">
        <v>177</v>
      </c>
      <c r="L61" t="s">
        <v>1316</v>
      </c>
      <c r="M61">
        <v>22</v>
      </c>
      <c r="N61" t="s">
        <v>1317</v>
      </c>
      <c r="O61">
        <v>7.9366429000428198</v>
      </c>
      <c r="P61" t="s">
        <v>1318</v>
      </c>
      <c r="Q61">
        <v>4.4839790395722098E-2</v>
      </c>
      <c r="R61" t="s">
        <v>1319</v>
      </c>
      <c r="S61">
        <v>5.3627272727272697</v>
      </c>
      <c r="T61" t="s">
        <v>1320</v>
      </c>
      <c r="U61">
        <v>-0.70995714258036902</v>
      </c>
      <c r="V61" t="s">
        <v>1321</v>
      </c>
      <c r="W61">
        <v>0.57625013313948104</v>
      </c>
      <c r="X61" t="s">
        <v>1322</v>
      </c>
      <c r="Y61" t="s">
        <v>1537</v>
      </c>
      <c r="Z61" t="s">
        <v>1341</v>
      </c>
      <c r="AA61">
        <v>0</v>
      </c>
      <c r="AB61" t="s">
        <v>1325</v>
      </c>
      <c r="AC61" t="s">
        <v>1326</v>
      </c>
      <c r="AD61" t="s">
        <v>1537</v>
      </c>
      <c r="AE61" t="s">
        <v>1341</v>
      </c>
      <c r="AF61">
        <v>0</v>
      </c>
      <c r="AG61" t="s">
        <v>1328</v>
      </c>
    </row>
    <row r="62" spans="1:33" x14ac:dyDescent="0.3">
      <c r="A62" t="s">
        <v>1500</v>
      </c>
      <c r="B62" t="s">
        <v>1310</v>
      </c>
      <c r="C62">
        <v>0.3</v>
      </c>
      <c r="D62" t="s">
        <v>1311</v>
      </c>
      <c r="E62" t="s">
        <v>1312</v>
      </c>
      <c r="F62">
        <v>0.15</v>
      </c>
      <c r="G62" t="s">
        <v>1403</v>
      </c>
      <c r="H62" t="s">
        <v>1360</v>
      </c>
      <c r="I62" t="str">
        <f t="shared" si="0"/>
        <v>psar_{'C',  [('delta', 0.3,  -1),  ('delta', 0.15,  3)]}_[35,  70]_5</v>
      </c>
      <c r="J62" t="s">
        <v>1315</v>
      </c>
      <c r="K62">
        <v>177</v>
      </c>
      <c r="L62" t="s">
        <v>1316</v>
      </c>
      <c r="M62">
        <v>26</v>
      </c>
      <c r="N62" t="s">
        <v>1317</v>
      </c>
      <c r="O62">
        <v>7.7069281374684504</v>
      </c>
      <c r="P62" t="s">
        <v>1318</v>
      </c>
      <c r="Q62">
        <v>4.3541966878352802E-2</v>
      </c>
      <c r="R62" t="s">
        <v>1319</v>
      </c>
      <c r="S62">
        <v>4.1788461538461501</v>
      </c>
      <c r="T62" t="s">
        <v>1320</v>
      </c>
      <c r="U62">
        <v>-0.66849716465252595</v>
      </c>
      <c r="V62" t="s">
        <v>1321</v>
      </c>
      <c r="W62">
        <v>0.47304634551351299</v>
      </c>
      <c r="X62" t="s">
        <v>1322</v>
      </c>
      <c r="Y62" t="s">
        <v>1554</v>
      </c>
      <c r="Z62" t="s">
        <v>1341</v>
      </c>
      <c r="AA62">
        <v>0</v>
      </c>
      <c r="AB62" t="s">
        <v>1325</v>
      </c>
      <c r="AC62" t="s">
        <v>1326</v>
      </c>
      <c r="AD62" t="s">
        <v>1557</v>
      </c>
      <c r="AE62" t="s">
        <v>1558</v>
      </c>
      <c r="AF62">
        <v>0</v>
      </c>
      <c r="AG62" t="s">
        <v>1328</v>
      </c>
    </row>
    <row r="63" spans="1:33" x14ac:dyDescent="0.3">
      <c r="A63" t="s">
        <v>1500</v>
      </c>
      <c r="B63" t="s">
        <v>1310</v>
      </c>
      <c r="C63">
        <v>0.3</v>
      </c>
      <c r="D63" t="s">
        <v>1311</v>
      </c>
      <c r="E63" t="s">
        <v>1312</v>
      </c>
      <c r="F63">
        <v>0.15</v>
      </c>
      <c r="G63" t="s">
        <v>1392</v>
      </c>
      <c r="H63" t="s">
        <v>1350</v>
      </c>
      <c r="I63" t="str">
        <f t="shared" si="0"/>
        <v>psar_{'C',  [('delta', 0.3,  -1),  ('delta', 0.15,  3)]}_[21,  49]_5</v>
      </c>
      <c r="J63" t="s">
        <v>1315</v>
      </c>
      <c r="K63">
        <v>136</v>
      </c>
      <c r="L63" t="s">
        <v>1316</v>
      </c>
      <c r="M63">
        <v>26</v>
      </c>
      <c r="N63" t="s">
        <v>1317</v>
      </c>
      <c r="O63">
        <v>7.7060664353956598</v>
      </c>
      <c r="P63" t="s">
        <v>1318</v>
      </c>
      <c r="Q63">
        <v>5.6662253201438702E-2</v>
      </c>
      <c r="R63" t="s">
        <v>1319</v>
      </c>
      <c r="S63">
        <v>2.9180769230769199</v>
      </c>
      <c r="T63" t="s">
        <v>1320</v>
      </c>
      <c r="U63">
        <v>-0.61967212331458499</v>
      </c>
      <c r="V63" t="s">
        <v>1321</v>
      </c>
      <c r="W63">
        <v>0.40572191158946103</v>
      </c>
      <c r="X63" t="s">
        <v>1322</v>
      </c>
      <c r="Y63" t="s">
        <v>1554</v>
      </c>
      <c r="Z63" t="s">
        <v>1341</v>
      </c>
      <c r="AA63">
        <v>0</v>
      </c>
      <c r="AB63" t="s">
        <v>1325</v>
      </c>
      <c r="AC63" t="s">
        <v>1326</v>
      </c>
      <c r="AD63" t="s">
        <v>1554</v>
      </c>
      <c r="AE63" t="s">
        <v>1341</v>
      </c>
      <c r="AF63">
        <v>0</v>
      </c>
      <c r="AG63" t="s">
        <v>1328</v>
      </c>
    </row>
    <row r="64" spans="1:33" x14ac:dyDescent="0.3">
      <c r="A64" t="s">
        <v>1500</v>
      </c>
      <c r="B64" t="s">
        <v>1310</v>
      </c>
      <c r="C64">
        <v>0.4</v>
      </c>
      <c r="D64" t="s">
        <v>1311</v>
      </c>
      <c r="E64" t="s">
        <v>1312</v>
      </c>
      <c r="F64">
        <v>0.2</v>
      </c>
      <c r="G64" t="s">
        <v>1313</v>
      </c>
      <c r="H64" t="s">
        <v>1314</v>
      </c>
      <c r="I64" t="str">
        <f t="shared" si="0"/>
        <v>psar_{'C',  [('delta', 0.4,  -1),  ('delta', 0.2,  2)]}_[7,  35]_1</v>
      </c>
      <c r="J64" t="s">
        <v>1315</v>
      </c>
      <c r="K64">
        <v>140</v>
      </c>
      <c r="L64" t="s">
        <v>1316</v>
      </c>
      <c r="M64">
        <v>63</v>
      </c>
      <c r="N64" t="s">
        <v>1317</v>
      </c>
      <c r="O64">
        <v>7.6899999999999897</v>
      </c>
      <c r="P64" t="s">
        <v>1318</v>
      </c>
      <c r="Q64">
        <v>5.4928571428571403E-2</v>
      </c>
      <c r="R64" t="s">
        <v>1319</v>
      </c>
      <c r="S64">
        <v>0.93079365079364995</v>
      </c>
      <c r="T64" t="s">
        <v>1320</v>
      </c>
      <c r="U64">
        <v>-0.66168831168831099</v>
      </c>
      <c r="V64" t="s">
        <v>1321</v>
      </c>
      <c r="W64">
        <v>0.20438319319468701</v>
      </c>
      <c r="X64" t="s">
        <v>1322</v>
      </c>
      <c r="Y64" t="s">
        <v>1517</v>
      </c>
      <c r="Z64" t="s">
        <v>1341</v>
      </c>
      <c r="AA64">
        <v>0</v>
      </c>
      <c r="AB64" t="s">
        <v>1325</v>
      </c>
      <c r="AC64" t="s">
        <v>1326</v>
      </c>
      <c r="AD64" t="s">
        <v>1518</v>
      </c>
      <c r="AE64" t="s">
        <v>1519</v>
      </c>
      <c r="AF64">
        <v>0</v>
      </c>
      <c r="AG64" t="s">
        <v>1328</v>
      </c>
    </row>
    <row r="65" spans="1:33" x14ac:dyDescent="0.3">
      <c r="A65" t="s">
        <v>1500</v>
      </c>
      <c r="B65" t="s">
        <v>1310</v>
      </c>
      <c r="C65">
        <v>0.4</v>
      </c>
      <c r="D65" t="s">
        <v>1311</v>
      </c>
      <c r="E65" t="s">
        <v>1312</v>
      </c>
      <c r="F65">
        <v>0.2</v>
      </c>
      <c r="G65" t="s">
        <v>1403</v>
      </c>
      <c r="H65" t="s">
        <v>1359</v>
      </c>
      <c r="I65" t="str">
        <f t="shared" si="0"/>
        <v>psar_{'C',  [('delta', 0.4,  -1),  ('delta', 0.2,  3)]}_[35,  70]_4</v>
      </c>
      <c r="J65" t="s">
        <v>1315</v>
      </c>
      <c r="K65">
        <v>177</v>
      </c>
      <c r="L65" t="s">
        <v>1316</v>
      </c>
      <c r="M65">
        <v>23</v>
      </c>
      <c r="N65" t="s">
        <v>1317</v>
      </c>
      <c r="O65">
        <v>7.62664290004283</v>
      </c>
      <c r="P65" t="s">
        <v>1318</v>
      </c>
      <c r="Q65">
        <v>4.30883779663436E-2</v>
      </c>
      <c r="R65" t="s">
        <v>1319</v>
      </c>
      <c r="S65">
        <v>5.0660869565217403</v>
      </c>
      <c r="T65" t="s">
        <v>1320</v>
      </c>
      <c r="U65">
        <v>-0.70709972142829303</v>
      </c>
      <c r="V65" t="s">
        <v>1321</v>
      </c>
      <c r="W65">
        <v>0.55050673060371302</v>
      </c>
      <c r="X65" t="s">
        <v>1322</v>
      </c>
      <c r="Y65" t="s">
        <v>1538</v>
      </c>
      <c r="Z65" t="s">
        <v>1540</v>
      </c>
    </row>
    <row r="66" spans="1:33" x14ac:dyDescent="0.3">
      <c r="A66" t="s">
        <v>1500</v>
      </c>
      <c r="B66" t="s">
        <v>1310</v>
      </c>
      <c r="C66">
        <v>0.3</v>
      </c>
      <c r="D66" t="s">
        <v>1311</v>
      </c>
      <c r="E66" t="s">
        <v>1312</v>
      </c>
      <c r="F66">
        <v>0.15</v>
      </c>
      <c r="G66" t="s">
        <v>1392</v>
      </c>
      <c r="H66" t="s">
        <v>1348</v>
      </c>
      <c r="I66" t="str">
        <f t="shared" si="0"/>
        <v>psar_{'C',  [('delta', 0.3,  -1),  ('delta', 0.15,  3)]}_[21,  49]_3</v>
      </c>
      <c r="J66" t="s">
        <v>1315</v>
      </c>
      <c r="K66">
        <v>136</v>
      </c>
      <c r="L66" t="s">
        <v>1316</v>
      </c>
      <c r="M66">
        <v>31</v>
      </c>
      <c r="N66" t="s">
        <v>1317</v>
      </c>
      <c r="O66">
        <v>7.5760664353956804</v>
      </c>
      <c r="P66" t="s">
        <v>1318</v>
      </c>
      <c r="Q66">
        <v>5.5706370848497597E-2</v>
      </c>
      <c r="R66" t="s">
        <v>1319</v>
      </c>
      <c r="S66">
        <v>2.3203225806451599</v>
      </c>
      <c r="T66" t="s">
        <v>1320</v>
      </c>
      <c r="U66">
        <v>-0.61289460537718399</v>
      </c>
      <c r="V66" t="s">
        <v>1321</v>
      </c>
      <c r="W66">
        <v>0.29949631411855898</v>
      </c>
      <c r="X66" t="s">
        <v>1322</v>
      </c>
      <c r="Y66" t="s">
        <v>1553</v>
      </c>
      <c r="Z66" t="s">
        <v>1368</v>
      </c>
      <c r="AA66">
        <v>0</v>
      </c>
      <c r="AB66" t="s">
        <v>1325</v>
      </c>
      <c r="AC66" t="s">
        <v>1326</v>
      </c>
      <c r="AD66" t="s">
        <v>1553</v>
      </c>
      <c r="AE66" t="s">
        <v>1368</v>
      </c>
      <c r="AF66">
        <v>0</v>
      </c>
      <c r="AG66" t="s">
        <v>1328</v>
      </c>
    </row>
    <row r="67" spans="1:33" x14ac:dyDescent="0.3">
      <c r="A67" t="s">
        <v>1500</v>
      </c>
      <c r="B67" t="s">
        <v>1310</v>
      </c>
      <c r="C67">
        <v>0.5</v>
      </c>
      <c r="D67" t="s">
        <v>1311</v>
      </c>
      <c r="E67" t="s">
        <v>1312</v>
      </c>
      <c r="F67">
        <v>0.3</v>
      </c>
      <c r="G67" t="s">
        <v>1351</v>
      </c>
      <c r="H67" t="s">
        <v>1352</v>
      </c>
      <c r="I67" t="str">
        <f t="shared" ref="I67:I130" si="1">_xlfn.TEXTJOIN(", ", FALSE, A67,B67,C67,D67,E67,F67,G67,H67)</f>
        <v>psar_{'C',  [('delta', 0.5,  -1),  ('delta', 0.3,  2)]}_[35,  70]_1</v>
      </c>
      <c r="J67" t="s">
        <v>1315</v>
      </c>
      <c r="K67">
        <v>177</v>
      </c>
      <c r="L67" t="s">
        <v>1316</v>
      </c>
      <c r="M67">
        <v>63</v>
      </c>
      <c r="N67" t="s">
        <v>1317</v>
      </c>
      <c r="O67">
        <v>7.3660449204060701</v>
      </c>
      <c r="P67" t="s">
        <v>1318</v>
      </c>
      <c r="Q67">
        <v>4.1616072996644403E-2</v>
      </c>
      <c r="R67" t="s">
        <v>1319</v>
      </c>
      <c r="S67">
        <v>1.31797008948914</v>
      </c>
      <c r="T67" t="s">
        <v>1320</v>
      </c>
      <c r="U67">
        <v>-0.66373746243342102</v>
      </c>
      <c r="V67" t="s">
        <v>1321</v>
      </c>
      <c r="W67">
        <v>0.27268361310219902</v>
      </c>
      <c r="X67" t="s">
        <v>1322</v>
      </c>
      <c r="Y67" t="s">
        <v>1509</v>
      </c>
      <c r="Z67" t="s">
        <v>1510</v>
      </c>
      <c r="AA67">
        <v>0</v>
      </c>
      <c r="AB67" t="s">
        <v>1325</v>
      </c>
      <c r="AC67" t="s">
        <v>1326</v>
      </c>
      <c r="AD67" t="s">
        <v>1509</v>
      </c>
      <c r="AE67" t="s">
        <v>1510</v>
      </c>
      <c r="AF67">
        <v>0</v>
      </c>
      <c r="AG67" t="s">
        <v>1328</v>
      </c>
    </row>
    <row r="68" spans="1:33" x14ac:dyDescent="0.3">
      <c r="A68" t="s">
        <v>1500</v>
      </c>
      <c r="B68" t="s">
        <v>1310</v>
      </c>
      <c r="C68">
        <v>0.3</v>
      </c>
      <c r="D68" t="s">
        <v>1311</v>
      </c>
      <c r="E68" t="s">
        <v>1312</v>
      </c>
      <c r="F68">
        <v>0.15</v>
      </c>
      <c r="G68" t="s">
        <v>1313</v>
      </c>
      <c r="H68" t="s">
        <v>1329</v>
      </c>
      <c r="I68" t="str">
        <f t="shared" si="1"/>
        <v>psar_{'C',  [('delta', 0.3,  -1),  ('delta', 0.15,  2)]}_[7,  35]_2</v>
      </c>
      <c r="J68" t="s">
        <v>1315</v>
      </c>
      <c r="K68">
        <v>140</v>
      </c>
      <c r="L68" t="s">
        <v>1316</v>
      </c>
      <c r="M68">
        <v>72</v>
      </c>
      <c r="N68" t="s">
        <v>1317</v>
      </c>
      <c r="O68">
        <v>7.18895019159695</v>
      </c>
      <c r="P68" t="s">
        <v>1318</v>
      </c>
      <c r="Q68">
        <v>5.1349644225692499E-2</v>
      </c>
      <c r="R68" t="s">
        <v>1319</v>
      </c>
      <c r="S68">
        <v>0.65429097488329102</v>
      </c>
      <c r="T68" t="s">
        <v>1320</v>
      </c>
      <c r="U68">
        <v>-0.58705882352941097</v>
      </c>
      <c r="V68" t="s">
        <v>1321</v>
      </c>
      <c r="W68">
        <v>0.18065617426675201</v>
      </c>
      <c r="X68" t="s">
        <v>1322</v>
      </c>
      <c r="Y68" t="s">
        <v>1542</v>
      </c>
      <c r="Z68" t="s">
        <v>1383</v>
      </c>
      <c r="AA68">
        <v>0</v>
      </c>
      <c r="AB68" t="s">
        <v>1325</v>
      </c>
      <c r="AC68" t="s">
        <v>1326</v>
      </c>
      <c r="AD68" t="s">
        <v>1542</v>
      </c>
      <c r="AE68" t="s">
        <v>1383</v>
      </c>
      <c r="AF68">
        <v>0</v>
      </c>
      <c r="AG68" t="s">
        <v>1328</v>
      </c>
    </row>
    <row r="69" spans="1:33" x14ac:dyDescent="0.3">
      <c r="A69" t="s">
        <v>1500</v>
      </c>
      <c r="B69" t="s">
        <v>1310</v>
      </c>
      <c r="C69">
        <v>0.4</v>
      </c>
      <c r="D69" t="s">
        <v>1311</v>
      </c>
      <c r="E69" t="s">
        <v>1312</v>
      </c>
      <c r="F69">
        <v>0.2</v>
      </c>
      <c r="G69" t="s">
        <v>1313</v>
      </c>
      <c r="H69" t="s">
        <v>1336</v>
      </c>
      <c r="I69" t="str">
        <f t="shared" si="1"/>
        <v>psar_{'C',  [('delta', 0.4,  -1),  ('delta', 0.2,  2)]}_[7,  35]_4</v>
      </c>
      <c r="J69" t="s">
        <v>1315</v>
      </c>
      <c r="K69">
        <v>140</v>
      </c>
      <c r="L69" t="s">
        <v>1316</v>
      </c>
      <c r="M69">
        <v>59</v>
      </c>
      <c r="N69" t="s">
        <v>1317</v>
      </c>
      <c r="O69">
        <v>6.9799999999999498</v>
      </c>
      <c r="P69" t="s">
        <v>1318</v>
      </c>
      <c r="Q69">
        <v>4.9857142857142503E-2</v>
      </c>
      <c r="R69" t="s">
        <v>1319</v>
      </c>
      <c r="S69">
        <v>1.0352542372881299</v>
      </c>
      <c r="T69" t="s">
        <v>1320</v>
      </c>
      <c r="U69">
        <v>-0.66790123456790096</v>
      </c>
      <c r="V69" t="s">
        <v>1321</v>
      </c>
      <c r="W69">
        <v>0.250152588351639</v>
      </c>
      <c r="X69" t="s">
        <v>1322</v>
      </c>
      <c r="Y69" t="s">
        <v>1522</v>
      </c>
      <c r="Z69" t="s">
        <v>1523</v>
      </c>
      <c r="AA69">
        <v>0</v>
      </c>
      <c r="AB69" t="s">
        <v>1325</v>
      </c>
      <c r="AC69" t="s">
        <v>1326</v>
      </c>
      <c r="AD69" t="s">
        <v>1522</v>
      </c>
      <c r="AE69" t="s">
        <v>1523</v>
      </c>
      <c r="AF69">
        <v>0</v>
      </c>
      <c r="AG69" t="s">
        <v>1328</v>
      </c>
    </row>
    <row r="70" spans="1:33" x14ac:dyDescent="0.3">
      <c r="A70" t="s">
        <v>1500</v>
      </c>
      <c r="B70" t="s">
        <v>1310</v>
      </c>
      <c r="C70">
        <v>0.3</v>
      </c>
      <c r="D70" t="s">
        <v>1311</v>
      </c>
      <c r="E70" t="s">
        <v>1312</v>
      </c>
      <c r="F70">
        <v>0.15</v>
      </c>
      <c r="G70" t="s">
        <v>1351</v>
      </c>
      <c r="H70" t="s">
        <v>1358</v>
      </c>
      <c r="I70" t="str">
        <f t="shared" si="1"/>
        <v>psar_{'C',  [('delta', 0.3,  -1),  ('delta', 0.15,  2)]}_[35,  70]_3</v>
      </c>
      <c r="J70" t="s">
        <v>1315</v>
      </c>
      <c r="K70">
        <v>177</v>
      </c>
      <c r="L70" t="s">
        <v>1316</v>
      </c>
      <c r="M70">
        <v>69</v>
      </c>
      <c r="N70" t="s">
        <v>1317</v>
      </c>
      <c r="O70">
        <v>6.81780744021302</v>
      </c>
      <c r="P70" t="s">
        <v>1318</v>
      </c>
      <c r="Q70">
        <v>3.8518686102898402E-2</v>
      </c>
      <c r="R70" t="s">
        <v>1319</v>
      </c>
      <c r="S70">
        <v>1.20969519798767</v>
      </c>
      <c r="T70" t="s">
        <v>1320</v>
      </c>
      <c r="U70">
        <v>-0.70973297426792803</v>
      </c>
      <c r="V70" t="s">
        <v>1321</v>
      </c>
      <c r="W70">
        <v>0.273770653830821</v>
      </c>
      <c r="X70" t="s">
        <v>1322</v>
      </c>
      <c r="Y70" t="s">
        <v>1547</v>
      </c>
      <c r="Z70" t="s">
        <v>1416</v>
      </c>
      <c r="AA70">
        <v>0</v>
      </c>
      <c r="AB70" t="s">
        <v>1325</v>
      </c>
      <c r="AC70" t="s">
        <v>1326</v>
      </c>
      <c r="AD70" t="s">
        <v>1547</v>
      </c>
      <c r="AE70" t="s">
        <v>1416</v>
      </c>
      <c r="AF70">
        <v>0</v>
      </c>
      <c r="AG70" t="s">
        <v>1328</v>
      </c>
    </row>
    <row r="71" spans="1:33" x14ac:dyDescent="0.3">
      <c r="A71" t="s">
        <v>1500</v>
      </c>
      <c r="B71" t="s">
        <v>1310</v>
      </c>
      <c r="C71">
        <v>0.4</v>
      </c>
      <c r="D71" t="s">
        <v>1311</v>
      </c>
      <c r="E71" t="s">
        <v>1312</v>
      </c>
      <c r="F71">
        <v>0.2</v>
      </c>
      <c r="G71" t="s">
        <v>1342</v>
      </c>
      <c r="H71" t="s">
        <v>1348</v>
      </c>
      <c r="I71" t="str">
        <f t="shared" si="1"/>
        <v>psar_{'C',  [('delta', 0.4,  -1),  ('delta', 0.2,  2)]}_[21,  49]_3</v>
      </c>
      <c r="J71" t="s">
        <v>1315</v>
      </c>
      <c r="K71">
        <v>136</v>
      </c>
      <c r="L71" t="s">
        <v>1316</v>
      </c>
      <c r="M71">
        <v>46</v>
      </c>
      <c r="N71" t="s">
        <v>1317</v>
      </c>
      <c r="O71">
        <v>6.2228599365765396</v>
      </c>
      <c r="P71" t="s">
        <v>1318</v>
      </c>
      <c r="Q71">
        <v>4.57563230630628E-2</v>
      </c>
      <c r="R71" t="s">
        <v>1319</v>
      </c>
      <c r="S71">
        <v>1.51810565079514</v>
      </c>
      <c r="T71" t="s">
        <v>1320</v>
      </c>
      <c r="U71">
        <v>-0.70677777777777695</v>
      </c>
      <c r="V71" t="s">
        <v>1321</v>
      </c>
      <c r="W71">
        <v>0.25014108440240201</v>
      </c>
      <c r="X71" t="s">
        <v>1322</v>
      </c>
      <c r="Y71" t="s">
        <v>1367</v>
      </c>
      <c r="Z71" t="s">
        <v>1368</v>
      </c>
      <c r="AA71">
        <v>0</v>
      </c>
      <c r="AB71" t="s">
        <v>1325</v>
      </c>
      <c r="AC71" t="s">
        <v>1326</v>
      </c>
      <c r="AD71" t="s">
        <v>1367</v>
      </c>
      <c r="AE71" t="s">
        <v>1368</v>
      </c>
      <c r="AF71">
        <v>0</v>
      </c>
      <c r="AG71" t="s">
        <v>1328</v>
      </c>
    </row>
    <row r="72" spans="1:33" x14ac:dyDescent="0.3">
      <c r="A72" t="s">
        <v>1500</v>
      </c>
      <c r="B72" t="s">
        <v>1310</v>
      </c>
      <c r="C72">
        <v>0.5</v>
      </c>
      <c r="D72" t="s">
        <v>1311</v>
      </c>
      <c r="E72" t="s">
        <v>1312</v>
      </c>
      <c r="F72">
        <v>0.3</v>
      </c>
      <c r="G72" t="s">
        <v>1351</v>
      </c>
      <c r="H72" t="s">
        <v>1356</v>
      </c>
      <c r="I72" t="str">
        <f t="shared" si="1"/>
        <v>psar_{'C',  [('delta', 0.5,  -1),  ('delta', 0.3,  2)]}_[35,  70]_2</v>
      </c>
      <c r="J72" t="s">
        <v>1315</v>
      </c>
      <c r="K72">
        <v>177</v>
      </c>
      <c r="L72" t="s">
        <v>1316</v>
      </c>
      <c r="M72">
        <v>42</v>
      </c>
      <c r="N72" t="s">
        <v>1317</v>
      </c>
      <c r="O72">
        <v>6.1877747336569504</v>
      </c>
      <c r="P72" t="s">
        <v>1318</v>
      </c>
      <c r="Q72">
        <v>3.4959179286197503E-2</v>
      </c>
      <c r="R72" t="s">
        <v>1319</v>
      </c>
      <c r="S72">
        <v>2.30201930831551</v>
      </c>
      <c r="T72" t="s">
        <v>1320</v>
      </c>
      <c r="U72">
        <v>-0.67034841641181198</v>
      </c>
      <c r="V72" t="s">
        <v>1321</v>
      </c>
      <c r="W72">
        <v>0.35839325893379598</v>
      </c>
      <c r="X72" t="s">
        <v>1322</v>
      </c>
      <c r="Y72" t="s">
        <v>1511</v>
      </c>
      <c r="Z72" t="s">
        <v>1512</v>
      </c>
    </row>
    <row r="73" spans="1:33" x14ac:dyDescent="0.3">
      <c r="A73" t="s">
        <v>1500</v>
      </c>
      <c r="B73" t="s">
        <v>1310</v>
      </c>
      <c r="C73">
        <v>0.3</v>
      </c>
      <c r="D73" t="s">
        <v>1311</v>
      </c>
      <c r="E73" t="s">
        <v>1312</v>
      </c>
      <c r="F73">
        <v>0.15</v>
      </c>
      <c r="G73" t="s">
        <v>1342</v>
      </c>
      <c r="H73" t="s">
        <v>1348</v>
      </c>
      <c r="I73" t="str">
        <f t="shared" si="1"/>
        <v>psar_{'C',  [('delta', 0.3,  -1),  ('delta', 0.15,  2)]}_[21,  49]_3</v>
      </c>
      <c r="J73" t="s">
        <v>1315</v>
      </c>
      <c r="K73">
        <v>136</v>
      </c>
      <c r="L73" t="s">
        <v>1316</v>
      </c>
      <c r="M73">
        <v>54</v>
      </c>
      <c r="N73" t="s">
        <v>1317</v>
      </c>
      <c r="O73">
        <v>5.8974366502258704</v>
      </c>
      <c r="P73" t="s">
        <v>1318</v>
      </c>
      <c r="Q73">
        <v>4.33635047810726E-2</v>
      </c>
      <c r="R73" t="s">
        <v>1319</v>
      </c>
      <c r="S73">
        <v>1.10767591635873</v>
      </c>
      <c r="T73" t="s">
        <v>1320</v>
      </c>
      <c r="U73">
        <v>-0.65752515650178101</v>
      </c>
      <c r="V73" t="s">
        <v>1321</v>
      </c>
      <c r="W73">
        <v>0.21389849083933701</v>
      </c>
      <c r="X73" t="s">
        <v>1322</v>
      </c>
      <c r="Y73" t="s">
        <v>1546</v>
      </c>
      <c r="Z73" t="s">
        <v>1368</v>
      </c>
      <c r="AA73">
        <v>0</v>
      </c>
      <c r="AB73" t="s">
        <v>1325</v>
      </c>
      <c r="AC73" t="s">
        <v>1326</v>
      </c>
      <c r="AD73" t="s">
        <v>1546</v>
      </c>
      <c r="AE73" t="s">
        <v>1368</v>
      </c>
      <c r="AF73">
        <v>0</v>
      </c>
      <c r="AG73" t="s">
        <v>1328</v>
      </c>
    </row>
    <row r="74" spans="1:33" x14ac:dyDescent="0.3">
      <c r="A74" t="s">
        <v>1500</v>
      </c>
      <c r="B74" t="s">
        <v>1310</v>
      </c>
      <c r="C74">
        <v>0.3</v>
      </c>
      <c r="D74" t="s">
        <v>1311</v>
      </c>
      <c r="E74" t="s">
        <v>1312</v>
      </c>
      <c r="F74">
        <v>0.15</v>
      </c>
      <c r="G74" t="s">
        <v>1313</v>
      </c>
      <c r="H74" t="s">
        <v>1333</v>
      </c>
      <c r="I74" t="str">
        <f t="shared" si="1"/>
        <v>psar_{'C',  [('delta', 0.3,  -1),  ('delta', 0.15,  2)]}_[7,  35]_3</v>
      </c>
      <c r="J74" t="s">
        <v>1315</v>
      </c>
      <c r="K74">
        <v>140</v>
      </c>
      <c r="L74" t="s">
        <v>1316</v>
      </c>
      <c r="M74">
        <v>71</v>
      </c>
      <c r="N74" t="s">
        <v>1317</v>
      </c>
      <c r="O74">
        <v>4.7589501915969503</v>
      </c>
      <c r="P74" t="s">
        <v>1318</v>
      </c>
      <c r="Q74">
        <v>3.3992501368549699E-2</v>
      </c>
      <c r="R74" t="s">
        <v>1319</v>
      </c>
      <c r="S74">
        <v>0.64463310129009799</v>
      </c>
      <c r="T74" t="s">
        <v>1320</v>
      </c>
      <c r="U74">
        <v>-0.59434782608695602</v>
      </c>
      <c r="V74" t="s">
        <v>1321</v>
      </c>
      <c r="W74">
        <v>0.18573193828621701</v>
      </c>
      <c r="X74" t="s">
        <v>1322</v>
      </c>
      <c r="Y74" t="s">
        <v>1543</v>
      </c>
      <c r="Z74" t="s">
        <v>1523</v>
      </c>
      <c r="AA74">
        <v>0</v>
      </c>
      <c r="AB74" t="s">
        <v>1325</v>
      </c>
      <c r="AC74" t="s">
        <v>1326</v>
      </c>
      <c r="AD74" t="s">
        <v>1543</v>
      </c>
      <c r="AE74" t="s">
        <v>1523</v>
      </c>
      <c r="AF74">
        <v>0</v>
      </c>
      <c r="AG74" t="s">
        <v>1328</v>
      </c>
    </row>
    <row r="75" spans="1:33" x14ac:dyDescent="0.3">
      <c r="A75" t="s">
        <v>1500</v>
      </c>
      <c r="B75" t="s">
        <v>1310</v>
      </c>
      <c r="C75">
        <v>0.4</v>
      </c>
      <c r="D75" t="s">
        <v>1311</v>
      </c>
      <c r="E75" t="s">
        <v>1312</v>
      </c>
      <c r="F75">
        <v>0.2</v>
      </c>
      <c r="G75" t="s">
        <v>1381</v>
      </c>
      <c r="H75" t="s">
        <v>1329</v>
      </c>
      <c r="I75" t="str">
        <f t="shared" si="1"/>
        <v>psar_{'C',  [('delta', 0.4,  -1),  ('delta', 0.2,  3)]}_[7,  35]_2</v>
      </c>
      <c r="J75" t="s">
        <v>1315</v>
      </c>
      <c r="K75">
        <v>140</v>
      </c>
      <c r="L75" t="s">
        <v>1316</v>
      </c>
      <c r="M75">
        <v>35</v>
      </c>
      <c r="N75" t="s">
        <v>1317</v>
      </c>
      <c r="O75">
        <v>4.3400000000000096</v>
      </c>
      <c r="P75" t="s">
        <v>1318</v>
      </c>
      <c r="Q75">
        <v>3.10000000000001E-2</v>
      </c>
      <c r="R75" t="s">
        <v>1319</v>
      </c>
      <c r="S75">
        <v>1.98257142857142</v>
      </c>
      <c r="T75" t="s">
        <v>1320</v>
      </c>
      <c r="U75">
        <v>-0.61952380952380903</v>
      </c>
      <c r="V75" t="s">
        <v>1321</v>
      </c>
      <c r="W75">
        <v>0.29684794519395402</v>
      </c>
      <c r="X75" t="s">
        <v>1322</v>
      </c>
      <c r="Y75" t="s">
        <v>1529</v>
      </c>
      <c r="Z75" t="s">
        <v>1530</v>
      </c>
      <c r="AA75">
        <v>0</v>
      </c>
      <c r="AB75" t="s">
        <v>1325</v>
      </c>
      <c r="AC75" t="s">
        <v>1326</v>
      </c>
      <c r="AD75" t="s">
        <v>1529</v>
      </c>
      <c r="AE75" t="s">
        <v>1530</v>
      </c>
      <c r="AF75">
        <v>0</v>
      </c>
      <c r="AG75" t="s">
        <v>1328</v>
      </c>
    </row>
    <row r="76" spans="1:33" x14ac:dyDescent="0.3">
      <c r="A76" t="s">
        <v>1500</v>
      </c>
      <c r="B76" t="s">
        <v>1310</v>
      </c>
      <c r="C76">
        <v>0.3</v>
      </c>
      <c r="D76" t="s">
        <v>1311</v>
      </c>
      <c r="E76" t="s">
        <v>1312</v>
      </c>
      <c r="F76">
        <v>0.15</v>
      </c>
      <c r="G76" t="s">
        <v>1381</v>
      </c>
      <c r="H76" t="s">
        <v>1336</v>
      </c>
      <c r="I76" t="str">
        <f t="shared" si="1"/>
        <v>psar_{'C',  [('delta', 0.3,  -1),  ('delta', 0.15,  3)]}_[7,  35]_4</v>
      </c>
      <c r="J76" t="s">
        <v>1315</v>
      </c>
      <c r="K76">
        <v>140</v>
      </c>
      <c r="L76" t="s">
        <v>1316</v>
      </c>
      <c r="M76">
        <v>36</v>
      </c>
      <c r="N76" t="s">
        <v>1317</v>
      </c>
      <c r="O76">
        <v>4.2884252873953796</v>
      </c>
      <c r="P76" t="s">
        <v>1318</v>
      </c>
      <c r="Q76">
        <v>3.0631609195681201E-2</v>
      </c>
      <c r="R76" t="s">
        <v>1319</v>
      </c>
      <c r="S76">
        <v>1.7905555555555499</v>
      </c>
      <c r="T76" t="s">
        <v>1320</v>
      </c>
      <c r="U76">
        <v>-0.57857283377504398</v>
      </c>
      <c r="V76" t="s">
        <v>1321</v>
      </c>
      <c r="W76">
        <v>0.374769584889528</v>
      </c>
      <c r="X76" t="s">
        <v>1322</v>
      </c>
      <c r="Y76" t="s">
        <v>1552</v>
      </c>
      <c r="Z76" t="s">
        <v>1341</v>
      </c>
      <c r="AA76">
        <v>0</v>
      </c>
      <c r="AB76" t="s">
        <v>1325</v>
      </c>
      <c r="AC76" t="s">
        <v>1326</v>
      </c>
      <c r="AD76" t="s">
        <v>1552</v>
      </c>
      <c r="AE76" t="s">
        <v>1341</v>
      </c>
      <c r="AF76">
        <v>0</v>
      </c>
      <c r="AG76" t="s">
        <v>1328</v>
      </c>
    </row>
    <row r="77" spans="1:33" x14ac:dyDescent="0.3">
      <c r="A77" t="s">
        <v>1500</v>
      </c>
      <c r="B77" t="s">
        <v>1310</v>
      </c>
      <c r="C77">
        <v>0.4</v>
      </c>
      <c r="D77" t="s">
        <v>1311</v>
      </c>
      <c r="E77" t="s">
        <v>1312</v>
      </c>
      <c r="F77">
        <v>0.2</v>
      </c>
      <c r="G77" t="s">
        <v>1392</v>
      </c>
      <c r="H77" t="s">
        <v>1343</v>
      </c>
      <c r="I77" t="str">
        <f t="shared" si="1"/>
        <v>psar_{'C',  [('delta', 0.4,  -1),  ('delta', 0.2,  3)]}_[21,  49]_1</v>
      </c>
      <c r="J77" t="s">
        <v>1315</v>
      </c>
      <c r="K77">
        <v>136</v>
      </c>
      <c r="L77" t="s">
        <v>1316</v>
      </c>
      <c r="M77">
        <v>43</v>
      </c>
      <c r="N77" t="s">
        <v>1317</v>
      </c>
      <c r="O77">
        <v>3.9842899048647902</v>
      </c>
      <c r="P77" t="s">
        <v>1318</v>
      </c>
      <c r="Q77">
        <v>2.9296249300476401E-2</v>
      </c>
      <c r="R77" t="s">
        <v>1319</v>
      </c>
      <c r="S77">
        <v>1.4593023255813899</v>
      </c>
      <c r="T77" t="s">
        <v>1320</v>
      </c>
      <c r="U77">
        <v>-0.63188935586166795</v>
      </c>
      <c r="V77" t="s">
        <v>1321</v>
      </c>
      <c r="W77">
        <v>0.218617060682261</v>
      </c>
      <c r="X77" t="s">
        <v>1322</v>
      </c>
      <c r="Y77" t="s">
        <v>1533</v>
      </c>
      <c r="Z77" t="s">
        <v>1534</v>
      </c>
      <c r="AA77">
        <v>0</v>
      </c>
      <c r="AB77" t="s">
        <v>1325</v>
      </c>
      <c r="AC77" t="s">
        <v>1326</v>
      </c>
      <c r="AD77" t="s">
        <v>1533</v>
      </c>
      <c r="AE77" t="s">
        <v>1534</v>
      </c>
      <c r="AF77">
        <v>0</v>
      </c>
      <c r="AG77" t="s">
        <v>1328</v>
      </c>
    </row>
    <row r="78" spans="1:33" x14ac:dyDescent="0.3">
      <c r="A78" t="s">
        <v>1500</v>
      </c>
      <c r="B78" t="s">
        <v>1310</v>
      </c>
      <c r="C78">
        <v>0.5</v>
      </c>
      <c r="D78" t="s">
        <v>1311</v>
      </c>
      <c r="E78" t="s">
        <v>1312</v>
      </c>
      <c r="F78">
        <v>0.3</v>
      </c>
      <c r="G78" t="s">
        <v>1342</v>
      </c>
      <c r="H78" t="s">
        <v>1346</v>
      </c>
      <c r="I78" t="str">
        <f t="shared" si="1"/>
        <v>psar_{'C',  [('delta', 0.5,  -1),  ('delta', 0.3,  2)]}_[21,  49]_2</v>
      </c>
      <c r="J78" t="s">
        <v>1315</v>
      </c>
      <c r="K78">
        <v>136</v>
      </c>
      <c r="L78" t="s">
        <v>1316</v>
      </c>
      <c r="M78">
        <v>37</v>
      </c>
      <c r="N78" t="s">
        <v>1317</v>
      </c>
      <c r="O78">
        <v>3.72000000000001</v>
      </c>
      <c r="P78" t="s">
        <v>1318</v>
      </c>
      <c r="Q78">
        <v>2.7352941176470601E-2</v>
      </c>
      <c r="R78" t="s">
        <v>1319</v>
      </c>
      <c r="S78">
        <v>1.84567567567567</v>
      </c>
      <c r="T78" t="s">
        <v>1320</v>
      </c>
      <c r="U78">
        <v>-0.65222222222222204</v>
      </c>
      <c r="V78" t="s">
        <v>1321</v>
      </c>
      <c r="W78">
        <v>0.25023046686939898</v>
      </c>
      <c r="X78" t="s">
        <v>1322</v>
      </c>
      <c r="Y78" t="s">
        <v>1503</v>
      </c>
      <c r="Z78" t="s">
        <v>1504</v>
      </c>
      <c r="AA78">
        <v>0</v>
      </c>
      <c r="AB78" t="s">
        <v>1325</v>
      </c>
      <c r="AC78" t="s">
        <v>1326</v>
      </c>
      <c r="AD78" t="s">
        <v>1503</v>
      </c>
      <c r="AE78" t="s">
        <v>1504</v>
      </c>
      <c r="AF78">
        <v>0</v>
      </c>
      <c r="AG78" t="s">
        <v>1328</v>
      </c>
    </row>
    <row r="79" spans="1:33" x14ac:dyDescent="0.3">
      <c r="A79" t="s">
        <v>1500</v>
      </c>
      <c r="B79" t="s">
        <v>1310</v>
      </c>
      <c r="C79">
        <v>0.3</v>
      </c>
      <c r="D79" t="s">
        <v>1311</v>
      </c>
      <c r="E79" t="s">
        <v>1312</v>
      </c>
      <c r="F79">
        <v>0.15</v>
      </c>
      <c r="G79" t="s">
        <v>1381</v>
      </c>
      <c r="H79" t="s">
        <v>1337</v>
      </c>
      <c r="I79" t="str">
        <f t="shared" si="1"/>
        <v>psar_{'C',  [('delta', 0.3,  -1),  ('delta', 0.15,  3)]}_[7,  35]_5</v>
      </c>
      <c r="J79" t="s">
        <v>1315</v>
      </c>
      <c r="K79">
        <v>140</v>
      </c>
      <c r="L79" t="s">
        <v>1316</v>
      </c>
      <c r="M79">
        <v>35</v>
      </c>
      <c r="N79" t="s">
        <v>1317</v>
      </c>
      <c r="O79">
        <v>3.68842528739536</v>
      </c>
      <c r="P79" t="s">
        <v>1318</v>
      </c>
      <c r="Q79">
        <v>2.6345894909966899E-2</v>
      </c>
      <c r="R79" t="s">
        <v>1319</v>
      </c>
      <c r="S79">
        <v>1.8454285714285701</v>
      </c>
      <c r="T79" t="s">
        <v>1320</v>
      </c>
      <c r="U79">
        <v>-0.58001499726290096</v>
      </c>
      <c r="V79" t="s">
        <v>1321</v>
      </c>
      <c r="W79">
        <v>0.39292098682807902</v>
      </c>
      <c r="X79" t="s">
        <v>1322</v>
      </c>
      <c r="Y79" t="s">
        <v>1552</v>
      </c>
      <c r="Z79" t="s">
        <v>1341</v>
      </c>
      <c r="AA79">
        <v>0</v>
      </c>
      <c r="AB79" t="s">
        <v>1325</v>
      </c>
      <c r="AC79" t="s">
        <v>1326</v>
      </c>
      <c r="AD79" t="s">
        <v>1552</v>
      </c>
      <c r="AE79" t="s">
        <v>1341</v>
      </c>
      <c r="AF79">
        <v>0</v>
      </c>
      <c r="AG79" t="s">
        <v>1328</v>
      </c>
    </row>
    <row r="80" spans="1:33" x14ac:dyDescent="0.3">
      <c r="A80" t="s">
        <v>1500</v>
      </c>
      <c r="B80" t="s">
        <v>1310</v>
      </c>
      <c r="C80">
        <v>0.3</v>
      </c>
      <c r="D80" t="s">
        <v>1311</v>
      </c>
      <c r="E80" t="s">
        <v>1312</v>
      </c>
      <c r="F80">
        <v>0.15</v>
      </c>
      <c r="G80" t="s">
        <v>1403</v>
      </c>
      <c r="H80" t="s">
        <v>1356</v>
      </c>
      <c r="I80" t="str">
        <f t="shared" si="1"/>
        <v>psar_{'C',  [('delta', 0.3,  -1),  ('delta', 0.15,  3)]}_[35,  70]_2</v>
      </c>
      <c r="J80" t="s">
        <v>1315</v>
      </c>
      <c r="K80">
        <v>177</v>
      </c>
      <c r="L80" t="s">
        <v>1316</v>
      </c>
      <c r="M80">
        <v>41</v>
      </c>
      <c r="N80" t="s">
        <v>1317</v>
      </c>
      <c r="O80">
        <v>3.1169281374684501</v>
      </c>
      <c r="P80" t="s">
        <v>1318</v>
      </c>
      <c r="Q80">
        <v>1.76097634885223E-2</v>
      </c>
      <c r="R80" t="s">
        <v>1319</v>
      </c>
      <c r="S80">
        <v>2.2699761069447999</v>
      </c>
      <c r="T80" t="s">
        <v>1320</v>
      </c>
      <c r="U80">
        <v>-0.66141244299462199</v>
      </c>
      <c r="V80" t="s">
        <v>1321</v>
      </c>
      <c r="W80">
        <v>0.33308084078780897</v>
      </c>
      <c r="X80" t="s">
        <v>1322</v>
      </c>
      <c r="Y80" t="s">
        <v>1555</v>
      </c>
      <c r="Z80" t="s">
        <v>1556</v>
      </c>
      <c r="AA80">
        <v>0</v>
      </c>
      <c r="AB80" t="s">
        <v>1325</v>
      </c>
      <c r="AC80" t="s">
        <v>1326</v>
      </c>
      <c r="AD80" t="s">
        <v>1555</v>
      </c>
      <c r="AE80" t="s">
        <v>1556</v>
      </c>
      <c r="AF80">
        <v>0</v>
      </c>
      <c r="AG80" t="s">
        <v>1328</v>
      </c>
    </row>
    <row r="81" spans="1:33" x14ac:dyDescent="0.3">
      <c r="A81" t="s">
        <v>1500</v>
      </c>
      <c r="B81" t="s">
        <v>1310</v>
      </c>
      <c r="C81">
        <v>0.3</v>
      </c>
      <c r="D81" t="s">
        <v>1311</v>
      </c>
      <c r="E81" t="s">
        <v>1312</v>
      </c>
      <c r="F81">
        <v>0.15</v>
      </c>
      <c r="G81" t="s">
        <v>1403</v>
      </c>
      <c r="H81" t="s">
        <v>1359</v>
      </c>
      <c r="I81" t="str">
        <f t="shared" si="1"/>
        <v>psar_{'C',  [('delta', 0.3,  -1),  ('delta', 0.15,  3)]}_[35,  70]_4</v>
      </c>
      <c r="J81" t="s">
        <v>1315</v>
      </c>
      <c r="K81">
        <v>177</v>
      </c>
      <c r="L81" t="s">
        <v>1316</v>
      </c>
      <c r="M81">
        <v>28</v>
      </c>
      <c r="N81" t="s">
        <v>1317</v>
      </c>
      <c r="O81">
        <v>2.6869281374684499</v>
      </c>
      <c r="P81" t="s">
        <v>1318</v>
      </c>
      <c r="Q81">
        <v>1.5180384957448801E-2</v>
      </c>
      <c r="R81" t="s">
        <v>1319</v>
      </c>
      <c r="S81">
        <v>3.6514285714285699</v>
      </c>
      <c r="T81" t="s">
        <v>1320</v>
      </c>
      <c r="U81">
        <v>-0.66814142189618497</v>
      </c>
      <c r="V81" t="s">
        <v>1321</v>
      </c>
      <c r="W81">
        <v>0.43243316554425598</v>
      </c>
      <c r="X81" t="s">
        <v>1322</v>
      </c>
      <c r="Y81" t="s">
        <v>1554</v>
      </c>
      <c r="Z81" t="s">
        <v>1341</v>
      </c>
      <c r="AA81">
        <v>0</v>
      </c>
      <c r="AB81" t="s">
        <v>1325</v>
      </c>
      <c r="AC81" t="s">
        <v>1326</v>
      </c>
      <c r="AD81" t="s">
        <v>1554</v>
      </c>
      <c r="AE81" t="s">
        <v>1341</v>
      </c>
      <c r="AF81">
        <v>0</v>
      </c>
      <c r="AG81" t="s">
        <v>1328</v>
      </c>
    </row>
    <row r="82" spans="1:33" x14ac:dyDescent="0.3">
      <c r="A82" t="s">
        <v>1500</v>
      </c>
      <c r="B82" t="s">
        <v>1310</v>
      </c>
      <c r="C82">
        <v>0.3</v>
      </c>
      <c r="D82" t="s">
        <v>1311</v>
      </c>
      <c r="E82" t="s">
        <v>1312</v>
      </c>
      <c r="F82">
        <v>0.15</v>
      </c>
      <c r="G82" t="s">
        <v>1313</v>
      </c>
      <c r="H82" t="s">
        <v>1337</v>
      </c>
      <c r="I82" t="str">
        <f t="shared" si="1"/>
        <v>psar_{'C',  [('delta', 0.3,  -1),  ('delta', 0.15,  2)]}_[7,  35]_5</v>
      </c>
      <c r="J82" t="s">
        <v>1315</v>
      </c>
      <c r="K82">
        <v>140</v>
      </c>
      <c r="L82" t="s">
        <v>1316</v>
      </c>
      <c r="M82">
        <v>70</v>
      </c>
      <c r="N82" t="s">
        <v>1317</v>
      </c>
      <c r="O82">
        <v>2.39895019159693</v>
      </c>
      <c r="P82" t="s">
        <v>1318</v>
      </c>
      <c r="Q82">
        <v>1.7135358511406702E-2</v>
      </c>
      <c r="R82" t="s">
        <v>1319</v>
      </c>
      <c r="S82">
        <v>0.63855643130852702</v>
      </c>
      <c r="T82" t="s">
        <v>1320</v>
      </c>
      <c r="U82">
        <v>-0.60428571428571398</v>
      </c>
      <c r="V82" t="s">
        <v>1321</v>
      </c>
      <c r="W82">
        <v>0.20070760832435999</v>
      </c>
      <c r="X82" t="s">
        <v>1322</v>
      </c>
      <c r="Y82" t="s">
        <v>1544</v>
      </c>
      <c r="Z82" t="s">
        <v>1545</v>
      </c>
      <c r="AA82">
        <v>0</v>
      </c>
      <c r="AB82" t="s">
        <v>1325</v>
      </c>
      <c r="AC82" t="s">
        <v>1326</v>
      </c>
      <c r="AD82" t="s">
        <v>1544</v>
      </c>
      <c r="AE82" t="s">
        <v>1545</v>
      </c>
      <c r="AF82">
        <v>0</v>
      </c>
      <c r="AG82" t="s">
        <v>1328</v>
      </c>
    </row>
    <row r="83" spans="1:33" x14ac:dyDescent="0.3">
      <c r="A83" t="s">
        <v>1500</v>
      </c>
      <c r="B83" t="s">
        <v>1310</v>
      </c>
      <c r="C83">
        <v>0.3</v>
      </c>
      <c r="D83" t="s">
        <v>1311</v>
      </c>
      <c r="E83" t="s">
        <v>1312</v>
      </c>
      <c r="F83">
        <v>0.15</v>
      </c>
      <c r="G83" t="s">
        <v>1342</v>
      </c>
      <c r="H83" t="s">
        <v>1350</v>
      </c>
      <c r="I83" t="str">
        <f t="shared" si="1"/>
        <v>psar_{'C',  [('delta', 0.3,  -1),  ('delta', 0.15,  2)]}_[21,  49]_5</v>
      </c>
      <c r="J83" t="s">
        <v>1315</v>
      </c>
      <c r="K83">
        <v>136</v>
      </c>
      <c r="L83" t="s">
        <v>1316</v>
      </c>
      <c r="M83">
        <v>52</v>
      </c>
      <c r="N83" t="s">
        <v>1317</v>
      </c>
      <c r="O83">
        <v>2.3674366502258799</v>
      </c>
      <c r="P83" t="s">
        <v>1318</v>
      </c>
      <c r="Q83">
        <v>1.74076224281315E-2</v>
      </c>
      <c r="R83" t="s">
        <v>1319</v>
      </c>
      <c r="S83">
        <v>1.1173942208340699</v>
      </c>
      <c r="T83" t="s">
        <v>1320</v>
      </c>
      <c r="U83">
        <v>-0.66353646229935703</v>
      </c>
      <c r="V83" t="s">
        <v>1321</v>
      </c>
      <c r="W83">
        <v>0.22824113423543399</v>
      </c>
      <c r="X83" t="s">
        <v>1322</v>
      </c>
      <c r="Y83" t="s">
        <v>1546</v>
      </c>
      <c r="Z83" t="s">
        <v>1368</v>
      </c>
      <c r="AA83">
        <v>0</v>
      </c>
      <c r="AB83" t="s">
        <v>1325</v>
      </c>
      <c r="AC83" t="s">
        <v>1326</v>
      </c>
      <c r="AD83" t="s">
        <v>1546</v>
      </c>
      <c r="AE83" t="s">
        <v>1368</v>
      </c>
      <c r="AF83">
        <v>0</v>
      </c>
      <c r="AG83" t="s">
        <v>1328</v>
      </c>
    </row>
    <row r="84" spans="1:33" x14ac:dyDescent="0.3">
      <c r="A84" t="s">
        <v>1500</v>
      </c>
      <c r="B84" t="s">
        <v>1310</v>
      </c>
      <c r="C84">
        <v>0.5</v>
      </c>
      <c r="D84" t="s">
        <v>1311</v>
      </c>
      <c r="E84" t="s">
        <v>1312</v>
      </c>
      <c r="F84">
        <v>0.3</v>
      </c>
      <c r="G84" t="s">
        <v>1342</v>
      </c>
      <c r="H84" t="s">
        <v>1343</v>
      </c>
      <c r="I84" t="str">
        <f t="shared" si="1"/>
        <v>psar_{'C',  [('delta', 0.5,  -1),  ('delta', 0.3,  2)]}_[21,  49]_1</v>
      </c>
      <c r="J84" t="s">
        <v>1315</v>
      </c>
      <c r="K84">
        <v>136</v>
      </c>
      <c r="L84" t="s">
        <v>1316</v>
      </c>
      <c r="M84">
        <v>48</v>
      </c>
      <c r="N84" t="s">
        <v>1317</v>
      </c>
      <c r="O84">
        <v>2.3500000000000099</v>
      </c>
      <c r="P84" t="s">
        <v>1318</v>
      </c>
      <c r="Q84">
        <v>1.7279411764705901E-2</v>
      </c>
      <c r="R84" t="s">
        <v>1319</v>
      </c>
      <c r="S84">
        <v>1.21145833333333</v>
      </c>
      <c r="T84" t="s">
        <v>1320</v>
      </c>
      <c r="U84">
        <v>-0.63409090909090804</v>
      </c>
      <c r="V84" t="s">
        <v>1321</v>
      </c>
      <c r="W84">
        <v>0.18794372902950601</v>
      </c>
      <c r="X84" t="s">
        <v>1322</v>
      </c>
      <c r="Y84" t="s">
        <v>1501</v>
      </c>
      <c r="Z84" t="s">
        <v>1502</v>
      </c>
      <c r="AA84">
        <v>0</v>
      </c>
      <c r="AB84" t="s">
        <v>1325</v>
      </c>
      <c r="AC84" t="s">
        <v>1326</v>
      </c>
      <c r="AD84" t="s">
        <v>1501</v>
      </c>
      <c r="AE84" t="s">
        <v>1502</v>
      </c>
      <c r="AF84">
        <v>0</v>
      </c>
      <c r="AG84" t="s">
        <v>1328</v>
      </c>
    </row>
    <row r="85" spans="1:33" x14ac:dyDescent="0.3">
      <c r="A85" t="s">
        <v>1500</v>
      </c>
      <c r="B85" t="s">
        <v>1310</v>
      </c>
      <c r="C85">
        <v>0.4</v>
      </c>
      <c r="D85" t="s">
        <v>1311</v>
      </c>
      <c r="E85" t="s">
        <v>1312</v>
      </c>
      <c r="F85">
        <v>0.2</v>
      </c>
      <c r="G85" t="s">
        <v>1342</v>
      </c>
      <c r="H85" t="s">
        <v>1350</v>
      </c>
      <c r="I85" t="str">
        <f t="shared" si="1"/>
        <v>psar_{'C',  [('delta', 0.4,  -1),  ('delta', 0.2,  2)]}_[21,  49]_5</v>
      </c>
      <c r="J85" t="s">
        <v>1315</v>
      </c>
      <c r="K85">
        <v>136</v>
      </c>
      <c r="L85" t="s">
        <v>1316</v>
      </c>
      <c r="M85">
        <v>43</v>
      </c>
      <c r="N85" t="s">
        <v>1317</v>
      </c>
      <c r="O85">
        <v>1.92285993657654</v>
      </c>
      <c r="P85" t="s">
        <v>1318</v>
      </c>
      <c r="Q85">
        <v>1.4138676004239299E-2</v>
      </c>
      <c r="R85" t="s">
        <v>1319</v>
      </c>
      <c r="S85">
        <v>1.5993688357343301</v>
      </c>
      <c r="T85" t="s">
        <v>1320</v>
      </c>
      <c r="U85">
        <v>-0.71881720430107499</v>
      </c>
      <c r="V85" t="s">
        <v>1321</v>
      </c>
      <c r="W85">
        <v>0.27742897924621601</v>
      </c>
      <c r="X85" t="s">
        <v>1322</v>
      </c>
      <c r="Y85" t="s">
        <v>1367</v>
      </c>
      <c r="Z85" t="s">
        <v>1368</v>
      </c>
      <c r="AA85">
        <v>0</v>
      </c>
      <c r="AB85" t="s">
        <v>1325</v>
      </c>
      <c r="AC85" t="s">
        <v>1326</v>
      </c>
      <c r="AD85" t="s">
        <v>1367</v>
      </c>
      <c r="AE85" t="s">
        <v>1368</v>
      </c>
      <c r="AF85">
        <v>0</v>
      </c>
      <c r="AG85" t="s">
        <v>1328</v>
      </c>
    </row>
    <row r="86" spans="1:33" x14ac:dyDescent="0.3">
      <c r="A86" t="s">
        <v>1604</v>
      </c>
      <c r="B86" t="s">
        <v>1310</v>
      </c>
      <c r="C86">
        <v>0.5</v>
      </c>
      <c r="D86" t="s">
        <v>1311</v>
      </c>
      <c r="E86" t="s">
        <v>1312</v>
      </c>
      <c r="F86">
        <v>0.3</v>
      </c>
      <c r="G86" t="s">
        <v>1351</v>
      </c>
      <c r="H86" t="s">
        <v>1352</v>
      </c>
      <c r="I86" t="str">
        <f t="shared" si="1"/>
        <v>stoch_{'C',  [('delta', 0.5,  -1),  ('delta', 0.3,  2)]}_[35,  70]_1</v>
      </c>
      <c r="J86" t="s">
        <v>1315</v>
      </c>
      <c r="K86">
        <v>291</v>
      </c>
      <c r="L86" t="s">
        <v>1316</v>
      </c>
      <c r="M86">
        <v>86</v>
      </c>
      <c r="N86" t="s">
        <v>1317</v>
      </c>
      <c r="O86">
        <v>1.89336307167893</v>
      </c>
      <c r="P86" t="s">
        <v>1318</v>
      </c>
      <c r="Q86">
        <v>6.5064023081750303E-3</v>
      </c>
      <c r="R86" t="s">
        <v>1319</v>
      </c>
      <c r="S86">
        <v>1.62403092793445</v>
      </c>
      <c r="T86" t="s">
        <v>1320</v>
      </c>
      <c r="U86">
        <v>-0.672064862100897</v>
      </c>
      <c r="V86" t="s">
        <v>1321</v>
      </c>
      <c r="W86">
        <v>0.37582732754989001</v>
      </c>
      <c r="X86" t="s">
        <v>1322</v>
      </c>
      <c r="Y86" t="s">
        <v>1614</v>
      </c>
      <c r="Z86" t="s">
        <v>1615</v>
      </c>
    </row>
    <row r="87" spans="1:33" x14ac:dyDescent="0.3">
      <c r="A87" t="s">
        <v>1500</v>
      </c>
      <c r="B87" t="s">
        <v>1310</v>
      </c>
      <c r="C87">
        <v>0.4</v>
      </c>
      <c r="D87" t="s">
        <v>1311</v>
      </c>
      <c r="E87" t="s">
        <v>1312</v>
      </c>
      <c r="F87">
        <v>0.2</v>
      </c>
      <c r="G87" t="s">
        <v>1403</v>
      </c>
      <c r="H87" t="s">
        <v>1356</v>
      </c>
      <c r="I87" t="str">
        <f t="shared" si="1"/>
        <v>psar_{'C',  [('delta', 0.4,  -1),  ('delta', 0.2,  3)]}_[35,  70]_2</v>
      </c>
      <c r="J87" t="s">
        <v>1315</v>
      </c>
      <c r="K87">
        <v>177</v>
      </c>
      <c r="L87" t="s">
        <v>1316</v>
      </c>
      <c r="M87">
        <v>40</v>
      </c>
      <c r="N87" t="s">
        <v>1317</v>
      </c>
      <c r="O87">
        <v>1.4966429000428201</v>
      </c>
      <c r="P87" t="s">
        <v>1318</v>
      </c>
      <c r="Q87">
        <v>8.4556096047617296E-3</v>
      </c>
      <c r="R87" t="s">
        <v>1319</v>
      </c>
      <c r="S87">
        <v>2.4417499999999999</v>
      </c>
      <c r="T87" t="s">
        <v>1320</v>
      </c>
      <c r="U87">
        <v>-0.70199530729895698</v>
      </c>
      <c r="V87" t="s">
        <v>1321</v>
      </c>
      <c r="W87">
        <v>0.379648525298171</v>
      </c>
      <c r="X87" t="s">
        <v>1322</v>
      </c>
      <c r="Y87" t="s">
        <v>1538</v>
      </c>
      <c r="Z87" t="s">
        <v>1539</v>
      </c>
    </row>
    <row r="88" spans="1:33" x14ac:dyDescent="0.3">
      <c r="A88" t="s">
        <v>1309</v>
      </c>
      <c r="B88" t="s">
        <v>1310</v>
      </c>
      <c r="C88">
        <v>0.4</v>
      </c>
      <c r="D88" t="s">
        <v>1311</v>
      </c>
      <c r="E88" t="s">
        <v>1312</v>
      </c>
      <c r="F88">
        <v>0.2</v>
      </c>
      <c r="G88" t="s">
        <v>1392</v>
      </c>
      <c r="H88" t="s">
        <v>1349</v>
      </c>
      <c r="I88" t="str">
        <f t="shared" si="1"/>
        <v>alltime_{'C',  [('delta', 0.4,  -1),  ('delta', 0.2,  3)]}_[21,  49]_4</v>
      </c>
      <c r="J88" t="s">
        <v>1315</v>
      </c>
      <c r="K88">
        <v>3050</v>
      </c>
      <c r="L88" t="s">
        <v>1316</v>
      </c>
      <c r="M88">
        <v>453</v>
      </c>
      <c r="N88" t="s">
        <v>1317</v>
      </c>
      <c r="O88">
        <v>1.1882486292869401</v>
      </c>
      <c r="P88" t="s">
        <v>1318</v>
      </c>
      <c r="Q88">
        <v>3.8958971452030899E-4</v>
      </c>
      <c r="R88" t="s">
        <v>1319</v>
      </c>
      <c r="S88">
        <v>4.04153861236676</v>
      </c>
      <c r="T88" t="s">
        <v>1320</v>
      </c>
      <c r="U88">
        <v>-0.70451626598877304</v>
      </c>
      <c r="V88" t="s">
        <v>1321</v>
      </c>
      <c r="W88">
        <v>3.4176626524043301</v>
      </c>
      <c r="X88" t="s">
        <v>1322</v>
      </c>
      <c r="Y88" t="s">
        <v>1395</v>
      </c>
      <c r="Z88" t="s">
        <v>1396</v>
      </c>
      <c r="AA88">
        <v>0</v>
      </c>
      <c r="AB88" t="s">
        <v>1325</v>
      </c>
      <c r="AC88" t="s">
        <v>1326</v>
      </c>
      <c r="AD88" t="s">
        <v>1400</v>
      </c>
      <c r="AE88" t="s">
        <v>1399</v>
      </c>
      <c r="AF88">
        <v>0</v>
      </c>
      <c r="AG88" t="s">
        <v>1328</v>
      </c>
    </row>
    <row r="89" spans="1:33" x14ac:dyDescent="0.3">
      <c r="A89" t="s">
        <v>1604</v>
      </c>
      <c r="B89" t="s">
        <v>1310</v>
      </c>
      <c r="C89">
        <v>0.4</v>
      </c>
      <c r="D89" t="s">
        <v>1311</v>
      </c>
      <c r="E89" t="s">
        <v>1312</v>
      </c>
      <c r="F89">
        <v>0.2</v>
      </c>
      <c r="G89" t="s">
        <v>1313</v>
      </c>
      <c r="H89" t="s">
        <v>1314</v>
      </c>
      <c r="I89" t="str">
        <f t="shared" si="1"/>
        <v>stoch_{'C',  [('delta', 0.4,  -1),  ('delta', 0.2,  2)]}_[7,  35]_1</v>
      </c>
      <c r="J89" t="s">
        <v>1315</v>
      </c>
      <c r="K89">
        <v>224</v>
      </c>
      <c r="L89" t="s">
        <v>1316</v>
      </c>
      <c r="M89">
        <v>101</v>
      </c>
      <c r="N89" t="s">
        <v>1317</v>
      </c>
      <c r="O89">
        <v>1.0499999999999901</v>
      </c>
      <c r="P89" t="s">
        <v>1318</v>
      </c>
      <c r="Q89">
        <v>4.6874999999999703E-3</v>
      </c>
      <c r="R89" t="s">
        <v>1319</v>
      </c>
      <c r="S89">
        <v>0.98821782178217799</v>
      </c>
      <c r="T89" t="s">
        <v>1320</v>
      </c>
      <c r="U89">
        <v>-0.80292682926829195</v>
      </c>
      <c r="V89" t="s">
        <v>1321</v>
      </c>
      <c r="W89">
        <v>0.28457768993474197</v>
      </c>
      <c r="X89" t="s">
        <v>1322</v>
      </c>
      <c r="Y89" t="s">
        <v>1344</v>
      </c>
      <c r="Z89" t="s">
        <v>1331</v>
      </c>
      <c r="AA89">
        <v>0</v>
      </c>
      <c r="AB89" t="s">
        <v>1325</v>
      </c>
      <c r="AC89" t="s">
        <v>1326</v>
      </c>
      <c r="AD89" t="s">
        <v>1344</v>
      </c>
      <c r="AE89" t="s">
        <v>1331</v>
      </c>
      <c r="AF89">
        <v>0</v>
      </c>
      <c r="AG89" t="s">
        <v>1328</v>
      </c>
    </row>
    <row r="90" spans="1:33" x14ac:dyDescent="0.3">
      <c r="A90" t="s">
        <v>1455</v>
      </c>
      <c r="B90" t="s">
        <v>1310</v>
      </c>
      <c r="C90">
        <v>0.4</v>
      </c>
      <c r="D90" t="s">
        <v>1311</v>
      </c>
      <c r="E90" t="s">
        <v>1312</v>
      </c>
      <c r="F90">
        <v>0.2</v>
      </c>
      <c r="G90" t="s">
        <v>1313</v>
      </c>
      <c r="H90" t="s">
        <v>1333</v>
      </c>
      <c r="I90" t="str">
        <f t="shared" si="1"/>
        <v>bbands_{'C',  [('delta', 0.4,  -1),  ('delta', 0.2,  2)]}_[7,  35]_3</v>
      </c>
      <c r="J90" t="s">
        <v>1315</v>
      </c>
      <c r="K90">
        <v>191</v>
      </c>
      <c r="L90" t="s">
        <v>1316</v>
      </c>
      <c r="M90">
        <v>71</v>
      </c>
      <c r="N90" t="s">
        <v>1317</v>
      </c>
      <c r="O90">
        <v>1.0399999999999701</v>
      </c>
      <c r="P90" t="s">
        <v>1318</v>
      </c>
      <c r="Q90">
        <v>5.4450261780103499E-3</v>
      </c>
      <c r="R90" t="s">
        <v>1319</v>
      </c>
      <c r="S90">
        <v>1.34042253521126</v>
      </c>
      <c r="T90" t="s">
        <v>1320</v>
      </c>
      <c r="U90">
        <v>-0.78441666666666598</v>
      </c>
      <c r="V90" t="s">
        <v>1321</v>
      </c>
      <c r="W90">
        <v>0.41623133893632203</v>
      </c>
      <c r="X90" t="s">
        <v>1322</v>
      </c>
      <c r="Y90" t="s">
        <v>1477</v>
      </c>
      <c r="Z90" t="s">
        <v>1478</v>
      </c>
      <c r="AA90">
        <v>0</v>
      </c>
      <c r="AB90" t="s">
        <v>1325</v>
      </c>
      <c r="AC90" t="s">
        <v>1326</v>
      </c>
      <c r="AD90" t="s">
        <v>1476</v>
      </c>
      <c r="AE90" t="s">
        <v>1372</v>
      </c>
      <c r="AF90">
        <v>0</v>
      </c>
      <c r="AG90" t="s">
        <v>1328</v>
      </c>
    </row>
    <row r="91" spans="1:33" x14ac:dyDescent="0.3">
      <c r="A91" t="s">
        <v>1500</v>
      </c>
      <c r="B91" t="s">
        <v>1310</v>
      </c>
      <c r="C91">
        <v>0.4</v>
      </c>
      <c r="D91" t="s">
        <v>1311</v>
      </c>
      <c r="E91" t="s">
        <v>1312</v>
      </c>
      <c r="F91">
        <v>0.2</v>
      </c>
      <c r="G91" t="s">
        <v>1403</v>
      </c>
      <c r="H91" t="s">
        <v>1352</v>
      </c>
      <c r="I91" t="str">
        <f t="shared" si="1"/>
        <v>psar_{'C',  [('delta', 0.4,  -1),  ('delta', 0.2,  3)]}_[35,  70]_1</v>
      </c>
      <c r="J91" t="s">
        <v>1315</v>
      </c>
      <c r="K91">
        <v>177</v>
      </c>
      <c r="L91" t="s">
        <v>1316</v>
      </c>
      <c r="M91">
        <v>57</v>
      </c>
      <c r="N91" t="s">
        <v>1317</v>
      </c>
      <c r="O91">
        <v>0.892641038130086</v>
      </c>
      <c r="P91" t="s">
        <v>1318</v>
      </c>
      <c r="Q91">
        <v>5.0431697069496396E-3</v>
      </c>
      <c r="R91" t="s">
        <v>1319</v>
      </c>
      <c r="S91">
        <v>1.4519698175929501</v>
      </c>
      <c r="T91" t="s">
        <v>1320</v>
      </c>
      <c r="U91">
        <v>-0.68224698803890105</v>
      </c>
      <c r="V91" t="s">
        <v>1321</v>
      </c>
      <c r="W91">
        <v>0.30757395253627801</v>
      </c>
      <c r="X91" t="s">
        <v>1322</v>
      </c>
      <c r="Y91" t="s">
        <v>1538</v>
      </c>
      <c r="Z91" t="s">
        <v>1539</v>
      </c>
    </row>
    <row r="92" spans="1:33" x14ac:dyDescent="0.3">
      <c r="A92" t="s">
        <v>1500</v>
      </c>
      <c r="B92" t="s">
        <v>1310</v>
      </c>
      <c r="C92">
        <v>0.4</v>
      </c>
      <c r="D92" t="s">
        <v>1311</v>
      </c>
      <c r="E92" t="s">
        <v>1312</v>
      </c>
      <c r="F92">
        <v>0.2</v>
      </c>
      <c r="G92" t="s">
        <v>1392</v>
      </c>
      <c r="H92" t="s">
        <v>1346</v>
      </c>
      <c r="I92" t="str">
        <f t="shared" si="1"/>
        <v>psar_{'C',  [('delta', 0.4,  -1),  ('delta', 0.2,  3)]}_[21,  49]_2</v>
      </c>
      <c r="J92" t="s">
        <v>1315</v>
      </c>
      <c r="K92">
        <v>136</v>
      </c>
      <c r="L92" t="s">
        <v>1316</v>
      </c>
      <c r="M92">
        <v>32</v>
      </c>
      <c r="N92" t="s">
        <v>1317</v>
      </c>
      <c r="O92">
        <v>0.484289904864802</v>
      </c>
      <c r="P92" t="s">
        <v>1318</v>
      </c>
      <c r="Q92">
        <v>3.5609551828294202E-3</v>
      </c>
      <c r="R92" t="s">
        <v>1319</v>
      </c>
      <c r="S92">
        <v>2.1178124999999999</v>
      </c>
      <c r="T92" t="s">
        <v>1320</v>
      </c>
      <c r="U92">
        <v>-0.64697798168399201</v>
      </c>
      <c r="V92" t="s">
        <v>1321</v>
      </c>
      <c r="W92">
        <v>0.264453615658304</v>
      </c>
      <c r="X92" t="s">
        <v>1322</v>
      </c>
      <c r="Y92" t="s">
        <v>1535</v>
      </c>
      <c r="Z92" t="s">
        <v>1506</v>
      </c>
      <c r="AA92">
        <v>0</v>
      </c>
      <c r="AB92" t="s">
        <v>1325</v>
      </c>
      <c r="AC92" t="s">
        <v>1326</v>
      </c>
      <c r="AD92" t="s">
        <v>1535</v>
      </c>
      <c r="AE92" t="s">
        <v>1506</v>
      </c>
      <c r="AF92">
        <v>0</v>
      </c>
      <c r="AG92" t="s">
        <v>1328</v>
      </c>
    </row>
    <row r="93" spans="1:33" x14ac:dyDescent="0.3">
      <c r="A93" t="s">
        <v>1455</v>
      </c>
      <c r="B93" t="s">
        <v>1310</v>
      </c>
      <c r="C93">
        <v>0.3</v>
      </c>
      <c r="D93" t="s">
        <v>1311</v>
      </c>
      <c r="E93" t="s">
        <v>1312</v>
      </c>
      <c r="F93">
        <v>0.15</v>
      </c>
      <c r="G93" t="s">
        <v>1313</v>
      </c>
      <c r="H93" t="s">
        <v>1337</v>
      </c>
      <c r="I93" t="str">
        <f t="shared" si="1"/>
        <v>bbands_{'C',  [('delta', 0.3,  -1),  ('delta', 0.15,  2)]}_[7,  35]_5</v>
      </c>
      <c r="J93" t="s">
        <v>1315</v>
      </c>
      <c r="K93">
        <v>191</v>
      </c>
      <c r="L93" t="s">
        <v>1316</v>
      </c>
      <c r="M93">
        <v>74</v>
      </c>
      <c r="N93" t="s">
        <v>1317</v>
      </c>
      <c r="O93">
        <v>8.00000000000025E-2</v>
      </c>
      <c r="P93" t="s">
        <v>1318</v>
      </c>
      <c r="Q93">
        <v>4.1884816753928001E-4</v>
      </c>
      <c r="R93" t="s">
        <v>1319</v>
      </c>
      <c r="S93">
        <v>1.0175675675675599</v>
      </c>
      <c r="T93" t="s">
        <v>1320</v>
      </c>
      <c r="U93">
        <v>-0.64844827586206899</v>
      </c>
      <c r="V93" t="s">
        <v>1321</v>
      </c>
      <c r="W93">
        <v>0.34534768415287598</v>
      </c>
      <c r="X93" t="s">
        <v>1322</v>
      </c>
      <c r="Y93" t="s">
        <v>1489</v>
      </c>
      <c r="Z93" t="s">
        <v>1372</v>
      </c>
      <c r="AA93">
        <v>0</v>
      </c>
      <c r="AB93" t="s">
        <v>1325</v>
      </c>
      <c r="AC93" t="s">
        <v>1326</v>
      </c>
      <c r="AD93" t="s">
        <v>1490</v>
      </c>
      <c r="AE93" t="s">
        <v>1372</v>
      </c>
      <c r="AF93">
        <v>0</v>
      </c>
      <c r="AG93" t="s">
        <v>1328</v>
      </c>
    </row>
    <row r="94" spans="1:33" x14ac:dyDescent="0.3">
      <c r="A94" t="s">
        <v>1500</v>
      </c>
      <c r="B94" t="s">
        <v>1310</v>
      </c>
      <c r="C94">
        <v>0.5</v>
      </c>
      <c r="D94" t="s">
        <v>1311</v>
      </c>
      <c r="E94" t="s">
        <v>1312</v>
      </c>
      <c r="F94">
        <v>0.3</v>
      </c>
      <c r="G94" t="s">
        <v>1313</v>
      </c>
      <c r="H94" t="s">
        <v>1314</v>
      </c>
      <c r="I94" t="str">
        <f t="shared" si="1"/>
        <v>psar_{'C',  [('delta', 0.5,  -1),  ('delta', 0.3,  2)]}_[7,  35]_1</v>
      </c>
      <c r="J94" t="s">
        <v>1315</v>
      </c>
      <c r="K94">
        <v>140</v>
      </c>
      <c r="L94" t="s">
        <v>1316</v>
      </c>
      <c r="M94">
        <v>54</v>
      </c>
      <c r="N94" t="s">
        <v>1317</v>
      </c>
      <c r="O94">
        <v>-9.9999999999490496E-3</v>
      </c>
      <c r="P94" t="s">
        <v>1318</v>
      </c>
      <c r="Q94" s="8">
        <v>-7.1428571428207494E-5</v>
      </c>
      <c r="R94" t="s">
        <v>1319</v>
      </c>
      <c r="S94">
        <v>1.07481481481481</v>
      </c>
      <c r="T94" t="s">
        <v>1320</v>
      </c>
      <c r="U94">
        <v>-0.67499999999999905</v>
      </c>
      <c r="V94" t="s">
        <v>1321</v>
      </c>
      <c r="W94">
        <v>0.21898236890653799</v>
      </c>
      <c r="X94" t="s">
        <v>1322</v>
      </c>
      <c r="Y94" t="s">
        <v>1323</v>
      </c>
      <c r="Z94" t="s">
        <v>1324</v>
      </c>
      <c r="AA94">
        <v>0</v>
      </c>
      <c r="AB94" t="s">
        <v>1325</v>
      </c>
      <c r="AC94" t="s">
        <v>1326</v>
      </c>
      <c r="AD94" t="s">
        <v>1323</v>
      </c>
      <c r="AE94" t="s">
        <v>1324</v>
      </c>
      <c r="AF94">
        <v>0</v>
      </c>
      <c r="AG94" t="s">
        <v>1328</v>
      </c>
    </row>
    <row r="95" spans="1:33" x14ac:dyDescent="0.3">
      <c r="A95" t="s">
        <v>1455</v>
      </c>
      <c r="B95" t="s">
        <v>1310</v>
      </c>
      <c r="C95">
        <v>0.4</v>
      </c>
      <c r="D95" t="s">
        <v>1311</v>
      </c>
      <c r="E95" t="s">
        <v>1312</v>
      </c>
      <c r="F95">
        <v>0.2</v>
      </c>
      <c r="G95" t="s">
        <v>1313</v>
      </c>
      <c r="H95" t="s">
        <v>1336</v>
      </c>
      <c r="I95" t="str">
        <f t="shared" si="1"/>
        <v>bbands_{'C',  [('delta', 0.4,  -1),  ('delta', 0.2,  2)]}_[7,  35]_4</v>
      </c>
      <c r="J95" t="s">
        <v>1315</v>
      </c>
      <c r="K95">
        <v>191</v>
      </c>
      <c r="L95" t="s">
        <v>1316</v>
      </c>
      <c r="M95">
        <v>70</v>
      </c>
      <c r="N95" t="s">
        <v>1317</v>
      </c>
      <c r="O95">
        <v>-0.150000000000027</v>
      </c>
      <c r="P95" t="s">
        <v>1318</v>
      </c>
      <c r="Q95">
        <v>-7.8534031413627096E-4</v>
      </c>
      <c r="R95" t="s">
        <v>1319</v>
      </c>
      <c r="S95">
        <v>1.35442857142857</v>
      </c>
      <c r="T95" t="s">
        <v>1320</v>
      </c>
      <c r="U95">
        <v>-0.78479338842975199</v>
      </c>
      <c r="V95" t="s">
        <v>1321</v>
      </c>
      <c r="W95">
        <v>0.42107595723091101</v>
      </c>
      <c r="X95" t="s">
        <v>1322</v>
      </c>
      <c r="Y95" t="s">
        <v>1477</v>
      </c>
      <c r="Z95" t="s">
        <v>1478</v>
      </c>
      <c r="AA95">
        <v>0</v>
      </c>
      <c r="AB95" t="s">
        <v>1325</v>
      </c>
      <c r="AC95" t="s">
        <v>1326</v>
      </c>
      <c r="AD95" t="s">
        <v>1476</v>
      </c>
      <c r="AE95" t="s">
        <v>1372</v>
      </c>
      <c r="AF95">
        <v>0</v>
      </c>
      <c r="AG95" t="s">
        <v>1328</v>
      </c>
    </row>
    <row r="96" spans="1:33" x14ac:dyDescent="0.3">
      <c r="A96" t="s">
        <v>1500</v>
      </c>
      <c r="B96" t="s">
        <v>1310</v>
      </c>
      <c r="C96">
        <v>0.3</v>
      </c>
      <c r="D96" t="s">
        <v>1311</v>
      </c>
      <c r="E96" t="s">
        <v>1312</v>
      </c>
      <c r="F96">
        <v>0.15</v>
      </c>
      <c r="G96" t="s">
        <v>1342</v>
      </c>
      <c r="H96" t="s">
        <v>1346</v>
      </c>
      <c r="I96" t="str">
        <f t="shared" si="1"/>
        <v>psar_{'C',  [('delta', 0.3,  -1),  ('delta', 0.15,  2)]}_[21,  49]_2</v>
      </c>
      <c r="J96" t="s">
        <v>1315</v>
      </c>
      <c r="K96">
        <v>136</v>
      </c>
      <c r="L96" t="s">
        <v>1316</v>
      </c>
      <c r="M96">
        <v>55</v>
      </c>
      <c r="N96" t="s">
        <v>1317</v>
      </c>
      <c r="O96">
        <v>-0.17256334977412499</v>
      </c>
      <c r="P96" t="s">
        <v>1318</v>
      </c>
      <c r="Q96">
        <v>-1.26884816010386E-3</v>
      </c>
      <c r="R96" t="s">
        <v>1319</v>
      </c>
      <c r="S96">
        <v>0.95735453606130805</v>
      </c>
      <c r="T96" t="s">
        <v>1320</v>
      </c>
      <c r="U96">
        <v>-0.65218596090303704</v>
      </c>
      <c r="V96" t="s">
        <v>1321</v>
      </c>
      <c r="W96">
        <v>0.18520498170173699</v>
      </c>
      <c r="X96" t="s">
        <v>1322</v>
      </c>
      <c r="Y96" t="s">
        <v>1546</v>
      </c>
      <c r="Z96" t="s">
        <v>1368</v>
      </c>
      <c r="AA96">
        <v>0</v>
      </c>
      <c r="AB96" t="s">
        <v>1325</v>
      </c>
      <c r="AC96" t="s">
        <v>1326</v>
      </c>
      <c r="AD96" t="s">
        <v>1546</v>
      </c>
      <c r="AE96" t="s">
        <v>1368</v>
      </c>
      <c r="AF96">
        <v>0</v>
      </c>
      <c r="AG96" t="s">
        <v>1328</v>
      </c>
    </row>
    <row r="97" spans="1:33" x14ac:dyDescent="0.3">
      <c r="A97" t="s">
        <v>1500</v>
      </c>
      <c r="B97" t="s">
        <v>1310</v>
      </c>
      <c r="C97">
        <v>0.3</v>
      </c>
      <c r="D97" t="s">
        <v>1311</v>
      </c>
      <c r="E97" t="s">
        <v>1312</v>
      </c>
      <c r="F97">
        <v>0.15</v>
      </c>
      <c r="G97" t="s">
        <v>1342</v>
      </c>
      <c r="H97" t="s">
        <v>1343</v>
      </c>
      <c r="I97" t="str">
        <f t="shared" si="1"/>
        <v>psar_{'C',  [('delta', 0.3,  -1),  ('delta', 0.15,  2)]}_[21,  49]_1</v>
      </c>
      <c r="J97" t="s">
        <v>1315</v>
      </c>
      <c r="K97">
        <v>136</v>
      </c>
      <c r="L97" t="s">
        <v>1316</v>
      </c>
      <c r="M97">
        <v>57</v>
      </c>
      <c r="N97" t="s">
        <v>1317</v>
      </c>
      <c r="O97">
        <v>-0.282563349774126</v>
      </c>
      <c r="P97" t="s">
        <v>1318</v>
      </c>
      <c r="Q97">
        <v>-2.07767168951563E-3</v>
      </c>
      <c r="R97" t="s">
        <v>1319</v>
      </c>
      <c r="S97">
        <v>0.89464034181354202</v>
      </c>
      <c r="T97" t="s">
        <v>1320</v>
      </c>
      <c r="U97">
        <v>-0.64907674472336796</v>
      </c>
      <c r="V97" t="s">
        <v>1321</v>
      </c>
      <c r="W97">
        <v>0.17501712773605499</v>
      </c>
      <c r="X97" t="s">
        <v>1322</v>
      </c>
      <c r="Y97" t="s">
        <v>1546</v>
      </c>
      <c r="Z97" t="s">
        <v>1368</v>
      </c>
      <c r="AA97">
        <v>0</v>
      </c>
      <c r="AB97" t="s">
        <v>1325</v>
      </c>
      <c r="AC97" t="s">
        <v>1326</v>
      </c>
      <c r="AD97" t="s">
        <v>1546</v>
      </c>
      <c r="AE97" t="s">
        <v>1368</v>
      </c>
      <c r="AF97">
        <v>0</v>
      </c>
      <c r="AG97" t="s">
        <v>1328</v>
      </c>
    </row>
    <row r="98" spans="1:33" x14ac:dyDescent="0.3">
      <c r="A98" t="s">
        <v>1500</v>
      </c>
      <c r="B98" t="s">
        <v>1310</v>
      </c>
      <c r="C98">
        <v>0.4</v>
      </c>
      <c r="D98" t="s">
        <v>1311</v>
      </c>
      <c r="E98" t="s">
        <v>1312</v>
      </c>
      <c r="F98">
        <v>0.2</v>
      </c>
      <c r="G98" t="s">
        <v>1351</v>
      </c>
      <c r="H98" t="s">
        <v>1360</v>
      </c>
      <c r="I98" t="str">
        <f t="shared" si="1"/>
        <v>psar_{'C',  [('delta', 0.4,  -1),  ('delta', 0.2,  2)]}_[35,  70]_5</v>
      </c>
      <c r="J98" t="s">
        <v>1315</v>
      </c>
      <c r="K98">
        <v>177</v>
      </c>
      <c r="L98" t="s">
        <v>1316</v>
      </c>
      <c r="M98">
        <v>49</v>
      </c>
      <c r="N98" t="s">
        <v>1317</v>
      </c>
      <c r="O98">
        <v>-0.45868931128635998</v>
      </c>
      <c r="P98" t="s">
        <v>1318</v>
      </c>
      <c r="Q98">
        <v>-2.5914650355161602E-3</v>
      </c>
      <c r="R98" t="s">
        <v>1319</v>
      </c>
      <c r="S98">
        <v>1.9624256886804501</v>
      </c>
      <c r="T98" t="s">
        <v>1320</v>
      </c>
      <c r="U98">
        <v>-0.75482459419241199</v>
      </c>
      <c r="V98" t="s">
        <v>1321</v>
      </c>
      <c r="W98">
        <v>0.37776167314612502</v>
      </c>
      <c r="X98" t="s">
        <v>1322</v>
      </c>
      <c r="Y98" t="s">
        <v>1367</v>
      </c>
      <c r="Z98" t="s">
        <v>1368</v>
      </c>
      <c r="AA98">
        <v>0</v>
      </c>
      <c r="AB98" t="s">
        <v>1325</v>
      </c>
      <c r="AC98" t="s">
        <v>1326</v>
      </c>
      <c r="AD98" t="s">
        <v>1367</v>
      </c>
      <c r="AE98" t="s">
        <v>1368</v>
      </c>
      <c r="AF98">
        <v>0</v>
      </c>
      <c r="AG98" t="s">
        <v>1328</v>
      </c>
    </row>
    <row r="99" spans="1:33" x14ac:dyDescent="0.3">
      <c r="A99" t="s">
        <v>1500</v>
      </c>
      <c r="B99" t="s">
        <v>1310</v>
      </c>
      <c r="C99">
        <v>0.3</v>
      </c>
      <c r="D99" t="s">
        <v>1311</v>
      </c>
      <c r="E99" t="s">
        <v>1312</v>
      </c>
      <c r="F99">
        <v>0.15</v>
      </c>
      <c r="G99" t="s">
        <v>1313</v>
      </c>
      <c r="H99" t="s">
        <v>1336</v>
      </c>
      <c r="I99" t="str">
        <f t="shared" si="1"/>
        <v>psar_{'C',  [('delta', 0.3,  -1),  ('delta', 0.15,  2)]}_[7,  35]_4</v>
      </c>
      <c r="J99" t="s">
        <v>1315</v>
      </c>
      <c r="K99">
        <v>140</v>
      </c>
      <c r="L99" t="s">
        <v>1316</v>
      </c>
      <c r="M99">
        <v>70</v>
      </c>
      <c r="N99" t="s">
        <v>1317</v>
      </c>
      <c r="O99">
        <v>-0.55104980840306195</v>
      </c>
      <c r="P99" t="s">
        <v>1318</v>
      </c>
      <c r="Q99">
        <v>-3.9360700600218701E-3</v>
      </c>
      <c r="R99" t="s">
        <v>1319</v>
      </c>
      <c r="S99">
        <v>0.59641357416566998</v>
      </c>
      <c r="T99" t="s">
        <v>1320</v>
      </c>
      <c r="U99">
        <v>-0.60428571428571398</v>
      </c>
      <c r="V99" t="s">
        <v>1321</v>
      </c>
      <c r="W99">
        <v>0.19453512632158501</v>
      </c>
      <c r="X99" t="s">
        <v>1322</v>
      </c>
      <c r="Y99" t="s">
        <v>1544</v>
      </c>
      <c r="Z99" t="s">
        <v>1545</v>
      </c>
      <c r="AA99">
        <v>0</v>
      </c>
      <c r="AB99" t="s">
        <v>1325</v>
      </c>
      <c r="AC99" t="s">
        <v>1326</v>
      </c>
      <c r="AD99" t="s">
        <v>1544</v>
      </c>
      <c r="AE99" t="s">
        <v>1545</v>
      </c>
      <c r="AF99">
        <v>0</v>
      </c>
      <c r="AG99" t="s">
        <v>1328</v>
      </c>
    </row>
    <row r="100" spans="1:33" x14ac:dyDescent="0.3">
      <c r="A100" t="s">
        <v>1500</v>
      </c>
      <c r="B100" t="s">
        <v>1310</v>
      </c>
      <c r="C100">
        <v>0.3</v>
      </c>
      <c r="D100" t="s">
        <v>1311</v>
      </c>
      <c r="E100" t="s">
        <v>1312</v>
      </c>
      <c r="F100">
        <v>0.15</v>
      </c>
      <c r="G100" t="s">
        <v>1342</v>
      </c>
      <c r="H100" t="s">
        <v>1349</v>
      </c>
      <c r="I100" t="str">
        <f t="shared" si="1"/>
        <v>psar_{'C',  [('delta', 0.3,  -1),  ('delta', 0.15,  2)]}_[21,  49]_4</v>
      </c>
      <c r="J100" t="s">
        <v>1315</v>
      </c>
      <c r="K100">
        <v>136</v>
      </c>
      <c r="L100" t="s">
        <v>1316</v>
      </c>
      <c r="M100">
        <v>52</v>
      </c>
      <c r="N100" t="s">
        <v>1317</v>
      </c>
      <c r="O100">
        <v>-0.58256334977411905</v>
      </c>
      <c r="P100" t="s">
        <v>1318</v>
      </c>
      <c r="Q100">
        <v>-4.2835540424567501E-3</v>
      </c>
      <c r="R100" t="s">
        <v>1319</v>
      </c>
      <c r="S100">
        <v>1.0606634516033</v>
      </c>
      <c r="T100" t="s">
        <v>1320</v>
      </c>
      <c r="U100">
        <v>-0.66353646229935703</v>
      </c>
      <c r="V100" t="s">
        <v>1321</v>
      </c>
      <c r="W100">
        <v>0.223873426636154</v>
      </c>
      <c r="X100" t="s">
        <v>1322</v>
      </c>
      <c r="Y100" t="s">
        <v>1546</v>
      </c>
      <c r="Z100" t="s">
        <v>1368</v>
      </c>
      <c r="AA100">
        <v>0</v>
      </c>
      <c r="AB100" t="s">
        <v>1325</v>
      </c>
      <c r="AC100" t="s">
        <v>1326</v>
      </c>
      <c r="AD100" t="s">
        <v>1546</v>
      </c>
      <c r="AE100" t="s">
        <v>1368</v>
      </c>
      <c r="AF100">
        <v>0</v>
      </c>
      <c r="AG100" t="s">
        <v>1328</v>
      </c>
    </row>
    <row r="101" spans="1:33" x14ac:dyDescent="0.3">
      <c r="A101" t="s">
        <v>1455</v>
      </c>
      <c r="B101" t="s">
        <v>1310</v>
      </c>
      <c r="C101">
        <v>0.4</v>
      </c>
      <c r="D101" t="s">
        <v>1311</v>
      </c>
      <c r="E101" t="s">
        <v>1312</v>
      </c>
      <c r="F101">
        <v>0.2</v>
      </c>
      <c r="G101" t="s">
        <v>1313</v>
      </c>
      <c r="H101" t="s">
        <v>1329</v>
      </c>
      <c r="I101" t="str">
        <f t="shared" si="1"/>
        <v>bbands_{'C',  [('delta', 0.4,  -1),  ('delta', 0.2,  2)]}_[7,  35]_2</v>
      </c>
      <c r="J101" t="s">
        <v>1315</v>
      </c>
      <c r="K101">
        <v>191</v>
      </c>
      <c r="L101" t="s">
        <v>1316</v>
      </c>
      <c r="M101">
        <v>72</v>
      </c>
      <c r="N101" t="s">
        <v>1317</v>
      </c>
      <c r="O101">
        <v>-0.83000000000002705</v>
      </c>
      <c r="P101" t="s">
        <v>1318</v>
      </c>
      <c r="Q101">
        <v>-4.34554973822003E-3</v>
      </c>
      <c r="R101" t="s">
        <v>1319</v>
      </c>
      <c r="S101">
        <v>1.2493055555555499</v>
      </c>
      <c r="T101" t="s">
        <v>1320</v>
      </c>
      <c r="U101">
        <v>-0.76285714285714301</v>
      </c>
      <c r="V101" t="s">
        <v>1321</v>
      </c>
      <c r="W101">
        <v>0.40620820911746203</v>
      </c>
      <c r="X101" t="s">
        <v>1322</v>
      </c>
      <c r="Y101" t="s">
        <v>1456</v>
      </c>
      <c r="Z101" t="s">
        <v>1457</v>
      </c>
      <c r="AA101">
        <v>0</v>
      </c>
      <c r="AB101" t="s">
        <v>1325</v>
      </c>
      <c r="AC101" t="s">
        <v>1326</v>
      </c>
      <c r="AD101" t="s">
        <v>1476</v>
      </c>
      <c r="AE101" t="s">
        <v>1372</v>
      </c>
      <c r="AF101">
        <v>0</v>
      </c>
      <c r="AG101" t="s">
        <v>1328</v>
      </c>
    </row>
    <row r="102" spans="1:33" x14ac:dyDescent="0.3">
      <c r="A102" t="s">
        <v>1309</v>
      </c>
      <c r="B102" t="s">
        <v>1310</v>
      </c>
      <c r="C102">
        <v>0.3</v>
      </c>
      <c r="D102" t="s">
        <v>1311</v>
      </c>
      <c r="E102" t="s">
        <v>1312</v>
      </c>
      <c r="F102">
        <v>0.15</v>
      </c>
      <c r="G102" t="s">
        <v>1342</v>
      </c>
      <c r="H102" t="s">
        <v>1346</v>
      </c>
      <c r="I102" t="str">
        <f t="shared" si="1"/>
        <v>alltime_{'C',  [('delta', 0.3,  -1),  ('delta', 0.15,  2)]}_[21,  49]_2</v>
      </c>
      <c r="J102" t="s">
        <v>1315</v>
      </c>
      <c r="K102">
        <v>3050</v>
      </c>
      <c r="L102" t="s">
        <v>1316</v>
      </c>
      <c r="M102">
        <v>1317</v>
      </c>
      <c r="N102" t="s">
        <v>1317</v>
      </c>
      <c r="O102">
        <v>-1.10384427679231</v>
      </c>
      <c r="P102" t="s">
        <v>1318</v>
      </c>
      <c r="Q102">
        <v>-3.6191615632534898E-4</v>
      </c>
      <c r="R102" t="s">
        <v>1319</v>
      </c>
      <c r="S102">
        <v>0.82918216922001498</v>
      </c>
      <c r="T102" t="s">
        <v>1320</v>
      </c>
      <c r="U102">
        <v>-0.63114131705516396</v>
      </c>
      <c r="V102" t="s">
        <v>1321</v>
      </c>
      <c r="W102">
        <v>1.6936690563599099</v>
      </c>
      <c r="X102" t="s">
        <v>1322</v>
      </c>
      <c r="Y102" t="s">
        <v>1344</v>
      </c>
      <c r="Z102" t="s">
        <v>1331</v>
      </c>
      <c r="AA102">
        <v>0</v>
      </c>
      <c r="AB102" t="s">
        <v>1325</v>
      </c>
      <c r="AC102" t="s">
        <v>1326</v>
      </c>
      <c r="AD102" t="s">
        <v>1418</v>
      </c>
      <c r="AE102" t="s">
        <v>1331</v>
      </c>
      <c r="AF102">
        <v>0</v>
      </c>
      <c r="AG102" t="s">
        <v>1328</v>
      </c>
    </row>
    <row r="103" spans="1:33" x14ac:dyDescent="0.3">
      <c r="A103" t="s">
        <v>1455</v>
      </c>
      <c r="B103" t="s">
        <v>1310</v>
      </c>
      <c r="C103">
        <v>0.5</v>
      </c>
      <c r="D103" t="s">
        <v>1311</v>
      </c>
      <c r="E103" t="s">
        <v>1312</v>
      </c>
      <c r="F103">
        <v>0.3</v>
      </c>
      <c r="G103" t="s">
        <v>1313</v>
      </c>
      <c r="H103" t="s">
        <v>1314</v>
      </c>
      <c r="I103" t="str">
        <f t="shared" si="1"/>
        <v>bbands_{'C',  [('delta', 0.5,  -1),  ('delta', 0.3,  2)]}_[7,  35]_1</v>
      </c>
      <c r="J103" t="s">
        <v>1315</v>
      </c>
      <c r="K103">
        <v>191</v>
      </c>
      <c r="L103" t="s">
        <v>1316</v>
      </c>
      <c r="M103">
        <v>70</v>
      </c>
      <c r="N103" t="s">
        <v>1317</v>
      </c>
      <c r="O103">
        <v>-1.2799999999999701</v>
      </c>
      <c r="P103" t="s">
        <v>1318</v>
      </c>
      <c r="Q103">
        <v>-6.7015706806281498E-3</v>
      </c>
      <c r="R103" t="s">
        <v>1319</v>
      </c>
      <c r="S103">
        <v>1.29771428571428</v>
      </c>
      <c r="T103" t="s">
        <v>1320</v>
      </c>
      <c r="U103">
        <v>-0.76132231404958695</v>
      </c>
      <c r="V103" t="s">
        <v>1321</v>
      </c>
      <c r="W103">
        <v>0.24499468943483299</v>
      </c>
      <c r="X103" t="s">
        <v>1322</v>
      </c>
      <c r="Y103" t="s">
        <v>1456</v>
      </c>
      <c r="Z103" t="s">
        <v>1457</v>
      </c>
      <c r="AA103">
        <v>0</v>
      </c>
      <c r="AB103" t="s">
        <v>1325</v>
      </c>
      <c r="AC103" t="s">
        <v>1326</v>
      </c>
      <c r="AD103" t="s">
        <v>1458</v>
      </c>
      <c r="AE103" t="s">
        <v>1457</v>
      </c>
      <c r="AF103">
        <v>0</v>
      </c>
      <c r="AG103" t="s">
        <v>1328</v>
      </c>
    </row>
    <row r="104" spans="1:33" x14ac:dyDescent="0.3">
      <c r="A104" t="s">
        <v>1559</v>
      </c>
      <c r="B104" t="s">
        <v>1310</v>
      </c>
      <c r="C104">
        <v>0.5</v>
      </c>
      <c r="D104" t="s">
        <v>1311</v>
      </c>
      <c r="E104" t="s">
        <v>1312</v>
      </c>
      <c r="F104">
        <v>0.3</v>
      </c>
      <c r="G104" t="s">
        <v>1313</v>
      </c>
      <c r="H104" t="s">
        <v>1314</v>
      </c>
      <c r="I104" t="str">
        <f t="shared" si="1"/>
        <v>rsi_{'C',  [('delta', 0.5,  -1),  ('delta', 0.3,  2)]}_[7,  35]_1</v>
      </c>
      <c r="J104" t="s">
        <v>1315</v>
      </c>
      <c r="K104">
        <v>35</v>
      </c>
      <c r="L104" t="s">
        <v>1316</v>
      </c>
      <c r="M104">
        <v>13</v>
      </c>
      <c r="N104" t="s">
        <v>1317</v>
      </c>
      <c r="O104">
        <v>-1.51999999999998</v>
      </c>
      <c r="P104" t="s">
        <v>1318</v>
      </c>
      <c r="Q104">
        <v>-4.3428571428570997E-2</v>
      </c>
      <c r="R104" t="s">
        <v>1319</v>
      </c>
      <c r="S104">
        <v>1.2630769230769201</v>
      </c>
      <c r="T104" t="s">
        <v>1320</v>
      </c>
      <c r="U104">
        <v>-0.81545454545454499</v>
      </c>
      <c r="V104" t="s">
        <v>1321</v>
      </c>
      <c r="W104">
        <v>7.86084088164659E-2</v>
      </c>
      <c r="X104" t="s">
        <v>1322</v>
      </c>
      <c r="Y104" t="s">
        <v>1323</v>
      </c>
      <c r="Z104" t="s">
        <v>1324</v>
      </c>
      <c r="AA104">
        <v>0</v>
      </c>
      <c r="AB104" t="s">
        <v>1325</v>
      </c>
      <c r="AC104" t="s">
        <v>1326</v>
      </c>
      <c r="AD104" t="s">
        <v>1323</v>
      </c>
      <c r="AE104" t="s">
        <v>1324</v>
      </c>
      <c r="AF104">
        <v>0</v>
      </c>
      <c r="AG104" t="s">
        <v>1328</v>
      </c>
    </row>
    <row r="105" spans="1:33" x14ac:dyDescent="0.3">
      <c r="A105" t="s">
        <v>1500</v>
      </c>
      <c r="B105" t="s">
        <v>1310</v>
      </c>
      <c r="C105">
        <v>0.4</v>
      </c>
      <c r="D105" t="s">
        <v>1311</v>
      </c>
      <c r="E105" t="s">
        <v>1312</v>
      </c>
      <c r="F105">
        <v>0.2</v>
      </c>
      <c r="G105" t="s">
        <v>1342</v>
      </c>
      <c r="H105" t="s">
        <v>1346</v>
      </c>
      <c r="I105" t="str">
        <f t="shared" si="1"/>
        <v>psar_{'C',  [('delta', 0.4,  -1),  ('delta', 0.2,  2)]}_[21,  49]_2</v>
      </c>
      <c r="J105" t="s">
        <v>1315</v>
      </c>
      <c r="K105">
        <v>136</v>
      </c>
      <c r="L105" t="s">
        <v>1316</v>
      </c>
      <c r="M105">
        <v>47</v>
      </c>
      <c r="N105" t="s">
        <v>1317</v>
      </c>
      <c r="O105">
        <v>-1.54714006342345</v>
      </c>
      <c r="P105" t="s">
        <v>1318</v>
      </c>
      <c r="Q105">
        <v>-1.13760298781136E-2</v>
      </c>
      <c r="R105" t="s">
        <v>1319</v>
      </c>
      <c r="S105">
        <v>1.3026140412037499</v>
      </c>
      <c r="T105" t="s">
        <v>1320</v>
      </c>
      <c r="U105">
        <v>-0.70528089887640399</v>
      </c>
      <c r="V105" t="s">
        <v>1321</v>
      </c>
      <c r="W105">
        <v>0.231118997494732</v>
      </c>
      <c r="X105" t="s">
        <v>1322</v>
      </c>
      <c r="Y105" t="s">
        <v>1367</v>
      </c>
      <c r="Z105" t="s">
        <v>1368</v>
      </c>
      <c r="AA105">
        <v>0</v>
      </c>
      <c r="AB105" t="s">
        <v>1325</v>
      </c>
      <c r="AC105" t="s">
        <v>1326</v>
      </c>
      <c r="AD105" t="s">
        <v>1367</v>
      </c>
      <c r="AE105" t="s">
        <v>1368</v>
      </c>
      <c r="AF105">
        <v>0</v>
      </c>
      <c r="AG105" t="s">
        <v>1328</v>
      </c>
    </row>
    <row r="106" spans="1:33" x14ac:dyDescent="0.3">
      <c r="A106" t="s">
        <v>1500</v>
      </c>
      <c r="B106" t="s">
        <v>1310</v>
      </c>
      <c r="C106">
        <v>0.3</v>
      </c>
      <c r="D106" t="s">
        <v>1311</v>
      </c>
      <c r="E106" t="s">
        <v>1312</v>
      </c>
      <c r="F106">
        <v>0.15</v>
      </c>
      <c r="G106" t="s">
        <v>1381</v>
      </c>
      <c r="H106" t="s">
        <v>1329</v>
      </c>
      <c r="I106" t="str">
        <f t="shared" si="1"/>
        <v>psar_{'C',  [('delta', 0.3,  -1),  ('delta', 0.15,  3)]}_[7,  35]_2</v>
      </c>
      <c r="J106" t="s">
        <v>1315</v>
      </c>
      <c r="K106">
        <v>140</v>
      </c>
      <c r="L106" t="s">
        <v>1316</v>
      </c>
      <c r="M106">
        <v>40</v>
      </c>
      <c r="N106" t="s">
        <v>1317</v>
      </c>
      <c r="O106">
        <v>-1.80157471260461</v>
      </c>
      <c r="P106" t="s">
        <v>1318</v>
      </c>
      <c r="Q106">
        <v>-1.28683908043186E-2</v>
      </c>
      <c r="R106" t="s">
        <v>1319</v>
      </c>
      <c r="S106">
        <v>1.37</v>
      </c>
      <c r="T106" t="s">
        <v>1320</v>
      </c>
      <c r="U106">
        <v>-0.56601574712604596</v>
      </c>
      <c r="V106" t="s">
        <v>1321</v>
      </c>
      <c r="W106">
        <v>0.28236572238333901</v>
      </c>
      <c r="X106" t="s">
        <v>1322</v>
      </c>
      <c r="Y106" t="s">
        <v>1550</v>
      </c>
      <c r="Z106" t="s">
        <v>1551</v>
      </c>
      <c r="AA106">
        <v>0</v>
      </c>
      <c r="AB106" t="s">
        <v>1325</v>
      </c>
      <c r="AC106" t="s">
        <v>1326</v>
      </c>
      <c r="AD106" t="s">
        <v>1550</v>
      </c>
      <c r="AE106" t="s">
        <v>1551</v>
      </c>
      <c r="AF106">
        <v>0</v>
      </c>
      <c r="AG106" t="s">
        <v>1328</v>
      </c>
    </row>
    <row r="107" spans="1:33" x14ac:dyDescent="0.3">
      <c r="A107" t="s">
        <v>1455</v>
      </c>
      <c r="B107" t="s">
        <v>1310</v>
      </c>
      <c r="C107">
        <v>0.3</v>
      </c>
      <c r="D107" t="s">
        <v>1311</v>
      </c>
      <c r="E107" t="s">
        <v>1312</v>
      </c>
      <c r="F107">
        <v>0.15</v>
      </c>
      <c r="G107" t="s">
        <v>1351</v>
      </c>
      <c r="H107" t="s">
        <v>1360</v>
      </c>
      <c r="I107" t="str">
        <f t="shared" si="1"/>
        <v>bbands_{'C',  [('delta', 0.3,  -1),  ('delta', 0.15,  2)]}_[35,  70]_5</v>
      </c>
      <c r="J107" t="s">
        <v>1315</v>
      </c>
      <c r="K107">
        <v>247</v>
      </c>
      <c r="L107" t="s">
        <v>1316</v>
      </c>
      <c r="M107">
        <v>84</v>
      </c>
      <c r="N107" t="s">
        <v>1317</v>
      </c>
      <c r="O107">
        <v>-1.9796625229099101</v>
      </c>
      <c r="P107" t="s">
        <v>1318</v>
      </c>
      <c r="Q107">
        <v>-8.0148280279753702E-3</v>
      </c>
      <c r="R107" t="s">
        <v>1319</v>
      </c>
      <c r="S107">
        <v>1.3100469127555201</v>
      </c>
      <c r="T107" t="s">
        <v>1320</v>
      </c>
      <c r="U107">
        <v>-0.68726136929063697</v>
      </c>
      <c r="V107" t="s">
        <v>1321</v>
      </c>
      <c r="W107">
        <v>0.37438179860696802</v>
      </c>
      <c r="X107" t="s">
        <v>1322</v>
      </c>
      <c r="Y107" t="s">
        <v>1344</v>
      </c>
      <c r="Z107" t="s">
        <v>1331</v>
      </c>
      <c r="AA107">
        <v>0</v>
      </c>
      <c r="AB107" t="s">
        <v>1325</v>
      </c>
      <c r="AC107" t="s">
        <v>1326</v>
      </c>
      <c r="AD107" t="s">
        <v>1344</v>
      </c>
      <c r="AE107" t="s">
        <v>1331</v>
      </c>
      <c r="AF107">
        <v>0</v>
      </c>
      <c r="AG107" t="s">
        <v>1328</v>
      </c>
    </row>
    <row r="108" spans="1:33" x14ac:dyDescent="0.3">
      <c r="A108" t="s">
        <v>1500</v>
      </c>
      <c r="B108" t="s">
        <v>1310</v>
      </c>
      <c r="C108">
        <v>0.3</v>
      </c>
      <c r="D108" t="s">
        <v>1311</v>
      </c>
      <c r="E108" t="s">
        <v>1312</v>
      </c>
      <c r="F108">
        <v>0.15</v>
      </c>
      <c r="G108" t="s">
        <v>1381</v>
      </c>
      <c r="H108" t="s">
        <v>1333</v>
      </c>
      <c r="I108" t="str">
        <f t="shared" si="1"/>
        <v>psar_{'C',  [('delta', 0.3,  -1),  ('delta', 0.15,  3)]}_[7,  35]_3</v>
      </c>
      <c r="J108" t="s">
        <v>1315</v>
      </c>
      <c r="K108">
        <v>140</v>
      </c>
      <c r="L108" t="s">
        <v>1316</v>
      </c>
      <c r="M108">
        <v>36</v>
      </c>
      <c r="N108" t="s">
        <v>1317</v>
      </c>
      <c r="O108">
        <v>-2.0215747126046102</v>
      </c>
      <c r="P108" t="s">
        <v>1318</v>
      </c>
      <c r="Q108">
        <v>-1.44398193757472E-2</v>
      </c>
      <c r="R108" t="s">
        <v>1319</v>
      </c>
      <c r="S108">
        <v>1.61527777777777</v>
      </c>
      <c r="T108" t="s">
        <v>1320</v>
      </c>
      <c r="U108">
        <v>-0.57857283377504398</v>
      </c>
      <c r="V108" t="s">
        <v>1321</v>
      </c>
      <c r="W108">
        <v>0.32204101689222098</v>
      </c>
      <c r="X108" t="s">
        <v>1322</v>
      </c>
      <c r="Y108" t="s">
        <v>1552</v>
      </c>
      <c r="Z108" t="s">
        <v>1341</v>
      </c>
      <c r="AA108">
        <v>0</v>
      </c>
      <c r="AB108" t="s">
        <v>1325</v>
      </c>
      <c r="AC108" t="s">
        <v>1326</v>
      </c>
      <c r="AD108" t="s">
        <v>1552</v>
      </c>
      <c r="AE108" t="s">
        <v>1341</v>
      </c>
      <c r="AF108">
        <v>0</v>
      </c>
      <c r="AG108" t="s">
        <v>1328</v>
      </c>
    </row>
    <row r="109" spans="1:33" x14ac:dyDescent="0.3">
      <c r="A109" t="s">
        <v>1604</v>
      </c>
      <c r="B109" t="s">
        <v>1310</v>
      </c>
      <c r="C109">
        <v>0.4</v>
      </c>
      <c r="D109" t="s">
        <v>1311</v>
      </c>
      <c r="E109" t="s">
        <v>1312</v>
      </c>
      <c r="F109">
        <v>0.2</v>
      </c>
      <c r="G109" t="s">
        <v>1392</v>
      </c>
      <c r="H109" t="s">
        <v>1343</v>
      </c>
      <c r="I109" t="str">
        <f t="shared" si="1"/>
        <v>stoch_{'C',  [('delta', 0.4,  -1),  ('delta', 0.2,  3)]}_[21,  49]_1</v>
      </c>
      <c r="J109" t="s">
        <v>1315</v>
      </c>
      <c r="K109">
        <v>230</v>
      </c>
      <c r="L109" t="s">
        <v>1316</v>
      </c>
      <c r="M109">
        <v>66</v>
      </c>
      <c r="N109" t="s">
        <v>1317</v>
      </c>
      <c r="O109">
        <v>-2.22999999999998</v>
      </c>
      <c r="P109" t="s">
        <v>1318</v>
      </c>
      <c r="Q109">
        <v>-9.6956521739129699E-3</v>
      </c>
      <c r="R109" t="s">
        <v>1319</v>
      </c>
      <c r="S109">
        <v>1.72166666666666</v>
      </c>
      <c r="T109" t="s">
        <v>1320</v>
      </c>
      <c r="U109">
        <v>-0.70646341463414497</v>
      </c>
      <c r="V109" t="s">
        <v>1321</v>
      </c>
      <c r="W109">
        <v>0.32990859507381898</v>
      </c>
      <c r="X109" t="s">
        <v>1322</v>
      </c>
      <c r="Y109" t="s">
        <v>1483</v>
      </c>
      <c r="Z109" t="s">
        <v>1435</v>
      </c>
      <c r="AA109">
        <v>0</v>
      </c>
      <c r="AB109" t="s">
        <v>1325</v>
      </c>
      <c r="AC109" t="s">
        <v>1326</v>
      </c>
      <c r="AD109" t="s">
        <v>1483</v>
      </c>
      <c r="AE109" t="s">
        <v>1435</v>
      </c>
      <c r="AF109">
        <v>0</v>
      </c>
      <c r="AG109" t="s">
        <v>1328</v>
      </c>
    </row>
    <row r="110" spans="1:33" x14ac:dyDescent="0.3">
      <c r="A110" t="s">
        <v>1455</v>
      </c>
      <c r="B110" t="s">
        <v>1310</v>
      </c>
      <c r="C110">
        <v>0.3</v>
      </c>
      <c r="D110" t="s">
        <v>1311</v>
      </c>
      <c r="E110" t="s">
        <v>1312</v>
      </c>
      <c r="F110">
        <v>0.15</v>
      </c>
      <c r="G110" t="s">
        <v>1313</v>
      </c>
      <c r="H110" t="s">
        <v>1336</v>
      </c>
      <c r="I110" t="str">
        <f t="shared" si="1"/>
        <v>bbands_{'C',  [('delta', 0.3,  -1),  ('delta', 0.15,  2)]}_[7,  35]_4</v>
      </c>
      <c r="J110" t="s">
        <v>1315</v>
      </c>
      <c r="K110">
        <v>191</v>
      </c>
      <c r="L110" t="s">
        <v>1316</v>
      </c>
      <c r="M110">
        <v>74</v>
      </c>
      <c r="N110" t="s">
        <v>1317</v>
      </c>
      <c r="O110">
        <v>-2.6199999999999899</v>
      </c>
      <c r="P110" t="s">
        <v>1318</v>
      </c>
      <c r="Q110">
        <v>-1.37172774869109E-2</v>
      </c>
      <c r="R110" t="s">
        <v>1319</v>
      </c>
      <c r="S110">
        <v>0.98108108108108105</v>
      </c>
      <c r="T110" t="s">
        <v>1320</v>
      </c>
      <c r="U110">
        <v>-0.64844827586206899</v>
      </c>
      <c r="V110" t="s">
        <v>1321</v>
      </c>
      <c r="W110">
        <v>0.34341723354977299</v>
      </c>
      <c r="X110" t="s">
        <v>1322</v>
      </c>
      <c r="Y110" t="s">
        <v>1489</v>
      </c>
      <c r="Z110" t="s">
        <v>1372</v>
      </c>
      <c r="AA110">
        <v>0</v>
      </c>
      <c r="AB110" t="s">
        <v>1325</v>
      </c>
      <c r="AC110" t="s">
        <v>1326</v>
      </c>
      <c r="AD110" t="s">
        <v>1490</v>
      </c>
      <c r="AE110" t="s">
        <v>1372</v>
      </c>
      <c r="AF110">
        <v>0</v>
      </c>
      <c r="AG110" t="s">
        <v>1328</v>
      </c>
    </row>
    <row r="111" spans="1:33" x14ac:dyDescent="0.3">
      <c r="A111" t="s">
        <v>1500</v>
      </c>
      <c r="B111" t="s">
        <v>1310</v>
      </c>
      <c r="C111">
        <v>0.3</v>
      </c>
      <c r="D111" t="s">
        <v>1311</v>
      </c>
      <c r="E111" t="s">
        <v>1312</v>
      </c>
      <c r="F111">
        <v>0.15</v>
      </c>
      <c r="G111" t="s">
        <v>1392</v>
      </c>
      <c r="H111" t="s">
        <v>1343</v>
      </c>
      <c r="I111" t="str">
        <f t="shared" si="1"/>
        <v>psar_{'C',  [('delta', 0.3,  -1),  ('delta', 0.15,  3)]}_[21,  49]_1</v>
      </c>
      <c r="J111" t="s">
        <v>1315</v>
      </c>
      <c r="K111">
        <v>136</v>
      </c>
      <c r="L111" t="s">
        <v>1316</v>
      </c>
      <c r="M111">
        <v>42</v>
      </c>
      <c r="N111" t="s">
        <v>1317</v>
      </c>
      <c r="O111">
        <v>-2.8739335646043598</v>
      </c>
      <c r="P111" t="s">
        <v>1318</v>
      </c>
      <c r="Q111">
        <v>-2.1131864445620301E-2</v>
      </c>
      <c r="R111" t="s">
        <v>1319</v>
      </c>
      <c r="S111">
        <v>1.28547619047619</v>
      </c>
      <c r="T111" t="s">
        <v>1320</v>
      </c>
      <c r="U111">
        <v>-0.60493546345323801</v>
      </c>
      <c r="V111" t="s">
        <v>1321</v>
      </c>
      <c r="W111">
        <v>0.21068416269114901</v>
      </c>
      <c r="X111" t="s">
        <v>1322</v>
      </c>
      <c r="Y111" t="s">
        <v>1553</v>
      </c>
      <c r="Z111" t="s">
        <v>1368</v>
      </c>
      <c r="AA111">
        <v>0</v>
      </c>
      <c r="AB111" t="s">
        <v>1325</v>
      </c>
      <c r="AC111" t="s">
        <v>1326</v>
      </c>
      <c r="AD111" t="s">
        <v>1553</v>
      </c>
      <c r="AE111" t="s">
        <v>1368</v>
      </c>
      <c r="AF111">
        <v>0</v>
      </c>
      <c r="AG111" t="s">
        <v>1328</v>
      </c>
    </row>
    <row r="112" spans="1:33" x14ac:dyDescent="0.3">
      <c r="A112" t="s">
        <v>1500</v>
      </c>
      <c r="B112" t="s">
        <v>1310</v>
      </c>
      <c r="C112">
        <v>0.5</v>
      </c>
      <c r="D112" t="s">
        <v>1311</v>
      </c>
      <c r="E112" t="s">
        <v>1312</v>
      </c>
      <c r="F112">
        <v>0.3</v>
      </c>
      <c r="G112" t="s">
        <v>1313</v>
      </c>
      <c r="H112" t="s">
        <v>1329</v>
      </c>
      <c r="I112" t="str">
        <f t="shared" si="1"/>
        <v>psar_{'C',  [('delta', 0.5,  -1),  ('delta', 0.3,  2)]}_[7,  35]_2</v>
      </c>
      <c r="J112" t="s">
        <v>1315</v>
      </c>
      <c r="K112">
        <v>140</v>
      </c>
      <c r="L112" t="s">
        <v>1316</v>
      </c>
      <c r="M112">
        <v>46</v>
      </c>
      <c r="N112" t="s">
        <v>1317</v>
      </c>
      <c r="O112">
        <v>-3.2599999999999398</v>
      </c>
      <c r="P112" t="s">
        <v>1318</v>
      </c>
      <c r="Q112">
        <v>-2.3285714285713799E-2</v>
      </c>
      <c r="R112" t="s">
        <v>1319</v>
      </c>
      <c r="S112">
        <v>1.32108695652173</v>
      </c>
      <c r="T112" t="s">
        <v>1320</v>
      </c>
      <c r="U112">
        <v>-0.68117021276595702</v>
      </c>
      <c r="V112" t="s">
        <v>1321</v>
      </c>
      <c r="W112">
        <v>0.250494852185356</v>
      </c>
      <c r="X112" t="s">
        <v>1322</v>
      </c>
      <c r="Y112" t="s">
        <v>1323</v>
      </c>
      <c r="Z112" t="s">
        <v>1324</v>
      </c>
      <c r="AA112">
        <v>0</v>
      </c>
      <c r="AB112" t="s">
        <v>1325</v>
      </c>
      <c r="AC112" t="s">
        <v>1326</v>
      </c>
      <c r="AD112" t="s">
        <v>1323</v>
      </c>
      <c r="AE112" t="s">
        <v>1324</v>
      </c>
      <c r="AF112">
        <v>0</v>
      </c>
      <c r="AG112" t="s">
        <v>1328</v>
      </c>
    </row>
    <row r="113" spans="1:33" x14ac:dyDescent="0.3">
      <c r="A113" t="s">
        <v>1604</v>
      </c>
      <c r="B113" t="s">
        <v>1310</v>
      </c>
      <c r="C113">
        <v>0.4</v>
      </c>
      <c r="D113" t="s">
        <v>1311</v>
      </c>
      <c r="E113" t="s">
        <v>1312</v>
      </c>
      <c r="F113">
        <v>0.2</v>
      </c>
      <c r="G113" t="s">
        <v>1313</v>
      </c>
      <c r="H113" t="s">
        <v>1329</v>
      </c>
      <c r="I113" t="str">
        <f t="shared" si="1"/>
        <v>stoch_{'C',  [('delta', 0.4,  -1),  ('delta', 0.2,  2)]}_[7,  35]_2</v>
      </c>
      <c r="J113" t="s">
        <v>1315</v>
      </c>
      <c r="K113">
        <v>224</v>
      </c>
      <c r="L113" t="s">
        <v>1316</v>
      </c>
      <c r="M113">
        <v>94</v>
      </c>
      <c r="N113" t="s">
        <v>1317</v>
      </c>
      <c r="O113">
        <v>-3.5599999999999299</v>
      </c>
      <c r="P113" t="s">
        <v>1318</v>
      </c>
      <c r="Q113">
        <v>-1.5892857142856799E-2</v>
      </c>
      <c r="R113" t="s">
        <v>1319</v>
      </c>
      <c r="S113">
        <v>1.06925531914893</v>
      </c>
      <c r="T113" t="s">
        <v>1320</v>
      </c>
      <c r="U113">
        <v>-0.80053846153846098</v>
      </c>
      <c r="V113" t="s">
        <v>1321</v>
      </c>
      <c r="W113">
        <v>0.30639290940736502</v>
      </c>
      <c r="X113" t="s">
        <v>1322</v>
      </c>
      <c r="Y113" t="s">
        <v>1344</v>
      </c>
      <c r="Z113" t="s">
        <v>1331</v>
      </c>
      <c r="AA113">
        <v>0</v>
      </c>
      <c r="AB113" t="s">
        <v>1325</v>
      </c>
      <c r="AC113" t="s">
        <v>1326</v>
      </c>
      <c r="AD113" t="s">
        <v>1344</v>
      </c>
      <c r="AE113" t="s">
        <v>1331</v>
      </c>
      <c r="AF113">
        <v>0</v>
      </c>
      <c r="AG113" t="s">
        <v>1328</v>
      </c>
    </row>
    <row r="114" spans="1:33" x14ac:dyDescent="0.3">
      <c r="A114" t="s">
        <v>1500</v>
      </c>
      <c r="B114" t="s">
        <v>1310</v>
      </c>
      <c r="C114">
        <v>0.5</v>
      </c>
      <c r="D114" t="s">
        <v>1311</v>
      </c>
      <c r="E114" t="s">
        <v>1312</v>
      </c>
      <c r="F114">
        <v>0.3</v>
      </c>
      <c r="G114" t="s">
        <v>1351</v>
      </c>
      <c r="H114" t="s">
        <v>1360</v>
      </c>
      <c r="I114" t="str">
        <f t="shared" si="1"/>
        <v>psar_{'C',  [('delta', 0.5,  -1),  ('delta', 0.3,  2)]}_[35,  70]_5</v>
      </c>
      <c r="J114" t="s">
        <v>1315</v>
      </c>
      <c r="K114">
        <v>177</v>
      </c>
      <c r="L114" t="s">
        <v>1316</v>
      </c>
      <c r="M114">
        <v>28</v>
      </c>
      <c r="N114" t="s">
        <v>1317</v>
      </c>
      <c r="O114">
        <v>-4.2199112973388502</v>
      </c>
      <c r="P114" t="s">
        <v>1318</v>
      </c>
      <c r="Q114">
        <v>-2.3841306764626299E-2</v>
      </c>
      <c r="R114" t="s">
        <v>1319</v>
      </c>
      <c r="S114">
        <v>3.52096874708056</v>
      </c>
      <c r="T114" t="s">
        <v>1320</v>
      </c>
      <c r="U114">
        <v>-0.68998010882949401</v>
      </c>
      <c r="V114" t="s">
        <v>1321</v>
      </c>
      <c r="W114">
        <v>0.47273984239889999</v>
      </c>
      <c r="X114" t="s">
        <v>1322</v>
      </c>
      <c r="Y114" t="s">
        <v>1507</v>
      </c>
      <c r="Z114" t="s">
        <v>1508</v>
      </c>
      <c r="AA114">
        <v>0</v>
      </c>
      <c r="AB114" t="s">
        <v>1325</v>
      </c>
      <c r="AC114" t="s">
        <v>1326</v>
      </c>
      <c r="AD114" t="s">
        <v>1516</v>
      </c>
      <c r="AE114" t="s">
        <v>1515</v>
      </c>
      <c r="AF114">
        <v>0</v>
      </c>
      <c r="AG114" t="s">
        <v>1328</v>
      </c>
    </row>
    <row r="115" spans="1:33" x14ac:dyDescent="0.3">
      <c r="A115" t="s">
        <v>1604</v>
      </c>
      <c r="B115" t="s">
        <v>1310</v>
      </c>
      <c r="C115">
        <v>0.5</v>
      </c>
      <c r="D115" t="s">
        <v>1311</v>
      </c>
      <c r="E115" t="s">
        <v>1312</v>
      </c>
      <c r="F115">
        <v>0.3</v>
      </c>
      <c r="G115" t="s">
        <v>1342</v>
      </c>
      <c r="H115" t="s">
        <v>1343</v>
      </c>
      <c r="I115" t="str">
        <f t="shared" si="1"/>
        <v>stoch_{'C',  [('delta', 0.5,  -1),  ('delta', 0.3,  2)]}_[21,  49]_1</v>
      </c>
      <c r="J115" t="s">
        <v>1315</v>
      </c>
      <c r="K115">
        <v>230</v>
      </c>
      <c r="L115" t="s">
        <v>1316</v>
      </c>
      <c r="M115">
        <v>73</v>
      </c>
      <c r="N115" t="s">
        <v>1317</v>
      </c>
      <c r="O115">
        <v>-4.3795036250547401</v>
      </c>
      <c r="P115" t="s">
        <v>1318</v>
      </c>
      <c r="Q115">
        <v>-1.9041320108933599E-2</v>
      </c>
      <c r="R115" t="s">
        <v>1319</v>
      </c>
      <c r="S115">
        <v>1.3334246575342401</v>
      </c>
      <c r="T115" t="s">
        <v>1320</v>
      </c>
      <c r="U115">
        <v>-0.64789492754811895</v>
      </c>
      <c r="V115" t="s">
        <v>1321</v>
      </c>
      <c r="W115">
        <v>0.29898147432181699</v>
      </c>
      <c r="X115" t="s">
        <v>1322</v>
      </c>
      <c r="Y115" t="s">
        <v>1520</v>
      </c>
      <c r="Z115" t="s">
        <v>1610</v>
      </c>
      <c r="AA115">
        <v>0</v>
      </c>
      <c r="AB115" t="s">
        <v>1325</v>
      </c>
      <c r="AC115" t="s">
        <v>1326</v>
      </c>
      <c r="AD115" t="s">
        <v>1464</v>
      </c>
      <c r="AE115" t="s">
        <v>1435</v>
      </c>
      <c r="AF115">
        <v>0</v>
      </c>
      <c r="AG115" t="s">
        <v>1328</v>
      </c>
    </row>
    <row r="116" spans="1:33" x14ac:dyDescent="0.3">
      <c r="A116" t="s">
        <v>1500</v>
      </c>
      <c r="B116" t="s">
        <v>1310</v>
      </c>
      <c r="C116">
        <v>0.3</v>
      </c>
      <c r="D116" t="s">
        <v>1311</v>
      </c>
      <c r="E116" t="s">
        <v>1312</v>
      </c>
      <c r="F116">
        <v>0.15</v>
      </c>
      <c r="G116" t="s">
        <v>1381</v>
      </c>
      <c r="H116" t="s">
        <v>1314</v>
      </c>
      <c r="I116" t="str">
        <f t="shared" si="1"/>
        <v>psar_{'C',  [('delta', 0.3,  -1),  ('delta', 0.15,  3)]}_[7,  35]_1</v>
      </c>
      <c r="J116" t="s">
        <v>1315</v>
      </c>
      <c r="K116">
        <v>140</v>
      </c>
      <c r="L116" t="s">
        <v>1316</v>
      </c>
      <c r="M116">
        <v>47</v>
      </c>
      <c r="N116" t="s">
        <v>1317</v>
      </c>
      <c r="O116">
        <v>-4.4115747126046596</v>
      </c>
      <c r="P116" t="s">
        <v>1318</v>
      </c>
      <c r="Q116">
        <v>-3.1511247947176101E-2</v>
      </c>
      <c r="R116" t="s">
        <v>1319</v>
      </c>
      <c r="S116">
        <v>0.98723404255319103</v>
      </c>
      <c r="T116" t="s">
        <v>1320</v>
      </c>
      <c r="U116">
        <v>-0.54636101841510298</v>
      </c>
      <c r="V116" t="s">
        <v>1321</v>
      </c>
      <c r="W116">
        <v>0.19221482944983601</v>
      </c>
      <c r="X116" t="s">
        <v>1322</v>
      </c>
      <c r="Y116" t="s">
        <v>1549</v>
      </c>
      <c r="Z116" t="s">
        <v>1480</v>
      </c>
      <c r="AA116">
        <v>0</v>
      </c>
      <c r="AB116" t="s">
        <v>1325</v>
      </c>
      <c r="AC116" t="s">
        <v>1326</v>
      </c>
      <c r="AD116" t="s">
        <v>1549</v>
      </c>
      <c r="AE116" t="s">
        <v>1480</v>
      </c>
      <c r="AF116">
        <v>0</v>
      </c>
      <c r="AG116" t="s">
        <v>1328</v>
      </c>
    </row>
    <row r="117" spans="1:33" x14ac:dyDescent="0.3">
      <c r="A117" t="s">
        <v>1559</v>
      </c>
      <c r="B117" t="s">
        <v>1310</v>
      </c>
      <c r="C117">
        <v>0.5</v>
      </c>
      <c r="D117" t="s">
        <v>1311</v>
      </c>
      <c r="E117" t="s">
        <v>1312</v>
      </c>
      <c r="F117">
        <v>0.3</v>
      </c>
      <c r="G117" t="s">
        <v>1313</v>
      </c>
      <c r="H117" t="s">
        <v>1329</v>
      </c>
      <c r="I117" t="str">
        <f t="shared" si="1"/>
        <v>rsi_{'C',  [('delta', 0.5,  -1),  ('delta', 0.3,  2)]}_[7,  35]_2</v>
      </c>
      <c r="J117" t="s">
        <v>1315</v>
      </c>
      <c r="K117">
        <v>35</v>
      </c>
      <c r="L117" t="s">
        <v>1316</v>
      </c>
      <c r="M117">
        <v>9</v>
      </c>
      <c r="N117" t="s">
        <v>1317</v>
      </c>
      <c r="O117">
        <v>-4.7899999999999601</v>
      </c>
      <c r="P117" t="s">
        <v>1318</v>
      </c>
      <c r="Q117">
        <v>-0.13685714285714101</v>
      </c>
      <c r="R117" t="s">
        <v>1319</v>
      </c>
      <c r="S117">
        <v>1.71</v>
      </c>
      <c r="T117" t="s">
        <v>1320</v>
      </c>
      <c r="U117">
        <v>-0.77615384615384397</v>
      </c>
      <c r="V117" t="s">
        <v>1321</v>
      </c>
      <c r="W117">
        <v>9.7428839805948894E-2</v>
      </c>
      <c r="X117" t="s">
        <v>1322</v>
      </c>
      <c r="Y117" t="s">
        <v>1323</v>
      </c>
      <c r="Z117" t="s">
        <v>1324</v>
      </c>
      <c r="AA117">
        <v>0</v>
      </c>
      <c r="AB117" t="s">
        <v>1325</v>
      </c>
      <c r="AC117" t="s">
        <v>1326</v>
      </c>
      <c r="AD117" t="s">
        <v>1560</v>
      </c>
      <c r="AE117" t="s">
        <v>1324</v>
      </c>
      <c r="AF117">
        <v>0</v>
      </c>
      <c r="AG117" t="s">
        <v>1328</v>
      </c>
    </row>
    <row r="118" spans="1:33" x14ac:dyDescent="0.3">
      <c r="A118" t="s">
        <v>1309</v>
      </c>
      <c r="B118" t="s">
        <v>1310</v>
      </c>
      <c r="C118">
        <v>0.3</v>
      </c>
      <c r="D118" t="s">
        <v>1311</v>
      </c>
      <c r="E118" t="s">
        <v>1312</v>
      </c>
      <c r="F118">
        <v>0.15</v>
      </c>
      <c r="G118" t="s">
        <v>1351</v>
      </c>
      <c r="H118" t="s">
        <v>1360</v>
      </c>
      <c r="I118" t="str">
        <f t="shared" si="1"/>
        <v>alltime_{'C',  [('delta', 0.3,  -1),  ('delta', 0.15,  2)]}_[35,  70]_5</v>
      </c>
      <c r="J118" t="s">
        <v>1315</v>
      </c>
      <c r="K118">
        <v>3810</v>
      </c>
      <c r="L118" t="s">
        <v>1316</v>
      </c>
      <c r="M118">
        <v>1407</v>
      </c>
      <c r="N118" t="s">
        <v>1317</v>
      </c>
      <c r="O118">
        <v>-4.9366611019373199</v>
      </c>
      <c r="P118" t="s">
        <v>1318</v>
      </c>
      <c r="Q118">
        <v>-1.2957115753116301E-3</v>
      </c>
      <c r="R118" t="s">
        <v>1319</v>
      </c>
      <c r="S118">
        <v>1.1149493119279399</v>
      </c>
      <c r="T118" t="s">
        <v>1320</v>
      </c>
      <c r="U118">
        <v>-0.65487737951915503</v>
      </c>
      <c r="V118" t="s">
        <v>1321</v>
      </c>
      <c r="W118">
        <v>2.6596241834724701</v>
      </c>
      <c r="X118" t="s">
        <v>1322</v>
      </c>
      <c r="Y118" t="s">
        <v>1425</v>
      </c>
      <c r="Z118" t="s">
        <v>1341</v>
      </c>
      <c r="AA118">
        <v>0</v>
      </c>
      <c r="AB118" t="s">
        <v>1325</v>
      </c>
      <c r="AC118" t="s">
        <v>1326</v>
      </c>
      <c r="AD118" t="s">
        <v>1423</v>
      </c>
      <c r="AE118" t="s">
        <v>1424</v>
      </c>
      <c r="AF118">
        <v>0</v>
      </c>
      <c r="AG118" t="s">
        <v>1328</v>
      </c>
    </row>
    <row r="119" spans="1:33" x14ac:dyDescent="0.3">
      <c r="A119" t="s">
        <v>1455</v>
      </c>
      <c r="B119" t="s">
        <v>1310</v>
      </c>
      <c r="C119">
        <v>0.4</v>
      </c>
      <c r="D119" t="s">
        <v>1311</v>
      </c>
      <c r="E119" t="s">
        <v>1312</v>
      </c>
      <c r="F119">
        <v>0.2</v>
      </c>
      <c r="G119" t="s">
        <v>1313</v>
      </c>
      <c r="H119" t="s">
        <v>1314</v>
      </c>
      <c r="I119" t="str">
        <f t="shared" si="1"/>
        <v>bbands_{'C',  [('delta', 0.4,  -1),  ('delta', 0.2,  2)]}_[7,  35]_1</v>
      </c>
      <c r="J119" t="s">
        <v>1315</v>
      </c>
      <c r="K119">
        <v>191</v>
      </c>
      <c r="L119" t="s">
        <v>1316</v>
      </c>
      <c r="M119">
        <v>83</v>
      </c>
      <c r="N119" t="s">
        <v>1317</v>
      </c>
      <c r="O119">
        <v>-5.3200000000000101</v>
      </c>
      <c r="P119" t="s">
        <v>1318</v>
      </c>
      <c r="Q119">
        <v>-2.78534031413613E-2</v>
      </c>
      <c r="R119" t="s">
        <v>1319</v>
      </c>
      <c r="S119">
        <v>0.91072289156626496</v>
      </c>
      <c r="T119" t="s">
        <v>1320</v>
      </c>
      <c r="U119">
        <v>-0.74916666666666598</v>
      </c>
      <c r="V119" t="s">
        <v>1321</v>
      </c>
      <c r="W119">
        <v>0.241276330081655</v>
      </c>
      <c r="X119" t="s">
        <v>1322</v>
      </c>
      <c r="Y119" t="s">
        <v>1456</v>
      </c>
      <c r="Z119" t="s">
        <v>1457</v>
      </c>
      <c r="AA119">
        <v>0</v>
      </c>
      <c r="AB119" t="s">
        <v>1325</v>
      </c>
      <c r="AC119" t="s">
        <v>1326</v>
      </c>
      <c r="AD119" t="s">
        <v>1475</v>
      </c>
      <c r="AE119" t="s">
        <v>1416</v>
      </c>
      <c r="AF119">
        <v>0</v>
      </c>
      <c r="AG119" t="s">
        <v>1328</v>
      </c>
    </row>
    <row r="120" spans="1:33" x14ac:dyDescent="0.3">
      <c r="A120" t="s">
        <v>1455</v>
      </c>
      <c r="B120" t="s">
        <v>1310</v>
      </c>
      <c r="C120">
        <v>0.4</v>
      </c>
      <c r="D120" t="s">
        <v>1311</v>
      </c>
      <c r="E120" t="s">
        <v>1312</v>
      </c>
      <c r="F120">
        <v>0.2</v>
      </c>
      <c r="G120" t="s">
        <v>1403</v>
      </c>
      <c r="H120" t="s">
        <v>1360</v>
      </c>
      <c r="I120" t="str">
        <f t="shared" si="1"/>
        <v>bbands_{'C',  [('delta', 0.4,  -1),  ('delta', 0.2,  3)]}_[35,  70]_5</v>
      </c>
      <c r="J120" t="s">
        <v>1315</v>
      </c>
      <c r="K120">
        <v>247</v>
      </c>
      <c r="L120" t="s">
        <v>1316</v>
      </c>
      <c r="M120">
        <v>28</v>
      </c>
      <c r="N120" t="s">
        <v>1317</v>
      </c>
      <c r="O120">
        <v>-5.3476957643038503</v>
      </c>
      <c r="P120" t="s">
        <v>1318</v>
      </c>
      <c r="Q120">
        <v>-2.1650590138882E-2</v>
      </c>
      <c r="R120" t="s">
        <v>1319</v>
      </c>
      <c r="S120">
        <v>6.2069731745230596</v>
      </c>
      <c r="T120" t="s">
        <v>1320</v>
      </c>
      <c r="U120">
        <v>-0.81800431347465496</v>
      </c>
      <c r="V120" t="s">
        <v>1321</v>
      </c>
      <c r="W120">
        <v>0.61494897244463198</v>
      </c>
      <c r="X120" t="s">
        <v>1322</v>
      </c>
      <c r="Y120" t="s">
        <v>1404</v>
      </c>
      <c r="Z120" t="s">
        <v>1372</v>
      </c>
      <c r="AA120">
        <v>0</v>
      </c>
      <c r="AB120" t="s">
        <v>1325</v>
      </c>
      <c r="AC120" t="s">
        <v>1326</v>
      </c>
      <c r="AD120" t="s">
        <v>1488</v>
      </c>
      <c r="AE120" t="s">
        <v>1372</v>
      </c>
      <c r="AF120">
        <v>0</v>
      </c>
      <c r="AG120" t="s">
        <v>1328</v>
      </c>
    </row>
    <row r="121" spans="1:33" x14ac:dyDescent="0.3">
      <c r="A121" t="s">
        <v>1455</v>
      </c>
      <c r="B121" t="s">
        <v>1310</v>
      </c>
      <c r="C121">
        <v>0.3</v>
      </c>
      <c r="D121" t="s">
        <v>1311</v>
      </c>
      <c r="E121" t="s">
        <v>1312</v>
      </c>
      <c r="F121">
        <v>0.15</v>
      </c>
      <c r="G121" t="s">
        <v>1351</v>
      </c>
      <c r="H121" t="s">
        <v>1359</v>
      </c>
      <c r="I121" t="str">
        <f t="shared" si="1"/>
        <v>bbands_{'C',  [('delta', 0.3,  -1),  ('delta', 0.15,  2)]}_[35,  70]_4</v>
      </c>
      <c r="J121" t="s">
        <v>1315</v>
      </c>
      <c r="K121">
        <v>247</v>
      </c>
      <c r="L121" t="s">
        <v>1316</v>
      </c>
      <c r="M121">
        <v>84</v>
      </c>
      <c r="N121" t="s">
        <v>1317</v>
      </c>
      <c r="O121">
        <v>-5.4980211395869496</v>
      </c>
      <c r="P121" t="s">
        <v>1318</v>
      </c>
      <c r="Q121">
        <v>-2.2259194897113099E-2</v>
      </c>
      <c r="R121" t="s">
        <v>1319</v>
      </c>
      <c r="S121">
        <v>1.2681616911284099</v>
      </c>
      <c r="T121" t="s">
        <v>1320</v>
      </c>
      <c r="U121">
        <v>-0.68726136929063697</v>
      </c>
      <c r="V121" t="s">
        <v>1321</v>
      </c>
      <c r="W121">
        <v>0.35741389129013901</v>
      </c>
      <c r="X121" t="s">
        <v>1322</v>
      </c>
      <c r="Y121" t="s">
        <v>1344</v>
      </c>
      <c r="Z121" t="s">
        <v>1331</v>
      </c>
      <c r="AA121">
        <v>0</v>
      </c>
      <c r="AB121" t="s">
        <v>1325</v>
      </c>
      <c r="AC121" t="s">
        <v>1326</v>
      </c>
      <c r="AD121" t="s">
        <v>1344</v>
      </c>
      <c r="AE121" t="s">
        <v>1331</v>
      </c>
      <c r="AF121">
        <v>0</v>
      </c>
      <c r="AG121" t="s">
        <v>1328</v>
      </c>
    </row>
    <row r="122" spans="1:33" x14ac:dyDescent="0.3">
      <c r="A122" t="s">
        <v>1309</v>
      </c>
      <c r="B122" t="s">
        <v>1310</v>
      </c>
      <c r="C122">
        <v>0.3</v>
      </c>
      <c r="D122" t="s">
        <v>1311</v>
      </c>
      <c r="E122" t="s">
        <v>1312</v>
      </c>
      <c r="F122">
        <v>0.15</v>
      </c>
      <c r="G122" t="s">
        <v>1342</v>
      </c>
      <c r="H122" t="s">
        <v>1343</v>
      </c>
      <c r="I122" t="str">
        <f t="shared" si="1"/>
        <v>alltime_{'C',  [('delta', 0.3,  -1),  ('delta', 0.15,  2)]}_[21,  49]_1</v>
      </c>
      <c r="J122" t="s">
        <v>1315</v>
      </c>
      <c r="K122">
        <v>3050</v>
      </c>
      <c r="L122" t="s">
        <v>1316</v>
      </c>
      <c r="M122">
        <v>1394</v>
      </c>
      <c r="N122" t="s">
        <v>1317</v>
      </c>
      <c r="O122">
        <v>-5.6437390055314003</v>
      </c>
      <c r="P122" t="s">
        <v>1318</v>
      </c>
      <c r="Q122">
        <v>-1.8504062313217701E-3</v>
      </c>
      <c r="R122" t="s">
        <v>1319</v>
      </c>
      <c r="S122">
        <v>0.73433076813507803</v>
      </c>
      <c r="T122" t="s">
        <v>1320</v>
      </c>
      <c r="U122">
        <v>-0.62193403612436404</v>
      </c>
      <c r="V122" t="s">
        <v>1321</v>
      </c>
      <c r="W122">
        <v>1.4605172482462001</v>
      </c>
      <c r="X122" t="s">
        <v>1322</v>
      </c>
      <c r="Y122" t="s">
        <v>1344</v>
      </c>
      <c r="Z122" t="s">
        <v>1331</v>
      </c>
      <c r="AA122">
        <v>0</v>
      </c>
      <c r="AB122" t="s">
        <v>1325</v>
      </c>
      <c r="AC122" t="s">
        <v>1326</v>
      </c>
      <c r="AD122" t="s">
        <v>1418</v>
      </c>
      <c r="AE122" t="s">
        <v>1331</v>
      </c>
      <c r="AF122">
        <v>0</v>
      </c>
      <c r="AG122" t="s">
        <v>1328</v>
      </c>
    </row>
    <row r="123" spans="1:33" x14ac:dyDescent="0.3">
      <c r="A123" t="s">
        <v>1559</v>
      </c>
      <c r="B123" t="s">
        <v>1310</v>
      </c>
      <c r="C123">
        <v>0.4</v>
      </c>
      <c r="D123" t="s">
        <v>1311</v>
      </c>
      <c r="E123" t="s">
        <v>1312</v>
      </c>
      <c r="F123">
        <v>0.2</v>
      </c>
      <c r="G123" t="s">
        <v>1313</v>
      </c>
      <c r="H123" t="s">
        <v>1314</v>
      </c>
      <c r="I123" t="str">
        <f t="shared" si="1"/>
        <v>rsi_{'C',  [('delta', 0.4,  -1),  ('delta', 0.2,  2)]}_[7,  35]_1</v>
      </c>
      <c r="J123" t="s">
        <v>1315</v>
      </c>
      <c r="K123">
        <v>35</v>
      </c>
      <c r="L123" t="s">
        <v>1316</v>
      </c>
      <c r="M123">
        <v>11</v>
      </c>
      <c r="N123" t="s">
        <v>1317</v>
      </c>
      <c r="O123">
        <v>-5.8299999999999903</v>
      </c>
      <c r="P123" t="s">
        <v>1318</v>
      </c>
      <c r="Q123">
        <v>-0.16657142857142801</v>
      </c>
      <c r="R123" t="s">
        <v>1319</v>
      </c>
      <c r="S123">
        <v>1.0581818181818099</v>
      </c>
      <c r="T123" t="s">
        <v>1320</v>
      </c>
      <c r="U123">
        <v>-0.72791666666666599</v>
      </c>
      <c r="V123" t="s">
        <v>1321</v>
      </c>
      <c r="W123">
        <v>6.62167124515433E-2</v>
      </c>
      <c r="X123" t="s">
        <v>1322</v>
      </c>
      <c r="Y123" t="s">
        <v>1571</v>
      </c>
      <c r="Z123" t="s">
        <v>1324</v>
      </c>
      <c r="AA123">
        <v>0</v>
      </c>
      <c r="AB123" t="s">
        <v>1325</v>
      </c>
      <c r="AC123" t="s">
        <v>1326</v>
      </c>
      <c r="AD123" t="s">
        <v>1572</v>
      </c>
      <c r="AE123" t="s">
        <v>1573</v>
      </c>
      <c r="AF123">
        <v>0</v>
      </c>
      <c r="AG123" t="s">
        <v>1328</v>
      </c>
    </row>
    <row r="124" spans="1:33" x14ac:dyDescent="0.3">
      <c r="A124" t="s">
        <v>1309</v>
      </c>
      <c r="B124" t="s">
        <v>1310</v>
      </c>
      <c r="C124">
        <v>0.5</v>
      </c>
      <c r="D124" t="s">
        <v>1311</v>
      </c>
      <c r="E124" t="s">
        <v>1312</v>
      </c>
      <c r="F124">
        <v>0.3</v>
      </c>
      <c r="G124" t="s">
        <v>1313</v>
      </c>
      <c r="H124" t="s">
        <v>1314</v>
      </c>
      <c r="I124" t="str">
        <f t="shared" si="1"/>
        <v>alltime_{'C',  [('delta', 0.5,  -1),  ('delta', 0.3,  2)]}_[7,  35]_1</v>
      </c>
      <c r="J124" t="s">
        <v>1315</v>
      </c>
      <c r="K124">
        <v>3073</v>
      </c>
      <c r="L124" t="s">
        <v>1316</v>
      </c>
      <c r="M124">
        <v>1063</v>
      </c>
      <c r="N124" t="s">
        <v>1317</v>
      </c>
      <c r="O124">
        <v>-5.8399999999999297</v>
      </c>
      <c r="P124" t="s">
        <v>1318</v>
      </c>
      <c r="Q124">
        <v>-1.90042303937518E-3</v>
      </c>
      <c r="R124" t="s">
        <v>1319</v>
      </c>
      <c r="S124">
        <v>1.24703668861711</v>
      </c>
      <c r="T124" t="s">
        <v>1320</v>
      </c>
      <c r="U124">
        <v>-0.66240796019899995</v>
      </c>
      <c r="V124" t="s">
        <v>1321</v>
      </c>
      <c r="W124">
        <v>1.73821797065595</v>
      </c>
      <c r="X124" t="s">
        <v>1322</v>
      </c>
      <c r="Y124" t="s">
        <v>1323</v>
      </c>
      <c r="Z124" t="s">
        <v>1324</v>
      </c>
      <c r="AA124">
        <v>0</v>
      </c>
      <c r="AB124" t="s">
        <v>1325</v>
      </c>
      <c r="AC124" t="s">
        <v>1326</v>
      </c>
      <c r="AD124" t="s">
        <v>1327</v>
      </c>
      <c r="AE124" t="s">
        <v>1324</v>
      </c>
      <c r="AF124">
        <v>0</v>
      </c>
      <c r="AG124" t="s">
        <v>1328</v>
      </c>
    </row>
    <row r="125" spans="1:33" x14ac:dyDescent="0.3">
      <c r="A125" t="s">
        <v>1500</v>
      </c>
      <c r="B125" t="s">
        <v>1310</v>
      </c>
      <c r="C125">
        <v>0.4</v>
      </c>
      <c r="D125" t="s">
        <v>1311</v>
      </c>
      <c r="E125" t="s">
        <v>1312</v>
      </c>
      <c r="F125">
        <v>0.2</v>
      </c>
      <c r="G125" t="s">
        <v>1351</v>
      </c>
      <c r="H125" t="s">
        <v>1358</v>
      </c>
      <c r="I125" t="str">
        <f t="shared" si="1"/>
        <v>psar_{'C',  [('delta', 0.4,  -1),  ('delta', 0.2,  2)]}_[35,  70]_3</v>
      </c>
      <c r="J125" t="s">
        <v>1315</v>
      </c>
      <c r="K125">
        <v>177</v>
      </c>
      <c r="L125" t="s">
        <v>1316</v>
      </c>
      <c r="M125">
        <v>51</v>
      </c>
      <c r="N125" t="s">
        <v>1317</v>
      </c>
      <c r="O125">
        <v>-5.8486893112863498</v>
      </c>
      <c r="P125" t="s">
        <v>1318</v>
      </c>
      <c r="Q125">
        <v>-3.3043442436646003E-2</v>
      </c>
      <c r="R125" t="s">
        <v>1319</v>
      </c>
      <c r="S125">
        <v>1.73625213226161</v>
      </c>
      <c r="T125" t="s">
        <v>1320</v>
      </c>
      <c r="U125">
        <v>-0.749186889338324</v>
      </c>
      <c r="V125" t="s">
        <v>1321</v>
      </c>
      <c r="W125">
        <v>0.34367913037407599</v>
      </c>
      <c r="X125" t="s">
        <v>1322</v>
      </c>
      <c r="Y125" t="s">
        <v>1367</v>
      </c>
      <c r="Z125" t="s">
        <v>1368</v>
      </c>
      <c r="AA125">
        <v>0</v>
      </c>
      <c r="AB125" t="s">
        <v>1325</v>
      </c>
      <c r="AC125" t="s">
        <v>1326</v>
      </c>
      <c r="AD125" t="s">
        <v>1367</v>
      </c>
      <c r="AE125" t="s">
        <v>1368</v>
      </c>
      <c r="AF125">
        <v>0</v>
      </c>
      <c r="AG125" t="s">
        <v>1328</v>
      </c>
    </row>
    <row r="126" spans="1:33" x14ac:dyDescent="0.3">
      <c r="A126" t="s">
        <v>1500</v>
      </c>
      <c r="B126" t="s">
        <v>1310</v>
      </c>
      <c r="C126">
        <v>0.3</v>
      </c>
      <c r="D126" t="s">
        <v>1311</v>
      </c>
      <c r="E126" t="s">
        <v>1312</v>
      </c>
      <c r="F126">
        <v>0.15</v>
      </c>
      <c r="G126" t="s">
        <v>1351</v>
      </c>
      <c r="H126" t="s">
        <v>1352</v>
      </c>
      <c r="I126" t="str">
        <f t="shared" si="1"/>
        <v>psar_{'C',  [('delta', 0.3,  -1),  ('delta', 0.15,  2)]}_[35,  70]_1</v>
      </c>
      <c r="J126" t="s">
        <v>1315</v>
      </c>
      <c r="K126">
        <v>177</v>
      </c>
      <c r="L126" t="s">
        <v>1316</v>
      </c>
      <c r="M126">
        <v>78</v>
      </c>
      <c r="N126" t="s">
        <v>1317</v>
      </c>
      <c r="O126">
        <v>-6.0221925597869799</v>
      </c>
      <c r="P126" t="s">
        <v>1318</v>
      </c>
      <c r="Q126">
        <v>-3.4023686778457497E-2</v>
      </c>
      <c r="R126" t="s">
        <v>1319</v>
      </c>
      <c r="S126">
        <v>0.81908934180960602</v>
      </c>
      <c r="T126" t="s">
        <v>1320</v>
      </c>
      <c r="U126">
        <v>-0.70617334566602297</v>
      </c>
      <c r="V126" t="s">
        <v>1321</v>
      </c>
      <c r="W126">
        <v>0.19853375077163599</v>
      </c>
      <c r="X126" t="s">
        <v>1322</v>
      </c>
      <c r="Y126" t="s">
        <v>1547</v>
      </c>
      <c r="Z126" t="s">
        <v>1416</v>
      </c>
      <c r="AA126">
        <v>0</v>
      </c>
      <c r="AB126" t="s">
        <v>1325</v>
      </c>
      <c r="AC126" t="s">
        <v>1326</v>
      </c>
      <c r="AD126" t="s">
        <v>1547</v>
      </c>
      <c r="AE126" t="s">
        <v>1416</v>
      </c>
      <c r="AF126">
        <v>0</v>
      </c>
      <c r="AG126" t="s">
        <v>1328</v>
      </c>
    </row>
    <row r="127" spans="1:33" x14ac:dyDescent="0.3">
      <c r="A127" t="s">
        <v>1559</v>
      </c>
      <c r="B127" t="s">
        <v>1310</v>
      </c>
      <c r="C127">
        <v>0.4</v>
      </c>
      <c r="D127" t="s">
        <v>1311</v>
      </c>
      <c r="E127" t="s">
        <v>1312</v>
      </c>
      <c r="F127">
        <v>0.2</v>
      </c>
      <c r="G127" t="s">
        <v>1351</v>
      </c>
      <c r="H127" t="s">
        <v>1359</v>
      </c>
      <c r="I127" t="str">
        <f t="shared" si="1"/>
        <v>rsi_{'C',  [('delta', 0.4,  -1),  ('delta', 0.2,  2)]}_[35,  70]_4</v>
      </c>
      <c r="J127" t="s">
        <v>1315</v>
      </c>
      <c r="K127">
        <v>40</v>
      </c>
      <c r="L127" t="s">
        <v>1316</v>
      </c>
      <c r="M127">
        <v>7</v>
      </c>
      <c r="N127" t="s">
        <v>1317</v>
      </c>
      <c r="O127">
        <v>-6.3900043973382603</v>
      </c>
      <c r="P127" t="s">
        <v>1318</v>
      </c>
      <c r="Q127">
        <v>-0.15975010993345601</v>
      </c>
      <c r="R127" t="s">
        <v>1319</v>
      </c>
      <c r="S127">
        <v>2.48999999999999</v>
      </c>
      <c r="T127" t="s">
        <v>1320</v>
      </c>
      <c r="U127">
        <v>-0.72181831507085603</v>
      </c>
      <c r="V127" t="s">
        <v>1321</v>
      </c>
      <c r="W127">
        <v>0.11196001651831</v>
      </c>
      <c r="X127" t="s">
        <v>1322</v>
      </c>
      <c r="Y127" t="s">
        <v>1580</v>
      </c>
      <c r="Z127" t="s">
        <v>1416</v>
      </c>
      <c r="AA127">
        <v>0</v>
      </c>
      <c r="AB127" t="s">
        <v>1325</v>
      </c>
      <c r="AC127" t="s">
        <v>1326</v>
      </c>
      <c r="AD127" t="s">
        <v>1581</v>
      </c>
      <c r="AE127" t="s">
        <v>1582</v>
      </c>
      <c r="AF127">
        <v>0</v>
      </c>
      <c r="AG127" t="s">
        <v>1328</v>
      </c>
    </row>
    <row r="128" spans="1:33" x14ac:dyDescent="0.3">
      <c r="A128" t="s">
        <v>1455</v>
      </c>
      <c r="B128" t="s">
        <v>1310</v>
      </c>
      <c r="C128">
        <v>0.5</v>
      </c>
      <c r="D128" t="s">
        <v>1311</v>
      </c>
      <c r="E128" t="s">
        <v>1312</v>
      </c>
      <c r="F128">
        <v>0.3</v>
      </c>
      <c r="G128" t="s">
        <v>1342</v>
      </c>
      <c r="H128" t="s">
        <v>1343</v>
      </c>
      <c r="I128" t="str">
        <f t="shared" si="1"/>
        <v>bbands_{'C',  [('delta', 0.5,  -1),  ('delta', 0.3,  2)]}_[21,  49]_1</v>
      </c>
      <c r="J128" t="s">
        <v>1315</v>
      </c>
      <c r="K128">
        <v>200</v>
      </c>
      <c r="L128" t="s">
        <v>1316</v>
      </c>
      <c r="M128">
        <v>62</v>
      </c>
      <c r="N128" t="s">
        <v>1317</v>
      </c>
      <c r="O128">
        <v>-6.5284321465446196</v>
      </c>
      <c r="P128" t="s">
        <v>1318</v>
      </c>
      <c r="Q128">
        <v>-3.2642160732723101E-2</v>
      </c>
      <c r="R128" t="s">
        <v>1319</v>
      </c>
      <c r="S128">
        <v>1.44163819118476</v>
      </c>
      <c r="T128" t="s">
        <v>1320</v>
      </c>
      <c r="U128">
        <v>-0.69499999999999995</v>
      </c>
      <c r="V128" t="s">
        <v>1321</v>
      </c>
      <c r="W128">
        <v>0.245768285611733</v>
      </c>
      <c r="X128" t="s">
        <v>1322</v>
      </c>
      <c r="Y128" t="s">
        <v>1463</v>
      </c>
      <c r="Z128" t="s">
        <v>1396</v>
      </c>
      <c r="AA128">
        <v>0</v>
      </c>
      <c r="AB128" t="s">
        <v>1325</v>
      </c>
      <c r="AC128" t="s">
        <v>1326</v>
      </c>
      <c r="AD128" t="s">
        <v>1464</v>
      </c>
      <c r="AE128" t="s">
        <v>1435</v>
      </c>
      <c r="AF128">
        <v>0</v>
      </c>
      <c r="AG128" t="s">
        <v>1328</v>
      </c>
    </row>
    <row r="129" spans="1:33" x14ac:dyDescent="0.3">
      <c r="A129" t="s">
        <v>1309</v>
      </c>
      <c r="B129" t="s">
        <v>1310</v>
      </c>
      <c r="C129">
        <v>0.4</v>
      </c>
      <c r="D129" t="s">
        <v>1311</v>
      </c>
      <c r="E129" t="s">
        <v>1312</v>
      </c>
      <c r="F129">
        <v>0.2</v>
      </c>
      <c r="G129" t="s">
        <v>1342</v>
      </c>
      <c r="H129" t="s">
        <v>1349</v>
      </c>
      <c r="I129" t="str">
        <f t="shared" si="1"/>
        <v>alltime_{'C',  [('delta', 0.4,  -1),  ('delta', 0.2,  2)]}_[21,  49]_4</v>
      </c>
      <c r="J129" t="s">
        <v>1315</v>
      </c>
      <c r="K129">
        <v>3050</v>
      </c>
      <c r="L129" t="s">
        <v>1316</v>
      </c>
      <c r="M129">
        <v>1023</v>
      </c>
      <c r="N129" t="s">
        <v>1317</v>
      </c>
      <c r="O129">
        <v>-6.6146215795526997</v>
      </c>
      <c r="P129" t="s">
        <v>1318</v>
      </c>
      <c r="Q129">
        <v>-2.1687283867385899E-3</v>
      </c>
      <c r="R129" t="s">
        <v>1319</v>
      </c>
      <c r="S129">
        <v>1.3718022486520001</v>
      </c>
      <c r="T129" t="s">
        <v>1320</v>
      </c>
      <c r="U129">
        <v>-0.69559364674422397</v>
      </c>
      <c r="V129" t="s">
        <v>1321</v>
      </c>
      <c r="W129">
        <v>2.3615544224415101</v>
      </c>
      <c r="X129" t="s">
        <v>1322</v>
      </c>
      <c r="Y129" t="s">
        <v>1330</v>
      </c>
      <c r="Z129" t="s">
        <v>1331</v>
      </c>
      <c r="AA129">
        <v>0</v>
      </c>
      <c r="AB129" t="s">
        <v>1325</v>
      </c>
      <c r="AC129" t="s">
        <v>1326</v>
      </c>
      <c r="AD129" t="s">
        <v>1370</v>
      </c>
      <c r="AE129" t="s">
        <v>1331</v>
      </c>
      <c r="AF129">
        <v>0</v>
      </c>
      <c r="AG129" t="s">
        <v>1328</v>
      </c>
    </row>
    <row r="130" spans="1:33" x14ac:dyDescent="0.3">
      <c r="A130" t="s">
        <v>1500</v>
      </c>
      <c r="B130" t="s">
        <v>1310</v>
      </c>
      <c r="C130">
        <v>0.3</v>
      </c>
      <c r="D130" t="s">
        <v>1311</v>
      </c>
      <c r="E130" t="s">
        <v>1312</v>
      </c>
      <c r="F130">
        <v>0.15</v>
      </c>
      <c r="G130" t="s">
        <v>1403</v>
      </c>
      <c r="H130" t="s">
        <v>1352</v>
      </c>
      <c r="I130" t="str">
        <f t="shared" si="1"/>
        <v>psar_{'C',  [('delta', 0.3,  -1),  ('delta', 0.15,  3)]}_[35,  70]_1</v>
      </c>
      <c r="J130" t="s">
        <v>1315</v>
      </c>
      <c r="K130">
        <v>177</v>
      </c>
      <c r="L130" t="s">
        <v>1316</v>
      </c>
      <c r="M130">
        <v>53</v>
      </c>
      <c r="N130" t="s">
        <v>1317</v>
      </c>
      <c r="O130">
        <v>-6.8030718625315503</v>
      </c>
      <c r="P130" t="s">
        <v>1318</v>
      </c>
      <c r="Q130">
        <v>-3.8435434251590697E-2</v>
      </c>
      <c r="R130" t="s">
        <v>1319</v>
      </c>
      <c r="S130">
        <v>1.41443311222563</v>
      </c>
      <c r="T130" t="s">
        <v>1320</v>
      </c>
      <c r="U130">
        <v>-0.65941957105234095</v>
      </c>
      <c r="V130" t="s">
        <v>1321</v>
      </c>
      <c r="W130">
        <v>0.27619010468108302</v>
      </c>
      <c r="X130" t="s">
        <v>1322</v>
      </c>
      <c r="Y130" t="s">
        <v>1555</v>
      </c>
      <c r="Z130" t="s">
        <v>1556</v>
      </c>
      <c r="AA130">
        <v>0</v>
      </c>
      <c r="AB130" t="s">
        <v>1325</v>
      </c>
      <c r="AC130" t="s">
        <v>1326</v>
      </c>
      <c r="AD130" t="s">
        <v>1555</v>
      </c>
      <c r="AE130" t="s">
        <v>1556</v>
      </c>
      <c r="AF130">
        <v>0</v>
      </c>
      <c r="AG130" t="s">
        <v>1328</v>
      </c>
    </row>
    <row r="131" spans="1:33" x14ac:dyDescent="0.3">
      <c r="A131" t="s">
        <v>1559</v>
      </c>
      <c r="B131" t="s">
        <v>1310</v>
      </c>
      <c r="C131">
        <v>0.3</v>
      </c>
      <c r="D131" t="s">
        <v>1311</v>
      </c>
      <c r="E131" t="s">
        <v>1312</v>
      </c>
      <c r="F131">
        <v>0.15</v>
      </c>
      <c r="G131" t="s">
        <v>1342</v>
      </c>
      <c r="H131" t="s">
        <v>1346</v>
      </c>
      <c r="I131" t="str">
        <f t="shared" ref="I131:I194" si="2">_xlfn.TEXTJOIN(", ", FALSE, A131,B131,C131,D131,E131,F131,G131,H131)</f>
        <v>rsi_{'C',  [('delta', 0.3,  -1),  ('delta', 0.15,  2)]}_[21,  49]_2</v>
      </c>
      <c r="J131" t="s">
        <v>1315</v>
      </c>
      <c r="K131">
        <v>33</v>
      </c>
      <c r="L131" t="s">
        <v>1316</v>
      </c>
      <c r="M131">
        <v>11</v>
      </c>
      <c r="N131" t="s">
        <v>1317</v>
      </c>
      <c r="O131">
        <v>-7.0799999999999796</v>
      </c>
      <c r="P131" t="s">
        <v>1318</v>
      </c>
      <c r="Q131">
        <v>-0.21454545454545401</v>
      </c>
      <c r="R131" t="s">
        <v>1319</v>
      </c>
      <c r="S131">
        <v>0.616363636363638</v>
      </c>
      <c r="T131" t="s">
        <v>1320</v>
      </c>
      <c r="U131">
        <v>-0.63</v>
      </c>
      <c r="V131" t="s">
        <v>1321</v>
      </c>
      <c r="W131">
        <v>5.5891487294537398E-2</v>
      </c>
      <c r="X131" t="s">
        <v>1322</v>
      </c>
      <c r="Y131" t="s">
        <v>1594</v>
      </c>
      <c r="Z131" t="s">
        <v>1480</v>
      </c>
      <c r="AA131">
        <v>0</v>
      </c>
      <c r="AB131" t="s">
        <v>1325</v>
      </c>
      <c r="AC131" t="s">
        <v>1326</v>
      </c>
      <c r="AD131" t="s">
        <v>1595</v>
      </c>
      <c r="AE131" t="s">
        <v>1519</v>
      </c>
      <c r="AF131">
        <v>0</v>
      </c>
      <c r="AG131" t="s">
        <v>1328</v>
      </c>
    </row>
    <row r="132" spans="1:33" x14ac:dyDescent="0.3">
      <c r="A132" t="s">
        <v>1559</v>
      </c>
      <c r="B132" t="s">
        <v>1310</v>
      </c>
      <c r="C132">
        <v>0.3</v>
      </c>
      <c r="D132" t="s">
        <v>1311</v>
      </c>
      <c r="E132" t="s">
        <v>1312</v>
      </c>
      <c r="F132">
        <v>0.15</v>
      </c>
      <c r="G132" t="s">
        <v>1342</v>
      </c>
      <c r="H132" t="s">
        <v>1348</v>
      </c>
      <c r="I132" t="str">
        <f t="shared" si="2"/>
        <v>rsi_{'C',  [('delta', 0.3,  -1),  ('delta', 0.15,  2)]}_[21,  49]_3</v>
      </c>
      <c r="J132" t="s">
        <v>1315</v>
      </c>
      <c r="K132">
        <v>33</v>
      </c>
      <c r="L132" t="s">
        <v>1316</v>
      </c>
      <c r="M132">
        <v>11</v>
      </c>
      <c r="N132" t="s">
        <v>1317</v>
      </c>
      <c r="O132">
        <v>-7.0799999999999796</v>
      </c>
      <c r="P132" t="s">
        <v>1318</v>
      </c>
      <c r="Q132">
        <v>-0.21454545454545401</v>
      </c>
      <c r="R132" t="s">
        <v>1319</v>
      </c>
      <c r="S132">
        <v>0.616363636363638</v>
      </c>
      <c r="T132" t="s">
        <v>1320</v>
      </c>
      <c r="U132">
        <v>-0.63</v>
      </c>
      <c r="V132" t="s">
        <v>1321</v>
      </c>
      <c r="W132">
        <v>5.5891487294537398E-2</v>
      </c>
      <c r="X132" t="s">
        <v>1322</v>
      </c>
      <c r="Y132" t="s">
        <v>1594</v>
      </c>
      <c r="Z132" t="s">
        <v>1480</v>
      </c>
      <c r="AA132">
        <v>0</v>
      </c>
      <c r="AB132" t="s">
        <v>1325</v>
      </c>
      <c r="AC132" t="s">
        <v>1326</v>
      </c>
      <c r="AD132" t="s">
        <v>1595</v>
      </c>
      <c r="AE132" t="s">
        <v>1519</v>
      </c>
      <c r="AF132">
        <v>0</v>
      </c>
      <c r="AG132" t="s">
        <v>1328</v>
      </c>
    </row>
    <row r="133" spans="1:33" x14ac:dyDescent="0.3">
      <c r="A133" t="s">
        <v>1559</v>
      </c>
      <c r="B133" t="s">
        <v>1310</v>
      </c>
      <c r="C133">
        <v>0.3</v>
      </c>
      <c r="D133" t="s">
        <v>1311</v>
      </c>
      <c r="E133" t="s">
        <v>1312</v>
      </c>
      <c r="F133">
        <v>0.15</v>
      </c>
      <c r="G133" t="s">
        <v>1342</v>
      </c>
      <c r="H133" t="s">
        <v>1349</v>
      </c>
      <c r="I133" t="str">
        <f t="shared" si="2"/>
        <v>rsi_{'C',  [('delta', 0.3,  -1),  ('delta', 0.15,  2)]}_[21,  49]_4</v>
      </c>
      <c r="J133" t="s">
        <v>1315</v>
      </c>
      <c r="K133">
        <v>33</v>
      </c>
      <c r="L133" t="s">
        <v>1316</v>
      </c>
      <c r="M133">
        <v>11</v>
      </c>
      <c r="N133" t="s">
        <v>1317</v>
      </c>
      <c r="O133">
        <v>-7.0799999999999796</v>
      </c>
      <c r="P133" t="s">
        <v>1318</v>
      </c>
      <c r="Q133">
        <v>-0.21454545454545401</v>
      </c>
      <c r="R133" t="s">
        <v>1319</v>
      </c>
      <c r="S133">
        <v>0.616363636363638</v>
      </c>
      <c r="T133" t="s">
        <v>1320</v>
      </c>
      <c r="U133">
        <v>-0.63</v>
      </c>
      <c r="V133" t="s">
        <v>1321</v>
      </c>
      <c r="W133">
        <v>5.5891487294537398E-2</v>
      </c>
      <c r="X133" t="s">
        <v>1322</v>
      </c>
      <c r="Y133" t="s">
        <v>1594</v>
      </c>
      <c r="Z133" t="s">
        <v>1480</v>
      </c>
      <c r="AA133">
        <v>0</v>
      </c>
      <c r="AB133" t="s">
        <v>1325</v>
      </c>
      <c r="AC133" t="s">
        <v>1326</v>
      </c>
      <c r="AD133" t="s">
        <v>1595</v>
      </c>
      <c r="AE133" t="s">
        <v>1519</v>
      </c>
      <c r="AF133">
        <v>0</v>
      </c>
      <c r="AG133" t="s">
        <v>1328</v>
      </c>
    </row>
    <row r="134" spans="1:33" x14ac:dyDescent="0.3">
      <c r="A134" t="s">
        <v>1559</v>
      </c>
      <c r="B134" t="s">
        <v>1310</v>
      </c>
      <c r="C134">
        <v>0.3</v>
      </c>
      <c r="D134" t="s">
        <v>1311</v>
      </c>
      <c r="E134" t="s">
        <v>1312</v>
      </c>
      <c r="F134">
        <v>0.15</v>
      </c>
      <c r="G134" t="s">
        <v>1342</v>
      </c>
      <c r="H134" t="s">
        <v>1350</v>
      </c>
      <c r="I134" t="str">
        <f t="shared" si="2"/>
        <v>rsi_{'C',  [('delta', 0.3,  -1),  ('delta', 0.15,  2)]}_[21,  49]_5</v>
      </c>
      <c r="J134" t="s">
        <v>1315</v>
      </c>
      <c r="K134">
        <v>33</v>
      </c>
      <c r="L134" t="s">
        <v>1316</v>
      </c>
      <c r="M134">
        <v>11</v>
      </c>
      <c r="N134" t="s">
        <v>1317</v>
      </c>
      <c r="O134">
        <v>-7.0799999999999796</v>
      </c>
      <c r="P134" t="s">
        <v>1318</v>
      </c>
      <c r="Q134">
        <v>-0.21454545454545401</v>
      </c>
      <c r="R134" t="s">
        <v>1319</v>
      </c>
      <c r="S134">
        <v>0.616363636363638</v>
      </c>
      <c r="T134" t="s">
        <v>1320</v>
      </c>
      <c r="U134">
        <v>-0.63</v>
      </c>
      <c r="V134" t="s">
        <v>1321</v>
      </c>
      <c r="W134">
        <v>5.5891487294537398E-2</v>
      </c>
      <c r="X134" t="s">
        <v>1322</v>
      </c>
      <c r="Y134" t="s">
        <v>1594</v>
      </c>
      <c r="Z134" t="s">
        <v>1480</v>
      </c>
      <c r="AA134">
        <v>0</v>
      </c>
      <c r="AB134" t="s">
        <v>1325</v>
      </c>
      <c r="AC134" t="s">
        <v>1326</v>
      </c>
      <c r="AD134" t="s">
        <v>1595</v>
      </c>
      <c r="AE134" t="s">
        <v>1519</v>
      </c>
      <c r="AF134">
        <v>0</v>
      </c>
      <c r="AG134" t="s">
        <v>1328</v>
      </c>
    </row>
    <row r="135" spans="1:33" x14ac:dyDescent="0.3">
      <c r="A135" t="s">
        <v>1309</v>
      </c>
      <c r="B135" t="s">
        <v>1310</v>
      </c>
      <c r="C135">
        <v>0.5</v>
      </c>
      <c r="D135" t="s">
        <v>1311</v>
      </c>
      <c r="E135" t="s">
        <v>1312</v>
      </c>
      <c r="F135">
        <v>0.3</v>
      </c>
      <c r="G135" t="s">
        <v>1313</v>
      </c>
      <c r="H135" t="s">
        <v>1329</v>
      </c>
      <c r="I135" t="str">
        <f t="shared" si="2"/>
        <v>alltime_{'C',  [('delta', 0.5,  -1),  ('delta', 0.3,  2)]}_[7,  35]_2</v>
      </c>
      <c r="J135" t="s">
        <v>1315</v>
      </c>
      <c r="K135">
        <v>3073</v>
      </c>
      <c r="L135" t="s">
        <v>1316</v>
      </c>
      <c r="M135">
        <v>911</v>
      </c>
      <c r="N135" t="s">
        <v>1317</v>
      </c>
      <c r="O135">
        <v>-7.0800000000000498</v>
      </c>
      <c r="P135" t="s">
        <v>1318</v>
      </c>
      <c r="Q135">
        <v>-2.3039375203384401E-3</v>
      </c>
      <c r="R135" t="s">
        <v>1319</v>
      </c>
      <c r="S135">
        <v>1.6036882546652</v>
      </c>
      <c r="T135" t="s">
        <v>1320</v>
      </c>
      <c r="U135">
        <v>-0.67901942645697899</v>
      </c>
      <c r="V135" t="s">
        <v>1321</v>
      </c>
      <c r="W135">
        <v>2.1987338284364699</v>
      </c>
      <c r="X135" t="s">
        <v>1322</v>
      </c>
      <c r="Y135" t="s">
        <v>1330</v>
      </c>
      <c r="Z135" t="s">
        <v>1331</v>
      </c>
      <c r="AA135">
        <v>0</v>
      </c>
      <c r="AB135" t="s">
        <v>1325</v>
      </c>
      <c r="AC135" t="s">
        <v>1326</v>
      </c>
      <c r="AD135" t="s">
        <v>1332</v>
      </c>
      <c r="AE135" t="s">
        <v>1324</v>
      </c>
      <c r="AF135">
        <v>0</v>
      </c>
      <c r="AG135" t="s">
        <v>1328</v>
      </c>
    </row>
    <row r="136" spans="1:33" x14ac:dyDescent="0.3">
      <c r="A136" t="s">
        <v>1559</v>
      </c>
      <c r="B136" t="s">
        <v>1310</v>
      </c>
      <c r="C136">
        <v>0.3</v>
      </c>
      <c r="D136" t="s">
        <v>1311</v>
      </c>
      <c r="E136" t="s">
        <v>1312</v>
      </c>
      <c r="F136">
        <v>0.15</v>
      </c>
      <c r="G136" t="s">
        <v>1313</v>
      </c>
      <c r="H136" t="s">
        <v>1329</v>
      </c>
      <c r="I136" t="str">
        <f t="shared" si="2"/>
        <v>rsi_{'C',  [('delta', 0.3,  -1),  ('delta', 0.15,  2)]}_[7,  35]_2</v>
      </c>
      <c r="J136" t="s">
        <v>1315</v>
      </c>
      <c r="K136">
        <v>35</v>
      </c>
      <c r="L136" t="s">
        <v>1316</v>
      </c>
      <c r="M136">
        <v>15</v>
      </c>
      <c r="N136" t="s">
        <v>1317</v>
      </c>
      <c r="O136">
        <v>-7.1399999999999801</v>
      </c>
      <c r="P136" t="s">
        <v>1318</v>
      </c>
      <c r="Q136">
        <v>-0.20399999999999899</v>
      </c>
      <c r="R136" t="s">
        <v>1319</v>
      </c>
      <c r="S136">
        <v>0.51533333333333398</v>
      </c>
      <c r="T136" t="s">
        <v>1320</v>
      </c>
      <c r="U136">
        <v>-0.74350000000000005</v>
      </c>
      <c r="V136" t="s">
        <v>1321</v>
      </c>
      <c r="W136">
        <v>5.9779802095954002E-2</v>
      </c>
      <c r="X136" t="s">
        <v>1322</v>
      </c>
      <c r="Y136" t="s">
        <v>1479</v>
      </c>
      <c r="Z136" t="s">
        <v>1480</v>
      </c>
      <c r="AA136">
        <v>0</v>
      </c>
      <c r="AB136" t="s">
        <v>1325</v>
      </c>
      <c r="AC136" t="s">
        <v>1326</v>
      </c>
      <c r="AD136" t="s">
        <v>1479</v>
      </c>
      <c r="AE136" t="s">
        <v>1480</v>
      </c>
      <c r="AF136">
        <v>0</v>
      </c>
      <c r="AG136" t="s">
        <v>1328</v>
      </c>
    </row>
    <row r="137" spans="1:33" x14ac:dyDescent="0.3">
      <c r="A137" t="s">
        <v>1559</v>
      </c>
      <c r="B137" t="s">
        <v>1310</v>
      </c>
      <c r="C137">
        <v>0.3</v>
      </c>
      <c r="D137" t="s">
        <v>1311</v>
      </c>
      <c r="E137" t="s">
        <v>1312</v>
      </c>
      <c r="F137">
        <v>0.15</v>
      </c>
      <c r="G137" t="s">
        <v>1313</v>
      </c>
      <c r="H137" t="s">
        <v>1333</v>
      </c>
      <c r="I137" t="str">
        <f t="shared" si="2"/>
        <v>rsi_{'C',  [('delta', 0.3,  -1),  ('delta', 0.15,  2)]}_[7,  35]_3</v>
      </c>
      <c r="J137" t="s">
        <v>1315</v>
      </c>
      <c r="K137">
        <v>35</v>
      </c>
      <c r="L137" t="s">
        <v>1316</v>
      </c>
      <c r="M137">
        <v>15</v>
      </c>
      <c r="N137" t="s">
        <v>1317</v>
      </c>
      <c r="O137">
        <v>-7.1399999999999801</v>
      </c>
      <c r="P137" t="s">
        <v>1318</v>
      </c>
      <c r="Q137">
        <v>-0.20399999999999899</v>
      </c>
      <c r="R137" t="s">
        <v>1319</v>
      </c>
      <c r="S137">
        <v>0.51533333333333398</v>
      </c>
      <c r="T137" t="s">
        <v>1320</v>
      </c>
      <c r="U137">
        <v>-0.74350000000000005</v>
      </c>
      <c r="V137" t="s">
        <v>1321</v>
      </c>
      <c r="W137">
        <v>5.9779802095954002E-2</v>
      </c>
      <c r="X137" t="s">
        <v>1322</v>
      </c>
      <c r="Y137" t="s">
        <v>1479</v>
      </c>
      <c r="Z137" t="s">
        <v>1480</v>
      </c>
      <c r="AA137">
        <v>0</v>
      </c>
      <c r="AB137" t="s">
        <v>1325</v>
      </c>
      <c r="AC137" t="s">
        <v>1326</v>
      </c>
      <c r="AD137" t="s">
        <v>1479</v>
      </c>
      <c r="AE137" t="s">
        <v>1480</v>
      </c>
      <c r="AF137">
        <v>0</v>
      </c>
      <c r="AG137" t="s">
        <v>1328</v>
      </c>
    </row>
    <row r="138" spans="1:33" x14ac:dyDescent="0.3">
      <c r="A138" t="s">
        <v>1559</v>
      </c>
      <c r="B138" t="s">
        <v>1310</v>
      </c>
      <c r="C138">
        <v>0.3</v>
      </c>
      <c r="D138" t="s">
        <v>1311</v>
      </c>
      <c r="E138" t="s">
        <v>1312</v>
      </c>
      <c r="F138">
        <v>0.15</v>
      </c>
      <c r="G138" t="s">
        <v>1313</v>
      </c>
      <c r="H138" t="s">
        <v>1336</v>
      </c>
      <c r="I138" t="str">
        <f t="shared" si="2"/>
        <v>rsi_{'C',  [('delta', 0.3,  -1),  ('delta', 0.15,  2)]}_[7,  35]_4</v>
      </c>
      <c r="J138" t="s">
        <v>1315</v>
      </c>
      <c r="K138">
        <v>35</v>
      </c>
      <c r="L138" t="s">
        <v>1316</v>
      </c>
      <c r="M138">
        <v>15</v>
      </c>
      <c r="N138" t="s">
        <v>1317</v>
      </c>
      <c r="O138">
        <v>-7.1399999999999801</v>
      </c>
      <c r="P138" t="s">
        <v>1318</v>
      </c>
      <c r="Q138">
        <v>-0.20399999999999899</v>
      </c>
      <c r="R138" t="s">
        <v>1319</v>
      </c>
      <c r="S138">
        <v>0.51533333333333398</v>
      </c>
      <c r="T138" t="s">
        <v>1320</v>
      </c>
      <c r="U138">
        <v>-0.74350000000000005</v>
      </c>
      <c r="V138" t="s">
        <v>1321</v>
      </c>
      <c r="W138">
        <v>5.9779802095954002E-2</v>
      </c>
      <c r="X138" t="s">
        <v>1322</v>
      </c>
      <c r="Y138" t="s">
        <v>1479</v>
      </c>
      <c r="Z138" t="s">
        <v>1480</v>
      </c>
      <c r="AA138">
        <v>0</v>
      </c>
      <c r="AB138" t="s">
        <v>1325</v>
      </c>
      <c r="AC138" t="s">
        <v>1326</v>
      </c>
      <c r="AD138" t="s">
        <v>1479</v>
      </c>
      <c r="AE138" t="s">
        <v>1480</v>
      </c>
      <c r="AF138">
        <v>0</v>
      </c>
      <c r="AG138" t="s">
        <v>1328</v>
      </c>
    </row>
    <row r="139" spans="1:33" x14ac:dyDescent="0.3">
      <c r="A139" t="s">
        <v>1559</v>
      </c>
      <c r="B139" t="s">
        <v>1310</v>
      </c>
      <c r="C139">
        <v>0.3</v>
      </c>
      <c r="D139" t="s">
        <v>1311</v>
      </c>
      <c r="E139" t="s">
        <v>1312</v>
      </c>
      <c r="F139">
        <v>0.15</v>
      </c>
      <c r="G139" t="s">
        <v>1313</v>
      </c>
      <c r="H139" t="s">
        <v>1337</v>
      </c>
      <c r="I139" t="str">
        <f t="shared" si="2"/>
        <v>rsi_{'C',  [('delta', 0.3,  -1),  ('delta', 0.15,  2)]}_[7,  35]_5</v>
      </c>
      <c r="J139" t="s">
        <v>1315</v>
      </c>
      <c r="K139">
        <v>35</v>
      </c>
      <c r="L139" t="s">
        <v>1316</v>
      </c>
      <c r="M139">
        <v>15</v>
      </c>
      <c r="N139" t="s">
        <v>1317</v>
      </c>
      <c r="O139">
        <v>-7.1399999999999801</v>
      </c>
      <c r="P139" t="s">
        <v>1318</v>
      </c>
      <c r="Q139">
        <v>-0.20399999999999899</v>
      </c>
      <c r="R139" t="s">
        <v>1319</v>
      </c>
      <c r="S139">
        <v>0.51533333333333398</v>
      </c>
      <c r="T139" t="s">
        <v>1320</v>
      </c>
      <c r="U139">
        <v>-0.74350000000000005</v>
      </c>
      <c r="V139" t="s">
        <v>1321</v>
      </c>
      <c r="W139">
        <v>5.9779802095954002E-2</v>
      </c>
      <c r="X139" t="s">
        <v>1322</v>
      </c>
      <c r="Y139" t="s">
        <v>1479</v>
      </c>
      <c r="Z139" t="s">
        <v>1480</v>
      </c>
      <c r="AA139">
        <v>0</v>
      </c>
      <c r="AB139" t="s">
        <v>1325</v>
      </c>
      <c r="AC139" t="s">
        <v>1326</v>
      </c>
      <c r="AD139" t="s">
        <v>1479</v>
      </c>
      <c r="AE139" t="s">
        <v>1480</v>
      </c>
      <c r="AF139">
        <v>0</v>
      </c>
      <c r="AG139" t="s">
        <v>1328</v>
      </c>
    </row>
    <row r="140" spans="1:33" x14ac:dyDescent="0.3">
      <c r="A140" t="s">
        <v>1559</v>
      </c>
      <c r="B140" t="s">
        <v>1310</v>
      </c>
      <c r="C140">
        <v>0.3</v>
      </c>
      <c r="D140" t="s">
        <v>1311</v>
      </c>
      <c r="E140" t="s">
        <v>1312</v>
      </c>
      <c r="F140">
        <v>0.15</v>
      </c>
      <c r="G140" t="s">
        <v>1342</v>
      </c>
      <c r="H140" t="s">
        <v>1343</v>
      </c>
      <c r="I140" t="str">
        <f t="shared" si="2"/>
        <v>rsi_{'C',  [('delta', 0.3,  -1),  ('delta', 0.15,  2)]}_[21,  49]_1</v>
      </c>
      <c r="J140" t="s">
        <v>1315</v>
      </c>
      <c r="K140">
        <v>33</v>
      </c>
      <c r="L140" t="s">
        <v>1316</v>
      </c>
      <c r="M140">
        <v>11</v>
      </c>
      <c r="N140" t="s">
        <v>1317</v>
      </c>
      <c r="O140">
        <v>-7.1799999999999802</v>
      </c>
      <c r="P140" t="s">
        <v>1318</v>
      </c>
      <c r="Q140">
        <v>-0.21757575757575701</v>
      </c>
      <c r="R140" t="s">
        <v>1319</v>
      </c>
      <c r="S140">
        <v>0.60727272727272896</v>
      </c>
      <c r="T140" t="s">
        <v>1320</v>
      </c>
      <c r="U140">
        <v>-0.63</v>
      </c>
      <c r="V140" t="s">
        <v>1321</v>
      </c>
      <c r="W140">
        <v>5.5620111450919697E-2</v>
      </c>
      <c r="X140" t="s">
        <v>1322</v>
      </c>
      <c r="Y140" t="s">
        <v>1594</v>
      </c>
      <c r="Z140" t="s">
        <v>1480</v>
      </c>
      <c r="AA140">
        <v>0</v>
      </c>
      <c r="AB140" t="s">
        <v>1325</v>
      </c>
      <c r="AC140" t="s">
        <v>1326</v>
      </c>
      <c r="AD140" t="s">
        <v>1595</v>
      </c>
      <c r="AE140" t="s">
        <v>1519</v>
      </c>
      <c r="AF140">
        <v>0</v>
      </c>
      <c r="AG140" t="s">
        <v>1328</v>
      </c>
    </row>
    <row r="141" spans="1:33" x14ac:dyDescent="0.3">
      <c r="A141" t="s">
        <v>1604</v>
      </c>
      <c r="B141" t="s">
        <v>1310</v>
      </c>
      <c r="C141">
        <v>0.3</v>
      </c>
      <c r="D141" t="s">
        <v>1311</v>
      </c>
      <c r="E141" t="s">
        <v>1312</v>
      </c>
      <c r="F141">
        <v>0.15</v>
      </c>
      <c r="G141" t="s">
        <v>1342</v>
      </c>
      <c r="H141" t="s">
        <v>1343</v>
      </c>
      <c r="I141" t="str">
        <f t="shared" si="2"/>
        <v>stoch_{'C',  [('delta', 0.3,  -1),  ('delta', 0.15,  2)]}_[21,  49]_1</v>
      </c>
      <c r="J141" t="s">
        <v>1315</v>
      </c>
      <c r="K141">
        <v>230</v>
      </c>
      <c r="L141" t="s">
        <v>1316</v>
      </c>
      <c r="M141">
        <v>104</v>
      </c>
      <c r="N141" t="s">
        <v>1317</v>
      </c>
      <c r="O141">
        <v>-7.18999999999994</v>
      </c>
      <c r="P141" t="s">
        <v>1318</v>
      </c>
      <c r="Q141">
        <v>-3.1260869565217099E-2</v>
      </c>
      <c r="R141" t="s">
        <v>1319</v>
      </c>
      <c r="S141">
        <v>0.71057692307692299</v>
      </c>
      <c r="T141" t="s">
        <v>1320</v>
      </c>
      <c r="U141">
        <v>-0.64357142857142802</v>
      </c>
      <c r="V141" t="s">
        <v>1321</v>
      </c>
      <c r="W141">
        <v>0.215934639930672</v>
      </c>
      <c r="X141" t="s">
        <v>1322</v>
      </c>
      <c r="Y141" t="s">
        <v>1546</v>
      </c>
      <c r="Z141" t="s">
        <v>1368</v>
      </c>
      <c r="AA141">
        <v>0</v>
      </c>
      <c r="AB141" t="s">
        <v>1325</v>
      </c>
      <c r="AC141" t="s">
        <v>1326</v>
      </c>
      <c r="AD141" t="s">
        <v>1546</v>
      </c>
      <c r="AE141" t="s">
        <v>1368</v>
      </c>
      <c r="AF141">
        <v>0</v>
      </c>
      <c r="AG141" t="s">
        <v>1328</v>
      </c>
    </row>
    <row r="142" spans="1:33" x14ac:dyDescent="0.3">
      <c r="A142" t="s">
        <v>1559</v>
      </c>
      <c r="B142" t="s">
        <v>1310</v>
      </c>
      <c r="C142">
        <v>0.3</v>
      </c>
      <c r="D142" t="s">
        <v>1311</v>
      </c>
      <c r="E142" t="s">
        <v>1312</v>
      </c>
      <c r="F142">
        <v>0.15</v>
      </c>
      <c r="G142" t="s">
        <v>1313</v>
      </c>
      <c r="H142" t="s">
        <v>1314</v>
      </c>
      <c r="I142" t="str">
        <f t="shared" si="2"/>
        <v>rsi_{'C',  [('delta', 0.3,  -1),  ('delta', 0.15,  2)]}_[7,  35]_1</v>
      </c>
      <c r="J142" t="s">
        <v>1315</v>
      </c>
      <c r="K142">
        <v>35</v>
      </c>
      <c r="L142" t="s">
        <v>1316</v>
      </c>
      <c r="M142">
        <v>15</v>
      </c>
      <c r="N142" t="s">
        <v>1317</v>
      </c>
      <c r="O142">
        <v>-7.2399999999999798</v>
      </c>
      <c r="P142" t="s">
        <v>1318</v>
      </c>
      <c r="Q142">
        <v>-0.20685714285714199</v>
      </c>
      <c r="R142" t="s">
        <v>1319</v>
      </c>
      <c r="S142">
        <v>0.50866666666666704</v>
      </c>
      <c r="T142" t="s">
        <v>1320</v>
      </c>
      <c r="U142">
        <v>-0.74350000000000005</v>
      </c>
      <c r="V142" t="s">
        <v>1321</v>
      </c>
      <c r="W142">
        <v>5.9273145020804302E-2</v>
      </c>
      <c r="X142" t="s">
        <v>1322</v>
      </c>
      <c r="Y142" t="s">
        <v>1479</v>
      </c>
      <c r="Z142" t="s">
        <v>1480</v>
      </c>
      <c r="AA142">
        <v>0</v>
      </c>
      <c r="AB142" t="s">
        <v>1325</v>
      </c>
      <c r="AC142" t="s">
        <v>1326</v>
      </c>
      <c r="AD142" t="s">
        <v>1479</v>
      </c>
      <c r="AE142" t="s">
        <v>1480</v>
      </c>
      <c r="AF142">
        <v>0</v>
      </c>
      <c r="AG142" t="s">
        <v>1328</v>
      </c>
    </row>
    <row r="143" spans="1:33" x14ac:dyDescent="0.3">
      <c r="A143" t="s">
        <v>1500</v>
      </c>
      <c r="B143" t="s">
        <v>1310</v>
      </c>
      <c r="C143">
        <v>0.4</v>
      </c>
      <c r="D143" t="s">
        <v>1311</v>
      </c>
      <c r="E143" t="s">
        <v>1312</v>
      </c>
      <c r="F143">
        <v>0.2</v>
      </c>
      <c r="G143" t="s">
        <v>1342</v>
      </c>
      <c r="H143" t="s">
        <v>1349</v>
      </c>
      <c r="I143" t="str">
        <f t="shared" si="2"/>
        <v>psar_{'C',  [('delta', 0.4,  -1),  ('delta', 0.2,  2)]}_[21,  49]_4</v>
      </c>
      <c r="J143" t="s">
        <v>1315</v>
      </c>
      <c r="K143">
        <v>136</v>
      </c>
      <c r="L143" t="s">
        <v>1316</v>
      </c>
      <c r="M143">
        <v>43</v>
      </c>
      <c r="N143" t="s">
        <v>1317</v>
      </c>
      <c r="O143">
        <v>-7.3471400634234598</v>
      </c>
      <c r="P143" t="s">
        <v>1318</v>
      </c>
      <c r="Q143">
        <v>-5.4023088701642998E-2</v>
      </c>
      <c r="R143" t="s">
        <v>1319</v>
      </c>
      <c r="S143">
        <v>1.3837874403854999</v>
      </c>
      <c r="T143" t="s">
        <v>1320</v>
      </c>
      <c r="U143">
        <v>-0.71881720430107499</v>
      </c>
      <c r="V143" t="s">
        <v>1321</v>
      </c>
      <c r="W143">
        <v>0.26283045949901301</v>
      </c>
      <c r="X143" t="s">
        <v>1322</v>
      </c>
      <c r="Y143" t="s">
        <v>1367</v>
      </c>
      <c r="Z143" t="s">
        <v>1368</v>
      </c>
      <c r="AA143">
        <v>0</v>
      </c>
      <c r="AB143" t="s">
        <v>1325</v>
      </c>
      <c r="AC143" t="s">
        <v>1326</v>
      </c>
      <c r="AD143" t="s">
        <v>1367</v>
      </c>
      <c r="AE143" t="s">
        <v>1368</v>
      </c>
      <c r="AF143">
        <v>0</v>
      </c>
      <c r="AG143" t="s">
        <v>1328</v>
      </c>
    </row>
    <row r="144" spans="1:33" x14ac:dyDescent="0.3">
      <c r="A144" t="s">
        <v>1604</v>
      </c>
      <c r="B144" t="s">
        <v>1310</v>
      </c>
      <c r="C144">
        <v>0.3</v>
      </c>
      <c r="D144" t="s">
        <v>1311</v>
      </c>
      <c r="E144" t="s">
        <v>1312</v>
      </c>
      <c r="F144">
        <v>0.15</v>
      </c>
      <c r="G144" t="s">
        <v>1313</v>
      </c>
      <c r="H144" t="s">
        <v>1314</v>
      </c>
      <c r="I144" t="str">
        <f t="shared" si="2"/>
        <v>stoch_{'C',  [('delta', 0.3,  -1),  ('delta', 0.15,  2)]}_[7,  35]_1</v>
      </c>
      <c r="J144" t="s">
        <v>1315</v>
      </c>
      <c r="K144">
        <v>224</v>
      </c>
      <c r="L144" t="s">
        <v>1316</v>
      </c>
      <c r="M144">
        <v>109</v>
      </c>
      <c r="N144" t="s">
        <v>1317</v>
      </c>
      <c r="O144">
        <v>-7.4199999999999804</v>
      </c>
      <c r="P144" t="s">
        <v>1318</v>
      </c>
      <c r="Q144">
        <v>-3.3124999999999898E-2</v>
      </c>
      <c r="R144" t="s">
        <v>1319</v>
      </c>
      <c r="S144">
        <v>0.59605504587156</v>
      </c>
      <c r="T144" t="s">
        <v>1320</v>
      </c>
      <c r="U144">
        <v>-0.62947826086956504</v>
      </c>
      <c r="V144" t="s">
        <v>1321</v>
      </c>
      <c r="W144">
        <v>0.20122713111755999</v>
      </c>
      <c r="X144" t="s">
        <v>1322</v>
      </c>
      <c r="Y144" t="s">
        <v>1632</v>
      </c>
      <c r="Z144" t="s">
        <v>1331</v>
      </c>
      <c r="AA144">
        <v>0</v>
      </c>
      <c r="AB144" t="s">
        <v>1325</v>
      </c>
      <c r="AC144" t="s">
        <v>1326</v>
      </c>
      <c r="AD144" t="s">
        <v>1633</v>
      </c>
      <c r="AE144" t="s">
        <v>1416</v>
      </c>
      <c r="AF144">
        <v>0</v>
      </c>
      <c r="AG144" t="s">
        <v>1328</v>
      </c>
    </row>
    <row r="145" spans="1:33" x14ac:dyDescent="0.3">
      <c r="A145" t="s">
        <v>1559</v>
      </c>
      <c r="B145" t="s">
        <v>1310</v>
      </c>
      <c r="C145">
        <v>0.3</v>
      </c>
      <c r="D145" t="s">
        <v>1311</v>
      </c>
      <c r="E145" t="s">
        <v>1312</v>
      </c>
      <c r="F145">
        <v>0.15</v>
      </c>
      <c r="G145" t="s">
        <v>1403</v>
      </c>
      <c r="H145" t="s">
        <v>1360</v>
      </c>
      <c r="I145" t="str">
        <f t="shared" si="2"/>
        <v>rsi_{'C',  [('delta', 0.3,  -1),  ('delta', 0.15,  3)]}_[35,  70]_5</v>
      </c>
      <c r="J145" t="s">
        <v>1315</v>
      </c>
      <c r="K145">
        <v>40</v>
      </c>
      <c r="L145" t="s">
        <v>1316</v>
      </c>
      <c r="M145">
        <v>5</v>
      </c>
      <c r="N145" t="s">
        <v>1317</v>
      </c>
      <c r="O145">
        <v>-7.4399999999999897</v>
      </c>
      <c r="P145" t="s">
        <v>1318</v>
      </c>
      <c r="Q145">
        <v>-0.185999999999999</v>
      </c>
      <c r="R145" t="s">
        <v>1319</v>
      </c>
      <c r="S145">
        <v>3.3559999999999999</v>
      </c>
      <c r="T145" t="s">
        <v>1320</v>
      </c>
      <c r="U145">
        <v>-0.69199999999999895</v>
      </c>
      <c r="V145" t="s">
        <v>1321</v>
      </c>
      <c r="W145">
        <v>0.107693975648588</v>
      </c>
      <c r="X145" t="s">
        <v>1322</v>
      </c>
      <c r="Y145" t="s">
        <v>1603</v>
      </c>
      <c r="Z145" t="s">
        <v>1416</v>
      </c>
      <c r="AA145">
        <v>0</v>
      </c>
      <c r="AB145" t="s">
        <v>1325</v>
      </c>
      <c r="AC145" t="s">
        <v>1326</v>
      </c>
      <c r="AD145" t="s">
        <v>1603</v>
      </c>
      <c r="AE145" t="s">
        <v>1416</v>
      </c>
      <c r="AF145">
        <v>0</v>
      </c>
      <c r="AG145" t="s">
        <v>1328</v>
      </c>
    </row>
    <row r="146" spans="1:33" x14ac:dyDescent="0.3">
      <c r="A146" t="s">
        <v>1559</v>
      </c>
      <c r="B146" t="s">
        <v>1310</v>
      </c>
      <c r="C146">
        <v>0.5</v>
      </c>
      <c r="D146" t="s">
        <v>1311</v>
      </c>
      <c r="E146" t="s">
        <v>1312</v>
      </c>
      <c r="F146">
        <v>0.3</v>
      </c>
      <c r="G146" t="s">
        <v>1342</v>
      </c>
      <c r="H146" t="s">
        <v>1343</v>
      </c>
      <c r="I146" t="str">
        <f t="shared" si="2"/>
        <v>rsi_{'C',  [('delta', 0.5,  -1),  ('delta', 0.3,  2)]}_[21,  49]_1</v>
      </c>
      <c r="J146" t="s">
        <v>1315</v>
      </c>
      <c r="K146">
        <v>33</v>
      </c>
      <c r="L146" t="s">
        <v>1316</v>
      </c>
      <c r="M146">
        <v>8</v>
      </c>
      <c r="N146" t="s">
        <v>1317</v>
      </c>
      <c r="O146">
        <v>-7.4599999999999902</v>
      </c>
      <c r="P146" t="s">
        <v>1318</v>
      </c>
      <c r="Q146">
        <v>-0.22606060606060499</v>
      </c>
      <c r="R146" t="s">
        <v>1319</v>
      </c>
      <c r="S146">
        <v>1.1587499999999999</v>
      </c>
      <c r="T146" t="s">
        <v>1320</v>
      </c>
      <c r="U146">
        <v>-0.66919999999999902</v>
      </c>
      <c r="V146" t="s">
        <v>1321</v>
      </c>
      <c r="W146">
        <v>6.8632628727800807E-2</v>
      </c>
      <c r="X146" t="s">
        <v>1322</v>
      </c>
      <c r="Y146" t="s">
        <v>1561</v>
      </c>
      <c r="Z146" t="s">
        <v>1562</v>
      </c>
      <c r="AA146">
        <v>0</v>
      </c>
      <c r="AB146" t="s">
        <v>1325</v>
      </c>
      <c r="AC146" t="s">
        <v>1326</v>
      </c>
      <c r="AD146" t="s">
        <v>1563</v>
      </c>
      <c r="AE146" t="s">
        <v>1562</v>
      </c>
      <c r="AF146">
        <v>0</v>
      </c>
      <c r="AG146" t="s">
        <v>1328</v>
      </c>
    </row>
    <row r="147" spans="1:33" x14ac:dyDescent="0.3">
      <c r="A147" t="s">
        <v>1500</v>
      </c>
      <c r="B147" t="s">
        <v>1310</v>
      </c>
      <c r="C147">
        <v>0.4</v>
      </c>
      <c r="D147" t="s">
        <v>1311</v>
      </c>
      <c r="E147" t="s">
        <v>1312</v>
      </c>
      <c r="F147">
        <v>0.2</v>
      </c>
      <c r="G147" t="s">
        <v>1351</v>
      </c>
      <c r="H147" t="s">
        <v>1359</v>
      </c>
      <c r="I147" t="str">
        <f t="shared" si="2"/>
        <v>psar_{'C',  [('delta', 0.4,  -1),  ('delta', 0.2,  2)]}_[35,  70]_4</v>
      </c>
      <c r="J147" t="s">
        <v>1315</v>
      </c>
      <c r="K147">
        <v>177</v>
      </c>
      <c r="L147" t="s">
        <v>1316</v>
      </c>
      <c r="M147">
        <v>49</v>
      </c>
      <c r="N147" t="s">
        <v>1317</v>
      </c>
      <c r="O147">
        <v>-7.8286893112863503</v>
      </c>
      <c r="P147" t="s">
        <v>1318</v>
      </c>
      <c r="Q147">
        <v>-4.4229883114612102E-2</v>
      </c>
      <c r="R147" t="s">
        <v>1319</v>
      </c>
      <c r="S147">
        <v>1.81201752541515</v>
      </c>
      <c r="T147" t="s">
        <v>1320</v>
      </c>
      <c r="U147">
        <v>-0.75482459419241199</v>
      </c>
      <c r="V147" t="s">
        <v>1321</v>
      </c>
      <c r="W147">
        <v>0.36334905142065499</v>
      </c>
      <c r="X147" t="s">
        <v>1322</v>
      </c>
      <c r="Y147" t="s">
        <v>1367</v>
      </c>
      <c r="Z147" t="s">
        <v>1368</v>
      </c>
      <c r="AA147">
        <v>0</v>
      </c>
      <c r="AB147" t="s">
        <v>1325</v>
      </c>
      <c r="AC147" t="s">
        <v>1326</v>
      </c>
      <c r="AD147" t="s">
        <v>1367</v>
      </c>
      <c r="AE147" t="s">
        <v>1368</v>
      </c>
      <c r="AF147">
        <v>0</v>
      </c>
      <c r="AG147" t="s">
        <v>1328</v>
      </c>
    </row>
    <row r="148" spans="1:33" x14ac:dyDescent="0.3">
      <c r="A148" t="s">
        <v>1559</v>
      </c>
      <c r="B148" t="s">
        <v>1310</v>
      </c>
      <c r="C148">
        <v>0.3</v>
      </c>
      <c r="D148" t="s">
        <v>1311</v>
      </c>
      <c r="E148" t="s">
        <v>1312</v>
      </c>
      <c r="F148">
        <v>0.15</v>
      </c>
      <c r="G148" t="s">
        <v>1381</v>
      </c>
      <c r="H148" t="s">
        <v>1314</v>
      </c>
      <c r="I148" t="str">
        <f t="shared" si="2"/>
        <v>rsi_{'C',  [('delta', 0.3,  -1),  ('delta', 0.15,  3)]}_[7,  35]_1</v>
      </c>
      <c r="J148" t="s">
        <v>1315</v>
      </c>
      <c r="K148">
        <v>35</v>
      </c>
      <c r="L148" t="s">
        <v>1316</v>
      </c>
      <c r="M148">
        <v>8</v>
      </c>
      <c r="N148" t="s">
        <v>1317</v>
      </c>
      <c r="O148">
        <v>-8.01</v>
      </c>
      <c r="P148" t="s">
        <v>1318</v>
      </c>
      <c r="Q148">
        <v>-0.22885714285714201</v>
      </c>
      <c r="R148" t="s">
        <v>1319</v>
      </c>
      <c r="S148">
        <v>0.80374999999999897</v>
      </c>
      <c r="T148" t="s">
        <v>1320</v>
      </c>
      <c r="U148">
        <v>-0.53481481481481397</v>
      </c>
      <c r="V148" t="s">
        <v>1321</v>
      </c>
      <c r="W148">
        <v>5.7888569621459697E-2</v>
      </c>
      <c r="X148" t="s">
        <v>1322</v>
      </c>
      <c r="Y148" t="s">
        <v>1549</v>
      </c>
      <c r="Z148" t="s">
        <v>1480</v>
      </c>
      <c r="AA148">
        <v>0</v>
      </c>
      <c r="AB148" t="s">
        <v>1325</v>
      </c>
      <c r="AC148" t="s">
        <v>1326</v>
      </c>
      <c r="AD148" t="s">
        <v>1549</v>
      </c>
      <c r="AE148" t="s">
        <v>1480</v>
      </c>
      <c r="AF148">
        <v>0</v>
      </c>
      <c r="AG148" t="s">
        <v>1328</v>
      </c>
    </row>
    <row r="149" spans="1:33" x14ac:dyDescent="0.3">
      <c r="A149" t="s">
        <v>1559</v>
      </c>
      <c r="B149" t="s">
        <v>1310</v>
      </c>
      <c r="C149">
        <v>0.4</v>
      </c>
      <c r="D149" t="s">
        <v>1311</v>
      </c>
      <c r="E149" t="s">
        <v>1312</v>
      </c>
      <c r="F149">
        <v>0.2</v>
      </c>
      <c r="G149" t="s">
        <v>1381</v>
      </c>
      <c r="H149" t="s">
        <v>1333</v>
      </c>
      <c r="I149" t="str">
        <f t="shared" si="2"/>
        <v>rsi_{'C',  [('delta', 0.4,  -1),  ('delta', 0.2,  3)]}_[7,  35]_3</v>
      </c>
      <c r="J149" t="s">
        <v>1315</v>
      </c>
      <c r="K149">
        <v>35</v>
      </c>
      <c r="L149" t="s">
        <v>1316</v>
      </c>
      <c r="M149">
        <v>6</v>
      </c>
      <c r="N149" t="s">
        <v>1317</v>
      </c>
      <c r="O149">
        <v>-8.0499999999999901</v>
      </c>
      <c r="P149" t="s">
        <v>1318</v>
      </c>
      <c r="Q149">
        <v>-0.22999999999999901</v>
      </c>
      <c r="R149" t="s">
        <v>1319</v>
      </c>
      <c r="S149">
        <v>2.1683333333333299</v>
      </c>
      <c r="T149" t="s">
        <v>1320</v>
      </c>
      <c r="U149">
        <v>-0.72620689655172399</v>
      </c>
      <c r="V149" t="s">
        <v>1321</v>
      </c>
      <c r="W149">
        <v>0.102137082155124</v>
      </c>
      <c r="X149" t="s">
        <v>1322</v>
      </c>
      <c r="Y149" t="s">
        <v>1529</v>
      </c>
      <c r="Z149" t="s">
        <v>1530</v>
      </c>
      <c r="AA149">
        <v>0</v>
      </c>
      <c r="AB149" t="s">
        <v>1325</v>
      </c>
      <c r="AC149" t="s">
        <v>1326</v>
      </c>
      <c r="AD149" t="s">
        <v>1529</v>
      </c>
      <c r="AE149" t="s">
        <v>1530</v>
      </c>
      <c r="AF149">
        <v>0</v>
      </c>
      <c r="AG149" t="s">
        <v>1328</v>
      </c>
    </row>
    <row r="150" spans="1:33" x14ac:dyDescent="0.3">
      <c r="A150" t="s">
        <v>1455</v>
      </c>
      <c r="B150" t="s">
        <v>1310</v>
      </c>
      <c r="C150">
        <v>0.5</v>
      </c>
      <c r="D150" t="s">
        <v>1311</v>
      </c>
      <c r="E150" t="s">
        <v>1312</v>
      </c>
      <c r="F150">
        <v>0.3</v>
      </c>
      <c r="G150" t="s">
        <v>1313</v>
      </c>
      <c r="H150" t="s">
        <v>1336</v>
      </c>
      <c r="I150" t="str">
        <f t="shared" si="2"/>
        <v>bbands_{'C',  [('delta', 0.5,  -1),  ('delta', 0.3,  2)]}_[7,  35]_4</v>
      </c>
      <c r="J150" t="s">
        <v>1315</v>
      </c>
      <c r="K150">
        <v>191</v>
      </c>
      <c r="L150" t="s">
        <v>1316</v>
      </c>
      <c r="M150">
        <v>50</v>
      </c>
      <c r="N150" t="s">
        <v>1317</v>
      </c>
      <c r="O150">
        <v>-8.0699999999999807</v>
      </c>
      <c r="P150" t="s">
        <v>1318</v>
      </c>
      <c r="Q150">
        <v>-4.22513089005234E-2</v>
      </c>
      <c r="R150" t="s">
        <v>1319</v>
      </c>
      <c r="S150">
        <v>2.12319999999999</v>
      </c>
      <c r="T150" t="s">
        <v>1320</v>
      </c>
      <c r="U150">
        <v>-0.81014184397163103</v>
      </c>
      <c r="V150" t="s">
        <v>1321</v>
      </c>
      <c r="W150">
        <v>0.43490636418110301</v>
      </c>
      <c r="X150" t="s">
        <v>1322</v>
      </c>
      <c r="Y150" t="s">
        <v>1461</v>
      </c>
      <c r="Z150" t="s">
        <v>1462</v>
      </c>
      <c r="AA150">
        <v>0</v>
      </c>
      <c r="AB150" t="s">
        <v>1325</v>
      </c>
      <c r="AC150" t="s">
        <v>1326</v>
      </c>
      <c r="AD150" t="s">
        <v>1460</v>
      </c>
      <c r="AE150" t="s">
        <v>1372</v>
      </c>
      <c r="AF150">
        <v>0</v>
      </c>
      <c r="AG150" t="s">
        <v>1328</v>
      </c>
    </row>
    <row r="151" spans="1:33" x14ac:dyDescent="0.3">
      <c r="A151" t="s">
        <v>1559</v>
      </c>
      <c r="B151" t="s">
        <v>1310</v>
      </c>
      <c r="C151">
        <v>0.5</v>
      </c>
      <c r="D151" t="s">
        <v>1311</v>
      </c>
      <c r="E151" t="s">
        <v>1312</v>
      </c>
      <c r="F151">
        <v>0.3</v>
      </c>
      <c r="G151" t="s">
        <v>1351</v>
      </c>
      <c r="H151" t="s">
        <v>1352</v>
      </c>
      <c r="I151" t="str">
        <f t="shared" si="2"/>
        <v>rsi_{'C',  [('delta', 0.5,  -1),  ('delta', 0.3,  2)]}_[35,  70]_1</v>
      </c>
      <c r="J151" t="s">
        <v>1315</v>
      </c>
      <c r="K151">
        <v>40</v>
      </c>
      <c r="L151" t="s">
        <v>1316</v>
      </c>
      <c r="M151">
        <v>9</v>
      </c>
      <c r="N151" t="s">
        <v>1317</v>
      </c>
      <c r="O151">
        <v>-8.1983885113110002</v>
      </c>
      <c r="P151" t="s">
        <v>1318</v>
      </c>
      <c r="Q151">
        <v>-0.204959712782775</v>
      </c>
      <c r="R151" t="s">
        <v>1319</v>
      </c>
      <c r="S151">
        <v>1.2987841882159401</v>
      </c>
      <c r="T151" t="s">
        <v>1320</v>
      </c>
      <c r="U151">
        <v>-0.64153052275014399</v>
      </c>
      <c r="V151" t="s">
        <v>1321</v>
      </c>
      <c r="W151">
        <v>7.7482040618495202E-2</v>
      </c>
      <c r="X151" t="s">
        <v>1322</v>
      </c>
      <c r="Y151" t="s">
        <v>1566</v>
      </c>
      <c r="Z151" t="s">
        <v>1567</v>
      </c>
      <c r="AA151">
        <v>0</v>
      </c>
      <c r="AB151" t="s">
        <v>1325</v>
      </c>
      <c r="AC151" t="s">
        <v>1326</v>
      </c>
      <c r="AD151" t="s">
        <v>1566</v>
      </c>
      <c r="AE151" t="s">
        <v>1567</v>
      </c>
      <c r="AF151">
        <v>0</v>
      </c>
      <c r="AG151" t="s">
        <v>1328</v>
      </c>
    </row>
    <row r="152" spans="1:33" x14ac:dyDescent="0.3">
      <c r="A152" t="s">
        <v>1559</v>
      </c>
      <c r="B152" t="s">
        <v>1310</v>
      </c>
      <c r="C152">
        <v>0.3</v>
      </c>
      <c r="D152" t="s">
        <v>1311</v>
      </c>
      <c r="E152" t="s">
        <v>1312</v>
      </c>
      <c r="F152">
        <v>0.15</v>
      </c>
      <c r="G152" t="s">
        <v>1381</v>
      </c>
      <c r="H152" t="s">
        <v>1329</v>
      </c>
      <c r="I152" t="str">
        <f t="shared" si="2"/>
        <v>rsi_{'C',  [('delta', 0.3,  -1),  ('delta', 0.15,  3)]}_[7,  35]_2</v>
      </c>
      <c r="J152" t="s">
        <v>1315</v>
      </c>
      <c r="K152">
        <v>35</v>
      </c>
      <c r="L152" t="s">
        <v>1316</v>
      </c>
      <c r="M152">
        <v>7</v>
      </c>
      <c r="N152" t="s">
        <v>1317</v>
      </c>
      <c r="O152">
        <v>-8.49</v>
      </c>
      <c r="P152" t="s">
        <v>1318</v>
      </c>
      <c r="Q152">
        <v>-0.24257142857142799</v>
      </c>
      <c r="R152" t="s">
        <v>1319</v>
      </c>
      <c r="S152">
        <v>0.92428571428571404</v>
      </c>
      <c r="T152" t="s">
        <v>1320</v>
      </c>
      <c r="U152">
        <v>-0.53428571428571403</v>
      </c>
      <c r="V152" t="s">
        <v>1321</v>
      </c>
      <c r="W152">
        <v>6.0881724069994397E-2</v>
      </c>
      <c r="X152" t="s">
        <v>1322</v>
      </c>
      <c r="Y152" t="s">
        <v>1549</v>
      </c>
      <c r="Z152" t="s">
        <v>1480</v>
      </c>
      <c r="AA152">
        <v>0</v>
      </c>
      <c r="AB152" t="s">
        <v>1325</v>
      </c>
      <c r="AC152" t="s">
        <v>1326</v>
      </c>
      <c r="AD152" t="s">
        <v>1549</v>
      </c>
      <c r="AE152" t="s">
        <v>1480</v>
      </c>
      <c r="AF152">
        <v>0</v>
      </c>
      <c r="AG152" t="s">
        <v>1328</v>
      </c>
    </row>
    <row r="153" spans="1:33" x14ac:dyDescent="0.3">
      <c r="A153" t="s">
        <v>1559</v>
      </c>
      <c r="B153" t="s">
        <v>1310</v>
      </c>
      <c r="C153">
        <v>0.4</v>
      </c>
      <c r="D153" t="s">
        <v>1311</v>
      </c>
      <c r="E153" t="s">
        <v>1312</v>
      </c>
      <c r="F153">
        <v>0.2</v>
      </c>
      <c r="G153" t="s">
        <v>1403</v>
      </c>
      <c r="H153" t="s">
        <v>1352</v>
      </c>
      <c r="I153" t="str">
        <f t="shared" si="2"/>
        <v>rsi_{'C',  [('delta', 0.4,  -1),  ('delta', 0.2,  3)]}_[35,  70]_1</v>
      </c>
      <c r="J153" t="s">
        <v>1315</v>
      </c>
      <c r="K153">
        <v>40</v>
      </c>
      <c r="L153" t="s">
        <v>1316</v>
      </c>
      <c r="M153">
        <v>10</v>
      </c>
      <c r="N153" t="s">
        <v>1317</v>
      </c>
      <c r="O153">
        <v>-8.5200043973382602</v>
      </c>
      <c r="P153" t="s">
        <v>1318</v>
      </c>
      <c r="Q153">
        <v>-0.213000109933456</v>
      </c>
      <c r="R153" t="s">
        <v>1319</v>
      </c>
      <c r="S153">
        <v>1.3049995602661699</v>
      </c>
      <c r="T153" t="s">
        <v>1320</v>
      </c>
      <c r="U153">
        <v>-0.71899999999999997</v>
      </c>
      <c r="V153" t="s">
        <v>1321</v>
      </c>
      <c r="W153">
        <v>7.4617940017993101E-2</v>
      </c>
      <c r="X153" t="s">
        <v>1322</v>
      </c>
      <c r="Y153" t="s">
        <v>1590</v>
      </c>
      <c r="Z153" t="s">
        <v>1591</v>
      </c>
    </row>
    <row r="154" spans="1:33" x14ac:dyDescent="0.3">
      <c r="A154" t="s">
        <v>1604</v>
      </c>
      <c r="B154" t="s">
        <v>1310</v>
      </c>
      <c r="C154">
        <v>0.5</v>
      </c>
      <c r="D154" t="s">
        <v>1311</v>
      </c>
      <c r="E154" t="s">
        <v>1312</v>
      </c>
      <c r="F154">
        <v>0.3</v>
      </c>
      <c r="G154" t="s">
        <v>1313</v>
      </c>
      <c r="H154" t="s">
        <v>1329</v>
      </c>
      <c r="I154" t="str">
        <f t="shared" si="2"/>
        <v>stoch_{'C',  [('delta', 0.5,  -1),  ('delta', 0.3,  2)]}_[7,  35]_2</v>
      </c>
      <c r="J154" t="s">
        <v>1315</v>
      </c>
      <c r="K154">
        <v>224</v>
      </c>
      <c r="L154" t="s">
        <v>1316</v>
      </c>
      <c r="M154">
        <v>65</v>
      </c>
      <c r="N154" t="s">
        <v>1317</v>
      </c>
      <c r="O154">
        <v>-8.5599999999999508</v>
      </c>
      <c r="P154" t="s">
        <v>1318</v>
      </c>
      <c r="Q154">
        <v>-3.8214285714285402E-2</v>
      </c>
      <c r="R154" t="s">
        <v>1319</v>
      </c>
      <c r="S154">
        <v>1.6426153846153799</v>
      </c>
      <c r="T154" t="s">
        <v>1320</v>
      </c>
      <c r="U154">
        <v>-0.72534591194968501</v>
      </c>
      <c r="V154" t="s">
        <v>1321</v>
      </c>
      <c r="W154">
        <v>0.35593867381697403</v>
      </c>
      <c r="X154" t="s">
        <v>1322</v>
      </c>
      <c r="Y154" t="s">
        <v>1323</v>
      </c>
      <c r="Z154" t="s">
        <v>1324</v>
      </c>
      <c r="AA154">
        <v>0</v>
      </c>
      <c r="AB154" t="s">
        <v>1325</v>
      </c>
      <c r="AC154" t="s">
        <v>1326</v>
      </c>
      <c r="AD154" t="s">
        <v>1606</v>
      </c>
      <c r="AE154" t="s">
        <v>1324</v>
      </c>
      <c r="AF154">
        <v>0</v>
      </c>
      <c r="AG154" t="s">
        <v>1328</v>
      </c>
    </row>
    <row r="155" spans="1:33" x14ac:dyDescent="0.3">
      <c r="A155" t="s">
        <v>1559</v>
      </c>
      <c r="B155" t="s">
        <v>1310</v>
      </c>
      <c r="C155">
        <v>0.4</v>
      </c>
      <c r="D155" t="s">
        <v>1311</v>
      </c>
      <c r="E155" t="s">
        <v>1312</v>
      </c>
      <c r="F155">
        <v>0.2</v>
      </c>
      <c r="G155" t="s">
        <v>1313</v>
      </c>
      <c r="H155" t="s">
        <v>1329</v>
      </c>
      <c r="I155" t="str">
        <f t="shared" si="2"/>
        <v>rsi_{'C',  [('delta', 0.4,  -1),  ('delta', 0.2,  2)]}_[7,  35]_2</v>
      </c>
      <c r="J155" t="s">
        <v>1315</v>
      </c>
      <c r="K155">
        <v>35</v>
      </c>
      <c r="L155" t="s">
        <v>1316</v>
      </c>
      <c r="M155">
        <v>9</v>
      </c>
      <c r="N155" t="s">
        <v>1317</v>
      </c>
      <c r="O155">
        <v>-8.58</v>
      </c>
      <c r="P155" t="s">
        <v>1318</v>
      </c>
      <c r="Q155">
        <v>-0.245142857142857</v>
      </c>
      <c r="R155" t="s">
        <v>1319</v>
      </c>
      <c r="S155">
        <v>1.29111111111111</v>
      </c>
      <c r="T155" t="s">
        <v>1320</v>
      </c>
      <c r="U155">
        <v>-0.77692307692307605</v>
      </c>
      <c r="V155" t="s">
        <v>1321</v>
      </c>
      <c r="W155">
        <v>7.3340251241785795E-2</v>
      </c>
      <c r="X155" t="s">
        <v>1322</v>
      </c>
      <c r="Y155" t="s">
        <v>1574</v>
      </c>
      <c r="Z155" t="s">
        <v>1575</v>
      </c>
      <c r="AA155">
        <v>0</v>
      </c>
      <c r="AB155" t="s">
        <v>1325</v>
      </c>
      <c r="AC155" t="s">
        <v>1326</v>
      </c>
      <c r="AD155" t="s">
        <v>1572</v>
      </c>
      <c r="AE155" t="s">
        <v>1573</v>
      </c>
      <c r="AF155">
        <v>0</v>
      </c>
      <c r="AG155" t="s">
        <v>1328</v>
      </c>
    </row>
    <row r="156" spans="1:33" x14ac:dyDescent="0.3">
      <c r="A156" t="s">
        <v>1559</v>
      </c>
      <c r="B156" t="s">
        <v>1310</v>
      </c>
      <c r="C156">
        <v>0.4</v>
      </c>
      <c r="D156" t="s">
        <v>1311</v>
      </c>
      <c r="E156" t="s">
        <v>1312</v>
      </c>
      <c r="F156">
        <v>0.2</v>
      </c>
      <c r="G156" t="s">
        <v>1313</v>
      </c>
      <c r="H156" t="s">
        <v>1333</v>
      </c>
      <c r="I156" t="str">
        <f t="shared" si="2"/>
        <v>rsi_{'C',  [('delta', 0.4,  -1),  ('delta', 0.2,  2)]}_[7,  35]_3</v>
      </c>
      <c r="J156" t="s">
        <v>1315</v>
      </c>
      <c r="K156">
        <v>35</v>
      </c>
      <c r="L156" t="s">
        <v>1316</v>
      </c>
      <c r="M156">
        <v>9</v>
      </c>
      <c r="N156" t="s">
        <v>1317</v>
      </c>
      <c r="O156">
        <v>-8.58</v>
      </c>
      <c r="P156" t="s">
        <v>1318</v>
      </c>
      <c r="Q156">
        <v>-0.245142857142857</v>
      </c>
      <c r="R156" t="s">
        <v>1319</v>
      </c>
      <c r="S156">
        <v>1.29111111111111</v>
      </c>
      <c r="T156" t="s">
        <v>1320</v>
      </c>
      <c r="U156">
        <v>-0.77692307692307605</v>
      </c>
      <c r="V156" t="s">
        <v>1321</v>
      </c>
      <c r="W156">
        <v>7.3340251241785795E-2</v>
      </c>
      <c r="X156" t="s">
        <v>1322</v>
      </c>
      <c r="Y156" t="s">
        <v>1574</v>
      </c>
      <c r="Z156" t="s">
        <v>1575</v>
      </c>
      <c r="AA156">
        <v>0</v>
      </c>
      <c r="AB156" t="s">
        <v>1325</v>
      </c>
      <c r="AC156" t="s">
        <v>1326</v>
      </c>
      <c r="AD156" t="s">
        <v>1572</v>
      </c>
      <c r="AE156" t="s">
        <v>1573</v>
      </c>
      <c r="AF156">
        <v>0</v>
      </c>
      <c r="AG156" t="s">
        <v>1328</v>
      </c>
    </row>
    <row r="157" spans="1:33" x14ac:dyDescent="0.3">
      <c r="A157" t="s">
        <v>1559</v>
      </c>
      <c r="B157" t="s">
        <v>1310</v>
      </c>
      <c r="C157">
        <v>0.4</v>
      </c>
      <c r="D157" t="s">
        <v>1311</v>
      </c>
      <c r="E157" t="s">
        <v>1312</v>
      </c>
      <c r="F157">
        <v>0.2</v>
      </c>
      <c r="G157" t="s">
        <v>1313</v>
      </c>
      <c r="H157" t="s">
        <v>1336</v>
      </c>
      <c r="I157" t="str">
        <f t="shared" si="2"/>
        <v>rsi_{'C',  [('delta', 0.4,  -1),  ('delta', 0.2,  2)]}_[7,  35]_4</v>
      </c>
      <c r="J157" t="s">
        <v>1315</v>
      </c>
      <c r="K157">
        <v>35</v>
      </c>
      <c r="L157" t="s">
        <v>1316</v>
      </c>
      <c r="M157">
        <v>9</v>
      </c>
      <c r="N157" t="s">
        <v>1317</v>
      </c>
      <c r="O157">
        <v>-8.58</v>
      </c>
      <c r="P157" t="s">
        <v>1318</v>
      </c>
      <c r="Q157">
        <v>-0.245142857142857</v>
      </c>
      <c r="R157" t="s">
        <v>1319</v>
      </c>
      <c r="S157">
        <v>1.29111111111111</v>
      </c>
      <c r="T157" t="s">
        <v>1320</v>
      </c>
      <c r="U157">
        <v>-0.77692307692307605</v>
      </c>
      <c r="V157" t="s">
        <v>1321</v>
      </c>
      <c r="W157">
        <v>7.3340251241785795E-2</v>
      </c>
      <c r="X157" t="s">
        <v>1322</v>
      </c>
      <c r="Y157" t="s">
        <v>1574</v>
      </c>
      <c r="Z157" t="s">
        <v>1575</v>
      </c>
      <c r="AA157">
        <v>0</v>
      </c>
      <c r="AB157" t="s">
        <v>1325</v>
      </c>
      <c r="AC157" t="s">
        <v>1326</v>
      </c>
      <c r="AD157" t="s">
        <v>1572</v>
      </c>
      <c r="AE157" t="s">
        <v>1573</v>
      </c>
      <c r="AF157">
        <v>0</v>
      </c>
      <c r="AG157" t="s">
        <v>1328</v>
      </c>
    </row>
    <row r="158" spans="1:33" x14ac:dyDescent="0.3">
      <c r="A158" t="s">
        <v>1559</v>
      </c>
      <c r="B158" t="s">
        <v>1310</v>
      </c>
      <c r="C158">
        <v>0.4</v>
      </c>
      <c r="D158" t="s">
        <v>1311</v>
      </c>
      <c r="E158" t="s">
        <v>1312</v>
      </c>
      <c r="F158">
        <v>0.2</v>
      </c>
      <c r="G158" t="s">
        <v>1313</v>
      </c>
      <c r="H158" t="s">
        <v>1337</v>
      </c>
      <c r="I158" t="str">
        <f t="shared" si="2"/>
        <v>rsi_{'C',  [('delta', 0.4,  -1),  ('delta', 0.2,  2)]}_[7,  35]_5</v>
      </c>
      <c r="J158" t="s">
        <v>1315</v>
      </c>
      <c r="K158">
        <v>35</v>
      </c>
      <c r="L158" t="s">
        <v>1316</v>
      </c>
      <c r="M158">
        <v>9</v>
      </c>
      <c r="N158" t="s">
        <v>1317</v>
      </c>
      <c r="O158">
        <v>-8.58</v>
      </c>
      <c r="P158" t="s">
        <v>1318</v>
      </c>
      <c r="Q158">
        <v>-0.245142857142857</v>
      </c>
      <c r="R158" t="s">
        <v>1319</v>
      </c>
      <c r="S158">
        <v>1.29111111111111</v>
      </c>
      <c r="T158" t="s">
        <v>1320</v>
      </c>
      <c r="U158">
        <v>-0.77692307692307605</v>
      </c>
      <c r="V158" t="s">
        <v>1321</v>
      </c>
      <c r="W158">
        <v>7.3340251241785795E-2</v>
      </c>
      <c r="X158" t="s">
        <v>1322</v>
      </c>
      <c r="Y158" t="s">
        <v>1574</v>
      </c>
      <c r="Z158" t="s">
        <v>1575</v>
      </c>
      <c r="AA158">
        <v>0</v>
      </c>
      <c r="AB158" t="s">
        <v>1325</v>
      </c>
      <c r="AC158" t="s">
        <v>1326</v>
      </c>
      <c r="AD158" t="s">
        <v>1572</v>
      </c>
      <c r="AE158" t="s">
        <v>1573</v>
      </c>
      <c r="AF158">
        <v>0</v>
      </c>
      <c r="AG158" t="s">
        <v>1328</v>
      </c>
    </row>
    <row r="159" spans="1:33" x14ac:dyDescent="0.3">
      <c r="A159" t="s">
        <v>1559</v>
      </c>
      <c r="B159" t="s">
        <v>1310</v>
      </c>
      <c r="C159">
        <v>0.3</v>
      </c>
      <c r="D159" t="s">
        <v>1311</v>
      </c>
      <c r="E159" t="s">
        <v>1312</v>
      </c>
      <c r="F159">
        <v>0.15</v>
      </c>
      <c r="G159" t="s">
        <v>1403</v>
      </c>
      <c r="H159" t="s">
        <v>1359</v>
      </c>
      <c r="I159" t="str">
        <f t="shared" si="2"/>
        <v>rsi_{'C',  [('delta', 0.3,  -1),  ('delta', 0.15,  3)]}_[35,  70]_4</v>
      </c>
      <c r="J159" t="s">
        <v>1315</v>
      </c>
      <c r="K159">
        <v>40</v>
      </c>
      <c r="L159" t="s">
        <v>1316</v>
      </c>
      <c r="M159">
        <v>5</v>
      </c>
      <c r="N159" t="s">
        <v>1317</v>
      </c>
      <c r="O159">
        <v>-8.6599999999999895</v>
      </c>
      <c r="P159" t="s">
        <v>1318</v>
      </c>
      <c r="Q159">
        <v>-0.216499999999999</v>
      </c>
      <c r="R159" t="s">
        <v>1319</v>
      </c>
      <c r="S159">
        <v>3.1120000000000001</v>
      </c>
      <c r="T159" t="s">
        <v>1320</v>
      </c>
      <c r="U159">
        <v>-0.69199999999999895</v>
      </c>
      <c r="V159" t="s">
        <v>1321</v>
      </c>
      <c r="W159">
        <v>0.101765776218375</v>
      </c>
      <c r="X159" t="s">
        <v>1322</v>
      </c>
      <c r="Y159" t="s">
        <v>1603</v>
      </c>
      <c r="Z159" t="s">
        <v>1416</v>
      </c>
      <c r="AA159">
        <v>0</v>
      </c>
      <c r="AB159" t="s">
        <v>1325</v>
      </c>
      <c r="AC159" t="s">
        <v>1326</v>
      </c>
      <c r="AD159" t="s">
        <v>1603</v>
      </c>
      <c r="AE159" t="s">
        <v>1416</v>
      </c>
      <c r="AF159">
        <v>0</v>
      </c>
      <c r="AG159" t="s">
        <v>1328</v>
      </c>
    </row>
    <row r="160" spans="1:33" x14ac:dyDescent="0.3">
      <c r="A160" t="s">
        <v>1604</v>
      </c>
      <c r="B160" t="s">
        <v>1310</v>
      </c>
      <c r="C160">
        <v>0.4</v>
      </c>
      <c r="D160" t="s">
        <v>1311</v>
      </c>
      <c r="E160" t="s">
        <v>1312</v>
      </c>
      <c r="F160">
        <v>0.2</v>
      </c>
      <c r="G160" t="s">
        <v>1313</v>
      </c>
      <c r="H160" t="s">
        <v>1333</v>
      </c>
      <c r="I160" t="str">
        <f t="shared" si="2"/>
        <v>stoch_{'C',  [('delta', 0.4,  -1),  ('delta', 0.2,  2)]}_[7,  35]_3</v>
      </c>
      <c r="J160" t="s">
        <v>1315</v>
      </c>
      <c r="K160">
        <v>224</v>
      </c>
      <c r="L160" t="s">
        <v>1316</v>
      </c>
      <c r="M160">
        <v>93</v>
      </c>
      <c r="N160" t="s">
        <v>1317</v>
      </c>
      <c r="O160">
        <v>-8.7599999999999199</v>
      </c>
      <c r="P160" t="s">
        <v>1318</v>
      </c>
      <c r="Q160">
        <v>-3.91071428571425E-2</v>
      </c>
      <c r="R160" t="s">
        <v>1319</v>
      </c>
      <c r="S160">
        <v>1.0561290322580601</v>
      </c>
      <c r="T160" t="s">
        <v>1320</v>
      </c>
      <c r="U160">
        <v>-0.81664122137404505</v>
      </c>
      <c r="V160" t="s">
        <v>1321</v>
      </c>
      <c r="W160">
        <v>0.320910616327438</v>
      </c>
      <c r="X160" t="s">
        <v>1322</v>
      </c>
      <c r="Y160" t="s">
        <v>1344</v>
      </c>
      <c r="Z160" t="s">
        <v>1331</v>
      </c>
      <c r="AA160">
        <v>0</v>
      </c>
      <c r="AB160" t="s">
        <v>1325</v>
      </c>
      <c r="AC160" t="s">
        <v>1326</v>
      </c>
      <c r="AD160" t="s">
        <v>1619</v>
      </c>
      <c r="AE160" t="s">
        <v>1620</v>
      </c>
      <c r="AF160">
        <v>0</v>
      </c>
      <c r="AG160" t="s">
        <v>1328</v>
      </c>
    </row>
    <row r="161" spans="1:33" x14ac:dyDescent="0.3">
      <c r="A161" t="s">
        <v>1559</v>
      </c>
      <c r="B161" t="s">
        <v>1310</v>
      </c>
      <c r="C161">
        <v>0.4</v>
      </c>
      <c r="D161" t="s">
        <v>1311</v>
      </c>
      <c r="E161" t="s">
        <v>1312</v>
      </c>
      <c r="F161">
        <v>0.2</v>
      </c>
      <c r="G161" t="s">
        <v>1381</v>
      </c>
      <c r="H161" t="s">
        <v>1314</v>
      </c>
      <c r="I161" t="str">
        <f t="shared" si="2"/>
        <v>rsi_{'C',  [('delta', 0.4,  -1),  ('delta', 0.2,  3)]}_[7,  35]_1</v>
      </c>
      <c r="J161" t="s">
        <v>1315</v>
      </c>
      <c r="K161">
        <v>35</v>
      </c>
      <c r="L161" t="s">
        <v>1316</v>
      </c>
      <c r="M161">
        <v>8</v>
      </c>
      <c r="N161" t="s">
        <v>1317</v>
      </c>
      <c r="O161">
        <v>-8.7799999999999905</v>
      </c>
      <c r="P161" t="s">
        <v>1318</v>
      </c>
      <c r="Q161">
        <v>-0.250857142857142</v>
      </c>
      <c r="R161" t="s">
        <v>1319</v>
      </c>
      <c r="S161">
        <v>1.4024999999999901</v>
      </c>
      <c r="T161" t="s">
        <v>1320</v>
      </c>
      <c r="U161">
        <v>-0.74074074074074003</v>
      </c>
      <c r="V161" t="s">
        <v>1321</v>
      </c>
      <c r="W161">
        <v>7.5581825527490501E-2</v>
      </c>
      <c r="X161" t="s">
        <v>1322</v>
      </c>
      <c r="Y161" t="s">
        <v>1586</v>
      </c>
      <c r="Z161" t="s">
        <v>1587</v>
      </c>
      <c r="AA161">
        <v>0</v>
      </c>
      <c r="AB161" t="s">
        <v>1325</v>
      </c>
      <c r="AC161" t="s">
        <v>1326</v>
      </c>
      <c r="AD161" t="s">
        <v>1586</v>
      </c>
      <c r="AE161" t="s">
        <v>1587</v>
      </c>
      <c r="AF161">
        <v>0</v>
      </c>
      <c r="AG161" t="s">
        <v>1328</v>
      </c>
    </row>
    <row r="162" spans="1:33" x14ac:dyDescent="0.3">
      <c r="A162" t="s">
        <v>1500</v>
      </c>
      <c r="B162" t="s">
        <v>1310</v>
      </c>
      <c r="C162">
        <v>0.3</v>
      </c>
      <c r="D162" t="s">
        <v>1311</v>
      </c>
      <c r="E162" t="s">
        <v>1312</v>
      </c>
      <c r="F162">
        <v>0.15</v>
      </c>
      <c r="G162" t="s">
        <v>1403</v>
      </c>
      <c r="H162" t="s">
        <v>1358</v>
      </c>
      <c r="I162" t="str">
        <f t="shared" si="2"/>
        <v>psar_{'C',  [('delta', 0.3,  -1),  ('delta', 0.15,  3)]}_[35,  70]_3</v>
      </c>
      <c r="J162" t="s">
        <v>1315</v>
      </c>
      <c r="K162">
        <v>177</v>
      </c>
      <c r="L162" t="s">
        <v>1316</v>
      </c>
      <c r="M162">
        <v>31</v>
      </c>
      <c r="N162" t="s">
        <v>1317</v>
      </c>
      <c r="O162">
        <v>-8.9030718625315401</v>
      </c>
      <c r="P162" t="s">
        <v>1318</v>
      </c>
      <c r="Q162">
        <v>-5.0299841031251603E-2</v>
      </c>
      <c r="R162" t="s">
        <v>1319</v>
      </c>
      <c r="S162">
        <v>2.84387096774193</v>
      </c>
      <c r="T162" t="s">
        <v>1320</v>
      </c>
      <c r="U162">
        <v>-0.66481556070226999</v>
      </c>
      <c r="V162" t="s">
        <v>1321</v>
      </c>
      <c r="W162">
        <v>0.37398411986297297</v>
      </c>
      <c r="X162" t="s">
        <v>1322</v>
      </c>
      <c r="Y162" t="s">
        <v>1555</v>
      </c>
      <c r="Z162" t="s">
        <v>1556</v>
      </c>
      <c r="AA162">
        <v>0</v>
      </c>
      <c r="AB162" t="s">
        <v>1325</v>
      </c>
      <c r="AC162" t="s">
        <v>1326</v>
      </c>
      <c r="AD162" t="s">
        <v>1555</v>
      </c>
      <c r="AE162" t="s">
        <v>1556</v>
      </c>
      <c r="AF162">
        <v>0</v>
      </c>
      <c r="AG162" t="s">
        <v>1328</v>
      </c>
    </row>
    <row r="163" spans="1:33" x14ac:dyDescent="0.3">
      <c r="A163" t="s">
        <v>1604</v>
      </c>
      <c r="B163" t="s">
        <v>1310</v>
      </c>
      <c r="C163">
        <v>0.3</v>
      </c>
      <c r="D163" t="s">
        <v>1311</v>
      </c>
      <c r="E163" t="s">
        <v>1312</v>
      </c>
      <c r="F163">
        <v>0.15</v>
      </c>
      <c r="G163" t="s">
        <v>1313</v>
      </c>
      <c r="H163" t="s">
        <v>1333</v>
      </c>
      <c r="I163" t="str">
        <f t="shared" si="2"/>
        <v>stoch_{'C',  [('delta', 0.3,  -1),  ('delta', 0.15,  2)]}_[7,  35]_3</v>
      </c>
      <c r="J163" t="s">
        <v>1315</v>
      </c>
      <c r="K163">
        <v>224</v>
      </c>
      <c r="L163" t="s">
        <v>1316</v>
      </c>
      <c r="M163">
        <v>105</v>
      </c>
      <c r="N163" t="s">
        <v>1317</v>
      </c>
      <c r="O163">
        <v>-8.9299999999999606</v>
      </c>
      <c r="P163" t="s">
        <v>1318</v>
      </c>
      <c r="Q163">
        <v>-3.9866071428571202E-2</v>
      </c>
      <c r="R163" t="s">
        <v>1319</v>
      </c>
      <c r="S163">
        <v>0.64828571428571402</v>
      </c>
      <c r="T163" t="s">
        <v>1320</v>
      </c>
      <c r="U163">
        <v>-0.64705882352941102</v>
      </c>
      <c r="V163" t="s">
        <v>1321</v>
      </c>
      <c r="W163">
        <v>0.20983317107223801</v>
      </c>
      <c r="X163" t="s">
        <v>1322</v>
      </c>
      <c r="Y163" t="s">
        <v>1415</v>
      </c>
      <c r="Z163" t="s">
        <v>1416</v>
      </c>
      <c r="AA163">
        <v>0</v>
      </c>
      <c r="AB163" t="s">
        <v>1325</v>
      </c>
      <c r="AC163" t="s">
        <v>1326</v>
      </c>
      <c r="AD163" t="s">
        <v>1634</v>
      </c>
      <c r="AE163" t="s">
        <v>1435</v>
      </c>
      <c r="AF163">
        <v>0</v>
      </c>
      <c r="AG163" t="s">
        <v>1328</v>
      </c>
    </row>
    <row r="164" spans="1:33" x14ac:dyDescent="0.3">
      <c r="A164" t="s">
        <v>1455</v>
      </c>
      <c r="B164" t="s">
        <v>1310</v>
      </c>
      <c r="C164">
        <v>0.4</v>
      </c>
      <c r="D164" t="s">
        <v>1311</v>
      </c>
      <c r="E164" t="s">
        <v>1312</v>
      </c>
      <c r="F164">
        <v>0.2</v>
      </c>
      <c r="G164" t="s">
        <v>1342</v>
      </c>
      <c r="H164" t="s">
        <v>1343</v>
      </c>
      <c r="I164" t="str">
        <f t="shared" si="2"/>
        <v>bbands_{'C',  [('delta', 0.4,  -1),  ('delta', 0.2,  2)]}_[21,  49]_1</v>
      </c>
      <c r="J164" t="s">
        <v>1315</v>
      </c>
      <c r="K164">
        <v>200</v>
      </c>
      <c r="L164" t="s">
        <v>1316</v>
      </c>
      <c r="M164">
        <v>74</v>
      </c>
      <c r="N164" t="s">
        <v>1317</v>
      </c>
      <c r="O164">
        <v>-9.0500000000000096</v>
      </c>
      <c r="P164" t="s">
        <v>1318</v>
      </c>
      <c r="Q164">
        <v>-4.5249999999999999E-2</v>
      </c>
      <c r="R164" t="s">
        <v>1319</v>
      </c>
      <c r="S164">
        <v>1.02648648648648</v>
      </c>
      <c r="T164" t="s">
        <v>1320</v>
      </c>
      <c r="U164">
        <v>-0.67468253968253999</v>
      </c>
      <c r="V164" t="s">
        <v>1321</v>
      </c>
      <c r="W164">
        <v>0.25109671202494999</v>
      </c>
      <c r="X164" t="s">
        <v>1322</v>
      </c>
      <c r="Y164" t="s">
        <v>1479</v>
      </c>
      <c r="Z164" t="s">
        <v>1480</v>
      </c>
      <c r="AA164">
        <v>0</v>
      </c>
      <c r="AB164" t="s">
        <v>1325</v>
      </c>
      <c r="AC164" t="s">
        <v>1326</v>
      </c>
      <c r="AD164" t="s">
        <v>1481</v>
      </c>
      <c r="AE164" t="s">
        <v>1416</v>
      </c>
      <c r="AF164">
        <v>0</v>
      </c>
      <c r="AG164" t="s">
        <v>1328</v>
      </c>
    </row>
    <row r="165" spans="1:33" x14ac:dyDescent="0.3">
      <c r="A165" t="s">
        <v>1559</v>
      </c>
      <c r="B165" t="s">
        <v>1310</v>
      </c>
      <c r="C165">
        <v>0.3</v>
      </c>
      <c r="D165" t="s">
        <v>1311</v>
      </c>
      <c r="E165" t="s">
        <v>1312</v>
      </c>
      <c r="F165">
        <v>0.15</v>
      </c>
      <c r="G165" t="s">
        <v>1392</v>
      </c>
      <c r="H165" t="s">
        <v>1348</v>
      </c>
      <c r="I165" t="str">
        <f t="shared" si="2"/>
        <v>rsi_{'C',  [('delta', 0.3,  -1),  ('delta', 0.15,  3)]}_[21,  49]_3</v>
      </c>
      <c r="J165" t="s">
        <v>1315</v>
      </c>
      <c r="K165">
        <v>33</v>
      </c>
      <c r="L165" t="s">
        <v>1316</v>
      </c>
      <c r="M165">
        <v>4</v>
      </c>
      <c r="N165" t="s">
        <v>1317</v>
      </c>
      <c r="O165">
        <v>-9.1600000000000392</v>
      </c>
      <c r="P165" t="s">
        <v>1318</v>
      </c>
      <c r="Q165">
        <v>-0.27757575757575897</v>
      </c>
      <c r="R165" t="s">
        <v>1319</v>
      </c>
      <c r="S165">
        <v>1.89499999999998</v>
      </c>
      <c r="T165" t="s">
        <v>1320</v>
      </c>
      <c r="U165">
        <v>-0.57724137931034403</v>
      </c>
      <c r="V165" t="s">
        <v>1321</v>
      </c>
      <c r="W165">
        <v>7.8570424231075894E-2</v>
      </c>
      <c r="X165" t="s">
        <v>1322</v>
      </c>
      <c r="Y165" t="s">
        <v>1601</v>
      </c>
      <c r="Z165" t="s">
        <v>1602</v>
      </c>
      <c r="AA165">
        <v>0</v>
      </c>
      <c r="AB165" t="s">
        <v>1325</v>
      </c>
      <c r="AC165" t="s">
        <v>1326</v>
      </c>
      <c r="AD165" t="s">
        <v>1601</v>
      </c>
      <c r="AE165" t="s">
        <v>1602</v>
      </c>
      <c r="AF165">
        <v>0</v>
      </c>
      <c r="AG165" t="s">
        <v>1328</v>
      </c>
    </row>
    <row r="166" spans="1:33" x14ac:dyDescent="0.3">
      <c r="A166" t="s">
        <v>1559</v>
      </c>
      <c r="B166" t="s">
        <v>1310</v>
      </c>
      <c r="C166">
        <v>0.3</v>
      </c>
      <c r="D166" t="s">
        <v>1311</v>
      </c>
      <c r="E166" t="s">
        <v>1312</v>
      </c>
      <c r="F166">
        <v>0.15</v>
      </c>
      <c r="G166" t="s">
        <v>1392</v>
      </c>
      <c r="H166" t="s">
        <v>1349</v>
      </c>
      <c r="I166" t="str">
        <f t="shared" si="2"/>
        <v>rsi_{'C',  [('delta', 0.3,  -1),  ('delta', 0.15,  3)]}_[21,  49]_4</v>
      </c>
      <c r="J166" t="s">
        <v>1315</v>
      </c>
      <c r="K166">
        <v>33</v>
      </c>
      <c r="L166" t="s">
        <v>1316</v>
      </c>
      <c r="M166">
        <v>4</v>
      </c>
      <c r="N166" t="s">
        <v>1317</v>
      </c>
      <c r="O166">
        <v>-9.1600000000000392</v>
      </c>
      <c r="P166" t="s">
        <v>1318</v>
      </c>
      <c r="Q166">
        <v>-0.27757575757575897</v>
      </c>
      <c r="R166" t="s">
        <v>1319</v>
      </c>
      <c r="S166">
        <v>1.89499999999998</v>
      </c>
      <c r="T166" t="s">
        <v>1320</v>
      </c>
      <c r="U166">
        <v>-0.57724137931034403</v>
      </c>
      <c r="V166" t="s">
        <v>1321</v>
      </c>
      <c r="W166">
        <v>7.8570424231075894E-2</v>
      </c>
      <c r="X166" t="s">
        <v>1322</v>
      </c>
      <c r="Y166" t="s">
        <v>1601</v>
      </c>
      <c r="Z166" t="s">
        <v>1602</v>
      </c>
      <c r="AA166">
        <v>0</v>
      </c>
      <c r="AB166" t="s">
        <v>1325</v>
      </c>
      <c r="AC166" t="s">
        <v>1326</v>
      </c>
      <c r="AD166" t="s">
        <v>1601</v>
      </c>
      <c r="AE166" t="s">
        <v>1602</v>
      </c>
      <c r="AF166">
        <v>0</v>
      </c>
      <c r="AG166" t="s">
        <v>1328</v>
      </c>
    </row>
    <row r="167" spans="1:33" x14ac:dyDescent="0.3">
      <c r="A167" t="s">
        <v>1559</v>
      </c>
      <c r="B167" t="s">
        <v>1310</v>
      </c>
      <c r="C167">
        <v>0.3</v>
      </c>
      <c r="D167" t="s">
        <v>1311</v>
      </c>
      <c r="E167" t="s">
        <v>1312</v>
      </c>
      <c r="F167">
        <v>0.15</v>
      </c>
      <c r="G167" t="s">
        <v>1392</v>
      </c>
      <c r="H167" t="s">
        <v>1350</v>
      </c>
      <c r="I167" t="str">
        <f t="shared" si="2"/>
        <v>rsi_{'C',  [('delta', 0.3,  -1),  ('delta', 0.15,  3)]}_[21,  49]_5</v>
      </c>
      <c r="J167" t="s">
        <v>1315</v>
      </c>
      <c r="K167">
        <v>33</v>
      </c>
      <c r="L167" t="s">
        <v>1316</v>
      </c>
      <c r="M167">
        <v>4</v>
      </c>
      <c r="N167" t="s">
        <v>1317</v>
      </c>
      <c r="O167">
        <v>-9.1600000000000392</v>
      </c>
      <c r="P167" t="s">
        <v>1318</v>
      </c>
      <c r="Q167">
        <v>-0.27757575757575897</v>
      </c>
      <c r="R167" t="s">
        <v>1319</v>
      </c>
      <c r="S167">
        <v>1.89499999999998</v>
      </c>
      <c r="T167" t="s">
        <v>1320</v>
      </c>
      <c r="U167">
        <v>-0.57724137931034403</v>
      </c>
      <c r="V167" t="s">
        <v>1321</v>
      </c>
      <c r="W167">
        <v>7.8570424231075894E-2</v>
      </c>
      <c r="X167" t="s">
        <v>1322</v>
      </c>
      <c r="Y167" t="s">
        <v>1601</v>
      </c>
      <c r="Z167" t="s">
        <v>1602</v>
      </c>
      <c r="AA167">
        <v>0</v>
      </c>
      <c r="AB167" t="s">
        <v>1325</v>
      </c>
      <c r="AC167" t="s">
        <v>1326</v>
      </c>
      <c r="AD167" t="s">
        <v>1601</v>
      </c>
      <c r="AE167" t="s">
        <v>1602</v>
      </c>
      <c r="AF167">
        <v>0</v>
      </c>
      <c r="AG167" t="s">
        <v>1328</v>
      </c>
    </row>
    <row r="168" spans="1:33" x14ac:dyDescent="0.3">
      <c r="A168" t="s">
        <v>1559</v>
      </c>
      <c r="B168" t="s">
        <v>1310</v>
      </c>
      <c r="C168">
        <v>0.4</v>
      </c>
      <c r="D168" t="s">
        <v>1311</v>
      </c>
      <c r="E168" t="s">
        <v>1312</v>
      </c>
      <c r="F168">
        <v>0.2</v>
      </c>
      <c r="G168" t="s">
        <v>1381</v>
      </c>
      <c r="H168" t="s">
        <v>1329</v>
      </c>
      <c r="I168" t="str">
        <f t="shared" si="2"/>
        <v>rsi_{'C',  [('delta', 0.4,  -1),  ('delta', 0.2,  3)]}_[7,  35]_2</v>
      </c>
      <c r="J168" t="s">
        <v>1315</v>
      </c>
      <c r="K168">
        <v>35</v>
      </c>
      <c r="L168" t="s">
        <v>1316</v>
      </c>
      <c r="M168">
        <v>6</v>
      </c>
      <c r="N168" t="s">
        <v>1317</v>
      </c>
      <c r="O168">
        <v>-9.2399999999999896</v>
      </c>
      <c r="P168" t="s">
        <v>1318</v>
      </c>
      <c r="Q168">
        <v>-0.26399999999999901</v>
      </c>
      <c r="R168" t="s">
        <v>1319</v>
      </c>
      <c r="S168">
        <v>1.96999999999999</v>
      </c>
      <c r="T168" t="s">
        <v>1320</v>
      </c>
      <c r="U168">
        <v>-0.72620689655172399</v>
      </c>
      <c r="V168" t="s">
        <v>1321</v>
      </c>
      <c r="W168">
        <v>0.101212619529466</v>
      </c>
      <c r="X168" t="s">
        <v>1322</v>
      </c>
      <c r="Y168" t="s">
        <v>1529</v>
      </c>
      <c r="Z168" t="s">
        <v>1530</v>
      </c>
      <c r="AA168">
        <v>0</v>
      </c>
      <c r="AB168" t="s">
        <v>1325</v>
      </c>
      <c r="AC168" t="s">
        <v>1326</v>
      </c>
      <c r="AD168" t="s">
        <v>1529</v>
      </c>
      <c r="AE168" t="s">
        <v>1530</v>
      </c>
      <c r="AF168">
        <v>0</v>
      </c>
      <c r="AG168" t="s">
        <v>1328</v>
      </c>
    </row>
    <row r="169" spans="1:33" x14ac:dyDescent="0.3">
      <c r="A169" t="s">
        <v>1604</v>
      </c>
      <c r="B169" t="s">
        <v>1310</v>
      </c>
      <c r="C169">
        <v>0.3</v>
      </c>
      <c r="D169" t="s">
        <v>1311</v>
      </c>
      <c r="E169" t="s">
        <v>1312</v>
      </c>
      <c r="F169">
        <v>0.15</v>
      </c>
      <c r="G169" t="s">
        <v>1313</v>
      </c>
      <c r="H169" t="s">
        <v>1329</v>
      </c>
      <c r="I169" t="str">
        <f t="shared" si="2"/>
        <v>stoch_{'C',  [('delta', 0.3,  -1),  ('delta', 0.15,  2)]}_[7,  35]_2</v>
      </c>
      <c r="J169" t="s">
        <v>1315</v>
      </c>
      <c r="K169">
        <v>224</v>
      </c>
      <c r="L169" t="s">
        <v>1316</v>
      </c>
      <c r="M169">
        <v>105</v>
      </c>
      <c r="N169" t="s">
        <v>1317</v>
      </c>
      <c r="O169">
        <v>-9.4399999999999302</v>
      </c>
      <c r="P169" t="s">
        <v>1318</v>
      </c>
      <c r="Q169">
        <v>-4.2142857142856802E-2</v>
      </c>
      <c r="R169" t="s">
        <v>1319</v>
      </c>
      <c r="S169">
        <v>0.64342857142857202</v>
      </c>
      <c r="T169" t="s">
        <v>1320</v>
      </c>
      <c r="U169">
        <v>-0.64705882352941102</v>
      </c>
      <c r="V169" t="s">
        <v>1321</v>
      </c>
      <c r="W169">
        <v>0.20848137306952599</v>
      </c>
      <c r="X169" t="s">
        <v>1322</v>
      </c>
      <c r="Y169" t="s">
        <v>1415</v>
      </c>
      <c r="Z169" t="s">
        <v>1416</v>
      </c>
      <c r="AA169">
        <v>0</v>
      </c>
      <c r="AB169" t="s">
        <v>1325</v>
      </c>
      <c r="AC169" t="s">
        <v>1326</v>
      </c>
      <c r="AD169" t="s">
        <v>1634</v>
      </c>
      <c r="AE169" t="s">
        <v>1435</v>
      </c>
      <c r="AF169">
        <v>0</v>
      </c>
      <c r="AG169" t="s">
        <v>1328</v>
      </c>
    </row>
    <row r="170" spans="1:33" x14ac:dyDescent="0.3">
      <c r="A170" t="s">
        <v>1559</v>
      </c>
      <c r="B170" t="s">
        <v>1310</v>
      </c>
      <c r="C170">
        <v>0.3</v>
      </c>
      <c r="D170" t="s">
        <v>1311</v>
      </c>
      <c r="E170" t="s">
        <v>1312</v>
      </c>
      <c r="F170">
        <v>0.15</v>
      </c>
      <c r="G170" t="s">
        <v>1381</v>
      </c>
      <c r="H170" t="s">
        <v>1333</v>
      </c>
      <c r="I170" t="str">
        <f t="shared" si="2"/>
        <v>rsi_{'C',  [('delta', 0.3,  -1),  ('delta', 0.15,  3)]}_[7,  35]_3</v>
      </c>
      <c r="J170" t="s">
        <v>1315</v>
      </c>
      <c r="K170">
        <v>35</v>
      </c>
      <c r="L170" t="s">
        <v>1316</v>
      </c>
      <c r="M170">
        <v>6</v>
      </c>
      <c r="N170" t="s">
        <v>1317</v>
      </c>
      <c r="O170">
        <v>-9.4700000000000504</v>
      </c>
      <c r="P170" t="s">
        <v>1318</v>
      </c>
      <c r="Q170">
        <v>-0.27057142857143002</v>
      </c>
      <c r="R170" t="s">
        <v>1319</v>
      </c>
      <c r="S170">
        <v>1.32833333333332</v>
      </c>
      <c r="T170" t="s">
        <v>1320</v>
      </c>
      <c r="U170">
        <v>-0.60137931034482695</v>
      </c>
      <c r="V170" t="s">
        <v>1321</v>
      </c>
      <c r="W170">
        <v>8.3745008839260296E-2</v>
      </c>
      <c r="X170" t="s">
        <v>1322</v>
      </c>
      <c r="Y170" t="s">
        <v>1596</v>
      </c>
      <c r="Z170" t="s">
        <v>1597</v>
      </c>
      <c r="AA170">
        <v>0</v>
      </c>
      <c r="AB170" t="s">
        <v>1325</v>
      </c>
      <c r="AC170" t="s">
        <v>1326</v>
      </c>
      <c r="AD170" t="s">
        <v>1596</v>
      </c>
      <c r="AE170" t="s">
        <v>1597</v>
      </c>
      <c r="AF170">
        <v>0</v>
      </c>
      <c r="AG170" t="s">
        <v>1328</v>
      </c>
    </row>
    <row r="171" spans="1:33" x14ac:dyDescent="0.3">
      <c r="A171" t="s">
        <v>1559</v>
      </c>
      <c r="B171" t="s">
        <v>1310</v>
      </c>
      <c r="C171">
        <v>0.3</v>
      </c>
      <c r="D171" t="s">
        <v>1311</v>
      </c>
      <c r="E171" t="s">
        <v>1312</v>
      </c>
      <c r="F171">
        <v>0.15</v>
      </c>
      <c r="G171" t="s">
        <v>1381</v>
      </c>
      <c r="H171" t="s">
        <v>1336</v>
      </c>
      <c r="I171" t="str">
        <f t="shared" si="2"/>
        <v>rsi_{'C',  [('delta', 0.3,  -1),  ('delta', 0.15,  3)]}_[7,  35]_4</v>
      </c>
      <c r="J171" t="s">
        <v>1315</v>
      </c>
      <c r="K171">
        <v>35</v>
      </c>
      <c r="L171" t="s">
        <v>1316</v>
      </c>
      <c r="M171">
        <v>6</v>
      </c>
      <c r="N171" t="s">
        <v>1317</v>
      </c>
      <c r="O171">
        <v>-9.4700000000000504</v>
      </c>
      <c r="P171" t="s">
        <v>1318</v>
      </c>
      <c r="Q171">
        <v>-0.27057142857143002</v>
      </c>
      <c r="R171" t="s">
        <v>1319</v>
      </c>
      <c r="S171">
        <v>1.32833333333332</v>
      </c>
      <c r="T171" t="s">
        <v>1320</v>
      </c>
      <c r="U171">
        <v>-0.60137931034482695</v>
      </c>
      <c r="V171" t="s">
        <v>1321</v>
      </c>
      <c r="W171">
        <v>8.3745008839260296E-2</v>
      </c>
      <c r="X171" t="s">
        <v>1322</v>
      </c>
      <c r="Y171" t="s">
        <v>1596</v>
      </c>
      <c r="Z171" t="s">
        <v>1597</v>
      </c>
      <c r="AA171">
        <v>0</v>
      </c>
      <c r="AB171" t="s">
        <v>1325</v>
      </c>
      <c r="AC171" t="s">
        <v>1326</v>
      </c>
      <c r="AD171" t="s">
        <v>1596</v>
      </c>
      <c r="AE171" t="s">
        <v>1597</v>
      </c>
      <c r="AF171">
        <v>0</v>
      </c>
      <c r="AG171" t="s">
        <v>1328</v>
      </c>
    </row>
    <row r="172" spans="1:33" x14ac:dyDescent="0.3">
      <c r="A172" t="s">
        <v>1559</v>
      </c>
      <c r="B172" t="s">
        <v>1310</v>
      </c>
      <c r="C172">
        <v>0.3</v>
      </c>
      <c r="D172" t="s">
        <v>1311</v>
      </c>
      <c r="E172" t="s">
        <v>1312</v>
      </c>
      <c r="F172">
        <v>0.15</v>
      </c>
      <c r="G172" t="s">
        <v>1381</v>
      </c>
      <c r="H172" t="s">
        <v>1337</v>
      </c>
      <c r="I172" t="str">
        <f t="shared" si="2"/>
        <v>rsi_{'C',  [('delta', 0.3,  -1),  ('delta', 0.15,  3)]}_[7,  35]_5</v>
      </c>
      <c r="J172" t="s">
        <v>1315</v>
      </c>
      <c r="K172">
        <v>35</v>
      </c>
      <c r="L172" t="s">
        <v>1316</v>
      </c>
      <c r="M172">
        <v>6</v>
      </c>
      <c r="N172" t="s">
        <v>1317</v>
      </c>
      <c r="O172">
        <v>-9.4700000000000504</v>
      </c>
      <c r="P172" t="s">
        <v>1318</v>
      </c>
      <c r="Q172">
        <v>-0.27057142857143002</v>
      </c>
      <c r="R172" t="s">
        <v>1319</v>
      </c>
      <c r="S172">
        <v>1.32833333333332</v>
      </c>
      <c r="T172" t="s">
        <v>1320</v>
      </c>
      <c r="U172">
        <v>-0.60137931034482695</v>
      </c>
      <c r="V172" t="s">
        <v>1321</v>
      </c>
      <c r="W172">
        <v>8.3745008839260296E-2</v>
      </c>
      <c r="X172" t="s">
        <v>1322</v>
      </c>
      <c r="Y172" t="s">
        <v>1596</v>
      </c>
      <c r="Z172" t="s">
        <v>1597</v>
      </c>
      <c r="AA172">
        <v>0</v>
      </c>
      <c r="AB172" t="s">
        <v>1325</v>
      </c>
      <c r="AC172" t="s">
        <v>1326</v>
      </c>
      <c r="AD172" t="s">
        <v>1596</v>
      </c>
      <c r="AE172" t="s">
        <v>1597</v>
      </c>
      <c r="AF172">
        <v>0</v>
      </c>
      <c r="AG172" t="s">
        <v>1328</v>
      </c>
    </row>
    <row r="173" spans="1:33" x14ac:dyDescent="0.3">
      <c r="A173" t="s">
        <v>1500</v>
      </c>
      <c r="B173" t="s">
        <v>1310</v>
      </c>
      <c r="C173">
        <v>0.4</v>
      </c>
      <c r="D173" t="s">
        <v>1311</v>
      </c>
      <c r="E173" t="s">
        <v>1312</v>
      </c>
      <c r="F173">
        <v>0.2</v>
      </c>
      <c r="G173" t="s">
        <v>1381</v>
      </c>
      <c r="H173" t="s">
        <v>1333</v>
      </c>
      <c r="I173" t="str">
        <f t="shared" si="2"/>
        <v>psar_{'C',  [('delta', 0.4,  -1),  ('delta', 0.2,  3)]}_[7,  35]_3</v>
      </c>
      <c r="J173" t="s">
        <v>1315</v>
      </c>
      <c r="K173">
        <v>140</v>
      </c>
      <c r="L173" t="s">
        <v>1316</v>
      </c>
      <c r="M173">
        <v>30</v>
      </c>
      <c r="N173" t="s">
        <v>1317</v>
      </c>
      <c r="O173">
        <v>-9.51999999999998</v>
      </c>
      <c r="P173" t="s">
        <v>1318</v>
      </c>
      <c r="Q173">
        <v>-6.7999999999999797E-2</v>
      </c>
      <c r="R173" t="s">
        <v>1319</v>
      </c>
      <c r="S173">
        <v>2.0456666666666599</v>
      </c>
      <c r="T173" t="s">
        <v>1320</v>
      </c>
      <c r="U173">
        <v>-0.64445454545454495</v>
      </c>
      <c r="V173" t="s">
        <v>1321</v>
      </c>
      <c r="W173">
        <v>0.322202937079487</v>
      </c>
      <c r="X173" t="s">
        <v>1322</v>
      </c>
      <c r="Y173" t="s">
        <v>1531</v>
      </c>
      <c r="Z173" t="s">
        <v>1494</v>
      </c>
      <c r="AA173">
        <v>0</v>
      </c>
      <c r="AB173" t="s">
        <v>1325</v>
      </c>
      <c r="AC173" t="s">
        <v>1326</v>
      </c>
      <c r="AD173" t="s">
        <v>1531</v>
      </c>
      <c r="AE173" t="s">
        <v>1494</v>
      </c>
      <c r="AF173">
        <v>0</v>
      </c>
      <c r="AG173" t="s">
        <v>1328</v>
      </c>
    </row>
    <row r="174" spans="1:33" x14ac:dyDescent="0.3">
      <c r="A174" t="s">
        <v>1559</v>
      </c>
      <c r="B174" t="s">
        <v>1310</v>
      </c>
      <c r="C174">
        <v>0.4</v>
      </c>
      <c r="D174" t="s">
        <v>1311</v>
      </c>
      <c r="E174" t="s">
        <v>1312</v>
      </c>
      <c r="F174">
        <v>0.2</v>
      </c>
      <c r="G174" t="s">
        <v>1351</v>
      </c>
      <c r="H174" t="s">
        <v>1358</v>
      </c>
      <c r="I174" t="str">
        <f t="shared" si="2"/>
        <v>rsi_{'C',  [('delta', 0.4,  -1),  ('delta', 0.2,  2)]}_[35,  70]_3</v>
      </c>
      <c r="J174" t="s">
        <v>1315</v>
      </c>
      <c r="K174">
        <v>40</v>
      </c>
      <c r="L174" t="s">
        <v>1316</v>
      </c>
      <c r="M174">
        <v>7</v>
      </c>
      <c r="N174" t="s">
        <v>1317</v>
      </c>
      <c r="O174">
        <v>-9.5900043973382605</v>
      </c>
      <c r="P174" t="s">
        <v>1318</v>
      </c>
      <c r="Q174">
        <v>-0.239750109933456</v>
      </c>
      <c r="R174" t="s">
        <v>1319</v>
      </c>
      <c r="S174">
        <v>2.0328571428571398</v>
      </c>
      <c r="T174" t="s">
        <v>1320</v>
      </c>
      <c r="U174">
        <v>-0.72181831507085603</v>
      </c>
      <c r="V174" t="s">
        <v>1321</v>
      </c>
      <c r="W174">
        <v>0.10018962599511499</v>
      </c>
      <c r="X174" t="s">
        <v>1322</v>
      </c>
      <c r="Y174" t="s">
        <v>1580</v>
      </c>
      <c r="Z174" t="s">
        <v>1416</v>
      </c>
      <c r="AA174">
        <v>0</v>
      </c>
      <c r="AB174" t="s">
        <v>1325</v>
      </c>
      <c r="AC174" t="s">
        <v>1326</v>
      </c>
      <c r="AD174" t="s">
        <v>1581</v>
      </c>
      <c r="AE174" t="s">
        <v>1582</v>
      </c>
      <c r="AF174">
        <v>0</v>
      </c>
      <c r="AG174" t="s">
        <v>1328</v>
      </c>
    </row>
    <row r="175" spans="1:33" x14ac:dyDescent="0.3">
      <c r="A175" t="s">
        <v>1559</v>
      </c>
      <c r="B175" t="s">
        <v>1310</v>
      </c>
      <c r="C175">
        <v>0.3</v>
      </c>
      <c r="D175" t="s">
        <v>1311</v>
      </c>
      <c r="E175" t="s">
        <v>1312</v>
      </c>
      <c r="F175">
        <v>0.15</v>
      </c>
      <c r="G175" t="s">
        <v>1392</v>
      </c>
      <c r="H175" t="s">
        <v>1346</v>
      </c>
      <c r="I175" t="str">
        <f t="shared" si="2"/>
        <v>rsi_{'C',  [('delta', 0.3,  -1),  ('delta', 0.15,  3)]}_[21,  49]_2</v>
      </c>
      <c r="J175" t="s">
        <v>1315</v>
      </c>
      <c r="K175">
        <v>33</v>
      </c>
      <c r="L175" t="s">
        <v>1316</v>
      </c>
      <c r="M175">
        <v>5</v>
      </c>
      <c r="N175" t="s">
        <v>1317</v>
      </c>
      <c r="O175">
        <v>-9.7099999999999902</v>
      </c>
      <c r="P175" t="s">
        <v>1318</v>
      </c>
      <c r="Q175">
        <v>-0.29424242424242403</v>
      </c>
      <c r="R175" t="s">
        <v>1319</v>
      </c>
      <c r="S175">
        <v>1.252</v>
      </c>
      <c r="T175" t="s">
        <v>1320</v>
      </c>
      <c r="U175">
        <v>-0.57035714285714201</v>
      </c>
      <c r="V175" t="s">
        <v>1321</v>
      </c>
      <c r="W175">
        <v>6.2296772631008003E-2</v>
      </c>
      <c r="X175" t="s">
        <v>1322</v>
      </c>
      <c r="Y175" t="s">
        <v>1599</v>
      </c>
      <c r="Z175" t="s">
        <v>1600</v>
      </c>
      <c r="AA175">
        <v>0</v>
      </c>
      <c r="AB175" t="s">
        <v>1325</v>
      </c>
      <c r="AC175" t="s">
        <v>1326</v>
      </c>
      <c r="AD175" t="s">
        <v>1599</v>
      </c>
      <c r="AE175" t="s">
        <v>1600</v>
      </c>
      <c r="AF175">
        <v>0</v>
      </c>
      <c r="AG175" t="s">
        <v>1328</v>
      </c>
    </row>
    <row r="176" spans="1:33" x14ac:dyDescent="0.3">
      <c r="A176" t="s">
        <v>1604</v>
      </c>
      <c r="B176" t="s">
        <v>1310</v>
      </c>
      <c r="C176">
        <v>0.4</v>
      </c>
      <c r="D176" t="s">
        <v>1311</v>
      </c>
      <c r="E176" t="s">
        <v>1312</v>
      </c>
      <c r="F176">
        <v>0.2</v>
      </c>
      <c r="G176" t="s">
        <v>1403</v>
      </c>
      <c r="H176" t="s">
        <v>1358</v>
      </c>
      <c r="I176" t="str">
        <f t="shared" si="2"/>
        <v>stoch_{'C',  [('delta', 0.4,  -1),  ('delta', 0.2,  3)]}_[35,  70]_3</v>
      </c>
      <c r="J176" t="s">
        <v>1315</v>
      </c>
      <c r="K176">
        <v>291</v>
      </c>
      <c r="L176" t="s">
        <v>1316</v>
      </c>
      <c r="M176">
        <v>48</v>
      </c>
      <c r="N176" t="s">
        <v>1317</v>
      </c>
      <c r="O176">
        <v>-9.7775317656180398</v>
      </c>
      <c r="P176" t="s">
        <v>1318</v>
      </c>
      <c r="Q176">
        <v>-3.3599765517587699E-2</v>
      </c>
      <c r="R176" t="s">
        <v>1319</v>
      </c>
      <c r="S176">
        <v>3.5647887385106101</v>
      </c>
      <c r="T176" t="s">
        <v>1320</v>
      </c>
      <c r="U176">
        <v>-0.74439255643673896</v>
      </c>
      <c r="V176" t="s">
        <v>1321</v>
      </c>
      <c r="W176">
        <v>0.58867828315445003</v>
      </c>
      <c r="X176" t="s">
        <v>1322</v>
      </c>
      <c r="Y176" t="s">
        <v>1630</v>
      </c>
      <c r="Z176" t="s">
        <v>1473</v>
      </c>
      <c r="AA176">
        <v>0</v>
      </c>
      <c r="AB176" t="s">
        <v>1325</v>
      </c>
      <c r="AC176" t="s">
        <v>1326</v>
      </c>
      <c r="AD176" t="s">
        <v>1631</v>
      </c>
      <c r="AE176" t="s">
        <v>1534</v>
      </c>
      <c r="AF176">
        <v>0</v>
      </c>
      <c r="AG176" t="s">
        <v>1328</v>
      </c>
    </row>
    <row r="177" spans="1:33" x14ac:dyDescent="0.3">
      <c r="A177" t="s">
        <v>1604</v>
      </c>
      <c r="B177" t="s">
        <v>1310</v>
      </c>
      <c r="C177">
        <v>0.4</v>
      </c>
      <c r="D177" t="s">
        <v>1311</v>
      </c>
      <c r="E177" t="s">
        <v>1312</v>
      </c>
      <c r="F177">
        <v>0.2</v>
      </c>
      <c r="G177" t="s">
        <v>1381</v>
      </c>
      <c r="H177" t="s">
        <v>1333</v>
      </c>
      <c r="I177" t="str">
        <f t="shared" si="2"/>
        <v>stoch_{'C',  [('delta', 0.4,  -1),  ('delta', 0.2,  3)]}_[7,  35]_3</v>
      </c>
      <c r="J177" t="s">
        <v>1315</v>
      </c>
      <c r="K177">
        <v>224</v>
      </c>
      <c r="L177" t="s">
        <v>1316</v>
      </c>
      <c r="M177">
        <v>43</v>
      </c>
      <c r="N177" t="s">
        <v>1317</v>
      </c>
      <c r="O177">
        <v>-9.93</v>
      </c>
      <c r="P177" t="s">
        <v>1318</v>
      </c>
      <c r="Q177">
        <v>-4.4330357142857102E-2</v>
      </c>
      <c r="R177" t="s">
        <v>1319</v>
      </c>
      <c r="S177">
        <v>2.75093023255813</v>
      </c>
      <c r="T177" t="s">
        <v>1320</v>
      </c>
      <c r="U177">
        <v>-0.70839779005524794</v>
      </c>
      <c r="V177" t="s">
        <v>1321</v>
      </c>
      <c r="W177">
        <v>0.46501405679841801</v>
      </c>
      <c r="X177" t="s">
        <v>1322</v>
      </c>
      <c r="Y177" t="s">
        <v>1483</v>
      </c>
      <c r="Z177" t="s">
        <v>1435</v>
      </c>
      <c r="AA177">
        <v>0</v>
      </c>
      <c r="AB177" t="s">
        <v>1325</v>
      </c>
      <c r="AC177" t="s">
        <v>1326</v>
      </c>
      <c r="AD177" t="s">
        <v>1485</v>
      </c>
      <c r="AE177" t="s">
        <v>1435</v>
      </c>
      <c r="AF177">
        <v>0</v>
      </c>
      <c r="AG177" t="s">
        <v>1328</v>
      </c>
    </row>
    <row r="178" spans="1:33" x14ac:dyDescent="0.3">
      <c r="A178" t="s">
        <v>1559</v>
      </c>
      <c r="B178" t="s">
        <v>1310</v>
      </c>
      <c r="C178">
        <v>0.3</v>
      </c>
      <c r="D178" t="s">
        <v>1311</v>
      </c>
      <c r="E178" t="s">
        <v>1312</v>
      </c>
      <c r="F178">
        <v>0.15</v>
      </c>
      <c r="G178" t="s">
        <v>1392</v>
      </c>
      <c r="H178" t="s">
        <v>1343</v>
      </c>
      <c r="I178" t="str">
        <f t="shared" si="2"/>
        <v>rsi_{'C',  [('delta', 0.3,  -1),  ('delta', 0.15,  3)]}_[21,  49]_1</v>
      </c>
      <c r="J178" t="s">
        <v>1315</v>
      </c>
      <c r="K178">
        <v>33</v>
      </c>
      <c r="L178" t="s">
        <v>1316</v>
      </c>
      <c r="M178">
        <v>6</v>
      </c>
      <c r="N178" t="s">
        <v>1317</v>
      </c>
      <c r="O178">
        <v>-10.02</v>
      </c>
      <c r="P178" t="s">
        <v>1318</v>
      </c>
      <c r="Q178">
        <v>-0.30363636363636298</v>
      </c>
      <c r="R178" t="s">
        <v>1319</v>
      </c>
      <c r="S178">
        <v>0.90499999999999903</v>
      </c>
      <c r="T178" t="s">
        <v>1320</v>
      </c>
      <c r="U178">
        <v>-0.57222222222222197</v>
      </c>
      <c r="V178" t="s">
        <v>1321</v>
      </c>
      <c r="W178">
        <v>4.9778512513729702E-2</v>
      </c>
      <c r="X178" t="s">
        <v>1322</v>
      </c>
      <c r="Y178" t="s">
        <v>1598</v>
      </c>
      <c r="Z178" t="s">
        <v>1534</v>
      </c>
      <c r="AA178">
        <v>0</v>
      </c>
      <c r="AB178" t="s">
        <v>1325</v>
      </c>
      <c r="AC178" t="s">
        <v>1326</v>
      </c>
      <c r="AD178" t="s">
        <v>1598</v>
      </c>
      <c r="AE178" t="s">
        <v>1534</v>
      </c>
      <c r="AF178">
        <v>0</v>
      </c>
      <c r="AG178" t="s">
        <v>1328</v>
      </c>
    </row>
    <row r="179" spans="1:33" x14ac:dyDescent="0.3">
      <c r="A179" t="s">
        <v>1455</v>
      </c>
      <c r="B179" t="s">
        <v>1310</v>
      </c>
      <c r="C179">
        <v>0.3</v>
      </c>
      <c r="D179" t="s">
        <v>1311</v>
      </c>
      <c r="E179" t="s">
        <v>1312</v>
      </c>
      <c r="F179">
        <v>0.15</v>
      </c>
      <c r="G179" t="s">
        <v>1351</v>
      </c>
      <c r="H179" t="s">
        <v>1356</v>
      </c>
      <c r="I179" t="str">
        <f t="shared" si="2"/>
        <v>bbands_{'C',  [('delta', 0.3,  -1),  ('delta', 0.15,  2)]}_[35,  70]_2</v>
      </c>
      <c r="J179" t="s">
        <v>1315</v>
      </c>
      <c r="K179">
        <v>247</v>
      </c>
      <c r="L179" t="s">
        <v>1316</v>
      </c>
      <c r="M179">
        <v>90</v>
      </c>
      <c r="N179" t="s">
        <v>1317</v>
      </c>
      <c r="O179">
        <v>-10.0780211395869</v>
      </c>
      <c r="P179" t="s">
        <v>1318</v>
      </c>
      <c r="Q179">
        <v>-4.0801705018570597E-2</v>
      </c>
      <c r="R179" t="s">
        <v>1319</v>
      </c>
      <c r="S179">
        <v>1.0741731339420699</v>
      </c>
      <c r="T179" t="s">
        <v>1320</v>
      </c>
      <c r="U179">
        <v>-0.67995925601511997</v>
      </c>
      <c r="V179" t="s">
        <v>1321</v>
      </c>
      <c r="W179">
        <v>0.29554621296412897</v>
      </c>
      <c r="X179" t="s">
        <v>1322</v>
      </c>
      <c r="Y179" t="s">
        <v>1344</v>
      </c>
      <c r="Z179" t="s">
        <v>1331</v>
      </c>
      <c r="AA179">
        <v>0</v>
      </c>
      <c r="AB179" t="s">
        <v>1325</v>
      </c>
      <c r="AC179" t="s">
        <v>1326</v>
      </c>
      <c r="AD179" t="s">
        <v>1344</v>
      </c>
      <c r="AE179" t="s">
        <v>1331</v>
      </c>
      <c r="AF179">
        <v>0</v>
      </c>
      <c r="AG179" t="s">
        <v>1328</v>
      </c>
    </row>
    <row r="180" spans="1:33" x14ac:dyDescent="0.3">
      <c r="A180" t="s">
        <v>1604</v>
      </c>
      <c r="B180" t="s">
        <v>1310</v>
      </c>
      <c r="C180">
        <v>0.5</v>
      </c>
      <c r="D180" t="s">
        <v>1311</v>
      </c>
      <c r="E180" t="s">
        <v>1312</v>
      </c>
      <c r="F180">
        <v>0.3</v>
      </c>
      <c r="G180" t="s">
        <v>1313</v>
      </c>
      <c r="H180" t="s">
        <v>1314</v>
      </c>
      <c r="I180" t="str">
        <f t="shared" si="2"/>
        <v>stoch_{'C',  [('delta', 0.5,  -1),  ('delta', 0.3,  2)]}_[7,  35]_1</v>
      </c>
      <c r="J180" t="s">
        <v>1315</v>
      </c>
      <c r="K180">
        <v>224</v>
      </c>
      <c r="L180" t="s">
        <v>1316</v>
      </c>
      <c r="M180">
        <v>75</v>
      </c>
      <c r="N180" t="s">
        <v>1317</v>
      </c>
      <c r="O180">
        <v>-10.409999999999901</v>
      </c>
      <c r="P180" t="s">
        <v>1318</v>
      </c>
      <c r="Q180">
        <v>-4.6473214285714201E-2</v>
      </c>
      <c r="R180" t="s">
        <v>1319</v>
      </c>
      <c r="S180">
        <v>1.2546666666666599</v>
      </c>
      <c r="T180" t="s">
        <v>1320</v>
      </c>
      <c r="U180">
        <v>-0.70140939597315399</v>
      </c>
      <c r="V180" t="s">
        <v>1321</v>
      </c>
      <c r="W180">
        <v>0.26593057040390999</v>
      </c>
      <c r="X180" t="s">
        <v>1322</v>
      </c>
      <c r="Y180" t="s">
        <v>1323</v>
      </c>
      <c r="Z180" t="s">
        <v>1324</v>
      </c>
      <c r="AA180">
        <v>0</v>
      </c>
      <c r="AB180" t="s">
        <v>1325</v>
      </c>
      <c r="AC180" t="s">
        <v>1326</v>
      </c>
      <c r="AD180" t="s">
        <v>1605</v>
      </c>
      <c r="AE180" t="s">
        <v>1324</v>
      </c>
      <c r="AF180">
        <v>0</v>
      </c>
      <c r="AG180" t="s">
        <v>1328</v>
      </c>
    </row>
    <row r="181" spans="1:33" x14ac:dyDescent="0.3">
      <c r="A181" t="s">
        <v>1559</v>
      </c>
      <c r="B181" t="s">
        <v>1310</v>
      </c>
      <c r="C181">
        <v>0.4</v>
      </c>
      <c r="D181" t="s">
        <v>1311</v>
      </c>
      <c r="E181" t="s">
        <v>1312</v>
      </c>
      <c r="F181">
        <v>0.2</v>
      </c>
      <c r="G181" t="s">
        <v>1342</v>
      </c>
      <c r="H181" t="s">
        <v>1343</v>
      </c>
      <c r="I181" t="str">
        <f t="shared" si="2"/>
        <v>rsi_{'C',  [('delta', 0.4,  -1),  ('delta', 0.2,  2)]}_[21,  49]_1</v>
      </c>
      <c r="J181" t="s">
        <v>1315</v>
      </c>
      <c r="K181">
        <v>33</v>
      </c>
      <c r="L181" t="s">
        <v>1316</v>
      </c>
      <c r="M181">
        <v>8</v>
      </c>
      <c r="N181" t="s">
        <v>1317</v>
      </c>
      <c r="O181">
        <v>-10.659999999999901</v>
      </c>
      <c r="P181" t="s">
        <v>1318</v>
      </c>
      <c r="Q181">
        <v>-0.323030303030302</v>
      </c>
      <c r="R181" t="s">
        <v>1319</v>
      </c>
      <c r="S181">
        <v>1.0449999999999999</v>
      </c>
      <c r="T181" t="s">
        <v>1320</v>
      </c>
      <c r="U181">
        <v>-0.76080000000000003</v>
      </c>
      <c r="V181" t="s">
        <v>1321</v>
      </c>
      <c r="W181">
        <v>6.7066743664106795E-2</v>
      </c>
      <c r="X181" t="s">
        <v>1322</v>
      </c>
      <c r="Y181" t="s">
        <v>1576</v>
      </c>
      <c r="Z181" t="s">
        <v>1324</v>
      </c>
      <c r="AA181">
        <v>0</v>
      </c>
      <c r="AB181" t="s">
        <v>1325</v>
      </c>
      <c r="AC181" t="s">
        <v>1326</v>
      </c>
      <c r="AD181" t="s">
        <v>1572</v>
      </c>
      <c r="AE181" t="s">
        <v>1573</v>
      </c>
      <c r="AF181">
        <v>0</v>
      </c>
      <c r="AG181" t="s">
        <v>1328</v>
      </c>
    </row>
    <row r="182" spans="1:33" x14ac:dyDescent="0.3">
      <c r="A182" t="s">
        <v>1500</v>
      </c>
      <c r="B182" t="s">
        <v>1310</v>
      </c>
      <c r="C182">
        <v>0.4</v>
      </c>
      <c r="D182" t="s">
        <v>1311</v>
      </c>
      <c r="E182" t="s">
        <v>1312</v>
      </c>
      <c r="F182">
        <v>0.2</v>
      </c>
      <c r="G182" t="s">
        <v>1403</v>
      </c>
      <c r="H182" t="s">
        <v>1358</v>
      </c>
      <c r="I182" t="str">
        <f t="shared" si="2"/>
        <v>psar_{'C',  [('delta', 0.4,  -1),  ('delta', 0.2,  3)]}_[35,  70]_3</v>
      </c>
      <c r="J182" t="s">
        <v>1315</v>
      </c>
      <c r="K182">
        <v>177</v>
      </c>
      <c r="L182" t="s">
        <v>1316</v>
      </c>
      <c r="M182">
        <v>25</v>
      </c>
      <c r="N182" t="s">
        <v>1317</v>
      </c>
      <c r="O182">
        <v>-10.7233570999571</v>
      </c>
      <c r="P182" t="s">
        <v>1318</v>
      </c>
      <c r="Q182">
        <v>-6.0583938417837199E-2</v>
      </c>
      <c r="R182" t="s">
        <v>1319</v>
      </c>
      <c r="S182">
        <v>3.8628</v>
      </c>
      <c r="T182" t="s">
        <v>1320</v>
      </c>
      <c r="U182">
        <v>-0.705877349341823</v>
      </c>
      <c r="V182" t="s">
        <v>1321</v>
      </c>
      <c r="W182">
        <v>0.49180388530387198</v>
      </c>
      <c r="X182" t="s">
        <v>1322</v>
      </c>
      <c r="Y182" t="s">
        <v>1538</v>
      </c>
      <c r="Z182" t="s">
        <v>1540</v>
      </c>
    </row>
    <row r="183" spans="1:33" x14ac:dyDescent="0.3">
      <c r="A183" t="s">
        <v>1455</v>
      </c>
      <c r="B183" t="s">
        <v>1310</v>
      </c>
      <c r="C183">
        <v>0.5</v>
      </c>
      <c r="D183" t="s">
        <v>1311</v>
      </c>
      <c r="E183" t="s">
        <v>1312</v>
      </c>
      <c r="F183">
        <v>0.3</v>
      </c>
      <c r="G183" t="s">
        <v>1313</v>
      </c>
      <c r="H183" t="s">
        <v>1329</v>
      </c>
      <c r="I183" t="str">
        <f t="shared" si="2"/>
        <v>bbands_{'C',  [('delta', 0.5,  -1),  ('delta', 0.3,  2)]}_[7,  35]_2</v>
      </c>
      <c r="J183" t="s">
        <v>1315</v>
      </c>
      <c r="K183">
        <v>191</v>
      </c>
      <c r="L183" t="s">
        <v>1316</v>
      </c>
      <c r="M183">
        <v>57</v>
      </c>
      <c r="N183" t="s">
        <v>1317</v>
      </c>
      <c r="O183">
        <v>-10.809999999999899</v>
      </c>
      <c r="P183" t="s">
        <v>1318</v>
      </c>
      <c r="Q183">
        <v>-5.6596858638743301E-2</v>
      </c>
      <c r="R183" t="s">
        <v>1319</v>
      </c>
      <c r="S183">
        <v>1.6405263157894701</v>
      </c>
      <c r="T183" t="s">
        <v>1320</v>
      </c>
      <c r="U183">
        <v>-0.77850746268656701</v>
      </c>
      <c r="V183" t="s">
        <v>1321</v>
      </c>
      <c r="W183">
        <v>0.30093028733411298</v>
      </c>
      <c r="X183" t="s">
        <v>1322</v>
      </c>
      <c r="Y183" t="s">
        <v>1459</v>
      </c>
      <c r="Z183" t="s">
        <v>1444</v>
      </c>
      <c r="AA183">
        <v>0</v>
      </c>
      <c r="AB183" t="s">
        <v>1325</v>
      </c>
      <c r="AC183" t="s">
        <v>1326</v>
      </c>
      <c r="AD183" t="s">
        <v>1460</v>
      </c>
      <c r="AE183" t="s">
        <v>1372</v>
      </c>
      <c r="AF183">
        <v>0</v>
      </c>
      <c r="AG183" t="s">
        <v>1328</v>
      </c>
    </row>
    <row r="184" spans="1:33" x14ac:dyDescent="0.3">
      <c r="A184" t="s">
        <v>1500</v>
      </c>
      <c r="B184" t="s">
        <v>1310</v>
      </c>
      <c r="C184">
        <v>0.4</v>
      </c>
      <c r="D184" t="s">
        <v>1311</v>
      </c>
      <c r="E184" t="s">
        <v>1312</v>
      </c>
      <c r="F184">
        <v>0.2</v>
      </c>
      <c r="G184" t="s">
        <v>1392</v>
      </c>
      <c r="H184" t="s">
        <v>1348</v>
      </c>
      <c r="I184" t="str">
        <f t="shared" si="2"/>
        <v>psar_{'C',  [('delta', 0.4,  -1),  ('delta', 0.2,  3)]}_[21,  49]_3</v>
      </c>
      <c r="J184" t="s">
        <v>1315</v>
      </c>
      <c r="K184">
        <v>136</v>
      </c>
      <c r="L184" t="s">
        <v>1316</v>
      </c>
      <c r="M184">
        <v>23</v>
      </c>
      <c r="N184" t="s">
        <v>1317</v>
      </c>
      <c r="O184">
        <v>-10.8257100951352</v>
      </c>
      <c r="P184" t="s">
        <v>1318</v>
      </c>
      <c r="Q184">
        <v>-7.9600809523052901E-2</v>
      </c>
      <c r="R184" t="s">
        <v>1319</v>
      </c>
      <c r="S184">
        <v>2.7734782608695601</v>
      </c>
      <c r="T184" t="s">
        <v>1320</v>
      </c>
      <c r="U184">
        <v>-0.66031601854101896</v>
      </c>
      <c r="V184" t="s">
        <v>1321</v>
      </c>
      <c r="W184">
        <v>0.31946521906387998</v>
      </c>
      <c r="X184" t="s">
        <v>1322</v>
      </c>
      <c r="Y184" t="s">
        <v>1536</v>
      </c>
      <c r="Z184" t="s">
        <v>1399</v>
      </c>
      <c r="AA184">
        <v>0</v>
      </c>
      <c r="AB184" t="s">
        <v>1325</v>
      </c>
      <c r="AC184" t="s">
        <v>1326</v>
      </c>
      <c r="AD184" t="s">
        <v>1536</v>
      </c>
      <c r="AE184" t="s">
        <v>1399</v>
      </c>
      <c r="AF184">
        <v>0</v>
      </c>
      <c r="AG184" t="s">
        <v>1328</v>
      </c>
    </row>
    <row r="185" spans="1:33" x14ac:dyDescent="0.3">
      <c r="A185" t="s">
        <v>1559</v>
      </c>
      <c r="B185" t="s">
        <v>1310</v>
      </c>
      <c r="C185">
        <v>0.5</v>
      </c>
      <c r="D185" t="s">
        <v>1311</v>
      </c>
      <c r="E185" t="s">
        <v>1312</v>
      </c>
      <c r="F185">
        <v>0.3</v>
      </c>
      <c r="G185" t="s">
        <v>1342</v>
      </c>
      <c r="H185" t="s">
        <v>1348</v>
      </c>
      <c r="I185" t="str">
        <f t="shared" si="2"/>
        <v>rsi_{'C',  [('delta', 0.5,  -1),  ('delta', 0.3,  2)]}_[21,  49]_3</v>
      </c>
      <c r="J185" t="s">
        <v>1315</v>
      </c>
      <c r="K185">
        <v>33</v>
      </c>
      <c r="L185" t="s">
        <v>1316</v>
      </c>
      <c r="M185">
        <v>5</v>
      </c>
      <c r="N185" t="s">
        <v>1317</v>
      </c>
      <c r="O185">
        <v>-11.239999999999901</v>
      </c>
      <c r="P185" t="s">
        <v>1318</v>
      </c>
      <c r="Q185">
        <v>-0.34060606060606002</v>
      </c>
      <c r="R185" t="s">
        <v>1319</v>
      </c>
      <c r="S185">
        <v>1.502</v>
      </c>
      <c r="T185" t="s">
        <v>1320</v>
      </c>
      <c r="U185">
        <v>-0.66964285714285599</v>
      </c>
      <c r="V185" t="s">
        <v>1321</v>
      </c>
      <c r="W185">
        <v>8.12670002299304E-2</v>
      </c>
      <c r="X185" t="s">
        <v>1322</v>
      </c>
      <c r="Y185" t="s">
        <v>1564</v>
      </c>
      <c r="Z185" t="s">
        <v>1565</v>
      </c>
      <c r="AA185">
        <v>0</v>
      </c>
      <c r="AB185" t="s">
        <v>1325</v>
      </c>
      <c r="AC185" t="s">
        <v>1326</v>
      </c>
      <c r="AD185" t="s">
        <v>1563</v>
      </c>
      <c r="AE185" t="s">
        <v>1562</v>
      </c>
      <c r="AF185">
        <v>0</v>
      </c>
      <c r="AG185" t="s">
        <v>1328</v>
      </c>
    </row>
    <row r="186" spans="1:33" x14ac:dyDescent="0.3">
      <c r="A186" t="s">
        <v>1559</v>
      </c>
      <c r="B186" t="s">
        <v>1310</v>
      </c>
      <c r="C186">
        <v>0.5</v>
      </c>
      <c r="D186" t="s">
        <v>1311</v>
      </c>
      <c r="E186" t="s">
        <v>1312</v>
      </c>
      <c r="F186">
        <v>0.3</v>
      </c>
      <c r="G186" t="s">
        <v>1342</v>
      </c>
      <c r="H186" t="s">
        <v>1349</v>
      </c>
      <c r="I186" t="str">
        <f t="shared" si="2"/>
        <v>rsi_{'C',  [('delta', 0.5,  -1),  ('delta', 0.3,  2)]}_[21,  49]_4</v>
      </c>
      <c r="J186" t="s">
        <v>1315</v>
      </c>
      <c r="K186">
        <v>33</v>
      </c>
      <c r="L186" t="s">
        <v>1316</v>
      </c>
      <c r="M186">
        <v>5</v>
      </c>
      <c r="N186" t="s">
        <v>1317</v>
      </c>
      <c r="O186">
        <v>-11.239999999999901</v>
      </c>
      <c r="P186" t="s">
        <v>1318</v>
      </c>
      <c r="Q186">
        <v>-0.34060606060606002</v>
      </c>
      <c r="R186" t="s">
        <v>1319</v>
      </c>
      <c r="S186">
        <v>1.502</v>
      </c>
      <c r="T186" t="s">
        <v>1320</v>
      </c>
      <c r="U186">
        <v>-0.66964285714285599</v>
      </c>
      <c r="V186" t="s">
        <v>1321</v>
      </c>
      <c r="W186">
        <v>8.12670002299304E-2</v>
      </c>
      <c r="X186" t="s">
        <v>1322</v>
      </c>
      <c r="Y186" t="s">
        <v>1564</v>
      </c>
      <c r="Z186" t="s">
        <v>1565</v>
      </c>
      <c r="AA186">
        <v>0</v>
      </c>
      <c r="AB186" t="s">
        <v>1325</v>
      </c>
      <c r="AC186" t="s">
        <v>1326</v>
      </c>
      <c r="AD186" t="s">
        <v>1563</v>
      </c>
      <c r="AE186" t="s">
        <v>1562</v>
      </c>
      <c r="AF186">
        <v>0</v>
      </c>
      <c r="AG186" t="s">
        <v>1328</v>
      </c>
    </row>
    <row r="187" spans="1:33" x14ac:dyDescent="0.3">
      <c r="A187" t="s">
        <v>1559</v>
      </c>
      <c r="B187" t="s">
        <v>1310</v>
      </c>
      <c r="C187">
        <v>0.5</v>
      </c>
      <c r="D187" t="s">
        <v>1311</v>
      </c>
      <c r="E187" t="s">
        <v>1312</v>
      </c>
      <c r="F187">
        <v>0.3</v>
      </c>
      <c r="G187" t="s">
        <v>1342</v>
      </c>
      <c r="H187" t="s">
        <v>1350</v>
      </c>
      <c r="I187" t="str">
        <f t="shared" si="2"/>
        <v>rsi_{'C',  [('delta', 0.5,  -1),  ('delta', 0.3,  2)]}_[21,  49]_5</v>
      </c>
      <c r="J187" t="s">
        <v>1315</v>
      </c>
      <c r="K187">
        <v>33</v>
      </c>
      <c r="L187" t="s">
        <v>1316</v>
      </c>
      <c r="M187">
        <v>5</v>
      </c>
      <c r="N187" t="s">
        <v>1317</v>
      </c>
      <c r="O187">
        <v>-11.239999999999901</v>
      </c>
      <c r="P187" t="s">
        <v>1318</v>
      </c>
      <c r="Q187">
        <v>-0.34060606060606002</v>
      </c>
      <c r="R187" t="s">
        <v>1319</v>
      </c>
      <c r="S187">
        <v>1.502</v>
      </c>
      <c r="T187" t="s">
        <v>1320</v>
      </c>
      <c r="U187">
        <v>-0.66964285714285599</v>
      </c>
      <c r="V187" t="s">
        <v>1321</v>
      </c>
      <c r="W187">
        <v>8.12670002299304E-2</v>
      </c>
      <c r="X187" t="s">
        <v>1322</v>
      </c>
      <c r="Y187" t="s">
        <v>1564</v>
      </c>
      <c r="Z187" t="s">
        <v>1565</v>
      </c>
      <c r="AA187">
        <v>0</v>
      </c>
      <c r="AB187" t="s">
        <v>1325</v>
      </c>
      <c r="AC187" t="s">
        <v>1326</v>
      </c>
      <c r="AD187" t="s">
        <v>1563</v>
      </c>
      <c r="AE187" t="s">
        <v>1562</v>
      </c>
      <c r="AF187">
        <v>0</v>
      </c>
      <c r="AG187" t="s">
        <v>1328</v>
      </c>
    </row>
    <row r="188" spans="1:33" x14ac:dyDescent="0.3">
      <c r="A188" t="s">
        <v>1559</v>
      </c>
      <c r="B188" t="s">
        <v>1310</v>
      </c>
      <c r="C188">
        <v>0.4</v>
      </c>
      <c r="D188" t="s">
        <v>1311</v>
      </c>
      <c r="E188" t="s">
        <v>1312</v>
      </c>
      <c r="F188">
        <v>0.2</v>
      </c>
      <c r="G188" t="s">
        <v>1342</v>
      </c>
      <c r="H188" t="s">
        <v>1346</v>
      </c>
      <c r="I188" t="str">
        <f t="shared" si="2"/>
        <v>rsi_{'C',  [('delta', 0.4,  -1),  ('delta', 0.2,  2)]}_[21,  49]_2</v>
      </c>
      <c r="J188" t="s">
        <v>1315</v>
      </c>
      <c r="K188">
        <v>33</v>
      </c>
      <c r="L188" t="s">
        <v>1316</v>
      </c>
      <c r="M188">
        <v>7</v>
      </c>
      <c r="N188" t="s">
        <v>1317</v>
      </c>
      <c r="O188">
        <v>-11.2599999999999</v>
      </c>
      <c r="P188" t="s">
        <v>1318</v>
      </c>
      <c r="Q188">
        <v>-0.34121212121212102</v>
      </c>
      <c r="R188" t="s">
        <v>1319</v>
      </c>
      <c r="S188">
        <v>1.26142857142857</v>
      </c>
      <c r="T188" t="s">
        <v>1320</v>
      </c>
      <c r="U188">
        <v>-0.77269230769230701</v>
      </c>
      <c r="V188" t="s">
        <v>1321</v>
      </c>
      <c r="W188">
        <v>7.7214480562005597E-2</v>
      </c>
      <c r="X188" t="s">
        <v>1322</v>
      </c>
      <c r="Y188" t="s">
        <v>1577</v>
      </c>
      <c r="Z188" t="s">
        <v>1578</v>
      </c>
      <c r="AA188">
        <v>0</v>
      </c>
      <c r="AB188" t="s">
        <v>1325</v>
      </c>
      <c r="AC188" t="s">
        <v>1326</v>
      </c>
      <c r="AD188" t="s">
        <v>1579</v>
      </c>
      <c r="AE188" t="s">
        <v>1562</v>
      </c>
      <c r="AF188">
        <v>0</v>
      </c>
      <c r="AG188" t="s">
        <v>1328</v>
      </c>
    </row>
    <row r="189" spans="1:33" x14ac:dyDescent="0.3">
      <c r="A189" t="s">
        <v>1559</v>
      </c>
      <c r="B189" t="s">
        <v>1310</v>
      </c>
      <c r="C189">
        <v>0.4</v>
      </c>
      <c r="D189" t="s">
        <v>1311</v>
      </c>
      <c r="E189" t="s">
        <v>1312</v>
      </c>
      <c r="F189">
        <v>0.2</v>
      </c>
      <c r="G189" t="s">
        <v>1342</v>
      </c>
      <c r="H189" t="s">
        <v>1348</v>
      </c>
      <c r="I189" t="str">
        <f t="shared" si="2"/>
        <v>rsi_{'C',  [('delta', 0.4,  -1),  ('delta', 0.2,  2)]}_[21,  49]_3</v>
      </c>
      <c r="J189" t="s">
        <v>1315</v>
      </c>
      <c r="K189">
        <v>33</v>
      </c>
      <c r="L189" t="s">
        <v>1316</v>
      </c>
      <c r="M189">
        <v>7</v>
      </c>
      <c r="N189" t="s">
        <v>1317</v>
      </c>
      <c r="O189">
        <v>-11.2599999999999</v>
      </c>
      <c r="P189" t="s">
        <v>1318</v>
      </c>
      <c r="Q189">
        <v>-0.34121212121212102</v>
      </c>
      <c r="R189" t="s">
        <v>1319</v>
      </c>
      <c r="S189">
        <v>1.26142857142857</v>
      </c>
      <c r="T189" t="s">
        <v>1320</v>
      </c>
      <c r="U189">
        <v>-0.77269230769230701</v>
      </c>
      <c r="V189" t="s">
        <v>1321</v>
      </c>
      <c r="W189">
        <v>7.7214480562005597E-2</v>
      </c>
      <c r="X189" t="s">
        <v>1322</v>
      </c>
      <c r="Y189" t="s">
        <v>1577</v>
      </c>
      <c r="Z189" t="s">
        <v>1578</v>
      </c>
      <c r="AA189">
        <v>0</v>
      </c>
      <c r="AB189" t="s">
        <v>1325</v>
      </c>
      <c r="AC189" t="s">
        <v>1326</v>
      </c>
      <c r="AD189" t="s">
        <v>1579</v>
      </c>
      <c r="AE189" t="s">
        <v>1562</v>
      </c>
      <c r="AF189">
        <v>0</v>
      </c>
      <c r="AG189" t="s">
        <v>1328</v>
      </c>
    </row>
    <row r="190" spans="1:33" x14ac:dyDescent="0.3">
      <c r="A190" t="s">
        <v>1559</v>
      </c>
      <c r="B190" t="s">
        <v>1310</v>
      </c>
      <c r="C190">
        <v>0.4</v>
      </c>
      <c r="D190" t="s">
        <v>1311</v>
      </c>
      <c r="E190" t="s">
        <v>1312</v>
      </c>
      <c r="F190">
        <v>0.2</v>
      </c>
      <c r="G190" t="s">
        <v>1342</v>
      </c>
      <c r="H190" t="s">
        <v>1349</v>
      </c>
      <c r="I190" t="str">
        <f t="shared" si="2"/>
        <v>rsi_{'C',  [('delta', 0.4,  -1),  ('delta', 0.2,  2)]}_[21,  49]_4</v>
      </c>
      <c r="J190" t="s">
        <v>1315</v>
      </c>
      <c r="K190">
        <v>33</v>
      </c>
      <c r="L190" t="s">
        <v>1316</v>
      </c>
      <c r="M190">
        <v>7</v>
      </c>
      <c r="N190" t="s">
        <v>1317</v>
      </c>
      <c r="O190">
        <v>-11.2599999999999</v>
      </c>
      <c r="P190" t="s">
        <v>1318</v>
      </c>
      <c r="Q190">
        <v>-0.34121212121212102</v>
      </c>
      <c r="R190" t="s">
        <v>1319</v>
      </c>
      <c r="S190">
        <v>1.26142857142857</v>
      </c>
      <c r="T190" t="s">
        <v>1320</v>
      </c>
      <c r="U190">
        <v>-0.77269230769230701</v>
      </c>
      <c r="V190" t="s">
        <v>1321</v>
      </c>
      <c r="W190">
        <v>7.7214480562005597E-2</v>
      </c>
      <c r="X190" t="s">
        <v>1322</v>
      </c>
      <c r="Y190" t="s">
        <v>1577</v>
      </c>
      <c r="Z190" t="s">
        <v>1578</v>
      </c>
      <c r="AA190">
        <v>0</v>
      </c>
      <c r="AB190" t="s">
        <v>1325</v>
      </c>
      <c r="AC190" t="s">
        <v>1326</v>
      </c>
      <c r="AD190" t="s">
        <v>1579</v>
      </c>
      <c r="AE190" t="s">
        <v>1562</v>
      </c>
      <c r="AF190">
        <v>0</v>
      </c>
      <c r="AG190" t="s">
        <v>1328</v>
      </c>
    </row>
    <row r="191" spans="1:33" x14ac:dyDescent="0.3">
      <c r="A191" t="s">
        <v>1559</v>
      </c>
      <c r="B191" t="s">
        <v>1310</v>
      </c>
      <c r="C191">
        <v>0.4</v>
      </c>
      <c r="D191" t="s">
        <v>1311</v>
      </c>
      <c r="E191" t="s">
        <v>1312</v>
      </c>
      <c r="F191">
        <v>0.2</v>
      </c>
      <c r="G191" t="s">
        <v>1342</v>
      </c>
      <c r="H191" t="s">
        <v>1350</v>
      </c>
      <c r="I191" t="str">
        <f t="shared" si="2"/>
        <v>rsi_{'C',  [('delta', 0.4,  -1),  ('delta', 0.2,  2)]}_[21,  49]_5</v>
      </c>
      <c r="J191" t="s">
        <v>1315</v>
      </c>
      <c r="K191">
        <v>33</v>
      </c>
      <c r="L191" t="s">
        <v>1316</v>
      </c>
      <c r="M191">
        <v>7</v>
      </c>
      <c r="N191" t="s">
        <v>1317</v>
      </c>
      <c r="O191">
        <v>-11.2599999999999</v>
      </c>
      <c r="P191" t="s">
        <v>1318</v>
      </c>
      <c r="Q191">
        <v>-0.34121212121212102</v>
      </c>
      <c r="R191" t="s">
        <v>1319</v>
      </c>
      <c r="S191">
        <v>1.26142857142857</v>
      </c>
      <c r="T191" t="s">
        <v>1320</v>
      </c>
      <c r="U191">
        <v>-0.77269230769230701</v>
      </c>
      <c r="V191" t="s">
        <v>1321</v>
      </c>
      <c r="W191">
        <v>7.7214480562005597E-2</v>
      </c>
      <c r="X191" t="s">
        <v>1322</v>
      </c>
      <c r="Y191" t="s">
        <v>1577</v>
      </c>
      <c r="Z191" t="s">
        <v>1578</v>
      </c>
      <c r="AA191">
        <v>0</v>
      </c>
      <c r="AB191" t="s">
        <v>1325</v>
      </c>
      <c r="AC191" t="s">
        <v>1326</v>
      </c>
      <c r="AD191" t="s">
        <v>1579</v>
      </c>
      <c r="AE191" t="s">
        <v>1562</v>
      </c>
      <c r="AF191">
        <v>0</v>
      </c>
      <c r="AG191" t="s">
        <v>1328</v>
      </c>
    </row>
    <row r="192" spans="1:33" x14ac:dyDescent="0.3">
      <c r="A192" t="s">
        <v>1559</v>
      </c>
      <c r="B192" t="s">
        <v>1310</v>
      </c>
      <c r="C192">
        <v>0.5</v>
      </c>
      <c r="D192" t="s">
        <v>1311</v>
      </c>
      <c r="E192" t="s">
        <v>1312</v>
      </c>
      <c r="F192">
        <v>0.3</v>
      </c>
      <c r="G192" t="s">
        <v>1342</v>
      </c>
      <c r="H192" t="s">
        <v>1346</v>
      </c>
      <c r="I192" t="str">
        <f t="shared" si="2"/>
        <v>rsi_{'C',  [('delta', 0.5,  -1),  ('delta', 0.3,  2)]}_[21,  49]_2</v>
      </c>
      <c r="J192" t="s">
        <v>1315</v>
      </c>
      <c r="K192">
        <v>33</v>
      </c>
      <c r="L192" t="s">
        <v>1316</v>
      </c>
      <c r="M192">
        <v>5</v>
      </c>
      <c r="N192" t="s">
        <v>1317</v>
      </c>
      <c r="O192">
        <v>-11.3599999999999</v>
      </c>
      <c r="P192" t="s">
        <v>1318</v>
      </c>
      <c r="Q192">
        <v>-0.34424242424242402</v>
      </c>
      <c r="R192" t="s">
        <v>1319</v>
      </c>
      <c r="S192">
        <v>1.478</v>
      </c>
      <c r="T192" t="s">
        <v>1320</v>
      </c>
      <c r="U192">
        <v>-0.66964285714285599</v>
      </c>
      <c r="V192" t="s">
        <v>1321</v>
      </c>
      <c r="W192">
        <v>8.0675529151430697E-2</v>
      </c>
      <c r="X192" t="s">
        <v>1322</v>
      </c>
      <c r="Y192" t="s">
        <v>1564</v>
      </c>
      <c r="Z192" t="s">
        <v>1565</v>
      </c>
      <c r="AA192">
        <v>0</v>
      </c>
      <c r="AB192" t="s">
        <v>1325</v>
      </c>
      <c r="AC192" t="s">
        <v>1326</v>
      </c>
      <c r="AD192" t="s">
        <v>1563</v>
      </c>
      <c r="AE192" t="s">
        <v>1562</v>
      </c>
      <c r="AF192">
        <v>0</v>
      </c>
      <c r="AG192" t="s">
        <v>1328</v>
      </c>
    </row>
    <row r="193" spans="1:33" x14ac:dyDescent="0.3">
      <c r="A193" t="s">
        <v>1559</v>
      </c>
      <c r="B193" t="s">
        <v>1310</v>
      </c>
      <c r="C193">
        <v>0.3</v>
      </c>
      <c r="D193" t="s">
        <v>1311</v>
      </c>
      <c r="E193" t="s">
        <v>1312</v>
      </c>
      <c r="F193">
        <v>0.15</v>
      </c>
      <c r="G193" t="s">
        <v>1403</v>
      </c>
      <c r="H193" t="s">
        <v>1352</v>
      </c>
      <c r="I193" t="str">
        <f t="shared" si="2"/>
        <v>rsi_{'C',  [('delta', 0.3,  -1),  ('delta', 0.15,  3)]}_[35,  70]_1</v>
      </c>
      <c r="J193" t="s">
        <v>1315</v>
      </c>
      <c r="K193">
        <v>40</v>
      </c>
      <c r="L193" t="s">
        <v>1316</v>
      </c>
      <c r="M193">
        <v>9</v>
      </c>
      <c r="N193" t="s">
        <v>1317</v>
      </c>
      <c r="O193">
        <v>-11.4599999999999</v>
      </c>
      <c r="P193" t="s">
        <v>1318</v>
      </c>
      <c r="Q193">
        <v>-0.28649999999999898</v>
      </c>
      <c r="R193" t="s">
        <v>1319</v>
      </c>
      <c r="S193">
        <v>1.12222222222222</v>
      </c>
      <c r="T193" t="s">
        <v>1320</v>
      </c>
      <c r="U193">
        <v>-0.695483870967741</v>
      </c>
      <c r="V193" t="s">
        <v>1321</v>
      </c>
      <c r="W193">
        <v>7.0764835719099001E-2</v>
      </c>
      <c r="X193" t="s">
        <v>1322</v>
      </c>
      <c r="Y193" t="s">
        <v>1603</v>
      </c>
      <c r="Z193" t="s">
        <v>1416</v>
      </c>
      <c r="AA193">
        <v>0</v>
      </c>
      <c r="AB193" t="s">
        <v>1325</v>
      </c>
      <c r="AC193" t="s">
        <v>1326</v>
      </c>
      <c r="AD193" t="s">
        <v>1603</v>
      </c>
      <c r="AE193" t="s">
        <v>1416</v>
      </c>
      <c r="AF193">
        <v>0</v>
      </c>
      <c r="AG193" t="s">
        <v>1328</v>
      </c>
    </row>
    <row r="194" spans="1:33" x14ac:dyDescent="0.3">
      <c r="A194" t="s">
        <v>1604</v>
      </c>
      <c r="B194" t="s">
        <v>1310</v>
      </c>
      <c r="C194">
        <v>0.3</v>
      </c>
      <c r="D194" t="s">
        <v>1311</v>
      </c>
      <c r="E194" t="s">
        <v>1312</v>
      </c>
      <c r="F194">
        <v>0.15</v>
      </c>
      <c r="G194" t="s">
        <v>1403</v>
      </c>
      <c r="H194" t="s">
        <v>1356</v>
      </c>
      <c r="I194" t="str">
        <f t="shared" si="2"/>
        <v>stoch_{'C',  [('delta', 0.3,  -1),  ('delta', 0.15,  3)]}_[35,  70]_2</v>
      </c>
      <c r="J194" t="s">
        <v>1315</v>
      </c>
      <c r="K194">
        <v>291</v>
      </c>
      <c r="L194" t="s">
        <v>1316</v>
      </c>
      <c r="M194">
        <v>58</v>
      </c>
      <c r="N194" t="s">
        <v>1317</v>
      </c>
      <c r="O194">
        <v>-11.510981371283499</v>
      </c>
      <c r="P194" t="s">
        <v>1318</v>
      </c>
      <c r="Q194">
        <v>-3.9556637014720099E-2</v>
      </c>
      <c r="R194" t="s">
        <v>1319</v>
      </c>
      <c r="S194">
        <v>2.40716570682235</v>
      </c>
      <c r="T194" t="s">
        <v>1320</v>
      </c>
      <c r="U194">
        <v>-0.65140772571974104</v>
      </c>
      <c r="V194" t="s">
        <v>1321</v>
      </c>
      <c r="W194">
        <v>0.40437783072272598</v>
      </c>
      <c r="X194" t="s">
        <v>1322</v>
      </c>
      <c r="Y194" t="s">
        <v>1497</v>
      </c>
      <c r="Z194" t="s">
        <v>1435</v>
      </c>
      <c r="AA194">
        <v>0</v>
      </c>
      <c r="AB194" t="s">
        <v>1325</v>
      </c>
      <c r="AC194" t="s">
        <v>1326</v>
      </c>
      <c r="AD194" t="s">
        <v>1647</v>
      </c>
      <c r="AE194" t="s">
        <v>1534</v>
      </c>
      <c r="AF194">
        <v>0</v>
      </c>
      <c r="AG194" t="s">
        <v>1328</v>
      </c>
    </row>
    <row r="195" spans="1:33" x14ac:dyDescent="0.3">
      <c r="A195" t="s">
        <v>1559</v>
      </c>
      <c r="B195" t="s">
        <v>1310</v>
      </c>
      <c r="C195">
        <v>0.4</v>
      </c>
      <c r="D195" t="s">
        <v>1311</v>
      </c>
      <c r="E195" t="s">
        <v>1312</v>
      </c>
      <c r="F195">
        <v>0.2</v>
      </c>
      <c r="G195" t="s">
        <v>1351</v>
      </c>
      <c r="H195" t="s">
        <v>1356</v>
      </c>
      <c r="I195" t="str">
        <f t="shared" ref="I195:I258" si="3">_xlfn.TEXTJOIN(", ", FALSE, A195,B195,C195,D195,E195,F195,G195,H195)</f>
        <v>rsi_{'C',  [('delta', 0.4,  -1),  ('delta', 0.2,  2)]}_[35,  70]_2</v>
      </c>
      <c r="J195" t="s">
        <v>1315</v>
      </c>
      <c r="K195">
        <v>40</v>
      </c>
      <c r="L195" t="s">
        <v>1316</v>
      </c>
      <c r="M195">
        <v>7</v>
      </c>
      <c r="N195" t="s">
        <v>1317</v>
      </c>
      <c r="O195">
        <v>-11.5900043973382</v>
      </c>
      <c r="P195" t="s">
        <v>1318</v>
      </c>
      <c r="Q195">
        <v>-0.28975010993345601</v>
      </c>
      <c r="R195" t="s">
        <v>1319</v>
      </c>
      <c r="S195">
        <v>1.74714285714285</v>
      </c>
      <c r="T195" t="s">
        <v>1320</v>
      </c>
      <c r="U195">
        <v>-0.72181831507085603</v>
      </c>
      <c r="V195" t="s">
        <v>1321</v>
      </c>
      <c r="W195">
        <v>9.75091957669421E-2</v>
      </c>
      <c r="X195" t="s">
        <v>1322</v>
      </c>
      <c r="Y195" t="s">
        <v>1580</v>
      </c>
      <c r="Z195" t="s">
        <v>1416</v>
      </c>
      <c r="AA195">
        <v>0</v>
      </c>
      <c r="AB195" t="s">
        <v>1325</v>
      </c>
      <c r="AC195" t="s">
        <v>1326</v>
      </c>
      <c r="AD195" t="s">
        <v>1581</v>
      </c>
      <c r="AE195" t="s">
        <v>1582</v>
      </c>
      <c r="AF195">
        <v>0</v>
      </c>
      <c r="AG195" t="s">
        <v>1328</v>
      </c>
    </row>
    <row r="196" spans="1:33" x14ac:dyDescent="0.3">
      <c r="A196" t="s">
        <v>1559</v>
      </c>
      <c r="B196" t="s">
        <v>1310</v>
      </c>
      <c r="C196">
        <v>0.4</v>
      </c>
      <c r="D196" t="s">
        <v>1311</v>
      </c>
      <c r="E196" t="s">
        <v>1312</v>
      </c>
      <c r="F196">
        <v>0.2</v>
      </c>
      <c r="G196" t="s">
        <v>1381</v>
      </c>
      <c r="H196" t="s">
        <v>1336</v>
      </c>
      <c r="I196" t="str">
        <f t="shared" si="3"/>
        <v>rsi_{'C',  [('delta', 0.4,  -1),  ('delta', 0.2,  3)]}_[7,  35]_4</v>
      </c>
      <c r="J196" t="s">
        <v>1315</v>
      </c>
      <c r="K196">
        <v>35</v>
      </c>
      <c r="L196" t="s">
        <v>1316</v>
      </c>
      <c r="M196">
        <v>5</v>
      </c>
      <c r="N196" t="s">
        <v>1317</v>
      </c>
      <c r="O196">
        <v>-11.65</v>
      </c>
      <c r="P196" t="s">
        <v>1318</v>
      </c>
      <c r="Q196">
        <v>-0.33285714285714302</v>
      </c>
      <c r="R196" t="s">
        <v>1319</v>
      </c>
      <c r="S196">
        <v>2.2000000000000002</v>
      </c>
      <c r="T196" t="s">
        <v>1320</v>
      </c>
      <c r="U196">
        <v>-0.755</v>
      </c>
      <c r="V196" t="s">
        <v>1321</v>
      </c>
      <c r="W196">
        <v>0.111592686512301</v>
      </c>
      <c r="X196" t="s">
        <v>1322</v>
      </c>
      <c r="Y196" t="s">
        <v>1588</v>
      </c>
      <c r="Z196" t="s">
        <v>1575</v>
      </c>
      <c r="AA196">
        <v>0</v>
      </c>
      <c r="AB196" t="s">
        <v>1325</v>
      </c>
      <c r="AC196" t="s">
        <v>1326</v>
      </c>
      <c r="AD196" t="s">
        <v>1588</v>
      </c>
      <c r="AE196" t="s">
        <v>1575</v>
      </c>
      <c r="AF196">
        <v>0</v>
      </c>
      <c r="AG196" t="s">
        <v>1328</v>
      </c>
    </row>
    <row r="197" spans="1:33" x14ac:dyDescent="0.3">
      <c r="A197" t="s">
        <v>1604</v>
      </c>
      <c r="B197" t="s">
        <v>1310</v>
      </c>
      <c r="C197">
        <v>0.4</v>
      </c>
      <c r="D197" t="s">
        <v>1311</v>
      </c>
      <c r="E197" t="s">
        <v>1312</v>
      </c>
      <c r="F197">
        <v>0.2</v>
      </c>
      <c r="G197" t="s">
        <v>1313</v>
      </c>
      <c r="H197" t="s">
        <v>1337</v>
      </c>
      <c r="I197" t="str">
        <f t="shared" si="3"/>
        <v>stoch_{'C',  [('delta', 0.4,  -1),  ('delta', 0.2,  2)]}_[7,  35]_5</v>
      </c>
      <c r="J197" t="s">
        <v>1315</v>
      </c>
      <c r="K197">
        <v>224</v>
      </c>
      <c r="L197" t="s">
        <v>1316</v>
      </c>
      <c r="M197">
        <v>92</v>
      </c>
      <c r="N197" t="s">
        <v>1317</v>
      </c>
      <c r="O197">
        <v>-11.7799999999999</v>
      </c>
      <c r="P197" t="s">
        <v>1318</v>
      </c>
      <c r="Q197">
        <v>-5.2589285714285401E-2</v>
      </c>
      <c r="R197" t="s">
        <v>1319</v>
      </c>
      <c r="S197">
        <v>1.05673913043478</v>
      </c>
      <c r="T197" t="s">
        <v>1320</v>
      </c>
      <c r="U197">
        <v>-0.82575757575757602</v>
      </c>
      <c r="V197" t="s">
        <v>1321</v>
      </c>
      <c r="W197">
        <v>0.329700007122328</v>
      </c>
      <c r="X197" t="s">
        <v>1322</v>
      </c>
      <c r="Y197" t="s">
        <v>1344</v>
      </c>
      <c r="Z197" t="s">
        <v>1331</v>
      </c>
      <c r="AA197">
        <v>0</v>
      </c>
      <c r="AB197" t="s">
        <v>1325</v>
      </c>
      <c r="AC197" t="s">
        <v>1326</v>
      </c>
      <c r="AD197" t="s">
        <v>1619</v>
      </c>
      <c r="AE197" t="s">
        <v>1620</v>
      </c>
      <c r="AF197">
        <v>0</v>
      </c>
      <c r="AG197" t="s">
        <v>1328</v>
      </c>
    </row>
    <row r="198" spans="1:33" x14ac:dyDescent="0.3">
      <c r="A198" t="s">
        <v>1559</v>
      </c>
      <c r="B198" t="s">
        <v>1310</v>
      </c>
      <c r="C198">
        <v>0.3</v>
      </c>
      <c r="D198" t="s">
        <v>1311</v>
      </c>
      <c r="E198" t="s">
        <v>1312</v>
      </c>
      <c r="F198">
        <v>0.15</v>
      </c>
      <c r="G198" t="s">
        <v>1403</v>
      </c>
      <c r="H198" t="s">
        <v>1356</v>
      </c>
      <c r="I198" t="str">
        <f t="shared" si="3"/>
        <v>rsi_{'C',  [('delta', 0.3,  -1),  ('delta', 0.15,  3)]}_[35,  70]_2</v>
      </c>
      <c r="J198" t="s">
        <v>1315</v>
      </c>
      <c r="K198">
        <v>40</v>
      </c>
      <c r="L198" t="s">
        <v>1316</v>
      </c>
      <c r="M198">
        <v>6</v>
      </c>
      <c r="N198" t="s">
        <v>1317</v>
      </c>
      <c r="O198">
        <v>-12.2899999999999</v>
      </c>
      <c r="P198" t="s">
        <v>1318</v>
      </c>
      <c r="Q198">
        <v>-0.30724999999999902</v>
      </c>
      <c r="R198" t="s">
        <v>1319</v>
      </c>
      <c r="S198">
        <v>1.86</v>
      </c>
      <c r="T198" t="s">
        <v>1320</v>
      </c>
      <c r="U198">
        <v>-0.68970588235294095</v>
      </c>
      <c r="V198" t="s">
        <v>1321</v>
      </c>
      <c r="W198">
        <v>8.9253026304007499E-2</v>
      </c>
      <c r="X198" t="s">
        <v>1322</v>
      </c>
      <c r="Y198" t="s">
        <v>1603</v>
      </c>
      <c r="Z198" t="s">
        <v>1416</v>
      </c>
      <c r="AA198">
        <v>0</v>
      </c>
      <c r="AB198" t="s">
        <v>1325</v>
      </c>
      <c r="AC198" t="s">
        <v>1326</v>
      </c>
      <c r="AD198" t="s">
        <v>1603</v>
      </c>
      <c r="AE198" t="s">
        <v>1416</v>
      </c>
      <c r="AF198">
        <v>0</v>
      </c>
      <c r="AG198" t="s">
        <v>1328</v>
      </c>
    </row>
    <row r="199" spans="1:33" x14ac:dyDescent="0.3">
      <c r="A199" t="s">
        <v>1604</v>
      </c>
      <c r="B199" t="s">
        <v>1310</v>
      </c>
      <c r="C199">
        <v>0.3</v>
      </c>
      <c r="D199" t="s">
        <v>1311</v>
      </c>
      <c r="E199" t="s">
        <v>1312</v>
      </c>
      <c r="F199">
        <v>0.15</v>
      </c>
      <c r="G199" t="s">
        <v>1313</v>
      </c>
      <c r="H199" t="s">
        <v>1337</v>
      </c>
      <c r="I199" t="str">
        <f t="shared" si="3"/>
        <v>stoch_{'C',  [('delta', 0.3,  -1),  ('delta', 0.15,  2)]}_[7,  35]_5</v>
      </c>
      <c r="J199" t="s">
        <v>1315</v>
      </c>
      <c r="K199">
        <v>224</v>
      </c>
      <c r="L199" t="s">
        <v>1316</v>
      </c>
      <c r="M199">
        <v>104</v>
      </c>
      <c r="N199" t="s">
        <v>1317</v>
      </c>
      <c r="O199">
        <v>-12.309999999999899</v>
      </c>
      <c r="P199" t="s">
        <v>1318</v>
      </c>
      <c r="Q199">
        <v>-5.4955357142856903E-2</v>
      </c>
      <c r="R199" t="s">
        <v>1319</v>
      </c>
      <c r="S199">
        <v>0.64076923076923098</v>
      </c>
      <c r="T199" t="s">
        <v>1320</v>
      </c>
      <c r="U199">
        <v>-0.65791666666666604</v>
      </c>
      <c r="V199" t="s">
        <v>1321</v>
      </c>
      <c r="W199">
        <v>0.229881707319254</v>
      </c>
      <c r="X199" t="s">
        <v>1322</v>
      </c>
      <c r="Y199" t="s">
        <v>1415</v>
      </c>
      <c r="Z199" t="s">
        <v>1416</v>
      </c>
      <c r="AA199">
        <v>0</v>
      </c>
      <c r="AB199" t="s">
        <v>1325</v>
      </c>
      <c r="AC199" t="s">
        <v>1326</v>
      </c>
      <c r="AD199" t="s">
        <v>1635</v>
      </c>
      <c r="AE199" t="s">
        <v>1636</v>
      </c>
      <c r="AF199">
        <v>0</v>
      </c>
      <c r="AG199" t="s">
        <v>1328</v>
      </c>
    </row>
    <row r="200" spans="1:33" x14ac:dyDescent="0.3">
      <c r="A200" t="s">
        <v>1604</v>
      </c>
      <c r="B200" t="s">
        <v>1310</v>
      </c>
      <c r="C200">
        <v>0.5</v>
      </c>
      <c r="D200" t="s">
        <v>1311</v>
      </c>
      <c r="E200" t="s">
        <v>1312</v>
      </c>
      <c r="F200">
        <v>0.3</v>
      </c>
      <c r="G200" t="s">
        <v>1313</v>
      </c>
      <c r="H200" t="s">
        <v>1333</v>
      </c>
      <c r="I200" t="str">
        <f t="shared" si="3"/>
        <v>stoch_{'C',  [('delta', 0.5,  -1),  ('delta', 0.3,  2)]}_[7,  35]_3</v>
      </c>
      <c r="J200" t="s">
        <v>1315</v>
      </c>
      <c r="K200">
        <v>224</v>
      </c>
      <c r="L200" t="s">
        <v>1316</v>
      </c>
      <c r="M200">
        <v>62</v>
      </c>
      <c r="N200" t="s">
        <v>1317</v>
      </c>
      <c r="O200">
        <v>-12.329999999999901</v>
      </c>
      <c r="P200" t="s">
        <v>1318</v>
      </c>
      <c r="Q200">
        <v>-5.5044642857142598E-2</v>
      </c>
      <c r="R200" t="s">
        <v>1319</v>
      </c>
      <c r="S200">
        <v>1.80241935483871</v>
      </c>
      <c r="T200" t="s">
        <v>1320</v>
      </c>
      <c r="U200">
        <v>-0.76592592592592601</v>
      </c>
      <c r="V200" t="s">
        <v>1321</v>
      </c>
      <c r="W200">
        <v>0.40169981406286198</v>
      </c>
      <c r="X200" t="s">
        <v>1322</v>
      </c>
      <c r="Y200" t="s">
        <v>1323</v>
      </c>
      <c r="Z200" t="s">
        <v>1324</v>
      </c>
      <c r="AA200">
        <v>0</v>
      </c>
      <c r="AB200" t="s">
        <v>1325</v>
      </c>
      <c r="AC200" t="s">
        <v>1326</v>
      </c>
      <c r="AD200" t="s">
        <v>1607</v>
      </c>
      <c r="AE200" t="s">
        <v>1608</v>
      </c>
      <c r="AF200">
        <v>0</v>
      </c>
      <c r="AG200" t="s">
        <v>1328</v>
      </c>
    </row>
    <row r="201" spans="1:33" x14ac:dyDescent="0.3">
      <c r="A201" t="s">
        <v>1604</v>
      </c>
      <c r="B201" t="s">
        <v>1310</v>
      </c>
      <c r="C201">
        <v>0.4</v>
      </c>
      <c r="D201" t="s">
        <v>1311</v>
      </c>
      <c r="E201" t="s">
        <v>1312</v>
      </c>
      <c r="F201">
        <v>0.2</v>
      </c>
      <c r="G201" t="s">
        <v>1313</v>
      </c>
      <c r="H201" t="s">
        <v>1336</v>
      </c>
      <c r="I201" t="str">
        <f t="shared" si="3"/>
        <v>stoch_{'C',  [('delta', 0.4,  -1),  ('delta', 0.2,  2)]}_[7,  35]_4</v>
      </c>
      <c r="J201" t="s">
        <v>1315</v>
      </c>
      <c r="K201">
        <v>224</v>
      </c>
      <c r="L201" t="s">
        <v>1316</v>
      </c>
      <c r="M201">
        <v>92</v>
      </c>
      <c r="N201" t="s">
        <v>1317</v>
      </c>
      <c r="O201">
        <v>-12.329999999999901</v>
      </c>
      <c r="P201" t="s">
        <v>1318</v>
      </c>
      <c r="Q201">
        <v>-5.5044642857142598E-2</v>
      </c>
      <c r="R201" t="s">
        <v>1319</v>
      </c>
      <c r="S201">
        <v>1.05076086956521</v>
      </c>
      <c r="T201" t="s">
        <v>1320</v>
      </c>
      <c r="U201">
        <v>-0.82575757575757602</v>
      </c>
      <c r="V201" t="s">
        <v>1321</v>
      </c>
      <c r="W201">
        <v>0.32963808066643602</v>
      </c>
      <c r="X201" t="s">
        <v>1322</v>
      </c>
      <c r="Y201" t="s">
        <v>1344</v>
      </c>
      <c r="Z201" t="s">
        <v>1331</v>
      </c>
      <c r="AA201">
        <v>0</v>
      </c>
      <c r="AB201" t="s">
        <v>1325</v>
      </c>
      <c r="AC201" t="s">
        <v>1326</v>
      </c>
      <c r="AD201" t="s">
        <v>1619</v>
      </c>
      <c r="AE201" t="s">
        <v>1620</v>
      </c>
      <c r="AF201">
        <v>0</v>
      </c>
      <c r="AG201" t="s">
        <v>1328</v>
      </c>
    </row>
    <row r="202" spans="1:33" x14ac:dyDescent="0.3">
      <c r="A202" t="s">
        <v>1500</v>
      </c>
      <c r="B202" t="s">
        <v>1310</v>
      </c>
      <c r="C202">
        <v>0.3</v>
      </c>
      <c r="D202" t="s">
        <v>1311</v>
      </c>
      <c r="E202" t="s">
        <v>1312</v>
      </c>
      <c r="F202">
        <v>0.15</v>
      </c>
      <c r="G202" t="s">
        <v>1351</v>
      </c>
      <c r="H202" t="s">
        <v>1356</v>
      </c>
      <c r="I202" t="str">
        <f t="shared" si="3"/>
        <v>psar_{'C',  [('delta', 0.3,  -1),  ('delta', 0.15,  2)]}_[35,  70]_2</v>
      </c>
      <c r="J202" t="s">
        <v>1315</v>
      </c>
      <c r="K202">
        <v>177</v>
      </c>
      <c r="L202" t="s">
        <v>1316</v>
      </c>
      <c r="M202">
        <v>70</v>
      </c>
      <c r="N202" t="s">
        <v>1317</v>
      </c>
      <c r="O202">
        <v>-12.482192559786901</v>
      </c>
      <c r="P202" t="s">
        <v>1318</v>
      </c>
      <c r="Q202">
        <v>-7.05208619197005E-2</v>
      </c>
      <c r="R202" t="s">
        <v>1319</v>
      </c>
      <c r="S202">
        <v>0.90741383801641895</v>
      </c>
      <c r="T202" t="s">
        <v>1320</v>
      </c>
      <c r="U202">
        <v>-0.71029122636388997</v>
      </c>
      <c r="V202" t="s">
        <v>1321</v>
      </c>
      <c r="W202">
        <v>0.22339026313781701</v>
      </c>
      <c r="X202" t="s">
        <v>1322</v>
      </c>
      <c r="Y202" t="s">
        <v>1547</v>
      </c>
      <c r="Z202" t="s">
        <v>1416</v>
      </c>
      <c r="AA202">
        <v>0</v>
      </c>
      <c r="AB202" t="s">
        <v>1325</v>
      </c>
      <c r="AC202" t="s">
        <v>1326</v>
      </c>
      <c r="AD202" t="s">
        <v>1547</v>
      </c>
      <c r="AE202" t="s">
        <v>1416</v>
      </c>
      <c r="AF202">
        <v>0</v>
      </c>
      <c r="AG202" t="s">
        <v>1328</v>
      </c>
    </row>
    <row r="203" spans="1:33" x14ac:dyDescent="0.3">
      <c r="A203" t="s">
        <v>1604</v>
      </c>
      <c r="B203" t="s">
        <v>1310</v>
      </c>
      <c r="C203">
        <v>0.4</v>
      </c>
      <c r="D203" t="s">
        <v>1311</v>
      </c>
      <c r="E203" t="s">
        <v>1312</v>
      </c>
      <c r="F203">
        <v>0.2</v>
      </c>
      <c r="G203" t="s">
        <v>1403</v>
      </c>
      <c r="H203" t="s">
        <v>1356</v>
      </c>
      <c r="I203" t="str">
        <f t="shared" si="3"/>
        <v>stoch_{'C',  [('delta', 0.4,  -1),  ('delta', 0.2,  3)]}_[35,  70]_2</v>
      </c>
      <c r="J203" t="s">
        <v>1315</v>
      </c>
      <c r="K203">
        <v>291</v>
      </c>
      <c r="L203" t="s">
        <v>1316</v>
      </c>
      <c r="M203">
        <v>60</v>
      </c>
      <c r="N203" t="s">
        <v>1317</v>
      </c>
      <c r="O203">
        <v>-12.786575125482299</v>
      </c>
      <c r="P203" t="s">
        <v>1318</v>
      </c>
      <c r="Q203">
        <v>-4.39401207061247E-2</v>
      </c>
      <c r="R203" t="s">
        <v>1319</v>
      </c>
      <c r="S203">
        <v>2.6431802681440799</v>
      </c>
      <c r="T203" t="s">
        <v>1320</v>
      </c>
      <c r="U203">
        <v>-0.74189346845942705</v>
      </c>
      <c r="V203" t="s">
        <v>1321</v>
      </c>
      <c r="W203">
        <v>0.491312965306476</v>
      </c>
      <c r="X203" t="s">
        <v>1322</v>
      </c>
      <c r="Y203" t="s">
        <v>1630</v>
      </c>
      <c r="Z203" t="s">
        <v>1473</v>
      </c>
      <c r="AA203">
        <v>0</v>
      </c>
      <c r="AB203" t="s">
        <v>1325</v>
      </c>
      <c r="AC203" t="s">
        <v>1326</v>
      </c>
      <c r="AD203" t="s">
        <v>1630</v>
      </c>
      <c r="AE203" t="s">
        <v>1473</v>
      </c>
      <c r="AF203">
        <v>0</v>
      </c>
      <c r="AG203" t="s">
        <v>1328</v>
      </c>
    </row>
    <row r="204" spans="1:33" x14ac:dyDescent="0.3">
      <c r="A204" t="s">
        <v>1604</v>
      </c>
      <c r="B204" t="s">
        <v>1310</v>
      </c>
      <c r="C204">
        <v>0.3</v>
      </c>
      <c r="D204" t="s">
        <v>1311</v>
      </c>
      <c r="E204" t="s">
        <v>1312</v>
      </c>
      <c r="F204">
        <v>0.15</v>
      </c>
      <c r="G204" t="s">
        <v>1403</v>
      </c>
      <c r="H204" t="s">
        <v>1352</v>
      </c>
      <c r="I204" t="str">
        <f t="shared" si="3"/>
        <v>stoch_{'C',  [('delta', 0.3,  -1),  ('delta', 0.15,  3)]}_[35,  70]_1</v>
      </c>
      <c r="J204" t="s">
        <v>1315</v>
      </c>
      <c r="K204">
        <v>291</v>
      </c>
      <c r="L204" t="s">
        <v>1316</v>
      </c>
      <c r="M204">
        <v>80</v>
      </c>
      <c r="N204" t="s">
        <v>1317</v>
      </c>
      <c r="O204">
        <v>-13.2237172852358</v>
      </c>
      <c r="P204" t="s">
        <v>1318</v>
      </c>
      <c r="Q204">
        <v>-4.5442327440672899E-2</v>
      </c>
      <c r="R204" t="s">
        <v>1319</v>
      </c>
      <c r="S204">
        <v>1.5466609385218</v>
      </c>
      <c r="T204" t="s">
        <v>1320</v>
      </c>
      <c r="U204">
        <v>-0.65217424936657098</v>
      </c>
      <c r="V204" t="s">
        <v>1321</v>
      </c>
      <c r="W204">
        <v>0.32408394210024299</v>
      </c>
      <c r="X204" t="s">
        <v>1322</v>
      </c>
      <c r="Y204" t="s">
        <v>1497</v>
      </c>
      <c r="Z204" t="s">
        <v>1435</v>
      </c>
      <c r="AA204">
        <v>0</v>
      </c>
      <c r="AB204" t="s">
        <v>1325</v>
      </c>
      <c r="AC204" t="s">
        <v>1326</v>
      </c>
      <c r="AD204" t="s">
        <v>1497</v>
      </c>
      <c r="AE204" t="s">
        <v>1435</v>
      </c>
      <c r="AF204">
        <v>0</v>
      </c>
      <c r="AG204" t="s">
        <v>1328</v>
      </c>
    </row>
    <row r="205" spans="1:33" x14ac:dyDescent="0.3">
      <c r="A205" t="s">
        <v>1604</v>
      </c>
      <c r="B205" t="s">
        <v>1310</v>
      </c>
      <c r="C205">
        <v>0.3</v>
      </c>
      <c r="D205" t="s">
        <v>1311</v>
      </c>
      <c r="E205" t="s">
        <v>1312</v>
      </c>
      <c r="F205">
        <v>0.15</v>
      </c>
      <c r="G205" t="s">
        <v>1313</v>
      </c>
      <c r="H205" t="s">
        <v>1336</v>
      </c>
      <c r="I205" t="str">
        <f t="shared" si="3"/>
        <v>stoch_{'C',  [('delta', 0.3,  -1),  ('delta', 0.15,  2)]}_[7,  35]_4</v>
      </c>
      <c r="J205" t="s">
        <v>1315</v>
      </c>
      <c r="K205">
        <v>224</v>
      </c>
      <c r="L205" t="s">
        <v>1316</v>
      </c>
      <c r="M205">
        <v>104</v>
      </c>
      <c r="N205" t="s">
        <v>1317</v>
      </c>
      <c r="O205">
        <v>-13.309999999999899</v>
      </c>
      <c r="P205" t="s">
        <v>1318</v>
      </c>
      <c r="Q205">
        <v>-5.9419642857142602E-2</v>
      </c>
      <c r="R205" t="s">
        <v>1319</v>
      </c>
      <c r="S205">
        <v>0.63115384615384595</v>
      </c>
      <c r="T205" t="s">
        <v>1320</v>
      </c>
      <c r="U205">
        <v>-0.65791666666666604</v>
      </c>
      <c r="V205" t="s">
        <v>1321</v>
      </c>
      <c r="W205">
        <v>0.227469001118839</v>
      </c>
      <c r="X205" t="s">
        <v>1322</v>
      </c>
      <c r="Y205" t="s">
        <v>1415</v>
      </c>
      <c r="Z205" t="s">
        <v>1416</v>
      </c>
      <c r="AA205">
        <v>0</v>
      </c>
      <c r="AB205" t="s">
        <v>1325</v>
      </c>
      <c r="AC205" t="s">
        <v>1326</v>
      </c>
      <c r="AD205" t="s">
        <v>1635</v>
      </c>
      <c r="AE205" t="s">
        <v>1636</v>
      </c>
      <c r="AF205">
        <v>0</v>
      </c>
      <c r="AG205" t="s">
        <v>1328</v>
      </c>
    </row>
    <row r="206" spans="1:33" x14ac:dyDescent="0.3">
      <c r="A206" t="s">
        <v>1455</v>
      </c>
      <c r="B206" t="s">
        <v>1310</v>
      </c>
      <c r="C206">
        <v>0.4</v>
      </c>
      <c r="D206" t="s">
        <v>1311</v>
      </c>
      <c r="E206" t="s">
        <v>1312</v>
      </c>
      <c r="F206">
        <v>0.2</v>
      </c>
      <c r="G206" t="s">
        <v>1342</v>
      </c>
      <c r="H206" t="s">
        <v>1350</v>
      </c>
      <c r="I206" t="str">
        <f t="shared" si="3"/>
        <v>bbands_{'C',  [('delta', 0.4,  -1),  ('delta', 0.2,  2)]}_[21,  49]_5</v>
      </c>
      <c r="J206" t="s">
        <v>1315</v>
      </c>
      <c r="K206">
        <v>200</v>
      </c>
      <c r="L206" t="s">
        <v>1316</v>
      </c>
      <c r="M206">
        <v>58</v>
      </c>
      <c r="N206" t="s">
        <v>1317</v>
      </c>
      <c r="O206">
        <v>-13.329999999999901</v>
      </c>
      <c r="P206" t="s">
        <v>1318</v>
      </c>
      <c r="Q206">
        <v>-6.6649999999999904E-2</v>
      </c>
      <c r="R206" t="s">
        <v>1319</v>
      </c>
      <c r="S206">
        <v>1.5712068965517201</v>
      </c>
      <c r="T206" t="s">
        <v>1320</v>
      </c>
      <c r="U206">
        <v>-0.73563380281690105</v>
      </c>
      <c r="V206" t="s">
        <v>1321</v>
      </c>
      <c r="W206">
        <v>0.35125755986050999</v>
      </c>
      <c r="X206" t="s">
        <v>1322</v>
      </c>
      <c r="Y206" t="s">
        <v>1330</v>
      </c>
      <c r="Z206" t="s">
        <v>1331</v>
      </c>
      <c r="AA206">
        <v>0</v>
      </c>
      <c r="AB206" t="s">
        <v>1325</v>
      </c>
      <c r="AC206" t="s">
        <v>1326</v>
      </c>
      <c r="AD206" t="s">
        <v>1330</v>
      </c>
      <c r="AE206" t="s">
        <v>1331</v>
      </c>
      <c r="AF206">
        <v>0</v>
      </c>
      <c r="AG206" t="s">
        <v>1328</v>
      </c>
    </row>
    <row r="207" spans="1:33" x14ac:dyDescent="0.3">
      <c r="A207" t="s">
        <v>1559</v>
      </c>
      <c r="B207" t="s">
        <v>1310</v>
      </c>
      <c r="C207">
        <v>0.3</v>
      </c>
      <c r="D207" t="s">
        <v>1311</v>
      </c>
      <c r="E207" t="s">
        <v>1312</v>
      </c>
      <c r="F207">
        <v>0.15</v>
      </c>
      <c r="G207" t="s">
        <v>1403</v>
      </c>
      <c r="H207" t="s">
        <v>1358</v>
      </c>
      <c r="I207" t="str">
        <f t="shared" si="3"/>
        <v>rsi_{'C',  [('delta', 0.3,  -1),  ('delta', 0.15,  3)]}_[35,  70]_3</v>
      </c>
      <c r="J207" t="s">
        <v>1315</v>
      </c>
      <c r="K207">
        <v>40</v>
      </c>
      <c r="L207" t="s">
        <v>1316</v>
      </c>
      <c r="M207">
        <v>5</v>
      </c>
      <c r="N207" t="s">
        <v>1317</v>
      </c>
      <c r="O207">
        <v>-13.329999999999901</v>
      </c>
      <c r="P207" t="s">
        <v>1318</v>
      </c>
      <c r="Q207">
        <v>-0.33324999999999899</v>
      </c>
      <c r="R207" t="s">
        <v>1319</v>
      </c>
      <c r="S207">
        <v>2.1779999999999999</v>
      </c>
      <c r="T207" t="s">
        <v>1320</v>
      </c>
      <c r="U207">
        <v>-0.69199999999999895</v>
      </c>
      <c r="V207" t="s">
        <v>1321</v>
      </c>
      <c r="W207">
        <v>9.3579881971302903E-2</v>
      </c>
      <c r="X207" t="s">
        <v>1322</v>
      </c>
      <c r="Y207" t="s">
        <v>1603</v>
      </c>
      <c r="Z207" t="s">
        <v>1416</v>
      </c>
      <c r="AA207">
        <v>0</v>
      </c>
      <c r="AB207" t="s">
        <v>1325</v>
      </c>
      <c r="AC207" t="s">
        <v>1326</v>
      </c>
      <c r="AD207" t="s">
        <v>1603</v>
      </c>
      <c r="AE207" t="s">
        <v>1416</v>
      </c>
      <c r="AF207">
        <v>0</v>
      </c>
      <c r="AG207" t="s">
        <v>1328</v>
      </c>
    </row>
    <row r="208" spans="1:33" x14ac:dyDescent="0.3">
      <c r="A208" t="s">
        <v>1455</v>
      </c>
      <c r="B208" t="s">
        <v>1310</v>
      </c>
      <c r="C208">
        <v>0.4</v>
      </c>
      <c r="D208" t="s">
        <v>1311</v>
      </c>
      <c r="E208" t="s">
        <v>1312</v>
      </c>
      <c r="F208">
        <v>0.2</v>
      </c>
      <c r="G208" t="s">
        <v>1392</v>
      </c>
      <c r="H208" t="s">
        <v>1350</v>
      </c>
      <c r="I208" t="str">
        <f t="shared" si="3"/>
        <v>bbands_{'C',  [('delta', 0.4,  -1),  ('delta', 0.2,  3)]}_[21,  49]_5</v>
      </c>
      <c r="J208" t="s">
        <v>1315</v>
      </c>
      <c r="K208">
        <v>200</v>
      </c>
      <c r="L208" t="s">
        <v>1316</v>
      </c>
      <c r="M208">
        <v>23</v>
      </c>
      <c r="N208" t="s">
        <v>1317</v>
      </c>
      <c r="O208">
        <v>-13.56</v>
      </c>
      <c r="P208" t="s">
        <v>1318</v>
      </c>
      <c r="Q208">
        <v>-6.7799999999999999E-2</v>
      </c>
      <c r="R208" t="s">
        <v>1319</v>
      </c>
      <c r="S208">
        <v>5.5786956521739102</v>
      </c>
      <c r="T208" t="s">
        <v>1320</v>
      </c>
      <c r="U208">
        <v>-0.80152542372881297</v>
      </c>
      <c r="V208" t="s">
        <v>1321</v>
      </c>
      <c r="W208">
        <v>0.50650435761726598</v>
      </c>
      <c r="X208" t="s">
        <v>1322</v>
      </c>
      <c r="Y208" t="s">
        <v>1395</v>
      </c>
      <c r="Z208" t="s">
        <v>1396</v>
      </c>
      <c r="AA208">
        <v>0</v>
      </c>
      <c r="AB208" t="s">
        <v>1325</v>
      </c>
      <c r="AC208" t="s">
        <v>1326</v>
      </c>
      <c r="AD208" t="s">
        <v>1487</v>
      </c>
      <c r="AE208" t="s">
        <v>1435</v>
      </c>
      <c r="AF208">
        <v>0</v>
      </c>
      <c r="AG208" t="s">
        <v>1328</v>
      </c>
    </row>
    <row r="209" spans="1:33" x14ac:dyDescent="0.3">
      <c r="A209" t="s">
        <v>1604</v>
      </c>
      <c r="B209" t="s">
        <v>1310</v>
      </c>
      <c r="C209">
        <v>0.4</v>
      </c>
      <c r="D209" t="s">
        <v>1311</v>
      </c>
      <c r="E209" t="s">
        <v>1312</v>
      </c>
      <c r="F209">
        <v>0.2</v>
      </c>
      <c r="G209" t="s">
        <v>1381</v>
      </c>
      <c r="H209" t="s">
        <v>1336</v>
      </c>
      <c r="I209" t="str">
        <f t="shared" si="3"/>
        <v>stoch_{'C',  [('delta', 0.4,  -1),  ('delta', 0.2,  3)]}_[7,  35]_4</v>
      </c>
      <c r="J209" t="s">
        <v>1315</v>
      </c>
      <c r="K209">
        <v>224</v>
      </c>
      <c r="L209" t="s">
        <v>1316</v>
      </c>
      <c r="M209">
        <v>39</v>
      </c>
      <c r="N209" t="s">
        <v>1317</v>
      </c>
      <c r="O209">
        <v>-13.739999999999901</v>
      </c>
      <c r="P209" t="s">
        <v>1318</v>
      </c>
      <c r="Q209">
        <v>-6.1339285714285402E-2</v>
      </c>
      <c r="R209" t="s">
        <v>1319</v>
      </c>
      <c r="S209">
        <v>3.07589743589743</v>
      </c>
      <c r="T209" t="s">
        <v>1320</v>
      </c>
      <c r="U209">
        <v>-0.72270270270270198</v>
      </c>
      <c r="V209" t="s">
        <v>1321</v>
      </c>
      <c r="W209">
        <v>0.50065568377918002</v>
      </c>
      <c r="X209" t="s">
        <v>1322</v>
      </c>
      <c r="Y209" t="s">
        <v>1483</v>
      </c>
      <c r="Z209" t="s">
        <v>1435</v>
      </c>
      <c r="AA209">
        <v>0</v>
      </c>
      <c r="AB209" t="s">
        <v>1325</v>
      </c>
      <c r="AC209" t="s">
        <v>1326</v>
      </c>
      <c r="AD209" t="s">
        <v>1485</v>
      </c>
      <c r="AE209" t="s">
        <v>1435</v>
      </c>
      <c r="AF209">
        <v>0</v>
      </c>
      <c r="AG209" t="s">
        <v>1328</v>
      </c>
    </row>
    <row r="210" spans="1:33" x14ac:dyDescent="0.3">
      <c r="A210" t="s">
        <v>1559</v>
      </c>
      <c r="B210" t="s">
        <v>1310</v>
      </c>
      <c r="C210">
        <v>0.4</v>
      </c>
      <c r="D210" t="s">
        <v>1311</v>
      </c>
      <c r="E210" t="s">
        <v>1312</v>
      </c>
      <c r="F210">
        <v>0.2</v>
      </c>
      <c r="G210" t="s">
        <v>1351</v>
      </c>
      <c r="H210" t="s">
        <v>1352</v>
      </c>
      <c r="I210" t="str">
        <f t="shared" si="3"/>
        <v>rsi_{'C',  [('delta', 0.4,  -1),  ('delta', 0.2,  2)]}_[35,  70]_1</v>
      </c>
      <c r="J210" t="s">
        <v>1315</v>
      </c>
      <c r="K210">
        <v>40</v>
      </c>
      <c r="L210" t="s">
        <v>1316</v>
      </c>
      <c r="M210">
        <v>8</v>
      </c>
      <c r="N210" t="s">
        <v>1317</v>
      </c>
      <c r="O210">
        <v>-13.8007635056886</v>
      </c>
      <c r="P210" t="s">
        <v>1318</v>
      </c>
      <c r="Q210">
        <v>-0.345019087642216</v>
      </c>
      <c r="R210" t="s">
        <v>1319</v>
      </c>
      <c r="S210">
        <v>1.12115456178891</v>
      </c>
      <c r="T210" t="s">
        <v>1320</v>
      </c>
      <c r="U210">
        <v>-0.71156249999999899</v>
      </c>
      <c r="V210" t="s">
        <v>1321</v>
      </c>
      <c r="W210">
        <v>7.9268206328033997E-2</v>
      </c>
      <c r="X210" t="s">
        <v>1322</v>
      </c>
      <c r="Y210" t="s">
        <v>1580</v>
      </c>
      <c r="Z210" t="s">
        <v>1416</v>
      </c>
      <c r="AA210">
        <v>0</v>
      </c>
      <c r="AB210" t="s">
        <v>1325</v>
      </c>
      <c r="AC210" t="s">
        <v>1326</v>
      </c>
      <c r="AD210" t="s">
        <v>1581</v>
      </c>
      <c r="AE210" t="s">
        <v>1582</v>
      </c>
      <c r="AF210">
        <v>0</v>
      </c>
      <c r="AG210" t="s">
        <v>1328</v>
      </c>
    </row>
    <row r="211" spans="1:33" x14ac:dyDescent="0.3">
      <c r="A211" t="s">
        <v>1604</v>
      </c>
      <c r="B211" t="s">
        <v>1310</v>
      </c>
      <c r="C211">
        <v>0.4</v>
      </c>
      <c r="D211" t="s">
        <v>1311</v>
      </c>
      <c r="E211" t="s">
        <v>1312</v>
      </c>
      <c r="F211">
        <v>0.2</v>
      </c>
      <c r="G211" t="s">
        <v>1392</v>
      </c>
      <c r="H211" t="s">
        <v>1348</v>
      </c>
      <c r="I211" t="str">
        <f t="shared" si="3"/>
        <v>stoch_{'C',  [('delta', 0.4,  -1),  ('delta', 0.2,  3)]}_[21,  49]_3</v>
      </c>
      <c r="J211" t="s">
        <v>1315</v>
      </c>
      <c r="K211">
        <v>230</v>
      </c>
      <c r="L211" t="s">
        <v>1316</v>
      </c>
      <c r="M211">
        <v>39</v>
      </c>
      <c r="N211" t="s">
        <v>1317</v>
      </c>
      <c r="O211">
        <v>-14.399999999999901</v>
      </c>
      <c r="P211" t="s">
        <v>1318</v>
      </c>
      <c r="Q211">
        <v>-6.2608695652173793E-2</v>
      </c>
      <c r="R211" t="s">
        <v>1319</v>
      </c>
      <c r="S211">
        <v>3.07743589743589</v>
      </c>
      <c r="T211" t="s">
        <v>1320</v>
      </c>
      <c r="U211">
        <v>-0.70376963350785304</v>
      </c>
      <c r="V211" t="s">
        <v>1321</v>
      </c>
      <c r="W211">
        <v>0.49821459057558798</v>
      </c>
      <c r="X211" t="s">
        <v>1322</v>
      </c>
      <c r="Y211" t="s">
        <v>1483</v>
      </c>
      <c r="Z211" t="s">
        <v>1435</v>
      </c>
      <c r="AA211">
        <v>0</v>
      </c>
      <c r="AB211" t="s">
        <v>1325</v>
      </c>
      <c r="AC211" t="s">
        <v>1326</v>
      </c>
      <c r="AD211" t="s">
        <v>1485</v>
      </c>
      <c r="AE211" t="s">
        <v>1435</v>
      </c>
      <c r="AF211">
        <v>0</v>
      </c>
      <c r="AG211" t="s">
        <v>1328</v>
      </c>
    </row>
    <row r="212" spans="1:33" x14ac:dyDescent="0.3">
      <c r="A212" t="s">
        <v>1604</v>
      </c>
      <c r="B212" t="s">
        <v>1310</v>
      </c>
      <c r="C212">
        <v>0.3</v>
      </c>
      <c r="D212" t="s">
        <v>1311</v>
      </c>
      <c r="E212" t="s">
        <v>1312</v>
      </c>
      <c r="F212">
        <v>0.15</v>
      </c>
      <c r="G212" t="s">
        <v>1342</v>
      </c>
      <c r="H212" t="s">
        <v>1348</v>
      </c>
      <c r="I212" t="str">
        <f t="shared" si="3"/>
        <v>stoch_{'C',  [('delta', 0.3,  -1),  ('delta', 0.15,  2)]}_[21,  49]_3</v>
      </c>
      <c r="J212" t="s">
        <v>1315</v>
      </c>
      <c r="K212">
        <v>230</v>
      </c>
      <c r="L212" t="s">
        <v>1316</v>
      </c>
      <c r="M212">
        <v>97</v>
      </c>
      <c r="N212" t="s">
        <v>1317</v>
      </c>
      <c r="O212">
        <v>-14.6699999999999</v>
      </c>
      <c r="P212" t="s">
        <v>1318</v>
      </c>
      <c r="Q212">
        <v>-6.3782608695651902E-2</v>
      </c>
      <c r="R212" t="s">
        <v>1319</v>
      </c>
      <c r="S212">
        <v>0.75226804123711299</v>
      </c>
      <c r="T212" t="s">
        <v>1320</v>
      </c>
      <c r="U212">
        <v>-0.65894736842105195</v>
      </c>
      <c r="V212" t="s">
        <v>1321</v>
      </c>
      <c r="W212">
        <v>0.25895883152383598</v>
      </c>
      <c r="X212" t="s">
        <v>1322</v>
      </c>
      <c r="Y212" t="s">
        <v>1415</v>
      </c>
      <c r="Z212" t="s">
        <v>1416</v>
      </c>
      <c r="AA212">
        <v>0</v>
      </c>
      <c r="AB212" t="s">
        <v>1325</v>
      </c>
      <c r="AC212" t="s">
        <v>1326</v>
      </c>
      <c r="AD212" t="s">
        <v>1637</v>
      </c>
      <c r="AE212" t="s">
        <v>1416</v>
      </c>
      <c r="AF212">
        <v>0</v>
      </c>
      <c r="AG212" t="s">
        <v>1328</v>
      </c>
    </row>
    <row r="213" spans="1:33" x14ac:dyDescent="0.3">
      <c r="A213" t="s">
        <v>1604</v>
      </c>
      <c r="B213" t="s">
        <v>1310</v>
      </c>
      <c r="C213">
        <v>0.3</v>
      </c>
      <c r="D213" t="s">
        <v>1311</v>
      </c>
      <c r="E213" t="s">
        <v>1312</v>
      </c>
      <c r="F213">
        <v>0.15</v>
      </c>
      <c r="G213" t="s">
        <v>1342</v>
      </c>
      <c r="H213" t="s">
        <v>1350</v>
      </c>
      <c r="I213" t="str">
        <f t="shared" si="3"/>
        <v>stoch_{'C',  [('delta', 0.3,  -1),  ('delta', 0.15,  2)]}_[21,  49]_5</v>
      </c>
      <c r="J213" t="s">
        <v>1315</v>
      </c>
      <c r="K213">
        <v>230</v>
      </c>
      <c r="L213" t="s">
        <v>1316</v>
      </c>
      <c r="M213">
        <v>95</v>
      </c>
      <c r="N213" t="s">
        <v>1317</v>
      </c>
      <c r="O213">
        <v>-15.0399999999999</v>
      </c>
      <c r="P213" t="s">
        <v>1318</v>
      </c>
      <c r="Q213">
        <v>-6.5391304347825904E-2</v>
      </c>
      <c r="R213" t="s">
        <v>1319</v>
      </c>
      <c r="S213">
        <v>0.78484210526315701</v>
      </c>
      <c r="T213" t="s">
        <v>1320</v>
      </c>
      <c r="U213">
        <v>-0.66370370370370302</v>
      </c>
      <c r="V213" t="s">
        <v>1321</v>
      </c>
      <c r="W213">
        <v>0.29832778678658001</v>
      </c>
      <c r="X213" t="s">
        <v>1322</v>
      </c>
      <c r="Y213" t="s">
        <v>1522</v>
      </c>
      <c r="Z213" t="s">
        <v>1523</v>
      </c>
      <c r="AA213">
        <v>0</v>
      </c>
      <c r="AB213" t="s">
        <v>1325</v>
      </c>
      <c r="AC213" t="s">
        <v>1326</v>
      </c>
      <c r="AD213" t="s">
        <v>1637</v>
      </c>
      <c r="AE213" t="s">
        <v>1416</v>
      </c>
      <c r="AF213">
        <v>0</v>
      </c>
      <c r="AG213" t="s">
        <v>1328</v>
      </c>
    </row>
    <row r="214" spans="1:33" x14ac:dyDescent="0.3">
      <c r="A214" t="s">
        <v>1559</v>
      </c>
      <c r="B214" t="s">
        <v>1310</v>
      </c>
      <c r="C214">
        <v>0.5</v>
      </c>
      <c r="D214" t="s">
        <v>1311</v>
      </c>
      <c r="E214" t="s">
        <v>1312</v>
      </c>
      <c r="F214">
        <v>0.3</v>
      </c>
      <c r="G214" t="s">
        <v>1351</v>
      </c>
      <c r="H214" t="s">
        <v>1356</v>
      </c>
      <c r="I214" t="str">
        <f t="shared" si="3"/>
        <v>rsi_{'C',  [('delta', 0.5,  -1),  ('delta', 0.3,  2)]}_[35,  70]_2</v>
      </c>
      <c r="J214" t="s">
        <v>1315</v>
      </c>
      <c r="K214">
        <v>40</v>
      </c>
      <c r="L214" t="s">
        <v>1316</v>
      </c>
      <c r="M214">
        <v>4</v>
      </c>
      <c r="N214" t="s">
        <v>1317</v>
      </c>
      <c r="O214">
        <v>-15.3152388225166</v>
      </c>
      <c r="P214" t="s">
        <v>1318</v>
      </c>
      <c r="Q214">
        <v>-0.38288097056291698</v>
      </c>
      <c r="R214" t="s">
        <v>1319</v>
      </c>
      <c r="S214">
        <v>1.93</v>
      </c>
      <c r="T214" t="s">
        <v>1320</v>
      </c>
      <c r="U214">
        <v>-0.63986774506990796</v>
      </c>
      <c r="V214" t="s">
        <v>1321</v>
      </c>
      <c r="W214">
        <v>0.100960995197835</v>
      </c>
      <c r="X214" t="s">
        <v>1322</v>
      </c>
      <c r="Y214" t="s">
        <v>1568</v>
      </c>
      <c r="Z214" t="s">
        <v>1569</v>
      </c>
      <c r="AA214">
        <v>0</v>
      </c>
      <c r="AB214" t="s">
        <v>1325</v>
      </c>
      <c r="AC214" t="s">
        <v>1326</v>
      </c>
      <c r="AD214" t="s">
        <v>1570</v>
      </c>
      <c r="AE214" t="s">
        <v>1569</v>
      </c>
      <c r="AF214">
        <v>0</v>
      </c>
      <c r="AG214" t="s">
        <v>1328</v>
      </c>
    </row>
    <row r="215" spans="1:33" x14ac:dyDescent="0.3">
      <c r="A215" t="s">
        <v>1559</v>
      </c>
      <c r="B215" t="s">
        <v>1310</v>
      </c>
      <c r="C215">
        <v>0.4</v>
      </c>
      <c r="D215" t="s">
        <v>1311</v>
      </c>
      <c r="E215" t="s">
        <v>1312</v>
      </c>
      <c r="F215">
        <v>0.2</v>
      </c>
      <c r="G215" t="s">
        <v>1392</v>
      </c>
      <c r="H215" t="s">
        <v>1343</v>
      </c>
      <c r="I215" t="str">
        <f t="shared" si="3"/>
        <v>rsi_{'C',  [('delta', 0.4,  -1),  ('delta', 0.2,  3)]}_[21,  49]_1</v>
      </c>
      <c r="J215" t="s">
        <v>1315</v>
      </c>
      <c r="K215">
        <v>33</v>
      </c>
      <c r="L215" t="s">
        <v>1316</v>
      </c>
      <c r="M215">
        <v>4</v>
      </c>
      <c r="N215" t="s">
        <v>1317</v>
      </c>
      <c r="O215">
        <v>-15.36</v>
      </c>
      <c r="P215" t="s">
        <v>1318</v>
      </c>
      <c r="Q215">
        <v>-0.46545454545454501</v>
      </c>
      <c r="R215" t="s">
        <v>1319</v>
      </c>
      <c r="S215">
        <v>1.0925</v>
      </c>
      <c r="T215" t="s">
        <v>1320</v>
      </c>
      <c r="U215">
        <v>-0.68034482758620696</v>
      </c>
      <c r="V215" t="s">
        <v>1321</v>
      </c>
      <c r="W215">
        <v>6.0265293120147098E-2</v>
      </c>
      <c r="X215" t="s">
        <v>1322</v>
      </c>
      <c r="Y215" t="s">
        <v>1586</v>
      </c>
      <c r="Z215" t="s">
        <v>1587</v>
      </c>
      <c r="AA215">
        <v>0</v>
      </c>
      <c r="AB215" t="s">
        <v>1325</v>
      </c>
      <c r="AC215" t="s">
        <v>1326</v>
      </c>
      <c r="AD215" t="s">
        <v>1586</v>
      </c>
      <c r="AE215" t="s">
        <v>1587</v>
      </c>
      <c r="AF215">
        <v>0</v>
      </c>
      <c r="AG215" t="s">
        <v>1328</v>
      </c>
    </row>
    <row r="216" spans="1:33" x14ac:dyDescent="0.3">
      <c r="A216" t="s">
        <v>1559</v>
      </c>
      <c r="B216" t="s">
        <v>1310</v>
      </c>
      <c r="C216">
        <v>0.5</v>
      </c>
      <c r="D216" t="s">
        <v>1311</v>
      </c>
      <c r="E216" t="s">
        <v>1312</v>
      </c>
      <c r="F216">
        <v>0.3</v>
      </c>
      <c r="G216" t="s">
        <v>1351</v>
      </c>
      <c r="H216" t="s">
        <v>1360</v>
      </c>
      <c r="I216" t="str">
        <f t="shared" si="3"/>
        <v>rsi_{'C',  [('delta', 0.5,  -1),  ('delta', 0.3,  2)]}_[35,  70]_5</v>
      </c>
      <c r="J216" t="s">
        <v>1315</v>
      </c>
      <c r="K216">
        <v>40</v>
      </c>
      <c r="L216" t="s">
        <v>1316</v>
      </c>
      <c r="M216">
        <v>3</v>
      </c>
      <c r="N216" t="s">
        <v>1317</v>
      </c>
      <c r="O216">
        <v>-15.8052388225166</v>
      </c>
      <c r="P216" t="s">
        <v>1318</v>
      </c>
      <c r="Q216">
        <v>-0.39513097056291702</v>
      </c>
      <c r="R216" t="s">
        <v>1319</v>
      </c>
      <c r="S216">
        <v>2.8433333333333302</v>
      </c>
      <c r="T216" t="s">
        <v>1320</v>
      </c>
      <c r="U216">
        <v>-0.65770915736531599</v>
      </c>
      <c r="V216" t="s">
        <v>1321</v>
      </c>
      <c r="W216">
        <v>0.108464147361663</v>
      </c>
      <c r="X216" t="s">
        <v>1322</v>
      </c>
      <c r="Y216" t="s">
        <v>1568</v>
      </c>
      <c r="Z216" t="s">
        <v>1569</v>
      </c>
      <c r="AA216">
        <v>0</v>
      </c>
      <c r="AB216" t="s">
        <v>1325</v>
      </c>
      <c r="AC216" t="s">
        <v>1326</v>
      </c>
      <c r="AD216" t="s">
        <v>1570</v>
      </c>
      <c r="AE216" t="s">
        <v>1569</v>
      </c>
      <c r="AF216">
        <v>0</v>
      </c>
      <c r="AG216" t="s">
        <v>1328</v>
      </c>
    </row>
    <row r="217" spans="1:33" x14ac:dyDescent="0.3">
      <c r="A217" t="s">
        <v>1500</v>
      </c>
      <c r="B217" t="s">
        <v>1310</v>
      </c>
      <c r="C217">
        <v>0.4</v>
      </c>
      <c r="D217" t="s">
        <v>1311</v>
      </c>
      <c r="E217" t="s">
        <v>1312</v>
      </c>
      <c r="F217">
        <v>0.2</v>
      </c>
      <c r="G217" t="s">
        <v>1351</v>
      </c>
      <c r="H217" t="s">
        <v>1356</v>
      </c>
      <c r="I217" t="str">
        <f t="shared" si="3"/>
        <v>psar_{'C',  [('delta', 0.4,  -1),  ('delta', 0.2,  2)]}_[35,  70]_2</v>
      </c>
      <c r="J217" t="s">
        <v>1315</v>
      </c>
      <c r="K217">
        <v>177</v>
      </c>
      <c r="L217" t="s">
        <v>1316</v>
      </c>
      <c r="M217">
        <v>54</v>
      </c>
      <c r="N217" t="s">
        <v>1317</v>
      </c>
      <c r="O217">
        <v>-15.828689311286301</v>
      </c>
      <c r="P217" t="s">
        <v>1318</v>
      </c>
      <c r="Q217">
        <v>-8.9427623227606501E-2</v>
      </c>
      <c r="R217" t="s">
        <v>1319</v>
      </c>
      <c r="S217">
        <v>1.41368256935819</v>
      </c>
      <c r="T217" t="s">
        <v>1320</v>
      </c>
      <c r="U217">
        <v>-0.74932965899698201</v>
      </c>
      <c r="V217" t="s">
        <v>1321</v>
      </c>
      <c r="W217">
        <v>0.29448122692390999</v>
      </c>
      <c r="X217" t="s">
        <v>1322</v>
      </c>
      <c r="Y217" t="s">
        <v>1367</v>
      </c>
      <c r="Z217" t="s">
        <v>1368</v>
      </c>
      <c r="AA217">
        <v>0</v>
      </c>
      <c r="AB217" t="s">
        <v>1325</v>
      </c>
      <c r="AC217" t="s">
        <v>1326</v>
      </c>
      <c r="AD217" t="s">
        <v>1367</v>
      </c>
      <c r="AE217" t="s">
        <v>1368</v>
      </c>
      <c r="AF217">
        <v>0</v>
      </c>
      <c r="AG217" t="s">
        <v>1328</v>
      </c>
    </row>
    <row r="218" spans="1:33" x14ac:dyDescent="0.3">
      <c r="A218" t="s">
        <v>1604</v>
      </c>
      <c r="B218" t="s">
        <v>1310</v>
      </c>
      <c r="C218">
        <v>0.3</v>
      </c>
      <c r="D218" t="s">
        <v>1311</v>
      </c>
      <c r="E218" t="s">
        <v>1312</v>
      </c>
      <c r="F218">
        <v>0.15</v>
      </c>
      <c r="G218" t="s">
        <v>1342</v>
      </c>
      <c r="H218" t="s">
        <v>1346</v>
      </c>
      <c r="I218" t="str">
        <f t="shared" si="3"/>
        <v>stoch_{'C',  [('delta', 0.3,  -1),  ('delta', 0.15,  2)]}_[21,  49]_2</v>
      </c>
      <c r="J218" t="s">
        <v>1315</v>
      </c>
      <c r="K218">
        <v>230</v>
      </c>
      <c r="L218" t="s">
        <v>1316</v>
      </c>
      <c r="M218">
        <v>97</v>
      </c>
      <c r="N218" t="s">
        <v>1317</v>
      </c>
      <c r="O218">
        <v>-15.979999999999899</v>
      </c>
      <c r="P218" t="s">
        <v>1318</v>
      </c>
      <c r="Q218">
        <v>-6.9478260869564906E-2</v>
      </c>
      <c r="R218" t="s">
        <v>1319</v>
      </c>
      <c r="S218">
        <v>0.73876288659793798</v>
      </c>
      <c r="T218" t="s">
        <v>1320</v>
      </c>
      <c r="U218">
        <v>-0.65894736842105195</v>
      </c>
      <c r="V218" t="s">
        <v>1321</v>
      </c>
      <c r="W218">
        <v>0.24718734603096601</v>
      </c>
      <c r="X218" t="s">
        <v>1322</v>
      </c>
      <c r="Y218" t="s">
        <v>1415</v>
      </c>
      <c r="Z218" t="s">
        <v>1416</v>
      </c>
      <c r="AA218">
        <v>0</v>
      </c>
      <c r="AB218" t="s">
        <v>1325</v>
      </c>
      <c r="AC218" t="s">
        <v>1326</v>
      </c>
      <c r="AD218" t="s">
        <v>1637</v>
      </c>
      <c r="AE218" t="s">
        <v>1416</v>
      </c>
      <c r="AF218">
        <v>0</v>
      </c>
      <c r="AG218" t="s">
        <v>1328</v>
      </c>
    </row>
    <row r="219" spans="1:33" x14ac:dyDescent="0.3">
      <c r="A219" t="s">
        <v>1455</v>
      </c>
      <c r="B219" t="s">
        <v>1310</v>
      </c>
      <c r="C219">
        <v>0.3</v>
      </c>
      <c r="D219" t="s">
        <v>1311</v>
      </c>
      <c r="E219" t="s">
        <v>1312</v>
      </c>
      <c r="F219">
        <v>0.15</v>
      </c>
      <c r="G219" t="s">
        <v>1351</v>
      </c>
      <c r="H219" t="s">
        <v>1358</v>
      </c>
      <c r="I219" t="str">
        <f t="shared" si="3"/>
        <v>bbands_{'C',  [('delta', 0.3,  -1),  ('delta', 0.15,  2)]}_[35,  70]_3</v>
      </c>
      <c r="J219" t="s">
        <v>1315</v>
      </c>
      <c r="K219">
        <v>247</v>
      </c>
      <c r="L219" t="s">
        <v>1316</v>
      </c>
      <c r="M219">
        <v>84</v>
      </c>
      <c r="N219" t="s">
        <v>1317</v>
      </c>
      <c r="O219">
        <v>-16.220024001456</v>
      </c>
      <c r="P219" t="s">
        <v>1318</v>
      </c>
      <c r="Q219">
        <v>-6.5668113366219E-2</v>
      </c>
      <c r="R219" t="s">
        <v>1319</v>
      </c>
      <c r="S219">
        <v>1.1405187999156801</v>
      </c>
      <c r="T219" t="s">
        <v>1320</v>
      </c>
      <c r="U219">
        <v>-0.68726136929063697</v>
      </c>
      <c r="V219" t="s">
        <v>1321</v>
      </c>
      <c r="W219">
        <v>0.34874048011533199</v>
      </c>
      <c r="X219" t="s">
        <v>1322</v>
      </c>
      <c r="Y219" t="s">
        <v>1344</v>
      </c>
      <c r="Z219" t="s">
        <v>1331</v>
      </c>
      <c r="AA219">
        <v>0</v>
      </c>
      <c r="AB219" t="s">
        <v>1325</v>
      </c>
      <c r="AC219" t="s">
        <v>1326</v>
      </c>
      <c r="AD219" t="s">
        <v>1344</v>
      </c>
      <c r="AE219" t="s">
        <v>1331</v>
      </c>
      <c r="AF219">
        <v>0</v>
      </c>
      <c r="AG219" t="s">
        <v>1328</v>
      </c>
    </row>
    <row r="220" spans="1:33" x14ac:dyDescent="0.3">
      <c r="A220" t="s">
        <v>1455</v>
      </c>
      <c r="B220" t="s">
        <v>1310</v>
      </c>
      <c r="C220">
        <v>0.3</v>
      </c>
      <c r="D220" t="s">
        <v>1311</v>
      </c>
      <c r="E220" t="s">
        <v>1312</v>
      </c>
      <c r="F220">
        <v>0.15</v>
      </c>
      <c r="G220" t="s">
        <v>1342</v>
      </c>
      <c r="H220" t="s">
        <v>1350</v>
      </c>
      <c r="I220" t="str">
        <f t="shared" si="3"/>
        <v>bbands_{'C',  [('delta', 0.3,  -1),  ('delta', 0.15,  2)]}_[21,  49]_5</v>
      </c>
      <c r="J220" t="s">
        <v>1315</v>
      </c>
      <c r="K220">
        <v>200</v>
      </c>
      <c r="L220" t="s">
        <v>1316</v>
      </c>
      <c r="M220">
        <v>72</v>
      </c>
      <c r="N220" t="s">
        <v>1317</v>
      </c>
      <c r="O220">
        <v>-16.37</v>
      </c>
      <c r="P220" t="s">
        <v>1318</v>
      </c>
      <c r="Q220">
        <v>-8.1850000000000006E-2</v>
      </c>
      <c r="R220" t="s">
        <v>1319</v>
      </c>
      <c r="S220">
        <v>0.94208333333333305</v>
      </c>
      <c r="T220" t="s">
        <v>1320</v>
      </c>
      <c r="U220">
        <v>-0.66299212598425095</v>
      </c>
      <c r="V220" t="s">
        <v>1321</v>
      </c>
      <c r="W220">
        <v>0.273789175099725</v>
      </c>
      <c r="X220" t="s">
        <v>1322</v>
      </c>
      <c r="Y220" t="s">
        <v>1344</v>
      </c>
      <c r="Z220" t="s">
        <v>1331</v>
      </c>
      <c r="AA220">
        <v>0</v>
      </c>
      <c r="AB220" t="s">
        <v>1325</v>
      </c>
      <c r="AC220" t="s">
        <v>1326</v>
      </c>
      <c r="AD220" t="s">
        <v>1344</v>
      </c>
      <c r="AE220" t="s">
        <v>1331</v>
      </c>
      <c r="AF220">
        <v>0</v>
      </c>
      <c r="AG220" t="s">
        <v>1328</v>
      </c>
    </row>
    <row r="221" spans="1:33" x14ac:dyDescent="0.3">
      <c r="A221" t="s">
        <v>1559</v>
      </c>
      <c r="B221" t="s">
        <v>1310</v>
      </c>
      <c r="C221">
        <v>0.5</v>
      </c>
      <c r="D221" t="s">
        <v>1311</v>
      </c>
      <c r="E221" t="s">
        <v>1312</v>
      </c>
      <c r="F221">
        <v>0.3</v>
      </c>
      <c r="G221" t="s">
        <v>1351</v>
      </c>
      <c r="H221" t="s">
        <v>1359</v>
      </c>
      <c r="I221" t="str">
        <f t="shared" si="3"/>
        <v>rsi_{'C',  [('delta', 0.5,  -1),  ('delta', 0.3,  2)]}_[35,  70]_4</v>
      </c>
      <c r="J221" t="s">
        <v>1315</v>
      </c>
      <c r="K221">
        <v>40</v>
      </c>
      <c r="L221" t="s">
        <v>1316</v>
      </c>
      <c r="M221">
        <v>3</v>
      </c>
      <c r="N221" t="s">
        <v>1317</v>
      </c>
      <c r="O221">
        <v>-16.595238822516599</v>
      </c>
      <c r="P221" t="s">
        <v>1318</v>
      </c>
      <c r="Q221">
        <v>-0.41488097056291701</v>
      </c>
      <c r="R221" t="s">
        <v>1319</v>
      </c>
      <c r="S221">
        <v>2.5799999999999899</v>
      </c>
      <c r="T221" t="s">
        <v>1320</v>
      </c>
      <c r="U221">
        <v>-0.65770915736531599</v>
      </c>
      <c r="V221" t="s">
        <v>1321</v>
      </c>
      <c r="W221">
        <v>0.10780267724819299</v>
      </c>
      <c r="X221" t="s">
        <v>1322</v>
      </c>
      <c r="Y221" t="s">
        <v>1568</v>
      </c>
      <c r="Z221" t="s">
        <v>1569</v>
      </c>
      <c r="AA221">
        <v>0</v>
      </c>
      <c r="AB221" t="s">
        <v>1325</v>
      </c>
      <c r="AC221" t="s">
        <v>1326</v>
      </c>
      <c r="AD221" t="s">
        <v>1570</v>
      </c>
      <c r="AE221" t="s">
        <v>1569</v>
      </c>
      <c r="AF221">
        <v>0</v>
      </c>
      <c r="AG221" t="s">
        <v>1328</v>
      </c>
    </row>
    <row r="222" spans="1:33" x14ac:dyDescent="0.3">
      <c r="A222" t="s">
        <v>1559</v>
      </c>
      <c r="B222" t="s">
        <v>1310</v>
      </c>
      <c r="C222">
        <v>0.3</v>
      </c>
      <c r="D222" t="s">
        <v>1311</v>
      </c>
      <c r="E222" t="s">
        <v>1312</v>
      </c>
      <c r="F222">
        <v>0.15</v>
      </c>
      <c r="G222" t="s">
        <v>1351</v>
      </c>
      <c r="H222" t="s">
        <v>1356</v>
      </c>
      <c r="I222" t="str">
        <f t="shared" si="3"/>
        <v>rsi_{'C',  [('delta', 0.3,  -1),  ('delta', 0.15,  2)]}_[35,  70]_2</v>
      </c>
      <c r="J222" t="s">
        <v>1315</v>
      </c>
      <c r="K222">
        <v>40</v>
      </c>
      <c r="L222" t="s">
        <v>1316</v>
      </c>
      <c r="M222">
        <v>8</v>
      </c>
      <c r="N222" t="s">
        <v>1317</v>
      </c>
      <c r="O222">
        <v>-16.739999999999998</v>
      </c>
      <c r="P222" t="s">
        <v>1318</v>
      </c>
      <c r="Q222">
        <v>-0.41849999999999998</v>
      </c>
      <c r="R222" t="s">
        <v>1319</v>
      </c>
      <c r="S222">
        <v>0.72124999999999995</v>
      </c>
      <c r="T222" t="s">
        <v>1320</v>
      </c>
      <c r="U222">
        <v>-0.70343750000000005</v>
      </c>
      <c r="V222" t="s">
        <v>1321</v>
      </c>
      <c r="W222">
        <v>7.3715959120656996E-2</v>
      </c>
      <c r="X222" t="s">
        <v>1322</v>
      </c>
      <c r="Y222" t="s">
        <v>1547</v>
      </c>
      <c r="Z222" t="s">
        <v>1416</v>
      </c>
      <c r="AA222">
        <v>0</v>
      </c>
      <c r="AB222" t="s">
        <v>1325</v>
      </c>
      <c r="AC222" t="s">
        <v>1326</v>
      </c>
      <c r="AD222" t="s">
        <v>1547</v>
      </c>
      <c r="AE222" t="s">
        <v>1416</v>
      </c>
      <c r="AF222">
        <v>0</v>
      </c>
      <c r="AG222" t="s">
        <v>1328</v>
      </c>
    </row>
    <row r="223" spans="1:33" x14ac:dyDescent="0.3">
      <c r="A223" t="s">
        <v>1559</v>
      </c>
      <c r="B223" t="s">
        <v>1310</v>
      </c>
      <c r="C223">
        <v>0.3</v>
      </c>
      <c r="D223" t="s">
        <v>1311</v>
      </c>
      <c r="E223" t="s">
        <v>1312</v>
      </c>
      <c r="F223">
        <v>0.15</v>
      </c>
      <c r="G223" t="s">
        <v>1351</v>
      </c>
      <c r="H223" t="s">
        <v>1358</v>
      </c>
      <c r="I223" t="str">
        <f t="shared" si="3"/>
        <v>rsi_{'C',  [('delta', 0.3,  -1),  ('delta', 0.15,  2)]}_[35,  70]_3</v>
      </c>
      <c r="J223" t="s">
        <v>1315</v>
      </c>
      <c r="K223">
        <v>40</v>
      </c>
      <c r="L223" t="s">
        <v>1316</v>
      </c>
      <c r="M223">
        <v>8</v>
      </c>
      <c r="N223" t="s">
        <v>1317</v>
      </c>
      <c r="O223">
        <v>-16.739999999999998</v>
      </c>
      <c r="P223" t="s">
        <v>1318</v>
      </c>
      <c r="Q223">
        <v>-0.41849999999999998</v>
      </c>
      <c r="R223" t="s">
        <v>1319</v>
      </c>
      <c r="S223">
        <v>0.72124999999999995</v>
      </c>
      <c r="T223" t="s">
        <v>1320</v>
      </c>
      <c r="U223">
        <v>-0.70343750000000005</v>
      </c>
      <c r="V223" t="s">
        <v>1321</v>
      </c>
      <c r="W223">
        <v>7.3715959120656996E-2</v>
      </c>
      <c r="X223" t="s">
        <v>1322</v>
      </c>
      <c r="Y223" t="s">
        <v>1547</v>
      </c>
      <c r="Z223" t="s">
        <v>1416</v>
      </c>
      <c r="AA223">
        <v>0</v>
      </c>
      <c r="AB223" t="s">
        <v>1325</v>
      </c>
      <c r="AC223" t="s">
        <v>1326</v>
      </c>
      <c r="AD223" t="s">
        <v>1547</v>
      </c>
      <c r="AE223" t="s">
        <v>1416</v>
      </c>
      <c r="AF223">
        <v>0</v>
      </c>
      <c r="AG223" t="s">
        <v>1328</v>
      </c>
    </row>
    <row r="224" spans="1:33" x14ac:dyDescent="0.3">
      <c r="A224" t="s">
        <v>1559</v>
      </c>
      <c r="B224" t="s">
        <v>1310</v>
      </c>
      <c r="C224">
        <v>0.3</v>
      </c>
      <c r="D224" t="s">
        <v>1311</v>
      </c>
      <c r="E224" t="s">
        <v>1312</v>
      </c>
      <c r="F224">
        <v>0.15</v>
      </c>
      <c r="G224" t="s">
        <v>1351</v>
      </c>
      <c r="H224" t="s">
        <v>1359</v>
      </c>
      <c r="I224" t="str">
        <f t="shared" si="3"/>
        <v>rsi_{'C',  [('delta', 0.3,  -1),  ('delta', 0.15,  2)]}_[35,  70]_4</v>
      </c>
      <c r="J224" t="s">
        <v>1315</v>
      </c>
      <c r="K224">
        <v>40</v>
      </c>
      <c r="L224" t="s">
        <v>1316</v>
      </c>
      <c r="M224">
        <v>8</v>
      </c>
      <c r="N224" t="s">
        <v>1317</v>
      </c>
      <c r="O224">
        <v>-16.739999999999998</v>
      </c>
      <c r="P224" t="s">
        <v>1318</v>
      </c>
      <c r="Q224">
        <v>-0.41849999999999998</v>
      </c>
      <c r="R224" t="s">
        <v>1319</v>
      </c>
      <c r="S224">
        <v>0.72124999999999995</v>
      </c>
      <c r="T224" t="s">
        <v>1320</v>
      </c>
      <c r="U224">
        <v>-0.70343750000000005</v>
      </c>
      <c r="V224" t="s">
        <v>1321</v>
      </c>
      <c r="W224">
        <v>7.3715959120656996E-2</v>
      </c>
      <c r="X224" t="s">
        <v>1322</v>
      </c>
      <c r="Y224" t="s">
        <v>1547</v>
      </c>
      <c r="Z224" t="s">
        <v>1416</v>
      </c>
      <c r="AA224">
        <v>0</v>
      </c>
      <c r="AB224" t="s">
        <v>1325</v>
      </c>
      <c r="AC224" t="s">
        <v>1326</v>
      </c>
      <c r="AD224" t="s">
        <v>1547</v>
      </c>
      <c r="AE224" t="s">
        <v>1416</v>
      </c>
      <c r="AF224">
        <v>0</v>
      </c>
      <c r="AG224" t="s">
        <v>1328</v>
      </c>
    </row>
    <row r="225" spans="1:33" x14ac:dyDescent="0.3">
      <c r="A225" t="s">
        <v>1559</v>
      </c>
      <c r="B225" t="s">
        <v>1310</v>
      </c>
      <c r="C225">
        <v>0.3</v>
      </c>
      <c r="D225" t="s">
        <v>1311</v>
      </c>
      <c r="E225" t="s">
        <v>1312</v>
      </c>
      <c r="F225">
        <v>0.15</v>
      </c>
      <c r="G225" t="s">
        <v>1351</v>
      </c>
      <c r="H225" t="s">
        <v>1360</v>
      </c>
      <c r="I225" t="str">
        <f t="shared" si="3"/>
        <v>rsi_{'C',  [('delta', 0.3,  -1),  ('delta', 0.15,  2)]}_[35,  70]_5</v>
      </c>
      <c r="J225" t="s">
        <v>1315</v>
      </c>
      <c r="K225">
        <v>40</v>
      </c>
      <c r="L225" t="s">
        <v>1316</v>
      </c>
      <c r="M225">
        <v>8</v>
      </c>
      <c r="N225" t="s">
        <v>1317</v>
      </c>
      <c r="O225">
        <v>-16.739999999999998</v>
      </c>
      <c r="P225" t="s">
        <v>1318</v>
      </c>
      <c r="Q225">
        <v>-0.41849999999999998</v>
      </c>
      <c r="R225" t="s">
        <v>1319</v>
      </c>
      <c r="S225">
        <v>0.72124999999999995</v>
      </c>
      <c r="T225" t="s">
        <v>1320</v>
      </c>
      <c r="U225">
        <v>-0.70343750000000005</v>
      </c>
      <c r="V225" t="s">
        <v>1321</v>
      </c>
      <c r="W225">
        <v>7.3715959120656996E-2</v>
      </c>
      <c r="X225" t="s">
        <v>1322</v>
      </c>
      <c r="Y225" t="s">
        <v>1547</v>
      </c>
      <c r="Z225" t="s">
        <v>1416</v>
      </c>
      <c r="AA225">
        <v>0</v>
      </c>
      <c r="AB225" t="s">
        <v>1325</v>
      </c>
      <c r="AC225" t="s">
        <v>1326</v>
      </c>
      <c r="AD225" t="s">
        <v>1547</v>
      </c>
      <c r="AE225" t="s">
        <v>1416</v>
      </c>
      <c r="AF225">
        <v>0</v>
      </c>
      <c r="AG225" t="s">
        <v>1328</v>
      </c>
    </row>
    <row r="226" spans="1:33" x14ac:dyDescent="0.3">
      <c r="A226" t="s">
        <v>1559</v>
      </c>
      <c r="B226" t="s">
        <v>1310</v>
      </c>
      <c r="C226">
        <v>0.3</v>
      </c>
      <c r="D226" t="s">
        <v>1311</v>
      </c>
      <c r="E226" t="s">
        <v>1312</v>
      </c>
      <c r="F226">
        <v>0.15</v>
      </c>
      <c r="G226" t="s">
        <v>1351</v>
      </c>
      <c r="H226" t="s">
        <v>1352</v>
      </c>
      <c r="I226" t="str">
        <f t="shared" si="3"/>
        <v>rsi_{'C',  [('delta', 0.3,  -1),  ('delta', 0.15,  2)]}_[35,  70]_1</v>
      </c>
      <c r="J226" t="s">
        <v>1315</v>
      </c>
      <c r="K226">
        <v>40</v>
      </c>
      <c r="L226" t="s">
        <v>1316</v>
      </c>
      <c r="M226">
        <v>8</v>
      </c>
      <c r="N226" t="s">
        <v>1317</v>
      </c>
      <c r="O226">
        <v>-16.989999999999998</v>
      </c>
      <c r="P226" t="s">
        <v>1318</v>
      </c>
      <c r="Q226">
        <v>-0.42475000000000002</v>
      </c>
      <c r="R226" t="s">
        <v>1319</v>
      </c>
      <c r="S226">
        <v>0.69</v>
      </c>
      <c r="T226" t="s">
        <v>1320</v>
      </c>
      <c r="U226">
        <v>-0.70343750000000005</v>
      </c>
      <c r="V226" t="s">
        <v>1321</v>
      </c>
      <c r="W226">
        <v>7.1120801874873602E-2</v>
      </c>
      <c r="X226" t="s">
        <v>1322</v>
      </c>
      <c r="Y226" t="s">
        <v>1547</v>
      </c>
      <c r="Z226" t="s">
        <v>1416</v>
      </c>
      <c r="AA226">
        <v>0</v>
      </c>
      <c r="AB226" t="s">
        <v>1325</v>
      </c>
      <c r="AC226" t="s">
        <v>1326</v>
      </c>
      <c r="AD226" t="s">
        <v>1547</v>
      </c>
      <c r="AE226" t="s">
        <v>1416</v>
      </c>
      <c r="AF226">
        <v>0</v>
      </c>
      <c r="AG226" t="s">
        <v>1328</v>
      </c>
    </row>
    <row r="227" spans="1:33" x14ac:dyDescent="0.3">
      <c r="A227" t="s">
        <v>1559</v>
      </c>
      <c r="B227" t="s">
        <v>1310</v>
      </c>
      <c r="C227">
        <v>0.5</v>
      </c>
      <c r="D227" t="s">
        <v>1311</v>
      </c>
      <c r="E227" t="s">
        <v>1312</v>
      </c>
      <c r="F227">
        <v>0.3</v>
      </c>
      <c r="G227" t="s">
        <v>1313</v>
      </c>
      <c r="H227" t="s">
        <v>1333</v>
      </c>
      <c r="I227" t="str">
        <f t="shared" si="3"/>
        <v>rsi_{'C',  [('delta', 0.5,  -1),  ('delta', 0.3,  2)]}_[7,  35]_3</v>
      </c>
      <c r="J227" t="s">
        <v>1315</v>
      </c>
      <c r="K227">
        <v>35</v>
      </c>
      <c r="L227" t="s">
        <v>1316</v>
      </c>
      <c r="M227">
        <v>7</v>
      </c>
      <c r="N227" t="s">
        <v>1317</v>
      </c>
      <c r="O227">
        <v>-17.229999999999901</v>
      </c>
      <c r="P227" t="s">
        <v>1318</v>
      </c>
      <c r="Q227">
        <v>-0.49228571428571299</v>
      </c>
      <c r="R227" t="s">
        <v>1319</v>
      </c>
      <c r="S227">
        <v>1.1828571428571399</v>
      </c>
      <c r="T227" t="s">
        <v>1320</v>
      </c>
      <c r="U227">
        <v>-0.91107142857142698</v>
      </c>
      <c r="V227" t="s">
        <v>1321</v>
      </c>
      <c r="W227">
        <v>0.119291544334327</v>
      </c>
      <c r="X227" t="s">
        <v>1322</v>
      </c>
      <c r="Y227" t="s">
        <v>1323</v>
      </c>
      <c r="Z227" t="s">
        <v>1324</v>
      </c>
      <c r="AA227">
        <v>0</v>
      </c>
      <c r="AB227" t="s">
        <v>1325</v>
      </c>
      <c r="AC227" t="s">
        <v>1326</v>
      </c>
      <c r="AD227" t="s">
        <v>1560</v>
      </c>
      <c r="AE227" t="s">
        <v>1324</v>
      </c>
      <c r="AF227">
        <v>0</v>
      </c>
      <c r="AG227" t="s">
        <v>1328</v>
      </c>
    </row>
    <row r="228" spans="1:33" x14ac:dyDescent="0.3">
      <c r="A228" t="s">
        <v>1559</v>
      </c>
      <c r="B228" t="s">
        <v>1310</v>
      </c>
      <c r="C228">
        <v>0.5</v>
      </c>
      <c r="D228" t="s">
        <v>1311</v>
      </c>
      <c r="E228" t="s">
        <v>1312</v>
      </c>
      <c r="F228">
        <v>0.3</v>
      </c>
      <c r="G228" t="s">
        <v>1313</v>
      </c>
      <c r="H228" t="s">
        <v>1336</v>
      </c>
      <c r="I228" t="str">
        <f t="shared" si="3"/>
        <v>rsi_{'C',  [('delta', 0.5,  -1),  ('delta', 0.3,  2)]}_[7,  35]_4</v>
      </c>
      <c r="J228" t="s">
        <v>1315</v>
      </c>
      <c r="K228">
        <v>35</v>
      </c>
      <c r="L228" t="s">
        <v>1316</v>
      </c>
      <c r="M228">
        <v>7</v>
      </c>
      <c r="N228" t="s">
        <v>1317</v>
      </c>
      <c r="O228">
        <v>-17.229999999999901</v>
      </c>
      <c r="P228" t="s">
        <v>1318</v>
      </c>
      <c r="Q228">
        <v>-0.49228571428571299</v>
      </c>
      <c r="R228" t="s">
        <v>1319</v>
      </c>
      <c r="S228">
        <v>1.1828571428571399</v>
      </c>
      <c r="T228" t="s">
        <v>1320</v>
      </c>
      <c r="U228">
        <v>-0.91107142857142698</v>
      </c>
      <c r="V228" t="s">
        <v>1321</v>
      </c>
      <c r="W228">
        <v>0.119291544334327</v>
      </c>
      <c r="X228" t="s">
        <v>1322</v>
      </c>
      <c r="Y228" t="s">
        <v>1323</v>
      </c>
      <c r="Z228" t="s">
        <v>1324</v>
      </c>
      <c r="AA228">
        <v>0</v>
      </c>
      <c r="AB228" t="s">
        <v>1325</v>
      </c>
      <c r="AC228" t="s">
        <v>1326</v>
      </c>
      <c r="AD228" t="s">
        <v>1560</v>
      </c>
      <c r="AE228" t="s">
        <v>1324</v>
      </c>
      <c r="AF228">
        <v>0</v>
      </c>
      <c r="AG228" t="s">
        <v>1328</v>
      </c>
    </row>
    <row r="229" spans="1:33" x14ac:dyDescent="0.3">
      <c r="A229" t="s">
        <v>1559</v>
      </c>
      <c r="B229" t="s">
        <v>1310</v>
      </c>
      <c r="C229">
        <v>0.5</v>
      </c>
      <c r="D229" t="s">
        <v>1311</v>
      </c>
      <c r="E229" t="s">
        <v>1312</v>
      </c>
      <c r="F229">
        <v>0.3</v>
      </c>
      <c r="G229" t="s">
        <v>1313</v>
      </c>
      <c r="H229" t="s">
        <v>1337</v>
      </c>
      <c r="I229" t="str">
        <f t="shared" si="3"/>
        <v>rsi_{'C',  [('delta', 0.5,  -1),  ('delta', 0.3,  2)]}_[7,  35]_5</v>
      </c>
      <c r="J229" t="s">
        <v>1315</v>
      </c>
      <c r="K229">
        <v>35</v>
      </c>
      <c r="L229" t="s">
        <v>1316</v>
      </c>
      <c r="M229">
        <v>7</v>
      </c>
      <c r="N229" t="s">
        <v>1317</v>
      </c>
      <c r="O229">
        <v>-17.229999999999901</v>
      </c>
      <c r="P229" t="s">
        <v>1318</v>
      </c>
      <c r="Q229">
        <v>-0.49228571428571299</v>
      </c>
      <c r="R229" t="s">
        <v>1319</v>
      </c>
      <c r="S229">
        <v>1.1828571428571399</v>
      </c>
      <c r="T229" t="s">
        <v>1320</v>
      </c>
      <c r="U229">
        <v>-0.91107142857142698</v>
      </c>
      <c r="V229" t="s">
        <v>1321</v>
      </c>
      <c r="W229">
        <v>0.119291544334327</v>
      </c>
      <c r="X229" t="s">
        <v>1322</v>
      </c>
      <c r="Y229" t="s">
        <v>1323</v>
      </c>
      <c r="Z229" t="s">
        <v>1324</v>
      </c>
      <c r="AA229">
        <v>0</v>
      </c>
      <c r="AB229" t="s">
        <v>1325</v>
      </c>
      <c r="AC229" t="s">
        <v>1326</v>
      </c>
      <c r="AD229" t="s">
        <v>1560</v>
      </c>
      <c r="AE229" t="s">
        <v>1324</v>
      </c>
      <c r="AF229">
        <v>0</v>
      </c>
      <c r="AG229" t="s">
        <v>1328</v>
      </c>
    </row>
    <row r="230" spans="1:33" x14ac:dyDescent="0.3">
      <c r="A230" t="s">
        <v>1455</v>
      </c>
      <c r="B230" t="s">
        <v>1310</v>
      </c>
      <c r="C230">
        <v>0.3</v>
      </c>
      <c r="D230" t="s">
        <v>1311</v>
      </c>
      <c r="E230" t="s">
        <v>1312</v>
      </c>
      <c r="F230">
        <v>0.15</v>
      </c>
      <c r="G230" t="s">
        <v>1381</v>
      </c>
      <c r="H230" t="s">
        <v>1314</v>
      </c>
      <c r="I230" t="str">
        <f t="shared" si="3"/>
        <v>bbands_{'C',  [('delta', 0.3,  -1),  ('delta', 0.15,  3)]}_[7,  35]_1</v>
      </c>
      <c r="J230" t="s">
        <v>1315</v>
      </c>
      <c r="K230">
        <v>191</v>
      </c>
      <c r="L230" t="s">
        <v>1316</v>
      </c>
      <c r="M230">
        <v>46</v>
      </c>
      <c r="N230" t="s">
        <v>1317</v>
      </c>
      <c r="O230">
        <v>-17.299999999999901</v>
      </c>
      <c r="P230" t="s">
        <v>1318</v>
      </c>
      <c r="Q230">
        <v>-9.0575916230366399E-2</v>
      </c>
      <c r="R230" t="s">
        <v>1319</v>
      </c>
      <c r="S230">
        <v>1.79369565217391</v>
      </c>
      <c r="T230" t="s">
        <v>1320</v>
      </c>
      <c r="U230">
        <v>-0.68834482758620696</v>
      </c>
      <c r="V230" t="s">
        <v>1321</v>
      </c>
      <c r="W230">
        <v>0.27442659787381901</v>
      </c>
      <c r="X230" t="s">
        <v>1322</v>
      </c>
      <c r="Y230" t="s">
        <v>1434</v>
      </c>
      <c r="Z230" t="s">
        <v>1435</v>
      </c>
      <c r="AA230">
        <v>0</v>
      </c>
      <c r="AB230" t="s">
        <v>1325</v>
      </c>
      <c r="AC230" t="s">
        <v>1326</v>
      </c>
      <c r="AD230" t="s">
        <v>1491</v>
      </c>
      <c r="AE230" t="s">
        <v>1473</v>
      </c>
      <c r="AF230">
        <v>0</v>
      </c>
      <c r="AG230" t="s">
        <v>1328</v>
      </c>
    </row>
    <row r="231" spans="1:33" x14ac:dyDescent="0.3">
      <c r="A231" t="s">
        <v>1559</v>
      </c>
      <c r="B231" t="s">
        <v>1310</v>
      </c>
      <c r="C231">
        <v>0.4</v>
      </c>
      <c r="D231" t="s">
        <v>1311</v>
      </c>
      <c r="E231" t="s">
        <v>1312</v>
      </c>
      <c r="F231">
        <v>0.2</v>
      </c>
      <c r="G231" t="s">
        <v>1351</v>
      </c>
      <c r="H231" t="s">
        <v>1360</v>
      </c>
      <c r="I231" t="str">
        <f t="shared" si="3"/>
        <v>rsi_{'C',  [('delta', 0.4,  -1),  ('delta', 0.2,  2)]}_[35,  70]_5</v>
      </c>
      <c r="J231" t="s">
        <v>1315</v>
      </c>
      <c r="K231">
        <v>40</v>
      </c>
      <c r="L231" t="s">
        <v>1316</v>
      </c>
      <c r="M231">
        <v>5</v>
      </c>
      <c r="N231" t="s">
        <v>1317</v>
      </c>
      <c r="O231">
        <v>-17.410004397338199</v>
      </c>
      <c r="P231" t="s">
        <v>1318</v>
      </c>
      <c r="Q231">
        <v>-0.43525010993345598</v>
      </c>
      <c r="R231" t="s">
        <v>1319</v>
      </c>
      <c r="S231">
        <v>1.516</v>
      </c>
      <c r="T231" t="s">
        <v>1320</v>
      </c>
      <c r="U231">
        <v>-0.71400012563823601</v>
      </c>
      <c r="V231" t="s">
        <v>1321</v>
      </c>
      <c r="W231">
        <v>0.14149363043032601</v>
      </c>
      <c r="X231" t="s">
        <v>1322</v>
      </c>
      <c r="Y231" t="s">
        <v>1583</v>
      </c>
      <c r="Z231" t="s">
        <v>1584</v>
      </c>
      <c r="AA231">
        <v>0</v>
      </c>
      <c r="AB231" t="s">
        <v>1325</v>
      </c>
      <c r="AC231" t="s">
        <v>1326</v>
      </c>
      <c r="AD231" t="s">
        <v>1585</v>
      </c>
      <c r="AE231" t="s">
        <v>1584</v>
      </c>
      <c r="AF231">
        <v>0</v>
      </c>
      <c r="AG231" t="s">
        <v>1328</v>
      </c>
    </row>
    <row r="232" spans="1:33" x14ac:dyDescent="0.3">
      <c r="A232" t="s">
        <v>1559</v>
      </c>
      <c r="B232" t="s">
        <v>1310</v>
      </c>
      <c r="C232">
        <v>0.5</v>
      </c>
      <c r="D232" t="s">
        <v>1311</v>
      </c>
      <c r="E232" t="s">
        <v>1312</v>
      </c>
      <c r="F232">
        <v>0.3</v>
      </c>
      <c r="G232" t="s">
        <v>1351</v>
      </c>
      <c r="H232" t="s">
        <v>1358</v>
      </c>
      <c r="I232" t="str">
        <f t="shared" si="3"/>
        <v>rsi_{'C',  [('delta', 0.5,  -1),  ('delta', 0.3,  2)]}_[35,  70]_3</v>
      </c>
      <c r="J232" t="s">
        <v>1315</v>
      </c>
      <c r="K232">
        <v>40</v>
      </c>
      <c r="L232" t="s">
        <v>1316</v>
      </c>
      <c r="M232">
        <v>3</v>
      </c>
      <c r="N232" t="s">
        <v>1317</v>
      </c>
      <c r="O232">
        <v>-17.505238822516599</v>
      </c>
      <c r="P232" t="s">
        <v>1318</v>
      </c>
      <c r="Q232">
        <v>-0.437630970562917</v>
      </c>
      <c r="R232" t="s">
        <v>1319</v>
      </c>
      <c r="S232">
        <v>2.2766666666666602</v>
      </c>
      <c r="T232" t="s">
        <v>1320</v>
      </c>
      <c r="U232">
        <v>-0.65770915736531599</v>
      </c>
      <c r="V232" t="s">
        <v>1321</v>
      </c>
      <c r="W232">
        <v>0.107294062382071</v>
      </c>
      <c r="X232" t="s">
        <v>1322</v>
      </c>
      <c r="Y232" t="s">
        <v>1568</v>
      </c>
      <c r="Z232" t="s">
        <v>1569</v>
      </c>
      <c r="AA232">
        <v>0</v>
      </c>
      <c r="AB232" t="s">
        <v>1325</v>
      </c>
      <c r="AC232" t="s">
        <v>1326</v>
      </c>
      <c r="AD232" t="s">
        <v>1570</v>
      </c>
      <c r="AE232" t="s">
        <v>1569</v>
      </c>
      <c r="AF232">
        <v>0</v>
      </c>
      <c r="AG232" t="s">
        <v>1328</v>
      </c>
    </row>
    <row r="233" spans="1:33" x14ac:dyDescent="0.3">
      <c r="A233" t="s">
        <v>1455</v>
      </c>
      <c r="B233" t="s">
        <v>1310</v>
      </c>
      <c r="C233">
        <v>0.3</v>
      </c>
      <c r="D233" t="s">
        <v>1311</v>
      </c>
      <c r="E233" t="s">
        <v>1312</v>
      </c>
      <c r="F233">
        <v>0.15</v>
      </c>
      <c r="G233" t="s">
        <v>1351</v>
      </c>
      <c r="H233" t="s">
        <v>1352</v>
      </c>
      <c r="I233" t="str">
        <f t="shared" si="3"/>
        <v>bbands_{'C',  [('delta', 0.3,  -1),  ('delta', 0.15,  2)]}_[35,  70]_1</v>
      </c>
      <c r="J233" t="s">
        <v>1315</v>
      </c>
      <c r="K233">
        <v>247</v>
      </c>
      <c r="L233" t="s">
        <v>1316</v>
      </c>
      <c r="M233">
        <v>96</v>
      </c>
      <c r="N233" t="s">
        <v>1317</v>
      </c>
      <c r="O233">
        <v>-17.781617527497101</v>
      </c>
      <c r="P233" t="s">
        <v>1318</v>
      </c>
      <c r="Q233">
        <v>-7.1990354362336501E-2</v>
      </c>
      <c r="R233" t="s">
        <v>1319</v>
      </c>
      <c r="S233">
        <v>0.8883540173633</v>
      </c>
      <c r="T233" t="s">
        <v>1320</v>
      </c>
      <c r="U233">
        <v>-0.68254041850578695</v>
      </c>
      <c r="V233" t="s">
        <v>1321</v>
      </c>
      <c r="W233">
        <v>0.27054281683667902</v>
      </c>
      <c r="X233" t="s">
        <v>1322</v>
      </c>
      <c r="Y233" t="s">
        <v>1344</v>
      </c>
      <c r="Z233" t="s">
        <v>1331</v>
      </c>
      <c r="AA233">
        <v>0</v>
      </c>
      <c r="AB233" t="s">
        <v>1325</v>
      </c>
      <c r="AC233" t="s">
        <v>1326</v>
      </c>
      <c r="AD233" t="s">
        <v>1344</v>
      </c>
      <c r="AE233" t="s">
        <v>1331</v>
      </c>
      <c r="AF233">
        <v>0</v>
      </c>
      <c r="AG233" t="s">
        <v>1328</v>
      </c>
    </row>
    <row r="234" spans="1:33" x14ac:dyDescent="0.3">
      <c r="A234" t="s">
        <v>1455</v>
      </c>
      <c r="B234" t="s">
        <v>1310</v>
      </c>
      <c r="C234">
        <v>0.4</v>
      </c>
      <c r="D234" t="s">
        <v>1311</v>
      </c>
      <c r="E234" t="s">
        <v>1312</v>
      </c>
      <c r="F234">
        <v>0.2</v>
      </c>
      <c r="G234" t="s">
        <v>1381</v>
      </c>
      <c r="H234" t="s">
        <v>1314</v>
      </c>
      <c r="I234" t="str">
        <f t="shared" si="3"/>
        <v>bbands_{'C',  [('delta', 0.4,  -1),  ('delta', 0.2,  3)]}_[7,  35]_1</v>
      </c>
      <c r="J234" t="s">
        <v>1315</v>
      </c>
      <c r="K234">
        <v>191</v>
      </c>
      <c r="L234" t="s">
        <v>1316</v>
      </c>
      <c r="M234">
        <v>56</v>
      </c>
      <c r="N234" t="s">
        <v>1317</v>
      </c>
      <c r="O234">
        <v>-17.940000000000001</v>
      </c>
      <c r="P234" t="s">
        <v>1318</v>
      </c>
      <c r="Q234">
        <v>-9.3926701570680601E-2</v>
      </c>
      <c r="R234" t="s">
        <v>1319</v>
      </c>
      <c r="S234">
        <v>1.5330357142857101</v>
      </c>
      <c r="T234" t="s">
        <v>1320</v>
      </c>
      <c r="U234">
        <v>-0.76881481481481495</v>
      </c>
      <c r="V234" t="s">
        <v>1321</v>
      </c>
      <c r="W234">
        <v>0.25627858032999001</v>
      </c>
      <c r="X234" t="s">
        <v>1322</v>
      </c>
      <c r="Y234" t="s">
        <v>1483</v>
      </c>
      <c r="Z234" t="s">
        <v>1435</v>
      </c>
      <c r="AA234">
        <v>0</v>
      </c>
      <c r="AB234" t="s">
        <v>1325</v>
      </c>
      <c r="AC234" t="s">
        <v>1326</v>
      </c>
      <c r="AD234" t="s">
        <v>1483</v>
      </c>
      <c r="AE234" t="s">
        <v>1435</v>
      </c>
      <c r="AF234">
        <v>0</v>
      </c>
      <c r="AG234" t="s">
        <v>1328</v>
      </c>
    </row>
    <row r="235" spans="1:33" x14ac:dyDescent="0.3">
      <c r="A235" t="s">
        <v>1559</v>
      </c>
      <c r="B235" t="s">
        <v>1310</v>
      </c>
      <c r="C235">
        <v>0.4</v>
      </c>
      <c r="D235" t="s">
        <v>1311</v>
      </c>
      <c r="E235" t="s">
        <v>1312</v>
      </c>
      <c r="F235">
        <v>0.2</v>
      </c>
      <c r="G235" t="s">
        <v>1403</v>
      </c>
      <c r="H235" t="s">
        <v>1356</v>
      </c>
      <c r="I235" t="str">
        <f t="shared" si="3"/>
        <v>rsi_{'C',  [('delta', 0.4,  -1),  ('delta', 0.2,  3)]}_[35,  70]_2</v>
      </c>
      <c r="J235" t="s">
        <v>1315</v>
      </c>
      <c r="K235">
        <v>40</v>
      </c>
      <c r="L235" t="s">
        <v>1316</v>
      </c>
      <c r="M235">
        <v>4</v>
      </c>
      <c r="N235" t="s">
        <v>1317</v>
      </c>
      <c r="O235">
        <v>-18.430004397338202</v>
      </c>
      <c r="P235" t="s">
        <v>1318</v>
      </c>
      <c r="Q235">
        <v>-0.460750109933456</v>
      </c>
      <c r="R235" t="s">
        <v>1319</v>
      </c>
      <c r="S235">
        <v>1.855</v>
      </c>
      <c r="T235" t="s">
        <v>1320</v>
      </c>
      <c r="U235">
        <v>-0.71805567770384005</v>
      </c>
      <c r="V235" t="s">
        <v>1321</v>
      </c>
      <c r="W235">
        <v>9.5048858721659496E-2</v>
      </c>
      <c r="X235" t="s">
        <v>1322</v>
      </c>
      <c r="Y235" t="s">
        <v>1590</v>
      </c>
      <c r="Z235" t="s">
        <v>1591</v>
      </c>
    </row>
    <row r="236" spans="1:33" x14ac:dyDescent="0.3">
      <c r="A236" t="s">
        <v>1604</v>
      </c>
      <c r="B236" t="s">
        <v>1310</v>
      </c>
      <c r="C236">
        <v>0.3</v>
      </c>
      <c r="D236" t="s">
        <v>1311</v>
      </c>
      <c r="E236" t="s">
        <v>1312</v>
      </c>
      <c r="F236">
        <v>0.15</v>
      </c>
      <c r="G236" t="s">
        <v>1342</v>
      </c>
      <c r="H236" t="s">
        <v>1349</v>
      </c>
      <c r="I236" t="str">
        <f t="shared" si="3"/>
        <v>stoch_{'C',  [('delta', 0.3,  -1),  ('delta', 0.15,  2)]}_[21,  49]_4</v>
      </c>
      <c r="J236" t="s">
        <v>1315</v>
      </c>
      <c r="K236">
        <v>230</v>
      </c>
      <c r="L236" t="s">
        <v>1316</v>
      </c>
      <c r="M236">
        <v>95</v>
      </c>
      <c r="N236" t="s">
        <v>1317</v>
      </c>
      <c r="O236">
        <v>-18.439999999999898</v>
      </c>
      <c r="P236" t="s">
        <v>1318</v>
      </c>
      <c r="Q236">
        <v>-8.0173913043477998E-2</v>
      </c>
      <c r="R236" t="s">
        <v>1319</v>
      </c>
      <c r="S236">
        <v>0.74905263157894697</v>
      </c>
      <c r="T236" t="s">
        <v>1320</v>
      </c>
      <c r="U236">
        <v>-0.66370370370370302</v>
      </c>
      <c r="V236" t="s">
        <v>1321</v>
      </c>
      <c r="W236">
        <v>0.28604075841991999</v>
      </c>
      <c r="X236" t="s">
        <v>1322</v>
      </c>
      <c r="Y236" t="s">
        <v>1522</v>
      </c>
      <c r="Z236" t="s">
        <v>1523</v>
      </c>
      <c r="AA236">
        <v>0</v>
      </c>
      <c r="AB236" t="s">
        <v>1325</v>
      </c>
      <c r="AC236" t="s">
        <v>1326</v>
      </c>
      <c r="AD236" t="s">
        <v>1637</v>
      </c>
      <c r="AE236" t="s">
        <v>1416</v>
      </c>
      <c r="AF236">
        <v>0</v>
      </c>
      <c r="AG236" t="s">
        <v>1328</v>
      </c>
    </row>
    <row r="237" spans="1:33" x14ac:dyDescent="0.3">
      <c r="A237" t="s">
        <v>1604</v>
      </c>
      <c r="B237" t="s">
        <v>1310</v>
      </c>
      <c r="C237">
        <v>0.4</v>
      </c>
      <c r="D237" t="s">
        <v>1311</v>
      </c>
      <c r="E237" t="s">
        <v>1312</v>
      </c>
      <c r="F237">
        <v>0.2</v>
      </c>
      <c r="G237" t="s">
        <v>1342</v>
      </c>
      <c r="H237" t="s">
        <v>1343</v>
      </c>
      <c r="I237" t="str">
        <f t="shared" si="3"/>
        <v>stoch_{'C',  [('delta', 0.4,  -1),  ('delta', 0.2,  2)]}_[21,  49]_1</v>
      </c>
      <c r="J237" t="s">
        <v>1315</v>
      </c>
      <c r="K237">
        <v>230</v>
      </c>
      <c r="L237" t="s">
        <v>1316</v>
      </c>
      <c r="M237">
        <v>88</v>
      </c>
      <c r="N237" t="s">
        <v>1317</v>
      </c>
      <c r="O237">
        <v>-18.499999999999901</v>
      </c>
      <c r="P237" t="s">
        <v>1318</v>
      </c>
      <c r="Q237">
        <v>-8.0434782608695493E-2</v>
      </c>
      <c r="R237" t="s">
        <v>1319</v>
      </c>
      <c r="S237">
        <v>1.0042045454545401</v>
      </c>
      <c r="T237" t="s">
        <v>1320</v>
      </c>
      <c r="U237">
        <v>-0.75260563380281698</v>
      </c>
      <c r="V237" t="s">
        <v>1321</v>
      </c>
      <c r="W237">
        <v>0.29998896081826198</v>
      </c>
      <c r="X237" t="s">
        <v>1322</v>
      </c>
      <c r="Y237" t="s">
        <v>1344</v>
      </c>
      <c r="Z237" t="s">
        <v>1331</v>
      </c>
      <c r="AA237">
        <v>0</v>
      </c>
      <c r="AB237" t="s">
        <v>1325</v>
      </c>
      <c r="AC237" t="s">
        <v>1326</v>
      </c>
      <c r="AD237" t="s">
        <v>1621</v>
      </c>
      <c r="AE237" t="s">
        <v>1622</v>
      </c>
      <c r="AF237">
        <v>0</v>
      </c>
      <c r="AG237" t="s">
        <v>1328</v>
      </c>
    </row>
    <row r="238" spans="1:33" x14ac:dyDescent="0.3">
      <c r="A238" t="s">
        <v>1455</v>
      </c>
      <c r="B238" t="s">
        <v>1310</v>
      </c>
      <c r="C238">
        <v>0.4</v>
      </c>
      <c r="D238" t="s">
        <v>1311</v>
      </c>
      <c r="E238" t="s">
        <v>1312</v>
      </c>
      <c r="F238">
        <v>0.2</v>
      </c>
      <c r="G238" t="s">
        <v>1403</v>
      </c>
      <c r="H238" t="s">
        <v>1358</v>
      </c>
      <c r="I238" t="str">
        <f t="shared" si="3"/>
        <v>bbands_{'C',  [('delta', 0.4,  -1),  ('delta', 0.2,  3)]}_[35,  70]_3</v>
      </c>
      <c r="J238" t="s">
        <v>1315</v>
      </c>
      <c r="K238">
        <v>247</v>
      </c>
      <c r="L238" t="s">
        <v>1316</v>
      </c>
      <c r="M238">
        <v>37</v>
      </c>
      <c r="N238" t="s">
        <v>1317</v>
      </c>
      <c r="O238">
        <v>-18.7076957643038</v>
      </c>
      <c r="P238" t="s">
        <v>1318</v>
      </c>
      <c r="Q238">
        <v>-7.5739658964792803E-2</v>
      </c>
      <c r="R238" t="s">
        <v>1319</v>
      </c>
      <c r="S238">
        <v>4.1417634834228503</v>
      </c>
      <c r="T238" t="s">
        <v>1320</v>
      </c>
      <c r="U238">
        <v>-0.81882354595690199</v>
      </c>
      <c r="V238" t="s">
        <v>1321</v>
      </c>
      <c r="W238">
        <v>0.48341156940093599</v>
      </c>
      <c r="X238" t="s">
        <v>1322</v>
      </c>
      <c r="Y238" t="s">
        <v>1404</v>
      </c>
      <c r="Z238" t="s">
        <v>1372</v>
      </c>
      <c r="AA238">
        <v>0</v>
      </c>
      <c r="AB238" t="s">
        <v>1325</v>
      </c>
      <c r="AC238" t="s">
        <v>1326</v>
      </c>
      <c r="AD238" t="s">
        <v>1488</v>
      </c>
      <c r="AE238" t="s">
        <v>1372</v>
      </c>
      <c r="AF238">
        <v>0</v>
      </c>
      <c r="AG238" t="s">
        <v>1328</v>
      </c>
    </row>
    <row r="239" spans="1:33" x14ac:dyDescent="0.3">
      <c r="A239" t="s">
        <v>1604</v>
      </c>
      <c r="B239" t="s">
        <v>1310</v>
      </c>
      <c r="C239">
        <v>0.4</v>
      </c>
      <c r="D239" t="s">
        <v>1311</v>
      </c>
      <c r="E239" t="s">
        <v>1312</v>
      </c>
      <c r="F239">
        <v>0.2</v>
      </c>
      <c r="G239" t="s">
        <v>1381</v>
      </c>
      <c r="H239" t="s">
        <v>1329</v>
      </c>
      <c r="I239" t="str">
        <f t="shared" si="3"/>
        <v>stoch_{'C',  [('delta', 0.4,  -1),  ('delta', 0.2,  3)]}_[7,  35]_2</v>
      </c>
      <c r="J239" t="s">
        <v>1315</v>
      </c>
      <c r="K239">
        <v>224</v>
      </c>
      <c r="L239" t="s">
        <v>1316</v>
      </c>
      <c r="M239">
        <v>48</v>
      </c>
      <c r="N239" t="s">
        <v>1317</v>
      </c>
      <c r="O239">
        <v>-18.91</v>
      </c>
      <c r="P239" t="s">
        <v>1318</v>
      </c>
      <c r="Q239">
        <v>-8.4419642857142804E-2</v>
      </c>
      <c r="R239" t="s">
        <v>1319</v>
      </c>
      <c r="S239">
        <v>2.2141666666666602</v>
      </c>
      <c r="T239" t="s">
        <v>1320</v>
      </c>
      <c r="U239">
        <v>-0.71130681818181796</v>
      </c>
      <c r="V239" t="s">
        <v>1321</v>
      </c>
      <c r="W239">
        <v>0.37286213104751198</v>
      </c>
      <c r="X239" t="s">
        <v>1322</v>
      </c>
      <c r="Y239" t="s">
        <v>1483</v>
      </c>
      <c r="Z239" t="s">
        <v>1435</v>
      </c>
      <c r="AA239">
        <v>0</v>
      </c>
      <c r="AB239" t="s">
        <v>1325</v>
      </c>
      <c r="AC239" t="s">
        <v>1326</v>
      </c>
      <c r="AD239" t="s">
        <v>1483</v>
      </c>
      <c r="AE239" t="s">
        <v>1435</v>
      </c>
      <c r="AF239">
        <v>0</v>
      </c>
      <c r="AG239" t="s">
        <v>1328</v>
      </c>
    </row>
    <row r="240" spans="1:33" x14ac:dyDescent="0.3">
      <c r="A240" t="s">
        <v>1309</v>
      </c>
      <c r="B240" t="s">
        <v>1310</v>
      </c>
      <c r="C240">
        <v>0.4</v>
      </c>
      <c r="D240" t="s">
        <v>1311</v>
      </c>
      <c r="E240" t="s">
        <v>1312</v>
      </c>
      <c r="F240">
        <v>0.2</v>
      </c>
      <c r="G240" t="s">
        <v>1342</v>
      </c>
      <c r="H240" t="s">
        <v>1346</v>
      </c>
      <c r="I240" t="str">
        <f t="shared" si="3"/>
        <v>alltime_{'C',  [('delta', 0.4,  -1),  ('delta', 0.2,  2)]}_[21,  49]_2</v>
      </c>
      <c r="J240" t="s">
        <v>1315</v>
      </c>
      <c r="K240">
        <v>3050</v>
      </c>
      <c r="L240" t="s">
        <v>1316</v>
      </c>
      <c r="M240">
        <v>1088</v>
      </c>
      <c r="N240" t="s">
        <v>1317</v>
      </c>
      <c r="O240">
        <v>-18.924621579552898</v>
      </c>
      <c r="P240" t="s">
        <v>1318</v>
      </c>
      <c r="Q240">
        <v>-6.2047939605091697E-3</v>
      </c>
      <c r="R240" t="s">
        <v>1319</v>
      </c>
      <c r="S240">
        <v>1.2191118569586401</v>
      </c>
      <c r="T240" t="s">
        <v>1320</v>
      </c>
      <c r="U240">
        <v>-0.68568721811954303</v>
      </c>
      <c r="V240" t="s">
        <v>1321</v>
      </c>
      <c r="W240">
        <v>2.0182204315596</v>
      </c>
      <c r="X240" t="s">
        <v>1322</v>
      </c>
      <c r="Y240" t="s">
        <v>1330</v>
      </c>
      <c r="Z240" t="s">
        <v>1331</v>
      </c>
      <c r="AA240">
        <v>0</v>
      </c>
      <c r="AB240" t="s">
        <v>1325</v>
      </c>
      <c r="AC240" t="s">
        <v>1326</v>
      </c>
      <c r="AD240" t="s">
        <v>1370</v>
      </c>
      <c r="AE240" t="s">
        <v>1331</v>
      </c>
      <c r="AF240">
        <v>0</v>
      </c>
      <c r="AG240" t="s">
        <v>1328</v>
      </c>
    </row>
    <row r="241" spans="1:33" x14ac:dyDescent="0.3">
      <c r="A241" t="s">
        <v>1455</v>
      </c>
      <c r="B241" t="s">
        <v>1310</v>
      </c>
      <c r="C241">
        <v>0.3</v>
      </c>
      <c r="D241" t="s">
        <v>1311</v>
      </c>
      <c r="E241" t="s">
        <v>1312</v>
      </c>
      <c r="F241">
        <v>0.15</v>
      </c>
      <c r="G241" t="s">
        <v>1313</v>
      </c>
      <c r="H241" t="s">
        <v>1314</v>
      </c>
      <c r="I241" t="str">
        <f t="shared" si="3"/>
        <v>bbands_{'C',  [('delta', 0.3,  -1),  ('delta', 0.15,  2)]}_[7,  35]_1</v>
      </c>
      <c r="J241" t="s">
        <v>1315</v>
      </c>
      <c r="K241">
        <v>191</v>
      </c>
      <c r="L241" t="s">
        <v>1316</v>
      </c>
      <c r="M241">
        <v>79</v>
      </c>
      <c r="N241" t="s">
        <v>1317</v>
      </c>
      <c r="O241">
        <v>-19.0399999999999</v>
      </c>
      <c r="P241" t="s">
        <v>1318</v>
      </c>
      <c r="Q241">
        <v>-9.9685863874345401E-2</v>
      </c>
      <c r="R241" t="s">
        <v>1319</v>
      </c>
      <c r="S241">
        <v>0.66683544303797504</v>
      </c>
      <c r="T241" t="s">
        <v>1320</v>
      </c>
      <c r="U241">
        <v>-0.64612612612612597</v>
      </c>
      <c r="V241" t="s">
        <v>1321</v>
      </c>
      <c r="W241">
        <v>0.19269588997342799</v>
      </c>
      <c r="X241" t="s">
        <v>1322</v>
      </c>
      <c r="Y241" t="s">
        <v>1489</v>
      </c>
      <c r="Z241" t="s">
        <v>1372</v>
      </c>
      <c r="AA241">
        <v>0</v>
      </c>
      <c r="AB241" t="s">
        <v>1325</v>
      </c>
      <c r="AC241" t="s">
        <v>1326</v>
      </c>
      <c r="AD241" t="s">
        <v>1490</v>
      </c>
      <c r="AE241" t="s">
        <v>1372</v>
      </c>
      <c r="AF241">
        <v>0</v>
      </c>
      <c r="AG241" t="s">
        <v>1328</v>
      </c>
    </row>
    <row r="242" spans="1:33" x14ac:dyDescent="0.3">
      <c r="A242" t="s">
        <v>1500</v>
      </c>
      <c r="B242" t="s">
        <v>1310</v>
      </c>
      <c r="C242">
        <v>0.5</v>
      </c>
      <c r="D242" t="s">
        <v>1311</v>
      </c>
      <c r="E242" t="s">
        <v>1312</v>
      </c>
      <c r="F242">
        <v>0.3</v>
      </c>
      <c r="G242" t="s">
        <v>1351</v>
      </c>
      <c r="H242" t="s">
        <v>1359</v>
      </c>
      <c r="I242" t="str">
        <f t="shared" si="3"/>
        <v>psar_{'C',  [('delta', 0.5,  -1),  ('delta', 0.3,  2)]}_[35,  70]_4</v>
      </c>
      <c r="J242" t="s">
        <v>1315</v>
      </c>
      <c r="K242">
        <v>177</v>
      </c>
      <c r="L242" t="s">
        <v>1316</v>
      </c>
      <c r="M242">
        <v>29</v>
      </c>
      <c r="N242" t="s">
        <v>1317</v>
      </c>
      <c r="O242">
        <v>-19.049911297338799</v>
      </c>
      <c r="P242" t="s">
        <v>1318</v>
      </c>
      <c r="Q242">
        <v>-0.107626617499089</v>
      </c>
      <c r="R242" t="s">
        <v>1319</v>
      </c>
      <c r="S242">
        <v>2.8650732730433002</v>
      </c>
      <c r="T242" t="s">
        <v>1320</v>
      </c>
      <c r="U242">
        <v>-0.69011510956482902</v>
      </c>
      <c r="V242" t="s">
        <v>1321</v>
      </c>
      <c r="W242">
        <v>0.43771035106464201</v>
      </c>
      <c r="X242" t="s">
        <v>1322</v>
      </c>
      <c r="Y242" t="s">
        <v>1507</v>
      </c>
      <c r="Z242" t="s">
        <v>1508</v>
      </c>
      <c r="AA242">
        <v>0</v>
      </c>
      <c r="AB242" t="s">
        <v>1325</v>
      </c>
      <c r="AC242" t="s">
        <v>1326</v>
      </c>
      <c r="AD242" t="s">
        <v>1516</v>
      </c>
      <c r="AE242" t="s">
        <v>1515</v>
      </c>
      <c r="AF242">
        <v>0</v>
      </c>
      <c r="AG242" t="s">
        <v>1328</v>
      </c>
    </row>
    <row r="243" spans="1:33" x14ac:dyDescent="0.3">
      <c r="A243" t="s">
        <v>1559</v>
      </c>
      <c r="B243" t="s">
        <v>1310</v>
      </c>
      <c r="C243">
        <v>0.4</v>
      </c>
      <c r="D243" t="s">
        <v>1311</v>
      </c>
      <c r="E243" t="s">
        <v>1312</v>
      </c>
      <c r="F243">
        <v>0.2</v>
      </c>
      <c r="G243" t="s">
        <v>1392</v>
      </c>
      <c r="H243" t="s">
        <v>1346</v>
      </c>
      <c r="I243" t="str">
        <f t="shared" si="3"/>
        <v>rsi_{'C',  [('delta', 0.4,  -1),  ('delta', 0.2,  3)]}_[21,  49]_2</v>
      </c>
      <c r="J243" t="s">
        <v>1315</v>
      </c>
      <c r="K243">
        <v>33</v>
      </c>
      <c r="L243" t="s">
        <v>1316</v>
      </c>
      <c r="M243">
        <v>2</v>
      </c>
      <c r="N243" t="s">
        <v>1317</v>
      </c>
      <c r="O243">
        <v>-19.329999999999998</v>
      </c>
      <c r="P243" t="s">
        <v>1318</v>
      </c>
      <c r="Q243">
        <v>-0.58575757575757503</v>
      </c>
      <c r="R243" t="s">
        <v>1319</v>
      </c>
      <c r="S243">
        <v>0.73499999999999999</v>
      </c>
      <c r="T243" t="s">
        <v>1320</v>
      </c>
      <c r="U243">
        <v>-0.67096774193548303</v>
      </c>
      <c r="V243" t="s">
        <v>1321</v>
      </c>
      <c r="W243">
        <v>6.6477606757975399E-2</v>
      </c>
      <c r="X243" t="s">
        <v>1322</v>
      </c>
      <c r="Y243" t="s">
        <v>1586</v>
      </c>
      <c r="Z243" t="s">
        <v>1587</v>
      </c>
      <c r="AA243">
        <v>0</v>
      </c>
      <c r="AB243" t="s">
        <v>1325</v>
      </c>
      <c r="AC243" t="s">
        <v>1326</v>
      </c>
      <c r="AD243" t="s">
        <v>1586</v>
      </c>
      <c r="AE243" t="s">
        <v>1587</v>
      </c>
      <c r="AF243">
        <v>0</v>
      </c>
      <c r="AG243" t="s">
        <v>1328</v>
      </c>
    </row>
    <row r="244" spans="1:33" x14ac:dyDescent="0.3">
      <c r="A244" t="s">
        <v>1559</v>
      </c>
      <c r="B244" t="s">
        <v>1310</v>
      </c>
      <c r="C244">
        <v>0.4</v>
      </c>
      <c r="D244" t="s">
        <v>1311</v>
      </c>
      <c r="E244" t="s">
        <v>1312</v>
      </c>
      <c r="F244">
        <v>0.2</v>
      </c>
      <c r="G244" t="s">
        <v>1392</v>
      </c>
      <c r="H244" t="s">
        <v>1348</v>
      </c>
      <c r="I244" t="str">
        <f t="shared" si="3"/>
        <v>rsi_{'C',  [('delta', 0.4,  -1),  ('delta', 0.2,  3)]}_[21,  49]_3</v>
      </c>
      <c r="J244" t="s">
        <v>1315</v>
      </c>
      <c r="K244">
        <v>33</v>
      </c>
      <c r="L244" t="s">
        <v>1316</v>
      </c>
      <c r="M244">
        <v>2</v>
      </c>
      <c r="N244" t="s">
        <v>1317</v>
      </c>
      <c r="O244">
        <v>-19.329999999999998</v>
      </c>
      <c r="P244" t="s">
        <v>1318</v>
      </c>
      <c r="Q244">
        <v>-0.58575757575757503</v>
      </c>
      <c r="R244" t="s">
        <v>1319</v>
      </c>
      <c r="S244">
        <v>0.73499999999999999</v>
      </c>
      <c r="T244" t="s">
        <v>1320</v>
      </c>
      <c r="U244">
        <v>-0.67096774193548303</v>
      </c>
      <c r="V244" t="s">
        <v>1321</v>
      </c>
      <c r="W244">
        <v>6.6477606757975399E-2</v>
      </c>
      <c r="X244" t="s">
        <v>1322</v>
      </c>
      <c r="Y244" t="s">
        <v>1586</v>
      </c>
      <c r="Z244" t="s">
        <v>1587</v>
      </c>
      <c r="AA244">
        <v>0</v>
      </c>
      <c r="AB244" t="s">
        <v>1325</v>
      </c>
      <c r="AC244" t="s">
        <v>1326</v>
      </c>
      <c r="AD244" t="s">
        <v>1586</v>
      </c>
      <c r="AE244" t="s">
        <v>1587</v>
      </c>
      <c r="AF244">
        <v>0</v>
      </c>
      <c r="AG244" t="s">
        <v>1328</v>
      </c>
    </row>
    <row r="245" spans="1:33" x14ac:dyDescent="0.3">
      <c r="A245" t="s">
        <v>1559</v>
      </c>
      <c r="B245" t="s">
        <v>1310</v>
      </c>
      <c r="C245">
        <v>0.4</v>
      </c>
      <c r="D245" t="s">
        <v>1311</v>
      </c>
      <c r="E245" t="s">
        <v>1312</v>
      </c>
      <c r="F245">
        <v>0.2</v>
      </c>
      <c r="G245" t="s">
        <v>1392</v>
      </c>
      <c r="H245" t="s">
        <v>1349</v>
      </c>
      <c r="I245" t="str">
        <f t="shared" si="3"/>
        <v>rsi_{'C',  [('delta', 0.4,  -1),  ('delta', 0.2,  3)]}_[21,  49]_4</v>
      </c>
      <c r="J245" t="s">
        <v>1315</v>
      </c>
      <c r="K245">
        <v>33</v>
      </c>
      <c r="L245" t="s">
        <v>1316</v>
      </c>
      <c r="M245">
        <v>2</v>
      </c>
      <c r="N245" t="s">
        <v>1317</v>
      </c>
      <c r="O245">
        <v>-19.329999999999998</v>
      </c>
      <c r="P245" t="s">
        <v>1318</v>
      </c>
      <c r="Q245">
        <v>-0.58575757575757503</v>
      </c>
      <c r="R245" t="s">
        <v>1319</v>
      </c>
      <c r="S245">
        <v>0.73499999999999999</v>
      </c>
      <c r="T245" t="s">
        <v>1320</v>
      </c>
      <c r="U245">
        <v>-0.67096774193548303</v>
      </c>
      <c r="V245" t="s">
        <v>1321</v>
      </c>
      <c r="W245">
        <v>6.6477606757975399E-2</v>
      </c>
      <c r="X245" t="s">
        <v>1322</v>
      </c>
      <c r="Y245" t="s">
        <v>1586</v>
      </c>
      <c r="Z245" t="s">
        <v>1587</v>
      </c>
      <c r="AA245">
        <v>0</v>
      </c>
      <c r="AB245" t="s">
        <v>1325</v>
      </c>
      <c r="AC245" t="s">
        <v>1326</v>
      </c>
      <c r="AD245" t="s">
        <v>1586</v>
      </c>
      <c r="AE245" t="s">
        <v>1587</v>
      </c>
      <c r="AF245">
        <v>0</v>
      </c>
      <c r="AG245" t="s">
        <v>1328</v>
      </c>
    </row>
    <row r="246" spans="1:33" x14ac:dyDescent="0.3">
      <c r="A246" t="s">
        <v>1559</v>
      </c>
      <c r="B246" t="s">
        <v>1310</v>
      </c>
      <c r="C246">
        <v>0.4</v>
      </c>
      <c r="D246" t="s">
        <v>1311</v>
      </c>
      <c r="E246" t="s">
        <v>1312</v>
      </c>
      <c r="F246">
        <v>0.2</v>
      </c>
      <c r="G246" t="s">
        <v>1392</v>
      </c>
      <c r="H246" t="s">
        <v>1350</v>
      </c>
      <c r="I246" t="str">
        <f t="shared" si="3"/>
        <v>rsi_{'C',  [('delta', 0.4,  -1),  ('delta', 0.2,  3)]}_[21,  49]_5</v>
      </c>
      <c r="J246" t="s">
        <v>1315</v>
      </c>
      <c r="K246">
        <v>33</v>
      </c>
      <c r="L246" t="s">
        <v>1316</v>
      </c>
      <c r="M246">
        <v>2</v>
      </c>
      <c r="N246" t="s">
        <v>1317</v>
      </c>
      <c r="O246">
        <v>-19.329999999999998</v>
      </c>
      <c r="P246" t="s">
        <v>1318</v>
      </c>
      <c r="Q246">
        <v>-0.58575757575757503</v>
      </c>
      <c r="R246" t="s">
        <v>1319</v>
      </c>
      <c r="S246">
        <v>0.73499999999999999</v>
      </c>
      <c r="T246" t="s">
        <v>1320</v>
      </c>
      <c r="U246">
        <v>-0.67096774193548303</v>
      </c>
      <c r="V246" t="s">
        <v>1321</v>
      </c>
      <c r="W246">
        <v>6.6477606757975399E-2</v>
      </c>
      <c r="X246" t="s">
        <v>1322</v>
      </c>
      <c r="Y246" t="s">
        <v>1586</v>
      </c>
      <c r="Z246" t="s">
        <v>1587</v>
      </c>
      <c r="AA246">
        <v>0</v>
      </c>
      <c r="AB246" t="s">
        <v>1325</v>
      </c>
      <c r="AC246" t="s">
        <v>1326</v>
      </c>
      <c r="AD246" t="s">
        <v>1586</v>
      </c>
      <c r="AE246" t="s">
        <v>1587</v>
      </c>
      <c r="AF246">
        <v>0</v>
      </c>
      <c r="AG246" t="s">
        <v>1328</v>
      </c>
    </row>
    <row r="247" spans="1:33" x14ac:dyDescent="0.3">
      <c r="A247" t="s">
        <v>1455</v>
      </c>
      <c r="B247" t="s">
        <v>1310</v>
      </c>
      <c r="C247">
        <v>0.5</v>
      </c>
      <c r="D247" t="s">
        <v>1311</v>
      </c>
      <c r="E247" t="s">
        <v>1312</v>
      </c>
      <c r="F247">
        <v>0.3</v>
      </c>
      <c r="G247" t="s">
        <v>1313</v>
      </c>
      <c r="H247" t="s">
        <v>1333</v>
      </c>
      <c r="I247" t="str">
        <f t="shared" si="3"/>
        <v>bbands_{'C',  [('delta', 0.5,  -1),  ('delta', 0.3,  2)]}_[7,  35]_3</v>
      </c>
      <c r="J247" t="s">
        <v>1315</v>
      </c>
      <c r="K247">
        <v>191</v>
      </c>
      <c r="L247" t="s">
        <v>1316</v>
      </c>
      <c r="M247">
        <v>52</v>
      </c>
      <c r="N247" t="s">
        <v>1317</v>
      </c>
      <c r="O247">
        <v>-19.489999999999899</v>
      </c>
      <c r="P247" t="s">
        <v>1318</v>
      </c>
      <c r="Q247">
        <v>-0.102041884816753</v>
      </c>
      <c r="R247" t="s">
        <v>1319</v>
      </c>
      <c r="S247">
        <v>1.78788461538461</v>
      </c>
      <c r="T247" t="s">
        <v>1320</v>
      </c>
      <c r="U247">
        <v>-0.80906474820143903</v>
      </c>
      <c r="V247" t="s">
        <v>1321</v>
      </c>
      <c r="W247">
        <v>0.33560116448223098</v>
      </c>
      <c r="X247" t="s">
        <v>1322</v>
      </c>
      <c r="Y247" t="s">
        <v>1461</v>
      </c>
      <c r="Z247" t="s">
        <v>1462</v>
      </c>
      <c r="AA247">
        <v>0</v>
      </c>
      <c r="AB247" t="s">
        <v>1325</v>
      </c>
      <c r="AC247" t="s">
        <v>1326</v>
      </c>
      <c r="AD247" t="s">
        <v>1460</v>
      </c>
      <c r="AE247" t="s">
        <v>1372</v>
      </c>
      <c r="AF247">
        <v>0</v>
      </c>
      <c r="AG247" t="s">
        <v>1328</v>
      </c>
    </row>
    <row r="248" spans="1:33" x14ac:dyDescent="0.3">
      <c r="A248" t="s">
        <v>1559</v>
      </c>
      <c r="B248" t="s">
        <v>1310</v>
      </c>
      <c r="C248">
        <v>0.4</v>
      </c>
      <c r="D248" t="s">
        <v>1311</v>
      </c>
      <c r="E248" t="s">
        <v>1312</v>
      </c>
      <c r="F248">
        <v>0.2</v>
      </c>
      <c r="G248" t="s">
        <v>1403</v>
      </c>
      <c r="H248" t="s">
        <v>1358</v>
      </c>
      <c r="I248" t="str">
        <f t="shared" si="3"/>
        <v>rsi_{'C',  [('delta', 0.4,  -1),  ('delta', 0.2,  3)]}_[35,  70]_3</v>
      </c>
      <c r="J248" t="s">
        <v>1315</v>
      </c>
      <c r="K248">
        <v>40</v>
      </c>
      <c r="L248" t="s">
        <v>1316</v>
      </c>
      <c r="M248">
        <v>3</v>
      </c>
      <c r="N248" t="s">
        <v>1317</v>
      </c>
      <c r="O248">
        <v>-19.620004397338199</v>
      </c>
      <c r="P248" t="s">
        <v>1318</v>
      </c>
      <c r="Q248">
        <v>-0.490500109933456</v>
      </c>
      <c r="R248" t="s">
        <v>1319</v>
      </c>
      <c r="S248">
        <v>2.2566666666666602</v>
      </c>
      <c r="T248" t="s">
        <v>1320</v>
      </c>
      <c r="U248">
        <v>-0.71324336209022299</v>
      </c>
      <c r="V248" t="s">
        <v>1321</v>
      </c>
      <c r="W248">
        <v>0.100050749857043</v>
      </c>
      <c r="X248" t="s">
        <v>1322</v>
      </c>
      <c r="Y248" t="s">
        <v>1592</v>
      </c>
      <c r="Z248" t="s">
        <v>1593</v>
      </c>
      <c r="AA248">
        <v>0</v>
      </c>
      <c r="AB248" t="s">
        <v>1325</v>
      </c>
      <c r="AC248" t="s">
        <v>1326</v>
      </c>
      <c r="AD248" t="s">
        <v>1592</v>
      </c>
      <c r="AE248" t="s">
        <v>1593</v>
      </c>
      <c r="AF248">
        <v>0</v>
      </c>
      <c r="AG248" t="s">
        <v>1328</v>
      </c>
    </row>
    <row r="249" spans="1:33" x14ac:dyDescent="0.3">
      <c r="A249" t="s">
        <v>1455</v>
      </c>
      <c r="B249" t="s">
        <v>1310</v>
      </c>
      <c r="C249">
        <v>0.3</v>
      </c>
      <c r="D249" t="s">
        <v>1311</v>
      </c>
      <c r="E249" t="s">
        <v>1312</v>
      </c>
      <c r="F249">
        <v>0.15</v>
      </c>
      <c r="G249" t="s">
        <v>1313</v>
      </c>
      <c r="H249" t="s">
        <v>1333</v>
      </c>
      <c r="I249" t="str">
        <f t="shared" si="3"/>
        <v>bbands_{'C',  [('delta', 0.3,  -1),  ('delta', 0.15,  2)]}_[7,  35]_3</v>
      </c>
      <c r="J249" t="s">
        <v>1315</v>
      </c>
      <c r="K249">
        <v>191</v>
      </c>
      <c r="L249" t="s">
        <v>1316</v>
      </c>
      <c r="M249">
        <v>74</v>
      </c>
      <c r="N249" t="s">
        <v>1317</v>
      </c>
      <c r="O249">
        <v>-19.889999999999901</v>
      </c>
      <c r="P249" t="s">
        <v>1318</v>
      </c>
      <c r="Q249">
        <v>-0.10413612565445</v>
      </c>
      <c r="R249" t="s">
        <v>1319</v>
      </c>
      <c r="S249">
        <v>0.747702702702703</v>
      </c>
      <c r="T249" t="s">
        <v>1320</v>
      </c>
      <c r="U249">
        <v>-0.64844827586206899</v>
      </c>
      <c r="V249" t="s">
        <v>1321</v>
      </c>
      <c r="W249">
        <v>0.21682876890247299</v>
      </c>
      <c r="X249" t="s">
        <v>1322</v>
      </c>
      <c r="Y249" t="s">
        <v>1489</v>
      </c>
      <c r="Z249" t="s">
        <v>1372</v>
      </c>
      <c r="AA249">
        <v>0</v>
      </c>
      <c r="AB249" t="s">
        <v>1325</v>
      </c>
      <c r="AC249" t="s">
        <v>1326</v>
      </c>
      <c r="AD249" t="s">
        <v>1490</v>
      </c>
      <c r="AE249" t="s">
        <v>1372</v>
      </c>
      <c r="AF249">
        <v>0</v>
      </c>
      <c r="AG249" t="s">
        <v>1328</v>
      </c>
    </row>
    <row r="250" spans="1:33" x14ac:dyDescent="0.3">
      <c r="A250" t="s">
        <v>1455</v>
      </c>
      <c r="B250" t="s">
        <v>1310</v>
      </c>
      <c r="C250">
        <v>0.3</v>
      </c>
      <c r="D250" t="s">
        <v>1311</v>
      </c>
      <c r="E250" t="s">
        <v>1312</v>
      </c>
      <c r="F250">
        <v>0.15</v>
      </c>
      <c r="G250" t="s">
        <v>1342</v>
      </c>
      <c r="H250" t="s">
        <v>1343</v>
      </c>
      <c r="I250" t="str">
        <f t="shared" si="3"/>
        <v>bbands_{'C',  [('delta', 0.3,  -1),  ('delta', 0.15,  2)]}_[21,  49]_1</v>
      </c>
      <c r="J250" t="s">
        <v>1315</v>
      </c>
      <c r="K250">
        <v>200</v>
      </c>
      <c r="L250" t="s">
        <v>1316</v>
      </c>
      <c r="M250">
        <v>80</v>
      </c>
      <c r="N250" t="s">
        <v>1317</v>
      </c>
      <c r="O250">
        <v>-20.649999999999899</v>
      </c>
      <c r="P250" t="s">
        <v>1318</v>
      </c>
      <c r="Q250">
        <v>-0.103249999999999</v>
      </c>
      <c r="R250" t="s">
        <v>1319</v>
      </c>
      <c r="S250">
        <v>0.72662499999999997</v>
      </c>
      <c r="T250" t="s">
        <v>1320</v>
      </c>
      <c r="U250">
        <v>-0.66201680672268803</v>
      </c>
      <c r="V250" t="s">
        <v>1321</v>
      </c>
      <c r="W250">
        <v>0.230414759986446</v>
      </c>
      <c r="X250" t="s">
        <v>1322</v>
      </c>
      <c r="Y250" t="s">
        <v>1344</v>
      </c>
      <c r="Z250" t="s">
        <v>1331</v>
      </c>
      <c r="AA250">
        <v>0</v>
      </c>
      <c r="AB250" t="s">
        <v>1325</v>
      </c>
      <c r="AC250" t="s">
        <v>1326</v>
      </c>
      <c r="AD250" t="s">
        <v>1344</v>
      </c>
      <c r="AE250" t="s">
        <v>1331</v>
      </c>
      <c r="AF250">
        <v>0</v>
      </c>
      <c r="AG250" t="s">
        <v>1328</v>
      </c>
    </row>
    <row r="251" spans="1:33" x14ac:dyDescent="0.3">
      <c r="A251" t="s">
        <v>1604</v>
      </c>
      <c r="B251" t="s">
        <v>1310</v>
      </c>
      <c r="C251">
        <v>0.4</v>
      </c>
      <c r="D251" t="s">
        <v>1311</v>
      </c>
      <c r="E251" t="s">
        <v>1312</v>
      </c>
      <c r="F251">
        <v>0.2</v>
      </c>
      <c r="G251" t="s">
        <v>1342</v>
      </c>
      <c r="H251" t="s">
        <v>1346</v>
      </c>
      <c r="I251" t="str">
        <f t="shared" si="3"/>
        <v>stoch_{'C',  [('delta', 0.4,  -1),  ('delta', 0.2,  2)]}_[21,  49]_2</v>
      </c>
      <c r="J251" t="s">
        <v>1315</v>
      </c>
      <c r="K251">
        <v>230</v>
      </c>
      <c r="L251" t="s">
        <v>1316</v>
      </c>
      <c r="M251">
        <v>80</v>
      </c>
      <c r="N251" t="s">
        <v>1317</v>
      </c>
      <c r="O251">
        <v>-20.719999999999899</v>
      </c>
      <c r="P251" t="s">
        <v>1318</v>
      </c>
      <c r="Q251">
        <v>-9.0086956521738898E-2</v>
      </c>
      <c r="R251" t="s">
        <v>1319</v>
      </c>
      <c r="S251">
        <v>1.1507499999999999</v>
      </c>
      <c r="T251" t="s">
        <v>1320</v>
      </c>
      <c r="U251">
        <v>-0.75186666666666702</v>
      </c>
      <c r="V251" t="s">
        <v>1321</v>
      </c>
      <c r="W251">
        <v>0.33178367033029998</v>
      </c>
      <c r="X251" t="s">
        <v>1322</v>
      </c>
      <c r="Y251" t="s">
        <v>1344</v>
      </c>
      <c r="Z251" t="s">
        <v>1331</v>
      </c>
      <c r="AA251">
        <v>0</v>
      </c>
      <c r="AB251" t="s">
        <v>1325</v>
      </c>
      <c r="AC251" t="s">
        <v>1326</v>
      </c>
      <c r="AD251" t="s">
        <v>1621</v>
      </c>
      <c r="AE251" t="s">
        <v>1622</v>
      </c>
      <c r="AF251">
        <v>0</v>
      </c>
      <c r="AG251" t="s">
        <v>1328</v>
      </c>
    </row>
    <row r="252" spans="1:33" x14ac:dyDescent="0.3">
      <c r="A252" t="s">
        <v>1604</v>
      </c>
      <c r="B252" t="s">
        <v>1310</v>
      </c>
      <c r="C252">
        <v>0.4</v>
      </c>
      <c r="D252" t="s">
        <v>1311</v>
      </c>
      <c r="E252" t="s">
        <v>1312</v>
      </c>
      <c r="F252">
        <v>0.2</v>
      </c>
      <c r="G252" t="s">
        <v>1392</v>
      </c>
      <c r="H252" t="s">
        <v>1346</v>
      </c>
      <c r="I252" t="str">
        <f t="shared" si="3"/>
        <v>stoch_{'C',  [('delta', 0.4,  -1),  ('delta', 0.2,  3)]}_[21,  49]_2</v>
      </c>
      <c r="J252" t="s">
        <v>1315</v>
      </c>
      <c r="K252">
        <v>230</v>
      </c>
      <c r="L252" t="s">
        <v>1316</v>
      </c>
      <c r="M252">
        <v>48</v>
      </c>
      <c r="N252" t="s">
        <v>1317</v>
      </c>
      <c r="O252">
        <v>-20.93</v>
      </c>
      <c r="P252" t="s">
        <v>1318</v>
      </c>
      <c r="Q252">
        <v>-9.0999999999999998E-2</v>
      </c>
      <c r="R252" t="s">
        <v>1319</v>
      </c>
      <c r="S252">
        <v>2.2306249999999999</v>
      </c>
      <c r="T252" t="s">
        <v>1320</v>
      </c>
      <c r="U252">
        <v>-0.70329670329670302</v>
      </c>
      <c r="V252" t="s">
        <v>1321</v>
      </c>
      <c r="W252">
        <v>0.37508782343266101</v>
      </c>
      <c r="X252" t="s">
        <v>1322</v>
      </c>
      <c r="Y252" t="s">
        <v>1483</v>
      </c>
      <c r="Z252" t="s">
        <v>1435</v>
      </c>
      <c r="AA252">
        <v>0</v>
      </c>
      <c r="AB252" t="s">
        <v>1325</v>
      </c>
      <c r="AC252" t="s">
        <v>1326</v>
      </c>
      <c r="AD252" t="s">
        <v>1483</v>
      </c>
      <c r="AE252" t="s">
        <v>1435</v>
      </c>
      <c r="AF252">
        <v>0</v>
      </c>
      <c r="AG252" t="s">
        <v>1328</v>
      </c>
    </row>
    <row r="253" spans="1:33" x14ac:dyDescent="0.3">
      <c r="A253" t="s">
        <v>1604</v>
      </c>
      <c r="B253" t="s">
        <v>1310</v>
      </c>
      <c r="C253">
        <v>0.5</v>
      </c>
      <c r="D253" t="s">
        <v>1311</v>
      </c>
      <c r="E253" t="s">
        <v>1312</v>
      </c>
      <c r="F253">
        <v>0.3</v>
      </c>
      <c r="G253" t="s">
        <v>1313</v>
      </c>
      <c r="H253" t="s">
        <v>1336</v>
      </c>
      <c r="I253" t="str">
        <f t="shared" si="3"/>
        <v>stoch_{'C',  [('delta', 0.5,  -1),  ('delta', 0.3,  2)]}_[7,  35]_4</v>
      </c>
      <c r="J253" t="s">
        <v>1315</v>
      </c>
      <c r="K253">
        <v>224</v>
      </c>
      <c r="L253" t="s">
        <v>1316</v>
      </c>
      <c r="M253">
        <v>60</v>
      </c>
      <c r="N253" t="s">
        <v>1317</v>
      </c>
      <c r="O253">
        <v>-21.079999999999899</v>
      </c>
      <c r="P253" t="s">
        <v>1318</v>
      </c>
      <c r="Q253">
        <v>-9.4107142857142403E-2</v>
      </c>
      <c r="R253" t="s">
        <v>1319</v>
      </c>
      <c r="S253">
        <v>1.742</v>
      </c>
      <c r="T253" t="s">
        <v>1320</v>
      </c>
      <c r="U253">
        <v>-0.76585365853658505</v>
      </c>
      <c r="V253" t="s">
        <v>1321</v>
      </c>
      <c r="W253">
        <v>0.41880706841691201</v>
      </c>
      <c r="X253" t="s">
        <v>1322</v>
      </c>
      <c r="Y253" t="s">
        <v>1609</v>
      </c>
      <c r="Z253" t="s">
        <v>1494</v>
      </c>
      <c r="AA253">
        <v>0</v>
      </c>
      <c r="AB253" t="s">
        <v>1325</v>
      </c>
      <c r="AC253" t="s">
        <v>1326</v>
      </c>
      <c r="AD253" t="s">
        <v>1607</v>
      </c>
      <c r="AE253" t="s">
        <v>1608</v>
      </c>
      <c r="AF253">
        <v>0</v>
      </c>
      <c r="AG253" t="s">
        <v>1328</v>
      </c>
    </row>
    <row r="254" spans="1:33" x14ac:dyDescent="0.3">
      <c r="A254" t="s">
        <v>1455</v>
      </c>
      <c r="B254" t="s">
        <v>1310</v>
      </c>
      <c r="C254">
        <v>0.3</v>
      </c>
      <c r="D254" t="s">
        <v>1311</v>
      </c>
      <c r="E254" t="s">
        <v>1312</v>
      </c>
      <c r="F254">
        <v>0.15</v>
      </c>
      <c r="G254" t="s">
        <v>1313</v>
      </c>
      <c r="H254" t="s">
        <v>1329</v>
      </c>
      <c r="I254" t="str">
        <f t="shared" si="3"/>
        <v>bbands_{'C',  [('delta', 0.3,  -1),  ('delta', 0.15,  2)]}_[7,  35]_2</v>
      </c>
      <c r="J254" t="s">
        <v>1315</v>
      </c>
      <c r="K254">
        <v>191</v>
      </c>
      <c r="L254" t="s">
        <v>1316</v>
      </c>
      <c r="M254">
        <v>74</v>
      </c>
      <c r="N254" t="s">
        <v>1317</v>
      </c>
      <c r="O254">
        <v>-21.439999999999898</v>
      </c>
      <c r="P254" t="s">
        <v>1318</v>
      </c>
      <c r="Q254">
        <v>-0.112251308900523</v>
      </c>
      <c r="R254" t="s">
        <v>1319</v>
      </c>
      <c r="S254">
        <v>0.72675675675675699</v>
      </c>
      <c r="T254" t="s">
        <v>1320</v>
      </c>
      <c r="U254">
        <v>-0.64844827586206899</v>
      </c>
      <c r="V254" t="s">
        <v>1321</v>
      </c>
      <c r="W254">
        <v>0.21581376109314401</v>
      </c>
      <c r="X254" t="s">
        <v>1322</v>
      </c>
      <c r="Y254" t="s">
        <v>1489</v>
      </c>
      <c r="Z254" t="s">
        <v>1372</v>
      </c>
      <c r="AA254">
        <v>0</v>
      </c>
      <c r="AB254" t="s">
        <v>1325</v>
      </c>
      <c r="AC254" t="s">
        <v>1326</v>
      </c>
      <c r="AD254" t="s">
        <v>1490</v>
      </c>
      <c r="AE254" t="s">
        <v>1372</v>
      </c>
      <c r="AF254">
        <v>0</v>
      </c>
      <c r="AG254" t="s">
        <v>1328</v>
      </c>
    </row>
    <row r="255" spans="1:33" x14ac:dyDescent="0.3">
      <c r="A255" t="s">
        <v>1455</v>
      </c>
      <c r="B255" t="s">
        <v>1310</v>
      </c>
      <c r="C255">
        <v>0.5</v>
      </c>
      <c r="D255" t="s">
        <v>1311</v>
      </c>
      <c r="E255" t="s">
        <v>1312</v>
      </c>
      <c r="F255">
        <v>0.3</v>
      </c>
      <c r="G255" t="s">
        <v>1313</v>
      </c>
      <c r="H255" t="s">
        <v>1337</v>
      </c>
      <c r="I255" t="str">
        <f t="shared" si="3"/>
        <v>bbands_{'C',  [('delta', 0.5,  -1),  ('delta', 0.3,  2)]}_[7,  35]_5</v>
      </c>
      <c r="J255" t="s">
        <v>1315</v>
      </c>
      <c r="K255">
        <v>191</v>
      </c>
      <c r="L255" t="s">
        <v>1316</v>
      </c>
      <c r="M255">
        <v>47</v>
      </c>
      <c r="N255" t="s">
        <v>1317</v>
      </c>
      <c r="O255">
        <v>-21.4499999999999</v>
      </c>
      <c r="P255" t="s">
        <v>1318</v>
      </c>
      <c r="Q255">
        <v>-0.112303664921465</v>
      </c>
      <c r="R255" t="s">
        <v>1319</v>
      </c>
      <c r="S255">
        <v>2.0480851063829699</v>
      </c>
      <c r="T255" t="s">
        <v>1320</v>
      </c>
      <c r="U255">
        <v>-0.81743055555555599</v>
      </c>
      <c r="V255" t="s">
        <v>1321</v>
      </c>
      <c r="W255">
        <v>0.44653311906453902</v>
      </c>
      <c r="X255" t="s">
        <v>1322</v>
      </c>
      <c r="Y255" t="s">
        <v>1461</v>
      </c>
      <c r="Z255" t="s">
        <v>1462</v>
      </c>
      <c r="AA255">
        <v>0</v>
      </c>
      <c r="AB255" t="s">
        <v>1325</v>
      </c>
      <c r="AC255" t="s">
        <v>1326</v>
      </c>
      <c r="AD255" t="s">
        <v>1460</v>
      </c>
      <c r="AE255" t="s">
        <v>1372</v>
      </c>
      <c r="AF255">
        <v>0</v>
      </c>
      <c r="AG255" t="s">
        <v>1328</v>
      </c>
    </row>
    <row r="256" spans="1:33" x14ac:dyDescent="0.3">
      <c r="A256" t="s">
        <v>1559</v>
      </c>
      <c r="B256" t="s">
        <v>1310</v>
      </c>
      <c r="C256">
        <v>0.4</v>
      </c>
      <c r="D256" t="s">
        <v>1311</v>
      </c>
      <c r="E256" t="s">
        <v>1312</v>
      </c>
      <c r="F256">
        <v>0.2</v>
      </c>
      <c r="G256" t="s">
        <v>1403</v>
      </c>
      <c r="H256" t="s">
        <v>1359</v>
      </c>
      <c r="I256" t="str">
        <f t="shared" si="3"/>
        <v>rsi_{'C',  [('delta', 0.4,  -1),  ('delta', 0.2,  3)]}_[35,  70]_4</v>
      </c>
      <c r="J256" t="s">
        <v>1315</v>
      </c>
      <c r="K256">
        <v>40</v>
      </c>
      <c r="L256" t="s">
        <v>1316</v>
      </c>
      <c r="M256">
        <v>2</v>
      </c>
      <c r="N256" t="s">
        <v>1317</v>
      </c>
      <c r="O256">
        <v>-21.5800043973382</v>
      </c>
      <c r="P256" t="s">
        <v>1318</v>
      </c>
      <c r="Q256">
        <v>-0.53950010993345598</v>
      </c>
      <c r="R256" t="s">
        <v>1319</v>
      </c>
      <c r="S256">
        <v>3.0049999999999901</v>
      </c>
      <c r="T256" t="s">
        <v>1320</v>
      </c>
      <c r="U256">
        <v>-0.72605274729837499</v>
      </c>
      <c r="V256" t="s">
        <v>1321</v>
      </c>
      <c r="W256">
        <v>0.108500848001748</v>
      </c>
      <c r="X256" t="s">
        <v>1322</v>
      </c>
      <c r="Y256" t="s">
        <v>1592</v>
      </c>
      <c r="Z256" t="s">
        <v>1593</v>
      </c>
      <c r="AA256">
        <v>0</v>
      </c>
      <c r="AB256" t="s">
        <v>1325</v>
      </c>
      <c r="AC256" t="s">
        <v>1326</v>
      </c>
      <c r="AD256" t="s">
        <v>1592</v>
      </c>
      <c r="AE256" t="s">
        <v>1593</v>
      </c>
      <c r="AF256">
        <v>0</v>
      </c>
      <c r="AG256" t="s">
        <v>1328</v>
      </c>
    </row>
    <row r="257" spans="1:33" x14ac:dyDescent="0.3">
      <c r="A257" t="s">
        <v>1559</v>
      </c>
      <c r="B257" t="s">
        <v>1310</v>
      </c>
      <c r="C257">
        <v>0.4</v>
      </c>
      <c r="D257" t="s">
        <v>1311</v>
      </c>
      <c r="E257" t="s">
        <v>1312</v>
      </c>
      <c r="F257">
        <v>0.2</v>
      </c>
      <c r="G257" t="s">
        <v>1403</v>
      </c>
      <c r="H257" t="s">
        <v>1360</v>
      </c>
      <c r="I257" t="str">
        <f t="shared" si="3"/>
        <v>rsi_{'C',  [('delta', 0.4,  -1),  ('delta', 0.2,  3)]}_[35,  70]_5</v>
      </c>
      <c r="J257" t="s">
        <v>1315</v>
      </c>
      <c r="K257">
        <v>40</v>
      </c>
      <c r="L257" t="s">
        <v>1316</v>
      </c>
      <c r="M257">
        <v>2</v>
      </c>
      <c r="N257" t="s">
        <v>1317</v>
      </c>
      <c r="O257">
        <v>-21.5800043973382</v>
      </c>
      <c r="P257" t="s">
        <v>1318</v>
      </c>
      <c r="Q257">
        <v>-0.53950010993345598</v>
      </c>
      <c r="R257" t="s">
        <v>1319</v>
      </c>
      <c r="S257">
        <v>3.0049999999999901</v>
      </c>
      <c r="T257" t="s">
        <v>1320</v>
      </c>
      <c r="U257">
        <v>-0.72605274729837499</v>
      </c>
      <c r="V257" t="s">
        <v>1321</v>
      </c>
      <c r="W257">
        <v>0.108500848001748</v>
      </c>
      <c r="X257" t="s">
        <v>1322</v>
      </c>
      <c r="Y257" t="s">
        <v>1592</v>
      </c>
      <c r="Z257" t="s">
        <v>1593</v>
      </c>
      <c r="AA257">
        <v>0</v>
      </c>
      <c r="AB257" t="s">
        <v>1325</v>
      </c>
      <c r="AC257" t="s">
        <v>1326</v>
      </c>
      <c r="AD257" t="s">
        <v>1592</v>
      </c>
      <c r="AE257" t="s">
        <v>1593</v>
      </c>
      <c r="AF257">
        <v>0</v>
      </c>
      <c r="AG257" t="s">
        <v>1328</v>
      </c>
    </row>
    <row r="258" spans="1:33" x14ac:dyDescent="0.3">
      <c r="A258" t="s">
        <v>1604</v>
      </c>
      <c r="B258" t="s">
        <v>1310</v>
      </c>
      <c r="C258">
        <v>0.4</v>
      </c>
      <c r="D258" t="s">
        <v>1311</v>
      </c>
      <c r="E258" t="s">
        <v>1312</v>
      </c>
      <c r="F258">
        <v>0.2</v>
      </c>
      <c r="G258" t="s">
        <v>1342</v>
      </c>
      <c r="H258" t="s">
        <v>1348</v>
      </c>
      <c r="I258" t="str">
        <f t="shared" si="3"/>
        <v>stoch_{'C',  [('delta', 0.4,  -1),  ('delta', 0.2,  2)]}_[21,  49]_3</v>
      </c>
      <c r="J258" t="s">
        <v>1315</v>
      </c>
      <c r="K258">
        <v>230</v>
      </c>
      <c r="L258" t="s">
        <v>1316</v>
      </c>
      <c r="M258">
        <v>78</v>
      </c>
      <c r="N258" t="s">
        <v>1317</v>
      </c>
      <c r="O258">
        <v>-21.6799999999999</v>
      </c>
      <c r="P258" t="s">
        <v>1318</v>
      </c>
      <c r="Q258">
        <v>-9.4260869565217204E-2</v>
      </c>
      <c r="R258" t="s">
        <v>1319</v>
      </c>
      <c r="S258">
        <v>1.21461538461538</v>
      </c>
      <c r="T258" t="s">
        <v>1320</v>
      </c>
      <c r="U258">
        <v>-0.76592105263157895</v>
      </c>
      <c r="V258" t="s">
        <v>1321</v>
      </c>
      <c r="W258">
        <v>0.36158468827728302</v>
      </c>
      <c r="X258" t="s">
        <v>1322</v>
      </c>
      <c r="Y258" t="s">
        <v>1344</v>
      </c>
      <c r="Z258" t="s">
        <v>1331</v>
      </c>
      <c r="AA258">
        <v>0</v>
      </c>
      <c r="AB258" t="s">
        <v>1325</v>
      </c>
      <c r="AC258" t="s">
        <v>1326</v>
      </c>
      <c r="AD258" t="s">
        <v>1623</v>
      </c>
      <c r="AE258" t="s">
        <v>1416</v>
      </c>
      <c r="AF258">
        <v>0</v>
      </c>
      <c r="AG258" t="s">
        <v>1328</v>
      </c>
    </row>
    <row r="259" spans="1:33" x14ac:dyDescent="0.3">
      <c r="A259" t="s">
        <v>1455</v>
      </c>
      <c r="B259" t="s">
        <v>1310</v>
      </c>
      <c r="C259">
        <v>0.4</v>
      </c>
      <c r="D259" t="s">
        <v>1311</v>
      </c>
      <c r="E259" t="s">
        <v>1312</v>
      </c>
      <c r="F259">
        <v>0.2</v>
      </c>
      <c r="G259" t="s">
        <v>1342</v>
      </c>
      <c r="H259" t="s">
        <v>1348</v>
      </c>
      <c r="I259" t="str">
        <f t="shared" ref="I259:I322" si="4">_xlfn.TEXTJOIN(", ", FALSE, A259,B259,C259,D259,E259,F259,G259,H259)</f>
        <v>bbands_{'C',  [('delta', 0.4,  -1),  ('delta', 0.2,  2)]}_[21,  49]_3</v>
      </c>
      <c r="J259" t="s">
        <v>1315</v>
      </c>
      <c r="K259">
        <v>200</v>
      </c>
      <c r="L259" t="s">
        <v>1316</v>
      </c>
      <c r="M259">
        <v>60</v>
      </c>
      <c r="N259" t="s">
        <v>1317</v>
      </c>
      <c r="O259">
        <v>-21.889999999999901</v>
      </c>
      <c r="P259" t="s">
        <v>1318</v>
      </c>
      <c r="Q259">
        <v>-0.10944999999999901</v>
      </c>
      <c r="R259" t="s">
        <v>1319</v>
      </c>
      <c r="S259">
        <v>1.34516666666666</v>
      </c>
      <c r="T259" t="s">
        <v>1320</v>
      </c>
      <c r="U259">
        <v>-0.73285714285714298</v>
      </c>
      <c r="V259" t="s">
        <v>1321</v>
      </c>
      <c r="W259">
        <v>0.31507372431124098</v>
      </c>
      <c r="X259" t="s">
        <v>1322</v>
      </c>
      <c r="Y259" t="s">
        <v>1330</v>
      </c>
      <c r="Z259" t="s">
        <v>1331</v>
      </c>
      <c r="AA259">
        <v>0</v>
      </c>
      <c r="AB259" t="s">
        <v>1325</v>
      </c>
      <c r="AC259" t="s">
        <v>1326</v>
      </c>
      <c r="AD259" t="s">
        <v>1330</v>
      </c>
      <c r="AE259" t="s">
        <v>1331</v>
      </c>
      <c r="AF259">
        <v>0</v>
      </c>
      <c r="AG259" t="s">
        <v>1328</v>
      </c>
    </row>
    <row r="260" spans="1:33" x14ac:dyDescent="0.3">
      <c r="A260" t="s">
        <v>1604</v>
      </c>
      <c r="B260" t="s">
        <v>1310</v>
      </c>
      <c r="C260">
        <v>0.4</v>
      </c>
      <c r="D260" t="s">
        <v>1311</v>
      </c>
      <c r="E260" t="s">
        <v>1312</v>
      </c>
      <c r="F260">
        <v>0.2</v>
      </c>
      <c r="G260" t="s">
        <v>1342</v>
      </c>
      <c r="H260" t="s">
        <v>1350</v>
      </c>
      <c r="I260" t="str">
        <f t="shared" si="4"/>
        <v>stoch_{'C',  [('delta', 0.4,  -1),  ('delta', 0.2,  2)]}_[21,  49]_5</v>
      </c>
      <c r="J260" t="s">
        <v>1315</v>
      </c>
      <c r="K260">
        <v>230</v>
      </c>
      <c r="L260" t="s">
        <v>1316</v>
      </c>
      <c r="M260">
        <v>76</v>
      </c>
      <c r="N260" t="s">
        <v>1317</v>
      </c>
      <c r="O260">
        <v>-22.099999999999898</v>
      </c>
      <c r="P260" t="s">
        <v>1318</v>
      </c>
      <c r="Q260">
        <v>-9.6086956521739E-2</v>
      </c>
      <c r="R260" t="s">
        <v>1319</v>
      </c>
      <c r="S260">
        <v>1.2759210526315801</v>
      </c>
      <c r="T260" t="s">
        <v>1320</v>
      </c>
      <c r="U260">
        <v>-0.77318181818181797</v>
      </c>
      <c r="V260" t="s">
        <v>1321</v>
      </c>
      <c r="W260">
        <v>0.39310140659888099</v>
      </c>
      <c r="X260" t="s">
        <v>1322</v>
      </c>
      <c r="Y260" t="s">
        <v>1344</v>
      </c>
      <c r="Z260" t="s">
        <v>1331</v>
      </c>
      <c r="AA260">
        <v>0</v>
      </c>
      <c r="AB260" t="s">
        <v>1325</v>
      </c>
      <c r="AC260" t="s">
        <v>1326</v>
      </c>
      <c r="AD260" t="s">
        <v>1623</v>
      </c>
      <c r="AE260" t="s">
        <v>1416</v>
      </c>
      <c r="AF260">
        <v>0</v>
      </c>
      <c r="AG260" t="s">
        <v>1328</v>
      </c>
    </row>
    <row r="261" spans="1:33" x14ac:dyDescent="0.3">
      <c r="A261" t="s">
        <v>1559</v>
      </c>
      <c r="B261" t="s">
        <v>1310</v>
      </c>
      <c r="C261">
        <v>0.4</v>
      </c>
      <c r="D261" t="s">
        <v>1311</v>
      </c>
      <c r="E261" t="s">
        <v>1312</v>
      </c>
      <c r="F261">
        <v>0.2</v>
      </c>
      <c r="G261" t="s">
        <v>1381</v>
      </c>
      <c r="H261" t="s">
        <v>1337</v>
      </c>
      <c r="I261" t="str">
        <f t="shared" si="4"/>
        <v>rsi_{'C',  [('delta', 0.4,  -1),  ('delta', 0.2,  3)]}_[7,  35]_5</v>
      </c>
      <c r="J261" t="s">
        <v>1315</v>
      </c>
      <c r="K261">
        <v>35</v>
      </c>
      <c r="L261" t="s">
        <v>1316</v>
      </c>
      <c r="M261">
        <v>3</v>
      </c>
      <c r="N261" t="s">
        <v>1317</v>
      </c>
      <c r="O261">
        <v>-22.15</v>
      </c>
      <c r="P261" t="s">
        <v>1318</v>
      </c>
      <c r="Q261">
        <v>-0.63285714285714301</v>
      </c>
      <c r="R261" t="s">
        <v>1319</v>
      </c>
      <c r="S261">
        <v>0.77333333333333298</v>
      </c>
      <c r="T261" t="s">
        <v>1320</v>
      </c>
      <c r="U261">
        <v>-0.76468749999999996</v>
      </c>
      <c r="V261" t="s">
        <v>1321</v>
      </c>
      <c r="W261">
        <v>0.136144354395006</v>
      </c>
      <c r="X261" t="s">
        <v>1322</v>
      </c>
      <c r="Y261" t="s">
        <v>1589</v>
      </c>
      <c r="Z261" t="s">
        <v>1567</v>
      </c>
      <c r="AA261">
        <v>0</v>
      </c>
      <c r="AB261" t="s">
        <v>1325</v>
      </c>
      <c r="AC261" t="s">
        <v>1326</v>
      </c>
      <c r="AD261" t="s">
        <v>1589</v>
      </c>
      <c r="AE261" t="s">
        <v>1567</v>
      </c>
      <c r="AF261">
        <v>0</v>
      </c>
      <c r="AG261" t="s">
        <v>1328</v>
      </c>
    </row>
    <row r="262" spans="1:33" x14ac:dyDescent="0.3">
      <c r="A262" t="s">
        <v>1455</v>
      </c>
      <c r="B262" t="s">
        <v>1310</v>
      </c>
      <c r="C262">
        <v>0.4</v>
      </c>
      <c r="D262" t="s">
        <v>1311</v>
      </c>
      <c r="E262" t="s">
        <v>1312</v>
      </c>
      <c r="F262">
        <v>0.2</v>
      </c>
      <c r="G262" t="s">
        <v>1381</v>
      </c>
      <c r="H262" t="s">
        <v>1333</v>
      </c>
      <c r="I262" t="str">
        <f t="shared" si="4"/>
        <v>bbands_{'C',  [('delta', 0.4,  -1),  ('delta', 0.2,  3)]}_[7,  35]_3</v>
      </c>
      <c r="J262" t="s">
        <v>1315</v>
      </c>
      <c r="K262">
        <v>191</v>
      </c>
      <c r="L262" t="s">
        <v>1316</v>
      </c>
      <c r="M262">
        <v>39</v>
      </c>
      <c r="N262" t="s">
        <v>1317</v>
      </c>
      <c r="O262">
        <v>-22.389999999999901</v>
      </c>
      <c r="P262" t="s">
        <v>1318</v>
      </c>
      <c r="Q262">
        <v>-0.117225130890052</v>
      </c>
      <c r="R262" t="s">
        <v>1319</v>
      </c>
      <c r="S262">
        <v>2.66230769230769</v>
      </c>
      <c r="T262" t="s">
        <v>1320</v>
      </c>
      <c r="U262">
        <v>-0.83039473684210496</v>
      </c>
      <c r="V262" t="s">
        <v>1321</v>
      </c>
      <c r="W262">
        <v>0.382130660982412</v>
      </c>
      <c r="X262" t="s">
        <v>1322</v>
      </c>
      <c r="Y262" t="s">
        <v>1395</v>
      </c>
      <c r="Z262" t="s">
        <v>1396</v>
      </c>
      <c r="AA262">
        <v>0</v>
      </c>
      <c r="AB262" t="s">
        <v>1325</v>
      </c>
      <c r="AC262" t="s">
        <v>1326</v>
      </c>
      <c r="AD262" t="s">
        <v>1485</v>
      </c>
      <c r="AE262" t="s">
        <v>1435</v>
      </c>
      <c r="AF262">
        <v>0</v>
      </c>
      <c r="AG262" t="s">
        <v>1328</v>
      </c>
    </row>
    <row r="263" spans="1:33" x14ac:dyDescent="0.3">
      <c r="A263" t="s">
        <v>1455</v>
      </c>
      <c r="B263" t="s">
        <v>1310</v>
      </c>
      <c r="C263">
        <v>0.4</v>
      </c>
      <c r="D263" t="s">
        <v>1311</v>
      </c>
      <c r="E263" t="s">
        <v>1312</v>
      </c>
      <c r="F263">
        <v>0.2</v>
      </c>
      <c r="G263" t="s">
        <v>1403</v>
      </c>
      <c r="H263" t="s">
        <v>1359</v>
      </c>
      <c r="I263" t="str">
        <f t="shared" si="4"/>
        <v>bbands_{'C',  [('delta', 0.4,  -1),  ('delta', 0.2,  3)]}_[35,  70]_4</v>
      </c>
      <c r="J263" t="s">
        <v>1315</v>
      </c>
      <c r="K263">
        <v>247</v>
      </c>
      <c r="L263" t="s">
        <v>1316</v>
      </c>
      <c r="M263">
        <v>30</v>
      </c>
      <c r="N263" t="s">
        <v>1317</v>
      </c>
      <c r="O263">
        <v>-22.847695764303801</v>
      </c>
      <c r="P263" t="s">
        <v>1318</v>
      </c>
      <c r="Q263">
        <v>-9.2500792568031703E-2</v>
      </c>
      <c r="R263" t="s">
        <v>1319</v>
      </c>
      <c r="S263">
        <v>5.1468416295548503</v>
      </c>
      <c r="T263" t="s">
        <v>1320</v>
      </c>
      <c r="U263">
        <v>-0.81683384631774003</v>
      </c>
      <c r="V263" t="s">
        <v>1321</v>
      </c>
      <c r="W263">
        <v>0.54529272573910104</v>
      </c>
      <c r="X263" t="s">
        <v>1322</v>
      </c>
      <c r="Y263" t="s">
        <v>1404</v>
      </c>
      <c r="Z263" t="s">
        <v>1372</v>
      </c>
      <c r="AA263">
        <v>0</v>
      </c>
      <c r="AB263" t="s">
        <v>1325</v>
      </c>
      <c r="AC263" t="s">
        <v>1326</v>
      </c>
      <c r="AD263" t="s">
        <v>1488</v>
      </c>
      <c r="AE263" t="s">
        <v>1372</v>
      </c>
      <c r="AF263">
        <v>0</v>
      </c>
      <c r="AG263" t="s">
        <v>1328</v>
      </c>
    </row>
    <row r="264" spans="1:33" x14ac:dyDescent="0.3">
      <c r="A264" t="s">
        <v>1455</v>
      </c>
      <c r="B264" t="s">
        <v>1310</v>
      </c>
      <c r="C264">
        <v>0.3</v>
      </c>
      <c r="D264" t="s">
        <v>1311</v>
      </c>
      <c r="E264" t="s">
        <v>1312</v>
      </c>
      <c r="F264">
        <v>0.15</v>
      </c>
      <c r="G264" t="s">
        <v>1342</v>
      </c>
      <c r="H264" t="s">
        <v>1349</v>
      </c>
      <c r="I264" t="str">
        <f t="shared" si="4"/>
        <v>bbands_{'C',  [('delta', 0.3,  -1),  ('delta', 0.15,  2)]}_[21,  49]_4</v>
      </c>
      <c r="J264" t="s">
        <v>1315</v>
      </c>
      <c r="K264">
        <v>200</v>
      </c>
      <c r="L264" t="s">
        <v>1316</v>
      </c>
      <c r="M264">
        <v>72</v>
      </c>
      <c r="N264" t="s">
        <v>1317</v>
      </c>
      <c r="O264">
        <v>-23.6099999999999</v>
      </c>
      <c r="P264" t="s">
        <v>1318</v>
      </c>
      <c r="Q264">
        <v>-0.118049999999999</v>
      </c>
      <c r="R264" t="s">
        <v>1319</v>
      </c>
      <c r="S264">
        <v>0.84152777777777699</v>
      </c>
      <c r="T264" t="s">
        <v>1320</v>
      </c>
      <c r="U264">
        <v>-0.66299212598425095</v>
      </c>
      <c r="V264" t="s">
        <v>1321</v>
      </c>
      <c r="W264">
        <v>0.26548878854470598</v>
      </c>
      <c r="X264" t="s">
        <v>1322</v>
      </c>
      <c r="Y264" t="s">
        <v>1344</v>
      </c>
      <c r="Z264" t="s">
        <v>1331</v>
      </c>
      <c r="AA264">
        <v>0</v>
      </c>
      <c r="AB264" t="s">
        <v>1325</v>
      </c>
      <c r="AC264" t="s">
        <v>1326</v>
      </c>
      <c r="AD264" t="s">
        <v>1344</v>
      </c>
      <c r="AE264" t="s">
        <v>1331</v>
      </c>
      <c r="AF264">
        <v>0</v>
      </c>
      <c r="AG264" t="s">
        <v>1328</v>
      </c>
    </row>
    <row r="265" spans="1:33" x14ac:dyDescent="0.3">
      <c r="A265" t="s">
        <v>1604</v>
      </c>
      <c r="B265" t="s">
        <v>1310</v>
      </c>
      <c r="C265">
        <v>0.5</v>
      </c>
      <c r="D265" t="s">
        <v>1311</v>
      </c>
      <c r="E265" t="s">
        <v>1312</v>
      </c>
      <c r="F265">
        <v>0.3</v>
      </c>
      <c r="G265" t="s">
        <v>1313</v>
      </c>
      <c r="H265" t="s">
        <v>1337</v>
      </c>
      <c r="I265" t="str">
        <f t="shared" si="4"/>
        <v>stoch_{'C',  [('delta', 0.5,  -1),  ('delta', 0.3,  2)]}_[7,  35]_5</v>
      </c>
      <c r="J265" t="s">
        <v>1315</v>
      </c>
      <c r="K265">
        <v>224</v>
      </c>
      <c r="L265" t="s">
        <v>1316</v>
      </c>
      <c r="M265">
        <v>59</v>
      </c>
      <c r="N265" t="s">
        <v>1317</v>
      </c>
      <c r="O265">
        <v>-23.709999999999901</v>
      </c>
      <c r="P265" t="s">
        <v>1318</v>
      </c>
      <c r="Q265">
        <v>-0.105848214285713</v>
      </c>
      <c r="R265" t="s">
        <v>1319</v>
      </c>
      <c r="S265">
        <v>1.7445762711864401</v>
      </c>
      <c r="T265" t="s">
        <v>1320</v>
      </c>
      <c r="U265">
        <v>-0.76751515151515104</v>
      </c>
      <c r="V265" t="s">
        <v>1321</v>
      </c>
      <c r="W265">
        <v>0.42691537346745301</v>
      </c>
      <c r="X265" t="s">
        <v>1322</v>
      </c>
      <c r="Y265" t="s">
        <v>1609</v>
      </c>
      <c r="Z265" t="s">
        <v>1494</v>
      </c>
      <c r="AA265">
        <v>0</v>
      </c>
      <c r="AB265" t="s">
        <v>1325</v>
      </c>
      <c r="AC265" t="s">
        <v>1326</v>
      </c>
      <c r="AD265" t="s">
        <v>1607</v>
      </c>
      <c r="AE265" t="s">
        <v>1608</v>
      </c>
      <c r="AF265">
        <v>0</v>
      </c>
      <c r="AG265" t="s">
        <v>1328</v>
      </c>
    </row>
    <row r="266" spans="1:33" x14ac:dyDescent="0.3">
      <c r="A266" t="s">
        <v>1455</v>
      </c>
      <c r="B266" t="s">
        <v>1310</v>
      </c>
      <c r="C266">
        <v>0.4</v>
      </c>
      <c r="D266" t="s">
        <v>1311</v>
      </c>
      <c r="E266" t="s">
        <v>1312</v>
      </c>
      <c r="F266">
        <v>0.2</v>
      </c>
      <c r="G266" t="s">
        <v>1342</v>
      </c>
      <c r="H266" t="s">
        <v>1346</v>
      </c>
      <c r="I266" t="str">
        <f t="shared" si="4"/>
        <v>bbands_{'C',  [('delta', 0.4,  -1),  ('delta', 0.2,  2)]}_[21,  49]_2</v>
      </c>
      <c r="J266" t="s">
        <v>1315</v>
      </c>
      <c r="K266">
        <v>200</v>
      </c>
      <c r="L266" t="s">
        <v>1316</v>
      </c>
      <c r="M266">
        <v>61</v>
      </c>
      <c r="N266" t="s">
        <v>1317</v>
      </c>
      <c r="O266">
        <v>-24.35</v>
      </c>
      <c r="P266" t="s">
        <v>1318</v>
      </c>
      <c r="Q266">
        <v>-0.12175</v>
      </c>
      <c r="R266" t="s">
        <v>1319</v>
      </c>
      <c r="S266">
        <v>1.22786885245901</v>
      </c>
      <c r="T266" t="s">
        <v>1320</v>
      </c>
      <c r="U266">
        <v>-0.71402877697841705</v>
      </c>
      <c r="V266" t="s">
        <v>1321</v>
      </c>
      <c r="W266">
        <v>0.30373966551145198</v>
      </c>
      <c r="X266" t="s">
        <v>1322</v>
      </c>
      <c r="Y266" t="s">
        <v>1330</v>
      </c>
      <c r="Z266" t="s">
        <v>1331</v>
      </c>
      <c r="AA266">
        <v>0</v>
      </c>
      <c r="AB266" t="s">
        <v>1325</v>
      </c>
      <c r="AC266" t="s">
        <v>1326</v>
      </c>
      <c r="AD266" t="s">
        <v>1330</v>
      </c>
      <c r="AE266" t="s">
        <v>1331</v>
      </c>
      <c r="AF266">
        <v>0</v>
      </c>
      <c r="AG266" t="s">
        <v>1328</v>
      </c>
    </row>
    <row r="267" spans="1:33" x14ac:dyDescent="0.3">
      <c r="A267" t="s">
        <v>1455</v>
      </c>
      <c r="B267" t="s">
        <v>1310</v>
      </c>
      <c r="C267">
        <v>0.5</v>
      </c>
      <c r="D267" t="s">
        <v>1311</v>
      </c>
      <c r="E267" t="s">
        <v>1312</v>
      </c>
      <c r="F267">
        <v>0.3</v>
      </c>
      <c r="G267" t="s">
        <v>1351</v>
      </c>
      <c r="H267" t="s">
        <v>1352</v>
      </c>
      <c r="I267" t="str">
        <f t="shared" si="4"/>
        <v>bbands_{'C',  [('delta', 0.5,  -1),  ('delta', 0.3,  2)]}_[35,  70]_1</v>
      </c>
      <c r="J267" t="s">
        <v>1315</v>
      </c>
      <c r="K267">
        <v>247</v>
      </c>
      <c r="L267" t="s">
        <v>1316</v>
      </c>
      <c r="M267">
        <v>69</v>
      </c>
      <c r="N267" t="s">
        <v>1317</v>
      </c>
      <c r="O267">
        <v>-24.476988254074701</v>
      </c>
      <c r="P267" t="s">
        <v>1318</v>
      </c>
      <c r="Q267">
        <v>-9.9097118437549495E-2</v>
      </c>
      <c r="R267" t="s">
        <v>1319</v>
      </c>
      <c r="S267">
        <v>1.5322883973308401</v>
      </c>
      <c r="T267" t="s">
        <v>1320</v>
      </c>
      <c r="U267">
        <v>-0.73148813297698201</v>
      </c>
      <c r="V267" t="s">
        <v>1321</v>
      </c>
      <c r="W267">
        <v>0.30957492916075702</v>
      </c>
      <c r="X267" t="s">
        <v>1322</v>
      </c>
      <c r="Y267" t="s">
        <v>1470</v>
      </c>
      <c r="Z267" t="s">
        <v>1372</v>
      </c>
      <c r="AA267">
        <v>0</v>
      </c>
      <c r="AB267" t="s">
        <v>1325</v>
      </c>
      <c r="AC267" t="s">
        <v>1326</v>
      </c>
      <c r="AD267" t="s">
        <v>1470</v>
      </c>
      <c r="AE267" t="s">
        <v>1372</v>
      </c>
      <c r="AF267">
        <v>0</v>
      </c>
      <c r="AG267" t="s">
        <v>1328</v>
      </c>
    </row>
    <row r="268" spans="1:33" x14ac:dyDescent="0.3">
      <c r="A268" t="s">
        <v>1604</v>
      </c>
      <c r="B268" t="s">
        <v>1310</v>
      </c>
      <c r="C268">
        <v>0.4</v>
      </c>
      <c r="D268" t="s">
        <v>1311</v>
      </c>
      <c r="E268" t="s">
        <v>1312</v>
      </c>
      <c r="F268">
        <v>0.2</v>
      </c>
      <c r="G268" t="s">
        <v>1381</v>
      </c>
      <c r="H268" t="s">
        <v>1314</v>
      </c>
      <c r="I268" t="str">
        <f t="shared" si="4"/>
        <v>stoch_{'C',  [('delta', 0.4,  -1),  ('delta', 0.2,  3)]}_[7,  35]_1</v>
      </c>
      <c r="J268" t="s">
        <v>1315</v>
      </c>
      <c r="K268">
        <v>224</v>
      </c>
      <c r="L268" t="s">
        <v>1316</v>
      </c>
      <c r="M268">
        <v>62</v>
      </c>
      <c r="N268" t="s">
        <v>1317</v>
      </c>
      <c r="O268">
        <v>-24.71</v>
      </c>
      <c r="P268" t="s">
        <v>1318</v>
      </c>
      <c r="Q268">
        <v>-0.11031249999999999</v>
      </c>
      <c r="R268" t="s">
        <v>1319</v>
      </c>
      <c r="S268">
        <v>1.4498387096774099</v>
      </c>
      <c r="T268" t="s">
        <v>1320</v>
      </c>
      <c r="U268">
        <v>-0.70740740740740704</v>
      </c>
      <c r="V268" t="s">
        <v>1321</v>
      </c>
      <c r="W268">
        <v>0.290526487155644</v>
      </c>
      <c r="X268" t="s">
        <v>1322</v>
      </c>
      <c r="Y268" t="s">
        <v>1483</v>
      </c>
      <c r="Z268" t="s">
        <v>1435</v>
      </c>
      <c r="AA268">
        <v>0</v>
      </c>
      <c r="AB268" t="s">
        <v>1325</v>
      </c>
      <c r="AC268" t="s">
        <v>1326</v>
      </c>
      <c r="AD268" t="s">
        <v>1483</v>
      </c>
      <c r="AE268" t="s">
        <v>1435</v>
      </c>
      <c r="AF268">
        <v>0</v>
      </c>
      <c r="AG268" t="s">
        <v>1328</v>
      </c>
    </row>
    <row r="269" spans="1:33" x14ac:dyDescent="0.3">
      <c r="A269" t="s">
        <v>1455</v>
      </c>
      <c r="B269" t="s">
        <v>1310</v>
      </c>
      <c r="C269">
        <v>0.4</v>
      </c>
      <c r="D269" t="s">
        <v>1311</v>
      </c>
      <c r="E269" t="s">
        <v>1312</v>
      </c>
      <c r="F269">
        <v>0.2</v>
      </c>
      <c r="G269" t="s">
        <v>1392</v>
      </c>
      <c r="H269" t="s">
        <v>1346</v>
      </c>
      <c r="I269" t="str">
        <f t="shared" si="4"/>
        <v>bbands_{'C',  [('delta', 0.4,  -1),  ('delta', 0.2,  3)]}_[21,  49]_2</v>
      </c>
      <c r="J269" t="s">
        <v>1315</v>
      </c>
      <c r="K269">
        <v>200</v>
      </c>
      <c r="L269" t="s">
        <v>1316</v>
      </c>
      <c r="M269">
        <v>37</v>
      </c>
      <c r="N269" t="s">
        <v>1317</v>
      </c>
      <c r="O269">
        <v>-24.849999999999898</v>
      </c>
      <c r="P269" t="s">
        <v>1318</v>
      </c>
      <c r="Q269">
        <v>-0.124249999999999</v>
      </c>
      <c r="R269" t="s">
        <v>1319</v>
      </c>
      <c r="S269">
        <v>2.7813513513513501</v>
      </c>
      <c r="T269" t="s">
        <v>1320</v>
      </c>
      <c r="U269">
        <v>-0.78380368098159503</v>
      </c>
      <c r="V269" t="s">
        <v>1321</v>
      </c>
      <c r="W269">
        <v>0.34536964700968897</v>
      </c>
      <c r="X269" t="s">
        <v>1322</v>
      </c>
      <c r="Y269" t="s">
        <v>1395</v>
      </c>
      <c r="Z269" t="s">
        <v>1396</v>
      </c>
      <c r="AA269">
        <v>0</v>
      </c>
      <c r="AB269" t="s">
        <v>1325</v>
      </c>
      <c r="AC269" t="s">
        <v>1326</v>
      </c>
      <c r="AD269" t="s">
        <v>1484</v>
      </c>
      <c r="AE269" t="s">
        <v>1473</v>
      </c>
      <c r="AF269">
        <v>0</v>
      </c>
      <c r="AG269" t="s">
        <v>1328</v>
      </c>
    </row>
    <row r="270" spans="1:33" x14ac:dyDescent="0.3">
      <c r="A270" t="s">
        <v>1604</v>
      </c>
      <c r="B270" t="s">
        <v>1310</v>
      </c>
      <c r="C270">
        <v>0.3</v>
      </c>
      <c r="D270" t="s">
        <v>1311</v>
      </c>
      <c r="E270" t="s">
        <v>1312</v>
      </c>
      <c r="F270">
        <v>0.15</v>
      </c>
      <c r="G270" t="s">
        <v>1381</v>
      </c>
      <c r="H270" t="s">
        <v>1329</v>
      </c>
      <c r="I270" t="str">
        <f t="shared" si="4"/>
        <v>stoch_{'C',  [('delta', 0.3,  -1),  ('delta', 0.15,  3)]}_[7,  35]_2</v>
      </c>
      <c r="J270" t="s">
        <v>1315</v>
      </c>
      <c r="K270">
        <v>224</v>
      </c>
      <c r="L270" t="s">
        <v>1316</v>
      </c>
      <c r="M270">
        <v>44</v>
      </c>
      <c r="N270" t="s">
        <v>1317</v>
      </c>
      <c r="O270">
        <v>-24.919999999999899</v>
      </c>
      <c r="P270" t="s">
        <v>1318</v>
      </c>
      <c r="Q270">
        <v>-0.111249999999999</v>
      </c>
      <c r="R270" t="s">
        <v>1319</v>
      </c>
      <c r="S270">
        <v>1.9818181818181799</v>
      </c>
      <c r="T270" t="s">
        <v>1320</v>
      </c>
      <c r="U270">
        <v>-0.62288888888888905</v>
      </c>
      <c r="V270" t="s">
        <v>1321</v>
      </c>
      <c r="W270">
        <v>0.361500569966824</v>
      </c>
      <c r="X270" t="s">
        <v>1322</v>
      </c>
      <c r="Y270" t="s">
        <v>1434</v>
      </c>
      <c r="Z270" t="s">
        <v>1435</v>
      </c>
      <c r="AA270">
        <v>0</v>
      </c>
      <c r="AB270" t="s">
        <v>1325</v>
      </c>
      <c r="AC270" t="s">
        <v>1326</v>
      </c>
      <c r="AD270" t="s">
        <v>1491</v>
      </c>
      <c r="AE270" t="s">
        <v>1473</v>
      </c>
      <c r="AF270">
        <v>0</v>
      </c>
      <c r="AG270" t="s">
        <v>1328</v>
      </c>
    </row>
    <row r="271" spans="1:33" x14ac:dyDescent="0.3">
      <c r="A271" t="s">
        <v>1455</v>
      </c>
      <c r="B271" t="s">
        <v>1310</v>
      </c>
      <c r="C271">
        <v>0.4</v>
      </c>
      <c r="D271" t="s">
        <v>1311</v>
      </c>
      <c r="E271" t="s">
        <v>1312</v>
      </c>
      <c r="F271">
        <v>0.2</v>
      </c>
      <c r="G271" t="s">
        <v>1342</v>
      </c>
      <c r="H271" t="s">
        <v>1349</v>
      </c>
      <c r="I271" t="str">
        <f t="shared" si="4"/>
        <v>bbands_{'C',  [('delta', 0.4,  -1),  ('delta', 0.2,  2)]}_[21,  49]_4</v>
      </c>
      <c r="J271" t="s">
        <v>1315</v>
      </c>
      <c r="K271">
        <v>200</v>
      </c>
      <c r="L271" t="s">
        <v>1316</v>
      </c>
      <c r="M271">
        <v>58</v>
      </c>
      <c r="N271" t="s">
        <v>1317</v>
      </c>
      <c r="O271">
        <v>-25.7699999999999</v>
      </c>
      <c r="P271" t="s">
        <v>1318</v>
      </c>
      <c r="Q271">
        <v>-0.12884999999999899</v>
      </c>
      <c r="R271" t="s">
        <v>1319</v>
      </c>
      <c r="S271">
        <v>1.35672413793103</v>
      </c>
      <c r="T271" t="s">
        <v>1320</v>
      </c>
      <c r="U271">
        <v>-0.73563380281690105</v>
      </c>
      <c r="V271" t="s">
        <v>1321</v>
      </c>
      <c r="W271">
        <v>0.33722850499934398</v>
      </c>
      <c r="X271" t="s">
        <v>1322</v>
      </c>
      <c r="Y271" t="s">
        <v>1330</v>
      </c>
      <c r="Z271" t="s">
        <v>1331</v>
      </c>
      <c r="AA271">
        <v>0</v>
      </c>
      <c r="AB271" t="s">
        <v>1325</v>
      </c>
      <c r="AC271" t="s">
        <v>1326</v>
      </c>
      <c r="AD271" t="s">
        <v>1330</v>
      </c>
      <c r="AE271" t="s">
        <v>1331</v>
      </c>
      <c r="AF271">
        <v>0</v>
      </c>
      <c r="AG271" t="s">
        <v>1328</v>
      </c>
    </row>
    <row r="272" spans="1:33" x14ac:dyDescent="0.3">
      <c r="A272" t="s">
        <v>1604</v>
      </c>
      <c r="B272" t="s">
        <v>1310</v>
      </c>
      <c r="C272">
        <v>0.3</v>
      </c>
      <c r="D272" t="s">
        <v>1311</v>
      </c>
      <c r="E272" t="s">
        <v>1312</v>
      </c>
      <c r="F272">
        <v>0.15</v>
      </c>
      <c r="G272" t="s">
        <v>1351</v>
      </c>
      <c r="H272" t="s">
        <v>1352</v>
      </c>
      <c r="I272" t="str">
        <f t="shared" si="4"/>
        <v>stoch_{'C',  [('delta', 0.3,  -1),  ('delta', 0.15,  2)]}_[35,  70]_1</v>
      </c>
      <c r="J272" t="s">
        <v>1315</v>
      </c>
      <c r="K272">
        <v>291</v>
      </c>
      <c r="L272" t="s">
        <v>1316</v>
      </c>
      <c r="M272">
        <v>111</v>
      </c>
      <c r="N272" t="s">
        <v>1317</v>
      </c>
      <c r="O272">
        <v>-25.8868963241699</v>
      </c>
      <c r="P272" t="s">
        <v>1318</v>
      </c>
      <c r="Q272">
        <v>-8.8958406612267699E-2</v>
      </c>
      <c r="R272" t="s">
        <v>1319</v>
      </c>
      <c r="S272">
        <v>0.86257307203330102</v>
      </c>
      <c r="T272" t="s">
        <v>1320</v>
      </c>
      <c r="U272">
        <v>-0.67573615177703505</v>
      </c>
      <c r="V272" t="s">
        <v>1321</v>
      </c>
      <c r="W272">
        <v>0.270188588103425</v>
      </c>
      <c r="X272" t="s">
        <v>1322</v>
      </c>
      <c r="Y272" t="s">
        <v>1547</v>
      </c>
      <c r="Z272" t="s">
        <v>1416</v>
      </c>
      <c r="AA272">
        <v>0</v>
      </c>
      <c r="AB272" t="s">
        <v>1325</v>
      </c>
      <c r="AC272" t="s">
        <v>1326</v>
      </c>
      <c r="AD272" t="s">
        <v>1638</v>
      </c>
      <c r="AE272" t="s">
        <v>1639</v>
      </c>
      <c r="AF272">
        <v>0</v>
      </c>
      <c r="AG272" t="s">
        <v>1328</v>
      </c>
    </row>
    <row r="273" spans="1:33" x14ac:dyDescent="0.3">
      <c r="A273" t="s">
        <v>1604</v>
      </c>
      <c r="B273" t="s">
        <v>1310</v>
      </c>
      <c r="C273">
        <v>0.3</v>
      </c>
      <c r="D273" t="s">
        <v>1311</v>
      </c>
      <c r="E273" t="s">
        <v>1312</v>
      </c>
      <c r="F273">
        <v>0.15</v>
      </c>
      <c r="G273" t="s">
        <v>1392</v>
      </c>
      <c r="H273" t="s">
        <v>1346</v>
      </c>
      <c r="I273" t="str">
        <f t="shared" si="4"/>
        <v>stoch_{'C',  [('delta', 0.3,  -1),  ('delta', 0.15,  3)]}_[21,  49]_2</v>
      </c>
      <c r="J273" t="s">
        <v>1315</v>
      </c>
      <c r="K273">
        <v>230</v>
      </c>
      <c r="L273" t="s">
        <v>1316</v>
      </c>
      <c r="M273">
        <v>47</v>
      </c>
      <c r="N273" t="s">
        <v>1317</v>
      </c>
      <c r="O273">
        <v>-25.889999999999901</v>
      </c>
      <c r="P273" t="s">
        <v>1318</v>
      </c>
      <c r="Q273">
        <v>-0.112565217391304</v>
      </c>
      <c r="R273" t="s">
        <v>1319</v>
      </c>
      <c r="S273">
        <v>1.90468085106383</v>
      </c>
      <c r="T273" t="s">
        <v>1320</v>
      </c>
      <c r="U273">
        <v>-0.634120879120879</v>
      </c>
      <c r="V273" t="s">
        <v>1321</v>
      </c>
      <c r="W273">
        <v>0.327279428596428</v>
      </c>
      <c r="X273" t="s">
        <v>1322</v>
      </c>
      <c r="Y273" t="s">
        <v>1434</v>
      </c>
      <c r="Z273" t="s">
        <v>1435</v>
      </c>
      <c r="AA273">
        <v>0</v>
      </c>
      <c r="AB273" t="s">
        <v>1325</v>
      </c>
      <c r="AC273" t="s">
        <v>1326</v>
      </c>
      <c r="AD273" t="s">
        <v>1644</v>
      </c>
      <c r="AE273" t="s">
        <v>1534</v>
      </c>
      <c r="AF273">
        <v>0</v>
      </c>
      <c r="AG273" t="s">
        <v>1328</v>
      </c>
    </row>
    <row r="274" spans="1:33" x14ac:dyDescent="0.3">
      <c r="A274" t="s">
        <v>1604</v>
      </c>
      <c r="B274" t="s">
        <v>1310</v>
      </c>
      <c r="C274">
        <v>0.4</v>
      </c>
      <c r="D274" t="s">
        <v>1311</v>
      </c>
      <c r="E274" t="s">
        <v>1312</v>
      </c>
      <c r="F274">
        <v>0.2</v>
      </c>
      <c r="G274" t="s">
        <v>1381</v>
      </c>
      <c r="H274" t="s">
        <v>1337</v>
      </c>
      <c r="I274" t="str">
        <f t="shared" si="4"/>
        <v>stoch_{'C',  [('delta', 0.4,  -1),  ('delta', 0.2,  3)]}_[7,  35]_5</v>
      </c>
      <c r="J274" t="s">
        <v>1315</v>
      </c>
      <c r="K274">
        <v>224</v>
      </c>
      <c r="L274" t="s">
        <v>1316</v>
      </c>
      <c r="M274">
        <v>36</v>
      </c>
      <c r="N274" t="s">
        <v>1317</v>
      </c>
      <c r="O274">
        <v>-26.619999999999902</v>
      </c>
      <c r="P274" t="s">
        <v>1318</v>
      </c>
      <c r="Q274">
        <v>-0.118839285714285</v>
      </c>
      <c r="R274" t="s">
        <v>1319</v>
      </c>
      <c r="S274">
        <v>3.0538888888888902</v>
      </c>
      <c r="T274" t="s">
        <v>1320</v>
      </c>
      <c r="U274">
        <v>-0.72638297872340396</v>
      </c>
      <c r="V274" t="s">
        <v>1321</v>
      </c>
      <c r="W274">
        <v>0.52062694871980097</v>
      </c>
      <c r="X274" t="s">
        <v>1322</v>
      </c>
      <c r="Y274" t="s">
        <v>1589</v>
      </c>
      <c r="Z274" t="s">
        <v>1567</v>
      </c>
      <c r="AA274">
        <v>0</v>
      </c>
      <c r="AB274" t="s">
        <v>1325</v>
      </c>
      <c r="AC274" t="s">
        <v>1326</v>
      </c>
      <c r="AD274" t="s">
        <v>1485</v>
      </c>
      <c r="AE274" t="s">
        <v>1435</v>
      </c>
      <c r="AF274">
        <v>0</v>
      </c>
      <c r="AG274" t="s">
        <v>1328</v>
      </c>
    </row>
    <row r="275" spans="1:33" x14ac:dyDescent="0.3">
      <c r="A275" t="s">
        <v>1455</v>
      </c>
      <c r="B275" t="s">
        <v>1310</v>
      </c>
      <c r="C275">
        <v>0.3</v>
      </c>
      <c r="D275" t="s">
        <v>1311</v>
      </c>
      <c r="E275" t="s">
        <v>1312</v>
      </c>
      <c r="F275">
        <v>0.15</v>
      </c>
      <c r="G275" t="s">
        <v>1342</v>
      </c>
      <c r="H275" t="s">
        <v>1346</v>
      </c>
      <c r="I275" t="str">
        <f t="shared" si="4"/>
        <v>bbands_{'C',  [('delta', 0.3,  -1),  ('delta', 0.15,  2)]}_[21,  49]_2</v>
      </c>
      <c r="J275" t="s">
        <v>1315</v>
      </c>
      <c r="K275">
        <v>200</v>
      </c>
      <c r="L275" t="s">
        <v>1316</v>
      </c>
      <c r="M275">
        <v>74</v>
      </c>
      <c r="N275" t="s">
        <v>1317</v>
      </c>
      <c r="O275">
        <v>-26.689999999999898</v>
      </c>
      <c r="P275" t="s">
        <v>1318</v>
      </c>
      <c r="Q275">
        <v>-0.13344999999999901</v>
      </c>
      <c r="R275" t="s">
        <v>1319</v>
      </c>
      <c r="S275">
        <v>0.759594594594594</v>
      </c>
      <c r="T275" t="s">
        <v>1320</v>
      </c>
      <c r="U275">
        <v>-0.66319999999999901</v>
      </c>
      <c r="V275" t="s">
        <v>1321</v>
      </c>
      <c r="W275">
        <v>0.24675841343833901</v>
      </c>
      <c r="X275" t="s">
        <v>1322</v>
      </c>
      <c r="Y275" t="s">
        <v>1344</v>
      </c>
      <c r="Z275" t="s">
        <v>1331</v>
      </c>
      <c r="AA275">
        <v>0</v>
      </c>
      <c r="AB275" t="s">
        <v>1325</v>
      </c>
      <c r="AC275" t="s">
        <v>1326</v>
      </c>
      <c r="AD275" t="s">
        <v>1344</v>
      </c>
      <c r="AE275" t="s">
        <v>1331</v>
      </c>
      <c r="AF275">
        <v>0</v>
      </c>
      <c r="AG275" t="s">
        <v>1328</v>
      </c>
    </row>
    <row r="276" spans="1:33" x14ac:dyDescent="0.3">
      <c r="A276" t="s">
        <v>1604</v>
      </c>
      <c r="B276" t="s">
        <v>1310</v>
      </c>
      <c r="C276">
        <v>0.4</v>
      </c>
      <c r="D276" t="s">
        <v>1311</v>
      </c>
      <c r="E276" t="s">
        <v>1312</v>
      </c>
      <c r="F276">
        <v>0.2</v>
      </c>
      <c r="G276" t="s">
        <v>1342</v>
      </c>
      <c r="H276" t="s">
        <v>1349</v>
      </c>
      <c r="I276" t="str">
        <f t="shared" si="4"/>
        <v>stoch_{'C',  [('delta', 0.4,  -1),  ('delta', 0.2,  2)]}_[21,  49]_4</v>
      </c>
      <c r="J276" t="s">
        <v>1315</v>
      </c>
      <c r="K276">
        <v>230</v>
      </c>
      <c r="L276" t="s">
        <v>1316</v>
      </c>
      <c r="M276">
        <v>76</v>
      </c>
      <c r="N276" t="s">
        <v>1317</v>
      </c>
      <c r="O276">
        <v>-27.669999999999899</v>
      </c>
      <c r="P276" t="s">
        <v>1318</v>
      </c>
      <c r="Q276">
        <v>-0.120304347826086</v>
      </c>
      <c r="R276" t="s">
        <v>1319</v>
      </c>
      <c r="S276">
        <v>1.2026315789473601</v>
      </c>
      <c r="T276" t="s">
        <v>1320</v>
      </c>
      <c r="U276">
        <v>-0.77318181818181797</v>
      </c>
      <c r="V276" t="s">
        <v>1321</v>
      </c>
      <c r="W276">
        <v>0.38463644311478701</v>
      </c>
      <c r="X276" t="s">
        <v>1322</v>
      </c>
      <c r="Y276" t="s">
        <v>1344</v>
      </c>
      <c r="Z276" t="s">
        <v>1331</v>
      </c>
      <c r="AA276">
        <v>0</v>
      </c>
      <c r="AB276" t="s">
        <v>1325</v>
      </c>
      <c r="AC276" t="s">
        <v>1326</v>
      </c>
      <c r="AD276" t="s">
        <v>1623</v>
      </c>
      <c r="AE276" t="s">
        <v>1416</v>
      </c>
      <c r="AF276">
        <v>0</v>
      </c>
      <c r="AG276" t="s">
        <v>1328</v>
      </c>
    </row>
    <row r="277" spans="1:33" x14ac:dyDescent="0.3">
      <c r="A277" t="s">
        <v>1455</v>
      </c>
      <c r="B277" t="s">
        <v>1310</v>
      </c>
      <c r="C277">
        <v>0.3</v>
      </c>
      <c r="D277" t="s">
        <v>1311</v>
      </c>
      <c r="E277" t="s">
        <v>1312</v>
      </c>
      <c r="F277">
        <v>0.15</v>
      </c>
      <c r="G277" t="s">
        <v>1403</v>
      </c>
      <c r="H277" t="s">
        <v>1359</v>
      </c>
      <c r="I277" t="str">
        <f t="shared" si="4"/>
        <v>bbands_{'C',  [('delta', 0.3,  -1),  ('delta', 0.15,  3)]}_[35,  70]_4</v>
      </c>
      <c r="J277" t="s">
        <v>1315</v>
      </c>
      <c r="K277">
        <v>247</v>
      </c>
      <c r="L277" t="s">
        <v>1316</v>
      </c>
      <c r="M277">
        <v>24</v>
      </c>
      <c r="N277" t="s">
        <v>1317</v>
      </c>
      <c r="O277">
        <v>-28.537479922775098</v>
      </c>
      <c r="P277" t="s">
        <v>1318</v>
      </c>
      <c r="Q277">
        <v>-0.11553635596265199</v>
      </c>
      <c r="R277" t="s">
        <v>1319</v>
      </c>
      <c r="S277">
        <v>5.1832498807554499</v>
      </c>
      <c r="T277" t="s">
        <v>1320</v>
      </c>
      <c r="U277">
        <v>-0.685809314174466</v>
      </c>
      <c r="V277" t="s">
        <v>1321</v>
      </c>
      <c r="W277">
        <v>0.48565259989757598</v>
      </c>
      <c r="X277" t="s">
        <v>1322</v>
      </c>
      <c r="Y277" t="s">
        <v>1497</v>
      </c>
      <c r="Z277" t="s">
        <v>1435</v>
      </c>
      <c r="AA277">
        <v>0</v>
      </c>
      <c r="AB277" t="s">
        <v>1325</v>
      </c>
      <c r="AC277" t="s">
        <v>1326</v>
      </c>
      <c r="AD277" t="s">
        <v>1499</v>
      </c>
      <c r="AE277" t="s">
        <v>1469</v>
      </c>
      <c r="AF277">
        <v>0</v>
      </c>
      <c r="AG277" t="s">
        <v>1328</v>
      </c>
    </row>
    <row r="278" spans="1:33" x14ac:dyDescent="0.3">
      <c r="A278" t="s">
        <v>1455</v>
      </c>
      <c r="B278" t="s">
        <v>1310</v>
      </c>
      <c r="C278">
        <v>0.3</v>
      </c>
      <c r="D278" t="s">
        <v>1311</v>
      </c>
      <c r="E278" t="s">
        <v>1312</v>
      </c>
      <c r="F278">
        <v>0.15</v>
      </c>
      <c r="G278" t="s">
        <v>1381</v>
      </c>
      <c r="H278" t="s">
        <v>1329</v>
      </c>
      <c r="I278" t="str">
        <f t="shared" si="4"/>
        <v>bbands_{'C',  [('delta', 0.3,  -1),  ('delta', 0.15,  3)]}_[7,  35]_2</v>
      </c>
      <c r="J278" t="s">
        <v>1315</v>
      </c>
      <c r="K278">
        <v>191</v>
      </c>
      <c r="L278" t="s">
        <v>1316</v>
      </c>
      <c r="M278">
        <v>35</v>
      </c>
      <c r="N278" t="s">
        <v>1317</v>
      </c>
      <c r="O278">
        <v>-28.799999999999901</v>
      </c>
      <c r="P278" t="s">
        <v>1318</v>
      </c>
      <c r="Q278">
        <v>-0.15078534031413601</v>
      </c>
      <c r="R278" t="s">
        <v>1319</v>
      </c>
      <c r="S278">
        <v>2.3402857142857099</v>
      </c>
      <c r="T278" t="s">
        <v>1320</v>
      </c>
      <c r="U278">
        <v>-0.70967948717948703</v>
      </c>
      <c r="V278" t="s">
        <v>1321</v>
      </c>
      <c r="W278">
        <v>0.31686162980336502</v>
      </c>
      <c r="X278" t="s">
        <v>1322</v>
      </c>
      <c r="Y278" t="s">
        <v>1434</v>
      </c>
      <c r="Z278" t="s">
        <v>1435</v>
      </c>
      <c r="AA278">
        <v>0</v>
      </c>
      <c r="AB278" t="s">
        <v>1325</v>
      </c>
      <c r="AC278" t="s">
        <v>1326</v>
      </c>
      <c r="AD278" t="s">
        <v>1492</v>
      </c>
      <c r="AE278" t="s">
        <v>1473</v>
      </c>
      <c r="AF278">
        <v>0</v>
      </c>
      <c r="AG278" t="s">
        <v>1328</v>
      </c>
    </row>
    <row r="279" spans="1:33" x14ac:dyDescent="0.3">
      <c r="A279" t="s">
        <v>1455</v>
      </c>
      <c r="B279" t="s">
        <v>1310</v>
      </c>
      <c r="C279">
        <v>0.3</v>
      </c>
      <c r="D279" t="s">
        <v>1311</v>
      </c>
      <c r="E279" t="s">
        <v>1312</v>
      </c>
      <c r="F279">
        <v>0.15</v>
      </c>
      <c r="G279" t="s">
        <v>1381</v>
      </c>
      <c r="H279" t="s">
        <v>1333</v>
      </c>
      <c r="I279" t="str">
        <f t="shared" si="4"/>
        <v>bbands_{'C',  [('delta', 0.3,  -1),  ('delta', 0.15,  3)]}_[7,  35]_3</v>
      </c>
      <c r="J279" t="s">
        <v>1315</v>
      </c>
      <c r="K279">
        <v>191</v>
      </c>
      <c r="L279" t="s">
        <v>1316</v>
      </c>
      <c r="M279">
        <v>31</v>
      </c>
      <c r="N279" t="s">
        <v>1317</v>
      </c>
      <c r="O279">
        <v>-29.81</v>
      </c>
      <c r="P279" t="s">
        <v>1318</v>
      </c>
      <c r="Q279">
        <v>-0.156073298429319</v>
      </c>
      <c r="R279" t="s">
        <v>1319</v>
      </c>
      <c r="S279">
        <v>2.7270967741935501</v>
      </c>
      <c r="T279" t="s">
        <v>1320</v>
      </c>
      <c r="U279">
        <v>-0.71468750000000003</v>
      </c>
      <c r="V279" t="s">
        <v>1321</v>
      </c>
      <c r="W279">
        <v>0.34347854749491802</v>
      </c>
      <c r="X279" t="s">
        <v>1322</v>
      </c>
      <c r="Y279" t="s">
        <v>1434</v>
      </c>
      <c r="Z279" t="s">
        <v>1435</v>
      </c>
      <c r="AA279">
        <v>0</v>
      </c>
      <c r="AB279" t="s">
        <v>1325</v>
      </c>
      <c r="AC279" t="s">
        <v>1326</v>
      </c>
      <c r="AD279" t="s">
        <v>1492</v>
      </c>
      <c r="AE279" t="s">
        <v>1473</v>
      </c>
      <c r="AF279">
        <v>0</v>
      </c>
      <c r="AG279" t="s">
        <v>1328</v>
      </c>
    </row>
    <row r="280" spans="1:33" x14ac:dyDescent="0.3">
      <c r="A280" t="s">
        <v>1455</v>
      </c>
      <c r="B280" t="s">
        <v>1310</v>
      </c>
      <c r="C280">
        <v>0.5</v>
      </c>
      <c r="D280" t="s">
        <v>1311</v>
      </c>
      <c r="E280" t="s">
        <v>1312</v>
      </c>
      <c r="F280">
        <v>0.3</v>
      </c>
      <c r="G280" t="s">
        <v>1342</v>
      </c>
      <c r="H280" t="s">
        <v>1350</v>
      </c>
      <c r="I280" t="str">
        <f t="shared" si="4"/>
        <v>bbands_{'C',  [('delta', 0.5,  -1),  ('delta', 0.3,  2)]}_[21,  49]_5</v>
      </c>
      <c r="J280" t="s">
        <v>1315</v>
      </c>
      <c r="K280">
        <v>200</v>
      </c>
      <c r="L280" t="s">
        <v>1316</v>
      </c>
      <c r="M280">
        <v>31</v>
      </c>
      <c r="N280" t="s">
        <v>1317</v>
      </c>
      <c r="O280">
        <v>-29.85</v>
      </c>
      <c r="P280" t="s">
        <v>1318</v>
      </c>
      <c r="Q280">
        <v>-0.14924999999999999</v>
      </c>
      <c r="R280" t="s">
        <v>1319</v>
      </c>
      <c r="S280">
        <v>3.1254838709677402</v>
      </c>
      <c r="T280" t="s">
        <v>1320</v>
      </c>
      <c r="U280">
        <v>-0.74994082840236698</v>
      </c>
      <c r="V280" t="s">
        <v>1321</v>
      </c>
      <c r="W280">
        <v>0.41600842060797399</v>
      </c>
      <c r="X280" t="s">
        <v>1322</v>
      </c>
      <c r="Y280" t="s">
        <v>1459</v>
      </c>
      <c r="Z280" t="s">
        <v>1444</v>
      </c>
      <c r="AA280">
        <v>0</v>
      </c>
      <c r="AB280" t="s">
        <v>1325</v>
      </c>
      <c r="AC280" t="s">
        <v>1326</v>
      </c>
      <c r="AD280" t="s">
        <v>1468</v>
      </c>
      <c r="AE280" t="s">
        <v>1469</v>
      </c>
      <c r="AF280">
        <v>0</v>
      </c>
      <c r="AG280" t="s">
        <v>1328</v>
      </c>
    </row>
    <row r="281" spans="1:33" x14ac:dyDescent="0.3">
      <c r="A281" t="s">
        <v>1455</v>
      </c>
      <c r="B281" t="s">
        <v>1310</v>
      </c>
      <c r="C281">
        <v>0.4</v>
      </c>
      <c r="D281" t="s">
        <v>1311</v>
      </c>
      <c r="E281" t="s">
        <v>1312</v>
      </c>
      <c r="F281">
        <v>0.2</v>
      </c>
      <c r="G281" t="s">
        <v>1403</v>
      </c>
      <c r="H281" t="s">
        <v>1356</v>
      </c>
      <c r="I281" t="str">
        <f t="shared" si="4"/>
        <v>bbands_{'C',  [('delta', 0.4,  -1),  ('delta', 0.2,  3)]}_[35,  70]_2</v>
      </c>
      <c r="J281" t="s">
        <v>1315</v>
      </c>
      <c r="K281">
        <v>247</v>
      </c>
      <c r="L281" t="s">
        <v>1316</v>
      </c>
      <c r="M281">
        <v>46</v>
      </c>
      <c r="N281" t="s">
        <v>1317</v>
      </c>
      <c r="O281">
        <v>-29.917695764303801</v>
      </c>
      <c r="P281" t="s">
        <v>1318</v>
      </c>
      <c r="Q281">
        <v>-0.12112427434940801</v>
      </c>
      <c r="R281" t="s">
        <v>1319</v>
      </c>
      <c r="S281">
        <v>2.9468532366662101</v>
      </c>
      <c r="T281" t="s">
        <v>1320</v>
      </c>
      <c r="U281">
        <v>-0.82324848085049496</v>
      </c>
      <c r="V281" t="s">
        <v>1321</v>
      </c>
      <c r="W281">
        <v>0.43144905277362899</v>
      </c>
      <c r="X281" t="s">
        <v>1322</v>
      </c>
      <c r="Y281" t="s">
        <v>1404</v>
      </c>
      <c r="Z281" t="s">
        <v>1372</v>
      </c>
      <c r="AA281">
        <v>0</v>
      </c>
      <c r="AB281" t="s">
        <v>1325</v>
      </c>
      <c r="AC281" t="s">
        <v>1326</v>
      </c>
      <c r="AD281" t="s">
        <v>1488</v>
      </c>
      <c r="AE281" t="s">
        <v>1372</v>
      </c>
      <c r="AF281">
        <v>0</v>
      </c>
      <c r="AG281" t="s">
        <v>1328</v>
      </c>
    </row>
    <row r="282" spans="1:33" x14ac:dyDescent="0.3">
      <c r="A282" t="s">
        <v>1455</v>
      </c>
      <c r="B282" t="s">
        <v>1310</v>
      </c>
      <c r="C282">
        <v>0.4</v>
      </c>
      <c r="D282" t="s">
        <v>1311</v>
      </c>
      <c r="E282" t="s">
        <v>1312</v>
      </c>
      <c r="F282">
        <v>0.2</v>
      </c>
      <c r="G282" t="s">
        <v>1392</v>
      </c>
      <c r="H282" t="s">
        <v>1343</v>
      </c>
      <c r="I282" t="str">
        <f t="shared" si="4"/>
        <v>bbands_{'C',  [('delta', 0.4,  -1),  ('delta', 0.2,  3)]}_[21,  49]_1</v>
      </c>
      <c r="J282" t="s">
        <v>1315</v>
      </c>
      <c r="K282">
        <v>200</v>
      </c>
      <c r="L282" t="s">
        <v>1316</v>
      </c>
      <c r="M282">
        <v>50</v>
      </c>
      <c r="N282" t="s">
        <v>1317</v>
      </c>
      <c r="O282">
        <v>-30.83</v>
      </c>
      <c r="P282" t="s">
        <v>1318</v>
      </c>
      <c r="Q282">
        <v>-0.15414999999999901</v>
      </c>
      <c r="R282" t="s">
        <v>1319</v>
      </c>
      <c r="S282">
        <v>1.6588000000000001</v>
      </c>
      <c r="T282" t="s">
        <v>1320</v>
      </c>
      <c r="U282">
        <v>-0.75846666666666696</v>
      </c>
      <c r="V282" t="s">
        <v>1321</v>
      </c>
      <c r="W282">
        <v>0.26535139870284102</v>
      </c>
      <c r="X282" t="s">
        <v>1322</v>
      </c>
      <c r="Y282" t="s">
        <v>1483</v>
      </c>
      <c r="Z282" t="s">
        <v>1435</v>
      </c>
      <c r="AA282">
        <v>0</v>
      </c>
      <c r="AB282" t="s">
        <v>1325</v>
      </c>
      <c r="AC282" t="s">
        <v>1326</v>
      </c>
      <c r="AD282" t="s">
        <v>1486</v>
      </c>
      <c r="AE282" t="s">
        <v>1435</v>
      </c>
      <c r="AF282">
        <v>0</v>
      </c>
      <c r="AG282" t="s">
        <v>1328</v>
      </c>
    </row>
    <row r="283" spans="1:33" x14ac:dyDescent="0.3">
      <c r="A283" t="s">
        <v>1455</v>
      </c>
      <c r="B283" t="s">
        <v>1310</v>
      </c>
      <c r="C283">
        <v>0.4</v>
      </c>
      <c r="D283" t="s">
        <v>1311</v>
      </c>
      <c r="E283" t="s">
        <v>1312</v>
      </c>
      <c r="F283">
        <v>0.2</v>
      </c>
      <c r="G283" t="s">
        <v>1381</v>
      </c>
      <c r="H283" t="s">
        <v>1329</v>
      </c>
      <c r="I283" t="str">
        <f t="shared" si="4"/>
        <v>bbands_{'C',  [('delta', 0.4,  -1),  ('delta', 0.2,  3)]}_[7,  35]_2</v>
      </c>
      <c r="J283" t="s">
        <v>1315</v>
      </c>
      <c r="K283">
        <v>191</v>
      </c>
      <c r="L283" t="s">
        <v>1316</v>
      </c>
      <c r="M283">
        <v>43</v>
      </c>
      <c r="N283" t="s">
        <v>1317</v>
      </c>
      <c r="O283">
        <v>-30.979999999999901</v>
      </c>
      <c r="P283" t="s">
        <v>1318</v>
      </c>
      <c r="Q283">
        <v>-0.162198952879581</v>
      </c>
      <c r="R283" t="s">
        <v>1319</v>
      </c>
      <c r="S283">
        <v>2.1144186046511599</v>
      </c>
      <c r="T283" t="s">
        <v>1320</v>
      </c>
      <c r="U283">
        <v>-0.82364864864864895</v>
      </c>
      <c r="V283" t="s">
        <v>1321</v>
      </c>
      <c r="W283">
        <v>0.32226479679474901</v>
      </c>
      <c r="X283" t="s">
        <v>1322</v>
      </c>
      <c r="Y283" t="s">
        <v>1395</v>
      </c>
      <c r="Z283" t="s">
        <v>1396</v>
      </c>
      <c r="AA283">
        <v>0</v>
      </c>
      <c r="AB283" t="s">
        <v>1325</v>
      </c>
      <c r="AC283" t="s">
        <v>1326</v>
      </c>
      <c r="AD283" t="s">
        <v>1484</v>
      </c>
      <c r="AE283" t="s">
        <v>1473</v>
      </c>
      <c r="AF283">
        <v>0</v>
      </c>
      <c r="AG283" t="s">
        <v>1328</v>
      </c>
    </row>
    <row r="284" spans="1:33" x14ac:dyDescent="0.3">
      <c r="A284" t="s">
        <v>1455</v>
      </c>
      <c r="B284" t="s">
        <v>1310</v>
      </c>
      <c r="C284">
        <v>0.5</v>
      </c>
      <c r="D284" t="s">
        <v>1311</v>
      </c>
      <c r="E284" t="s">
        <v>1312</v>
      </c>
      <c r="F284">
        <v>0.3</v>
      </c>
      <c r="G284" t="s">
        <v>1342</v>
      </c>
      <c r="H284" t="s">
        <v>1349</v>
      </c>
      <c r="I284" t="str">
        <f t="shared" si="4"/>
        <v>bbands_{'C',  [('delta', 0.5,  -1),  ('delta', 0.3,  2)]}_[21,  49]_4</v>
      </c>
      <c r="J284" t="s">
        <v>1315</v>
      </c>
      <c r="K284">
        <v>200</v>
      </c>
      <c r="L284" t="s">
        <v>1316</v>
      </c>
      <c r="M284">
        <v>33</v>
      </c>
      <c r="N284" t="s">
        <v>1317</v>
      </c>
      <c r="O284">
        <v>-31.07</v>
      </c>
      <c r="P284" t="s">
        <v>1318</v>
      </c>
      <c r="Q284">
        <v>-0.15534999999999999</v>
      </c>
      <c r="R284" t="s">
        <v>1319</v>
      </c>
      <c r="S284">
        <v>2.8293939393939298</v>
      </c>
      <c r="T284" t="s">
        <v>1320</v>
      </c>
      <c r="U284">
        <v>-0.74514970059880203</v>
      </c>
      <c r="V284" t="s">
        <v>1321</v>
      </c>
      <c r="W284">
        <v>0.38701772816424201</v>
      </c>
      <c r="X284" t="s">
        <v>1322</v>
      </c>
      <c r="Y284" t="s">
        <v>1459</v>
      </c>
      <c r="Z284" t="s">
        <v>1444</v>
      </c>
      <c r="AA284">
        <v>0</v>
      </c>
      <c r="AB284" t="s">
        <v>1325</v>
      </c>
      <c r="AC284" t="s">
        <v>1326</v>
      </c>
      <c r="AD284" t="s">
        <v>1466</v>
      </c>
      <c r="AE284" t="s">
        <v>1467</v>
      </c>
      <c r="AF284">
        <v>0</v>
      </c>
      <c r="AG284" t="s">
        <v>1328</v>
      </c>
    </row>
    <row r="285" spans="1:33" x14ac:dyDescent="0.3">
      <c r="A285" t="s">
        <v>1455</v>
      </c>
      <c r="B285" t="s">
        <v>1310</v>
      </c>
      <c r="C285">
        <v>0.3</v>
      </c>
      <c r="D285" t="s">
        <v>1311</v>
      </c>
      <c r="E285" t="s">
        <v>1312</v>
      </c>
      <c r="F285">
        <v>0.15</v>
      </c>
      <c r="G285" t="s">
        <v>1403</v>
      </c>
      <c r="H285" t="s">
        <v>1360</v>
      </c>
      <c r="I285" t="str">
        <f t="shared" si="4"/>
        <v>bbands_{'C',  [('delta', 0.3,  -1),  ('delta', 0.15,  3)]}_[35,  70]_5</v>
      </c>
      <c r="J285" t="s">
        <v>1315</v>
      </c>
      <c r="K285">
        <v>247</v>
      </c>
      <c r="L285" t="s">
        <v>1316</v>
      </c>
      <c r="M285">
        <v>20</v>
      </c>
      <c r="N285" t="s">
        <v>1317</v>
      </c>
      <c r="O285">
        <v>-31.409482784644201</v>
      </c>
      <c r="P285" t="s">
        <v>1318</v>
      </c>
      <c r="Q285">
        <v>-0.12716389791353899</v>
      </c>
      <c r="R285" t="s">
        <v>1319</v>
      </c>
      <c r="S285">
        <v>6.2117997138130798</v>
      </c>
      <c r="T285" t="s">
        <v>1320</v>
      </c>
      <c r="U285">
        <v>-0.68566289454143603</v>
      </c>
      <c r="V285" t="s">
        <v>1321</v>
      </c>
      <c r="W285">
        <v>0.53881873373017797</v>
      </c>
      <c r="X285" t="s">
        <v>1322</v>
      </c>
      <c r="Y285" t="s">
        <v>1497</v>
      </c>
      <c r="Z285" t="s">
        <v>1435</v>
      </c>
      <c r="AA285">
        <v>0</v>
      </c>
      <c r="AB285" t="s">
        <v>1325</v>
      </c>
      <c r="AC285" t="s">
        <v>1326</v>
      </c>
      <c r="AD285" t="s">
        <v>1499</v>
      </c>
      <c r="AE285" t="s">
        <v>1469</v>
      </c>
      <c r="AF285">
        <v>0</v>
      </c>
      <c r="AG285" t="s">
        <v>1328</v>
      </c>
    </row>
    <row r="286" spans="1:33" x14ac:dyDescent="0.3">
      <c r="A286" t="s">
        <v>1604</v>
      </c>
      <c r="B286" t="s">
        <v>1310</v>
      </c>
      <c r="C286">
        <v>0.4</v>
      </c>
      <c r="D286" t="s">
        <v>1311</v>
      </c>
      <c r="E286" t="s">
        <v>1312</v>
      </c>
      <c r="F286">
        <v>0.2</v>
      </c>
      <c r="G286" t="s">
        <v>1392</v>
      </c>
      <c r="H286" t="s">
        <v>1350</v>
      </c>
      <c r="I286" t="str">
        <f t="shared" si="4"/>
        <v>stoch_{'C',  [('delta', 0.4,  -1),  ('delta', 0.2,  3)]}_[21,  49]_5</v>
      </c>
      <c r="J286" t="s">
        <v>1315</v>
      </c>
      <c r="K286">
        <v>230</v>
      </c>
      <c r="L286" t="s">
        <v>1316</v>
      </c>
      <c r="M286">
        <v>30</v>
      </c>
      <c r="N286" t="s">
        <v>1317</v>
      </c>
      <c r="O286">
        <v>-31.649999999999899</v>
      </c>
      <c r="P286" t="s">
        <v>1318</v>
      </c>
      <c r="Q286">
        <v>-0.13760869565217301</v>
      </c>
      <c r="R286" t="s">
        <v>1319</v>
      </c>
      <c r="S286">
        <v>3.7333333333333298</v>
      </c>
      <c r="T286" t="s">
        <v>1320</v>
      </c>
      <c r="U286">
        <v>-0.71824999999999894</v>
      </c>
      <c r="V286" t="s">
        <v>1321</v>
      </c>
      <c r="W286">
        <v>0.55187320702786002</v>
      </c>
      <c r="X286" t="s">
        <v>1322</v>
      </c>
      <c r="Y286" t="s">
        <v>1475</v>
      </c>
      <c r="Z286" t="s">
        <v>1441</v>
      </c>
      <c r="AA286">
        <v>0</v>
      </c>
      <c r="AB286" t="s">
        <v>1325</v>
      </c>
      <c r="AC286" t="s">
        <v>1326</v>
      </c>
      <c r="AD286" t="s">
        <v>1485</v>
      </c>
      <c r="AE286" t="s">
        <v>1435</v>
      </c>
      <c r="AF286">
        <v>0</v>
      </c>
      <c r="AG286" t="s">
        <v>1328</v>
      </c>
    </row>
    <row r="287" spans="1:33" x14ac:dyDescent="0.3">
      <c r="A287" t="s">
        <v>1604</v>
      </c>
      <c r="B287" t="s">
        <v>1310</v>
      </c>
      <c r="C287">
        <v>0.3</v>
      </c>
      <c r="D287" t="s">
        <v>1311</v>
      </c>
      <c r="E287" t="s">
        <v>1312</v>
      </c>
      <c r="F287">
        <v>0.15</v>
      </c>
      <c r="G287" t="s">
        <v>1351</v>
      </c>
      <c r="H287" t="s">
        <v>1360</v>
      </c>
      <c r="I287" t="str">
        <f t="shared" si="4"/>
        <v>stoch_{'C',  [('delta', 0.3,  -1),  ('delta', 0.15,  2)]}_[35,  70]_5</v>
      </c>
      <c r="J287" t="s">
        <v>1315</v>
      </c>
      <c r="K287">
        <v>291</v>
      </c>
      <c r="L287" t="s">
        <v>1316</v>
      </c>
      <c r="M287">
        <v>96</v>
      </c>
      <c r="N287" t="s">
        <v>1317</v>
      </c>
      <c r="O287">
        <v>-31.8225073198663</v>
      </c>
      <c r="P287" t="s">
        <v>1318</v>
      </c>
      <c r="Q287">
        <v>-0.109355695257272</v>
      </c>
      <c r="R287" t="s">
        <v>1319</v>
      </c>
      <c r="S287">
        <v>1.0584374999999999</v>
      </c>
      <c r="T287" t="s">
        <v>1320</v>
      </c>
      <c r="U287">
        <v>-0.68426926830700696</v>
      </c>
      <c r="V287" t="s">
        <v>1321</v>
      </c>
      <c r="W287">
        <v>0.357575457006162</v>
      </c>
      <c r="X287" t="s">
        <v>1322</v>
      </c>
      <c r="Y287" t="s">
        <v>1522</v>
      </c>
      <c r="Z287" t="s">
        <v>1523</v>
      </c>
      <c r="AA287">
        <v>0</v>
      </c>
      <c r="AB287" t="s">
        <v>1325</v>
      </c>
      <c r="AC287" t="s">
        <v>1326</v>
      </c>
      <c r="AD287" t="s">
        <v>1640</v>
      </c>
      <c r="AE287" t="s">
        <v>1416</v>
      </c>
      <c r="AF287">
        <v>0</v>
      </c>
      <c r="AG287" t="s">
        <v>1328</v>
      </c>
    </row>
    <row r="288" spans="1:33" x14ac:dyDescent="0.3">
      <c r="A288" t="s">
        <v>1455</v>
      </c>
      <c r="B288" t="s">
        <v>1310</v>
      </c>
      <c r="C288">
        <v>0.3</v>
      </c>
      <c r="D288" t="s">
        <v>1311</v>
      </c>
      <c r="E288" t="s">
        <v>1312</v>
      </c>
      <c r="F288">
        <v>0.15</v>
      </c>
      <c r="G288" t="s">
        <v>1342</v>
      </c>
      <c r="H288" t="s">
        <v>1348</v>
      </c>
      <c r="I288" t="str">
        <f t="shared" si="4"/>
        <v>bbands_{'C',  [('delta', 0.3,  -1),  ('delta', 0.15,  2)]}_[21,  49]_3</v>
      </c>
      <c r="J288" t="s">
        <v>1315</v>
      </c>
      <c r="K288">
        <v>200</v>
      </c>
      <c r="L288" t="s">
        <v>1316</v>
      </c>
      <c r="M288">
        <v>72</v>
      </c>
      <c r="N288" t="s">
        <v>1317</v>
      </c>
      <c r="O288">
        <v>-31.919999999999899</v>
      </c>
      <c r="P288" t="s">
        <v>1318</v>
      </c>
      <c r="Q288">
        <v>-0.15959999999999999</v>
      </c>
      <c r="R288" t="s">
        <v>1319</v>
      </c>
      <c r="S288">
        <v>0.72611111111111104</v>
      </c>
      <c r="T288" t="s">
        <v>1320</v>
      </c>
      <c r="U288">
        <v>-0.66299212598425095</v>
      </c>
      <c r="V288" t="s">
        <v>1321</v>
      </c>
      <c r="W288">
        <v>0.25369041962986699</v>
      </c>
      <c r="X288" t="s">
        <v>1322</v>
      </c>
      <c r="Y288" t="s">
        <v>1344</v>
      </c>
      <c r="Z288" t="s">
        <v>1331</v>
      </c>
      <c r="AA288">
        <v>0</v>
      </c>
      <c r="AB288" t="s">
        <v>1325</v>
      </c>
      <c r="AC288" t="s">
        <v>1326</v>
      </c>
      <c r="AD288" t="s">
        <v>1344</v>
      </c>
      <c r="AE288" t="s">
        <v>1331</v>
      </c>
      <c r="AF288">
        <v>0</v>
      </c>
      <c r="AG288" t="s">
        <v>1328</v>
      </c>
    </row>
    <row r="289" spans="1:33" x14ac:dyDescent="0.3">
      <c r="A289" t="s">
        <v>1455</v>
      </c>
      <c r="B289" t="s">
        <v>1310</v>
      </c>
      <c r="C289">
        <v>0.3</v>
      </c>
      <c r="D289" t="s">
        <v>1311</v>
      </c>
      <c r="E289" t="s">
        <v>1312</v>
      </c>
      <c r="F289">
        <v>0.15</v>
      </c>
      <c r="G289" t="s">
        <v>1403</v>
      </c>
      <c r="H289" t="s">
        <v>1358</v>
      </c>
      <c r="I289" t="str">
        <f t="shared" si="4"/>
        <v>bbands_{'C',  [('delta', 0.3,  -1),  ('delta', 0.15,  3)]}_[35,  70]_3</v>
      </c>
      <c r="J289" t="s">
        <v>1315</v>
      </c>
      <c r="K289">
        <v>247</v>
      </c>
      <c r="L289" t="s">
        <v>1316</v>
      </c>
      <c r="M289">
        <v>29</v>
      </c>
      <c r="N289" t="s">
        <v>1317</v>
      </c>
      <c r="O289">
        <v>-32.307479922775101</v>
      </c>
      <c r="P289" t="s">
        <v>1318</v>
      </c>
      <c r="Q289">
        <v>-0.130799513857389</v>
      </c>
      <c r="R289" t="s">
        <v>1319</v>
      </c>
      <c r="S289">
        <v>4.0378619702803702</v>
      </c>
      <c r="T289" t="s">
        <v>1320</v>
      </c>
      <c r="U289">
        <v>-0.68534622505002696</v>
      </c>
      <c r="V289" t="s">
        <v>1321</v>
      </c>
      <c r="W289">
        <v>0.434810760759404</v>
      </c>
      <c r="X289" t="s">
        <v>1322</v>
      </c>
      <c r="Y289" t="s">
        <v>1497</v>
      </c>
      <c r="Z289" t="s">
        <v>1435</v>
      </c>
      <c r="AA289">
        <v>0</v>
      </c>
      <c r="AB289" t="s">
        <v>1325</v>
      </c>
      <c r="AC289" t="s">
        <v>1326</v>
      </c>
      <c r="AD289" t="s">
        <v>1498</v>
      </c>
      <c r="AE289" t="s">
        <v>1372</v>
      </c>
      <c r="AF289">
        <v>0</v>
      </c>
      <c r="AG289" t="s">
        <v>1328</v>
      </c>
    </row>
    <row r="290" spans="1:33" x14ac:dyDescent="0.3">
      <c r="A290" t="s">
        <v>1604</v>
      </c>
      <c r="B290" t="s">
        <v>1310</v>
      </c>
      <c r="C290">
        <v>0.3</v>
      </c>
      <c r="D290" t="s">
        <v>1311</v>
      </c>
      <c r="E290" t="s">
        <v>1312</v>
      </c>
      <c r="F290">
        <v>0.15</v>
      </c>
      <c r="G290" t="s">
        <v>1403</v>
      </c>
      <c r="H290" t="s">
        <v>1358</v>
      </c>
      <c r="I290" t="str">
        <f t="shared" si="4"/>
        <v>stoch_{'C',  [('delta', 0.3,  -1),  ('delta', 0.15,  3)]}_[35,  70]_3</v>
      </c>
      <c r="J290" t="s">
        <v>1315</v>
      </c>
      <c r="K290">
        <v>291</v>
      </c>
      <c r="L290" t="s">
        <v>1316</v>
      </c>
      <c r="M290">
        <v>39</v>
      </c>
      <c r="N290" t="s">
        <v>1317</v>
      </c>
      <c r="O290">
        <v>-32.380981371283497</v>
      </c>
      <c r="P290" t="s">
        <v>1318</v>
      </c>
      <c r="Q290">
        <v>-0.111274850073139</v>
      </c>
      <c r="R290" t="s">
        <v>1319</v>
      </c>
      <c r="S290">
        <v>3.3873233588640099</v>
      </c>
      <c r="T290" t="s">
        <v>1320</v>
      </c>
      <c r="U290">
        <v>-0.65532506919115496</v>
      </c>
      <c r="V290" t="s">
        <v>1321</v>
      </c>
      <c r="W290">
        <v>0.48020854999172402</v>
      </c>
      <c r="X290" t="s">
        <v>1322</v>
      </c>
      <c r="Y290" t="s">
        <v>1497</v>
      </c>
      <c r="Z290" t="s">
        <v>1435</v>
      </c>
      <c r="AA290">
        <v>0</v>
      </c>
      <c r="AB290" t="s">
        <v>1325</v>
      </c>
      <c r="AC290" t="s">
        <v>1326</v>
      </c>
      <c r="AD290" t="s">
        <v>1647</v>
      </c>
      <c r="AE290" t="s">
        <v>1534</v>
      </c>
      <c r="AF290">
        <v>0</v>
      </c>
      <c r="AG290" t="s">
        <v>1328</v>
      </c>
    </row>
    <row r="291" spans="1:33" x14ac:dyDescent="0.3">
      <c r="A291" t="s">
        <v>1455</v>
      </c>
      <c r="B291" t="s">
        <v>1310</v>
      </c>
      <c r="C291">
        <v>0.4</v>
      </c>
      <c r="D291" t="s">
        <v>1311</v>
      </c>
      <c r="E291" t="s">
        <v>1312</v>
      </c>
      <c r="F291">
        <v>0.2</v>
      </c>
      <c r="G291" t="s">
        <v>1392</v>
      </c>
      <c r="H291" t="s">
        <v>1348</v>
      </c>
      <c r="I291" t="str">
        <f t="shared" si="4"/>
        <v>bbands_{'C',  [('delta', 0.4,  -1),  ('delta', 0.2,  3)]}_[21,  49]_3</v>
      </c>
      <c r="J291" t="s">
        <v>1315</v>
      </c>
      <c r="K291">
        <v>200</v>
      </c>
      <c r="L291" t="s">
        <v>1316</v>
      </c>
      <c r="M291">
        <v>30</v>
      </c>
      <c r="N291" t="s">
        <v>1317</v>
      </c>
      <c r="O291">
        <v>-32.53</v>
      </c>
      <c r="P291" t="s">
        <v>1318</v>
      </c>
      <c r="Q291">
        <v>-0.16264999999999999</v>
      </c>
      <c r="R291" t="s">
        <v>1319</v>
      </c>
      <c r="S291">
        <v>3.35866666666666</v>
      </c>
      <c r="T291" t="s">
        <v>1320</v>
      </c>
      <c r="U291">
        <v>-0.78405882352941203</v>
      </c>
      <c r="V291" t="s">
        <v>1321</v>
      </c>
      <c r="W291">
        <v>0.38309827604576402</v>
      </c>
      <c r="X291" t="s">
        <v>1322</v>
      </c>
      <c r="Y291" t="s">
        <v>1395</v>
      </c>
      <c r="Z291" t="s">
        <v>1396</v>
      </c>
      <c r="AA291">
        <v>0</v>
      </c>
      <c r="AB291" t="s">
        <v>1325</v>
      </c>
      <c r="AC291" t="s">
        <v>1326</v>
      </c>
      <c r="AD291" t="s">
        <v>1487</v>
      </c>
      <c r="AE291" t="s">
        <v>1435</v>
      </c>
      <c r="AF291">
        <v>0</v>
      </c>
      <c r="AG291" t="s">
        <v>1328</v>
      </c>
    </row>
    <row r="292" spans="1:33" x14ac:dyDescent="0.3">
      <c r="A292" t="s">
        <v>1604</v>
      </c>
      <c r="B292" t="s">
        <v>1310</v>
      </c>
      <c r="C292">
        <v>0.5</v>
      </c>
      <c r="D292" t="s">
        <v>1311</v>
      </c>
      <c r="E292" t="s">
        <v>1312</v>
      </c>
      <c r="F292">
        <v>0.3</v>
      </c>
      <c r="G292" t="s">
        <v>1351</v>
      </c>
      <c r="H292" t="s">
        <v>1356</v>
      </c>
      <c r="I292" t="str">
        <f t="shared" si="4"/>
        <v>stoch_{'C',  [('delta', 0.5,  -1),  ('delta', 0.3,  2)]}_[35,  70]_2</v>
      </c>
      <c r="J292" t="s">
        <v>1315</v>
      </c>
      <c r="K292">
        <v>291</v>
      </c>
      <c r="L292" t="s">
        <v>1316</v>
      </c>
      <c r="M292">
        <v>55</v>
      </c>
      <c r="N292" t="s">
        <v>1317</v>
      </c>
      <c r="O292">
        <v>-32.567235537137599</v>
      </c>
      <c r="P292" t="s">
        <v>1318</v>
      </c>
      <c r="Q292">
        <v>-0.11191489875305</v>
      </c>
      <c r="R292" t="s">
        <v>1319</v>
      </c>
      <c r="S292">
        <v>2.3800590139331499</v>
      </c>
      <c r="T292" t="s">
        <v>1320</v>
      </c>
      <c r="U292">
        <v>-0.69267153094686895</v>
      </c>
      <c r="V292" t="s">
        <v>1321</v>
      </c>
      <c r="W292">
        <v>0.43684311031206402</v>
      </c>
      <c r="X292" t="s">
        <v>1322</v>
      </c>
      <c r="Y292" t="s">
        <v>1614</v>
      </c>
      <c r="Z292" t="s">
        <v>1615</v>
      </c>
    </row>
    <row r="293" spans="1:33" x14ac:dyDescent="0.3">
      <c r="A293" t="s">
        <v>1455</v>
      </c>
      <c r="B293" t="s">
        <v>1310</v>
      </c>
      <c r="C293">
        <v>0.3</v>
      </c>
      <c r="D293" t="s">
        <v>1311</v>
      </c>
      <c r="E293" t="s">
        <v>1312</v>
      </c>
      <c r="F293">
        <v>0.15</v>
      </c>
      <c r="G293" t="s">
        <v>1381</v>
      </c>
      <c r="H293" t="s">
        <v>1336</v>
      </c>
      <c r="I293" t="str">
        <f t="shared" si="4"/>
        <v>bbands_{'C',  [('delta', 0.3,  -1),  ('delta', 0.15,  3)]}_[7,  35]_4</v>
      </c>
      <c r="J293" t="s">
        <v>1315</v>
      </c>
      <c r="K293">
        <v>191</v>
      </c>
      <c r="L293" t="s">
        <v>1316</v>
      </c>
      <c r="M293">
        <v>27</v>
      </c>
      <c r="N293" t="s">
        <v>1317</v>
      </c>
      <c r="O293">
        <v>-32.729999999999997</v>
      </c>
      <c r="P293" t="s">
        <v>1318</v>
      </c>
      <c r="Q293">
        <v>-0.17136125654450199</v>
      </c>
      <c r="R293" t="s">
        <v>1319</v>
      </c>
      <c r="S293">
        <v>3.1874074074074001</v>
      </c>
      <c r="T293" t="s">
        <v>1320</v>
      </c>
      <c r="U293">
        <v>-0.72432926829268296</v>
      </c>
      <c r="V293" t="s">
        <v>1321</v>
      </c>
      <c r="W293">
        <v>0.39616829684891303</v>
      </c>
      <c r="X293" t="s">
        <v>1322</v>
      </c>
      <c r="Y293" t="s">
        <v>1440</v>
      </c>
      <c r="Z293" t="s">
        <v>1441</v>
      </c>
      <c r="AA293">
        <v>0</v>
      </c>
      <c r="AB293" t="s">
        <v>1325</v>
      </c>
      <c r="AC293" t="s">
        <v>1326</v>
      </c>
      <c r="AD293" t="s">
        <v>1492</v>
      </c>
      <c r="AE293" t="s">
        <v>1473</v>
      </c>
      <c r="AF293">
        <v>0</v>
      </c>
      <c r="AG293" t="s">
        <v>1328</v>
      </c>
    </row>
    <row r="294" spans="1:33" x14ac:dyDescent="0.3">
      <c r="A294" t="s">
        <v>1604</v>
      </c>
      <c r="B294" t="s">
        <v>1310</v>
      </c>
      <c r="C294">
        <v>0.3</v>
      </c>
      <c r="D294" t="s">
        <v>1311</v>
      </c>
      <c r="E294" t="s">
        <v>1312</v>
      </c>
      <c r="F294">
        <v>0.15</v>
      </c>
      <c r="G294" t="s">
        <v>1392</v>
      </c>
      <c r="H294" t="s">
        <v>1343</v>
      </c>
      <c r="I294" t="str">
        <f t="shared" si="4"/>
        <v>stoch_{'C',  [('delta', 0.3,  -1),  ('delta', 0.15,  3)]}_[21,  49]_1</v>
      </c>
      <c r="J294" t="s">
        <v>1315</v>
      </c>
      <c r="K294">
        <v>230</v>
      </c>
      <c r="L294" t="s">
        <v>1316</v>
      </c>
      <c r="M294">
        <v>56</v>
      </c>
      <c r="N294" t="s">
        <v>1317</v>
      </c>
      <c r="O294">
        <v>-33.35</v>
      </c>
      <c r="P294" t="s">
        <v>1318</v>
      </c>
      <c r="Q294">
        <v>-0.14499999999999999</v>
      </c>
      <c r="R294" t="s">
        <v>1319</v>
      </c>
      <c r="S294">
        <v>1.36499999999999</v>
      </c>
      <c r="T294" t="s">
        <v>1320</v>
      </c>
      <c r="U294">
        <v>-0.63462427745664696</v>
      </c>
      <c r="V294" t="s">
        <v>1321</v>
      </c>
      <c r="W294">
        <v>0.266256561902872</v>
      </c>
      <c r="X294" t="s">
        <v>1322</v>
      </c>
      <c r="Y294" t="s">
        <v>1434</v>
      </c>
      <c r="Z294" t="s">
        <v>1435</v>
      </c>
      <c r="AA294">
        <v>0</v>
      </c>
      <c r="AB294" t="s">
        <v>1325</v>
      </c>
      <c r="AC294" t="s">
        <v>1326</v>
      </c>
      <c r="AD294" t="s">
        <v>1491</v>
      </c>
      <c r="AE294" t="s">
        <v>1473</v>
      </c>
      <c r="AF294">
        <v>0</v>
      </c>
      <c r="AG294" t="s">
        <v>1328</v>
      </c>
    </row>
    <row r="295" spans="1:33" x14ac:dyDescent="0.3">
      <c r="A295" t="s">
        <v>1455</v>
      </c>
      <c r="B295" t="s">
        <v>1310</v>
      </c>
      <c r="C295">
        <v>0.5</v>
      </c>
      <c r="D295" t="s">
        <v>1311</v>
      </c>
      <c r="E295" t="s">
        <v>1312</v>
      </c>
      <c r="F295">
        <v>0.3</v>
      </c>
      <c r="G295" t="s">
        <v>1342</v>
      </c>
      <c r="H295" t="s">
        <v>1348</v>
      </c>
      <c r="I295" t="str">
        <f t="shared" si="4"/>
        <v>bbands_{'C',  [('delta', 0.5,  -1),  ('delta', 0.3,  2)]}_[21,  49]_3</v>
      </c>
      <c r="J295" t="s">
        <v>1315</v>
      </c>
      <c r="K295">
        <v>200</v>
      </c>
      <c r="L295" t="s">
        <v>1316</v>
      </c>
      <c r="M295">
        <v>36</v>
      </c>
      <c r="N295" t="s">
        <v>1317</v>
      </c>
      <c r="O295">
        <v>-33.85</v>
      </c>
      <c r="P295" t="s">
        <v>1318</v>
      </c>
      <c r="Q295">
        <v>-0.16925000000000001</v>
      </c>
      <c r="R295" t="s">
        <v>1319</v>
      </c>
      <c r="S295">
        <v>2.4447222222222198</v>
      </c>
      <c r="T295" t="s">
        <v>1320</v>
      </c>
      <c r="U295">
        <v>-0.74304878048780498</v>
      </c>
      <c r="V295" t="s">
        <v>1321</v>
      </c>
      <c r="W295">
        <v>0.34605605083343199</v>
      </c>
      <c r="X295" t="s">
        <v>1322</v>
      </c>
      <c r="Y295" t="s">
        <v>1459</v>
      </c>
      <c r="Z295" t="s">
        <v>1444</v>
      </c>
      <c r="AA295">
        <v>0</v>
      </c>
      <c r="AB295" t="s">
        <v>1325</v>
      </c>
      <c r="AC295" t="s">
        <v>1326</v>
      </c>
      <c r="AD295" t="s">
        <v>1465</v>
      </c>
      <c r="AE295" t="s">
        <v>1435</v>
      </c>
      <c r="AF295">
        <v>0</v>
      </c>
      <c r="AG295" t="s">
        <v>1328</v>
      </c>
    </row>
    <row r="296" spans="1:33" x14ac:dyDescent="0.3">
      <c r="A296" t="s">
        <v>1604</v>
      </c>
      <c r="B296" t="s">
        <v>1310</v>
      </c>
      <c r="C296">
        <v>0.5</v>
      </c>
      <c r="D296" t="s">
        <v>1311</v>
      </c>
      <c r="E296" t="s">
        <v>1312</v>
      </c>
      <c r="F296">
        <v>0.3</v>
      </c>
      <c r="G296" t="s">
        <v>1342</v>
      </c>
      <c r="H296" t="s">
        <v>1346</v>
      </c>
      <c r="I296" t="str">
        <f t="shared" si="4"/>
        <v>stoch_{'C',  [('delta', 0.5,  -1),  ('delta', 0.3,  2)]}_[21,  49]_2</v>
      </c>
      <c r="J296" t="s">
        <v>1315</v>
      </c>
      <c r="K296">
        <v>230</v>
      </c>
      <c r="L296" t="s">
        <v>1316</v>
      </c>
      <c r="M296">
        <v>51</v>
      </c>
      <c r="N296" t="s">
        <v>1317</v>
      </c>
      <c r="O296">
        <v>-34.209503625054701</v>
      </c>
      <c r="P296" t="s">
        <v>1318</v>
      </c>
      <c r="Q296">
        <v>-0.14873697228284599</v>
      </c>
      <c r="R296" t="s">
        <v>1319</v>
      </c>
      <c r="S296">
        <v>1.6605882352941099</v>
      </c>
      <c r="T296" t="s">
        <v>1320</v>
      </c>
      <c r="U296">
        <v>-0.66424303701147902</v>
      </c>
      <c r="V296" t="s">
        <v>1321</v>
      </c>
      <c r="W296">
        <v>0.35834923481841702</v>
      </c>
      <c r="X296" t="s">
        <v>1322</v>
      </c>
      <c r="Y296" t="s">
        <v>1611</v>
      </c>
      <c r="Z296" t="s">
        <v>1608</v>
      </c>
      <c r="AA296">
        <v>0</v>
      </c>
      <c r="AB296" t="s">
        <v>1325</v>
      </c>
      <c r="AC296" t="s">
        <v>1326</v>
      </c>
      <c r="AD296" t="s">
        <v>1612</v>
      </c>
      <c r="AE296" t="s">
        <v>1534</v>
      </c>
      <c r="AF296">
        <v>0</v>
      </c>
      <c r="AG296" t="s">
        <v>1328</v>
      </c>
    </row>
    <row r="297" spans="1:33" x14ac:dyDescent="0.3">
      <c r="A297" t="s">
        <v>1604</v>
      </c>
      <c r="B297" t="s">
        <v>1310</v>
      </c>
      <c r="C297">
        <v>0.3</v>
      </c>
      <c r="D297" t="s">
        <v>1311</v>
      </c>
      <c r="E297" t="s">
        <v>1312</v>
      </c>
      <c r="F297">
        <v>0.15</v>
      </c>
      <c r="G297" t="s">
        <v>1351</v>
      </c>
      <c r="H297" t="s">
        <v>1358</v>
      </c>
      <c r="I297" t="str">
        <f t="shared" si="4"/>
        <v>stoch_{'C',  [('delta', 0.3,  -1),  ('delta', 0.15,  2)]}_[35,  70]_3</v>
      </c>
      <c r="J297" t="s">
        <v>1315</v>
      </c>
      <c r="K297">
        <v>291</v>
      </c>
      <c r="L297" t="s">
        <v>1316</v>
      </c>
      <c r="M297">
        <v>98</v>
      </c>
      <c r="N297" t="s">
        <v>1317</v>
      </c>
      <c r="O297">
        <v>-34.282507319866298</v>
      </c>
      <c r="P297" t="s">
        <v>1318</v>
      </c>
      <c r="Q297">
        <v>-0.117809303504695</v>
      </c>
      <c r="R297" t="s">
        <v>1319</v>
      </c>
      <c r="S297">
        <v>0.99173469387754998</v>
      </c>
      <c r="T297" t="s">
        <v>1320</v>
      </c>
      <c r="U297">
        <v>-0.68120470113920395</v>
      </c>
      <c r="V297" t="s">
        <v>1321</v>
      </c>
      <c r="W297">
        <v>0.32494219553405201</v>
      </c>
      <c r="X297" t="s">
        <v>1322</v>
      </c>
      <c r="Y297" t="s">
        <v>1547</v>
      </c>
      <c r="Z297" t="s">
        <v>1416</v>
      </c>
      <c r="AA297">
        <v>0</v>
      </c>
      <c r="AB297" t="s">
        <v>1325</v>
      </c>
      <c r="AC297" t="s">
        <v>1326</v>
      </c>
      <c r="AD297" t="s">
        <v>1640</v>
      </c>
      <c r="AE297" t="s">
        <v>1416</v>
      </c>
      <c r="AF297">
        <v>0</v>
      </c>
      <c r="AG297" t="s">
        <v>1328</v>
      </c>
    </row>
    <row r="298" spans="1:33" x14ac:dyDescent="0.3">
      <c r="A298" t="s">
        <v>1604</v>
      </c>
      <c r="B298" t="s">
        <v>1310</v>
      </c>
      <c r="C298">
        <v>0.3</v>
      </c>
      <c r="D298" t="s">
        <v>1311</v>
      </c>
      <c r="E298" t="s">
        <v>1312</v>
      </c>
      <c r="F298">
        <v>0.15</v>
      </c>
      <c r="G298" t="s">
        <v>1403</v>
      </c>
      <c r="H298" t="s">
        <v>1359</v>
      </c>
      <c r="I298" t="str">
        <f t="shared" si="4"/>
        <v>stoch_{'C',  [('delta', 0.3,  -1),  ('delta', 0.15,  3)]}_[35,  70]_4</v>
      </c>
      <c r="J298" t="s">
        <v>1315</v>
      </c>
      <c r="K298">
        <v>291</v>
      </c>
      <c r="L298" t="s">
        <v>1316</v>
      </c>
      <c r="M298">
        <v>34</v>
      </c>
      <c r="N298" t="s">
        <v>1317</v>
      </c>
      <c r="O298">
        <v>-34.480981371283498</v>
      </c>
      <c r="P298" t="s">
        <v>1318</v>
      </c>
      <c r="Q298">
        <v>-0.1184913449185</v>
      </c>
      <c r="R298" t="s">
        <v>1319</v>
      </c>
      <c r="S298">
        <v>3.9101650292851802</v>
      </c>
      <c r="T298" t="s">
        <v>1320</v>
      </c>
      <c r="U298">
        <v>-0.65401012643351497</v>
      </c>
      <c r="V298" t="s">
        <v>1321</v>
      </c>
      <c r="W298">
        <v>0.50601251859797802</v>
      </c>
      <c r="X298" t="s">
        <v>1322</v>
      </c>
      <c r="Y298" t="s">
        <v>1497</v>
      </c>
      <c r="Z298" t="s">
        <v>1435</v>
      </c>
      <c r="AA298">
        <v>0</v>
      </c>
      <c r="AB298" t="s">
        <v>1325</v>
      </c>
      <c r="AC298" t="s">
        <v>1326</v>
      </c>
      <c r="AD298" t="s">
        <v>1647</v>
      </c>
      <c r="AE298" t="s">
        <v>1534</v>
      </c>
      <c r="AF298">
        <v>0</v>
      </c>
      <c r="AG298" t="s">
        <v>1328</v>
      </c>
    </row>
    <row r="299" spans="1:33" x14ac:dyDescent="0.3">
      <c r="A299" t="s">
        <v>1309</v>
      </c>
      <c r="B299" t="s">
        <v>1310</v>
      </c>
      <c r="C299">
        <v>0.4</v>
      </c>
      <c r="D299" t="s">
        <v>1311</v>
      </c>
      <c r="E299" t="s">
        <v>1312</v>
      </c>
      <c r="F299">
        <v>0.2</v>
      </c>
      <c r="G299" t="s">
        <v>1403</v>
      </c>
      <c r="H299" t="s">
        <v>1358</v>
      </c>
      <c r="I299" t="str">
        <f t="shared" si="4"/>
        <v>alltime_{'C',  [('delta', 0.4,  -1),  ('delta', 0.2,  3)]}_[35,  70]_3</v>
      </c>
      <c r="J299" t="s">
        <v>1315</v>
      </c>
      <c r="K299">
        <v>3810</v>
      </c>
      <c r="L299" t="s">
        <v>1316</v>
      </c>
      <c r="M299">
        <v>625</v>
      </c>
      <c r="N299" t="s">
        <v>1317</v>
      </c>
      <c r="O299">
        <v>-34.667930105669498</v>
      </c>
      <c r="P299" t="s">
        <v>1318</v>
      </c>
      <c r="Q299">
        <v>-9.0991942534565697E-3</v>
      </c>
      <c r="R299" t="s">
        <v>1319</v>
      </c>
      <c r="S299">
        <v>3.6792577747566702</v>
      </c>
      <c r="T299" t="s">
        <v>1320</v>
      </c>
      <c r="U299">
        <v>-0.732874109679302</v>
      </c>
      <c r="V299" t="s">
        <v>1321</v>
      </c>
      <c r="W299">
        <v>3.2224485573655399</v>
      </c>
      <c r="X299" t="s">
        <v>1322</v>
      </c>
      <c r="Y299" t="s">
        <v>1404</v>
      </c>
      <c r="Z299" t="s">
        <v>1372</v>
      </c>
      <c r="AA299">
        <v>0</v>
      </c>
      <c r="AB299" t="s">
        <v>1325</v>
      </c>
      <c r="AC299" t="s">
        <v>1326</v>
      </c>
      <c r="AD299" t="s">
        <v>1409</v>
      </c>
      <c r="AE299" t="s">
        <v>1408</v>
      </c>
      <c r="AF299">
        <v>0</v>
      </c>
      <c r="AG299" t="s">
        <v>1328</v>
      </c>
    </row>
    <row r="300" spans="1:33" x14ac:dyDescent="0.3">
      <c r="A300" t="s">
        <v>1455</v>
      </c>
      <c r="B300" t="s">
        <v>1310</v>
      </c>
      <c r="C300">
        <v>0.3</v>
      </c>
      <c r="D300" t="s">
        <v>1311</v>
      </c>
      <c r="E300" t="s">
        <v>1312</v>
      </c>
      <c r="F300">
        <v>0.15</v>
      </c>
      <c r="G300" t="s">
        <v>1392</v>
      </c>
      <c r="H300" t="s">
        <v>1349</v>
      </c>
      <c r="I300" t="str">
        <f t="shared" si="4"/>
        <v>bbands_{'C',  [('delta', 0.3,  -1),  ('delta', 0.15,  3)]}_[21,  49]_4</v>
      </c>
      <c r="J300" t="s">
        <v>1315</v>
      </c>
      <c r="K300">
        <v>200</v>
      </c>
      <c r="L300" t="s">
        <v>1316</v>
      </c>
      <c r="M300">
        <v>21</v>
      </c>
      <c r="N300" t="s">
        <v>1317</v>
      </c>
      <c r="O300">
        <v>-35.1</v>
      </c>
      <c r="P300" t="s">
        <v>1318</v>
      </c>
      <c r="Q300">
        <v>-0.17549999999999999</v>
      </c>
      <c r="R300" t="s">
        <v>1319</v>
      </c>
      <c r="S300">
        <v>4.3890476190476102</v>
      </c>
      <c r="T300" t="s">
        <v>1320</v>
      </c>
      <c r="U300">
        <v>-0.71100558659217905</v>
      </c>
      <c r="V300" t="s">
        <v>1321</v>
      </c>
      <c r="W300">
        <v>0.40119995950996101</v>
      </c>
      <c r="X300" t="s">
        <v>1322</v>
      </c>
      <c r="Y300" t="s">
        <v>1440</v>
      </c>
      <c r="Z300" t="s">
        <v>1441</v>
      </c>
      <c r="AA300">
        <v>0</v>
      </c>
      <c r="AB300" t="s">
        <v>1325</v>
      </c>
      <c r="AC300" t="s">
        <v>1326</v>
      </c>
      <c r="AD300" t="s">
        <v>1496</v>
      </c>
      <c r="AE300" t="s">
        <v>1435</v>
      </c>
      <c r="AF300">
        <v>0</v>
      </c>
      <c r="AG300" t="s">
        <v>1328</v>
      </c>
    </row>
    <row r="301" spans="1:33" x14ac:dyDescent="0.3">
      <c r="A301" t="s">
        <v>1604</v>
      </c>
      <c r="B301" t="s">
        <v>1310</v>
      </c>
      <c r="C301">
        <v>0.3</v>
      </c>
      <c r="D301" t="s">
        <v>1311</v>
      </c>
      <c r="E301" t="s">
        <v>1312</v>
      </c>
      <c r="F301">
        <v>0.15</v>
      </c>
      <c r="G301" t="s">
        <v>1351</v>
      </c>
      <c r="H301" t="s">
        <v>1359</v>
      </c>
      <c r="I301" t="str">
        <f t="shared" si="4"/>
        <v>stoch_{'C',  [('delta', 0.3,  -1),  ('delta', 0.15,  2)]}_[35,  70]_4</v>
      </c>
      <c r="J301" t="s">
        <v>1315</v>
      </c>
      <c r="K301">
        <v>291</v>
      </c>
      <c r="L301" t="s">
        <v>1316</v>
      </c>
      <c r="M301">
        <v>96</v>
      </c>
      <c r="N301" t="s">
        <v>1317</v>
      </c>
      <c r="O301">
        <v>-35.222507319866303</v>
      </c>
      <c r="P301" t="s">
        <v>1318</v>
      </c>
      <c r="Q301">
        <v>-0.121039544054523</v>
      </c>
      <c r="R301" t="s">
        <v>1319</v>
      </c>
      <c r="S301">
        <v>1.0230208333333299</v>
      </c>
      <c r="T301" t="s">
        <v>1320</v>
      </c>
      <c r="U301">
        <v>-0.68426926830700696</v>
      </c>
      <c r="V301" t="s">
        <v>1321</v>
      </c>
      <c r="W301">
        <v>0.34683976683446699</v>
      </c>
      <c r="X301" t="s">
        <v>1322</v>
      </c>
      <c r="Y301" t="s">
        <v>1522</v>
      </c>
      <c r="Z301" t="s">
        <v>1523</v>
      </c>
      <c r="AA301">
        <v>0</v>
      </c>
      <c r="AB301" t="s">
        <v>1325</v>
      </c>
      <c r="AC301" t="s">
        <v>1326</v>
      </c>
      <c r="AD301" t="s">
        <v>1640</v>
      </c>
      <c r="AE301" t="s">
        <v>1416</v>
      </c>
      <c r="AF301">
        <v>0</v>
      </c>
      <c r="AG301" t="s">
        <v>1328</v>
      </c>
    </row>
    <row r="302" spans="1:33" x14ac:dyDescent="0.3">
      <c r="A302" t="s">
        <v>1604</v>
      </c>
      <c r="B302" t="s">
        <v>1310</v>
      </c>
      <c r="C302">
        <v>0.4</v>
      </c>
      <c r="D302" t="s">
        <v>1311</v>
      </c>
      <c r="E302" t="s">
        <v>1312</v>
      </c>
      <c r="F302">
        <v>0.2</v>
      </c>
      <c r="G302" t="s">
        <v>1392</v>
      </c>
      <c r="H302" t="s">
        <v>1349</v>
      </c>
      <c r="I302" t="str">
        <f t="shared" si="4"/>
        <v>stoch_{'C',  [('delta', 0.4,  -1),  ('delta', 0.2,  3)]}_[21,  49]_4</v>
      </c>
      <c r="J302" t="s">
        <v>1315</v>
      </c>
      <c r="K302">
        <v>230</v>
      </c>
      <c r="L302" t="s">
        <v>1316</v>
      </c>
      <c r="M302">
        <v>31</v>
      </c>
      <c r="N302" t="s">
        <v>1317</v>
      </c>
      <c r="O302">
        <v>-37.119999999999898</v>
      </c>
      <c r="P302" t="s">
        <v>1318</v>
      </c>
      <c r="Q302">
        <v>-0.161391304347825</v>
      </c>
      <c r="R302" t="s">
        <v>1319</v>
      </c>
      <c r="S302">
        <v>3.4029032258064502</v>
      </c>
      <c r="T302" t="s">
        <v>1320</v>
      </c>
      <c r="U302">
        <v>-0.71663316582914505</v>
      </c>
      <c r="V302" t="s">
        <v>1321</v>
      </c>
      <c r="W302">
        <v>0.53373201337375498</v>
      </c>
      <c r="X302" t="s">
        <v>1322</v>
      </c>
      <c r="Y302" t="s">
        <v>1483</v>
      </c>
      <c r="Z302" t="s">
        <v>1435</v>
      </c>
      <c r="AA302">
        <v>0</v>
      </c>
      <c r="AB302" t="s">
        <v>1325</v>
      </c>
      <c r="AC302" t="s">
        <v>1326</v>
      </c>
      <c r="AD302" t="s">
        <v>1485</v>
      </c>
      <c r="AE302" t="s">
        <v>1435</v>
      </c>
      <c r="AF302">
        <v>0</v>
      </c>
      <c r="AG302" t="s">
        <v>1328</v>
      </c>
    </row>
    <row r="303" spans="1:33" x14ac:dyDescent="0.3">
      <c r="A303" t="s">
        <v>1455</v>
      </c>
      <c r="B303" t="s">
        <v>1310</v>
      </c>
      <c r="C303">
        <v>0.4</v>
      </c>
      <c r="D303" t="s">
        <v>1311</v>
      </c>
      <c r="E303" t="s">
        <v>1312</v>
      </c>
      <c r="F303">
        <v>0.2</v>
      </c>
      <c r="G303" t="s">
        <v>1403</v>
      </c>
      <c r="H303" t="s">
        <v>1352</v>
      </c>
      <c r="I303" t="str">
        <f t="shared" si="4"/>
        <v>bbands_{'C',  [('delta', 0.4,  -1),  ('delta', 0.2,  3)]}_[35,  70]_1</v>
      </c>
      <c r="J303" t="s">
        <v>1315</v>
      </c>
      <c r="K303">
        <v>247</v>
      </c>
      <c r="L303" t="s">
        <v>1316</v>
      </c>
      <c r="M303">
        <v>67</v>
      </c>
      <c r="N303" t="s">
        <v>1317</v>
      </c>
      <c r="O303">
        <v>-37.181160068700997</v>
      </c>
      <c r="P303" t="s">
        <v>1318</v>
      </c>
      <c r="Q303">
        <v>-0.150531012423891</v>
      </c>
      <c r="R303" t="s">
        <v>1319</v>
      </c>
      <c r="S303">
        <v>1.6663674435201099</v>
      </c>
      <c r="T303" t="s">
        <v>1320</v>
      </c>
      <c r="U303">
        <v>-0.82682099324749203</v>
      </c>
      <c r="V303" t="s">
        <v>1321</v>
      </c>
      <c r="W303">
        <v>0.346802310245242</v>
      </c>
      <c r="X303" t="s">
        <v>1322</v>
      </c>
      <c r="Y303" t="s">
        <v>1404</v>
      </c>
      <c r="Z303" t="s">
        <v>1372</v>
      </c>
      <c r="AA303">
        <v>0</v>
      </c>
      <c r="AB303" t="s">
        <v>1325</v>
      </c>
      <c r="AC303" t="s">
        <v>1326</v>
      </c>
      <c r="AD303" t="s">
        <v>1404</v>
      </c>
      <c r="AE303" t="s">
        <v>1372</v>
      </c>
      <c r="AF303">
        <v>0</v>
      </c>
      <c r="AG303" t="s">
        <v>1328</v>
      </c>
    </row>
    <row r="304" spans="1:33" x14ac:dyDescent="0.3">
      <c r="A304" t="s">
        <v>1455</v>
      </c>
      <c r="B304" t="s">
        <v>1310</v>
      </c>
      <c r="C304">
        <v>0.4</v>
      </c>
      <c r="D304" t="s">
        <v>1311</v>
      </c>
      <c r="E304" t="s">
        <v>1312</v>
      </c>
      <c r="F304">
        <v>0.2</v>
      </c>
      <c r="G304" t="s">
        <v>1351</v>
      </c>
      <c r="H304" t="s">
        <v>1352</v>
      </c>
      <c r="I304" t="str">
        <f t="shared" si="4"/>
        <v>bbands_{'C',  [('delta', 0.4,  -1),  ('delta', 0.2,  2)]}_[35,  70]_1</v>
      </c>
      <c r="J304" t="s">
        <v>1315</v>
      </c>
      <c r="K304">
        <v>247</v>
      </c>
      <c r="L304" t="s">
        <v>1316</v>
      </c>
      <c r="M304">
        <v>74</v>
      </c>
      <c r="N304" t="s">
        <v>1317</v>
      </c>
      <c r="O304">
        <v>-37.356086139675199</v>
      </c>
      <c r="P304" t="s">
        <v>1318</v>
      </c>
      <c r="Q304">
        <v>-0.15123921514038499</v>
      </c>
      <c r="R304" t="s">
        <v>1319</v>
      </c>
      <c r="S304">
        <v>1.1754054054054</v>
      </c>
      <c r="T304" t="s">
        <v>1320</v>
      </c>
      <c r="U304">
        <v>-0.718705700229336</v>
      </c>
      <c r="V304" t="s">
        <v>1321</v>
      </c>
      <c r="W304">
        <v>0.298373736102718</v>
      </c>
      <c r="X304" t="s">
        <v>1322</v>
      </c>
      <c r="Y304" t="s">
        <v>1371</v>
      </c>
      <c r="Z304" t="s">
        <v>1372</v>
      </c>
      <c r="AA304">
        <v>0</v>
      </c>
      <c r="AB304" t="s">
        <v>1325</v>
      </c>
      <c r="AC304" t="s">
        <v>1326</v>
      </c>
      <c r="AD304" t="s">
        <v>1371</v>
      </c>
      <c r="AE304" t="s">
        <v>1372</v>
      </c>
      <c r="AF304">
        <v>0</v>
      </c>
      <c r="AG304" t="s">
        <v>1328</v>
      </c>
    </row>
    <row r="305" spans="1:33" x14ac:dyDescent="0.3">
      <c r="A305" t="s">
        <v>1604</v>
      </c>
      <c r="B305" t="s">
        <v>1310</v>
      </c>
      <c r="C305">
        <v>0.3</v>
      </c>
      <c r="D305" t="s">
        <v>1311</v>
      </c>
      <c r="E305" t="s">
        <v>1312</v>
      </c>
      <c r="F305">
        <v>0.15</v>
      </c>
      <c r="G305" t="s">
        <v>1351</v>
      </c>
      <c r="H305" t="s">
        <v>1356</v>
      </c>
      <c r="I305" t="str">
        <f t="shared" si="4"/>
        <v>stoch_{'C',  [('delta', 0.3,  -1),  ('delta', 0.15,  2)]}_[35,  70]_2</v>
      </c>
      <c r="J305" t="s">
        <v>1315</v>
      </c>
      <c r="K305">
        <v>291</v>
      </c>
      <c r="L305" t="s">
        <v>1316</v>
      </c>
      <c r="M305">
        <v>99</v>
      </c>
      <c r="N305" t="s">
        <v>1317</v>
      </c>
      <c r="O305">
        <v>-37.712507319866297</v>
      </c>
      <c r="P305" t="s">
        <v>1318</v>
      </c>
      <c r="Q305">
        <v>-0.12959624508545101</v>
      </c>
      <c r="R305" t="s">
        <v>1319</v>
      </c>
      <c r="S305">
        <v>0.93686868686868596</v>
      </c>
      <c r="T305" t="s">
        <v>1320</v>
      </c>
      <c r="U305">
        <v>-0.679492225624304</v>
      </c>
      <c r="V305" t="s">
        <v>1321</v>
      </c>
      <c r="W305">
        <v>0.30497398733831899</v>
      </c>
      <c r="X305" t="s">
        <v>1322</v>
      </c>
      <c r="Y305" t="s">
        <v>1547</v>
      </c>
      <c r="Z305" t="s">
        <v>1416</v>
      </c>
      <c r="AA305">
        <v>0</v>
      </c>
      <c r="AB305" t="s">
        <v>1325</v>
      </c>
      <c r="AC305" t="s">
        <v>1326</v>
      </c>
      <c r="AD305" t="s">
        <v>1640</v>
      </c>
      <c r="AE305" t="s">
        <v>1416</v>
      </c>
      <c r="AF305">
        <v>0</v>
      </c>
      <c r="AG305" t="s">
        <v>1328</v>
      </c>
    </row>
    <row r="306" spans="1:33" x14ac:dyDescent="0.3">
      <c r="A306" t="s">
        <v>1455</v>
      </c>
      <c r="B306" t="s">
        <v>1310</v>
      </c>
      <c r="C306">
        <v>0.3</v>
      </c>
      <c r="D306" t="s">
        <v>1311</v>
      </c>
      <c r="E306" t="s">
        <v>1312</v>
      </c>
      <c r="F306">
        <v>0.15</v>
      </c>
      <c r="G306" t="s">
        <v>1392</v>
      </c>
      <c r="H306" t="s">
        <v>1348</v>
      </c>
      <c r="I306" t="str">
        <f t="shared" si="4"/>
        <v>bbands_{'C',  [('delta', 0.3,  -1),  ('delta', 0.15,  3)]}_[21,  49]_3</v>
      </c>
      <c r="J306" t="s">
        <v>1315</v>
      </c>
      <c r="K306">
        <v>200</v>
      </c>
      <c r="L306" t="s">
        <v>1316</v>
      </c>
      <c r="M306">
        <v>24</v>
      </c>
      <c r="N306" t="s">
        <v>1317</v>
      </c>
      <c r="O306">
        <v>-37.9</v>
      </c>
      <c r="P306" t="s">
        <v>1318</v>
      </c>
      <c r="Q306">
        <v>-0.1895</v>
      </c>
      <c r="R306" t="s">
        <v>1319</v>
      </c>
      <c r="S306">
        <v>3.6295833333333301</v>
      </c>
      <c r="T306" t="s">
        <v>1320</v>
      </c>
      <c r="U306">
        <v>-0.71028409090909095</v>
      </c>
      <c r="V306" t="s">
        <v>1321</v>
      </c>
      <c r="W306">
        <v>0.35416222520284202</v>
      </c>
      <c r="X306" t="s">
        <v>1322</v>
      </c>
      <c r="Y306" t="s">
        <v>1434</v>
      </c>
      <c r="Z306" t="s">
        <v>1435</v>
      </c>
      <c r="AA306">
        <v>0</v>
      </c>
      <c r="AB306" t="s">
        <v>1325</v>
      </c>
      <c r="AC306" t="s">
        <v>1326</v>
      </c>
      <c r="AD306" t="s">
        <v>1496</v>
      </c>
      <c r="AE306" t="s">
        <v>1435</v>
      </c>
      <c r="AF306">
        <v>0</v>
      </c>
      <c r="AG306" t="s">
        <v>1328</v>
      </c>
    </row>
    <row r="307" spans="1:33" x14ac:dyDescent="0.3">
      <c r="A307" t="s">
        <v>1455</v>
      </c>
      <c r="B307" t="s">
        <v>1310</v>
      </c>
      <c r="C307">
        <v>0.4</v>
      </c>
      <c r="D307" t="s">
        <v>1311</v>
      </c>
      <c r="E307" t="s">
        <v>1312</v>
      </c>
      <c r="F307">
        <v>0.2</v>
      </c>
      <c r="G307" t="s">
        <v>1392</v>
      </c>
      <c r="H307" t="s">
        <v>1349</v>
      </c>
      <c r="I307" t="str">
        <f t="shared" si="4"/>
        <v>bbands_{'C',  [('delta', 0.4,  -1),  ('delta', 0.2,  3)]}_[21,  49]_4</v>
      </c>
      <c r="J307" t="s">
        <v>1315</v>
      </c>
      <c r="K307">
        <v>200</v>
      </c>
      <c r="L307" t="s">
        <v>1316</v>
      </c>
      <c r="M307">
        <v>23</v>
      </c>
      <c r="N307" t="s">
        <v>1317</v>
      </c>
      <c r="O307">
        <v>-39.22</v>
      </c>
      <c r="P307" t="s">
        <v>1318</v>
      </c>
      <c r="Q307">
        <v>-0.1961</v>
      </c>
      <c r="R307" t="s">
        <v>1319</v>
      </c>
      <c r="S307">
        <v>4.4630434782608699</v>
      </c>
      <c r="T307" t="s">
        <v>1320</v>
      </c>
      <c r="U307">
        <v>-0.80152542372881297</v>
      </c>
      <c r="V307" t="s">
        <v>1321</v>
      </c>
      <c r="W307">
        <v>0.45309991306139802</v>
      </c>
      <c r="X307" t="s">
        <v>1322</v>
      </c>
      <c r="Y307" t="s">
        <v>1395</v>
      </c>
      <c r="Z307" t="s">
        <v>1396</v>
      </c>
      <c r="AA307">
        <v>0</v>
      </c>
      <c r="AB307" t="s">
        <v>1325</v>
      </c>
      <c r="AC307" t="s">
        <v>1326</v>
      </c>
      <c r="AD307" t="s">
        <v>1487</v>
      </c>
      <c r="AE307" t="s">
        <v>1435</v>
      </c>
      <c r="AF307">
        <v>0</v>
      </c>
      <c r="AG307" t="s">
        <v>1328</v>
      </c>
    </row>
    <row r="308" spans="1:33" x14ac:dyDescent="0.3">
      <c r="A308" t="s">
        <v>1604</v>
      </c>
      <c r="B308" t="s">
        <v>1310</v>
      </c>
      <c r="C308">
        <v>0.3</v>
      </c>
      <c r="D308" t="s">
        <v>1311</v>
      </c>
      <c r="E308" t="s">
        <v>1312</v>
      </c>
      <c r="F308">
        <v>0.15</v>
      </c>
      <c r="G308" t="s">
        <v>1392</v>
      </c>
      <c r="H308" t="s">
        <v>1348</v>
      </c>
      <c r="I308" t="str">
        <f t="shared" si="4"/>
        <v>stoch_{'C',  [('delta', 0.3,  -1),  ('delta', 0.15,  3)]}_[21,  49]_3</v>
      </c>
      <c r="J308" t="s">
        <v>1315</v>
      </c>
      <c r="K308">
        <v>230</v>
      </c>
      <c r="L308" t="s">
        <v>1316</v>
      </c>
      <c r="M308">
        <v>34</v>
      </c>
      <c r="N308" t="s">
        <v>1317</v>
      </c>
      <c r="O308">
        <v>-39.599999999999902</v>
      </c>
      <c r="P308" t="s">
        <v>1318</v>
      </c>
      <c r="Q308">
        <v>-0.17217391304347701</v>
      </c>
      <c r="R308" t="s">
        <v>1319</v>
      </c>
      <c r="S308">
        <v>2.48470588235294</v>
      </c>
      <c r="T308" t="s">
        <v>1320</v>
      </c>
      <c r="U308">
        <v>-0.63630769230769202</v>
      </c>
      <c r="V308" t="s">
        <v>1321</v>
      </c>
      <c r="W308">
        <v>0.40648381842534098</v>
      </c>
      <c r="X308" t="s">
        <v>1322</v>
      </c>
      <c r="Y308" t="s">
        <v>1434</v>
      </c>
      <c r="Z308" t="s">
        <v>1435</v>
      </c>
      <c r="AA308">
        <v>0</v>
      </c>
      <c r="AB308" t="s">
        <v>1325</v>
      </c>
      <c r="AC308" t="s">
        <v>1326</v>
      </c>
      <c r="AD308" t="s">
        <v>1641</v>
      </c>
      <c r="AE308" t="s">
        <v>1435</v>
      </c>
      <c r="AF308">
        <v>0</v>
      </c>
      <c r="AG308" t="s">
        <v>1328</v>
      </c>
    </row>
    <row r="309" spans="1:33" x14ac:dyDescent="0.3">
      <c r="A309" t="s">
        <v>1604</v>
      </c>
      <c r="B309" t="s">
        <v>1310</v>
      </c>
      <c r="C309">
        <v>0.3</v>
      </c>
      <c r="D309" t="s">
        <v>1311</v>
      </c>
      <c r="E309" t="s">
        <v>1312</v>
      </c>
      <c r="F309">
        <v>0.15</v>
      </c>
      <c r="G309" t="s">
        <v>1392</v>
      </c>
      <c r="H309" t="s">
        <v>1349</v>
      </c>
      <c r="I309" t="str">
        <f t="shared" si="4"/>
        <v>stoch_{'C',  [('delta', 0.3,  -1),  ('delta', 0.15,  3)]}_[21,  49]_4</v>
      </c>
      <c r="J309" t="s">
        <v>1315</v>
      </c>
      <c r="K309">
        <v>230</v>
      </c>
      <c r="L309" t="s">
        <v>1316</v>
      </c>
      <c r="M309">
        <v>32</v>
      </c>
      <c r="N309" t="s">
        <v>1317</v>
      </c>
      <c r="O309">
        <v>-40.049999999999898</v>
      </c>
      <c r="P309" t="s">
        <v>1318</v>
      </c>
      <c r="Q309">
        <v>-0.17413043478260801</v>
      </c>
      <c r="R309" t="s">
        <v>1319</v>
      </c>
      <c r="S309">
        <v>2.6659375000000001</v>
      </c>
      <c r="T309" t="s">
        <v>1320</v>
      </c>
      <c r="U309">
        <v>-0.636345177664974</v>
      </c>
      <c r="V309" t="s">
        <v>1321</v>
      </c>
      <c r="W309">
        <v>0.42066458220513597</v>
      </c>
      <c r="X309" t="s">
        <v>1322</v>
      </c>
      <c r="Y309" t="s">
        <v>1434</v>
      </c>
      <c r="Z309" t="s">
        <v>1435</v>
      </c>
      <c r="AA309">
        <v>0</v>
      </c>
      <c r="AB309" t="s">
        <v>1325</v>
      </c>
      <c r="AC309" t="s">
        <v>1326</v>
      </c>
      <c r="AD309" t="s">
        <v>1641</v>
      </c>
      <c r="AE309" t="s">
        <v>1435</v>
      </c>
      <c r="AF309">
        <v>0</v>
      </c>
      <c r="AG309" t="s">
        <v>1328</v>
      </c>
    </row>
    <row r="310" spans="1:33" x14ac:dyDescent="0.3">
      <c r="A310" t="s">
        <v>1604</v>
      </c>
      <c r="B310" t="s">
        <v>1310</v>
      </c>
      <c r="C310">
        <v>0.4</v>
      </c>
      <c r="D310" t="s">
        <v>1311</v>
      </c>
      <c r="E310" t="s">
        <v>1312</v>
      </c>
      <c r="F310">
        <v>0.2</v>
      </c>
      <c r="G310" t="s">
        <v>1403</v>
      </c>
      <c r="H310" t="s">
        <v>1360</v>
      </c>
      <c r="I310" t="str">
        <f t="shared" si="4"/>
        <v>stoch_{'C',  [('delta', 0.4,  -1),  ('delta', 0.2,  3)]}_[35,  70]_5</v>
      </c>
      <c r="J310" t="s">
        <v>1315</v>
      </c>
      <c r="K310">
        <v>291</v>
      </c>
      <c r="L310" t="s">
        <v>1316</v>
      </c>
      <c r="M310">
        <v>33</v>
      </c>
      <c r="N310" t="s">
        <v>1317</v>
      </c>
      <c r="O310">
        <v>-40.895838587411497</v>
      </c>
      <c r="P310" t="s">
        <v>1318</v>
      </c>
      <c r="Q310">
        <v>-0.14053552779179199</v>
      </c>
      <c r="R310" t="s">
        <v>1319</v>
      </c>
      <c r="S310">
        <v>4.7255503297611199</v>
      </c>
      <c r="T310" t="s">
        <v>1320</v>
      </c>
      <c r="U310">
        <v>-0.76294185840902595</v>
      </c>
      <c r="V310" t="s">
        <v>1321</v>
      </c>
      <c r="W310">
        <v>0.66701649610399305</v>
      </c>
      <c r="X310" t="s">
        <v>1322</v>
      </c>
      <c r="Y310" t="s">
        <v>1630</v>
      </c>
      <c r="Z310" t="s">
        <v>1473</v>
      </c>
      <c r="AA310">
        <v>0</v>
      </c>
      <c r="AB310" t="s">
        <v>1325</v>
      </c>
      <c r="AC310" t="s">
        <v>1326</v>
      </c>
      <c r="AD310" t="s">
        <v>1631</v>
      </c>
      <c r="AE310" t="s">
        <v>1534</v>
      </c>
      <c r="AF310">
        <v>0</v>
      </c>
      <c r="AG310" t="s">
        <v>1328</v>
      </c>
    </row>
    <row r="311" spans="1:33" x14ac:dyDescent="0.3">
      <c r="A311" t="s">
        <v>1455</v>
      </c>
      <c r="B311" t="s">
        <v>1310</v>
      </c>
      <c r="C311">
        <v>0.4</v>
      </c>
      <c r="D311" t="s">
        <v>1311</v>
      </c>
      <c r="E311" t="s">
        <v>1312</v>
      </c>
      <c r="F311">
        <v>0.2</v>
      </c>
      <c r="G311" t="s">
        <v>1351</v>
      </c>
      <c r="H311" t="s">
        <v>1360</v>
      </c>
      <c r="I311" t="str">
        <f t="shared" si="4"/>
        <v>bbands_{'C',  [('delta', 0.4,  -1),  ('delta', 0.2,  2)]}_[35,  70]_5</v>
      </c>
      <c r="J311" t="s">
        <v>1315</v>
      </c>
      <c r="K311">
        <v>247</v>
      </c>
      <c r="L311" t="s">
        <v>1316</v>
      </c>
      <c r="M311">
        <v>54</v>
      </c>
      <c r="N311" t="s">
        <v>1317</v>
      </c>
      <c r="O311">
        <v>-41.036086139675199</v>
      </c>
      <c r="P311" t="s">
        <v>1318</v>
      </c>
      <c r="Q311">
        <v>-0.166138000565486</v>
      </c>
      <c r="R311" t="s">
        <v>1319</v>
      </c>
      <c r="S311">
        <v>1.9222222222222201</v>
      </c>
      <c r="T311" t="s">
        <v>1320</v>
      </c>
      <c r="U311">
        <v>-0.75044604217448196</v>
      </c>
      <c r="V311" t="s">
        <v>1321</v>
      </c>
      <c r="W311">
        <v>0.43267733326334701</v>
      </c>
      <c r="X311" t="s">
        <v>1322</v>
      </c>
      <c r="Y311" t="s">
        <v>1371</v>
      </c>
      <c r="Z311" t="s">
        <v>1372</v>
      </c>
      <c r="AA311">
        <v>0</v>
      </c>
      <c r="AB311" t="s">
        <v>1325</v>
      </c>
      <c r="AC311" t="s">
        <v>1326</v>
      </c>
      <c r="AD311" t="s">
        <v>1482</v>
      </c>
      <c r="AE311" t="s">
        <v>1372</v>
      </c>
      <c r="AF311">
        <v>0</v>
      </c>
      <c r="AG311" t="s">
        <v>1328</v>
      </c>
    </row>
    <row r="312" spans="1:33" x14ac:dyDescent="0.3">
      <c r="A312" t="s">
        <v>1604</v>
      </c>
      <c r="B312" t="s">
        <v>1310</v>
      </c>
      <c r="C312">
        <v>0.5</v>
      </c>
      <c r="D312" t="s">
        <v>1311</v>
      </c>
      <c r="E312" t="s">
        <v>1312</v>
      </c>
      <c r="F312">
        <v>0.3</v>
      </c>
      <c r="G312" t="s">
        <v>1342</v>
      </c>
      <c r="H312" t="s">
        <v>1348</v>
      </c>
      <c r="I312" t="str">
        <f t="shared" si="4"/>
        <v>stoch_{'C',  [('delta', 0.5,  -1),  ('delta', 0.3,  2)]}_[21,  49]_3</v>
      </c>
      <c r="J312" t="s">
        <v>1315</v>
      </c>
      <c r="K312">
        <v>230</v>
      </c>
      <c r="L312" t="s">
        <v>1316</v>
      </c>
      <c r="M312">
        <v>46</v>
      </c>
      <c r="N312" t="s">
        <v>1317</v>
      </c>
      <c r="O312">
        <v>-41.3595036250546</v>
      </c>
      <c r="P312" t="s">
        <v>1318</v>
      </c>
      <c r="Q312">
        <v>-0.179823928804585</v>
      </c>
      <c r="R312" t="s">
        <v>1319</v>
      </c>
      <c r="S312">
        <v>1.76717391304347</v>
      </c>
      <c r="T312" t="s">
        <v>1320</v>
      </c>
      <c r="U312">
        <v>-0.66657338926660104</v>
      </c>
      <c r="V312" t="s">
        <v>1321</v>
      </c>
      <c r="W312">
        <v>0.37708961201496799</v>
      </c>
      <c r="X312" t="s">
        <v>1322</v>
      </c>
      <c r="Y312" t="s">
        <v>1613</v>
      </c>
      <c r="Z312" t="s">
        <v>1506</v>
      </c>
      <c r="AA312">
        <v>0</v>
      </c>
      <c r="AB312" t="s">
        <v>1325</v>
      </c>
      <c r="AC312" t="s">
        <v>1326</v>
      </c>
      <c r="AD312" t="s">
        <v>1612</v>
      </c>
      <c r="AE312" t="s">
        <v>1534</v>
      </c>
      <c r="AF312">
        <v>0</v>
      </c>
      <c r="AG312" t="s">
        <v>1328</v>
      </c>
    </row>
    <row r="313" spans="1:33" x14ac:dyDescent="0.3">
      <c r="A313" t="s">
        <v>1604</v>
      </c>
      <c r="B313" t="s">
        <v>1310</v>
      </c>
      <c r="C313">
        <v>0.3</v>
      </c>
      <c r="D313" t="s">
        <v>1311</v>
      </c>
      <c r="E313" t="s">
        <v>1312</v>
      </c>
      <c r="F313">
        <v>0.15</v>
      </c>
      <c r="G313" t="s">
        <v>1381</v>
      </c>
      <c r="H313" t="s">
        <v>1314</v>
      </c>
      <c r="I313" t="str">
        <f t="shared" si="4"/>
        <v>stoch_{'C',  [('delta', 0.3,  -1),  ('delta', 0.15,  3)]}_[7,  35]_1</v>
      </c>
      <c r="J313" t="s">
        <v>1315</v>
      </c>
      <c r="K313">
        <v>224</v>
      </c>
      <c r="L313" t="s">
        <v>1316</v>
      </c>
      <c r="M313">
        <v>47</v>
      </c>
      <c r="N313" t="s">
        <v>1317</v>
      </c>
      <c r="O313">
        <v>-41.409999999999897</v>
      </c>
      <c r="P313" t="s">
        <v>1318</v>
      </c>
      <c r="Q313">
        <v>-0.184866071428571</v>
      </c>
      <c r="R313" t="s">
        <v>1319</v>
      </c>
      <c r="S313">
        <v>1.44042553191489</v>
      </c>
      <c r="T313" t="s">
        <v>1320</v>
      </c>
      <c r="U313">
        <v>-0.61644067796610102</v>
      </c>
      <c r="V313" t="s">
        <v>1321</v>
      </c>
      <c r="W313">
        <v>0.274433048445964</v>
      </c>
      <c r="X313" t="s">
        <v>1322</v>
      </c>
      <c r="Y313" t="s">
        <v>1434</v>
      </c>
      <c r="Z313" t="s">
        <v>1435</v>
      </c>
      <c r="AA313">
        <v>0</v>
      </c>
      <c r="AB313" t="s">
        <v>1325</v>
      </c>
      <c r="AC313" t="s">
        <v>1326</v>
      </c>
      <c r="AD313" t="s">
        <v>1491</v>
      </c>
      <c r="AE313" t="s">
        <v>1473</v>
      </c>
      <c r="AF313">
        <v>0</v>
      </c>
      <c r="AG313" t="s">
        <v>1328</v>
      </c>
    </row>
    <row r="314" spans="1:33" x14ac:dyDescent="0.3">
      <c r="A314" t="s">
        <v>1604</v>
      </c>
      <c r="B314" t="s">
        <v>1310</v>
      </c>
      <c r="C314">
        <v>0.4</v>
      </c>
      <c r="D314" t="s">
        <v>1311</v>
      </c>
      <c r="E314" t="s">
        <v>1312</v>
      </c>
      <c r="F314">
        <v>0.2</v>
      </c>
      <c r="G314" t="s">
        <v>1351</v>
      </c>
      <c r="H314" t="s">
        <v>1352</v>
      </c>
      <c r="I314" t="str">
        <f t="shared" si="4"/>
        <v>stoch_{'C',  [('delta', 0.4,  -1),  ('delta', 0.2,  2)]}_[35,  70]_1</v>
      </c>
      <c r="J314" t="s">
        <v>1315</v>
      </c>
      <c r="K314">
        <v>291</v>
      </c>
      <c r="L314" t="s">
        <v>1316</v>
      </c>
      <c r="M314">
        <v>88</v>
      </c>
      <c r="N314" t="s">
        <v>1317</v>
      </c>
      <c r="O314">
        <v>-41.498016002325102</v>
      </c>
      <c r="P314" t="s">
        <v>1318</v>
      </c>
      <c r="Q314">
        <v>-0.14260486598737099</v>
      </c>
      <c r="R314" t="s">
        <v>1319</v>
      </c>
      <c r="S314">
        <v>1.15427385062291</v>
      </c>
      <c r="T314" t="s">
        <v>1320</v>
      </c>
      <c r="U314">
        <v>-0.70479859535537803</v>
      </c>
      <c r="V314" t="s">
        <v>1321</v>
      </c>
      <c r="W314">
        <v>0.31638034031045398</v>
      </c>
      <c r="X314" t="s">
        <v>1322</v>
      </c>
      <c r="Y314" t="s">
        <v>1624</v>
      </c>
      <c r="Z314" t="s">
        <v>1620</v>
      </c>
      <c r="AA314">
        <v>0</v>
      </c>
      <c r="AB314" t="s">
        <v>1325</v>
      </c>
      <c r="AC314" t="s">
        <v>1326</v>
      </c>
      <c r="AD314" t="s">
        <v>1625</v>
      </c>
      <c r="AE314" t="s">
        <v>1324</v>
      </c>
      <c r="AF314">
        <v>0</v>
      </c>
      <c r="AG314" t="s">
        <v>1328</v>
      </c>
    </row>
    <row r="315" spans="1:33" x14ac:dyDescent="0.3">
      <c r="A315" t="s">
        <v>1455</v>
      </c>
      <c r="B315" t="s">
        <v>1310</v>
      </c>
      <c r="C315">
        <v>0.5</v>
      </c>
      <c r="D315" t="s">
        <v>1311</v>
      </c>
      <c r="E315" t="s">
        <v>1312</v>
      </c>
      <c r="F315">
        <v>0.3</v>
      </c>
      <c r="G315" t="s">
        <v>1342</v>
      </c>
      <c r="H315" t="s">
        <v>1346</v>
      </c>
      <c r="I315" t="str">
        <f t="shared" si="4"/>
        <v>bbands_{'C',  [('delta', 0.5,  -1),  ('delta', 0.3,  2)]}_[21,  49]_2</v>
      </c>
      <c r="J315" t="s">
        <v>1315</v>
      </c>
      <c r="K315">
        <v>200</v>
      </c>
      <c r="L315" t="s">
        <v>1316</v>
      </c>
      <c r="M315">
        <v>39</v>
      </c>
      <c r="N315" t="s">
        <v>1317</v>
      </c>
      <c r="O315">
        <v>-41.822428357864098</v>
      </c>
      <c r="P315" t="s">
        <v>1318</v>
      </c>
      <c r="Q315">
        <v>-0.20911214178932</v>
      </c>
      <c r="R315" t="s">
        <v>1319</v>
      </c>
      <c r="S315">
        <v>1.9145531190291201</v>
      </c>
      <c r="T315" t="s">
        <v>1320</v>
      </c>
      <c r="U315">
        <v>-0.72354037267080795</v>
      </c>
      <c r="V315" t="s">
        <v>1321</v>
      </c>
      <c r="W315">
        <v>0.31278103782851702</v>
      </c>
      <c r="X315" t="s">
        <v>1322</v>
      </c>
      <c r="Y315" t="s">
        <v>1459</v>
      </c>
      <c r="Z315" t="s">
        <v>1444</v>
      </c>
      <c r="AA315">
        <v>0</v>
      </c>
      <c r="AB315" t="s">
        <v>1325</v>
      </c>
      <c r="AC315" t="s">
        <v>1326</v>
      </c>
      <c r="AD315" t="s">
        <v>1465</v>
      </c>
      <c r="AE315" t="s">
        <v>1435</v>
      </c>
      <c r="AF315">
        <v>0</v>
      </c>
      <c r="AG315" t="s">
        <v>1328</v>
      </c>
    </row>
    <row r="316" spans="1:33" x14ac:dyDescent="0.3">
      <c r="A316" t="s">
        <v>1455</v>
      </c>
      <c r="B316" t="s">
        <v>1310</v>
      </c>
      <c r="C316">
        <v>0.3</v>
      </c>
      <c r="D316" t="s">
        <v>1311</v>
      </c>
      <c r="E316" t="s">
        <v>1312</v>
      </c>
      <c r="F316">
        <v>0.15</v>
      </c>
      <c r="G316" t="s">
        <v>1403</v>
      </c>
      <c r="H316" t="s">
        <v>1352</v>
      </c>
      <c r="I316" t="str">
        <f t="shared" si="4"/>
        <v>bbands_{'C',  [('delta', 0.3,  -1),  ('delta', 0.15,  3)]}_[35,  70]_1</v>
      </c>
      <c r="J316" t="s">
        <v>1315</v>
      </c>
      <c r="K316">
        <v>247</v>
      </c>
      <c r="L316" t="s">
        <v>1316</v>
      </c>
      <c r="M316">
        <v>59</v>
      </c>
      <c r="N316" t="s">
        <v>1317</v>
      </c>
      <c r="O316">
        <v>-42.035088502956697</v>
      </c>
      <c r="P316" t="s">
        <v>1318</v>
      </c>
      <c r="Q316">
        <v>-0.17018254454638301</v>
      </c>
      <c r="R316" t="s">
        <v>1319</v>
      </c>
      <c r="S316">
        <v>1.46020359675228</v>
      </c>
      <c r="T316" t="s">
        <v>1320</v>
      </c>
      <c r="U316">
        <v>-0.68184628037947603</v>
      </c>
      <c r="V316" t="s">
        <v>1321</v>
      </c>
      <c r="W316">
        <v>0.27049698250376902</v>
      </c>
      <c r="X316" t="s">
        <v>1322</v>
      </c>
      <c r="Y316" t="s">
        <v>1497</v>
      </c>
      <c r="Z316" t="s">
        <v>1435</v>
      </c>
      <c r="AA316">
        <v>0</v>
      </c>
      <c r="AB316" t="s">
        <v>1325</v>
      </c>
      <c r="AC316" t="s">
        <v>1326</v>
      </c>
      <c r="AD316" t="s">
        <v>1497</v>
      </c>
      <c r="AE316" t="s">
        <v>1435</v>
      </c>
      <c r="AF316">
        <v>0</v>
      </c>
      <c r="AG316" t="s">
        <v>1328</v>
      </c>
    </row>
    <row r="317" spans="1:33" x14ac:dyDescent="0.3">
      <c r="A317" t="s">
        <v>1455</v>
      </c>
      <c r="B317" t="s">
        <v>1310</v>
      </c>
      <c r="C317">
        <v>0.4</v>
      </c>
      <c r="D317" t="s">
        <v>1311</v>
      </c>
      <c r="E317" t="s">
        <v>1312</v>
      </c>
      <c r="F317">
        <v>0.2</v>
      </c>
      <c r="G317" t="s">
        <v>1381</v>
      </c>
      <c r="H317" t="s">
        <v>1337</v>
      </c>
      <c r="I317" t="str">
        <f t="shared" si="4"/>
        <v>bbands_{'C',  [('delta', 0.4,  -1),  ('delta', 0.2,  3)]}_[7,  35]_5</v>
      </c>
      <c r="J317" t="s">
        <v>1315</v>
      </c>
      <c r="K317">
        <v>191</v>
      </c>
      <c r="L317" t="s">
        <v>1316</v>
      </c>
      <c r="M317">
        <v>30</v>
      </c>
      <c r="N317" t="s">
        <v>1317</v>
      </c>
      <c r="O317">
        <v>-42.1099999999999</v>
      </c>
      <c r="P317" t="s">
        <v>1318</v>
      </c>
      <c r="Q317">
        <v>-0.22047120418848101</v>
      </c>
      <c r="R317" t="s">
        <v>1319</v>
      </c>
      <c r="S317">
        <v>3.2273333333333301</v>
      </c>
      <c r="T317" t="s">
        <v>1320</v>
      </c>
      <c r="U317">
        <v>-0.86291925465838404</v>
      </c>
      <c r="V317" t="s">
        <v>1321</v>
      </c>
      <c r="W317">
        <v>0.47700294556691802</v>
      </c>
      <c r="X317" t="s">
        <v>1322</v>
      </c>
      <c r="Y317" t="s">
        <v>1395</v>
      </c>
      <c r="Z317" t="s">
        <v>1396</v>
      </c>
      <c r="AA317">
        <v>0</v>
      </c>
      <c r="AB317" t="s">
        <v>1325</v>
      </c>
      <c r="AC317" t="s">
        <v>1326</v>
      </c>
      <c r="AD317" t="s">
        <v>1485</v>
      </c>
      <c r="AE317" t="s">
        <v>1435</v>
      </c>
      <c r="AF317">
        <v>0</v>
      </c>
      <c r="AG317" t="s">
        <v>1328</v>
      </c>
    </row>
    <row r="318" spans="1:33" x14ac:dyDescent="0.3">
      <c r="A318" t="s">
        <v>1309</v>
      </c>
      <c r="B318" t="s">
        <v>1310</v>
      </c>
      <c r="C318">
        <v>0.3</v>
      </c>
      <c r="D318" t="s">
        <v>1311</v>
      </c>
      <c r="E318" t="s">
        <v>1312</v>
      </c>
      <c r="F318">
        <v>0.15</v>
      </c>
      <c r="G318" t="s">
        <v>1351</v>
      </c>
      <c r="H318" t="s">
        <v>1352</v>
      </c>
      <c r="I318" t="str">
        <f t="shared" si="4"/>
        <v>alltime_{'C',  [('delta', 0.3,  -1),  ('delta', 0.15,  2)]}_[35,  70]_1</v>
      </c>
      <c r="J318" t="s">
        <v>1315</v>
      </c>
      <c r="K318">
        <v>3810</v>
      </c>
      <c r="L318" t="s">
        <v>1316</v>
      </c>
      <c r="M318">
        <v>1632</v>
      </c>
      <c r="N318" t="s">
        <v>1317</v>
      </c>
      <c r="O318">
        <v>-42.834974973339797</v>
      </c>
      <c r="P318" t="s">
        <v>1318</v>
      </c>
      <c r="Q318">
        <v>-1.12427755835537E-2</v>
      </c>
      <c r="R318" t="s">
        <v>1319</v>
      </c>
      <c r="S318">
        <v>0.83111423819299601</v>
      </c>
      <c r="T318" t="s">
        <v>1320</v>
      </c>
      <c r="U318">
        <v>-0.64243040023153997</v>
      </c>
      <c r="V318" t="s">
        <v>1321</v>
      </c>
      <c r="W318">
        <v>1.59670999095054</v>
      </c>
      <c r="X318" t="s">
        <v>1322</v>
      </c>
      <c r="Y318" t="s">
        <v>1419</v>
      </c>
      <c r="Z318" t="s">
        <v>1420</v>
      </c>
      <c r="AA318">
        <v>0</v>
      </c>
      <c r="AB318" t="s">
        <v>1325</v>
      </c>
      <c r="AC318" t="s">
        <v>1326</v>
      </c>
      <c r="AD318" t="s">
        <v>1421</v>
      </c>
      <c r="AE318" t="s">
        <v>1368</v>
      </c>
      <c r="AF318">
        <v>0</v>
      </c>
      <c r="AG318" t="s">
        <v>1328</v>
      </c>
    </row>
    <row r="319" spans="1:33" x14ac:dyDescent="0.3">
      <c r="A319" t="s">
        <v>1455</v>
      </c>
      <c r="B319" t="s">
        <v>1310</v>
      </c>
      <c r="C319">
        <v>0.4</v>
      </c>
      <c r="D319" t="s">
        <v>1311</v>
      </c>
      <c r="E319" t="s">
        <v>1312</v>
      </c>
      <c r="F319">
        <v>0.2</v>
      </c>
      <c r="G319" t="s">
        <v>1351</v>
      </c>
      <c r="H319" t="s">
        <v>1359</v>
      </c>
      <c r="I319" t="str">
        <f t="shared" si="4"/>
        <v>bbands_{'C',  [('delta', 0.4,  -1),  ('delta', 0.2,  2)]}_[35,  70]_4</v>
      </c>
      <c r="J319" t="s">
        <v>1315</v>
      </c>
      <c r="K319">
        <v>247</v>
      </c>
      <c r="L319" t="s">
        <v>1316</v>
      </c>
      <c r="M319">
        <v>55</v>
      </c>
      <c r="N319" t="s">
        <v>1317</v>
      </c>
      <c r="O319">
        <v>-46.5782941951664</v>
      </c>
      <c r="P319" t="s">
        <v>1318</v>
      </c>
      <c r="Q319">
        <v>-0.18857608985897301</v>
      </c>
      <c r="R319" t="s">
        <v>1319</v>
      </c>
      <c r="S319">
        <v>1.77468712626379</v>
      </c>
      <c r="T319" t="s">
        <v>1320</v>
      </c>
      <c r="U319">
        <v>-0.75096919864414102</v>
      </c>
      <c r="V319" t="s">
        <v>1321</v>
      </c>
      <c r="W319">
        <v>0.41240126324358101</v>
      </c>
      <c r="X319" t="s">
        <v>1322</v>
      </c>
      <c r="Y319" t="s">
        <v>1371</v>
      </c>
      <c r="Z319" t="s">
        <v>1372</v>
      </c>
      <c r="AA319">
        <v>0</v>
      </c>
      <c r="AB319" t="s">
        <v>1325</v>
      </c>
      <c r="AC319" t="s">
        <v>1326</v>
      </c>
      <c r="AD319" t="s">
        <v>1482</v>
      </c>
      <c r="AE319" t="s">
        <v>1372</v>
      </c>
      <c r="AF319">
        <v>0</v>
      </c>
      <c r="AG319" t="s">
        <v>1328</v>
      </c>
    </row>
    <row r="320" spans="1:33" x14ac:dyDescent="0.3">
      <c r="A320" t="s">
        <v>1309</v>
      </c>
      <c r="B320" t="s">
        <v>1310</v>
      </c>
      <c r="C320">
        <v>0.3</v>
      </c>
      <c r="D320" t="s">
        <v>1311</v>
      </c>
      <c r="E320" t="s">
        <v>1312</v>
      </c>
      <c r="F320">
        <v>0.15</v>
      </c>
      <c r="G320" t="s">
        <v>1381</v>
      </c>
      <c r="H320" t="s">
        <v>1314</v>
      </c>
      <c r="I320" t="str">
        <f t="shared" si="4"/>
        <v>alltime_{'C',  [('delta', 0.3,  -1),  ('delta', 0.15,  3)]}_[7,  35]_1</v>
      </c>
      <c r="J320" t="s">
        <v>1315</v>
      </c>
      <c r="K320">
        <v>3073</v>
      </c>
      <c r="L320" t="s">
        <v>1316</v>
      </c>
      <c r="M320">
        <v>876</v>
      </c>
      <c r="N320" t="s">
        <v>1317</v>
      </c>
      <c r="O320">
        <v>-46.7995352855486</v>
      </c>
      <c r="P320" t="s">
        <v>1318</v>
      </c>
      <c r="Q320">
        <v>-1.5229266282313201E-2</v>
      </c>
      <c r="R320" t="s">
        <v>1319</v>
      </c>
      <c r="S320">
        <v>1.3712867316383099</v>
      </c>
      <c r="T320" t="s">
        <v>1320</v>
      </c>
      <c r="U320">
        <v>-0.56832728242290598</v>
      </c>
      <c r="V320" t="s">
        <v>1321</v>
      </c>
      <c r="W320">
        <v>1.90245276692364</v>
      </c>
      <c r="X320" t="s">
        <v>1322</v>
      </c>
      <c r="Y320" t="s">
        <v>1382</v>
      </c>
      <c r="Z320" t="s">
        <v>1383</v>
      </c>
      <c r="AA320">
        <v>0</v>
      </c>
      <c r="AB320" t="s">
        <v>1325</v>
      </c>
      <c r="AC320" t="s">
        <v>1326</v>
      </c>
      <c r="AD320" t="s">
        <v>1426</v>
      </c>
      <c r="AE320" t="s">
        <v>1427</v>
      </c>
      <c r="AF320">
        <v>0</v>
      </c>
      <c r="AG320" t="s">
        <v>1328</v>
      </c>
    </row>
    <row r="321" spans="1:33" x14ac:dyDescent="0.3">
      <c r="A321" t="s">
        <v>1455</v>
      </c>
      <c r="B321" t="s">
        <v>1310</v>
      </c>
      <c r="C321">
        <v>0.5</v>
      </c>
      <c r="D321" t="s">
        <v>1311</v>
      </c>
      <c r="E321" t="s">
        <v>1312</v>
      </c>
      <c r="F321">
        <v>0.3</v>
      </c>
      <c r="G321" t="s">
        <v>1351</v>
      </c>
      <c r="H321" t="s">
        <v>1356</v>
      </c>
      <c r="I321" t="str">
        <f t="shared" si="4"/>
        <v>bbands_{'C',  [('delta', 0.5,  -1),  ('delta', 0.3,  2)]}_[35,  70]_2</v>
      </c>
      <c r="J321" t="s">
        <v>1315</v>
      </c>
      <c r="K321">
        <v>247</v>
      </c>
      <c r="L321" t="s">
        <v>1316</v>
      </c>
      <c r="M321">
        <v>42</v>
      </c>
      <c r="N321" t="s">
        <v>1317</v>
      </c>
      <c r="O321">
        <v>-47.647303404459301</v>
      </c>
      <c r="P321" t="s">
        <v>1318</v>
      </c>
      <c r="Q321">
        <v>-0.192904062366232</v>
      </c>
      <c r="R321" t="s">
        <v>1319</v>
      </c>
      <c r="S321">
        <v>2.5172527144284098</v>
      </c>
      <c r="T321" t="s">
        <v>1320</v>
      </c>
      <c r="U321">
        <v>-0.74815569468513499</v>
      </c>
      <c r="V321" t="s">
        <v>1321</v>
      </c>
      <c r="W321">
        <v>0.37918954257545801</v>
      </c>
      <c r="X321" t="s">
        <v>1322</v>
      </c>
      <c r="Y321" t="s">
        <v>1470</v>
      </c>
      <c r="Z321" t="s">
        <v>1372</v>
      </c>
      <c r="AA321">
        <v>0</v>
      </c>
      <c r="AB321" t="s">
        <v>1325</v>
      </c>
      <c r="AC321" t="s">
        <v>1326</v>
      </c>
      <c r="AD321" t="s">
        <v>1471</v>
      </c>
      <c r="AE321" t="s">
        <v>1324</v>
      </c>
      <c r="AF321">
        <v>0</v>
      </c>
      <c r="AG321" t="s">
        <v>1328</v>
      </c>
    </row>
    <row r="322" spans="1:33" x14ac:dyDescent="0.3">
      <c r="A322" t="s">
        <v>1455</v>
      </c>
      <c r="B322" t="s">
        <v>1310</v>
      </c>
      <c r="C322">
        <v>0.3</v>
      </c>
      <c r="D322" t="s">
        <v>1311</v>
      </c>
      <c r="E322" t="s">
        <v>1312</v>
      </c>
      <c r="F322">
        <v>0.15</v>
      </c>
      <c r="G322" t="s">
        <v>1403</v>
      </c>
      <c r="H322" t="s">
        <v>1356</v>
      </c>
      <c r="I322" t="str">
        <f t="shared" si="4"/>
        <v>bbands_{'C',  [('delta', 0.3,  -1),  ('delta', 0.15,  3)]}_[35,  70]_2</v>
      </c>
      <c r="J322" t="s">
        <v>1315</v>
      </c>
      <c r="K322">
        <v>247</v>
      </c>
      <c r="L322" t="s">
        <v>1316</v>
      </c>
      <c r="M322">
        <v>36</v>
      </c>
      <c r="N322" t="s">
        <v>1317</v>
      </c>
      <c r="O322">
        <v>-49.155088502956701</v>
      </c>
      <c r="P322" t="s">
        <v>1318</v>
      </c>
      <c r="Q322">
        <v>-0.19900845547755699</v>
      </c>
      <c r="R322" t="s">
        <v>1319</v>
      </c>
      <c r="S322">
        <v>2.6483441266096999</v>
      </c>
      <c r="T322" t="s">
        <v>1320</v>
      </c>
      <c r="U322">
        <v>-0.68481268749244495</v>
      </c>
      <c r="V322" t="s">
        <v>1321</v>
      </c>
      <c r="W322">
        <v>0.35369235184019499</v>
      </c>
      <c r="X322" t="s">
        <v>1322</v>
      </c>
      <c r="Y322" t="s">
        <v>1497</v>
      </c>
      <c r="Z322" t="s">
        <v>1435</v>
      </c>
      <c r="AA322">
        <v>0</v>
      </c>
      <c r="AB322" t="s">
        <v>1325</v>
      </c>
      <c r="AC322" t="s">
        <v>1326</v>
      </c>
      <c r="AD322" t="s">
        <v>1498</v>
      </c>
      <c r="AE322" t="s">
        <v>1372</v>
      </c>
      <c r="AF322">
        <v>0</v>
      </c>
      <c r="AG322" t="s">
        <v>1328</v>
      </c>
    </row>
    <row r="323" spans="1:33" x14ac:dyDescent="0.3">
      <c r="A323" t="s">
        <v>1309</v>
      </c>
      <c r="B323" t="s">
        <v>1310</v>
      </c>
      <c r="C323">
        <v>0.5</v>
      </c>
      <c r="D323" t="s">
        <v>1311</v>
      </c>
      <c r="E323" t="s">
        <v>1312</v>
      </c>
      <c r="F323">
        <v>0.3</v>
      </c>
      <c r="G323" t="s">
        <v>1342</v>
      </c>
      <c r="H323" t="s">
        <v>1350</v>
      </c>
      <c r="I323" t="str">
        <f t="shared" ref="I323:I376" si="5">_xlfn.TEXTJOIN(", ", FALSE, A323,B323,C323,D323,E323,F323,G323,H323)</f>
        <v>alltime_{'C',  [('delta', 0.5,  -1),  ('delta', 0.3,  2)]}_[21,  49]_5</v>
      </c>
      <c r="J323" t="s">
        <v>1315</v>
      </c>
      <c r="K323">
        <v>3050</v>
      </c>
      <c r="L323" t="s">
        <v>1316</v>
      </c>
      <c r="M323">
        <v>582</v>
      </c>
      <c r="N323" t="s">
        <v>1317</v>
      </c>
      <c r="O323">
        <v>-50.111241289266701</v>
      </c>
      <c r="P323" t="s">
        <v>1318</v>
      </c>
      <c r="Q323">
        <v>-1.6429915176808699E-2</v>
      </c>
      <c r="R323" t="s">
        <v>1319</v>
      </c>
      <c r="S323">
        <v>2.8190549828178599</v>
      </c>
      <c r="T323" t="s">
        <v>1320</v>
      </c>
      <c r="U323">
        <v>-0.68508964395836702</v>
      </c>
      <c r="V323" t="s">
        <v>1321</v>
      </c>
      <c r="W323">
        <v>3.1293186242295801</v>
      </c>
      <c r="X323" t="s">
        <v>1322</v>
      </c>
      <c r="Y323" t="s">
        <v>1330</v>
      </c>
      <c r="Z323" t="s">
        <v>1331</v>
      </c>
      <c r="AA323">
        <v>0</v>
      </c>
      <c r="AB323" t="s">
        <v>1325</v>
      </c>
      <c r="AC323" t="s">
        <v>1326</v>
      </c>
      <c r="AD323" t="s">
        <v>1347</v>
      </c>
      <c r="AE323" t="s">
        <v>1331</v>
      </c>
      <c r="AF323">
        <v>0</v>
      </c>
      <c r="AG323" t="s">
        <v>1328</v>
      </c>
    </row>
    <row r="324" spans="1:33" x14ac:dyDescent="0.3">
      <c r="A324" t="s">
        <v>1455</v>
      </c>
      <c r="B324" t="s">
        <v>1310</v>
      </c>
      <c r="C324">
        <v>0.4</v>
      </c>
      <c r="D324" t="s">
        <v>1311</v>
      </c>
      <c r="E324" t="s">
        <v>1312</v>
      </c>
      <c r="F324">
        <v>0.2</v>
      </c>
      <c r="G324" t="s">
        <v>1381</v>
      </c>
      <c r="H324" t="s">
        <v>1336</v>
      </c>
      <c r="I324" t="str">
        <f t="shared" si="5"/>
        <v>bbands_{'C',  [('delta', 0.4,  -1),  ('delta', 0.2,  3)]}_[7,  35]_4</v>
      </c>
      <c r="J324" t="s">
        <v>1315</v>
      </c>
      <c r="K324">
        <v>191</v>
      </c>
      <c r="L324" t="s">
        <v>1316</v>
      </c>
      <c r="M324">
        <v>31</v>
      </c>
      <c r="N324" t="s">
        <v>1317</v>
      </c>
      <c r="O324">
        <v>-50.389999999999901</v>
      </c>
      <c r="P324" t="s">
        <v>1318</v>
      </c>
      <c r="Q324">
        <v>-0.26382198952879499</v>
      </c>
      <c r="R324" t="s">
        <v>1319</v>
      </c>
      <c r="S324">
        <v>2.79129032258064</v>
      </c>
      <c r="T324" t="s">
        <v>1320</v>
      </c>
      <c r="U324">
        <v>-0.85574999999999901</v>
      </c>
      <c r="V324" t="s">
        <v>1321</v>
      </c>
      <c r="W324">
        <v>0.44378785881819699</v>
      </c>
      <c r="X324" t="s">
        <v>1322</v>
      </c>
      <c r="Y324" t="s">
        <v>1395</v>
      </c>
      <c r="Z324" t="s">
        <v>1396</v>
      </c>
      <c r="AA324">
        <v>0</v>
      </c>
      <c r="AB324" t="s">
        <v>1325</v>
      </c>
      <c r="AC324" t="s">
        <v>1326</v>
      </c>
      <c r="AD324" t="s">
        <v>1485</v>
      </c>
      <c r="AE324" t="s">
        <v>1435</v>
      </c>
      <c r="AF324">
        <v>0</v>
      </c>
      <c r="AG324" t="s">
        <v>1328</v>
      </c>
    </row>
    <row r="325" spans="1:33" x14ac:dyDescent="0.3">
      <c r="A325" t="s">
        <v>1455</v>
      </c>
      <c r="B325" t="s">
        <v>1310</v>
      </c>
      <c r="C325">
        <v>0.4</v>
      </c>
      <c r="D325" t="s">
        <v>1311</v>
      </c>
      <c r="E325" t="s">
        <v>1312</v>
      </c>
      <c r="F325">
        <v>0.2</v>
      </c>
      <c r="G325" t="s">
        <v>1351</v>
      </c>
      <c r="H325" t="s">
        <v>1358</v>
      </c>
      <c r="I325" t="str">
        <f t="shared" si="5"/>
        <v>bbands_{'C',  [('delta', 0.4,  -1),  ('delta', 0.2,  2)]}_[35,  70]_3</v>
      </c>
      <c r="J325" t="s">
        <v>1315</v>
      </c>
      <c r="K325">
        <v>247</v>
      </c>
      <c r="L325" t="s">
        <v>1316</v>
      </c>
      <c r="M325">
        <v>56</v>
      </c>
      <c r="N325" t="s">
        <v>1317</v>
      </c>
      <c r="O325">
        <v>-50.527190167420798</v>
      </c>
      <c r="P325" t="s">
        <v>1318</v>
      </c>
      <c r="Q325">
        <v>-0.204563522945023</v>
      </c>
      <c r="R325" t="s">
        <v>1319</v>
      </c>
      <c r="S325">
        <v>1.6540874280759701</v>
      </c>
      <c r="T325" t="s">
        <v>1320</v>
      </c>
      <c r="U325">
        <v>-0.74950830439620497</v>
      </c>
      <c r="V325" t="s">
        <v>1321</v>
      </c>
      <c r="W325">
        <v>0.39297051936295602</v>
      </c>
      <c r="X325" t="s">
        <v>1322</v>
      </c>
      <c r="Y325" t="s">
        <v>1371</v>
      </c>
      <c r="Z325" t="s">
        <v>1372</v>
      </c>
      <c r="AA325">
        <v>0</v>
      </c>
      <c r="AB325" t="s">
        <v>1325</v>
      </c>
      <c r="AC325" t="s">
        <v>1326</v>
      </c>
      <c r="AD325" t="s">
        <v>1482</v>
      </c>
      <c r="AE325" t="s">
        <v>1372</v>
      </c>
      <c r="AF325">
        <v>0</v>
      </c>
      <c r="AG325" t="s">
        <v>1328</v>
      </c>
    </row>
    <row r="326" spans="1:33" x14ac:dyDescent="0.3">
      <c r="A326" t="s">
        <v>1604</v>
      </c>
      <c r="B326" t="s">
        <v>1310</v>
      </c>
      <c r="C326">
        <v>0.3</v>
      </c>
      <c r="D326" t="s">
        <v>1311</v>
      </c>
      <c r="E326" t="s">
        <v>1312</v>
      </c>
      <c r="F326">
        <v>0.15</v>
      </c>
      <c r="G326" t="s">
        <v>1381</v>
      </c>
      <c r="H326" t="s">
        <v>1333</v>
      </c>
      <c r="I326" t="str">
        <f t="shared" si="5"/>
        <v>stoch_{'C',  [('delta', 0.3,  -1),  ('delta', 0.15,  3)]}_[7,  35]_3</v>
      </c>
      <c r="J326" t="s">
        <v>1315</v>
      </c>
      <c r="K326">
        <v>224</v>
      </c>
      <c r="L326" t="s">
        <v>1316</v>
      </c>
      <c r="M326">
        <v>36</v>
      </c>
      <c r="N326" t="s">
        <v>1317</v>
      </c>
      <c r="O326">
        <v>-50.699999999999797</v>
      </c>
      <c r="P326" t="s">
        <v>1318</v>
      </c>
      <c r="Q326">
        <v>-0.22633928571428499</v>
      </c>
      <c r="R326" t="s">
        <v>1319</v>
      </c>
      <c r="S326">
        <v>1.93055555555555</v>
      </c>
      <c r="T326" t="s">
        <v>1320</v>
      </c>
      <c r="U326">
        <v>-0.63936170212765897</v>
      </c>
      <c r="V326" t="s">
        <v>1321</v>
      </c>
      <c r="W326">
        <v>0.39089260200709902</v>
      </c>
      <c r="X326" t="s">
        <v>1322</v>
      </c>
      <c r="Y326" t="s">
        <v>1434</v>
      </c>
      <c r="Z326" t="s">
        <v>1435</v>
      </c>
      <c r="AA326">
        <v>0</v>
      </c>
      <c r="AB326" t="s">
        <v>1325</v>
      </c>
      <c r="AC326" t="s">
        <v>1326</v>
      </c>
      <c r="AD326" t="s">
        <v>1641</v>
      </c>
      <c r="AE326" t="s">
        <v>1435</v>
      </c>
      <c r="AF326">
        <v>0</v>
      </c>
      <c r="AG326" t="s">
        <v>1328</v>
      </c>
    </row>
    <row r="327" spans="1:33" x14ac:dyDescent="0.3">
      <c r="A327" t="s">
        <v>1455</v>
      </c>
      <c r="B327" t="s">
        <v>1310</v>
      </c>
      <c r="C327">
        <v>0.3</v>
      </c>
      <c r="D327" t="s">
        <v>1311</v>
      </c>
      <c r="E327" t="s">
        <v>1312</v>
      </c>
      <c r="F327">
        <v>0.15</v>
      </c>
      <c r="G327" t="s">
        <v>1392</v>
      </c>
      <c r="H327" t="s">
        <v>1346</v>
      </c>
      <c r="I327" t="str">
        <f t="shared" si="5"/>
        <v>bbands_{'C',  [('delta', 0.3,  -1),  ('delta', 0.15,  3)]}_[21,  49]_2</v>
      </c>
      <c r="J327" t="s">
        <v>1315</v>
      </c>
      <c r="K327">
        <v>200</v>
      </c>
      <c r="L327" t="s">
        <v>1316</v>
      </c>
      <c r="M327">
        <v>29</v>
      </c>
      <c r="N327" t="s">
        <v>1317</v>
      </c>
      <c r="O327">
        <v>-51</v>
      </c>
      <c r="P327" t="s">
        <v>1318</v>
      </c>
      <c r="Q327">
        <v>-0.255</v>
      </c>
      <c r="R327" t="s">
        <v>1319</v>
      </c>
      <c r="S327">
        <v>2.40724137931034</v>
      </c>
      <c r="T327" t="s">
        <v>1320</v>
      </c>
      <c r="U327">
        <v>-0.70649122807017595</v>
      </c>
      <c r="V327" t="s">
        <v>1321</v>
      </c>
      <c r="W327">
        <v>0.28913985831906402</v>
      </c>
      <c r="X327" t="s">
        <v>1322</v>
      </c>
      <c r="Y327" t="s">
        <v>1434</v>
      </c>
      <c r="Z327" t="s">
        <v>1435</v>
      </c>
      <c r="AA327">
        <v>0</v>
      </c>
      <c r="AB327" t="s">
        <v>1325</v>
      </c>
      <c r="AC327" t="s">
        <v>1326</v>
      </c>
      <c r="AD327" t="s">
        <v>1495</v>
      </c>
      <c r="AE327" t="s">
        <v>1435</v>
      </c>
      <c r="AF327">
        <v>0</v>
      </c>
      <c r="AG327" t="s">
        <v>1328</v>
      </c>
    </row>
    <row r="328" spans="1:33" x14ac:dyDescent="0.3">
      <c r="A328" t="s">
        <v>1604</v>
      </c>
      <c r="B328" t="s">
        <v>1310</v>
      </c>
      <c r="C328">
        <v>0.3</v>
      </c>
      <c r="D328" t="s">
        <v>1311</v>
      </c>
      <c r="E328" t="s">
        <v>1312</v>
      </c>
      <c r="F328">
        <v>0.15</v>
      </c>
      <c r="G328" t="s">
        <v>1381</v>
      </c>
      <c r="H328" t="s">
        <v>1336</v>
      </c>
      <c r="I328" t="str">
        <f t="shared" si="5"/>
        <v>stoch_{'C',  [('delta', 0.3,  -1),  ('delta', 0.15,  3)]}_[7,  35]_4</v>
      </c>
      <c r="J328" t="s">
        <v>1315</v>
      </c>
      <c r="K328">
        <v>224</v>
      </c>
      <c r="L328" t="s">
        <v>1316</v>
      </c>
      <c r="M328">
        <v>35</v>
      </c>
      <c r="N328" t="s">
        <v>1317</v>
      </c>
      <c r="O328">
        <v>-51.589999999999797</v>
      </c>
      <c r="P328" t="s">
        <v>1318</v>
      </c>
      <c r="Q328">
        <v>-0.230312499999999</v>
      </c>
      <c r="R328" t="s">
        <v>1319</v>
      </c>
      <c r="S328">
        <v>2.048</v>
      </c>
      <c r="T328" t="s">
        <v>1320</v>
      </c>
      <c r="U328">
        <v>-0.65222222222222204</v>
      </c>
      <c r="V328" t="s">
        <v>1321</v>
      </c>
      <c r="W328">
        <v>0.40254750748833101</v>
      </c>
      <c r="X328" t="s">
        <v>1322</v>
      </c>
      <c r="Y328" t="s">
        <v>1642</v>
      </c>
      <c r="Z328" t="s">
        <v>1643</v>
      </c>
      <c r="AA328">
        <v>0</v>
      </c>
      <c r="AB328" t="s">
        <v>1325</v>
      </c>
      <c r="AC328" t="s">
        <v>1326</v>
      </c>
      <c r="AD328" t="s">
        <v>1641</v>
      </c>
      <c r="AE328" t="s">
        <v>1435</v>
      </c>
      <c r="AF328">
        <v>0</v>
      </c>
      <c r="AG328" t="s">
        <v>1328</v>
      </c>
    </row>
    <row r="329" spans="1:33" x14ac:dyDescent="0.3">
      <c r="A329" t="s">
        <v>1604</v>
      </c>
      <c r="B329" t="s">
        <v>1310</v>
      </c>
      <c r="C329">
        <v>0.4</v>
      </c>
      <c r="D329" t="s">
        <v>1311</v>
      </c>
      <c r="E329" t="s">
        <v>1312</v>
      </c>
      <c r="F329">
        <v>0.2</v>
      </c>
      <c r="G329" t="s">
        <v>1403</v>
      </c>
      <c r="H329" t="s">
        <v>1359</v>
      </c>
      <c r="I329" t="str">
        <f t="shared" si="5"/>
        <v>stoch_{'C',  [('delta', 0.4,  -1),  ('delta', 0.2,  3)]}_[35,  70]_4</v>
      </c>
      <c r="J329" t="s">
        <v>1315</v>
      </c>
      <c r="K329">
        <v>291</v>
      </c>
      <c r="L329" t="s">
        <v>1316</v>
      </c>
      <c r="M329">
        <v>35</v>
      </c>
      <c r="N329" t="s">
        <v>1317</v>
      </c>
      <c r="O329">
        <v>-52.159318735840898</v>
      </c>
      <c r="P329" t="s">
        <v>1318</v>
      </c>
      <c r="Q329">
        <v>-0.17924164514034599</v>
      </c>
      <c r="R329" t="s">
        <v>1319</v>
      </c>
      <c r="S329">
        <v>4.0353734993796202</v>
      </c>
      <c r="T329" t="s">
        <v>1320</v>
      </c>
      <c r="U329">
        <v>-0.75545855943018603</v>
      </c>
      <c r="V329" t="s">
        <v>1321</v>
      </c>
      <c r="W329">
        <v>0.63541103068628302</v>
      </c>
      <c r="X329" t="s">
        <v>1322</v>
      </c>
      <c r="Y329" t="s">
        <v>1630</v>
      </c>
      <c r="Z329" t="s">
        <v>1473</v>
      </c>
      <c r="AA329">
        <v>0</v>
      </c>
      <c r="AB329" t="s">
        <v>1325</v>
      </c>
      <c r="AC329" t="s">
        <v>1326</v>
      </c>
      <c r="AD329" t="s">
        <v>1631</v>
      </c>
      <c r="AE329" t="s">
        <v>1534</v>
      </c>
      <c r="AF329">
        <v>0</v>
      </c>
      <c r="AG329" t="s">
        <v>1328</v>
      </c>
    </row>
    <row r="330" spans="1:33" x14ac:dyDescent="0.3">
      <c r="A330" t="s">
        <v>1604</v>
      </c>
      <c r="B330" t="s">
        <v>1310</v>
      </c>
      <c r="C330">
        <v>0.3</v>
      </c>
      <c r="D330" t="s">
        <v>1311</v>
      </c>
      <c r="E330" t="s">
        <v>1312</v>
      </c>
      <c r="F330">
        <v>0.15</v>
      </c>
      <c r="G330" t="s">
        <v>1381</v>
      </c>
      <c r="H330" t="s">
        <v>1337</v>
      </c>
      <c r="I330" t="str">
        <f t="shared" si="5"/>
        <v>stoch_{'C',  [('delta', 0.3,  -1),  ('delta', 0.15,  3)]}_[7,  35]_5</v>
      </c>
      <c r="J330" t="s">
        <v>1315</v>
      </c>
      <c r="K330">
        <v>224</v>
      </c>
      <c r="L330" t="s">
        <v>1316</v>
      </c>
      <c r="M330">
        <v>34</v>
      </c>
      <c r="N330" t="s">
        <v>1317</v>
      </c>
      <c r="O330">
        <v>-52.589999999999797</v>
      </c>
      <c r="P330" t="s">
        <v>1318</v>
      </c>
      <c r="Q330">
        <v>-0.23477678571428501</v>
      </c>
      <c r="R330" t="s">
        <v>1319</v>
      </c>
      <c r="S330">
        <v>2.1058823529411699</v>
      </c>
      <c r="T330" t="s">
        <v>1320</v>
      </c>
      <c r="U330">
        <v>-0.65363157894736801</v>
      </c>
      <c r="V330" t="s">
        <v>1321</v>
      </c>
      <c r="W330">
        <v>0.41546051698096698</v>
      </c>
      <c r="X330" t="s">
        <v>1322</v>
      </c>
      <c r="Y330" t="s">
        <v>1642</v>
      </c>
      <c r="Z330" t="s">
        <v>1643</v>
      </c>
      <c r="AA330">
        <v>0</v>
      </c>
      <c r="AB330" t="s">
        <v>1325</v>
      </c>
      <c r="AC330" t="s">
        <v>1326</v>
      </c>
      <c r="AD330" t="s">
        <v>1641</v>
      </c>
      <c r="AE330" t="s">
        <v>1435</v>
      </c>
      <c r="AF330">
        <v>0</v>
      </c>
      <c r="AG330" t="s">
        <v>1328</v>
      </c>
    </row>
    <row r="331" spans="1:33" x14ac:dyDescent="0.3">
      <c r="A331" t="s">
        <v>1604</v>
      </c>
      <c r="B331" t="s">
        <v>1310</v>
      </c>
      <c r="C331">
        <v>0.4</v>
      </c>
      <c r="D331" t="s">
        <v>1311</v>
      </c>
      <c r="E331" t="s">
        <v>1312</v>
      </c>
      <c r="F331">
        <v>0.2</v>
      </c>
      <c r="G331" t="s">
        <v>1351</v>
      </c>
      <c r="H331" t="s">
        <v>1356</v>
      </c>
      <c r="I331" t="str">
        <f t="shared" si="5"/>
        <v>stoch_{'C',  [('delta', 0.4,  -1),  ('delta', 0.2,  2)]}_[35,  70]_2</v>
      </c>
      <c r="J331" t="s">
        <v>1315</v>
      </c>
      <c r="K331">
        <v>291</v>
      </c>
      <c r="L331" t="s">
        <v>1316</v>
      </c>
      <c r="M331">
        <v>71</v>
      </c>
      <c r="N331" t="s">
        <v>1317</v>
      </c>
      <c r="O331">
        <v>-53.187256893974698</v>
      </c>
      <c r="P331" t="s">
        <v>1318</v>
      </c>
      <c r="Q331">
        <v>-0.182774078673452</v>
      </c>
      <c r="R331" t="s">
        <v>1319</v>
      </c>
      <c r="S331">
        <v>1.4491107374718999</v>
      </c>
      <c r="T331" t="s">
        <v>1320</v>
      </c>
      <c r="U331">
        <v>-0.70942781479309103</v>
      </c>
      <c r="V331" t="s">
        <v>1321</v>
      </c>
      <c r="W331">
        <v>0.36587115315870899</v>
      </c>
      <c r="X331" t="s">
        <v>1322</v>
      </c>
      <c r="Y331" t="s">
        <v>1624</v>
      </c>
      <c r="Z331" t="s">
        <v>1620</v>
      </c>
      <c r="AA331">
        <v>0</v>
      </c>
      <c r="AB331" t="s">
        <v>1325</v>
      </c>
      <c r="AC331" t="s">
        <v>1326</v>
      </c>
      <c r="AD331" t="s">
        <v>1626</v>
      </c>
      <c r="AE331" t="s">
        <v>1582</v>
      </c>
      <c r="AF331">
        <v>0</v>
      </c>
      <c r="AG331" t="s">
        <v>1328</v>
      </c>
    </row>
    <row r="332" spans="1:33" x14ac:dyDescent="0.3">
      <c r="A332" t="s">
        <v>1604</v>
      </c>
      <c r="B332" t="s">
        <v>1310</v>
      </c>
      <c r="C332">
        <v>0.3</v>
      </c>
      <c r="D332" t="s">
        <v>1311</v>
      </c>
      <c r="E332" t="s">
        <v>1312</v>
      </c>
      <c r="F332">
        <v>0.15</v>
      </c>
      <c r="G332" t="s">
        <v>1403</v>
      </c>
      <c r="H332" t="s">
        <v>1360</v>
      </c>
      <c r="I332" t="str">
        <f t="shared" si="5"/>
        <v>stoch_{'C',  [('delta', 0.3,  -1),  ('delta', 0.15,  3)]}_[35,  70]_5</v>
      </c>
      <c r="J332" t="s">
        <v>1315</v>
      </c>
      <c r="K332">
        <v>291</v>
      </c>
      <c r="L332" t="s">
        <v>1316</v>
      </c>
      <c r="M332">
        <v>28</v>
      </c>
      <c r="N332" t="s">
        <v>1317</v>
      </c>
      <c r="O332">
        <v>-53.610981371283501</v>
      </c>
      <c r="P332" t="s">
        <v>1318</v>
      </c>
      <c r="Q332">
        <v>-0.18423017653362</v>
      </c>
      <c r="R332" t="s">
        <v>1319</v>
      </c>
      <c r="S332">
        <v>4.2141289641320103</v>
      </c>
      <c r="T332" t="s">
        <v>1320</v>
      </c>
      <c r="U332">
        <v>-0.65498699376709901</v>
      </c>
      <c r="V332" t="s">
        <v>1321</v>
      </c>
      <c r="W332">
        <v>0.55028703857637395</v>
      </c>
      <c r="X332" t="s">
        <v>1322</v>
      </c>
      <c r="Y332" t="s">
        <v>1645</v>
      </c>
      <c r="Z332" t="s">
        <v>1646</v>
      </c>
      <c r="AA332">
        <v>0</v>
      </c>
      <c r="AB332" t="s">
        <v>1325</v>
      </c>
      <c r="AC332" t="s">
        <v>1326</v>
      </c>
      <c r="AD332" t="s">
        <v>1648</v>
      </c>
      <c r="AE332" t="s">
        <v>1649</v>
      </c>
      <c r="AF332">
        <v>0</v>
      </c>
      <c r="AG332" t="s">
        <v>1328</v>
      </c>
    </row>
    <row r="333" spans="1:33" x14ac:dyDescent="0.3">
      <c r="A333" t="s">
        <v>1455</v>
      </c>
      <c r="B333" t="s">
        <v>1310</v>
      </c>
      <c r="C333">
        <v>0.3</v>
      </c>
      <c r="D333" t="s">
        <v>1311</v>
      </c>
      <c r="E333" t="s">
        <v>1312</v>
      </c>
      <c r="F333">
        <v>0.15</v>
      </c>
      <c r="G333" t="s">
        <v>1392</v>
      </c>
      <c r="H333" t="s">
        <v>1343</v>
      </c>
      <c r="I333" t="str">
        <f t="shared" si="5"/>
        <v>bbands_{'C',  [('delta', 0.3,  -1),  ('delta', 0.15,  3)]}_[21,  49]_1</v>
      </c>
      <c r="J333" t="s">
        <v>1315</v>
      </c>
      <c r="K333">
        <v>200</v>
      </c>
      <c r="L333" t="s">
        <v>1316</v>
      </c>
      <c r="M333">
        <v>39</v>
      </c>
      <c r="N333" t="s">
        <v>1317</v>
      </c>
      <c r="O333">
        <v>-53.85</v>
      </c>
      <c r="P333" t="s">
        <v>1318</v>
      </c>
      <c r="Q333">
        <v>-0.26924999999999999</v>
      </c>
      <c r="R333" t="s">
        <v>1319</v>
      </c>
      <c r="S333">
        <v>1.4671794871794801</v>
      </c>
      <c r="T333" t="s">
        <v>1320</v>
      </c>
      <c r="U333">
        <v>-0.68987577639751596</v>
      </c>
      <c r="V333" t="s">
        <v>1321</v>
      </c>
      <c r="W333">
        <v>0.23515122348721501</v>
      </c>
      <c r="X333" t="s">
        <v>1322</v>
      </c>
      <c r="Y333" t="s">
        <v>1434</v>
      </c>
      <c r="Z333" t="s">
        <v>1435</v>
      </c>
      <c r="AA333">
        <v>0</v>
      </c>
      <c r="AB333" t="s">
        <v>1325</v>
      </c>
      <c r="AC333" t="s">
        <v>1326</v>
      </c>
      <c r="AD333" t="s">
        <v>1495</v>
      </c>
      <c r="AE333" t="s">
        <v>1435</v>
      </c>
      <c r="AF333">
        <v>0</v>
      </c>
      <c r="AG333" t="s">
        <v>1328</v>
      </c>
    </row>
    <row r="334" spans="1:33" x14ac:dyDescent="0.3">
      <c r="A334" t="s">
        <v>1604</v>
      </c>
      <c r="B334" t="s">
        <v>1310</v>
      </c>
      <c r="C334">
        <v>0.5</v>
      </c>
      <c r="D334" t="s">
        <v>1311</v>
      </c>
      <c r="E334" t="s">
        <v>1312</v>
      </c>
      <c r="F334">
        <v>0.3</v>
      </c>
      <c r="G334" t="s">
        <v>1342</v>
      </c>
      <c r="H334" t="s">
        <v>1350</v>
      </c>
      <c r="I334" t="str">
        <f t="shared" si="5"/>
        <v>stoch_{'C',  [('delta', 0.5,  -1),  ('delta', 0.3,  2)]}_[21,  49]_5</v>
      </c>
      <c r="J334" t="s">
        <v>1315</v>
      </c>
      <c r="K334">
        <v>230</v>
      </c>
      <c r="L334" t="s">
        <v>1316</v>
      </c>
      <c r="M334">
        <v>39</v>
      </c>
      <c r="N334" t="s">
        <v>1317</v>
      </c>
      <c r="O334">
        <v>-54.129503625054603</v>
      </c>
      <c r="P334" t="s">
        <v>1318</v>
      </c>
      <c r="Q334">
        <v>-0.23534566793501999</v>
      </c>
      <c r="R334" t="s">
        <v>1319</v>
      </c>
      <c r="S334">
        <v>1.9202564102564099</v>
      </c>
      <c r="T334" t="s">
        <v>1320</v>
      </c>
      <c r="U334">
        <v>-0.67549478337725</v>
      </c>
      <c r="V334" t="s">
        <v>1321</v>
      </c>
      <c r="W334">
        <v>0.428001285318381</v>
      </c>
      <c r="X334" t="s">
        <v>1322</v>
      </c>
      <c r="Y334" t="s">
        <v>1522</v>
      </c>
      <c r="Z334" t="s">
        <v>1523</v>
      </c>
      <c r="AA334">
        <v>0</v>
      </c>
      <c r="AB334" t="s">
        <v>1325</v>
      </c>
      <c r="AC334" t="s">
        <v>1326</v>
      </c>
      <c r="AD334" t="s">
        <v>1612</v>
      </c>
      <c r="AE334" t="s">
        <v>1534</v>
      </c>
      <c r="AF334">
        <v>0</v>
      </c>
      <c r="AG334" t="s">
        <v>1328</v>
      </c>
    </row>
    <row r="335" spans="1:33" x14ac:dyDescent="0.3">
      <c r="A335" t="s">
        <v>1309</v>
      </c>
      <c r="B335" t="s">
        <v>1310</v>
      </c>
      <c r="C335">
        <v>0.3</v>
      </c>
      <c r="D335" t="s">
        <v>1311</v>
      </c>
      <c r="E335" t="s">
        <v>1312</v>
      </c>
      <c r="F335">
        <v>0.15</v>
      </c>
      <c r="G335" t="s">
        <v>1351</v>
      </c>
      <c r="H335" t="s">
        <v>1356</v>
      </c>
      <c r="I335" t="str">
        <f t="shared" si="5"/>
        <v>alltime_{'C',  [('delta', 0.3,  -1),  ('delta', 0.15,  2)]}_[35,  70]_2</v>
      </c>
      <c r="J335" t="s">
        <v>1315</v>
      </c>
      <c r="K335">
        <v>3810</v>
      </c>
      <c r="L335" t="s">
        <v>1316</v>
      </c>
      <c r="M335">
        <v>1502</v>
      </c>
      <c r="N335" t="s">
        <v>1317</v>
      </c>
      <c r="O335">
        <v>-54.5979569216504</v>
      </c>
      <c r="P335" t="s">
        <v>1318</v>
      </c>
      <c r="Q335">
        <v>-1.4330172420380601E-2</v>
      </c>
      <c r="R335" t="s">
        <v>1319</v>
      </c>
      <c r="S335">
        <v>0.96101640227705398</v>
      </c>
      <c r="T335" t="s">
        <v>1320</v>
      </c>
      <c r="U335">
        <v>-0.64906611487944899</v>
      </c>
      <c r="V335" t="s">
        <v>1321</v>
      </c>
      <c r="W335">
        <v>1.95766699320404</v>
      </c>
      <c r="X335" t="s">
        <v>1322</v>
      </c>
      <c r="Y335" t="s">
        <v>1419</v>
      </c>
      <c r="Z335" t="s">
        <v>1420</v>
      </c>
      <c r="AA335">
        <v>0</v>
      </c>
      <c r="AB335" t="s">
        <v>1325</v>
      </c>
      <c r="AC335" t="s">
        <v>1326</v>
      </c>
      <c r="AD335" t="s">
        <v>1422</v>
      </c>
      <c r="AE335" t="s">
        <v>1368</v>
      </c>
      <c r="AF335">
        <v>0</v>
      </c>
      <c r="AG335" t="s">
        <v>1328</v>
      </c>
    </row>
    <row r="336" spans="1:33" x14ac:dyDescent="0.3">
      <c r="A336" t="s">
        <v>1455</v>
      </c>
      <c r="B336" t="s">
        <v>1310</v>
      </c>
      <c r="C336">
        <v>0.5</v>
      </c>
      <c r="D336" t="s">
        <v>1311</v>
      </c>
      <c r="E336" t="s">
        <v>1312</v>
      </c>
      <c r="F336">
        <v>0.3</v>
      </c>
      <c r="G336" t="s">
        <v>1351</v>
      </c>
      <c r="H336" t="s">
        <v>1360</v>
      </c>
      <c r="I336" t="str">
        <f t="shared" si="5"/>
        <v>bbands_{'C',  [('delta', 0.5,  -1),  ('delta', 0.3,  2)]}_[35,  70]_5</v>
      </c>
      <c r="J336" t="s">
        <v>1315</v>
      </c>
      <c r="K336">
        <v>247</v>
      </c>
      <c r="L336" t="s">
        <v>1316</v>
      </c>
      <c r="M336">
        <v>27</v>
      </c>
      <c r="N336" t="s">
        <v>1317</v>
      </c>
      <c r="O336">
        <v>-54.846304011630103</v>
      </c>
      <c r="P336" t="s">
        <v>1318</v>
      </c>
      <c r="Q336">
        <v>-0.22204981381226699</v>
      </c>
      <c r="R336" t="s">
        <v>1319</v>
      </c>
      <c r="S336">
        <v>4.2330583639531802</v>
      </c>
      <c r="T336" t="s">
        <v>1320</v>
      </c>
      <c r="U336">
        <v>-0.76881309017439103</v>
      </c>
      <c r="V336" t="s">
        <v>1321</v>
      </c>
      <c r="W336">
        <v>0.49193809447937897</v>
      </c>
      <c r="X336" t="s">
        <v>1322</v>
      </c>
      <c r="Y336" t="s">
        <v>1470</v>
      </c>
      <c r="Z336" t="s">
        <v>1372</v>
      </c>
      <c r="AA336">
        <v>0</v>
      </c>
      <c r="AB336" t="s">
        <v>1325</v>
      </c>
      <c r="AC336" t="s">
        <v>1326</v>
      </c>
      <c r="AD336" t="s">
        <v>1474</v>
      </c>
      <c r="AE336" t="s">
        <v>1473</v>
      </c>
      <c r="AF336">
        <v>0</v>
      </c>
      <c r="AG336" t="s">
        <v>1328</v>
      </c>
    </row>
    <row r="337" spans="1:33" x14ac:dyDescent="0.3">
      <c r="A337" t="s">
        <v>1455</v>
      </c>
      <c r="B337" t="s">
        <v>1310</v>
      </c>
      <c r="C337">
        <v>0.4</v>
      </c>
      <c r="D337" t="s">
        <v>1311</v>
      </c>
      <c r="E337" t="s">
        <v>1312</v>
      </c>
      <c r="F337">
        <v>0.2</v>
      </c>
      <c r="G337" t="s">
        <v>1351</v>
      </c>
      <c r="H337" t="s">
        <v>1356</v>
      </c>
      <c r="I337" t="str">
        <f t="shared" si="5"/>
        <v>bbands_{'C',  [('delta', 0.4,  -1),  ('delta', 0.2,  2)]}_[35,  70]_2</v>
      </c>
      <c r="J337" t="s">
        <v>1315</v>
      </c>
      <c r="K337">
        <v>247</v>
      </c>
      <c r="L337" t="s">
        <v>1316</v>
      </c>
      <c r="M337">
        <v>58</v>
      </c>
      <c r="N337" t="s">
        <v>1317</v>
      </c>
      <c r="O337">
        <v>-55.326086139675198</v>
      </c>
      <c r="P337" t="s">
        <v>1318</v>
      </c>
      <c r="Q337">
        <v>-0.223992251577632</v>
      </c>
      <c r="R337" t="s">
        <v>1319</v>
      </c>
      <c r="S337">
        <v>1.45879310344827</v>
      </c>
      <c r="T337" t="s">
        <v>1320</v>
      </c>
      <c r="U337">
        <v>-0.74040257216759298</v>
      </c>
      <c r="V337" t="s">
        <v>1321</v>
      </c>
      <c r="W337">
        <v>0.36101785045229601</v>
      </c>
      <c r="X337" t="s">
        <v>1322</v>
      </c>
      <c r="Y337" t="s">
        <v>1371</v>
      </c>
      <c r="Z337" t="s">
        <v>1372</v>
      </c>
      <c r="AA337">
        <v>0</v>
      </c>
      <c r="AB337" t="s">
        <v>1325</v>
      </c>
      <c r="AC337" t="s">
        <v>1326</v>
      </c>
      <c r="AD337" t="s">
        <v>1371</v>
      </c>
      <c r="AE337" t="s">
        <v>1372</v>
      </c>
      <c r="AF337">
        <v>0</v>
      </c>
      <c r="AG337" t="s">
        <v>1328</v>
      </c>
    </row>
    <row r="338" spans="1:33" x14ac:dyDescent="0.3">
      <c r="A338" t="s">
        <v>1455</v>
      </c>
      <c r="B338" t="s">
        <v>1310</v>
      </c>
      <c r="C338">
        <v>0.5</v>
      </c>
      <c r="D338" t="s">
        <v>1311</v>
      </c>
      <c r="E338" t="s">
        <v>1312</v>
      </c>
      <c r="F338">
        <v>0.3</v>
      </c>
      <c r="G338" t="s">
        <v>1351</v>
      </c>
      <c r="H338" t="s">
        <v>1358</v>
      </c>
      <c r="I338" t="str">
        <f t="shared" si="5"/>
        <v>bbands_{'C',  [('delta', 0.5,  -1),  ('delta', 0.3,  2)]}_[35,  70]_3</v>
      </c>
      <c r="J338" t="s">
        <v>1315</v>
      </c>
      <c r="K338">
        <v>247</v>
      </c>
      <c r="L338" t="s">
        <v>1316</v>
      </c>
      <c r="M338">
        <v>34</v>
      </c>
      <c r="N338" t="s">
        <v>1317</v>
      </c>
      <c r="O338">
        <v>-55.418856506294603</v>
      </c>
      <c r="P338" t="s">
        <v>1318</v>
      </c>
      <c r="Q338">
        <v>-0.224367840106456</v>
      </c>
      <c r="R338" t="s">
        <v>1319</v>
      </c>
      <c r="S338">
        <v>3.1324429677693502</v>
      </c>
      <c r="T338" t="s">
        <v>1320</v>
      </c>
      <c r="U338">
        <v>-0.76019679535423801</v>
      </c>
      <c r="V338" t="s">
        <v>1321</v>
      </c>
      <c r="W338">
        <v>0.410878360715275</v>
      </c>
      <c r="X338" t="s">
        <v>1322</v>
      </c>
      <c r="Y338" t="s">
        <v>1470</v>
      </c>
      <c r="Z338" t="s">
        <v>1372</v>
      </c>
      <c r="AA338">
        <v>0</v>
      </c>
      <c r="AB338" t="s">
        <v>1325</v>
      </c>
      <c r="AC338" t="s">
        <v>1326</v>
      </c>
      <c r="AD338" t="s">
        <v>1472</v>
      </c>
      <c r="AE338" t="s">
        <v>1473</v>
      </c>
      <c r="AF338">
        <v>0</v>
      </c>
      <c r="AG338" t="s">
        <v>1328</v>
      </c>
    </row>
    <row r="339" spans="1:33" x14ac:dyDescent="0.3">
      <c r="A339" t="s">
        <v>1309</v>
      </c>
      <c r="B339" t="s">
        <v>1310</v>
      </c>
      <c r="C339">
        <v>0.3</v>
      </c>
      <c r="D339" t="s">
        <v>1311</v>
      </c>
      <c r="E339" t="s">
        <v>1312</v>
      </c>
      <c r="F339">
        <v>0.15</v>
      </c>
      <c r="G339" t="s">
        <v>1403</v>
      </c>
      <c r="H339" t="s">
        <v>1358</v>
      </c>
      <c r="I339" t="str">
        <f t="shared" si="5"/>
        <v>alltime_{'C',  [('delta', 0.3,  -1),  ('delta', 0.15,  3)]}_[35,  70]_3</v>
      </c>
      <c r="J339" t="s">
        <v>1315</v>
      </c>
      <c r="K339">
        <v>3810</v>
      </c>
      <c r="L339" t="s">
        <v>1316</v>
      </c>
      <c r="M339">
        <v>596</v>
      </c>
      <c r="N339" t="s">
        <v>1317</v>
      </c>
      <c r="O339">
        <v>-55.546036936280601</v>
      </c>
      <c r="P339" t="s">
        <v>1318</v>
      </c>
      <c r="Q339">
        <v>-1.4579012319233701E-2</v>
      </c>
      <c r="R339" t="s">
        <v>1319</v>
      </c>
      <c r="S339">
        <v>3.3883521654926101</v>
      </c>
      <c r="T339" t="s">
        <v>1320</v>
      </c>
      <c r="U339">
        <v>-0.64621735520705603</v>
      </c>
      <c r="V339" t="s">
        <v>1321</v>
      </c>
      <c r="W339">
        <v>3.0133170720451101</v>
      </c>
      <c r="X339" t="s">
        <v>1322</v>
      </c>
      <c r="Y339" t="s">
        <v>1446</v>
      </c>
      <c r="Z339" t="s">
        <v>1447</v>
      </c>
    </row>
    <row r="340" spans="1:33" x14ac:dyDescent="0.3">
      <c r="A340" t="s">
        <v>1604</v>
      </c>
      <c r="B340" t="s">
        <v>1310</v>
      </c>
      <c r="C340">
        <v>0.5</v>
      </c>
      <c r="D340" t="s">
        <v>1311</v>
      </c>
      <c r="E340" t="s">
        <v>1312</v>
      </c>
      <c r="F340">
        <v>0.3</v>
      </c>
      <c r="G340" t="s">
        <v>1342</v>
      </c>
      <c r="H340" t="s">
        <v>1349</v>
      </c>
      <c r="I340" t="str">
        <f t="shared" si="5"/>
        <v>stoch_{'C',  [('delta', 0.5,  -1),  ('delta', 0.3,  2)]}_[21,  49]_4</v>
      </c>
      <c r="J340" t="s">
        <v>1315</v>
      </c>
      <c r="K340">
        <v>230</v>
      </c>
      <c r="L340" t="s">
        <v>1316</v>
      </c>
      <c r="M340">
        <v>40</v>
      </c>
      <c r="N340" t="s">
        <v>1317</v>
      </c>
      <c r="O340">
        <v>-55.549503625054697</v>
      </c>
      <c r="P340" t="s">
        <v>1318</v>
      </c>
      <c r="Q340">
        <v>-0.24151958097849799</v>
      </c>
      <c r="R340" t="s">
        <v>1319</v>
      </c>
      <c r="S340">
        <v>1.8107500000000001</v>
      </c>
      <c r="T340" t="s">
        <v>1320</v>
      </c>
      <c r="U340">
        <v>-0.67357633486870905</v>
      </c>
      <c r="V340" t="s">
        <v>1321</v>
      </c>
      <c r="W340">
        <v>0.42127163668932099</v>
      </c>
      <c r="X340" t="s">
        <v>1322</v>
      </c>
      <c r="Y340" t="s">
        <v>1522</v>
      </c>
      <c r="Z340" t="s">
        <v>1523</v>
      </c>
      <c r="AA340">
        <v>0</v>
      </c>
      <c r="AB340" t="s">
        <v>1325</v>
      </c>
      <c r="AC340" t="s">
        <v>1326</v>
      </c>
      <c r="AD340" t="s">
        <v>1612</v>
      </c>
      <c r="AE340" t="s">
        <v>1534</v>
      </c>
      <c r="AF340">
        <v>0</v>
      </c>
      <c r="AG340" t="s">
        <v>1328</v>
      </c>
    </row>
    <row r="341" spans="1:33" x14ac:dyDescent="0.3">
      <c r="A341" t="s">
        <v>1455</v>
      </c>
      <c r="B341" t="s">
        <v>1310</v>
      </c>
      <c r="C341">
        <v>0.3</v>
      </c>
      <c r="D341" t="s">
        <v>1311</v>
      </c>
      <c r="E341" t="s">
        <v>1312</v>
      </c>
      <c r="F341">
        <v>0.15</v>
      </c>
      <c r="G341" t="s">
        <v>1381</v>
      </c>
      <c r="H341" t="s">
        <v>1337</v>
      </c>
      <c r="I341" t="str">
        <f t="shared" si="5"/>
        <v>bbands_{'C',  [('delta', 0.3,  -1),  ('delta', 0.15,  3)]}_[7,  35]_5</v>
      </c>
      <c r="J341" t="s">
        <v>1315</v>
      </c>
      <c r="K341">
        <v>191</v>
      </c>
      <c r="L341" t="s">
        <v>1316</v>
      </c>
      <c r="M341">
        <v>22</v>
      </c>
      <c r="N341" t="s">
        <v>1317</v>
      </c>
      <c r="O341">
        <v>-56.03</v>
      </c>
      <c r="P341" t="s">
        <v>1318</v>
      </c>
      <c r="Q341">
        <v>-0.293350785340314</v>
      </c>
      <c r="R341" t="s">
        <v>1319</v>
      </c>
      <c r="S341">
        <v>3.0872727272727198</v>
      </c>
      <c r="T341" t="s">
        <v>1320</v>
      </c>
      <c r="U341">
        <v>-0.73343195266272199</v>
      </c>
      <c r="V341" t="s">
        <v>1321</v>
      </c>
      <c r="W341">
        <v>0.437950350475036</v>
      </c>
      <c r="X341" t="s">
        <v>1322</v>
      </c>
      <c r="Y341" t="s">
        <v>1493</v>
      </c>
      <c r="Z341" t="s">
        <v>1494</v>
      </c>
      <c r="AA341">
        <v>0</v>
      </c>
      <c r="AB341" t="s">
        <v>1325</v>
      </c>
      <c r="AC341" t="s">
        <v>1326</v>
      </c>
      <c r="AD341" t="s">
        <v>1492</v>
      </c>
      <c r="AE341" t="s">
        <v>1473</v>
      </c>
      <c r="AF341">
        <v>0</v>
      </c>
      <c r="AG341" t="s">
        <v>1328</v>
      </c>
    </row>
    <row r="342" spans="1:33" x14ac:dyDescent="0.3">
      <c r="A342" t="s">
        <v>1604</v>
      </c>
      <c r="B342" t="s">
        <v>1310</v>
      </c>
      <c r="C342">
        <v>0.3</v>
      </c>
      <c r="D342" t="s">
        <v>1311</v>
      </c>
      <c r="E342" t="s">
        <v>1312</v>
      </c>
      <c r="F342">
        <v>0.15</v>
      </c>
      <c r="G342" t="s">
        <v>1392</v>
      </c>
      <c r="H342" t="s">
        <v>1350</v>
      </c>
      <c r="I342" t="str">
        <f t="shared" si="5"/>
        <v>stoch_{'C',  [('delta', 0.3,  -1),  ('delta', 0.15,  3)]}_[21,  49]_5</v>
      </c>
      <c r="J342" t="s">
        <v>1315</v>
      </c>
      <c r="K342">
        <v>230</v>
      </c>
      <c r="L342" t="s">
        <v>1316</v>
      </c>
      <c r="M342">
        <v>27</v>
      </c>
      <c r="N342" t="s">
        <v>1317</v>
      </c>
      <c r="O342">
        <v>-57.829999999999899</v>
      </c>
      <c r="P342" t="s">
        <v>1318</v>
      </c>
      <c r="Q342">
        <v>-0.25143478260869501</v>
      </c>
      <c r="R342" t="s">
        <v>1319</v>
      </c>
      <c r="S342">
        <v>2.6462962962962902</v>
      </c>
      <c r="T342" t="s">
        <v>1320</v>
      </c>
      <c r="U342">
        <v>-0.64</v>
      </c>
      <c r="V342" t="s">
        <v>1321</v>
      </c>
      <c r="W342">
        <v>0.47449345810689297</v>
      </c>
      <c r="X342" t="s">
        <v>1322</v>
      </c>
      <c r="Y342" t="s">
        <v>1645</v>
      </c>
      <c r="Z342" t="s">
        <v>1646</v>
      </c>
      <c r="AA342">
        <v>0</v>
      </c>
      <c r="AB342" t="s">
        <v>1325</v>
      </c>
      <c r="AC342" t="s">
        <v>1326</v>
      </c>
      <c r="AD342" t="s">
        <v>1641</v>
      </c>
      <c r="AE342" t="s">
        <v>1435</v>
      </c>
      <c r="AF342">
        <v>0</v>
      </c>
      <c r="AG342" t="s">
        <v>1328</v>
      </c>
    </row>
    <row r="343" spans="1:33" x14ac:dyDescent="0.3">
      <c r="A343" t="s">
        <v>1309</v>
      </c>
      <c r="B343" t="s">
        <v>1310</v>
      </c>
      <c r="C343">
        <v>0.3</v>
      </c>
      <c r="D343" t="s">
        <v>1311</v>
      </c>
      <c r="E343" t="s">
        <v>1312</v>
      </c>
      <c r="F343">
        <v>0.15</v>
      </c>
      <c r="G343" t="s">
        <v>1392</v>
      </c>
      <c r="H343" t="s">
        <v>1346</v>
      </c>
      <c r="I343" t="str">
        <f t="shared" si="5"/>
        <v>alltime_{'C',  [('delta', 0.3,  -1),  ('delta', 0.15,  3)]}_[21,  49]_2</v>
      </c>
      <c r="J343" t="s">
        <v>1315</v>
      </c>
      <c r="K343">
        <v>3050</v>
      </c>
      <c r="L343" t="s">
        <v>1316</v>
      </c>
      <c r="M343">
        <v>647</v>
      </c>
      <c r="N343" t="s">
        <v>1317</v>
      </c>
      <c r="O343">
        <v>-59.074794470522498</v>
      </c>
      <c r="P343" t="s">
        <v>1318</v>
      </c>
      <c r="Q343">
        <v>-1.93687850723024E-2</v>
      </c>
      <c r="R343" t="s">
        <v>1319</v>
      </c>
      <c r="S343">
        <v>2.1603284502800402</v>
      </c>
      <c r="T343" t="s">
        <v>1320</v>
      </c>
      <c r="U343">
        <v>-0.60675022982161597</v>
      </c>
      <c r="V343" t="s">
        <v>1321</v>
      </c>
      <c r="W343">
        <v>2.1424969834316698</v>
      </c>
      <c r="X343" t="s">
        <v>1322</v>
      </c>
      <c r="Y343" t="s">
        <v>1434</v>
      </c>
      <c r="Z343" t="s">
        <v>1435</v>
      </c>
      <c r="AA343">
        <v>0</v>
      </c>
      <c r="AB343" t="s">
        <v>1325</v>
      </c>
      <c r="AC343" t="s">
        <v>1326</v>
      </c>
      <c r="AD343" t="s">
        <v>1438</v>
      </c>
      <c r="AE343" t="s">
        <v>1399</v>
      </c>
      <c r="AF343">
        <v>0</v>
      </c>
      <c r="AG343" t="s">
        <v>1328</v>
      </c>
    </row>
    <row r="344" spans="1:33" x14ac:dyDescent="0.3">
      <c r="A344" t="s">
        <v>1604</v>
      </c>
      <c r="B344" t="s">
        <v>1310</v>
      </c>
      <c r="C344">
        <v>0.4</v>
      </c>
      <c r="D344" t="s">
        <v>1311</v>
      </c>
      <c r="E344" t="s">
        <v>1312</v>
      </c>
      <c r="F344">
        <v>0.2</v>
      </c>
      <c r="G344" t="s">
        <v>1351</v>
      </c>
      <c r="H344" t="s">
        <v>1358</v>
      </c>
      <c r="I344" t="str">
        <f t="shared" si="5"/>
        <v>stoch_{'C',  [('delta', 0.4,  -1),  ('delta', 0.2,  2)]}_[35,  70]_3</v>
      </c>
      <c r="J344" t="s">
        <v>1315</v>
      </c>
      <c r="K344">
        <v>291</v>
      </c>
      <c r="L344" t="s">
        <v>1316</v>
      </c>
      <c r="M344">
        <v>66</v>
      </c>
      <c r="N344" t="s">
        <v>1317</v>
      </c>
      <c r="O344">
        <v>-59.733432535260803</v>
      </c>
      <c r="P344" t="s">
        <v>1318</v>
      </c>
      <c r="Q344">
        <v>-0.20526952761257999</v>
      </c>
      <c r="R344" t="s">
        <v>1319</v>
      </c>
      <c r="S344">
        <v>1.5235671766838299</v>
      </c>
      <c r="T344" t="s">
        <v>1320</v>
      </c>
      <c r="U344">
        <v>-0.71239496087286103</v>
      </c>
      <c r="V344" t="s">
        <v>1321</v>
      </c>
      <c r="W344">
        <v>0.39665514958415898</v>
      </c>
      <c r="X344" t="s">
        <v>1322</v>
      </c>
      <c r="Y344" t="s">
        <v>1624</v>
      </c>
      <c r="Z344" t="s">
        <v>1620</v>
      </c>
      <c r="AA344">
        <v>0</v>
      </c>
      <c r="AB344" t="s">
        <v>1325</v>
      </c>
      <c r="AC344" t="s">
        <v>1326</v>
      </c>
      <c r="AD344" t="s">
        <v>1627</v>
      </c>
      <c r="AE344" t="s">
        <v>1582</v>
      </c>
      <c r="AF344">
        <v>0</v>
      </c>
      <c r="AG344" t="s">
        <v>1328</v>
      </c>
    </row>
    <row r="345" spans="1:33" x14ac:dyDescent="0.3">
      <c r="A345" t="s">
        <v>1455</v>
      </c>
      <c r="B345" t="s">
        <v>1310</v>
      </c>
      <c r="C345">
        <v>0.3</v>
      </c>
      <c r="D345" t="s">
        <v>1311</v>
      </c>
      <c r="E345" t="s">
        <v>1312</v>
      </c>
      <c r="F345">
        <v>0.15</v>
      </c>
      <c r="G345" t="s">
        <v>1392</v>
      </c>
      <c r="H345" t="s">
        <v>1350</v>
      </c>
      <c r="I345" t="str">
        <f t="shared" si="5"/>
        <v>bbands_{'C',  [('delta', 0.3,  -1),  ('delta', 0.15,  3)]}_[21,  49]_5</v>
      </c>
      <c r="J345" t="s">
        <v>1315</v>
      </c>
      <c r="K345">
        <v>200</v>
      </c>
      <c r="L345" t="s">
        <v>1316</v>
      </c>
      <c r="M345">
        <v>15</v>
      </c>
      <c r="N345" t="s">
        <v>1317</v>
      </c>
      <c r="O345">
        <v>-60.06</v>
      </c>
      <c r="P345" t="s">
        <v>1318</v>
      </c>
      <c r="Q345">
        <v>-0.30030000000000001</v>
      </c>
      <c r="R345" t="s">
        <v>1319</v>
      </c>
      <c r="S345">
        <v>4.8600000000000003</v>
      </c>
      <c r="T345" t="s">
        <v>1320</v>
      </c>
      <c r="U345">
        <v>-0.71870270270270198</v>
      </c>
      <c r="V345" t="s">
        <v>1321</v>
      </c>
      <c r="W345">
        <v>0.44113997918396802</v>
      </c>
      <c r="X345" t="s">
        <v>1322</v>
      </c>
      <c r="Y345" t="s">
        <v>1443</v>
      </c>
      <c r="Z345" t="s">
        <v>1444</v>
      </c>
      <c r="AA345">
        <v>0</v>
      </c>
      <c r="AB345" t="s">
        <v>1325</v>
      </c>
      <c r="AC345" t="s">
        <v>1326</v>
      </c>
      <c r="AD345" t="s">
        <v>1496</v>
      </c>
      <c r="AE345" t="s">
        <v>1435</v>
      </c>
      <c r="AF345">
        <v>0</v>
      </c>
      <c r="AG345" t="s">
        <v>1328</v>
      </c>
    </row>
    <row r="346" spans="1:33" x14ac:dyDescent="0.3">
      <c r="A346" t="s">
        <v>1604</v>
      </c>
      <c r="B346" t="s">
        <v>1310</v>
      </c>
      <c r="C346">
        <v>0.4</v>
      </c>
      <c r="D346" t="s">
        <v>1311</v>
      </c>
      <c r="E346" t="s">
        <v>1312</v>
      </c>
      <c r="F346">
        <v>0.2</v>
      </c>
      <c r="G346" t="s">
        <v>1351</v>
      </c>
      <c r="H346" t="s">
        <v>1360</v>
      </c>
      <c r="I346" t="str">
        <f t="shared" si="5"/>
        <v>stoch_{'C',  [('delta', 0.4,  -1),  ('delta', 0.2,  2)]}_[35,  70]_5</v>
      </c>
      <c r="J346" t="s">
        <v>1315</v>
      </c>
      <c r="K346">
        <v>291</v>
      </c>
      <c r="L346" t="s">
        <v>1316</v>
      </c>
      <c r="M346">
        <v>63</v>
      </c>
      <c r="N346" t="s">
        <v>1317</v>
      </c>
      <c r="O346">
        <v>-60.493432535260901</v>
      </c>
      <c r="P346" t="s">
        <v>1318</v>
      </c>
      <c r="Q346">
        <v>-0.207881211461377</v>
      </c>
      <c r="R346" t="s">
        <v>1319</v>
      </c>
      <c r="S346">
        <v>1.6488164073195699</v>
      </c>
      <c r="T346" t="s">
        <v>1320</v>
      </c>
      <c r="U346">
        <v>-0.72091607980874495</v>
      </c>
      <c r="V346" t="s">
        <v>1321</v>
      </c>
      <c r="W346">
        <v>0.43821277860374303</v>
      </c>
      <c r="X346" t="s">
        <v>1322</v>
      </c>
      <c r="Y346" t="s">
        <v>1628</v>
      </c>
      <c r="Z346" t="s">
        <v>1629</v>
      </c>
      <c r="AA346">
        <v>0</v>
      </c>
      <c r="AB346" t="s">
        <v>1325</v>
      </c>
      <c r="AC346" t="s">
        <v>1326</v>
      </c>
      <c r="AD346" t="s">
        <v>1627</v>
      </c>
      <c r="AE346" t="s">
        <v>1582</v>
      </c>
      <c r="AF346">
        <v>0</v>
      </c>
      <c r="AG346" t="s">
        <v>1328</v>
      </c>
    </row>
    <row r="347" spans="1:33" x14ac:dyDescent="0.3">
      <c r="A347" t="s">
        <v>1309</v>
      </c>
      <c r="B347" t="s">
        <v>1310</v>
      </c>
      <c r="C347">
        <v>0.4</v>
      </c>
      <c r="D347" t="s">
        <v>1311</v>
      </c>
      <c r="E347" t="s">
        <v>1312</v>
      </c>
      <c r="F347">
        <v>0.2</v>
      </c>
      <c r="G347" t="s">
        <v>1392</v>
      </c>
      <c r="H347" t="s">
        <v>1348</v>
      </c>
      <c r="I347" t="str">
        <f t="shared" si="5"/>
        <v>alltime_{'C',  [('delta', 0.4,  -1),  ('delta', 0.2,  3)]}_[21,  49]_3</v>
      </c>
      <c r="J347" t="s">
        <v>1315</v>
      </c>
      <c r="K347">
        <v>3050</v>
      </c>
      <c r="L347" t="s">
        <v>1316</v>
      </c>
      <c r="M347">
        <v>522</v>
      </c>
      <c r="N347" t="s">
        <v>1317</v>
      </c>
      <c r="O347">
        <v>-61.131751370713303</v>
      </c>
      <c r="P347" t="s">
        <v>1318</v>
      </c>
      <c r="Q347">
        <v>-2.0043197170725599E-2</v>
      </c>
      <c r="R347" t="s">
        <v>1319</v>
      </c>
      <c r="S347">
        <v>3.2560670333374402</v>
      </c>
      <c r="T347" t="s">
        <v>1320</v>
      </c>
      <c r="U347">
        <v>-0.69651849002090305</v>
      </c>
      <c r="V347" t="s">
        <v>1321</v>
      </c>
      <c r="W347">
        <v>2.9106021257383401</v>
      </c>
      <c r="X347" t="s">
        <v>1322</v>
      </c>
      <c r="Y347" t="s">
        <v>1395</v>
      </c>
      <c r="Z347" t="s">
        <v>1396</v>
      </c>
      <c r="AA347">
        <v>0</v>
      </c>
      <c r="AB347" t="s">
        <v>1325</v>
      </c>
      <c r="AC347" t="s">
        <v>1326</v>
      </c>
      <c r="AD347" t="s">
        <v>1398</v>
      </c>
      <c r="AE347" t="s">
        <v>1399</v>
      </c>
      <c r="AF347">
        <v>0</v>
      </c>
      <c r="AG347" t="s">
        <v>1328</v>
      </c>
    </row>
    <row r="348" spans="1:33" x14ac:dyDescent="0.3">
      <c r="A348" t="s">
        <v>1455</v>
      </c>
      <c r="B348" t="s">
        <v>1310</v>
      </c>
      <c r="C348">
        <v>0.5</v>
      </c>
      <c r="D348" t="s">
        <v>1311</v>
      </c>
      <c r="E348" t="s">
        <v>1312</v>
      </c>
      <c r="F348">
        <v>0.3</v>
      </c>
      <c r="G348" t="s">
        <v>1351</v>
      </c>
      <c r="H348" t="s">
        <v>1359</v>
      </c>
      <c r="I348" t="str">
        <f t="shared" si="5"/>
        <v>bbands_{'C',  [('delta', 0.5,  -1),  ('delta', 0.3,  2)]}_[35,  70]_4</v>
      </c>
      <c r="J348" t="s">
        <v>1315</v>
      </c>
      <c r="K348">
        <v>247</v>
      </c>
      <c r="L348" t="s">
        <v>1316</v>
      </c>
      <c r="M348">
        <v>28</v>
      </c>
      <c r="N348" t="s">
        <v>1317</v>
      </c>
      <c r="O348">
        <v>-65.486304011630196</v>
      </c>
      <c r="P348" t="s">
        <v>1318</v>
      </c>
      <c r="Q348">
        <v>-0.26512673688919097</v>
      </c>
      <c r="R348" t="s">
        <v>1319</v>
      </c>
      <c r="S348">
        <v>3.6765205652405699</v>
      </c>
      <c r="T348" t="s">
        <v>1320</v>
      </c>
      <c r="U348">
        <v>-0.769081643097562</v>
      </c>
      <c r="V348" t="s">
        <v>1321</v>
      </c>
      <c r="W348">
        <v>0.46243784229078999</v>
      </c>
      <c r="X348" t="s">
        <v>1322</v>
      </c>
      <c r="Y348" t="s">
        <v>1470</v>
      </c>
      <c r="Z348" t="s">
        <v>1372</v>
      </c>
      <c r="AA348">
        <v>0</v>
      </c>
      <c r="AB348" t="s">
        <v>1325</v>
      </c>
      <c r="AC348" t="s">
        <v>1326</v>
      </c>
      <c r="AD348" t="s">
        <v>1474</v>
      </c>
      <c r="AE348" t="s">
        <v>1473</v>
      </c>
      <c r="AF348">
        <v>0</v>
      </c>
      <c r="AG348" t="s">
        <v>1328</v>
      </c>
    </row>
    <row r="349" spans="1:33" x14ac:dyDescent="0.3">
      <c r="A349" t="s">
        <v>1604</v>
      </c>
      <c r="B349" t="s">
        <v>1310</v>
      </c>
      <c r="C349">
        <v>0.4</v>
      </c>
      <c r="D349" t="s">
        <v>1311</v>
      </c>
      <c r="E349" t="s">
        <v>1312</v>
      </c>
      <c r="F349">
        <v>0.2</v>
      </c>
      <c r="G349" t="s">
        <v>1351</v>
      </c>
      <c r="H349" t="s">
        <v>1359</v>
      </c>
      <c r="I349" t="str">
        <f t="shared" si="5"/>
        <v>stoch_{'C',  [('delta', 0.4,  -1),  ('delta', 0.2,  2)]}_[35,  70]_4</v>
      </c>
      <c r="J349" t="s">
        <v>1315</v>
      </c>
      <c r="K349">
        <v>291</v>
      </c>
      <c r="L349" t="s">
        <v>1316</v>
      </c>
      <c r="M349">
        <v>63</v>
      </c>
      <c r="N349" t="s">
        <v>1317</v>
      </c>
      <c r="O349">
        <v>-66.063432535260802</v>
      </c>
      <c r="P349" t="s">
        <v>1318</v>
      </c>
      <c r="Q349">
        <v>-0.22702210493216701</v>
      </c>
      <c r="R349" t="s">
        <v>1319</v>
      </c>
      <c r="S349">
        <v>1.5604037089068701</v>
      </c>
      <c r="T349" t="s">
        <v>1320</v>
      </c>
      <c r="U349">
        <v>-0.72091607980874495</v>
      </c>
      <c r="V349" t="s">
        <v>1321</v>
      </c>
      <c r="W349">
        <v>0.43125019576659601</v>
      </c>
      <c r="X349" t="s">
        <v>1322</v>
      </c>
      <c r="Y349" t="s">
        <v>1628</v>
      </c>
      <c r="Z349" t="s">
        <v>1629</v>
      </c>
      <c r="AA349">
        <v>0</v>
      </c>
      <c r="AB349" t="s">
        <v>1325</v>
      </c>
      <c r="AC349" t="s">
        <v>1326</v>
      </c>
      <c r="AD349" t="s">
        <v>1627</v>
      </c>
      <c r="AE349" t="s">
        <v>1582</v>
      </c>
      <c r="AF349">
        <v>0</v>
      </c>
      <c r="AG349" t="s">
        <v>1328</v>
      </c>
    </row>
    <row r="350" spans="1:33" x14ac:dyDescent="0.3">
      <c r="A350" t="s">
        <v>1604</v>
      </c>
      <c r="B350" t="s">
        <v>1310</v>
      </c>
      <c r="C350">
        <v>0.5</v>
      </c>
      <c r="D350" t="s">
        <v>1311</v>
      </c>
      <c r="E350" t="s">
        <v>1312</v>
      </c>
      <c r="F350">
        <v>0.3</v>
      </c>
      <c r="G350" t="s">
        <v>1351</v>
      </c>
      <c r="H350" t="s">
        <v>1358</v>
      </c>
      <c r="I350" t="str">
        <f t="shared" si="5"/>
        <v>stoch_{'C',  [('delta', 0.5,  -1),  ('delta', 0.3,  2)]}_[35,  70]_3</v>
      </c>
      <c r="J350" t="s">
        <v>1315</v>
      </c>
      <c r="K350">
        <v>291</v>
      </c>
      <c r="L350" t="s">
        <v>1316</v>
      </c>
      <c r="M350">
        <v>38</v>
      </c>
      <c r="N350" t="s">
        <v>1317</v>
      </c>
      <c r="O350">
        <v>-69.298200756572896</v>
      </c>
      <c r="P350" t="s">
        <v>1318</v>
      </c>
      <c r="Q350">
        <v>-0.23813814692980301</v>
      </c>
      <c r="R350" t="s">
        <v>1319</v>
      </c>
      <c r="S350">
        <v>2.97253542370653</v>
      </c>
      <c r="T350" t="s">
        <v>1320</v>
      </c>
      <c r="U350">
        <v>-0.72037370299375902</v>
      </c>
      <c r="V350" t="s">
        <v>1321</v>
      </c>
      <c r="W350">
        <v>0.50033234545758698</v>
      </c>
      <c r="X350" t="s">
        <v>1322</v>
      </c>
      <c r="Y350" t="s">
        <v>1614</v>
      </c>
      <c r="Z350" t="s">
        <v>1615</v>
      </c>
    </row>
    <row r="351" spans="1:33" x14ac:dyDescent="0.3">
      <c r="A351" t="s">
        <v>1309</v>
      </c>
      <c r="B351" t="s">
        <v>1310</v>
      </c>
      <c r="C351">
        <v>0.4</v>
      </c>
      <c r="D351" t="s">
        <v>1311</v>
      </c>
      <c r="E351" t="s">
        <v>1312</v>
      </c>
      <c r="F351">
        <v>0.2</v>
      </c>
      <c r="G351" t="s">
        <v>1381</v>
      </c>
      <c r="H351" t="s">
        <v>1333</v>
      </c>
      <c r="I351" t="str">
        <f t="shared" si="5"/>
        <v>alltime_{'C',  [('delta', 0.4,  -1),  ('delta', 0.2,  3)]}_[7,  35]_3</v>
      </c>
      <c r="J351" t="s">
        <v>1315</v>
      </c>
      <c r="K351">
        <v>3073</v>
      </c>
      <c r="L351" t="s">
        <v>1316</v>
      </c>
      <c r="M351">
        <v>619</v>
      </c>
      <c r="N351" t="s">
        <v>1317</v>
      </c>
      <c r="O351">
        <v>-75.909523318051697</v>
      </c>
      <c r="P351" t="s">
        <v>1318</v>
      </c>
      <c r="Q351">
        <v>-2.4702090243427101E-2</v>
      </c>
      <c r="R351" t="s">
        <v>1319</v>
      </c>
      <c r="S351">
        <v>2.6443579489506499</v>
      </c>
      <c r="T351" t="s">
        <v>1320</v>
      </c>
      <c r="U351">
        <v>-0.69794910094478302</v>
      </c>
      <c r="V351" t="s">
        <v>1321</v>
      </c>
      <c r="W351">
        <v>3.0558152415516702</v>
      </c>
      <c r="X351" t="s">
        <v>1322</v>
      </c>
      <c r="Y351" t="s">
        <v>1382</v>
      </c>
      <c r="Z351" t="s">
        <v>1383</v>
      </c>
      <c r="AA351">
        <v>0</v>
      </c>
      <c r="AB351" t="s">
        <v>1325</v>
      </c>
      <c r="AC351" t="s">
        <v>1326</v>
      </c>
      <c r="AD351" t="s">
        <v>1388</v>
      </c>
      <c r="AE351" t="s">
        <v>1389</v>
      </c>
      <c r="AF351">
        <v>0</v>
      </c>
      <c r="AG351" t="s">
        <v>1328</v>
      </c>
    </row>
    <row r="352" spans="1:33" x14ac:dyDescent="0.3">
      <c r="A352" t="s">
        <v>1604</v>
      </c>
      <c r="B352" t="s">
        <v>1310</v>
      </c>
      <c r="C352">
        <v>0.5</v>
      </c>
      <c r="D352" t="s">
        <v>1311</v>
      </c>
      <c r="E352" t="s">
        <v>1312</v>
      </c>
      <c r="F352">
        <v>0.3</v>
      </c>
      <c r="G352" t="s">
        <v>1351</v>
      </c>
      <c r="H352" t="s">
        <v>1360</v>
      </c>
      <c r="I352" t="str">
        <f t="shared" si="5"/>
        <v>stoch_{'C',  [('delta', 0.5,  -1),  ('delta', 0.3,  2)]}_[35,  70]_5</v>
      </c>
      <c r="J352" t="s">
        <v>1315</v>
      </c>
      <c r="K352">
        <v>291</v>
      </c>
      <c r="L352" t="s">
        <v>1316</v>
      </c>
      <c r="M352">
        <v>29</v>
      </c>
      <c r="N352" t="s">
        <v>1317</v>
      </c>
      <c r="O352">
        <v>-77.067096728827195</v>
      </c>
      <c r="P352" t="s">
        <v>1318</v>
      </c>
      <c r="Q352">
        <v>-0.26483538394785999</v>
      </c>
      <c r="R352" t="s">
        <v>1319</v>
      </c>
      <c r="S352">
        <v>3.8764637975377099</v>
      </c>
      <c r="T352" t="s">
        <v>1320</v>
      </c>
      <c r="U352">
        <v>-0.72322346128786597</v>
      </c>
      <c r="V352" t="s">
        <v>1321</v>
      </c>
      <c r="W352">
        <v>0.550077929295826</v>
      </c>
      <c r="X352" t="s">
        <v>1322</v>
      </c>
      <c r="Y352" t="s">
        <v>1614</v>
      </c>
      <c r="Z352" t="s">
        <v>1615</v>
      </c>
    </row>
    <row r="353" spans="1:33" x14ac:dyDescent="0.3">
      <c r="A353" t="s">
        <v>1604</v>
      </c>
      <c r="B353" t="s">
        <v>1310</v>
      </c>
      <c r="C353">
        <v>0.5</v>
      </c>
      <c r="D353" t="s">
        <v>1311</v>
      </c>
      <c r="E353" t="s">
        <v>1312</v>
      </c>
      <c r="F353">
        <v>0.3</v>
      </c>
      <c r="G353" t="s">
        <v>1351</v>
      </c>
      <c r="H353" t="s">
        <v>1359</v>
      </c>
      <c r="I353" t="str">
        <f t="shared" si="5"/>
        <v>stoch_{'C',  [('delta', 0.5,  -1),  ('delta', 0.3,  2)]}_[35,  70]_4</v>
      </c>
      <c r="J353" t="s">
        <v>1315</v>
      </c>
      <c r="K353">
        <v>291</v>
      </c>
      <c r="L353" t="s">
        <v>1316</v>
      </c>
      <c r="M353">
        <v>30</v>
      </c>
      <c r="N353" t="s">
        <v>1317</v>
      </c>
      <c r="O353">
        <v>-81.000642035419901</v>
      </c>
      <c r="P353" t="s">
        <v>1318</v>
      </c>
      <c r="Q353">
        <v>-0.27835272177120202</v>
      </c>
      <c r="R353" t="s">
        <v>1319</v>
      </c>
      <c r="S353">
        <v>3.5984634940667002</v>
      </c>
      <c r="T353" t="s">
        <v>1320</v>
      </c>
      <c r="U353">
        <v>-0.72396378106291603</v>
      </c>
      <c r="V353" t="s">
        <v>1321</v>
      </c>
      <c r="W353">
        <v>0.542686472509194</v>
      </c>
      <c r="X353" t="s">
        <v>1322</v>
      </c>
      <c r="Y353" t="s">
        <v>1614</v>
      </c>
      <c r="Z353" t="s">
        <v>1615</v>
      </c>
    </row>
    <row r="354" spans="1:33" x14ac:dyDescent="0.3">
      <c r="A354" t="s">
        <v>1309</v>
      </c>
      <c r="B354" t="s">
        <v>1310</v>
      </c>
      <c r="C354">
        <v>0.5</v>
      </c>
      <c r="D354" t="s">
        <v>1311</v>
      </c>
      <c r="E354" t="s">
        <v>1312</v>
      </c>
      <c r="F354">
        <v>0.3</v>
      </c>
      <c r="G354" t="s">
        <v>1342</v>
      </c>
      <c r="H354" t="s">
        <v>1349</v>
      </c>
      <c r="I354" t="str">
        <f t="shared" si="5"/>
        <v>alltime_{'C',  [('delta', 0.5,  -1),  ('delta', 0.3,  2)]}_[21,  49]_4</v>
      </c>
      <c r="J354" t="s">
        <v>1315</v>
      </c>
      <c r="K354">
        <v>3050</v>
      </c>
      <c r="L354" t="s">
        <v>1316</v>
      </c>
      <c r="M354">
        <v>607</v>
      </c>
      <c r="N354" t="s">
        <v>1317</v>
      </c>
      <c r="O354">
        <v>-106.761241289266</v>
      </c>
      <c r="P354" t="s">
        <v>1318</v>
      </c>
      <c r="Q354">
        <v>-3.5003685668611798E-2</v>
      </c>
      <c r="R354" t="s">
        <v>1319</v>
      </c>
      <c r="S354">
        <v>2.5662438220757799</v>
      </c>
      <c r="T354" t="s">
        <v>1320</v>
      </c>
      <c r="U354">
        <v>-0.68132265300419603</v>
      </c>
      <c r="V354" t="s">
        <v>1321</v>
      </c>
      <c r="W354">
        <v>2.88093386609235</v>
      </c>
      <c r="X354" t="s">
        <v>1322</v>
      </c>
      <c r="Y354" t="s">
        <v>1330</v>
      </c>
      <c r="Z354" t="s">
        <v>1331</v>
      </c>
      <c r="AA354">
        <v>0</v>
      </c>
      <c r="AB354" t="s">
        <v>1325</v>
      </c>
      <c r="AC354" t="s">
        <v>1326</v>
      </c>
      <c r="AD354" t="s">
        <v>1347</v>
      </c>
      <c r="AE354" t="s">
        <v>1331</v>
      </c>
      <c r="AF354">
        <v>0</v>
      </c>
      <c r="AG354" t="s">
        <v>1328</v>
      </c>
    </row>
    <row r="355" spans="1:33" x14ac:dyDescent="0.3">
      <c r="A355" t="s">
        <v>1309</v>
      </c>
      <c r="B355" t="s">
        <v>1310</v>
      </c>
      <c r="C355">
        <v>0.4</v>
      </c>
      <c r="D355" t="s">
        <v>1311</v>
      </c>
      <c r="E355" t="s">
        <v>1312</v>
      </c>
      <c r="F355">
        <v>0.2</v>
      </c>
      <c r="G355" t="s">
        <v>1403</v>
      </c>
      <c r="H355" t="s">
        <v>1356</v>
      </c>
      <c r="I355" t="str">
        <f t="shared" si="5"/>
        <v>alltime_{'C',  [('delta', 0.4,  -1),  ('delta', 0.2,  3)]}_[35,  70]_2</v>
      </c>
      <c r="J355" t="s">
        <v>1315</v>
      </c>
      <c r="K355">
        <v>3810</v>
      </c>
      <c r="L355" t="s">
        <v>1316</v>
      </c>
      <c r="M355">
        <v>800</v>
      </c>
      <c r="N355" t="s">
        <v>1317</v>
      </c>
      <c r="O355">
        <v>-111.565530721586</v>
      </c>
      <c r="P355" t="s">
        <v>1318</v>
      </c>
      <c r="Q355">
        <v>-2.9282291527975401E-2</v>
      </c>
      <c r="R355" t="s">
        <v>1319</v>
      </c>
      <c r="S355">
        <v>2.5954746562610098</v>
      </c>
      <c r="T355" t="s">
        <v>1320</v>
      </c>
      <c r="U355">
        <v>-0.726892111538335</v>
      </c>
      <c r="V355" t="s">
        <v>1321</v>
      </c>
      <c r="W355">
        <v>2.4895765266170402</v>
      </c>
      <c r="X355" t="s">
        <v>1322</v>
      </c>
      <c r="Y355" t="s">
        <v>1404</v>
      </c>
      <c r="Z355" t="s">
        <v>1372</v>
      </c>
      <c r="AA355">
        <v>0</v>
      </c>
      <c r="AB355" t="s">
        <v>1325</v>
      </c>
      <c r="AC355" t="s">
        <v>1326</v>
      </c>
      <c r="AD355" t="s">
        <v>1407</v>
      </c>
      <c r="AE355" t="s">
        <v>1408</v>
      </c>
      <c r="AF355">
        <v>0</v>
      </c>
      <c r="AG355" t="s">
        <v>1328</v>
      </c>
    </row>
    <row r="356" spans="1:33" x14ac:dyDescent="0.3">
      <c r="A356" t="s">
        <v>1309</v>
      </c>
      <c r="B356" t="s">
        <v>1310</v>
      </c>
      <c r="C356">
        <v>0.4</v>
      </c>
      <c r="D356" t="s">
        <v>1311</v>
      </c>
      <c r="E356" t="s">
        <v>1312</v>
      </c>
      <c r="F356">
        <v>0.2</v>
      </c>
      <c r="G356" t="s">
        <v>1351</v>
      </c>
      <c r="H356" t="s">
        <v>1352</v>
      </c>
      <c r="I356" t="str">
        <f t="shared" si="5"/>
        <v>alltime_{'C',  [('delta', 0.4,  -1),  ('delta', 0.2,  2)]}_[35,  70]_1</v>
      </c>
      <c r="J356" t="s">
        <v>1315</v>
      </c>
      <c r="K356">
        <v>3810</v>
      </c>
      <c r="L356" t="s">
        <v>1316</v>
      </c>
      <c r="M356">
        <v>1371</v>
      </c>
      <c r="N356" t="s">
        <v>1317</v>
      </c>
      <c r="O356">
        <v>-115.278914238966</v>
      </c>
      <c r="P356" t="s">
        <v>1318</v>
      </c>
      <c r="Q356">
        <v>-3.0256932871119802E-2</v>
      </c>
      <c r="R356" t="s">
        <v>1319</v>
      </c>
      <c r="S356">
        <v>1.1256530423794899</v>
      </c>
      <c r="T356" t="s">
        <v>1320</v>
      </c>
      <c r="U356">
        <v>-0.68001198660977502</v>
      </c>
      <c r="V356" t="s">
        <v>1321</v>
      </c>
      <c r="W356">
        <v>1.70282834518355</v>
      </c>
      <c r="X356" t="s">
        <v>1322</v>
      </c>
      <c r="Y356" t="s">
        <v>1371</v>
      </c>
      <c r="Z356" t="s">
        <v>1372</v>
      </c>
      <c r="AA356">
        <v>0</v>
      </c>
      <c r="AB356" t="s">
        <v>1325</v>
      </c>
      <c r="AC356" t="s">
        <v>1326</v>
      </c>
      <c r="AD356" t="s">
        <v>1373</v>
      </c>
      <c r="AE356" t="s">
        <v>1331</v>
      </c>
      <c r="AF356">
        <v>0</v>
      </c>
      <c r="AG356" t="s">
        <v>1328</v>
      </c>
    </row>
    <row r="357" spans="1:33" x14ac:dyDescent="0.3">
      <c r="A357" t="s">
        <v>1309</v>
      </c>
      <c r="B357" t="s">
        <v>1310</v>
      </c>
      <c r="C357">
        <v>0.5</v>
      </c>
      <c r="D357" t="s">
        <v>1311</v>
      </c>
      <c r="E357" t="s">
        <v>1312</v>
      </c>
      <c r="F357">
        <v>0.3</v>
      </c>
      <c r="G357" t="s">
        <v>1342</v>
      </c>
      <c r="H357" t="s">
        <v>1343</v>
      </c>
      <c r="I357" t="str">
        <f t="shared" si="5"/>
        <v>alltime_{'C',  [('delta', 0.5,  -1),  ('delta', 0.3,  2)]}_[21,  49]_1</v>
      </c>
      <c r="J357" t="s">
        <v>1315</v>
      </c>
      <c r="K357">
        <v>3050</v>
      </c>
      <c r="L357" t="s">
        <v>1316</v>
      </c>
      <c r="M357">
        <v>943</v>
      </c>
      <c r="N357" t="s">
        <v>1317</v>
      </c>
      <c r="O357">
        <v>-142.00967343581101</v>
      </c>
      <c r="P357" t="s">
        <v>1650</v>
      </c>
      <c r="Q357">
        <v>-4.6560548667479197E-2</v>
      </c>
      <c r="R357" t="s">
        <v>1319</v>
      </c>
      <c r="S357">
        <v>1.3070854378085399</v>
      </c>
      <c r="T357" t="s">
        <v>1320</v>
      </c>
      <c r="U357">
        <v>-0.65239261570444096</v>
      </c>
      <c r="V357" t="s">
        <v>1321</v>
      </c>
      <c r="W357">
        <v>1.5729856802418001</v>
      </c>
      <c r="X357" t="s">
        <v>1322</v>
      </c>
      <c r="Y357" t="s">
        <v>1344</v>
      </c>
      <c r="Z357" t="s">
        <v>1331</v>
      </c>
      <c r="AA357">
        <v>0</v>
      </c>
      <c r="AB357" t="s">
        <v>1325</v>
      </c>
      <c r="AC357" t="s">
        <v>1326</v>
      </c>
      <c r="AD357" t="s">
        <v>1345</v>
      </c>
      <c r="AE357" t="s">
        <v>1331</v>
      </c>
      <c r="AF357">
        <v>0</v>
      </c>
      <c r="AG357" t="s">
        <v>1328</v>
      </c>
    </row>
    <row r="358" spans="1:33" x14ac:dyDescent="0.3">
      <c r="A358" t="s">
        <v>1309</v>
      </c>
      <c r="B358" t="s">
        <v>1310</v>
      </c>
      <c r="C358">
        <v>0.4</v>
      </c>
      <c r="D358" t="s">
        <v>1311</v>
      </c>
      <c r="E358" t="s">
        <v>1312</v>
      </c>
      <c r="F358">
        <v>0.2</v>
      </c>
      <c r="G358" t="s">
        <v>1381</v>
      </c>
      <c r="H358" t="s">
        <v>1314</v>
      </c>
      <c r="I358" t="str">
        <f t="shared" si="5"/>
        <v>alltime_{'C',  [('delta', 0.4,  -1),  ('delta', 0.2,  3)]}_[7,  35]_1</v>
      </c>
      <c r="J358" t="s">
        <v>1315</v>
      </c>
      <c r="K358">
        <v>3073</v>
      </c>
      <c r="L358" t="s">
        <v>1316</v>
      </c>
      <c r="M358">
        <v>883</v>
      </c>
      <c r="N358" t="s">
        <v>1317</v>
      </c>
      <c r="O358">
        <v>-150.21952331805201</v>
      </c>
      <c r="P358" t="s">
        <v>1318</v>
      </c>
      <c r="Q358">
        <v>-4.8883671759860699E-2</v>
      </c>
      <c r="R358" t="s">
        <v>1319</v>
      </c>
      <c r="S358">
        <v>1.51008784869813</v>
      </c>
      <c r="T358" t="s">
        <v>1320</v>
      </c>
      <c r="U358">
        <v>-0.67745529393538695</v>
      </c>
      <c r="V358" t="s">
        <v>1321</v>
      </c>
      <c r="W358">
        <v>1.8305135511901001</v>
      </c>
      <c r="X358" t="s">
        <v>1322</v>
      </c>
      <c r="Y358" t="s">
        <v>1382</v>
      </c>
      <c r="Z358" t="s">
        <v>1383</v>
      </c>
      <c r="AA358">
        <v>0</v>
      </c>
      <c r="AB358" t="s">
        <v>1325</v>
      </c>
      <c r="AC358" t="s">
        <v>1326</v>
      </c>
      <c r="AD358" t="s">
        <v>1384</v>
      </c>
      <c r="AE358" t="s">
        <v>1385</v>
      </c>
      <c r="AF358">
        <v>0</v>
      </c>
      <c r="AG358" t="s">
        <v>1328</v>
      </c>
    </row>
    <row r="359" spans="1:33" x14ac:dyDescent="0.3">
      <c r="A359" t="s">
        <v>1309</v>
      </c>
      <c r="B359" t="s">
        <v>1310</v>
      </c>
      <c r="C359">
        <v>0.4</v>
      </c>
      <c r="D359" t="s">
        <v>1311</v>
      </c>
      <c r="E359" t="s">
        <v>1312</v>
      </c>
      <c r="F359">
        <v>0.2</v>
      </c>
      <c r="G359" t="s">
        <v>1351</v>
      </c>
      <c r="H359" t="s">
        <v>1358</v>
      </c>
      <c r="I359" t="str">
        <f t="shared" si="5"/>
        <v>alltime_{'C',  [('delta', 0.4,  -1),  ('delta', 0.2,  2)]}_[35,  70]_3</v>
      </c>
      <c r="J359" t="s">
        <v>1315</v>
      </c>
      <c r="K359">
        <v>3810</v>
      </c>
      <c r="L359" t="s">
        <v>1316</v>
      </c>
      <c r="M359">
        <v>1092</v>
      </c>
      <c r="N359" t="s">
        <v>1317</v>
      </c>
      <c r="O359">
        <v>-152.79604292859901</v>
      </c>
      <c r="P359" t="s">
        <v>1318</v>
      </c>
      <c r="Q359">
        <v>-4.0103948275222803E-2</v>
      </c>
      <c r="R359" t="s">
        <v>1319</v>
      </c>
      <c r="S359">
        <v>1.6215735433144001</v>
      </c>
      <c r="T359" t="s">
        <v>1320</v>
      </c>
      <c r="U359">
        <v>-0.70770947469753898</v>
      </c>
      <c r="V359" t="s">
        <v>1321</v>
      </c>
      <c r="W359">
        <v>2.4533270322786001</v>
      </c>
      <c r="X359" t="s">
        <v>1322</v>
      </c>
      <c r="Y359" t="s">
        <v>1374</v>
      </c>
      <c r="Z359" t="s">
        <v>1375</v>
      </c>
    </row>
    <row r="360" spans="1:33" x14ac:dyDescent="0.3">
      <c r="A360" t="s">
        <v>1309</v>
      </c>
      <c r="B360" t="s">
        <v>1310</v>
      </c>
      <c r="C360">
        <v>0.4</v>
      </c>
      <c r="D360" t="s">
        <v>1311</v>
      </c>
      <c r="E360" t="s">
        <v>1312</v>
      </c>
      <c r="F360">
        <v>0.2</v>
      </c>
      <c r="G360" t="s">
        <v>1403</v>
      </c>
      <c r="H360" t="s">
        <v>1352</v>
      </c>
      <c r="I360" t="str">
        <f t="shared" si="5"/>
        <v>alltime_{'C',  [('delta', 0.4,  -1),  ('delta', 0.2,  3)]}_[35,  70]_1</v>
      </c>
      <c r="J360" t="s">
        <v>1315</v>
      </c>
      <c r="K360">
        <v>3810</v>
      </c>
      <c r="L360" t="s">
        <v>1316</v>
      </c>
      <c r="M360">
        <v>1092</v>
      </c>
      <c r="N360" t="s">
        <v>1317</v>
      </c>
      <c r="O360">
        <v>-157.327552153461</v>
      </c>
      <c r="P360" t="s">
        <v>1318</v>
      </c>
      <c r="Q360">
        <v>-4.1293320775186701E-2</v>
      </c>
      <c r="R360" t="s">
        <v>1319</v>
      </c>
      <c r="S360">
        <v>1.6446029992187601</v>
      </c>
      <c r="T360" t="s">
        <v>1320</v>
      </c>
      <c r="U360">
        <v>-0.71862914911712295</v>
      </c>
      <c r="V360" t="s">
        <v>1321</v>
      </c>
      <c r="W360">
        <v>1.8740772333276201</v>
      </c>
      <c r="X360" t="s">
        <v>1322</v>
      </c>
      <c r="Y360" t="s">
        <v>1404</v>
      </c>
      <c r="Z360" t="s">
        <v>1372</v>
      </c>
      <c r="AA360">
        <v>0</v>
      </c>
      <c r="AB360" t="s">
        <v>1325</v>
      </c>
      <c r="AC360" t="s">
        <v>1326</v>
      </c>
      <c r="AD360" t="s">
        <v>1405</v>
      </c>
      <c r="AE360" t="s">
        <v>1406</v>
      </c>
      <c r="AF360">
        <v>0</v>
      </c>
      <c r="AG360" t="s">
        <v>1328</v>
      </c>
    </row>
    <row r="361" spans="1:33" x14ac:dyDescent="0.3">
      <c r="A361" t="s">
        <v>1309</v>
      </c>
      <c r="B361" t="s">
        <v>1310</v>
      </c>
      <c r="C361">
        <v>0.4</v>
      </c>
      <c r="D361" t="s">
        <v>1311</v>
      </c>
      <c r="E361" t="s">
        <v>1312</v>
      </c>
      <c r="F361">
        <v>0.2</v>
      </c>
      <c r="G361" t="s">
        <v>1392</v>
      </c>
      <c r="H361" t="s">
        <v>1346</v>
      </c>
      <c r="I361" t="str">
        <f t="shared" si="5"/>
        <v>alltime_{'C',  [('delta', 0.4,  -1),  ('delta', 0.2,  3)]}_[21,  49]_2</v>
      </c>
      <c r="J361" t="s">
        <v>1315</v>
      </c>
      <c r="K361">
        <v>3050</v>
      </c>
      <c r="L361" t="s">
        <v>1316</v>
      </c>
      <c r="M361">
        <v>634</v>
      </c>
      <c r="N361" t="s">
        <v>1317</v>
      </c>
      <c r="O361">
        <v>-167.16759761998301</v>
      </c>
      <c r="P361" t="s">
        <v>1318</v>
      </c>
      <c r="Q361">
        <v>-5.4809048399994502E-2</v>
      </c>
      <c r="R361" t="s">
        <v>1319</v>
      </c>
      <c r="S361">
        <v>2.3725705535532802</v>
      </c>
      <c r="T361" t="s">
        <v>1320</v>
      </c>
      <c r="U361">
        <v>-0.69179525189269597</v>
      </c>
      <c r="V361" t="s">
        <v>1321</v>
      </c>
      <c r="W361">
        <v>2.2661469973786601</v>
      </c>
      <c r="X361" t="s">
        <v>1322</v>
      </c>
      <c r="Y361" t="s">
        <v>1395</v>
      </c>
      <c r="Z361" t="s">
        <v>1396</v>
      </c>
      <c r="AA361">
        <v>0</v>
      </c>
      <c r="AB361" t="s">
        <v>1325</v>
      </c>
      <c r="AC361" t="s">
        <v>1326</v>
      </c>
      <c r="AD361" t="s">
        <v>1397</v>
      </c>
      <c r="AE361" t="s">
        <v>1331</v>
      </c>
      <c r="AF361">
        <v>0</v>
      </c>
      <c r="AG361" t="s">
        <v>1328</v>
      </c>
    </row>
    <row r="362" spans="1:33" x14ac:dyDescent="0.3">
      <c r="A362" t="s">
        <v>1309</v>
      </c>
      <c r="B362" t="s">
        <v>1310</v>
      </c>
      <c r="C362">
        <v>0.5</v>
      </c>
      <c r="D362" t="s">
        <v>1311</v>
      </c>
      <c r="E362" t="s">
        <v>1312</v>
      </c>
      <c r="F362">
        <v>0.3</v>
      </c>
      <c r="G362" t="s">
        <v>1342</v>
      </c>
      <c r="H362" t="s">
        <v>1346</v>
      </c>
      <c r="I362" t="str">
        <f t="shared" si="5"/>
        <v>alltime_{'C',  [('delta', 0.5,  -1),  ('delta', 0.3,  2)]}_[21,  49]_2</v>
      </c>
      <c r="J362" t="s">
        <v>1315</v>
      </c>
      <c r="K362">
        <v>3050</v>
      </c>
      <c r="L362" t="s">
        <v>1316</v>
      </c>
      <c r="M362">
        <v>729</v>
      </c>
      <c r="N362" t="s">
        <v>1317</v>
      </c>
      <c r="O362">
        <v>-167.75366964713001</v>
      </c>
      <c r="P362" t="s">
        <v>1318</v>
      </c>
      <c r="Q362">
        <v>-5.5001203162993603E-2</v>
      </c>
      <c r="R362" t="s">
        <v>1319</v>
      </c>
      <c r="S362">
        <v>1.89131354134723</v>
      </c>
      <c r="T362" t="s">
        <v>1320</v>
      </c>
      <c r="U362">
        <v>-0.66631677780665799</v>
      </c>
      <c r="V362" t="s">
        <v>1321</v>
      </c>
      <c r="W362">
        <v>2.2103531640040299</v>
      </c>
      <c r="X362" t="s">
        <v>1322</v>
      </c>
      <c r="Y362" t="s">
        <v>1330</v>
      </c>
      <c r="Z362" t="s">
        <v>1331</v>
      </c>
      <c r="AA362">
        <v>0</v>
      </c>
      <c r="AB362" t="s">
        <v>1325</v>
      </c>
      <c r="AC362" t="s">
        <v>1326</v>
      </c>
      <c r="AD362" t="s">
        <v>1347</v>
      </c>
      <c r="AE362" t="s">
        <v>1331</v>
      </c>
      <c r="AF362">
        <v>0</v>
      </c>
      <c r="AG362" t="s">
        <v>1328</v>
      </c>
    </row>
    <row r="363" spans="1:33" x14ac:dyDescent="0.3">
      <c r="A363" t="s">
        <v>1309</v>
      </c>
      <c r="B363" t="s">
        <v>1310</v>
      </c>
      <c r="C363">
        <v>0.5</v>
      </c>
      <c r="D363" t="s">
        <v>1311</v>
      </c>
      <c r="E363" t="s">
        <v>1312</v>
      </c>
      <c r="F363">
        <v>0.3</v>
      </c>
      <c r="G363" t="s">
        <v>1342</v>
      </c>
      <c r="H363" t="s">
        <v>1348</v>
      </c>
      <c r="I363" t="str">
        <f t="shared" si="5"/>
        <v>alltime_{'C',  [('delta', 0.5,  -1),  ('delta', 0.3,  2)]}_[21,  49]_3</v>
      </c>
      <c r="J363" t="s">
        <v>1315</v>
      </c>
      <c r="K363">
        <v>3050</v>
      </c>
      <c r="L363" t="s">
        <v>1316</v>
      </c>
      <c r="M363">
        <v>648</v>
      </c>
      <c r="N363" t="s">
        <v>1317</v>
      </c>
      <c r="O363">
        <v>-170.291241289265</v>
      </c>
      <c r="P363" t="s">
        <v>1318</v>
      </c>
      <c r="Q363">
        <v>-5.5833193865333003E-2</v>
      </c>
      <c r="R363" t="s">
        <v>1319</v>
      </c>
      <c r="S363">
        <v>2.2463117283950602</v>
      </c>
      <c r="T363" t="s">
        <v>1320</v>
      </c>
      <c r="U363">
        <v>-0.67689477156088695</v>
      </c>
      <c r="V363" t="s">
        <v>1321</v>
      </c>
      <c r="W363">
        <v>2.5508659184776801</v>
      </c>
      <c r="X363" t="s">
        <v>1322</v>
      </c>
      <c r="Y363" t="s">
        <v>1330</v>
      </c>
      <c r="Z363" t="s">
        <v>1331</v>
      </c>
      <c r="AA363">
        <v>0</v>
      </c>
      <c r="AB363" t="s">
        <v>1325</v>
      </c>
      <c r="AC363" t="s">
        <v>1326</v>
      </c>
      <c r="AD363" t="s">
        <v>1347</v>
      </c>
      <c r="AE363" t="s">
        <v>1331</v>
      </c>
      <c r="AF363">
        <v>0</v>
      </c>
      <c r="AG363" t="s">
        <v>1328</v>
      </c>
    </row>
    <row r="364" spans="1:33" x14ac:dyDescent="0.3">
      <c r="A364" t="s">
        <v>1309</v>
      </c>
      <c r="B364" t="s">
        <v>1310</v>
      </c>
      <c r="C364">
        <v>0.4</v>
      </c>
      <c r="D364" t="s">
        <v>1311</v>
      </c>
      <c r="E364" t="s">
        <v>1312</v>
      </c>
      <c r="F364">
        <v>0.2</v>
      </c>
      <c r="G364" t="s">
        <v>1351</v>
      </c>
      <c r="H364" t="s">
        <v>1360</v>
      </c>
      <c r="I364" t="str">
        <f t="shared" si="5"/>
        <v>alltime_{'C',  [('delta', 0.4,  -1),  ('delta', 0.2,  2)]}_[35,  70]_5</v>
      </c>
      <c r="J364" t="s">
        <v>1315</v>
      </c>
      <c r="K364">
        <v>3810</v>
      </c>
      <c r="L364" t="s">
        <v>1316</v>
      </c>
      <c r="M364">
        <v>1032</v>
      </c>
      <c r="N364" t="s">
        <v>1317</v>
      </c>
      <c r="O364">
        <v>-171.15652311387899</v>
      </c>
      <c r="P364" t="s">
        <v>1318</v>
      </c>
      <c r="Q364">
        <v>-4.4922971945900003E-2</v>
      </c>
      <c r="R364" t="s">
        <v>1319</v>
      </c>
      <c r="S364">
        <v>1.7503380938097799</v>
      </c>
      <c r="T364" t="s">
        <v>1320</v>
      </c>
      <c r="U364">
        <v>-0.71184500933245598</v>
      </c>
      <c r="V364" t="s">
        <v>1321</v>
      </c>
      <c r="W364">
        <v>2.8562024041046601</v>
      </c>
      <c r="X364" t="s">
        <v>1322</v>
      </c>
      <c r="Y364" t="s">
        <v>1374</v>
      </c>
      <c r="Z364" t="s">
        <v>1375</v>
      </c>
    </row>
    <row r="365" spans="1:33" x14ac:dyDescent="0.3">
      <c r="A365" t="s">
        <v>1309</v>
      </c>
      <c r="B365" t="s">
        <v>1310</v>
      </c>
      <c r="C365">
        <v>0.5</v>
      </c>
      <c r="D365" t="s">
        <v>1311</v>
      </c>
      <c r="E365" t="s">
        <v>1312</v>
      </c>
      <c r="F365">
        <v>0.3</v>
      </c>
      <c r="G365" t="s">
        <v>1351</v>
      </c>
      <c r="H365" t="s">
        <v>1352</v>
      </c>
      <c r="I365" t="str">
        <f t="shared" si="5"/>
        <v>alltime_{'C',  [('delta', 0.5,  -1),  ('delta', 0.3,  2)]}_[35,  70]_1</v>
      </c>
      <c r="J365" t="s">
        <v>1315</v>
      </c>
      <c r="K365">
        <v>3810</v>
      </c>
      <c r="L365" t="s">
        <v>1316</v>
      </c>
      <c r="M365">
        <v>1174</v>
      </c>
      <c r="N365" t="s">
        <v>1317</v>
      </c>
      <c r="O365">
        <v>-173.338210829975</v>
      </c>
      <c r="P365" t="s">
        <v>1318</v>
      </c>
      <c r="Q365">
        <v>-4.5495593393694397E-2</v>
      </c>
      <c r="R365" t="s">
        <v>1319</v>
      </c>
      <c r="S365">
        <v>1.3961458241781901</v>
      </c>
      <c r="T365" t="s">
        <v>1320</v>
      </c>
      <c r="U365">
        <v>-0.68756199105279303</v>
      </c>
      <c r="V365" t="s">
        <v>1321</v>
      </c>
      <c r="W365">
        <v>1.6816454459866399</v>
      </c>
      <c r="X365" t="s">
        <v>1322</v>
      </c>
      <c r="Y365" t="s">
        <v>1353</v>
      </c>
      <c r="Z365" t="s">
        <v>1354</v>
      </c>
      <c r="AA365">
        <v>0</v>
      </c>
      <c r="AB365" t="s">
        <v>1325</v>
      </c>
      <c r="AC365" t="s">
        <v>1326</v>
      </c>
      <c r="AD365" t="s">
        <v>1355</v>
      </c>
      <c r="AE365" t="s">
        <v>1331</v>
      </c>
      <c r="AF365">
        <v>0</v>
      </c>
      <c r="AG365" t="s">
        <v>1328</v>
      </c>
    </row>
    <row r="366" spans="1:33" x14ac:dyDescent="0.3">
      <c r="A366" t="s">
        <v>1309</v>
      </c>
      <c r="B366" t="s">
        <v>1310</v>
      </c>
      <c r="C366">
        <v>0.4</v>
      </c>
      <c r="D366" t="s">
        <v>1311</v>
      </c>
      <c r="E366" t="s">
        <v>1312</v>
      </c>
      <c r="F366">
        <v>0.2</v>
      </c>
      <c r="G366" t="s">
        <v>1381</v>
      </c>
      <c r="H366" t="s">
        <v>1329</v>
      </c>
      <c r="I366" t="str">
        <f t="shared" si="5"/>
        <v>alltime_{'C',  [('delta', 0.4,  -1),  ('delta', 0.2,  3)]}_[7,  35]_2</v>
      </c>
      <c r="J366" t="s">
        <v>1315</v>
      </c>
      <c r="K366">
        <v>3073</v>
      </c>
      <c r="L366" t="s">
        <v>1316</v>
      </c>
      <c r="M366">
        <v>697</v>
      </c>
      <c r="N366" t="s">
        <v>1317</v>
      </c>
      <c r="O366">
        <v>-175.92952331805199</v>
      </c>
      <c r="P366" t="s">
        <v>1318</v>
      </c>
      <c r="Q366">
        <v>-5.7250088941767703E-2</v>
      </c>
      <c r="R366" t="s">
        <v>1319</v>
      </c>
      <c r="S366">
        <v>2.1077583506462698</v>
      </c>
      <c r="T366" t="s">
        <v>1320</v>
      </c>
      <c r="U366">
        <v>-0.69235567917445195</v>
      </c>
      <c r="V366" t="s">
        <v>1321</v>
      </c>
      <c r="W366">
        <v>2.3969613156697198</v>
      </c>
      <c r="X366" t="s">
        <v>1322</v>
      </c>
      <c r="Y366" t="s">
        <v>1382</v>
      </c>
      <c r="Z366" t="s">
        <v>1383</v>
      </c>
      <c r="AA366">
        <v>0</v>
      </c>
      <c r="AB366" t="s">
        <v>1325</v>
      </c>
      <c r="AC366" t="s">
        <v>1326</v>
      </c>
      <c r="AD366" t="s">
        <v>1386</v>
      </c>
      <c r="AE366" t="s">
        <v>1387</v>
      </c>
      <c r="AF366">
        <v>0</v>
      </c>
      <c r="AG366" t="s">
        <v>1328</v>
      </c>
    </row>
    <row r="367" spans="1:33" x14ac:dyDescent="0.3">
      <c r="A367" t="s">
        <v>1309</v>
      </c>
      <c r="B367" t="s">
        <v>1310</v>
      </c>
      <c r="C367">
        <v>0.4</v>
      </c>
      <c r="D367" t="s">
        <v>1311</v>
      </c>
      <c r="E367" t="s">
        <v>1312</v>
      </c>
      <c r="F367">
        <v>0.2</v>
      </c>
      <c r="G367" t="s">
        <v>1392</v>
      </c>
      <c r="H367" t="s">
        <v>1343</v>
      </c>
      <c r="I367" t="str">
        <f t="shared" si="5"/>
        <v>alltime_{'C',  [('delta', 0.4,  -1),  ('delta', 0.2,  3)]}_[21,  49]_1</v>
      </c>
      <c r="J367" t="s">
        <v>1315</v>
      </c>
      <c r="K367">
        <v>3050</v>
      </c>
      <c r="L367" t="s">
        <v>1316</v>
      </c>
      <c r="M367">
        <v>836</v>
      </c>
      <c r="N367" t="s">
        <v>1317</v>
      </c>
      <c r="O367">
        <v>-178.66860787468499</v>
      </c>
      <c r="P367" t="s">
        <v>1318</v>
      </c>
      <c r="Q367">
        <v>-5.8579871434323097E-2</v>
      </c>
      <c r="R367" t="s">
        <v>1319</v>
      </c>
      <c r="S367">
        <v>1.5883118668637299</v>
      </c>
      <c r="T367" t="s">
        <v>1320</v>
      </c>
      <c r="U367">
        <v>-0.68044143115300704</v>
      </c>
      <c r="V367" t="s">
        <v>1321</v>
      </c>
      <c r="W367">
        <v>1.7065288663343601</v>
      </c>
      <c r="X367" t="s">
        <v>1322</v>
      </c>
      <c r="Y367" t="s">
        <v>1393</v>
      </c>
      <c r="Z367" t="s">
        <v>1331</v>
      </c>
      <c r="AA367">
        <v>0</v>
      </c>
      <c r="AB367" t="s">
        <v>1325</v>
      </c>
      <c r="AC367" t="s">
        <v>1326</v>
      </c>
      <c r="AD367" t="s">
        <v>1394</v>
      </c>
      <c r="AE367" t="s">
        <v>1362</v>
      </c>
      <c r="AF367">
        <v>0</v>
      </c>
      <c r="AG367" t="s">
        <v>1328</v>
      </c>
    </row>
    <row r="368" spans="1:33" x14ac:dyDescent="0.3">
      <c r="A368" t="s">
        <v>1309</v>
      </c>
      <c r="B368" t="s">
        <v>1310</v>
      </c>
      <c r="C368">
        <v>0.3</v>
      </c>
      <c r="D368" t="s">
        <v>1311</v>
      </c>
      <c r="E368" t="s">
        <v>1312</v>
      </c>
      <c r="F368">
        <v>0.15</v>
      </c>
      <c r="G368" t="s">
        <v>1403</v>
      </c>
      <c r="H368" t="s">
        <v>1356</v>
      </c>
      <c r="I368" t="str">
        <f t="shared" si="5"/>
        <v>alltime_{'C',  [('delta', 0.3,  -1),  ('delta', 0.15,  3)]}_[35,  70]_2</v>
      </c>
      <c r="J368" t="s">
        <v>1315</v>
      </c>
      <c r="K368">
        <v>3810</v>
      </c>
      <c r="L368" t="s">
        <v>1316</v>
      </c>
      <c r="M368">
        <v>743</v>
      </c>
      <c r="N368" t="s">
        <v>1317</v>
      </c>
      <c r="O368">
        <v>-184.43171939461999</v>
      </c>
      <c r="P368" t="s">
        <v>1318</v>
      </c>
      <c r="Q368">
        <v>-4.8407275431658799E-2</v>
      </c>
      <c r="R368" t="s">
        <v>1319</v>
      </c>
      <c r="S368">
        <v>2.40150376730521</v>
      </c>
      <c r="T368" t="s">
        <v>1320</v>
      </c>
      <c r="U368">
        <v>-0.64254210786631005</v>
      </c>
      <c r="V368" t="s">
        <v>1321</v>
      </c>
      <c r="W368">
        <v>2.3664464566991401</v>
      </c>
      <c r="X368" t="s">
        <v>1322</v>
      </c>
      <c r="Y368" t="s">
        <v>1446</v>
      </c>
      <c r="Z368" t="s">
        <v>1447</v>
      </c>
    </row>
    <row r="369" spans="1:33" x14ac:dyDescent="0.3">
      <c r="A369" t="s">
        <v>1309</v>
      </c>
      <c r="B369" t="s">
        <v>1310</v>
      </c>
      <c r="C369">
        <v>0.3</v>
      </c>
      <c r="D369" t="s">
        <v>1311</v>
      </c>
      <c r="E369" t="s">
        <v>1312</v>
      </c>
      <c r="F369">
        <v>0.15</v>
      </c>
      <c r="G369" t="s">
        <v>1392</v>
      </c>
      <c r="H369" t="s">
        <v>1343</v>
      </c>
      <c r="I369" t="str">
        <f t="shared" si="5"/>
        <v>alltime_{'C',  [('delta', 0.3,  -1),  ('delta', 0.15,  3)]}_[21,  49]_1</v>
      </c>
      <c r="J369" t="s">
        <v>1315</v>
      </c>
      <c r="K369">
        <v>3050</v>
      </c>
      <c r="L369" t="s">
        <v>1316</v>
      </c>
      <c r="M369">
        <v>823</v>
      </c>
      <c r="N369" t="s">
        <v>1317</v>
      </c>
      <c r="O369">
        <v>-189.237741410491</v>
      </c>
      <c r="P369" t="s">
        <v>1318</v>
      </c>
      <c r="Q369">
        <v>-6.2045161118193803E-2</v>
      </c>
      <c r="R369" t="s">
        <v>1319</v>
      </c>
      <c r="S369">
        <v>1.3893580961026499</v>
      </c>
      <c r="T369" t="s">
        <v>1320</v>
      </c>
      <c r="U369">
        <v>-0.59895705820358003</v>
      </c>
      <c r="V369" t="s">
        <v>1321</v>
      </c>
      <c r="W369">
        <v>1.5919611000167899</v>
      </c>
      <c r="X369" t="s">
        <v>1322</v>
      </c>
      <c r="Y369" t="s">
        <v>1434</v>
      </c>
      <c r="Z369" t="s">
        <v>1435</v>
      </c>
      <c r="AA369">
        <v>0</v>
      </c>
      <c r="AB369" t="s">
        <v>1325</v>
      </c>
      <c r="AC369" t="s">
        <v>1326</v>
      </c>
      <c r="AD369" t="s">
        <v>1436</v>
      </c>
      <c r="AE369" t="s">
        <v>1437</v>
      </c>
      <c r="AF369">
        <v>0</v>
      </c>
      <c r="AG369" t="s">
        <v>1328</v>
      </c>
    </row>
    <row r="370" spans="1:33" x14ac:dyDescent="0.3">
      <c r="A370" t="s">
        <v>1309</v>
      </c>
      <c r="B370" t="s">
        <v>1310</v>
      </c>
      <c r="C370">
        <v>0.3</v>
      </c>
      <c r="D370" t="s">
        <v>1311</v>
      </c>
      <c r="E370" t="s">
        <v>1312</v>
      </c>
      <c r="F370">
        <v>0.15</v>
      </c>
      <c r="G370" t="s">
        <v>1403</v>
      </c>
      <c r="H370" t="s">
        <v>1352</v>
      </c>
      <c r="I370" t="str">
        <f t="shared" si="5"/>
        <v>alltime_{'C',  [('delta', 0.3,  -1),  ('delta', 0.15,  3)]}_[35,  70]_1</v>
      </c>
      <c r="J370" t="s">
        <v>1315</v>
      </c>
      <c r="K370">
        <v>3810</v>
      </c>
      <c r="L370" t="s">
        <v>1316</v>
      </c>
      <c r="M370">
        <v>1037</v>
      </c>
      <c r="N370" t="s">
        <v>1317</v>
      </c>
      <c r="O370">
        <v>-207.150182228408</v>
      </c>
      <c r="P370" t="s">
        <v>1318</v>
      </c>
      <c r="Q370">
        <v>-5.4370126569135903E-2</v>
      </c>
      <c r="R370" t="s">
        <v>1319</v>
      </c>
      <c r="S370">
        <v>1.5042859934619199</v>
      </c>
      <c r="T370" t="s">
        <v>1320</v>
      </c>
      <c r="U370">
        <v>-0.63794034564924595</v>
      </c>
      <c r="V370" t="s">
        <v>1321</v>
      </c>
      <c r="W370">
        <v>1.7731029139985299</v>
      </c>
      <c r="X370" t="s">
        <v>1322</v>
      </c>
      <c r="Y370" t="s">
        <v>1446</v>
      </c>
      <c r="Z370" t="s">
        <v>1447</v>
      </c>
    </row>
    <row r="371" spans="1:33" x14ac:dyDescent="0.3">
      <c r="A371" t="s">
        <v>1309</v>
      </c>
      <c r="B371" t="s">
        <v>1310</v>
      </c>
      <c r="C371">
        <v>0.4</v>
      </c>
      <c r="D371" t="s">
        <v>1311</v>
      </c>
      <c r="E371" t="s">
        <v>1312</v>
      </c>
      <c r="F371">
        <v>0.2</v>
      </c>
      <c r="G371" t="s">
        <v>1351</v>
      </c>
      <c r="H371" t="s">
        <v>1359</v>
      </c>
      <c r="I371" t="str">
        <f t="shared" si="5"/>
        <v>alltime_{'C',  [('delta', 0.4,  -1),  ('delta', 0.2,  2)]}_[35,  70]_4</v>
      </c>
      <c r="J371" t="s">
        <v>1315</v>
      </c>
      <c r="K371">
        <v>3810</v>
      </c>
      <c r="L371" t="s">
        <v>1316</v>
      </c>
      <c r="M371">
        <v>1047</v>
      </c>
      <c r="N371" t="s">
        <v>1317</v>
      </c>
      <c r="O371">
        <v>-207.81536074465501</v>
      </c>
      <c r="P371" t="s">
        <v>1318</v>
      </c>
      <c r="Q371">
        <v>-5.4544714106208703E-2</v>
      </c>
      <c r="R371" t="s">
        <v>1319</v>
      </c>
      <c r="S371">
        <v>1.6777269103924699</v>
      </c>
      <c r="T371" t="s">
        <v>1320</v>
      </c>
      <c r="U371">
        <v>-0.71096468907910304</v>
      </c>
      <c r="V371" t="s">
        <v>1321</v>
      </c>
      <c r="W371">
        <v>2.6675710280437701</v>
      </c>
      <c r="X371" t="s">
        <v>1322</v>
      </c>
      <c r="Y371" t="s">
        <v>1374</v>
      </c>
      <c r="Z371" t="s">
        <v>1375</v>
      </c>
    </row>
    <row r="372" spans="1:33" x14ac:dyDescent="0.3">
      <c r="A372" t="s">
        <v>1309</v>
      </c>
      <c r="B372" t="s">
        <v>1310</v>
      </c>
      <c r="C372">
        <v>0.5</v>
      </c>
      <c r="D372" t="s">
        <v>1311</v>
      </c>
      <c r="E372" t="s">
        <v>1312</v>
      </c>
      <c r="F372">
        <v>0.3</v>
      </c>
      <c r="G372" t="s">
        <v>1351</v>
      </c>
      <c r="H372" t="s">
        <v>1356</v>
      </c>
      <c r="I372" t="str">
        <f t="shared" si="5"/>
        <v>alltime_{'C',  [('delta', 0.5,  -1),  ('delta', 0.3,  2)]}_[35,  70]_2</v>
      </c>
      <c r="J372" t="s">
        <v>1315</v>
      </c>
      <c r="K372">
        <v>3810</v>
      </c>
      <c r="L372" t="s">
        <v>1316</v>
      </c>
      <c r="M372">
        <v>844</v>
      </c>
      <c r="N372" t="s">
        <v>1317</v>
      </c>
      <c r="O372">
        <v>-227.976692985554</v>
      </c>
      <c r="P372" t="s">
        <v>1318</v>
      </c>
      <c r="Q372">
        <v>-5.9836402358413199E-2</v>
      </c>
      <c r="R372" t="s">
        <v>1319</v>
      </c>
      <c r="S372">
        <v>2.1880310162518901</v>
      </c>
      <c r="T372" t="s">
        <v>1320</v>
      </c>
      <c r="U372">
        <v>-0.69948579592115001</v>
      </c>
      <c r="V372" t="s">
        <v>1321</v>
      </c>
      <c r="W372">
        <v>2.29311209241158</v>
      </c>
      <c r="X372" t="s">
        <v>1322</v>
      </c>
      <c r="Y372" t="s">
        <v>1353</v>
      </c>
      <c r="Z372" t="s">
        <v>1354</v>
      </c>
      <c r="AA372">
        <v>0</v>
      </c>
      <c r="AB372" t="s">
        <v>1325</v>
      </c>
      <c r="AC372" t="s">
        <v>1326</v>
      </c>
      <c r="AD372" t="s">
        <v>1357</v>
      </c>
      <c r="AE372" t="s">
        <v>1331</v>
      </c>
      <c r="AF372">
        <v>0</v>
      </c>
      <c r="AG372" t="s">
        <v>1328</v>
      </c>
    </row>
    <row r="373" spans="1:33" x14ac:dyDescent="0.3">
      <c r="A373" t="s">
        <v>1309</v>
      </c>
      <c r="B373" t="s">
        <v>1310</v>
      </c>
      <c r="C373">
        <v>0.4</v>
      </c>
      <c r="D373" t="s">
        <v>1311</v>
      </c>
      <c r="E373" t="s">
        <v>1312</v>
      </c>
      <c r="F373">
        <v>0.2</v>
      </c>
      <c r="G373" t="s">
        <v>1351</v>
      </c>
      <c r="H373" t="s">
        <v>1356</v>
      </c>
      <c r="I373" t="str">
        <f t="shared" si="5"/>
        <v>alltime_{'C',  [('delta', 0.4,  -1),  ('delta', 0.2,  2)]}_[35,  70]_2</v>
      </c>
      <c r="J373" t="s">
        <v>1315</v>
      </c>
      <c r="K373">
        <v>3810</v>
      </c>
      <c r="L373" t="s">
        <v>1316</v>
      </c>
      <c r="M373">
        <v>1147</v>
      </c>
      <c r="N373" t="s">
        <v>1317</v>
      </c>
      <c r="O373">
        <v>-229.622233483526</v>
      </c>
      <c r="P373" t="s">
        <v>1318</v>
      </c>
      <c r="Q373">
        <v>-6.0268302751581702E-2</v>
      </c>
      <c r="R373" t="s">
        <v>1319</v>
      </c>
      <c r="S373">
        <v>1.43213763549248</v>
      </c>
      <c r="T373" t="s">
        <v>1320</v>
      </c>
      <c r="U373">
        <v>-0.70307326376019297</v>
      </c>
      <c r="V373" t="s">
        <v>1321</v>
      </c>
      <c r="W373">
        <v>2.1527366106448098</v>
      </c>
      <c r="X373" t="s">
        <v>1322</v>
      </c>
      <c r="Y373" t="s">
        <v>1374</v>
      </c>
      <c r="Z373" t="s">
        <v>1375</v>
      </c>
    </row>
    <row r="374" spans="1:33" x14ac:dyDescent="0.3">
      <c r="A374" t="s">
        <v>1309</v>
      </c>
      <c r="B374" t="s">
        <v>1310</v>
      </c>
      <c r="C374">
        <v>0.5</v>
      </c>
      <c r="D374" t="s">
        <v>1311</v>
      </c>
      <c r="E374" t="s">
        <v>1312</v>
      </c>
      <c r="F374">
        <v>0.3</v>
      </c>
      <c r="G374" t="s">
        <v>1351</v>
      </c>
      <c r="H374" t="s">
        <v>1358</v>
      </c>
      <c r="I374" t="str">
        <f t="shared" si="5"/>
        <v>alltime_{'C',  [('delta', 0.5,  -1),  ('delta', 0.3,  2)]}_[35,  70]_3</v>
      </c>
      <c r="J374" t="s">
        <v>1315</v>
      </c>
      <c r="K374">
        <v>3810</v>
      </c>
      <c r="L374" t="s">
        <v>1316</v>
      </c>
      <c r="M374">
        <v>716</v>
      </c>
      <c r="N374" t="s">
        <v>1317</v>
      </c>
      <c r="O374">
        <v>-237.049625171695</v>
      </c>
      <c r="P374" t="s">
        <v>1318</v>
      </c>
      <c r="Q374">
        <v>-6.2217749388896397E-2</v>
      </c>
      <c r="R374" t="s">
        <v>1319</v>
      </c>
      <c r="S374">
        <v>2.73335562108928</v>
      </c>
      <c r="T374" t="s">
        <v>1320</v>
      </c>
      <c r="U374">
        <v>-0.70915715897595699</v>
      </c>
      <c r="V374" t="s">
        <v>1321</v>
      </c>
      <c r="W374">
        <v>2.76922686241363</v>
      </c>
      <c r="X374" t="s">
        <v>1322</v>
      </c>
      <c r="Y374" t="s">
        <v>1353</v>
      </c>
      <c r="Z374" t="s">
        <v>1354</v>
      </c>
      <c r="AA374">
        <v>0</v>
      </c>
      <c r="AB374" t="s">
        <v>1325</v>
      </c>
      <c r="AC374" t="s">
        <v>1326</v>
      </c>
      <c r="AD374" t="s">
        <v>1357</v>
      </c>
      <c r="AE374" t="s">
        <v>1331</v>
      </c>
      <c r="AF374">
        <v>0</v>
      </c>
      <c r="AG374" t="s">
        <v>1328</v>
      </c>
    </row>
    <row r="375" spans="1:33" x14ac:dyDescent="0.3">
      <c r="A375" t="s">
        <v>1309</v>
      </c>
      <c r="B375" t="s">
        <v>1310</v>
      </c>
      <c r="C375">
        <v>0.5</v>
      </c>
      <c r="D375" t="s">
        <v>1311</v>
      </c>
      <c r="E375" t="s">
        <v>1312</v>
      </c>
      <c r="F375">
        <v>0.3</v>
      </c>
      <c r="G375" t="s">
        <v>1351</v>
      </c>
      <c r="H375" t="s">
        <v>1359</v>
      </c>
      <c r="I375" t="str">
        <f t="shared" si="5"/>
        <v>alltime_{'C',  [('delta', 0.5,  -1),  ('delta', 0.3,  2)]}_[35,  70]_4</v>
      </c>
      <c r="J375" t="s">
        <v>1315</v>
      </c>
      <c r="K375">
        <v>3810</v>
      </c>
      <c r="L375" t="s">
        <v>1316</v>
      </c>
      <c r="M375">
        <v>630</v>
      </c>
      <c r="N375" t="s">
        <v>1317</v>
      </c>
      <c r="O375">
        <v>-284.65360705458102</v>
      </c>
      <c r="P375" t="s">
        <v>1318</v>
      </c>
      <c r="Q375">
        <v>-7.4712232822724697E-2</v>
      </c>
      <c r="R375" t="s">
        <v>1319</v>
      </c>
      <c r="S375">
        <v>3.16942450897296</v>
      </c>
      <c r="T375" t="s">
        <v>1320</v>
      </c>
      <c r="U375">
        <v>-0.71741856846148899</v>
      </c>
      <c r="V375" t="s">
        <v>1321</v>
      </c>
      <c r="W375">
        <v>3.1529574057506302</v>
      </c>
      <c r="X375" t="s">
        <v>1322</v>
      </c>
      <c r="Y375" t="s">
        <v>1353</v>
      </c>
      <c r="Z375" t="s">
        <v>1354</v>
      </c>
      <c r="AA375">
        <v>0</v>
      </c>
      <c r="AB375" t="s">
        <v>1325</v>
      </c>
      <c r="AC375" t="s">
        <v>1326</v>
      </c>
      <c r="AD375" t="s">
        <v>1357</v>
      </c>
      <c r="AE375" t="s">
        <v>1331</v>
      </c>
      <c r="AF375">
        <v>0</v>
      </c>
      <c r="AG375" t="s">
        <v>1328</v>
      </c>
    </row>
    <row r="376" spans="1:33" x14ac:dyDescent="0.3">
      <c r="A376" t="s">
        <v>1309</v>
      </c>
      <c r="B376" t="s">
        <v>1310</v>
      </c>
      <c r="C376">
        <v>0.5</v>
      </c>
      <c r="D376" t="s">
        <v>1311</v>
      </c>
      <c r="E376" t="s">
        <v>1312</v>
      </c>
      <c r="F376">
        <v>0.3</v>
      </c>
      <c r="G376" t="s">
        <v>1351</v>
      </c>
      <c r="H376" t="s">
        <v>1360</v>
      </c>
      <c r="I376" t="str">
        <f t="shared" si="5"/>
        <v>alltime_{'C',  [('delta', 0.5,  -1),  ('delta', 0.3,  2)]}_[35,  70]_5</v>
      </c>
      <c r="J376" t="s">
        <v>1315</v>
      </c>
      <c r="K376">
        <v>3810</v>
      </c>
      <c r="L376" t="s">
        <v>1316</v>
      </c>
      <c r="M376">
        <v>579</v>
      </c>
      <c r="N376" t="s">
        <v>1317</v>
      </c>
      <c r="O376">
        <v>-313.08776214411301</v>
      </c>
      <c r="P376" t="s">
        <v>1318</v>
      </c>
      <c r="Q376">
        <v>-8.2175265654622798E-2</v>
      </c>
      <c r="R376" t="s">
        <v>1319</v>
      </c>
      <c r="S376">
        <v>3.4738410428513098</v>
      </c>
      <c r="T376" t="s">
        <v>1320</v>
      </c>
      <c r="U376">
        <v>-0.71941867098576595</v>
      </c>
      <c r="V376" t="s">
        <v>1321</v>
      </c>
      <c r="W376">
        <v>3.4751095818104201</v>
      </c>
      <c r="X376" t="s">
        <v>1322</v>
      </c>
      <c r="Y376" t="s">
        <v>1353</v>
      </c>
      <c r="Z376" t="s">
        <v>1354</v>
      </c>
      <c r="AA376">
        <v>0</v>
      </c>
      <c r="AB376" t="s">
        <v>1325</v>
      </c>
      <c r="AC376" t="s">
        <v>1326</v>
      </c>
      <c r="AD376" t="s">
        <v>1357</v>
      </c>
      <c r="AE376" t="s">
        <v>1331</v>
      </c>
      <c r="AF376">
        <v>0</v>
      </c>
      <c r="AG376" t="s">
        <v>1328</v>
      </c>
    </row>
    <row r="377" spans="1:33" x14ac:dyDescent="0.3">
      <c r="A377" t="s">
        <v>1303</v>
      </c>
    </row>
    <row r="378" spans="1:33" x14ac:dyDescent="0.3">
      <c r="A378" t="s">
        <v>1376</v>
      </c>
      <c r="B378" t="s">
        <v>1377</v>
      </c>
      <c r="C378" t="s">
        <v>1378</v>
      </c>
      <c r="D378" t="s">
        <v>1379</v>
      </c>
      <c r="E378" t="s">
        <v>1326</v>
      </c>
      <c r="F378" t="s">
        <v>1380</v>
      </c>
      <c r="G378" t="s">
        <v>1331</v>
      </c>
      <c r="H378">
        <v>0</v>
      </c>
      <c r="J378" t="s">
        <v>1328</v>
      </c>
    </row>
    <row r="379" spans="1:33" x14ac:dyDescent="0.3">
      <c r="A379" t="s">
        <v>1303</v>
      </c>
    </row>
    <row r="380" spans="1:33" x14ac:dyDescent="0.3">
      <c r="A380" t="s">
        <v>1376</v>
      </c>
      <c r="B380" t="s">
        <v>1377</v>
      </c>
      <c r="C380" t="s">
        <v>1378</v>
      </c>
      <c r="D380" t="s">
        <v>1379</v>
      </c>
      <c r="E380" t="s">
        <v>1326</v>
      </c>
      <c r="F380" t="s">
        <v>1380</v>
      </c>
      <c r="G380" t="s">
        <v>1331</v>
      </c>
      <c r="H380">
        <v>0</v>
      </c>
      <c r="J380" t="s">
        <v>1328</v>
      </c>
    </row>
    <row r="381" spans="1:33" x14ac:dyDescent="0.3">
      <c r="A381" t="s">
        <v>1303</v>
      </c>
    </row>
    <row r="382" spans="1:33" x14ac:dyDescent="0.3">
      <c r="A382" t="s">
        <v>1376</v>
      </c>
      <c r="B382" t="s">
        <v>1377</v>
      </c>
      <c r="C382" t="s">
        <v>1378</v>
      </c>
      <c r="D382" t="s">
        <v>1379</v>
      </c>
      <c r="E382" t="s">
        <v>1326</v>
      </c>
      <c r="F382" t="s">
        <v>1380</v>
      </c>
      <c r="G382" t="s">
        <v>1331</v>
      </c>
      <c r="H382">
        <v>0</v>
      </c>
      <c r="J382" t="s">
        <v>1328</v>
      </c>
    </row>
    <row r="383" spans="1:33" x14ac:dyDescent="0.3">
      <c r="A383" t="s">
        <v>1303</v>
      </c>
    </row>
    <row r="384" spans="1:33" x14ac:dyDescent="0.3">
      <c r="A384" t="s">
        <v>1376</v>
      </c>
      <c r="B384" t="s">
        <v>1377</v>
      </c>
      <c r="C384" t="s">
        <v>1378</v>
      </c>
      <c r="D384" t="s">
        <v>1379</v>
      </c>
      <c r="E384" t="s">
        <v>1326</v>
      </c>
      <c r="F384" t="s">
        <v>1380</v>
      </c>
      <c r="G384" t="s">
        <v>1331</v>
      </c>
      <c r="H384">
        <v>0</v>
      </c>
      <c r="J384" t="s">
        <v>1328</v>
      </c>
    </row>
    <row r="385" spans="1:10" x14ac:dyDescent="0.3">
      <c r="A385" t="s">
        <v>1304</v>
      </c>
    </row>
    <row r="386" spans="1:10" x14ac:dyDescent="0.3">
      <c r="A386" t="s">
        <v>1376</v>
      </c>
      <c r="B386" t="s">
        <v>1377</v>
      </c>
      <c r="C386" t="s">
        <v>1378</v>
      </c>
      <c r="D386" t="s">
        <v>1379</v>
      </c>
      <c r="E386" t="s">
        <v>1326</v>
      </c>
      <c r="F386" t="s">
        <v>1448</v>
      </c>
      <c r="G386" t="s">
        <v>1449</v>
      </c>
      <c r="H386">
        <v>0</v>
      </c>
      <c r="J386" t="s">
        <v>1328</v>
      </c>
    </row>
    <row r="387" spans="1:10" x14ac:dyDescent="0.3">
      <c r="A387" t="s">
        <v>1304</v>
      </c>
    </row>
    <row r="388" spans="1:10" x14ac:dyDescent="0.3">
      <c r="A388" t="s">
        <v>1376</v>
      </c>
      <c r="B388" t="s">
        <v>1377</v>
      </c>
      <c r="C388" t="s">
        <v>1378</v>
      </c>
      <c r="D388" t="s">
        <v>1379</v>
      </c>
      <c r="E388" t="s">
        <v>1326</v>
      </c>
      <c r="F388" t="s">
        <v>1450</v>
      </c>
      <c r="G388" t="s">
        <v>1427</v>
      </c>
      <c r="H388">
        <v>0</v>
      </c>
      <c r="J388" t="s">
        <v>1328</v>
      </c>
    </row>
    <row r="389" spans="1:10" x14ac:dyDescent="0.3">
      <c r="A389" t="s">
        <v>1304</v>
      </c>
    </row>
    <row r="390" spans="1:10" x14ac:dyDescent="0.3">
      <c r="A390" t="s">
        <v>1376</v>
      </c>
      <c r="B390" t="s">
        <v>1377</v>
      </c>
      <c r="C390" t="s">
        <v>1378</v>
      </c>
      <c r="D390" t="s">
        <v>1379</v>
      </c>
      <c r="E390" t="s">
        <v>1326</v>
      </c>
      <c r="F390" t="s">
        <v>1451</v>
      </c>
      <c r="G390" t="s">
        <v>1427</v>
      </c>
      <c r="H390">
        <v>0</v>
      </c>
      <c r="J390" t="s">
        <v>1328</v>
      </c>
    </row>
    <row r="391" spans="1:10" x14ac:dyDescent="0.3">
      <c r="A391" t="s">
        <v>1304</v>
      </c>
    </row>
    <row r="392" spans="1:10" x14ac:dyDescent="0.3">
      <c r="A392" t="s">
        <v>1376</v>
      </c>
      <c r="B392" t="s">
        <v>1377</v>
      </c>
      <c r="C392" t="s">
        <v>1378</v>
      </c>
      <c r="D392" t="s">
        <v>1379</v>
      </c>
      <c r="E392" t="s">
        <v>1326</v>
      </c>
      <c r="F392" t="s">
        <v>1452</v>
      </c>
      <c r="G392" t="s">
        <v>1453</v>
      </c>
      <c r="H392">
        <v>0</v>
      </c>
      <c r="J392" t="s">
        <v>1328</v>
      </c>
    </row>
    <row r="393" spans="1:10" x14ac:dyDescent="0.3">
      <c r="A393" t="s">
        <v>1304</v>
      </c>
    </row>
    <row r="394" spans="1:10" x14ac:dyDescent="0.3">
      <c r="A394" t="s">
        <v>1376</v>
      </c>
      <c r="B394" t="s">
        <v>1377</v>
      </c>
      <c r="C394" t="s">
        <v>1378</v>
      </c>
      <c r="D394" t="s">
        <v>1379</v>
      </c>
      <c r="E394" t="s">
        <v>1326</v>
      </c>
      <c r="F394" t="s">
        <v>1454</v>
      </c>
      <c r="G394" t="s">
        <v>1399</v>
      </c>
      <c r="H394">
        <v>0</v>
      </c>
      <c r="J394" t="s">
        <v>1328</v>
      </c>
    </row>
    <row r="395" spans="1:10" x14ac:dyDescent="0.3">
      <c r="A395" t="s">
        <v>1305</v>
      </c>
    </row>
    <row r="396" spans="1:10" x14ac:dyDescent="0.3">
      <c r="A396" t="s">
        <v>1376</v>
      </c>
      <c r="B396" t="s">
        <v>1377</v>
      </c>
      <c r="C396" t="s">
        <v>1378</v>
      </c>
      <c r="D396" t="s">
        <v>1379</v>
      </c>
      <c r="E396" t="s">
        <v>1326</v>
      </c>
      <c r="F396" t="s">
        <v>1511</v>
      </c>
      <c r="G396" t="s">
        <v>1513</v>
      </c>
      <c r="H396">
        <v>0</v>
      </c>
      <c r="J396" t="s">
        <v>1328</v>
      </c>
    </row>
    <row r="397" spans="1:10" x14ac:dyDescent="0.3">
      <c r="A397" t="s">
        <v>1306</v>
      </c>
    </row>
    <row r="398" spans="1:10" x14ac:dyDescent="0.3">
      <c r="A398" t="s">
        <v>1376</v>
      </c>
      <c r="B398" t="s">
        <v>1377</v>
      </c>
      <c r="C398" t="s">
        <v>1378</v>
      </c>
      <c r="D398" t="s">
        <v>1379</v>
      </c>
      <c r="E398" t="s">
        <v>1326</v>
      </c>
      <c r="F398" t="s">
        <v>1525</v>
      </c>
      <c r="G398" t="s">
        <v>1527</v>
      </c>
      <c r="H398">
        <v>0</v>
      </c>
      <c r="J398" t="s">
        <v>1328</v>
      </c>
    </row>
    <row r="399" spans="1:10" x14ac:dyDescent="0.3">
      <c r="A399" t="s">
        <v>1306</v>
      </c>
    </row>
    <row r="400" spans="1:10" x14ac:dyDescent="0.3">
      <c r="A400" t="s">
        <v>1376</v>
      </c>
      <c r="B400" t="s">
        <v>1377</v>
      </c>
      <c r="C400" t="s">
        <v>1378</v>
      </c>
      <c r="D400" t="s">
        <v>1379</v>
      </c>
      <c r="E400" t="s">
        <v>1326</v>
      </c>
      <c r="F400" t="s">
        <v>1538</v>
      </c>
      <c r="G400" t="s">
        <v>1527</v>
      </c>
      <c r="H400">
        <v>0</v>
      </c>
      <c r="J400" t="s">
        <v>1328</v>
      </c>
    </row>
    <row r="401" spans="1:10" x14ac:dyDescent="0.3">
      <c r="A401" t="s">
        <v>1306</v>
      </c>
    </row>
    <row r="402" spans="1:10" x14ac:dyDescent="0.3">
      <c r="A402" t="s">
        <v>1376</v>
      </c>
      <c r="B402" t="s">
        <v>1377</v>
      </c>
      <c r="C402" t="s">
        <v>1378</v>
      </c>
      <c r="D402" t="s">
        <v>1379</v>
      </c>
      <c r="E402" t="s">
        <v>1326</v>
      </c>
      <c r="F402" t="s">
        <v>1538</v>
      </c>
      <c r="G402" t="s">
        <v>1527</v>
      </c>
      <c r="H402">
        <v>0</v>
      </c>
      <c r="J402" t="s">
        <v>1328</v>
      </c>
    </row>
    <row r="403" spans="1:10" x14ac:dyDescent="0.3">
      <c r="A403" t="s">
        <v>1306</v>
      </c>
    </row>
    <row r="404" spans="1:10" x14ac:dyDescent="0.3">
      <c r="A404" t="s">
        <v>1376</v>
      </c>
      <c r="B404" t="s">
        <v>1377</v>
      </c>
      <c r="C404" t="s">
        <v>1378</v>
      </c>
      <c r="D404" t="s">
        <v>1379</v>
      </c>
      <c r="E404" t="s">
        <v>1326</v>
      </c>
      <c r="F404" t="s">
        <v>1538</v>
      </c>
      <c r="G404" t="s">
        <v>1527</v>
      </c>
      <c r="H404">
        <v>0</v>
      </c>
      <c r="J404" t="s">
        <v>1328</v>
      </c>
    </row>
    <row r="405" spans="1:10" x14ac:dyDescent="0.3">
      <c r="A405" t="s">
        <v>1306</v>
      </c>
    </row>
    <row r="406" spans="1:10" x14ac:dyDescent="0.3">
      <c r="A406" t="s">
        <v>1376</v>
      </c>
      <c r="B406" t="s">
        <v>1377</v>
      </c>
      <c r="C406" t="s">
        <v>1378</v>
      </c>
      <c r="D406" t="s">
        <v>1379</v>
      </c>
      <c r="E406" t="s">
        <v>1326</v>
      </c>
      <c r="F406" t="s">
        <v>1538</v>
      </c>
      <c r="G406" t="s">
        <v>1527</v>
      </c>
      <c r="H406">
        <v>0</v>
      </c>
      <c r="J406" t="s">
        <v>1328</v>
      </c>
    </row>
    <row r="407" spans="1:10" x14ac:dyDescent="0.3">
      <c r="A407" t="s">
        <v>1307</v>
      </c>
    </row>
    <row r="408" spans="1:10" x14ac:dyDescent="0.3">
      <c r="A408" t="s">
        <v>1376</v>
      </c>
      <c r="B408" t="s">
        <v>1377</v>
      </c>
      <c r="C408" t="s">
        <v>1378</v>
      </c>
      <c r="D408" t="s">
        <v>1379</v>
      </c>
      <c r="E408" t="s">
        <v>1326</v>
      </c>
      <c r="F408" t="s">
        <v>1590</v>
      </c>
      <c r="G408" t="s">
        <v>1534</v>
      </c>
      <c r="H408">
        <v>0</v>
      </c>
      <c r="J408" t="s">
        <v>1328</v>
      </c>
    </row>
    <row r="409" spans="1:10" x14ac:dyDescent="0.3">
      <c r="A409" t="s">
        <v>1307</v>
      </c>
    </row>
    <row r="410" spans="1:10" x14ac:dyDescent="0.3">
      <c r="A410" t="s">
        <v>1376</v>
      </c>
      <c r="B410" t="s">
        <v>1377</v>
      </c>
      <c r="C410" t="s">
        <v>1378</v>
      </c>
      <c r="D410" t="s">
        <v>1379</v>
      </c>
      <c r="E410" t="s">
        <v>1326</v>
      </c>
      <c r="F410" t="s">
        <v>1590</v>
      </c>
      <c r="G410" t="s">
        <v>1534</v>
      </c>
      <c r="H410">
        <v>0</v>
      </c>
      <c r="J410" t="s">
        <v>1328</v>
      </c>
    </row>
    <row r="411" spans="1:10" x14ac:dyDescent="0.3">
      <c r="A411" t="s">
        <v>1308</v>
      </c>
    </row>
    <row r="412" spans="1:10" x14ac:dyDescent="0.3">
      <c r="A412" t="s">
        <v>1376</v>
      </c>
      <c r="B412" t="s">
        <v>1377</v>
      </c>
      <c r="C412" t="s">
        <v>1378</v>
      </c>
      <c r="D412" t="s">
        <v>1379</v>
      </c>
      <c r="E412" t="s">
        <v>1326</v>
      </c>
      <c r="F412" t="s">
        <v>1614</v>
      </c>
      <c r="G412" t="s">
        <v>1616</v>
      </c>
      <c r="H412">
        <v>0</v>
      </c>
      <c r="J412" t="s">
        <v>1328</v>
      </c>
    </row>
    <row r="413" spans="1:10" x14ac:dyDescent="0.3">
      <c r="A413" t="s">
        <v>1308</v>
      </c>
    </row>
    <row r="414" spans="1:10" x14ac:dyDescent="0.3">
      <c r="A414" t="s">
        <v>1376</v>
      </c>
      <c r="B414" t="s">
        <v>1377</v>
      </c>
      <c r="C414" t="s">
        <v>1378</v>
      </c>
      <c r="D414" t="s">
        <v>1379</v>
      </c>
      <c r="E414" t="s">
        <v>1326</v>
      </c>
      <c r="F414" t="s">
        <v>1614</v>
      </c>
      <c r="G414" t="s">
        <v>1616</v>
      </c>
      <c r="H414">
        <v>0</v>
      </c>
      <c r="J414" t="s">
        <v>1328</v>
      </c>
    </row>
    <row r="415" spans="1:10" x14ac:dyDescent="0.3">
      <c r="A415" t="s">
        <v>1308</v>
      </c>
    </row>
    <row r="416" spans="1:10" x14ac:dyDescent="0.3">
      <c r="A416" t="s">
        <v>1376</v>
      </c>
      <c r="B416" t="s">
        <v>1377</v>
      </c>
      <c r="C416" t="s">
        <v>1378</v>
      </c>
      <c r="D416" t="s">
        <v>1379</v>
      </c>
      <c r="E416" t="s">
        <v>1326</v>
      </c>
      <c r="F416" t="s">
        <v>1617</v>
      </c>
      <c r="G416" t="s">
        <v>1618</v>
      </c>
      <c r="H416">
        <v>0</v>
      </c>
      <c r="J416" t="s">
        <v>1328</v>
      </c>
    </row>
    <row r="417" spans="1:10" x14ac:dyDescent="0.3">
      <c r="A417" t="s">
        <v>1308</v>
      </c>
    </row>
    <row r="418" spans="1:10" x14ac:dyDescent="0.3">
      <c r="A418" t="s">
        <v>1376</v>
      </c>
      <c r="B418" t="s">
        <v>1377</v>
      </c>
      <c r="C418" t="s">
        <v>1378</v>
      </c>
      <c r="D418" t="s">
        <v>1379</v>
      </c>
      <c r="E418" t="s">
        <v>1326</v>
      </c>
      <c r="F418" t="s">
        <v>1617</v>
      </c>
      <c r="G418" t="s">
        <v>1618</v>
      </c>
      <c r="H418">
        <v>0</v>
      </c>
      <c r="J418" t="s">
        <v>1328</v>
      </c>
    </row>
    <row r="419" spans="1:10" x14ac:dyDescent="0.3">
      <c r="A419" t="s">
        <v>1308</v>
      </c>
    </row>
    <row r="420" spans="1:10" x14ac:dyDescent="0.3">
      <c r="A420" t="s">
        <v>1376</v>
      </c>
      <c r="B420" t="s">
        <v>1377</v>
      </c>
      <c r="C420" t="s">
        <v>1378</v>
      </c>
      <c r="D420" t="s">
        <v>1379</v>
      </c>
      <c r="E420" t="s">
        <v>1326</v>
      </c>
      <c r="F420" t="s">
        <v>1617</v>
      </c>
      <c r="G420" t="s">
        <v>1618</v>
      </c>
      <c r="H420">
        <v>0</v>
      </c>
      <c r="J420" t="s">
        <v>1328</v>
      </c>
    </row>
  </sheetData>
  <autoFilter ref="A1:AG420" xr:uid="{324B4899-6A68-4EB6-9D9E-AA8C2643E4E5}">
    <sortState xmlns:xlrd2="http://schemas.microsoft.com/office/spreadsheetml/2017/richdata2" ref="A2:AG420">
      <sortCondition descending="1" ref="O1:O420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6777-2756-4383-B697-D8D8C760194B}">
  <dimension ref="A2:AU433"/>
  <sheetViews>
    <sheetView topLeftCell="I2" zoomScale="55" zoomScaleNormal="55" workbookViewId="0">
      <selection activeCell="AH54" sqref="AH54"/>
    </sheetView>
  </sheetViews>
  <sheetFormatPr defaultRowHeight="16.5" x14ac:dyDescent="0.3"/>
  <cols>
    <col min="1" max="8" width="0" hidden="1" customWidth="1"/>
    <col min="9" max="9" width="56.5" customWidth="1"/>
    <col min="10" max="18" width="9" customWidth="1"/>
  </cols>
  <sheetData>
    <row r="2" spans="1:44" x14ac:dyDescent="0.3">
      <c r="I2" s="2" t="s">
        <v>1708</v>
      </c>
    </row>
    <row r="3" spans="1:44" x14ac:dyDescent="0.3">
      <c r="I3" t="s">
        <v>1726</v>
      </c>
    </row>
    <row r="4" spans="1:44" x14ac:dyDescent="0.3">
      <c r="I4" s="2" t="s">
        <v>1727</v>
      </c>
    </row>
    <row r="5" spans="1:44" x14ac:dyDescent="0.3">
      <c r="I5" s="2" t="s">
        <v>1725</v>
      </c>
    </row>
    <row r="6" spans="1:44" x14ac:dyDescent="0.3">
      <c r="I6" s="2" t="s">
        <v>1728</v>
      </c>
    </row>
    <row r="7" spans="1:44" x14ac:dyDescent="0.3">
      <c r="I7" s="11" t="s">
        <v>1729</v>
      </c>
      <c r="AJ7" s="2" t="s">
        <v>1730</v>
      </c>
      <c r="AQ7" s="2" t="s">
        <v>1737</v>
      </c>
    </row>
    <row r="8" spans="1:44" x14ac:dyDescent="0.3">
      <c r="I8" s="13" t="s">
        <v>1732</v>
      </c>
    </row>
    <row r="9" spans="1:44" x14ac:dyDescent="0.3">
      <c r="I9" s="13" t="s">
        <v>1720</v>
      </c>
    </row>
    <row r="10" spans="1:44" x14ac:dyDescent="0.3">
      <c r="I10" s="13" t="s">
        <v>1731</v>
      </c>
      <c r="AJ10" s="2" t="s">
        <v>1723</v>
      </c>
      <c r="AM10" s="2" t="s">
        <v>1724</v>
      </c>
      <c r="AQ10" s="2" t="s">
        <v>1738</v>
      </c>
    </row>
    <row r="11" spans="1:44" x14ac:dyDescent="0.3">
      <c r="I11" s="2" t="s">
        <v>1739</v>
      </c>
    </row>
    <row r="12" spans="1:44" x14ac:dyDescent="0.3">
      <c r="I12" s="14" t="s">
        <v>1740</v>
      </c>
    </row>
    <row r="13" spans="1:44" x14ac:dyDescent="0.3">
      <c r="I13" s="14"/>
    </row>
    <row r="14" spans="1:44" x14ac:dyDescent="0.3">
      <c r="I14" s="14"/>
    </row>
    <row r="15" spans="1:44" s="2" customFormat="1" x14ac:dyDescent="0.3">
      <c r="A15" s="2" t="s">
        <v>1500</v>
      </c>
      <c r="B15" s="2" t="s">
        <v>1310</v>
      </c>
      <c r="C15" s="2">
        <v>0.4</v>
      </c>
      <c r="D15" s="2" t="s">
        <v>1311</v>
      </c>
      <c r="E15" s="2" t="s">
        <v>1312</v>
      </c>
      <c r="F15" s="2">
        <v>0.2</v>
      </c>
      <c r="G15" s="2" t="s">
        <v>1381</v>
      </c>
      <c r="H15" s="2" t="s">
        <v>1337</v>
      </c>
      <c r="I15" s="2" t="s">
        <v>1652</v>
      </c>
      <c r="J15" s="2" t="s">
        <v>1315</v>
      </c>
      <c r="K15" s="2">
        <v>140</v>
      </c>
      <c r="L15" s="2" t="s">
        <v>1316</v>
      </c>
      <c r="M15" s="2">
        <v>29</v>
      </c>
      <c r="N15" s="2" t="s">
        <v>1317</v>
      </c>
      <c r="O15" s="2">
        <v>33.009999999999899</v>
      </c>
      <c r="P15" s="2" t="s">
        <v>1318</v>
      </c>
      <c r="Q15" s="2">
        <v>0.23578571428571299</v>
      </c>
      <c r="R15" s="2" t="s">
        <v>1319</v>
      </c>
      <c r="S15" s="2">
        <v>3.6151724137931001</v>
      </c>
      <c r="T15" s="2" t="s">
        <v>1320</v>
      </c>
      <c r="U15" s="2">
        <v>-0.64711711711711695</v>
      </c>
      <c r="V15" s="2" t="s">
        <v>1321</v>
      </c>
      <c r="W15" s="2">
        <v>0.49609467221015002</v>
      </c>
      <c r="X15" s="2" t="s">
        <v>1322</v>
      </c>
      <c r="Y15" s="2" t="s">
        <v>1532</v>
      </c>
      <c r="Z15" s="2" t="s">
        <v>1341</v>
      </c>
      <c r="AA15" s="2">
        <v>0</v>
      </c>
      <c r="AB15" s="2" t="s">
        <v>1325</v>
      </c>
      <c r="AC15" s="2" t="s">
        <v>1326</v>
      </c>
      <c r="AD15" s="2" t="s">
        <v>1532</v>
      </c>
      <c r="AE15" s="2" t="s">
        <v>1341</v>
      </c>
      <c r="AF15" s="2">
        <v>0</v>
      </c>
      <c r="AG15" s="2" t="s">
        <v>1328</v>
      </c>
      <c r="AJ15" s="2" t="s">
        <v>1709</v>
      </c>
      <c r="AK15" s="2">
        <v>104</v>
      </c>
      <c r="AM15" t="s">
        <v>1709</v>
      </c>
      <c r="AN15">
        <v>167</v>
      </c>
      <c r="AO15"/>
      <c r="AP15"/>
      <c r="AQ15" t="s">
        <v>1709</v>
      </c>
      <c r="AR15" s="2">
        <v>265</v>
      </c>
    </row>
    <row r="16" spans="1:44" s="2" customFormat="1" x14ac:dyDescent="0.3">
      <c r="A16" s="2" t="s">
        <v>1500</v>
      </c>
      <c r="B16" s="2" t="s">
        <v>1310</v>
      </c>
      <c r="C16" s="2">
        <v>0.4</v>
      </c>
      <c r="D16" s="2" t="s">
        <v>1311</v>
      </c>
      <c r="E16" s="2" t="s">
        <v>1312</v>
      </c>
      <c r="F16" s="2">
        <v>0.2</v>
      </c>
      <c r="G16" s="2" t="s">
        <v>1381</v>
      </c>
      <c r="H16" s="2" t="s">
        <v>1336</v>
      </c>
      <c r="I16" s="2" t="s">
        <v>1653</v>
      </c>
      <c r="J16" s="2" t="s">
        <v>1315</v>
      </c>
      <c r="K16" s="2">
        <v>140</v>
      </c>
      <c r="L16" s="2" t="s">
        <v>1316</v>
      </c>
      <c r="M16" s="2">
        <v>30</v>
      </c>
      <c r="N16" s="2" t="s">
        <v>1317</v>
      </c>
      <c r="O16" s="2">
        <v>21.919999999999899</v>
      </c>
      <c r="P16" s="2" t="s">
        <v>1318</v>
      </c>
      <c r="Q16" s="2">
        <v>0.156571428571428</v>
      </c>
      <c r="R16" s="2" t="s">
        <v>1319</v>
      </c>
      <c r="S16" s="2">
        <v>3.0936666666666599</v>
      </c>
      <c r="T16" s="2" t="s">
        <v>1320</v>
      </c>
      <c r="U16" s="2">
        <v>-0.64445454545454495</v>
      </c>
      <c r="V16" s="2" t="s">
        <v>1321</v>
      </c>
      <c r="W16" s="2">
        <v>0.41113216186271301</v>
      </c>
      <c r="X16" s="2" t="s">
        <v>1322</v>
      </c>
      <c r="Y16" s="2" t="s">
        <v>1531</v>
      </c>
      <c r="Z16" s="2" t="s">
        <v>1494</v>
      </c>
      <c r="AA16" s="2">
        <v>0</v>
      </c>
      <c r="AB16" s="2" t="s">
        <v>1325</v>
      </c>
      <c r="AC16" s="2" t="s">
        <v>1326</v>
      </c>
      <c r="AD16" s="2" t="s">
        <v>1531</v>
      </c>
      <c r="AE16" s="2" t="s">
        <v>1494</v>
      </c>
      <c r="AF16" s="2">
        <v>0</v>
      </c>
      <c r="AG16" s="2" t="s">
        <v>1328</v>
      </c>
      <c r="AJ16" s="2" t="s">
        <v>1710</v>
      </c>
      <c r="AK16" s="2">
        <v>62</v>
      </c>
      <c r="AM16" s="2" t="s">
        <v>1710</v>
      </c>
      <c r="AN16" s="2">
        <v>101</v>
      </c>
      <c r="AQ16" s="2" t="s">
        <v>1710</v>
      </c>
      <c r="AR16" s="2">
        <v>161</v>
      </c>
    </row>
    <row r="17" spans="1:47" s="2" customFormat="1" x14ac:dyDescent="0.3">
      <c r="A17" s="2" t="s">
        <v>1500</v>
      </c>
      <c r="B17" s="2" t="s">
        <v>1310</v>
      </c>
      <c r="C17" s="2">
        <v>0.4</v>
      </c>
      <c r="D17" s="2" t="s">
        <v>1311</v>
      </c>
      <c r="E17" s="2" t="s">
        <v>1312</v>
      </c>
      <c r="F17" s="2">
        <v>0.2</v>
      </c>
      <c r="G17" s="2" t="s">
        <v>1392</v>
      </c>
      <c r="H17" s="2" t="s">
        <v>1350</v>
      </c>
      <c r="I17" s="2" t="s">
        <v>1654</v>
      </c>
      <c r="J17" s="2" t="s">
        <v>1315</v>
      </c>
      <c r="K17" s="2">
        <v>136</v>
      </c>
      <c r="L17" s="2" t="s">
        <v>1316</v>
      </c>
      <c r="M17" s="2">
        <v>22</v>
      </c>
      <c r="N17" s="2" t="s">
        <v>1317</v>
      </c>
      <c r="O17" s="2">
        <v>19.8542899048648</v>
      </c>
      <c r="P17" s="2" t="s">
        <v>1318</v>
      </c>
      <c r="Q17" s="2">
        <v>0.14598742577106399</v>
      </c>
      <c r="R17" s="2" t="s">
        <v>1319</v>
      </c>
      <c r="S17" s="2">
        <v>4.3463636363636304</v>
      </c>
      <c r="T17" s="2" t="s">
        <v>1320</v>
      </c>
      <c r="U17" s="2">
        <v>-0.66461149206258896</v>
      </c>
      <c r="V17" s="2" t="s">
        <v>1321</v>
      </c>
      <c r="W17" s="2">
        <v>0.42093352959513602</v>
      </c>
      <c r="X17" s="2" t="s">
        <v>1322</v>
      </c>
      <c r="Y17" s="2" t="s">
        <v>1537</v>
      </c>
      <c r="Z17" s="2" t="s">
        <v>1341</v>
      </c>
      <c r="AA17" s="2">
        <v>0</v>
      </c>
      <c r="AB17" s="2" t="s">
        <v>1325</v>
      </c>
      <c r="AC17" s="2" t="s">
        <v>1326</v>
      </c>
      <c r="AD17" s="2" t="s">
        <v>1537</v>
      </c>
      <c r="AE17" s="2" t="s">
        <v>1341</v>
      </c>
      <c r="AF17" s="2">
        <v>0</v>
      </c>
      <c r="AG17" s="2" t="s">
        <v>1328</v>
      </c>
      <c r="AJ17" s="2" t="s">
        <v>1711</v>
      </c>
      <c r="AK17" s="2">
        <v>35.979999999999997</v>
      </c>
      <c r="AM17" s="2" t="s">
        <v>1711</v>
      </c>
      <c r="AN17" s="2">
        <v>70.837325324843704</v>
      </c>
      <c r="AQ17" s="2" t="s">
        <v>1711</v>
      </c>
      <c r="AR17" s="2">
        <v>152.427258751604</v>
      </c>
    </row>
    <row r="18" spans="1:47" s="2" customFormat="1" x14ac:dyDescent="0.3">
      <c r="A18" s="2" t="s">
        <v>1500</v>
      </c>
      <c r="B18" s="2" t="s">
        <v>1310</v>
      </c>
      <c r="C18" s="2">
        <v>0.4</v>
      </c>
      <c r="D18" s="2" t="s">
        <v>1311</v>
      </c>
      <c r="E18" s="2" t="s">
        <v>1312</v>
      </c>
      <c r="F18" s="2">
        <v>0.2</v>
      </c>
      <c r="G18" s="2" t="s">
        <v>1342</v>
      </c>
      <c r="H18" s="2" t="s">
        <v>1343</v>
      </c>
      <c r="I18" s="2" t="s">
        <v>1655</v>
      </c>
      <c r="J18" s="2" t="s">
        <v>1315</v>
      </c>
      <c r="K18" s="2">
        <v>136</v>
      </c>
      <c r="L18" s="2" t="s">
        <v>1316</v>
      </c>
      <c r="M18" s="2">
        <v>58</v>
      </c>
      <c r="N18" s="2" t="s">
        <v>1317</v>
      </c>
      <c r="O18" s="2">
        <v>19.3028599365765</v>
      </c>
      <c r="P18" s="2" t="s">
        <v>1318</v>
      </c>
      <c r="Q18" s="2">
        <v>0.14193279365129799</v>
      </c>
      <c r="R18" s="2" t="s">
        <v>1319</v>
      </c>
      <c r="S18" s="2">
        <v>1.18832517132028</v>
      </c>
      <c r="T18" s="2" t="s">
        <v>1320</v>
      </c>
      <c r="U18" s="2">
        <v>-0.63615384615384596</v>
      </c>
      <c r="V18" s="2" t="s">
        <v>1321</v>
      </c>
      <c r="W18" s="2">
        <v>0.19512565712170901</v>
      </c>
      <c r="X18" s="2" t="s">
        <v>1322</v>
      </c>
      <c r="Y18" s="2" t="s">
        <v>1524</v>
      </c>
      <c r="Z18" s="2" t="s">
        <v>1502</v>
      </c>
      <c r="AA18" s="2">
        <v>0</v>
      </c>
      <c r="AB18" s="2" t="s">
        <v>1325</v>
      </c>
      <c r="AC18" s="2" t="s">
        <v>1326</v>
      </c>
      <c r="AD18" s="2" t="s">
        <v>1524</v>
      </c>
      <c r="AE18" s="2" t="s">
        <v>1502</v>
      </c>
      <c r="AF18" s="2">
        <v>0</v>
      </c>
      <c r="AG18" s="2" t="s">
        <v>1328</v>
      </c>
      <c r="AJ18" s="2" t="s">
        <v>1712</v>
      </c>
      <c r="AK18" s="2">
        <v>0.34596153846153799</v>
      </c>
      <c r="AM18" s="2" t="s">
        <v>1712</v>
      </c>
      <c r="AN18" s="2">
        <v>0.42417560074756699</v>
      </c>
      <c r="AQ18" s="2" t="s">
        <v>1712</v>
      </c>
      <c r="AR18" s="2">
        <v>0.57519720283624298</v>
      </c>
    </row>
    <row r="19" spans="1:47" s="2" customFormat="1" x14ac:dyDescent="0.3">
      <c r="A19" s="2" t="s">
        <v>1500</v>
      </c>
      <c r="B19" s="2" t="s">
        <v>1310</v>
      </c>
      <c r="C19" s="2">
        <v>0.5</v>
      </c>
      <c r="D19" s="2" t="s">
        <v>1311</v>
      </c>
      <c r="E19" s="2" t="s">
        <v>1312</v>
      </c>
      <c r="F19" s="2">
        <v>0.3</v>
      </c>
      <c r="G19" s="2" t="s">
        <v>1342</v>
      </c>
      <c r="H19" s="2" t="s">
        <v>1350</v>
      </c>
      <c r="I19" s="2" t="s">
        <v>1656</v>
      </c>
      <c r="J19" s="2" t="s">
        <v>1315</v>
      </c>
      <c r="K19" s="2">
        <v>136</v>
      </c>
      <c r="L19" s="2" t="s">
        <v>1316</v>
      </c>
      <c r="M19" s="2">
        <v>32</v>
      </c>
      <c r="N19" s="2" t="s">
        <v>1317</v>
      </c>
      <c r="O19" s="2">
        <v>18.3799999999999</v>
      </c>
      <c r="P19" s="2" t="s">
        <v>1318</v>
      </c>
      <c r="Q19" s="2">
        <v>0.13514705882352901</v>
      </c>
      <c r="R19" s="2" t="s">
        <v>1319</v>
      </c>
      <c r="S19" s="2">
        <v>2.7728124999999899</v>
      </c>
      <c r="T19" s="2" t="s">
        <v>1320</v>
      </c>
      <c r="U19" s="2">
        <v>-0.67644230769230695</v>
      </c>
      <c r="V19" s="2" t="s">
        <v>1321</v>
      </c>
      <c r="W19" s="2">
        <v>0.33958254878210298</v>
      </c>
      <c r="X19" s="2" t="s">
        <v>1322</v>
      </c>
      <c r="Y19" s="2" t="s">
        <v>1507</v>
      </c>
      <c r="Z19" s="2" t="s">
        <v>1508</v>
      </c>
      <c r="AA19" s="2">
        <v>0</v>
      </c>
      <c r="AB19" s="2" t="s">
        <v>1325</v>
      </c>
      <c r="AC19" s="2" t="s">
        <v>1326</v>
      </c>
      <c r="AD19" s="2" t="s">
        <v>1507</v>
      </c>
      <c r="AE19" s="2" t="s">
        <v>1508</v>
      </c>
      <c r="AF19" s="2">
        <v>0</v>
      </c>
      <c r="AG19" s="2" t="s">
        <v>1328</v>
      </c>
      <c r="AJ19" s="2" t="s">
        <v>1713</v>
      </c>
      <c r="AK19" s="2">
        <v>1.0946774193548301</v>
      </c>
      <c r="AM19" s="2" t="s">
        <v>1713</v>
      </c>
      <c r="AN19" s="2">
        <v>1.05328326023248</v>
      </c>
      <c r="AQ19" s="2" t="s">
        <v>1713</v>
      </c>
      <c r="AR19" s="2">
        <v>1.3372203061465799</v>
      </c>
    </row>
    <row r="20" spans="1:47" s="2" customFormat="1" x14ac:dyDescent="0.3">
      <c r="A20" s="2" t="s">
        <v>1500</v>
      </c>
      <c r="B20" s="2" t="s">
        <v>1310</v>
      </c>
      <c r="C20" s="2">
        <v>0.5</v>
      </c>
      <c r="D20" s="2" t="s">
        <v>1311</v>
      </c>
      <c r="E20" s="2" t="s">
        <v>1312</v>
      </c>
      <c r="F20" s="2">
        <v>0.3</v>
      </c>
      <c r="G20" s="2" t="s">
        <v>1313</v>
      </c>
      <c r="H20" s="2" t="s">
        <v>1336</v>
      </c>
      <c r="I20" s="2" t="s">
        <v>1657</v>
      </c>
      <c r="J20" s="2" t="s">
        <v>1315</v>
      </c>
      <c r="K20" s="2">
        <v>140</v>
      </c>
      <c r="L20" s="2" t="s">
        <v>1316</v>
      </c>
      <c r="M20" s="2">
        <v>43</v>
      </c>
      <c r="N20" s="2" t="s">
        <v>1317</v>
      </c>
      <c r="O20" s="2">
        <v>17.989999999999899</v>
      </c>
      <c r="P20" s="2" t="s">
        <v>1318</v>
      </c>
      <c r="Q20" s="2">
        <v>0.128499999999999</v>
      </c>
      <c r="R20" s="2" t="s">
        <v>1319</v>
      </c>
      <c r="S20" s="2">
        <v>2.0002325581395302</v>
      </c>
      <c r="T20" s="2" t="s">
        <v>1320</v>
      </c>
      <c r="U20" s="2">
        <v>-0.70123711340206196</v>
      </c>
      <c r="V20" s="2" t="s">
        <v>1321</v>
      </c>
      <c r="W20" s="2">
        <v>0.35969706679181901</v>
      </c>
      <c r="X20" s="2" t="s">
        <v>1322</v>
      </c>
      <c r="Y20" s="2" t="s">
        <v>1323</v>
      </c>
      <c r="Z20" s="2" t="s">
        <v>1324</v>
      </c>
      <c r="AA20" s="2">
        <v>0</v>
      </c>
      <c r="AB20" s="2" t="s">
        <v>1325</v>
      </c>
      <c r="AC20" s="2" t="s">
        <v>1326</v>
      </c>
      <c r="AD20" s="2" t="s">
        <v>1323</v>
      </c>
      <c r="AE20" s="2" t="s">
        <v>1324</v>
      </c>
      <c r="AF20" s="2">
        <v>0</v>
      </c>
      <c r="AG20" s="2" t="s">
        <v>1328</v>
      </c>
      <c r="AJ20" s="2" t="s">
        <v>1714</v>
      </c>
      <c r="AK20" s="2">
        <v>-0.79724999999999902</v>
      </c>
      <c r="AM20" s="2" t="s">
        <v>1714</v>
      </c>
      <c r="AN20" s="2">
        <v>-0.59240473264395599</v>
      </c>
      <c r="AQ20" s="2" t="s">
        <v>1714</v>
      </c>
      <c r="AR20" s="2">
        <v>-0.64809495399994599</v>
      </c>
    </row>
    <row r="21" spans="1:47" s="2" customFormat="1" x14ac:dyDescent="0.3">
      <c r="A21" s="2" t="s">
        <v>1604</v>
      </c>
      <c r="B21" s="2" t="s">
        <v>1310</v>
      </c>
      <c r="C21" s="2">
        <v>0.4</v>
      </c>
      <c r="D21" s="2" t="s">
        <v>1311</v>
      </c>
      <c r="E21" s="2" t="s">
        <v>1312</v>
      </c>
      <c r="F21" s="2">
        <v>0.2</v>
      </c>
      <c r="G21" s="2" t="s">
        <v>1403</v>
      </c>
      <c r="H21" s="2" t="s">
        <v>1352</v>
      </c>
      <c r="I21" s="2" t="s">
        <v>1658</v>
      </c>
      <c r="J21" s="2" t="s">
        <v>1315</v>
      </c>
      <c r="K21" s="2">
        <v>291</v>
      </c>
      <c r="L21" s="2" t="s">
        <v>1316</v>
      </c>
      <c r="M21" s="2">
        <v>89</v>
      </c>
      <c r="N21" s="2" t="s">
        <v>1317</v>
      </c>
      <c r="O21" s="2">
        <v>17.618261130531302</v>
      </c>
      <c r="P21" s="2" t="s">
        <v>1318</v>
      </c>
      <c r="Q21" s="2">
        <v>6.0543852682238102E-2</v>
      </c>
      <c r="R21" s="2" t="s">
        <v>1319</v>
      </c>
      <c r="S21" s="2">
        <v>1.8878162690710101</v>
      </c>
      <c r="T21" s="2" t="s">
        <v>1320</v>
      </c>
      <c r="U21" s="2">
        <v>-0.74454151889499698</v>
      </c>
      <c r="V21" s="2" t="s">
        <v>1321</v>
      </c>
      <c r="W21" s="2">
        <v>0.416582592445082</v>
      </c>
      <c r="X21" s="2" t="s">
        <v>1322</v>
      </c>
      <c r="Y21" s="2" t="s">
        <v>1630</v>
      </c>
      <c r="Z21" s="2" t="s">
        <v>1473</v>
      </c>
      <c r="AA21" s="2">
        <v>0</v>
      </c>
      <c r="AB21" s="2" t="s">
        <v>1325</v>
      </c>
      <c r="AC21" s="2" t="s">
        <v>1326</v>
      </c>
      <c r="AD21" s="2" t="s">
        <v>1630</v>
      </c>
      <c r="AE21" s="2" t="s">
        <v>1473</v>
      </c>
      <c r="AF21" s="2">
        <v>0</v>
      </c>
      <c r="AG21" s="2" t="s">
        <v>1328</v>
      </c>
      <c r="AJ21" s="2" t="s">
        <v>1715</v>
      </c>
      <c r="AK21" s="2">
        <v>0.214167477742085</v>
      </c>
      <c r="AM21" s="2" t="s">
        <v>1715</v>
      </c>
      <c r="AN21" s="2">
        <v>0.28180981233032598</v>
      </c>
      <c r="AQ21" s="2" t="s">
        <v>1715</v>
      </c>
      <c r="AR21" s="2">
        <v>0.53589486449788304</v>
      </c>
    </row>
    <row r="22" spans="1:47" s="2" customFormat="1" x14ac:dyDescent="0.3">
      <c r="A22" s="2" t="s">
        <v>1500</v>
      </c>
      <c r="B22" s="2" t="s">
        <v>1310</v>
      </c>
      <c r="C22" s="2">
        <v>0.4</v>
      </c>
      <c r="D22" s="2" t="s">
        <v>1311</v>
      </c>
      <c r="E22" s="2" t="s">
        <v>1312</v>
      </c>
      <c r="F22" s="2">
        <v>0.2</v>
      </c>
      <c r="G22" s="2" t="s">
        <v>1392</v>
      </c>
      <c r="H22" s="2" t="s">
        <v>1349</v>
      </c>
      <c r="I22" s="2" t="s">
        <v>1659</v>
      </c>
      <c r="J22" s="2" t="s">
        <v>1315</v>
      </c>
      <c r="K22" s="2">
        <v>136</v>
      </c>
      <c r="L22" s="2" t="s">
        <v>1316</v>
      </c>
      <c r="M22" s="2">
        <v>23</v>
      </c>
      <c r="N22" s="2" t="s">
        <v>1317</v>
      </c>
      <c r="O22" s="2">
        <v>17.204289904864801</v>
      </c>
      <c r="P22" s="2" t="s">
        <v>1318</v>
      </c>
      <c r="Q22" s="2">
        <v>0.126502131653417</v>
      </c>
      <c r="R22" s="2" t="s">
        <v>1319</v>
      </c>
      <c r="S22" s="2">
        <v>3.9921739130434699</v>
      </c>
      <c r="T22" s="2" t="s">
        <v>1320</v>
      </c>
      <c r="U22" s="2">
        <v>-0.66031601854101896</v>
      </c>
      <c r="V22" s="2" t="s">
        <v>1321</v>
      </c>
      <c r="W22" s="2">
        <v>0.402535581965769</v>
      </c>
      <c r="X22" s="2" t="s">
        <v>1322</v>
      </c>
      <c r="Y22" s="2" t="s">
        <v>1536</v>
      </c>
      <c r="Z22" s="2" t="s">
        <v>1399</v>
      </c>
      <c r="AA22" s="2">
        <v>0</v>
      </c>
      <c r="AB22" s="2" t="s">
        <v>1325</v>
      </c>
      <c r="AC22" s="2" t="s">
        <v>1326</v>
      </c>
      <c r="AD22" s="2" t="s">
        <v>1536</v>
      </c>
      <c r="AE22" s="2" t="s">
        <v>1399</v>
      </c>
      <c r="AF22" s="2">
        <v>0</v>
      </c>
      <c r="AG22" s="2" t="s">
        <v>1328</v>
      </c>
      <c r="AJ22" s="2" t="s">
        <v>1716</v>
      </c>
      <c r="AK22" s="2" t="s">
        <v>1520</v>
      </c>
      <c r="AM22" s="2" t="s">
        <v>1716</v>
      </c>
      <c r="AN22" s="2" t="s">
        <v>1525</v>
      </c>
      <c r="AQ22" s="2" t="s">
        <v>1716</v>
      </c>
      <c r="AR22" s="2" t="s">
        <v>1733</v>
      </c>
    </row>
    <row r="23" spans="1:47" s="2" customFormat="1" x14ac:dyDescent="0.3">
      <c r="A23" s="2" t="s">
        <v>1500</v>
      </c>
      <c r="B23" s="2" t="s">
        <v>1310</v>
      </c>
      <c r="C23" s="2">
        <v>0.5</v>
      </c>
      <c r="D23" s="2" t="s">
        <v>1311</v>
      </c>
      <c r="E23" s="2" t="s">
        <v>1312</v>
      </c>
      <c r="F23" s="2">
        <v>0.3</v>
      </c>
      <c r="G23" s="2" t="s">
        <v>1313</v>
      </c>
      <c r="H23" s="2" t="s">
        <v>1337</v>
      </c>
      <c r="I23" s="2" t="s">
        <v>1660</v>
      </c>
      <c r="J23" s="2" t="s">
        <v>1315</v>
      </c>
      <c r="K23" s="2">
        <v>140</v>
      </c>
      <c r="L23" s="2" t="s">
        <v>1316</v>
      </c>
      <c r="M23" s="2">
        <v>43</v>
      </c>
      <c r="N23" s="2" t="s">
        <v>1317</v>
      </c>
      <c r="O23" s="2">
        <v>16.659999999999901</v>
      </c>
      <c r="P23" s="2" t="s">
        <v>1318</v>
      </c>
      <c r="Q23" s="2">
        <v>0.118999999999999</v>
      </c>
      <c r="R23" s="2" t="s">
        <v>1319</v>
      </c>
      <c r="S23" s="2">
        <v>1.96930232558139</v>
      </c>
      <c r="T23" s="2" t="s">
        <v>1320</v>
      </c>
      <c r="U23" s="2">
        <v>-0.70123711340206196</v>
      </c>
      <c r="V23" s="2" t="s">
        <v>1321</v>
      </c>
      <c r="W23" s="2">
        <v>0.36018721380868401</v>
      </c>
      <c r="X23" s="2" t="s">
        <v>1322</v>
      </c>
      <c r="Y23" s="2" t="s">
        <v>1323</v>
      </c>
      <c r="Z23" s="2" t="s">
        <v>1324</v>
      </c>
      <c r="AA23" s="2">
        <v>0</v>
      </c>
      <c r="AB23" s="2" t="s">
        <v>1325</v>
      </c>
      <c r="AC23" s="2" t="s">
        <v>1326</v>
      </c>
      <c r="AD23" s="2" t="s">
        <v>1323</v>
      </c>
      <c r="AE23" s="2" t="s">
        <v>1324</v>
      </c>
      <c r="AF23" s="2">
        <v>0</v>
      </c>
      <c r="AG23" s="2" t="s">
        <v>1328</v>
      </c>
      <c r="AJ23" s="2" t="s">
        <v>1717</v>
      </c>
      <c r="AK23" s="2" t="s">
        <v>1520</v>
      </c>
      <c r="AM23" s="2" t="s">
        <v>1717</v>
      </c>
      <c r="AN23" s="2" t="s">
        <v>1525</v>
      </c>
      <c r="AQ23" s="2" t="s">
        <v>1734</v>
      </c>
    </row>
    <row r="24" spans="1:47" s="2" customFormat="1" x14ac:dyDescent="0.3">
      <c r="A24" s="2" t="s">
        <v>1500</v>
      </c>
      <c r="B24" s="2" t="s">
        <v>1310</v>
      </c>
      <c r="C24" s="2">
        <v>0.4</v>
      </c>
      <c r="D24" s="2" t="s">
        <v>1311</v>
      </c>
      <c r="E24" s="2" t="s">
        <v>1312</v>
      </c>
      <c r="F24" s="2">
        <v>0.2</v>
      </c>
      <c r="G24" s="2" t="s">
        <v>1313</v>
      </c>
      <c r="H24" s="2" t="s">
        <v>1333</v>
      </c>
      <c r="I24" s="2" t="s">
        <v>1661</v>
      </c>
      <c r="J24" s="2" t="s">
        <v>1315</v>
      </c>
      <c r="K24" s="2">
        <v>140</v>
      </c>
      <c r="L24" s="2" t="s">
        <v>1316</v>
      </c>
      <c r="M24" s="2">
        <v>61</v>
      </c>
      <c r="N24" s="2" t="s">
        <v>1317</v>
      </c>
      <c r="O24" s="2">
        <v>15.819999999999901</v>
      </c>
      <c r="P24" s="2" t="s">
        <v>1318</v>
      </c>
      <c r="Q24" s="2">
        <v>0.112999999999999</v>
      </c>
      <c r="R24" s="2" t="s">
        <v>1319</v>
      </c>
      <c r="S24" s="2">
        <v>1.1152459016393399</v>
      </c>
      <c r="T24" s="2" t="s">
        <v>1320</v>
      </c>
      <c r="U24" s="2">
        <v>-0.66088607594936699</v>
      </c>
      <c r="V24" s="2" t="s">
        <v>1321</v>
      </c>
      <c r="W24" s="2">
        <v>0.23930388797232999</v>
      </c>
      <c r="X24" s="2" t="s">
        <v>1322</v>
      </c>
      <c r="Y24" s="2" t="s">
        <v>1520</v>
      </c>
      <c r="Z24" s="2" t="s">
        <v>1521</v>
      </c>
      <c r="AA24" s="2">
        <v>0</v>
      </c>
      <c r="AB24" s="2" t="s">
        <v>1325</v>
      </c>
      <c r="AC24" s="2" t="s">
        <v>1326</v>
      </c>
      <c r="AD24" s="2" t="s">
        <v>1520</v>
      </c>
      <c r="AE24" s="2" t="s">
        <v>1521</v>
      </c>
      <c r="AF24" s="2">
        <v>0</v>
      </c>
      <c r="AG24" s="2" t="s">
        <v>1328</v>
      </c>
      <c r="AJ24" s="2" t="s">
        <v>1315</v>
      </c>
      <c r="AK24" s="2">
        <v>100</v>
      </c>
      <c r="AM24" s="2" t="s">
        <v>1315</v>
      </c>
      <c r="AN24" s="2">
        <v>156</v>
      </c>
      <c r="AQ24" s="2" t="s">
        <v>1735</v>
      </c>
    </row>
    <row r="25" spans="1:47" s="2" customFormat="1" x14ac:dyDescent="0.3">
      <c r="A25" s="2" t="s">
        <v>1500</v>
      </c>
      <c r="B25" s="2" t="s">
        <v>1310</v>
      </c>
      <c r="C25" s="2">
        <v>0.5</v>
      </c>
      <c r="D25" s="2" t="s">
        <v>1311</v>
      </c>
      <c r="E25" s="2" t="s">
        <v>1312</v>
      </c>
      <c r="F25" s="2">
        <v>0.3</v>
      </c>
      <c r="G25" s="2" t="s">
        <v>1342</v>
      </c>
      <c r="H25" s="2" t="s">
        <v>1348</v>
      </c>
      <c r="I25" s="2" t="s">
        <v>1662</v>
      </c>
      <c r="J25" s="2" t="s">
        <v>1315</v>
      </c>
      <c r="K25" s="2">
        <v>136</v>
      </c>
      <c r="L25" s="2" t="s">
        <v>1316</v>
      </c>
      <c r="M25" s="2">
        <v>35</v>
      </c>
      <c r="N25" s="2" t="s">
        <v>1317</v>
      </c>
      <c r="O25" s="2">
        <v>15.1299999999999</v>
      </c>
      <c r="P25" s="2" t="s">
        <v>1318</v>
      </c>
      <c r="Q25" s="2">
        <v>0.111249999999999</v>
      </c>
      <c r="R25" s="2" t="s">
        <v>1319</v>
      </c>
      <c r="S25" s="2">
        <v>2.3091428571428501</v>
      </c>
      <c r="T25" s="2" t="s">
        <v>1320</v>
      </c>
      <c r="U25" s="2">
        <v>-0.65039603960395997</v>
      </c>
      <c r="V25" s="2" t="s">
        <v>1321</v>
      </c>
      <c r="W25" s="2">
        <v>0.29455710888390602</v>
      </c>
      <c r="X25" s="2" t="s">
        <v>1322</v>
      </c>
      <c r="Y25" s="2" t="s">
        <v>1505</v>
      </c>
      <c r="Z25" s="2" t="s">
        <v>1506</v>
      </c>
      <c r="AA25" s="2">
        <v>0</v>
      </c>
      <c r="AB25" s="2" t="s">
        <v>1325</v>
      </c>
      <c r="AC25" s="2" t="s">
        <v>1326</v>
      </c>
      <c r="AD25" s="2" t="s">
        <v>1505</v>
      </c>
      <c r="AE25" s="2" t="s">
        <v>1506</v>
      </c>
      <c r="AF25" s="2">
        <v>0</v>
      </c>
      <c r="AG25" s="2" t="s">
        <v>1328</v>
      </c>
      <c r="AJ25" s="2" t="s">
        <v>1710</v>
      </c>
      <c r="AK25" s="2">
        <v>60</v>
      </c>
      <c r="AM25" s="2" t="s">
        <v>1710</v>
      </c>
      <c r="AN25" s="2">
        <v>95</v>
      </c>
      <c r="AQ25" s="2" t="s">
        <v>1721</v>
      </c>
      <c r="AR25" s="2" t="s">
        <v>1377</v>
      </c>
      <c r="AS25" s="2" t="s">
        <v>1378</v>
      </c>
      <c r="AT25" s="2" t="s">
        <v>1379</v>
      </c>
    </row>
    <row r="26" spans="1:47" s="2" customFormat="1" x14ac:dyDescent="0.3">
      <c r="A26" s="2" t="s">
        <v>1500</v>
      </c>
      <c r="B26" s="2" t="s">
        <v>1310</v>
      </c>
      <c r="C26" s="2">
        <v>0.4</v>
      </c>
      <c r="D26" s="2" t="s">
        <v>1311</v>
      </c>
      <c r="E26" s="2" t="s">
        <v>1312</v>
      </c>
      <c r="F26" s="2">
        <v>0.2</v>
      </c>
      <c r="G26" s="2" t="s">
        <v>1313</v>
      </c>
      <c r="H26" s="2" t="s">
        <v>1329</v>
      </c>
      <c r="I26" s="2" t="s">
        <v>1663</v>
      </c>
      <c r="J26" s="2" t="s">
        <v>1315</v>
      </c>
      <c r="K26" s="2">
        <v>140</v>
      </c>
      <c r="L26" s="2" t="s">
        <v>1316</v>
      </c>
      <c r="M26" s="2">
        <v>61</v>
      </c>
      <c r="N26" s="2" t="s">
        <v>1317</v>
      </c>
      <c r="O26" s="2">
        <v>11.909999999999901</v>
      </c>
      <c r="P26" s="2" t="s">
        <v>1318</v>
      </c>
      <c r="Q26" s="2">
        <v>8.5071428571428395E-2</v>
      </c>
      <c r="R26" s="2" t="s">
        <v>1319</v>
      </c>
      <c r="S26" s="2">
        <v>1.0511475409836</v>
      </c>
      <c r="T26" s="2" t="s">
        <v>1320</v>
      </c>
      <c r="U26" s="2">
        <v>-0.66088607594936699</v>
      </c>
      <c r="V26" s="2" t="s">
        <v>1321</v>
      </c>
      <c r="W26" s="2">
        <v>0.23090374711713599</v>
      </c>
      <c r="X26" s="2" t="s">
        <v>1322</v>
      </c>
      <c r="Y26" s="2" t="s">
        <v>1520</v>
      </c>
      <c r="Z26" s="2" t="s">
        <v>1521</v>
      </c>
      <c r="AA26" s="2">
        <v>0</v>
      </c>
      <c r="AB26" s="2" t="s">
        <v>1325</v>
      </c>
      <c r="AC26" s="2" t="s">
        <v>1326</v>
      </c>
      <c r="AD26" s="2" t="s">
        <v>1520</v>
      </c>
      <c r="AE26" s="2" t="s">
        <v>1521</v>
      </c>
      <c r="AF26" s="2">
        <v>0</v>
      </c>
      <c r="AG26" s="2" t="s">
        <v>1328</v>
      </c>
      <c r="AJ26" s="2" t="s">
        <v>1711</v>
      </c>
      <c r="AK26" s="2">
        <v>36.76</v>
      </c>
      <c r="AM26" s="2" t="s">
        <v>1711</v>
      </c>
      <c r="AN26" s="2">
        <v>72.927258751604498</v>
      </c>
      <c r="AQ26" s="2" t="s">
        <v>1717</v>
      </c>
      <c r="AR26" s="2" t="s">
        <v>1733</v>
      </c>
      <c r="AS26" s="2" t="s">
        <v>1736</v>
      </c>
      <c r="AT26" s="2">
        <v>0</v>
      </c>
      <c r="AU26" s="2" t="s">
        <v>1328</v>
      </c>
    </row>
    <row r="27" spans="1:47" s="2" customFormat="1" x14ac:dyDescent="0.3">
      <c r="A27" s="2" t="s">
        <v>1500</v>
      </c>
      <c r="B27" s="2" t="s">
        <v>1310</v>
      </c>
      <c r="C27" s="2">
        <v>0.3</v>
      </c>
      <c r="D27" s="2" t="s">
        <v>1311</v>
      </c>
      <c r="E27" s="2" t="s">
        <v>1312</v>
      </c>
      <c r="F27" s="2">
        <v>0.15</v>
      </c>
      <c r="G27" s="2" t="s">
        <v>1392</v>
      </c>
      <c r="H27" s="2" t="s">
        <v>1349</v>
      </c>
      <c r="I27" s="2" t="s">
        <v>1664</v>
      </c>
      <c r="J27" s="2" t="s">
        <v>1315</v>
      </c>
      <c r="K27" s="2">
        <v>136</v>
      </c>
      <c r="L27" s="2" t="s">
        <v>1316</v>
      </c>
      <c r="M27" s="2">
        <v>29</v>
      </c>
      <c r="N27" s="2" t="s">
        <v>1317</v>
      </c>
      <c r="O27" s="2">
        <v>11.2060664353956</v>
      </c>
      <c r="P27" s="2" t="s">
        <v>1318</v>
      </c>
      <c r="Q27" s="2">
        <v>8.2397547319085801E-2</v>
      </c>
      <c r="R27" s="2" t="s">
        <v>1319</v>
      </c>
      <c r="S27" s="2">
        <v>2.66379310344827</v>
      </c>
      <c r="T27" s="2" t="s">
        <v>1320</v>
      </c>
      <c r="U27" s="2">
        <v>-0.61723302396826496</v>
      </c>
      <c r="V27" s="2" t="s">
        <v>1321</v>
      </c>
      <c r="W27" s="2">
        <v>0.36716265405936799</v>
      </c>
      <c r="X27" s="2" t="s">
        <v>1322</v>
      </c>
      <c r="Y27" s="2" t="s">
        <v>1554</v>
      </c>
      <c r="Z27" s="2" t="s">
        <v>1341</v>
      </c>
      <c r="AA27" s="2">
        <v>0</v>
      </c>
      <c r="AB27" s="2" t="s">
        <v>1325</v>
      </c>
      <c r="AC27" s="2" t="s">
        <v>1326</v>
      </c>
      <c r="AD27" s="2" t="s">
        <v>1554</v>
      </c>
      <c r="AE27" s="2" t="s">
        <v>1341</v>
      </c>
      <c r="AF27" s="2">
        <v>0</v>
      </c>
      <c r="AG27" s="2" t="s">
        <v>1328</v>
      </c>
      <c r="AJ27" s="2" t="s">
        <v>1712</v>
      </c>
      <c r="AK27" s="2">
        <v>0.36759999999999998</v>
      </c>
      <c r="AM27" s="2" t="s">
        <v>1712</v>
      </c>
      <c r="AN27" s="2">
        <v>0.46748242789490102</v>
      </c>
      <c r="AQ27" s="2" t="s">
        <v>1315</v>
      </c>
      <c r="AR27" s="2">
        <v>265</v>
      </c>
    </row>
    <row r="28" spans="1:47" s="2" customFormat="1" x14ac:dyDescent="0.3">
      <c r="A28" s="2" t="s">
        <v>1500</v>
      </c>
      <c r="B28" s="2" t="s">
        <v>1310</v>
      </c>
      <c r="C28" s="2">
        <v>0.5</v>
      </c>
      <c r="D28" s="2" t="s">
        <v>1311</v>
      </c>
      <c r="E28" s="2" t="s">
        <v>1312</v>
      </c>
      <c r="F28" s="2">
        <v>0.3</v>
      </c>
      <c r="G28" s="2" t="s">
        <v>1342</v>
      </c>
      <c r="H28" s="2" t="s">
        <v>1349</v>
      </c>
      <c r="I28" s="2" t="s">
        <v>1665</v>
      </c>
      <c r="J28" s="2" t="s">
        <v>1315</v>
      </c>
      <c r="K28" s="2">
        <v>136</v>
      </c>
      <c r="L28" s="2" t="s">
        <v>1316</v>
      </c>
      <c r="M28" s="2">
        <v>32</v>
      </c>
      <c r="N28" s="2" t="s">
        <v>1317</v>
      </c>
      <c r="O28" s="2">
        <v>10.2799999999999</v>
      </c>
      <c r="P28" s="2" t="s">
        <v>1318</v>
      </c>
      <c r="Q28" s="2">
        <v>7.5588235294117498E-2</v>
      </c>
      <c r="R28" s="2" t="s">
        <v>1319</v>
      </c>
      <c r="S28" s="2">
        <v>2.5196874999999999</v>
      </c>
      <c r="T28" s="2" t="s">
        <v>1320</v>
      </c>
      <c r="U28" s="2">
        <v>-0.67644230769230695</v>
      </c>
      <c r="V28" s="2" t="s">
        <v>1321</v>
      </c>
      <c r="W28" s="2">
        <v>0.324942928324575</v>
      </c>
      <c r="X28" s="2" t="s">
        <v>1322</v>
      </c>
      <c r="Y28" s="2" t="s">
        <v>1507</v>
      </c>
      <c r="Z28" s="2" t="s">
        <v>1508</v>
      </c>
      <c r="AA28" s="2">
        <v>0</v>
      </c>
      <c r="AB28" s="2" t="s">
        <v>1325</v>
      </c>
      <c r="AC28" s="2" t="s">
        <v>1326</v>
      </c>
      <c r="AD28" s="2" t="s">
        <v>1507</v>
      </c>
      <c r="AE28" s="2" t="s">
        <v>1508</v>
      </c>
      <c r="AF28" s="2">
        <v>0</v>
      </c>
      <c r="AG28" s="2" t="s">
        <v>1328</v>
      </c>
      <c r="AJ28" s="2" t="s">
        <v>1713</v>
      </c>
      <c r="AK28" s="2">
        <v>1.1014999999999999</v>
      </c>
      <c r="AM28" s="2" t="s">
        <v>1713</v>
      </c>
      <c r="AN28" s="2">
        <v>1.0830786241010399</v>
      </c>
      <c r="AQ28" s="2" t="s">
        <v>1710</v>
      </c>
      <c r="AR28" s="2">
        <v>161</v>
      </c>
    </row>
    <row r="29" spans="1:47" s="2" customFormat="1" x14ac:dyDescent="0.3">
      <c r="A29" s="2" t="s">
        <v>1500</v>
      </c>
      <c r="B29" s="2" t="s">
        <v>1310</v>
      </c>
      <c r="C29" s="2">
        <v>0.5</v>
      </c>
      <c r="D29" s="2" t="s">
        <v>1311</v>
      </c>
      <c r="E29" s="2" t="s">
        <v>1312</v>
      </c>
      <c r="F29" s="2">
        <v>0.3</v>
      </c>
      <c r="G29" s="2" t="s">
        <v>1313</v>
      </c>
      <c r="H29" s="2" t="s">
        <v>1333</v>
      </c>
      <c r="I29" s="2" t="s">
        <v>1666</v>
      </c>
      <c r="J29" s="2" t="s">
        <v>1315</v>
      </c>
      <c r="K29" s="2">
        <v>140</v>
      </c>
      <c r="L29" s="2" t="s">
        <v>1316</v>
      </c>
      <c r="M29" s="2">
        <v>43</v>
      </c>
      <c r="N29" s="2" t="s">
        <v>1317</v>
      </c>
      <c r="O29" s="2">
        <v>9.8800000000000008</v>
      </c>
      <c r="P29" s="2" t="s">
        <v>1318</v>
      </c>
      <c r="Q29" s="2">
        <v>7.0571428571428604E-2</v>
      </c>
      <c r="R29" s="2" t="s">
        <v>1319</v>
      </c>
      <c r="S29" s="2">
        <v>1.81162790697674</v>
      </c>
      <c r="T29" s="2" t="s">
        <v>1320</v>
      </c>
      <c r="U29" s="2">
        <v>-0.70123711340206196</v>
      </c>
      <c r="V29" s="2" t="s">
        <v>1321</v>
      </c>
      <c r="W29" s="2">
        <v>0.33572240117594598</v>
      </c>
      <c r="X29" s="2" t="s">
        <v>1322</v>
      </c>
      <c r="Y29" s="2" t="s">
        <v>1323</v>
      </c>
      <c r="Z29" s="2" t="s">
        <v>1324</v>
      </c>
      <c r="AA29" s="2">
        <v>0</v>
      </c>
      <c r="AB29" s="2" t="s">
        <v>1325</v>
      </c>
      <c r="AC29" s="2" t="s">
        <v>1326</v>
      </c>
      <c r="AD29" s="2" t="s">
        <v>1323</v>
      </c>
      <c r="AE29" s="2" t="s">
        <v>1324</v>
      </c>
      <c r="AF29" s="2">
        <v>0</v>
      </c>
      <c r="AG29" s="2" t="s">
        <v>1328</v>
      </c>
      <c r="AJ29" s="2" t="s">
        <v>1714</v>
      </c>
      <c r="AK29" s="2">
        <v>-0.771842105263156</v>
      </c>
      <c r="AM29" s="2" t="s">
        <v>1714</v>
      </c>
      <c r="AN29" s="2">
        <v>-0.54482200978172401</v>
      </c>
      <c r="AQ29" s="2" t="s">
        <v>1711</v>
      </c>
      <c r="AR29" s="2">
        <v>158.47725875160401</v>
      </c>
    </row>
    <row r="30" spans="1:47" s="2" customFormat="1" x14ac:dyDescent="0.3">
      <c r="A30" s="2" t="s">
        <v>1500</v>
      </c>
      <c r="B30" s="2" t="s">
        <v>1310</v>
      </c>
      <c r="C30" s="2">
        <v>0.4</v>
      </c>
      <c r="D30" s="2" t="s">
        <v>1311</v>
      </c>
      <c r="E30" s="2" t="s">
        <v>1312</v>
      </c>
      <c r="F30" s="2">
        <v>0.2</v>
      </c>
      <c r="G30" s="2" t="s">
        <v>1313</v>
      </c>
      <c r="H30" s="2" t="s">
        <v>1337</v>
      </c>
      <c r="I30" s="2" t="s">
        <v>1667</v>
      </c>
      <c r="J30" s="2" t="s">
        <v>1315</v>
      </c>
      <c r="K30" s="2">
        <v>140</v>
      </c>
      <c r="L30" s="2" t="s">
        <v>1316</v>
      </c>
      <c r="M30" s="2">
        <v>59</v>
      </c>
      <c r="N30" s="2" t="s">
        <v>1317</v>
      </c>
      <c r="O30" s="2">
        <v>9.5299999999999798</v>
      </c>
      <c r="P30" s="2" t="s">
        <v>1318</v>
      </c>
      <c r="Q30" s="2">
        <v>6.8071428571428394E-2</v>
      </c>
      <c r="R30" s="2" t="s">
        <v>1319</v>
      </c>
      <c r="S30" s="2">
        <v>1.07847457627118</v>
      </c>
      <c r="T30" s="2" t="s">
        <v>1320</v>
      </c>
      <c r="U30" s="2">
        <v>-0.66790123456790096</v>
      </c>
      <c r="V30" s="2" t="s">
        <v>1321</v>
      </c>
      <c r="W30" s="2">
        <v>0.25853599580126901</v>
      </c>
      <c r="X30" s="2" t="s">
        <v>1322</v>
      </c>
      <c r="Y30" s="2" t="s">
        <v>1522</v>
      </c>
      <c r="Z30" s="2" t="s">
        <v>1523</v>
      </c>
      <c r="AA30" s="2">
        <v>0</v>
      </c>
      <c r="AB30" s="2" t="s">
        <v>1325</v>
      </c>
      <c r="AC30" s="2" t="s">
        <v>1326</v>
      </c>
      <c r="AD30" s="2" t="s">
        <v>1522</v>
      </c>
      <c r="AE30" s="2" t="s">
        <v>1523</v>
      </c>
      <c r="AF30" s="2">
        <v>0</v>
      </c>
      <c r="AG30" s="2" t="s">
        <v>1328</v>
      </c>
      <c r="AJ30" s="2" t="s">
        <v>1715</v>
      </c>
      <c r="AK30" s="2">
        <v>0.207769640503389</v>
      </c>
      <c r="AM30" s="2" t="s">
        <v>1715</v>
      </c>
      <c r="AN30" s="2">
        <v>0.25987637905662198</v>
      </c>
      <c r="AQ30" s="2" t="s">
        <v>1712</v>
      </c>
      <c r="AR30" s="2">
        <v>0.598027391515489</v>
      </c>
    </row>
    <row r="31" spans="1:47" s="2" customFormat="1" x14ac:dyDescent="0.3">
      <c r="A31" s="2" t="s">
        <v>1500</v>
      </c>
      <c r="B31" s="2" t="s">
        <v>1310</v>
      </c>
      <c r="C31" s="2">
        <v>0.3</v>
      </c>
      <c r="D31" s="2" t="s">
        <v>1311</v>
      </c>
      <c r="E31" s="2" t="s">
        <v>1312</v>
      </c>
      <c r="F31" s="2">
        <v>0.15</v>
      </c>
      <c r="G31" s="2" t="s">
        <v>1351</v>
      </c>
      <c r="H31" s="2" t="s">
        <v>1359</v>
      </c>
      <c r="I31" s="2" t="s">
        <v>1668</v>
      </c>
      <c r="J31" s="2" t="s">
        <v>1315</v>
      </c>
      <c r="K31" s="2">
        <v>177</v>
      </c>
      <c r="L31" s="2" t="s">
        <v>1316</v>
      </c>
      <c r="M31" s="2">
        <v>68</v>
      </c>
      <c r="N31" s="2" t="s">
        <v>1317</v>
      </c>
      <c r="O31" s="2">
        <v>9.4578074402130099</v>
      </c>
      <c r="P31" s="2" t="s">
        <v>1318</v>
      </c>
      <c r="Q31" s="2">
        <v>5.3433940340186503E-2</v>
      </c>
      <c r="R31" s="2" t="s">
        <v>1319</v>
      </c>
      <c r="S31" s="2">
        <v>1.2741024803110099</v>
      </c>
      <c r="T31" s="2" t="s">
        <v>1320</v>
      </c>
      <c r="U31" s="2">
        <v>-0.70808404789849799</v>
      </c>
      <c r="V31" s="2" t="s">
        <v>1321</v>
      </c>
      <c r="W31" s="2">
        <v>0.288508747427414</v>
      </c>
      <c r="X31" s="2" t="s">
        <v>1322</v>
      </c>
      <c r="Y31" s="2" t="s">
        <v>1547</v>
      </c>
      <c r="Z31" s="2" t="s">
        <v>1416</v>
      </c>
      <c r="AA31" s="2">
        <v>0</v>
      </c>
      <c r="AB31" s="2" t="s">
        <v>1325</v>
      </c>
      <c r="AC31" s="2" t="s">
        <v>1326</v>
      </c>
      <c r="AD31" s="2" t="s">
        <v>1548</v>
      </c>
      <c r="AE31" s="2" t="s">
        <v>1424</v>
      </c>
      <c r="AF31" s="2">
        <v>0</v>
      </c>
      <c r="AG31" s="2" t="s">
        <v>1328</v>
      </c>
      <c r="AJ31" s="2" t="s">
        <v>1716</v>
      </c>
      <c r="AK31" s="2" t="s">
        <v>1520</v>
      </c>
      <c r="AM31" s="2" t="s">
        <v>1716</v>
      </c>
      <c r="AN31" s="2" t="s">
        <v>1525</v>
      </c>
      <c r="AQ31" s="2" t="s">
        <v>1713</v>
      </c>
      <c r="AR31" s="2">
        <v>1.3747979458981301</v>
      </c>
    </row>
    <row r="32" spans="1:47" s="2" customFormat="1" x14ac:dyDescent="0.3">
      <c r="A32" s="2" t="s">
        <v>1500</v>
      </c>
      <c r="B32" s="2" t="s">
        <v>1310</v>
      </c>
      <c r="C32" s="2">
        <v>0.3</v>
      </c>
      <c r="D32" s="2" t="s">
        <v>1311</v>
      </c>
      <c r="E32" s="2" t="s">
        <v>1312</v>
      </c>
      <c r="F32" s="2">
        <v>0.15</v>
      </c>
      <c r="G32" s="2" t="s">
        <v>1392</v>
      </c>
      <c r="H32" s="2" t="s">
        <v>1346</v>
      </c>
      <c r="I32" s="2" t="s">
        <v>1669</v>
      </c>
      <c r="J32" s="2" t="s">
        <v>1315</v>
      </c>
      <c r="K32" s="2">
        <v>136</v>
      </c>
      <c r="L32" s="2" t="s">
        <v>1316</v>
      </c>
      <c r="M32" s="2">
        <v>37</v>
      </c>
      <c r="N32" s="2" t="s">
        <v>1317</v>
      </c>
      <c r="O32" s="2">
        <v>9.0860664353956704</v>
      </c>
      <c r="P32" s="2" t="s">
        <v>1318</v>
      </c>
      <c r="Q32" s="2">
        <v>6.6809312024968204E-2</v>
      </c>
      <c r="R32" s="2" t="s">
        <v>1319</v>
      </c>
      <c r="S32" s="2">
        <v>1.8818918918918901</v>
      </c>
      <c r="T32" s="2" t="s">
        <v>1320</v>
      </c>
      <c r="U32" s="2">
        <v>-0.61155488449095297</v>
      </c>
      <c r="V32" s="2" t="s">
        <v>1321</v>
      </c>
      <c r="W32" s="2">
        <v>0.26248919580726499</v>
      </c>
      <c r="X32" s="2" t="s">
        <v>1322</v>
      </c>
      <c r="Y32" s="2" t="s">
        <v>1553</v>
      </c>
      <c r="Z32" s="2" t="s">
        <v>1368</v>
      </c>
      <c r="AA32" s="2">
        <v>0</v>
      </c>
      <c r="AB32" s="2" t="s">
        <v>1325</v>
      </c>
      <c r="AC32" s="2" t="s">
        <v>1326</v>
      </c>
      <c r="AD32" s="2" t="s">
        <v>1553</v>
      </c>
      <c r="AE32" s="2" t="s">
        <v>1368</v>
      </c>
      <c r="AF32" s="2">
        <v>0</v>
      </c>
      <c r="AG32" s="2" t="s">
        <v>1328</v>
      </c>
      <c r="AJ32" s="2" t="s">
        <v>1717</v>
      </c>
      <c r="AK32" s="2" t="s">
        <v>1520</v>
      </c>
      <c r="AM32" s="2" t="s">
        <v>1717</v>
      </c>
      <c r="AN32" s="2" t="s">
        <v>1525</v>
      </c>
      <c r="AQ32" s="2" t="s">
        <v>1714</v>
      </c>
      <c r="AR32" s="2">
        <v>-0.64809495399994599</v>
      </c>
    </row>
    <row r="33" spans="1:47" s="2" customFormat="1" x14ac:dyDescent="0.3">
      <c r="A33" s="2" t="s">
        <v>1500</v>
      </c>
      <c r="B33" s="2" t="s">
        <v>1310</v>
      </c>
      <c r="C33" s="2">
        <v>0.4</v>
      </c>
      <c r="D33" s="2" t="s">
        <v>1311</v>
      </c>
      <c r="E33" s="2" t="s">
        <v>1312</v>
      </c>
      <c r="F33" s="2">
        <v>0.2</v>
      </c>
      <c r="G33" s="2" t="s">
        <v>1381</v>
      </c>
      <c r="H33" s="2" t="s">
        <v>1314</v>
      </c>
      <c r="I33" s="2" t="s">
        <v>1670</v>
      </c>
      <c r="J33" s="2" t="s">
        <v>1315</v>
      </c>
      <c r="K33" s="2">
        <v>140</v>
      </c>
      <c r="L33" s="2" t="s">
        <v>1316</v>
      </c>
      <c r="M33" s="2">
        <v>43</v>
      </c>
      <c r="N33" s="2" t="s">
        <v>1317</v>
      </c>
      <c r="O33" s="2">
        <v>9.0699999999999701</v>
      </c>
      <c r="P33" s="2" t="s">
        <v>1318</v>
      </c>
      <c r="Q33" s="2">
        <v>6.4785714285714002E-2</v>
      </c>
      <c r="R33" s="2" t="s">
        <v>1319</v>
      </c>
      <c r="S33" s="2">
        <v>1.6037209302325499</v>
      </c>
      <c r="T33" s="2" t="s">
        <v>1320</v>
      </c>
      <c r="U33" s="2">
        <v>-0.61742268041237103</v>
      </c>
      <c r="V33" s="2" t="s">
        <v>1321</v>
      </c>
      <c r="W33" s="2">
        <v>0.26723803963614801</v>
      </c>
      <c r="X33" s="2" t="s">
        <v>1322</v>
      </c>
      <c r="Y33" s="2" t="s">
        <v>1528</v>
      </c>
      <c r="Z33" s="2" t="s">
        <v>1324</v>
      </c>
      <c r="AA33" s="2">
        <v>0</v>
      </c>
      <c r="AB33" s="2" t="s">
        <v>1325</v>
      </c>
      <c r="AC33" s="2" t="s">
        <v>1326</v>
      </c>
      <c r="AD33" s="2" t="s">
        <v>1528</v>
      </c>
      <c r="AE33" s="2" t="s">
        <v>1324</v>
      </c>
      <c r="AF33" s="2">
        <v>0</v>
      </c>
      <c r="AG33" s="2" t="s">
        <v>1328</v>
      </c>
      <c r="AJ33" s="2" t="s">
        <v>1315</v>
      </c>
      <c r="AK33" s="2">
        <v>104</v>
      </c>
      <c r="AM33" s="2" t="s">
        <v>1315</v>
      </c>
      <c r="AN33" s="2">
        <v>167</v>
      </c>
      <c r="AQ33" s="2" t="s">
        <v>1715</v>
      </c>
      <c r="AR33" s="2">
        <v>0.54416570320809199</v>
      </c>
    </row>
    <row r="34" spans="1:47" s="2" customFormat="1" x14ac:dyDescent="0.3">
      <c r="A34" s="2" t="s">
        <v>1500</v>
      </c>
      <c r="B34" s="2" t="s">
        <v>1310</v>
      </c>
      <c r="C34" s="2">
        <v>0.5</v>
      </c>
      <c r="D34" s="2" t="s">
        <v>1311</v>
      </c>
      <c r="E34" s="2" t="s">
        <v>1312</v>
      </c>
      <c r="F34" s="2">
        <v>0.3</v>
      </c>
      <c r="G34" s="2" t="s">
        <v>1351</v>
      </c>
      <c r="H34" s="2" t="s">
        <v>1358</v>
      </c>
      <c r="I34" s="2" t="s">
        <v>1671</v>
      </c>
      <c r="J34" s="2" t="s">
        <v>1315</v>
      </c>
      <c r="K34" s="2">
        <v>177</v>
      </c>
      <c r="L34" s="2" t="s">
        <v>1316</v>
      </c>
      <c r="M34" s="2">
        <v>37</v>
      </c>
      <c r="N34" s="2" t="s">
        <v>1317</v>
      </c>
      <c r="O34" s="2">
        <v>9.0500887026611405</v>
      </c>
      <c r="P34" s="2" t="s">
        <v>1318</v>
      </c>
      <c r="Q34" s="2">
        <v>5.1130444647803003E-2</v>
      </c>
      <c r="R34" s="2" t="s">
        <v>1319</v>
      </c>
      <c r="S34" s="2">
        <v>2.7723547275204199</v>
      </c>
      <c r="T34" s="2" t="s">
        <v>1320</v>
      </c>
      <c r="U34" s="2">
        <v>-0.66805025868281898</v>
      </c>
      <c r="V34" s="2" t="s">
        <v>1321</v>
      </c>
      <c r="W34" s="2">
        <v>0.40295670542052903</v>
      </c>
      <c r="X34" s="2" t="s">
        <v>1322</v>
      </c>
      <c r="Y34" s="2" t="s">
        <v>1514</v>
      </c>
      <c r="Z34" s="2" t="s">
        <v>1515</v>
      </c>
      <c r="AA34" s="2">
        <v>0</v>
      </c>
      <c r="AB34" s="2" t="s">
        <v>1325</v>
      </c>
      <c r="AC34" s="2" t="s">
        <v>1326</v>
      </c>
      <c r="AD34" s="2" t="s">
        <v>1516</v>
      </c>
      <c r="AE34" s="2" t="s">
        <v>1515</v>
      </c>
      <c r="AF34" s="2">
        <v>0</v>
      </c>
      <c r="AG34" s="2" t="s">
        <v>1328</v>
      </c>
      <c r="AJ34" s="2" t="s">
        <v>1710</v>
      </c>
      <c r="AK34" s="2">
        <v>29</v>
      </c>
      <c r="AM34" s="2" t="s">
        <v>1710</v>
      </c>
      <c r="AN34" s="2">
        <v>47</v>
      </c>
      <c r="AQ34" s="2" t="s">
        <v>1716</v>
      </c>
      <c r="AR34" s="2" t="s">
        <v>1733</v>
      </c>
    </row>
    <row r="35" spans="1:47" x14ac:dyDescent="0.3">
      <c r="A35" t="s">
        <v>1500</v>
      </c>
      <c r="B35" t="s">
        <v>1310</v>
      </c>
      <c r="C35">
        <v>0.3</v>
      </c>
      <c r="D35" t="s">
        <v>1311</v>
      </c>
      <c r="E35" t="s">
        <v>1312</v>
      </c>
      <c r="F35">
        <v>0.15</v>
      </c>
      <c r="G35" t="s">
        <v>1351</v>
      </c>
      <c r="H35" t="s">
        <v>1360</v>
      </c>
      <c r="I35" t="s">
        <v>1672</v>
      </c>
      <c r="J35" t="s">
        <v>1315</v>
      </c>
      <c r="K35">
        <v>177</v>
      </c>
      <c r="L35" t="s">
        <v>1316</v>
      </c>
      <c r="M35">
        <v>67</v>
      </c>
      <c r="N35" t="s">
        <v>1317</v>
      </c>
      <c r="O35">
        <v>8.4878074402130199</v>
      </c>
      <c r="P35" t="s">
        <v>1318</v>
      </c>
      <c r="Q35">
        <v>4.7953714351485897E-2</v>
      </c>
      <c r="R35" t="s">
        <v>1319</v>
      </c>
      <c r="S35">
        <v>1.2865517710619301</v>
      </c>
      <c r="T35" t="s">
        <v>1320</v>
      </c>
      <c r="U35">
        <v>-0.70646510200851198</v>
      </c>
      <c r="V35" t="s">
        <v>1321</v>
      </c>
      <c r="W35">
        <v>0.30140061624217102</v>
      </c>
      <c r="X35" t="s">
        <v>1322</v>
      </c>
      <c r="Y35" t="s">
        <v>1547</v>
      </c>
      <c r="Z35" t="s">
        <v>1416</v>
      </c>
      <c r="AA35">
        <v>0</v>
      </c>
      <c r="AB35" t="s">
        <v>1325</v>
      </c>
      <c r="AC35" t="s">
        <v>1326</v>
      </c>
      <c r="AD35" t="s">
        <v>1548</v>
      </c>
      <c r="AE35" t="s">
        <v>1424</v>
      </c>
      <c r="AF35">
        <v>0</v>
      </c>
      <c r="AG35" t="s">
        <v>1328</v>
      </c>
      <c r="AJ35" t="s">
        <v>1711</v>
      </c>
      <c r="AK35">
        <v>0.78000000000006098</v>
      </c>
      <c r="AM35" s="2" t="s">
        <v>1711</v>
      </c>
      <c r="AN35" s="2">
        <v>21.9799690060402</v>
      </c>
      <c r="AO35" s="2"/>
      <c r="AP35" s="2"/>
      <c r="AQ35" s="2" t="s">
        <v>1734</v>
      </c>
    </row>
    <row r="36" spans="1:47" x14ac:dyDescent="0.3">
      <c r="A36" t="s">
        <v>1455</v>
      </c>
      <c r="B36" t="s">
        <v>1310</v>
      </c>
      <c r="C36">
        <v>0.4</v>
      </c>
      <c r="D36" t="s">
        <v>1311</v>
      </c>
      <c r="E36" t="s">
        <v>1312</v>
      </c>
      <c r="F36">
        <v>0.2</v>
      </c>
      <c r="G36" t="s">
        <v>1313</v>
      </c>
      <c r="H36" t="s">
        <v>1337</v>
      </c>
      <c r="I36" t="s">
        <v>1673</v>
      </c>
      <c r="J36" t="s">
        <v>1315</v>
      </c>
      <c r="K36">
        <v>191</v>
      </c>
      <c r="L36" t="s">
        <v>1316</v>
      </c>
      <c r="M36">
        <v>70</v>
      </c>
      <c r="N36" t="s">
        <v>1317</v>
      </c>
      <c r="O36">
        <v>8.3399999999999892</v>
      </c>
      <c r="P36" t="s">
        <v>1318</v>
      </c>
      <c r="Q36">
        <v>4.3664921465968502E-2</v>
      </c>
      <c r="R36" t="s">
        <v>1319</v>
      </c>
      <c r="S36">
        <v>1.47571428571428</v>
      </c>
      <c r="T36" t="s">
        <v>1320</v>
      </c>
      <c r="U36">
        <v>-0.78479338842975199</v>
      </c>
      <c r="V36" t="s">
        <v>1321</v>
      </c>
      <c r="W36">
        <v>0.42598173569425801</v>
      </c>
      <c r="X36" t="s">
        <v>1322</v>
      </c>
      <c r="Y36" t="s">
        <v>1477</v>
      </c>
      <c r="Z36" t="s">
        <v>1478</v>
      </c>
      <c r="AA36">
        <v>0</v>
      </c>
      <c r="AB36" t="s">
        <v>1325</v>
      </c>
      <c r="AC36" t="s">
        <v>1326</v>
      </c>
      <c r="AD36" t="s">
        <v>1476</v>
      </c>
      <c r="AE36" t="s">
        <v>1372</v>
      </c>
      <c r="AF36">
        <v>0</v>
      </c>
      <c r="AG36" t="s">
        <v>1328</v>
      </c>
      <c r="AJ36" t="s">
        <v>1712</v>
      </c>
      <c r="AK36">
        <v>7.5000000000005904E-3</v>
      </c>
      <c r="AM36" t="s">
        <v>1712</v>
      </c>
      <c r="AN36">
        <v>0.13161658087449199</v>
      </c>
      <c r="AQ36" t="s">
        <v>1735</v>
      </c>
    </row>
    <row r="37" spans="1:47" x14ac:dyDescent="0.3">
      <c r="A37" t="s">
        <v>1500</v>
      </c>
      <c r="B37" t="s">
        <v>1310</v>
      </c>
      <c r="C37">
        <v>0.3</v>
      </c>
      <c r="D37" t="s">
        <v>1311</v>
      </c>
      <c r="E37" t="s">
        <v>1312</v>
      </c>
      <c r="F37">
        <v>0.15</v>
      </c>
      <c r="G37" t="s">
        <v>1313</v>
      </c>
      <c r="H37" t="s">
        <v>1314</v>
      </c>
      <c r="I37" t="s">
        <v>1674</v>
      </c>
      <c r="J37" t="s">
        <v>1315</v>
      </c>
      <c r="K37">
        <v>140</v>
      </c>
      <c r="L37" t="s">
        <v>1316</v>
      </c>
      <c r="M37">
        <v>72</v>
      </c>
      <c r="N37" t="s">
        <v>1317</v>
      </c>
      <c r="O37">
        <v>8.1889501915969305</v>
      </c>
      <c r="P37" t="s">
        <v>1318</v>
      </c>
      <c r="Q37">
        <v>5.8492501368549499E-2</v>
      </c>
      <c r="R37" t="s">
        <v>1319</v>
      </c>
      <c r="S37">
        <v>0.66817986377217897</v>
      </c>
      <c r="T37" t="s">
        <v>1320</v>
      </c>
      <c r="U37">
        <v>-0.58705882352941097</v>
      </c>
      <c r="V37" t="s">
        <v>1321</v>
      </c>
      <c r="W37">
        <v>0.178364828546691</v>
      </c>
      <c r="X37" t="s">
        <v>1322</v>
      </c>
      <c r="Y37" t="s">
        <v>1541</v>
      </c>
      <c r="Z37" t="s">
        <v>1416</v>
      </c>
      <c r="AA37">
        <v>0</v>
      </c>
      <c r="AB37" t="s">
        <v>1325</v>
      </c>
      <c r="AC37" t="s">
        <v>1326</v>
      </c>
      <c r="AD37" t="s">
        <v>1541</v>
      </c>
      <c r="AE37" t="s">
        <v>1416</v>
      </c>
      <c r="AF37">
        <v>0</v>
      </c>
      <c r="AG37" t="s">
        <v>1328</v>
      </c>
      <c r="AJ37" t="s">
        <v>1713</v>
      </c>
      <c r="AK37">
        <v>2.0596551724137901</v>
      </c>
      <c r="AM37" t="s">
        <v>1713</v>
      </c>
      <c r="AN37">
        <v>2.0887719064425099</v>
      </c>
      <c r="AQ37" t="s">
        <v>1721</v>
      </c>
      <c r="AR37" t="s">
        <v>1377</v>
      </c>
      <c r="AS37" t="s">
        <v>1378</v>
      </c>
      <c r="AT37" t="s">
        <v>1379</v>
      </c>
    </row>
    <row r="38" spans="1:47" x14ac:dyDescent="0.3">
      <c r="A38" t="s">
        <v>1500</v>
      </c>
      <c r="B38" t="s">
        <v>1310</v>
      </c>
      <c r="C38">
        <v>0.4</v>
      </c>
      <c r="D38" t="s">
        <v>1311</v>
      </c>
      <c r="E38" t="s">
        <v>1312</v>
      </c>
      <c r="F38">
        <v>0.2</v>
      </c>
      <c r="G38" t="s">
        <v>1351</v>
      </c>
      <c r="H38" t="s">
        <v>1352</v>
      </c>
      <c r="I38" t="s">
        <v>1675</v>
      </c>
      <c r="J38" t="s">
        <v>1315</v>
      </c>
      <c r="K38">
        <v>177</v>
      </c>
      <c r="L38" t="s">
        <v>1316</v>
      </c>
      <c r="M38">
        <v>70</v>
      </c>
      <c r="N38" t="s">
        <v>1317</v>
      </c>
      <c r="O38">
        <v>8.0913106887136408</v>
      </c>
      <c r="P38" t="s">
        <v>1318</v>
      </c>
      <c r="Q38">
        <v>4.5713619710246498E-2</v>
      </c>
      <c r="R38" t="s">
        <v>1319</v>
      </c>
      <c r="S38">
        <v>1.1945551249334601</v>
      </c>
      <c r="T38" t="s">
        <v>1320</v>
      </c>
      <c r="U38">
        <v>-0.70586493510867998</v>
      </c>
      <c r="V38" t="s">
        <v>1321</v>
      </c>
      <c r="W38">
        <v>0.255150335467699</v>
      </c>
      <c r="X38" t="s">
        <v>1322</v>
      </c>
      <c r="Y38" t="s">
        <v>1525</v>
      </c>
      <c r="Z38" t="s">
        <v>1526</v>
      </c>
      <c r="AJ38" t="s">
        <v>1714</v>
      </c>
      <c r="AK38">
        <v>-0.81874999999999898</v>
      </c>
      <c r="AM38" t="s">
        <v>1714</v>
      </c>
      <c r="AN38">
        <v>-0.67426823536953895</v>
      </c>
      <c r="AQ38" t="s">
        <v>1717</v>
      </c>
      <c r="AR38" t="s">
        <v>1733</v>
      </c>
      <c r="AS38" t="s">
        <v>1736</v>
      </c>
      <c r="AT38">
        <v>0</v>
      </c>
      <c r="AU38" t="s">
        <v>1328</v>
      </c>
    </row>
    <row r="39" spans="1:47" x14ac:dyDescent="0.3">
      <c r="A39" t="s">
        <v>1500</v>
      </c>
      <c r="B39" t="s">
        <v>1310</v>
      </c>
      <c r="C39">
        <v>0.4</v>
      </c>
      <c r="D39" t="s">
        <v>1311</v>
      </c>
      <c r="E39" t="s">
        <v>1312</v>
      </c>
      <c r="F39">
        <v>0.2</v>
      </c>
      <c r="G39" t="s">
        <v>1403</v>
      </c>
      <c r="H39" t="s">
        <v>1360</v>
      </c>
      <c r="I39" t="s">
        <v>1676</v>
      </c>
      <c r="J39" t="s">
        <v>1315</v>
      </c>
      <c r="K39">
        <v>177</v>
      </c>
      <c r="L39" t="s">
        <v>1316</v>
      </c>
      <c r="M39">
        <v>22</v>
      </c>
      <c r="N39" t="s">
        <v>1317</v>
      </c>
      <c r="O39">
        <v>7.9366429000428198</v>
      </c>
      <c r="P39" t="s">
        <v>1318</v>
      </c>
      <c r="Q39">
        <v>4.4839790395722098E-2</v>
      </c>
      <c r="R39" t="s">
        <v>1319</v>
      </c>
      <c r="S39">
        <v>5.3627272727272697</v>
      </c>
      <c r="T39" t="s">
        <v>1320</v>
      </c>
      <c r="U39">
        <v>-0.70995714258036902</v>
      </c>
      <c r="V39" t="s">
        <v>1321</v>
      </c>
      <c r="W39">
        <v>0.57625013313948104</v>
      </c>
      <c r="X39" t="s">
        <v>1322</v>
      </c>
      <c r="Y39" t="s">
        <v>1537</v>
      </c>
      <c r="Z39" t="s">
        <v>1341</v>
      </c>
      <c r="AA39">
        <v>0</v>
      </c>
      <c r="AB39" t="s">
        <v>1325</v>
      </c>
      <c r="AC39" t="s">
        <v>1326</v>
      </c>
      <c r="AD39" t="s">
        <v>1537</v>
      </c>
      <c r="AE39" t="s">
        <v>1341</v>
      </c>
      <c r="AF39">
        <v>0</v>
      </c>
      <c r="AG39" t="s">
        <v>1328</v>
      </c>
      <c r="AJ39" t="s">
        <v>1715</v>
      </c>
      <c r="AK39">
        <v>0.29566238969519498</v>
      </c>
      <c r="AM39" t="s">
        <v>1715</v>
      </c>
      <c r="AN39">
        <v>0.39559619768439003</v>
      </c>
      <c r="AQ39" t="s">
        <v>1315</v>
      </c>
      <c r="AR39">
        <v>265</v>
      </c>
    </row>
    <row r="40" spans="1:47" x14ac:dyDescent="0.3">
      <c r="A40" t="s">
        <v>1500</v>
      </c>
      <c r="B40" t="s">
        <v>1310</v>
      </c>
      <c r="C40">
        <v>0.3</v>
      </c>
      <c r="D40" t="s">
        <v>1311</v>
      </c>
      <c r="E40" t="s">
        <v>1312</v>
      </c>
      <c r="F40">
        <v>0.15</v>
      </c>
      <c r="G40" t="s">
        <v>1403</v>
      </c>
      <c r="H40" t="s">
        <v>1360</v>
      </c>
      <c r="I40" t="s">
        <v>1677</v>
      </c>
      <c r="J40" t="s">
        <v>1315</v>
      </c>
      <c r="K40">
        <v>177</v>
      </c>
      <c r="L40" t="s">
        <v>1316</v>
      </c>
      <c r="M40">
        <v>26</v>
      </c>
      <c r="N40" t="s">
        <v>1317</v>
      </c>
      <c r="O40">
        <v>7.7069281374684504</v>
      </c>
      <c r="P40" t="s">
        <v>1318</v>
      </c>
      <c r="Q40">
        <v>4.3541966878352802E-2</v>
      </c>
      <c r="R40" t="s">
        <v>1319</v>
      </c>
      <c r="S40">
        <v>4.1788461538461501</v>
      </c>
      <c r="T40" t="s">
        <v>1320</v>
      </c>
      <c r="U40">
        <v>-0.66849716465252595</v>
      </c>
      <c r="V40" t="s">
        <v>1321</v>
      </c>
      <c r="W40">
        <v>0.47304634551351299</v>
      </c>
      <c r="X40" t="s">
        <v>1322</v>
      </c>
      <c r="Y40" t="s">
        <v>1554</v>
      </c>
      <c r="Z40" t="s">
        <v>1341</v>
      </c>
      <c r="AA40">
        <v>0</v>
      </c>
      <c r="AB40" t="s">
        <v>1325</v>
      </c>
      <c r="AC40" t="s">
        <v>1326</v>
      </c>
      <c r="AD40" t="s">
        <v>1557</v>
      </c>
      <c r="AE40" t="s">
        <v>1558</v>
      </c>
      <c r="AF40">
        <v>0</v>
      </c>
      <c r="AG40" t="s">
        <v>1328</v>
      </c>
      <c r="AJ40" t="s">
        <v>1716</v>
      </c>
      <c r="AK40" t="s">
        <v>1719</v>
      </c>
      <c r="AM40" t="s">
        <v>1716</v>
      </c>
      <c r="AN40" t="s">
        <v>1538</v>
      </c>
      <c r="AQ40" t="s">
        <v>1710</v>
      </c>
      <c r="AR40">
        <v>161</v>
      </c>
    </row>
    <row r="41" spans="1:47" x14ac:dyDescent="0.3">
      <c r="A41" t="s">
        <v>1500</v>
      </c>
      <c r="B41" t="s">
        <v>1310</v>
      </c>
      <c r="C41">
        <v>0.3</v>
      </c>
      <c r="D41" t="s">
        <v>1311</v>
      </c>
      <c r="E41" t="s">
        <v>1312</v>
      </c>
      <c r="F41">
        <v>0.15</v>
      </c>
      <c r="G41" t="s">
        <v>1392</v>
      </c>
      <c r="H41" t="s">
        <v>1350</v>
      </c>
      <c r="I41" t="s">
        <v>1678</v>
      </c>
      <c r="J41" t="s">
        <v>1315</v>
      </c>
      <c r="K41">
        <v>136</v>
      </c>
      <c r="L41" t="s">
        <v>1316</v>
      </c>
      <c r="M41">
        <v>26</v>
      </c>
      <c r="N41" t="s">
        <v>1317</v>
      </c>
      <c r="O41">
        <v>7.7060664353956598</v>
      </c>
      <c r="P41" t="s">
        <v>1318</v>
      </c>
      <c r="Q41">
        <v>5.6662253201438702E-2</v>
      </c>
      <c r="R41" t="s">
        <v>1319</v>
      </c>
      <c r="S41">
        <v>2.9180769230769199</v>
      </c>
      <c r="T41" t="s">
        <v>1320</v>
      </c>
      <c r="U41">
        <v>-0.61967212331458499</v>
      </c>
      <c r="V41" t="s">
        <v>1321</v>
      </c>
      <c r="W41">
        <v>0.40572191158946103</v>
      </c>
      <c r="X41" t="s">
        <v>1322</v>
      </c>
      <c r="Y41" t="s">
        <v>1554</v>
      </c>
      <c r="Z41" t="s">
        <v>1341</v>
      </c>
      <c r="AA41">
        <v>0</v>
      </c>
      <c r="AB41" t="s">
        <v>1325</v>
      </c>
      <c r="AC41" t="s">
        <v>1326</v>
      </c>
      <c r="AD41" t="s">
        <v>1554</v>
      </c>
      <c r="AE41" t="s">
        <v>1341</v>
      </c>
      <c r="AF41">
        <v>0</v>
      </c>
      <c r="AG41" t="s">
        <v>1328</v>
      </c>
      <c r="AJ41" t="s">
        <v>1717</v>
      </c>
      <c r="AK41" t="s">
        <v>1719</v>
      </c>
      <c r="AM41" t="s">
        <v>1717</v>
      </c>
      <c r="AN41" t="s">
        <v>1538</v>
      </c>
      <c r="AQ41" t="s">
        <v>1711</v>
      </c>
      <c r="AR41">
        <v>165.12725875160399</v>
      </c>
    </row>
    <row r="42" spans="1:47" x14ac:dyDescent="0.3">
      <c r="A42" t="s">
        <v>1500</v>
      </c>
      <c r="B42" t="s">
        <v>1310</v>
      </c>
      <c r="C42">
        <v>0.4</v>
      </c>
      <c r="D42" t="s">
        <v>1311</v>
      </c>
      <c r="E42" t="s">
        <v>1312</v>
      </c>
      <c r="F42">
        <v>0.2</v>
      </c>
      <c r="G42" t="s">
        <v>1313</v>
      </c>
      <c r="H42" t="s">
        <v>1314</v>
      </c>
      <c r="I42" t="s">
        <v>1679</v>
      </c>
      <c r="J42" t="s">
        <v>1315</v>
      </c>
      <c r="K42">
        <v>140</v>
      </c>
      <c r="L42" t="s">
        <v>1316</v>
      </c>
      <c r="M42">
        <v>63</v>
      </c>
      <c r="N42" t="s">
        <v>1317</v>
      </c>
      <c r="O42">
        <v>7.6899999999999897</v>
      </c>
      <c r="P42" t="s">
        <v>1318</v>
      </c>
      <c r="Q42">
        <v>5.4928571428571403E-2</v>
      </c>
      <c r="R42" t="s">
        <v>1319</v>
      </c>
      <c r="S42">
        <v>0.93079365079364995</v>
      </c>
      <c r="T42" t="s">
        <v>1320</v>
      </c>
      <c r="U42">
        <v>-0.66168831168831099</v>
      </c>
      <c r="V42" t="s">
        <v>1321</v>
      </c>
      <c r="W42">
        <v>0.20438319319468701</v>
      </c>
      <c r="X42" t="s">
        <v>1322</v>
      </c>
      <c r="Y42" t="s">
        <v>1517</v>
      </c>
      <c r="Z42" t="s">
        <v>1341</v>
      </c>
      <c r="AA42">
        <v>0</v>
      </c>
      <c r="AB42" t="s">
        <v>1325</v>
      </c>
      <c r="AC42" t="s">
        <v>1326</v>
      </c>
      <c r="AD42" t="s">
        <v>1518</v>
      </c>
      <c r="AE42" t="s">
        <v>1519</v>
      </c>
      <c r="AF42">
        <v>0</v>
      </c>
      <c r="AG42" t="s">
        <v>1328</v>
      </c>
      <c r="AJ42" t="s">
        <v>1315</v>
      </c>
      <c r="AK42">
        <v>100</v>
      </c>
      <c r="AM42" t="s">
        <v>1315</v>
      </c>
      <c r="AN42">
        <v>156</v>
      </c>
      <c r="AQ42" t="s">
        <v>1712</v>
      </c>
      <c r="AR42">
        <v>0.62312173113812996</v>
      </c>
    </row>
    <row r="43" spans="1:47" x14ac:dyDescent="0.3">
      <c r="A43" t="s">
        <v>1500</v>
      </c>
      <c r="B43" t="s">
        <v>1310</v>
      </c>
      <c r="C43">
        <v>0.4</v>
      </c>
      <c r="D43" t="s">
        <v>1311</v>
      </c>
      <c r="E43" t="s">
        <v>1312</v>
      </c>
      <c r="F43">
        <v>0.2</v>
      </c>
      <c r="G43" t="s">
        <v>1403</v>
      </c>
      <c r="H43" t="s">
        <v>1359</v>
      </c>
      <c r="I43" t="s">
        <v>1680</v>
      </c>
      <c r="J43" t="s">
        <v>1315</v>
      </c>
      <c r="K43">
        <v>177</v>
      </c>
      <c r="L43" t="s">
        <v>1316</v>
      </c>
      <c r="M43">
        <v>23</v>
      </c>
      <c r="N43" t="s">
        <v>1317</v>
      </c>
      <c r="O43">
        <v>7.62664290004283</v>
      </c>
      <c r="P43" t="s">
        <v>1318</v>
      </c>
      <c r="Q43">
        <v>4.30883779663436E-2</v>
      </c>
      <c r="R43" t="s">
        <v>1319</v>
      </c>
      <c r="S43">
        <v>5.0660869565217403</v>
      </c>
      <c r="T43" t="s">
        <v>1320</v>
      </c>
      <c r="U43">
        <v>-0.70709972142829303</v>
      </c>
      <c r="V43" t="s">
        <v>1321</v>
      </c>
      <c r="W43">
        <v>0.55050673060371302</v>
      </c>
      <c r="X43" t="s">
        <v>1322</v>
      </c>
      <c r="Y43" t="s">
        <v>1538</v>
      </c>
      <c r="Z43" t="s">
        <v>1540</v>
      </c>
      <c r="AJ43" t="s">
        <v>1710</v>
      </c>
      <c r="AK43">
        <v>29</v>
      </c>
      <c r="AM43" t="s">
        <v>1710</v>
      </c>
      <c r="AN43">
        <v>46</v>
      </c>
      <c r="AQ43" t="s">
        <v>1713</v>
      </c>
      <c r="AR43">
        <v>1.41610229372421</v>
      </c>
    </row>
    <row r="44" spans="1:47" x14ac:dyDescent="0.3">
      <c r="A44" t="s">
        <v>1500</v>
      </c>
      <c r="B44" t="s">
        <v>1310</v>
      </c>
      <c r="C44">
        <v>0.3</v>
      </c>
      <c r="D44" t="s">
        <v>1311</v>
      </c>
      <c r="E44" t="s">
        <v>1312</v>
      </c>
      <c r="F44">
        <v>0.15</v>
      </c>
      <c r="G44" t="s">
        <v>1392</v>
      </c>
      <c r="H44" t="s">
        <v>1348</v>
      </c>
      <c r="I44" t="s">
        <v>1681</v>
      </c>
      <c r="J44" t="s">
        <v>1315</v>
      </c>
      <c r="K44">
        <v>136</v>
      </c>
      <c r="L44" t="s">
        <v>1316</v>
      </c>
      <c r="M44">
        <v>31</v>
      </c>
      <c r="N44" t="s">
        <v>1317</v>
      </c>
      <c r="O44">
        <v>7.5760664353956804</v>
      </c>
      <c r="P44" t="s">
        <v>1318</v>
      </c>
      <c r="Q44">
        <v>5.5706370848497597E-2</v>
      </c>
      <c r="R44" t="s">
        <v>1319</v>
      </c>
      <c r="S44">
        <v>2.3203225806451599</v>
      </c>
      <c r="T44" t="s">
        <v>1320</v>
      </c>
      <c r="U44">
        <v>-0.61289460537718399</v>
      </c>
      <c r="V44" t="s">
        <v>1321</v>
      </c>
      <c r="W44">
        <v>0.29949631411855898</v>
      </c>
      <c r="X44" t="s">
        <v>1322</v>
      </c>
      <c r="Y44" t="s">
        <v>1553</v>
      </c>
      <c r="Z44" t="s">
        <v>1368</v>
      </c>
      <c r="AA44">
        <v>0</v>
      </c>
      <c r="AB44" t="s">
        <v>1325</v>
      </c>
      <c r="AC44" t="s">
        <v>1326</v>
      </c>
      <c r="AD44" t="s">
        <v>1553</v>
      </c>
      <c r="AE44" t="s">
        <v>1368</v>
      </c>
      <c r="AF44">
        <v>0</v>
      </c>
      <c r="AG44" t="s">
        <v>1328</v>
      </c>
      <c r="AJ44" t="s">
        <v>1711</v>
      </c>
      <c r="AK44">
        <v>6.1100000000000501</v>
      </c>
      <c r="AM44" t="s">
        <v>1711</v>
      </c>
      <c r="AN44">
        <v>32.4948691461815</v>
      </c>
      <c r="AQ44" t="s">
        <v>1714</v>
      </c>
      <c r="AR44">
        <v>-0.64809495399994599</v>
      </c>
    </row>
    <row r="45" spans="1:47" x14ac:dyDescent="0.3">
      <c r="A45" t="s">
        <v>1500</v>
      </c>
      <c r="B45" t="s">
        <v>1310</v>
      </c>
      <c r="C45">
        <v>0.5</v>
      </c>
      <c r="D45" t="s">
        <v>1311</v>
      </c>
      <c r="E45" t="s">
        <v>1312</v>
      </c>
      <c r="F45">
        <v>0.3</v>
      </c>
      <c r="G45" t="s">
        <v>1351</v>
      </c>
      <c r="H45" t="s">
        <v>1352</v>
      </c>
      <c r="I45" t="s">
        <v>1682</v>
      </c>
      <c r="J45" t="s">
        <v>1315</v>
      </c>
      <c r="K45">
        <v>177</v>
      </c>
      <c r="L45" t="s">
        <v>1316</v>
      </c>
      <c r="M45">
        <v>63</v>
      </c>
      <c r="N45" t="s">
        <v>1317</v>
      </c>
      <c r="O45">
        <v>7.3660449204060701</v>
      </c>
      <c r="P45" t="s">
        <v>1318</v>
      </c>
      <c r="Q45">
        <v>4.1616072996644403E-2</v>
      </c>
      <c r="R45" t="s">
        <v>1319</v>
      </c>
      <c r="S45">
        <v>1.31797008948914</v>
      </c>
      <c r="T45" t="s">
        <v>1320</v>
      </c>
      <c r="U45">
        <v>-0.66373746243342102</v>
      </c>
      <c r="V45" t="s">
        <v>1321</v>
      </c>
      <c r="W45">
        <v>0.27268361310219902</v>
      </c>
      <c r="X45" t="s">
        <v>1322</v>
      </c>
      <c r="Y45" t="s">
        <v>1509</v>
      </c>
      <c r="Z45" t="s">
        <v>1510</v>
      </c>
      <c r="AA45">
        <v>0</v>
      </c>
      <c r="AB45" t="s">
        <v>1325</v>
      </c>
      <c r="AC45" t="s">
        <v>1326</v>
      </c>
      <c r="AD45" t="s">
        <v>1509</v>
      </c>
      <c r="AE45" t="s">
        <v>1510</v>
      </c>
      <c r="AF45">
        <v>0</v>
      </c>
      <c r="AG45" t="s">
        <v>1328</v>
      </c>
      <c r="AJ45" t="s">
        <v>1712</v>
      </c>
      <c r="AK45">
        <v>6.1100000000000501E-2</v>
      </c>
      <c r="AM45" t="s">
        <v>1712</v>
      </c>
      <c r="AN45">
        <v>0.208300443244753</v>
      </c>
      <c r="AQ45" t="s">
        <v>1715</v>
      </c>
      <c r="AR45">
        <v>0.55654154986140802</v>
      </c>
    </row>
    <row r="46" spans="1:47" x14ac:dyDescent="0.3">
      <c r="A46" t="s">
        <v>1500</v>
      </c>
      <c r="B46" t="s">
        <v>1310</v>
      </c>
      <c r="C46">
        <v>0.3</v>
      </c>
      <c r="D46" t="s">
        <v>1311</v>
      </c>
      <c r="E46" t="s">
        <v>1312</v>
      </c>
      <c r="F46">
        <v>0.15</v>
      </c>
      <c r="G46" t="s">
        <v>1313</v>
      </c>
      <c r="H46" t="s">
        <v>1329</v>
      </c>
      <c r="I46" t="s">
        <v>1683</v>
      </c>
      <c r="J46" t="s">
        <v>1315</v>
      </c>
      <c r="K46">
        <v>140</v>
      </c>
      <c r="L46" t="s">
        <v>1316</v>
      </c>
      <c r="M46">
        <v>72</v>
      </c>
      <c r="N46" t="s">
        <v>1317</v>
      </c>
      <c r="O46">
        <v>7.18895019159695</v>
      </c>
      <c r="P46" t="s">
        <v>1318</v>
      </c>
      <c r="Q46">
        <v>5.1349644225692499E-2</v>
      </c>
      <c r="R46" t="s">
        <v>1319</v>
      </c>
      <c r="S46">
        <v>0.65429097488329102</v>
      </c>
      <c r="T46" t="s">
        <v>1320</v>
      </c>
      <c r="U46">
        <v>-0.58705882352941097</v>
      </c>
      <c r="V46" t="s">
        <v>1321</v>
      </c>
      <c r="W46">
        <v>0.18065617426675201</v>
      </c>
      <c r="X46" t="s">
        <v>1322</v>
      </c>
      <c r="Y46" t="s">
        <v>1542</v>
      </c>
      <c r="Z46" t="s">
        <v>1383</v>
      </c>
      <c r="AA46">
        <v>0</v>
      </c>
      <c r="AB46" t="s">
        <v>1325</v>
      </c>
      <c r="AC46" t="s">
        <v>1326</v>
      </c>
      <c r="AD46" t="s">
        <v>1542</v>
      </c>
      <c r="AE46" t="s">
        <v>1383</v>
      </c>
      <c r="AF46">
        <v>0</v>
      </c>
      <c r="AG46" t="s">
        <v>1328</v>
      </c>
      <c r="AJ46" t="s">
        <v>1713</v>
      </c>
      <c r="AK46">
        <v>2.0596551724137901</v>
      </c>
      <c r="AM46" t="s">
        <v>1713</v>
      </c>
      <c r="AN46">
        <v>2.09331042614778</v>
      </c>
      <c r="AQ46" t="s">
        <v>1716</v>
      </c>
      <c r="AR46" t="s">
        <v>1733</v>
      </c>
    </row>
    <row r="47" spans="1:47" x14ac:dyDescent="0.3">
      <c r="A47" t="s">
        <v>1500</v>
      </c>
      <c r="B47" t="s">
        <v>1310</v>
      </c>
      <c r="C47">
        <v>0.4</v>
      </c>
      <c r="D47" t="s">
        <v>1311</v>
      </c>
      <c r="E47" t="s">
        <v>1312</v>
      </c>
      <c r="F47">
        <v>0.2</v>
      </c>
      <c r="G47" t="s">
        <v>1313</v>
      </c>
      <c r="H47" t="s">
        <v>1336</v>
      </c>
      <c r="I47" t="s">
        <v>1684</v>
      </c>
      <c r="J47" t="s">
        <v>1315</v>
      </c>
      <c r="K47">
        <v>140</v>
      </c>
      <c r="L47" t="s">
        <v>1316</v>
      </c>
      <c r="M47">
        <v>59</v>
      </c>
      <c r="N47" t="s">
        <v>1317</v>
      </c>
      <c r="O47">
        <v>6.9799999999999498</v>
      </c>
      <c r="P47" t="s">
        <v>1318</v>
      </c>
      <c r="Q47">
        <v>4.9857142857142503E-2</v>
      </c>
      <c r="R47" t="s">
        <v>1319</v>
      </c>
      <c r="S47">
        <v>1.0352542372881299</v>
      </c>
      <c r="T47" t="s">
        <v>1320</v>
      </c>
      <c r="U47">
        <v>-0.66790123456790096</v>
      </c>
      <c r="V47" t="s">
        <v>1321</v>
      </c>
      <c r="W47">
        <v>0.250152588351639</v>
      </c>
      <c r="X47" t="s">
        <v>1322</v>
      </c>
      <c r="Y47" t="s">
        <v>1522</v>
      </c>
      <c r="Z47" t="s">
        <v>1523</v>
      </c>
      <c r="AA47">
        <v>0</v>
      </c>
      <c r="AB47" t="s">
        <v>1325</v>
      </c>
      <c r="AC47" t="s">
        <v>1326</v>
      </c>
      <c r="AD47" t="s">
        <v>1522</v>
      </c>
      <c r="AE47" t="s">
        <v>1523</v>
      </c>
      <c r="AF47">
        <v>0</v>
      </c>
      <c r="AG47" t="s">
        <v>1328</v>
      </c>
      <c r="AJ47" t="s">
        <v>1714</v>
      </c>
      <c r="AK47">
        <v>-0.78852941176470503</v>
      </c>
      <c r="AM47" t="s">
        <v>1714</v>
      </c>
      <c r="AN47">
        <v>-0.61939233453025999</v>
      </c>
      <c r="AQ47" t="s">
        <v>1734</v>
      </c>
    </row>
    <row r="48" spans="1:47" x14ac:dyDescent="0.3">
      <c r="A48" t="s">
        <v>1500</v>
      </c>
      <c r="B48" t="s">
        <v>1310</v>
      </c>
      <c r="C48">
        <v>0.3</v>
      </c>
      <c r="D48" t="s">
        <v>1311</v>
      </c>
      <c r="E48" t="s">
        <v>1312</v>
      </c>
      <c r="F48">
        <v>0.15</v>
      </c>
      <c r="G48" t="s">
        <v>1351</v>
      </c>
      <c r="H48" t="s">
        <v>1358</v>
      </c>
      <c r="I48" t="s">
        <v>1685</v>
      </c>
      <c r="J48" t="s">
        <v>1315</v>
      </c>
      <c r="K48">
        <v>177</v>
      </c>
      <c r="L48" t="s">
        <v>1316</v>
      </c>
      <c r="M48">
        <v>69</v>
      </c>
      <c r="N48" t="s">
        <v>1317</v>
      </c>
      <c r="O48">
        <v>6.81780744021302</v>
      </c>
      <c r="P48" t="s">
        <v>1318</v>
      </c>
      <c r="Q48">
        <v>3.8518686102898402E-2</v>
      </c>
      <c r="R48" t="s">
        <v>1319</v>
      </c>
      <c r="S48">
        <v>1.20969519798767</v>
      </c>
      <c r="T48" t="s">
        <v>1320</v>
      </c>
      <c r="U48">
        <v>-0.70973297426792803</v>
      </c>
      <c r="V48" t="s">
        <v>1321</v>
      </c>
      <c r="W48">
        <v>0.273770653830821</v>
      </c>
      <c r="X48" t="s">
        <v>1322</v>
      </c>
      <c r="Y48" t="s">
        <v>1547</v>
      </c>
      <c r="Z48" t="s">
        <v>1416</v>
      </c>
      <c r="AA48">
        <v>0</v>
      </c>
      <c r="AB48" t="s">
        <v>1325</v>
      </c>
      <c r="AC48" t="s">
        <v>1326</v>
      </c>
      <c r="AD48" t="s">
        <v>1547</v>
      </c>
      <c r="AE48" t="s">
        <v>1416</v>
      </c>
      <c r="AF48">
        <v>0</v>
      </c>
      <c r="AG48" t="s">
        <v>1328</v>
      </c>
      <c r="AJ48" t="s">
        <v>1715</v>
      </c>
      <c r="AK48">
        <v>0.28136252536392797</v>
      </c>
      <c r="AM48" t="s">
        <v>1715</v>
      </c>
      <c r="AN48">
        <v>0.35912354501770999</v>
      </c>
      <c r="AQ48" t="s">
        <v>1735</v>
      </c>
    </row>
    <row r="49" spans="1:47" x14ac:dyDescent="0.3">
      <c r="A49" t="s">
        <v>1500</v>
      </c>
      <c r="B49" t="s">
        <v>1310</v>
      </c>
      <c r="C49">
        <v>0.4</v>
      </c>
      <c r="D49" t="s">
        <v>1311</v>
      </c>
      <c r="E49" t="s">
        <v>1312</v>
      </c>
      <c r="F49">
        <v>0.2</v>
      </c>
      <c r="G49" t="s">
        <v>1342</v>
      </c>
      <c r="H49" t="s">
        <v>1348</v>
      </c>
      <c r="I49" t="s">
        <v>1686</v>
      </c>
      <c r="J49" t="s">
        <v>1315</v>
      </c>
      <c r="K49">
        <v>136</v>
      </c>
      <c r="L49" t="s">
        <v>1316</v>
      </c>
      <c r="M49">
        <v>46</v>
      </c>
      <c r="N49" t="s">
        <v>1317</v>
      </c>
      <c r="O49">
        <v>6.2228599365765396</v>
      </c>
      <c r="P49" t="s">
        <v>1318</v>
      </c>
      <c r="Q49">
        <v>4.57563230630628E-2</v>
      </c>
      <c r="R49" t="s">
        <v>1319</v>
      </c>
      <c r="S49">
        <v>1.51810565079514</v>
      </c>
      <c r="T49" t="s">
        <v>1320</v>
      </c>
      <c r="U49">
        <v>-0.70677777777777695</v>
      </c>
      <c r="V49" t="s">
        <v>1321</v>
      </c>
      <c r="W49">
        <v>0.25014108440240201</v>
      </c>
      <c r="X49" t="s">
        <v>1322</v>
      </c>
      <c r="Y49" t="s">
        <v>1367</v>
      </c>
      <c r="Z49" t="s">
        <v>1368</v>
      </c>
      <c r="AA49">
        <v>0</v>
      </c>
      <c r="AB49" t="s">
        <v>1325</v>
      </c>
      <c r="AC49" t="s">
        <v>1326</v>
      </c>
      <c r="AD49" t="s">
        <v>1367</v>
      </c>
      <c r="AE49" t="s">
        <v>1368</v>
      </c>
      <c r="AF49">
        <v>0</v>
      </c>
      <c r="AG49" t="s">
        <v>1328</v>
      </c>
      <c r="AJ49" t="s">
        <v>1716</v>
      </c>
      <c r="AK49" t="s">
        <v>1719</v>
      </c>
      <c r="AM49" t="s">
        <v>1716</v>
      </c>
      <c r="AN49" t="s">
        <v>1538</v>
      </c>
      <c r="AQ49" t="s">
        <v>1721</v>
      </c>
      <c r="AR49" t="s">
        <v>1377</v>
      </c>
      <c r="AS49" t="s">
        <v>1378</v>
      </c>
      <c r="AT49" t="s">
        <v>1379</v>
      </c>
    </row>
    <row r="50" spans="1:47" x14ac:dyDescent="0.3">
      <c r="A50" t="s">
        <v>1500</v>
      </c>
      <c r="B50" t="s">
        <v>1310</v>
      </c>
      <c r="C50">
        <v>0.5</v>
      </c>
      <c r="D50" t="s">
        <v>1311</v>
      </c>
      <c r="E50" t="s">
        <v>1312</v>
      </c>
      <c r="F50">
        <v>0.3</v>
      </c>
      <c r="G50" t="s">
        <v>1351</v>
      </c>
      <c r="H50" t="s">
        <v>1356</v>
      </c>
      <c r="I50" t="s">
        <v>1687</v>
      </c>
      <c r="J50" t="s">
        <v>1315</v>
      </c>
      <c r="K50">
        <v>177</v>
      </c>
      <c r="L50" t="s">
        <v>1316</v>
      </c>
      <c r="M50">
        <v>42</v>
      </c>
      <c r="N50" t="s">
        <v>1317</v>
      </c>
      <c r="O50">
        <v>6.1877747336569504</v>
      </c>
      <c r="P50" t="s">
        <v>1318</v>
      </c>
      <c r="Q50">
        <v>3.4959179286197503E-2</v>
      </c>
      <c r="R50" t="s">
        <v>1319</v>
      </c>
      <c r="S50">
        <v>2.30201930831551</v>
      </c>
      <c r="T50" t="s">
        <v>1320</v>
      </c>
      <c r="U50">
        <v>-0.67034841641181198</v>
      </c>
      <c r="V50" t="s">
        <v>1321</v>
      </c>
      <c r="W50">
        <v>0.35839325893379598</v>
      </c>
      <c r="X50" t="s">
        <v>1322</v>
      </c>
      <c r="Y50" t="s">
        <v>1511</v>
      </c>
      <c r="Z50" t="s">
        <v>1512</v>
      </c>
      <c r="AJ50" t="s">
        <v>1717</v>
      </c>
      <c r="AK50" t="s">
        <v>1719</v>
      </c>
      <c r="AM50" t="s">
        <v>1717</v>
      </c>
      <c r="AN50" t="s">
        <v>1538</v>
      </c>
      <c r="AQ50" t="s">
        <v>1717</v>
      </c>
      <c r="AR50" t="s">
        <v>1733</v>
      </c>
      <c r="AS50" t="s">
        <v>1736</v>
      </c>
      <c r="AT50">
        <v>0</v>
      </c>
      <c r="AU50" t="s">
        <v>1328</v>
      </c>
    </row>
    <row r="51" spans="1:47" x14ac:dyDescent="0.3">
      <c r="A51" t="s">
        <v>1500</v>
      </c>
      <c r="B51" t="s">
        <v>1310</v>
      </c>
      <c r="C51">
        <v>0.3</v>
      </c>
      <c r="D51" t="s">
        <v>1311</v>
      </c>
      <c r="E51" t="s">
        <v>1312</v>
      </c>
      <c r="F51">
        <v>0.15</v>
      </c>
      <c r="G51" t="s">
        <v>1342</v>
      </c>
      <c r="H51" t="s">
        <v>1348</v>
      </c>
      <c r="I51" t="s">
        <v>1688</v>
      </c>
      <c r="J51" t="s">
        <v>1315</v>
      </c>
      <c r="K51">
        <v>136</v>
      </c>
      <c r="L51" t="s">
        <v>1316</v>
      </c>
      <c r="M51">
        <v>54</v>
      </c>
      <c r="N51" t="s">
        <v>1317</v>
      </c>
      <c r="O51">
        <v>5.8974366502258704</v>
      </c>
      <c r="P51" t="s">
        <v>1318</v>
      </c>
      <c r="Q51">
        <v>4.33635047810726E-2</v>
      </c>
      <c r="R51" t="s">
        <v>1319</v>
      </c>
      <c r="S51">
        <v>1.10767591635873</v>
      </c>
      <c r="T51" t="s">
        <v>1320</v>
      </c>
      <c r="U51">
        <v>-0.65752515650178101</v>
      </c>
      <c r="V51" t="s">
        <v>1321</v>
      </c>
      <c r="W51">
        <v>0.21389849083933701</v>
      </c>
      <c r="X51" t="s">
        <v>1322</v>
      </c>
      <c r="Y51" t="s">
        <v>1546</v>
      </c>
      <c r="Z51" t="s">
        <v>1368</v>
      </c>
      <c r="AA51">
        <v>0</v>
      </c>
      <c r="AB51" t="s">
        <v>1325</v>
      </c>
      <c r="AC51" t="s">
        <v>1326</v>
      </c>
      <c r="AD51" t="s">
        <v>1546</v>
      </c>
      <c r="AE51" t="s">
        <v>1368</v>
      </c>
      <c r="AF51">
        <v>0</v>
      </c>
      <c r="AG51" t="s">
        <v>1328</v>
      </c>
      <c r="AQ51" t="s">
        <v>1315</v>
      </c>
      <c r="AR51">
        <v>265</v>
      </c>
    </row>
    <row r="52" spans="1:47" x14ac:dyDescent="0.3">
      <c r="A52" t="s">
        <v>1500</v>
      </c>
      <c r="B52" t="s">
        <v>1310</v>
      </c>
      <c r="C52">
        <v>0.3</v>
      </c>
      <c r="D52" t="s">
        <v>1311</v>
      </c>
      <c r="E52" t="s">
        <v>1312</v>
      </c>
      <c r="F52">
        <v>0.15</v>
      </c>
      <c r="G52" t="s">
        <v>1313</v>
      </c>
      <c r="H52" t="s">
        <v>1333</v>
      </c>
      <c r="I52" t="s">
        <v>1689</v>
      </c>
      <c r="J52" t="s">
        <v>1315</v>
      </c>
      <c r="K52">
        <v>140</v>
      </c>
      <c r="L52" t="s">
        <v>1316</v>
      </c>
      <c r="M52">
        <v>71</v>
      </c>
      <c r="N52" t="s">
        <v>1317</v>
      </c>
      <c r="O52">
        <v>4.7589501915969503</v>
      </c>
      <c r="P52" t="s">
        <v>1318</v>
      </c>
      <c r="Q52">
        <v>3.3992501368549699E-2</v>
      </c>
      <c r="R52" t="s">
        <v>1319</v>
      </c>
      <c r="S52">
        <v>0.64463310129009799</v>
      </c>
      <c r="T52" t="s">
        <v>1320</v>
      </c>
      <c r="U52">
        <v>-0.59434782608695602</v>
      </c>
      <c r="V52" t="s">
        <v>1321</v>
      </c>
      <c r="W52">
        <v>0.18573193828621701</v>
      </c>
      <c r="X52" t="s">
        <v>1322</v>
      </c>
      <c r="Y52" t="s">
        <v>1543</v>
      </c>
      <c r="Z52" t="s">
        <v>1523</v>
      </c>
      <c r="AA52">
        <v>0</v>
      </c>
      <c r="AB52" t="s">
        <v>1325</v>
      </c>
      <c r="AC52" t="s">
        <v>1326</v>
      </c>
      <c r="AD52" t="s">
        <v>1543</v>
      </c>
      <c r="AE52" t="s">
        <v>1523</v>
      </c>
      <c r="AF52">
        <v>0</v>
      </c>
      <c r="AG52" t="s">
        <v>1328</v>
      </c>
      <c r="AQ52" t="s">
        <v>1710</v>
      </c>
      <c r="AR52">
        <v>161</v>
      </c>
    </row>
    <row r="53" spans="1:47" x14ac:dyDescent="0.3">
      <c r="A53" t="s">
        <v>1500</v>
      </c>
      <c r="B53" t="s">
        <v>1310</v>
      </c>
      <c r="C53">
        <v>0.4</v>
      </c>
      <c r="D53" t="s">
        <v>1311</v>
      </c>
      <c r="E53" t="s">
        <v>1312</v>
      </c>
      <c r="F53">
        <v>0.2</v>
      </c>
      <c r="G53" t="s">
        <v>1381</v>
      </c>
      <c r="H53" t="s">
        <v>1329</v>
      </c>
      <c r="I53" t="s">
        <v>1690</v>
      </c>
      <c r="J53" t="s">
        <v>1315</v>
      </c>
      <c r="K53">
        <v>140</v>
      </c>
      <c r="L53" t="s">
        <v>1316</v>
      </c>
      <c r="M53">
        <v>35</v>
      </c>
      <c r="N53" t="s">
        <v>1317</v>
      </c>
      <c r="O53">
        <v>4.3400000000000096</v>
      </c>
      <c r="P53" t="s">
        <v>1318</v>
      </c>
      <c r="Q53">
        <v>3.10000000000001E-2</v>
      </c>
      <c r="R53" t="s">
        <v>1319</v>
      </c>
      <c r="S53">
        <v>1.98257142857142</v>
      </c>
      <c r="T53" t="s">
        <v>1320</v>
      </c>
      <c r="U53">
        <v>-0.61952380952380903</v>
      </c>
      <c r="V53" t="s">
        <v>1321</v>
      </c>
      <c r="W53">
        <v>0.29684794519395402</v>
      </c>
      <c r="X53" t="s">
        <v>1322</v>
      </c>
      <c r="Y53" t="s">
        <v>1529</v>
      </c>
      <c r="Z53" t="s">
        <v>1530</v>
      </c>
      <c r="AA53">
        <v>0</v>
      </c>
      <c r="AB53" t="s">
        <v>1325</v>
      </c>
      <c r="AC53" t="s">
        <v>1326</v>
      </c>
      <c r="AD53" t="s">
        <v>1529</v>
      </c>
      <c r="AE53" t="s">
        <v>1530</v>
      </c>
      <c r="AF53">
        <v>0</v>
      </c>
      <c r="AG53" t="s">
        <v>1328</v>
      </c>
      <c r="AQ53" t="s">
        <v>1711</v>
      </c>
      <c r="AR53">
        <v>165.12725875160399</v>
      </c>
    </row>
    <row r="54" spans="1:47" x14ac:dyDescent="0.3">
      <c r="A54" t="s">
        <v>1500</v>
      </c>
      <c r="B54" t="s">
        <v>1310</v>
      </c>
      <c r="C54">
        <v>0.3</v>
      </c>
      <c r="D54" t="s">
        <v>1311</v>
      </c>
      <c r="E54" t="s">
        <v>1312</v>
      </c>
      <c r="F54">
        <v>0.15</v>
      </c>
      <c r="G54" t="s">
        <v>1381</v>
      </c>
      <c r="H54" t="s">
        <v>1336</v>
      </c>
      <c r="I54" t="s">
        <v>1691</v>
      </c>
      <c r="J54" t="s">
        <v>1315</v>
      </c>
      <c r="K54">
        <v>140</v>
      </c>
      <c r="L54" t="s">
        <v>1316</v>
      </c>
      <c r="M54">
        <v>36</v>
      </c>
      <c r="N54" t="s">
        <v>1317</v>
      </c>
      <c r="O54">
        <v>4.2884252873953796</v>
      </c>
      <c r="P54" t="s">
        <v>1318</v>
      </c>
      <c r="Q54">
        <v>3.0631609195681201E-2</v>
      </c>
      <c r="R54" t="s">
        <v>1319</v>
      </c>
      <c r="S54">
        <v>1.7905555555555499</v>
      </c>
      <c r="T54" t="s">
        <v>1320</v>
      </c>
      <c r="U54">
        <v>-0.57857283377504398</v>
      </c>
      <c r="V54" t="s">
        <v>1321</v>
      </c>
      <c r="W54">
        <v>0.374769584889528</v>
      </c>
      <c r="X54" t="s">
        <v>1322</v>
      </c>
      <c r="Y54" t="s">
        <v>1552</v>
      </c>
      <c r="Z54" t="s">
        <v>1341</v>
      </c>
      <c r="AA54">
        <v>0</v>
      </c>
      <c r="AB54" t="s">
        <v>1325</v>
      </c>
      <c r="AC54" t="s">
        <v>1326</v>
      </c>
      <c r="AD54" t="s">
        <v>1552</v>
      </c>
      <c r="AE54" t="s">
        <v>1341</v>
      </c>
      <c r="AF54">
        <v>0</v>
      </c>
      <c r="AG54" t="s">
        <v>1328</v>
      </c>
      <c r="AQ54" t="s">
        <v>1712</v>
      </c>
      <c r="AR54">
        <v>0.62312173113812996</v>
      </c>
    </row>
    <row r="55" spans="1:47" x14ac:dyDescent="0.3">
      <c r="A55" t="s">
        <v>1500</v>
      </c>
      <c r="B55" t="s">
        <v>1310</v>
      </c>
      <c r="C55">
        <v>0.4</v>
      </c>
      <c r="D55" t="s">
        <v>1311</v>
      </c>
      <c r="E55" t="s">
        <v>1312</v>
      </c>
      <c r="F55">
        <v>0.2</v>
      </c>
      <c r="G55" t="s">
        <v>1392</v>
      </c>
      <c r="H55" t="s">
        <v>1343</v>
      </c>
      <c r="I55" t="s">
        <v>1692</v>
      </c>
      <c r="J55" t="s">
        <v>1315</v>
      </c>
      <c r="K55">
        <v>136</v>
      </c>
      <c r="L55" t="s">
        <v>1316</v>
      </c>
      <c r="M55">
        <v>43</v>
      </c>
      <c r="N55" t="s">
        <v>1317</v>
      </c>
      <c r="O55">
        <v>3.9842899048647902</v>
      </c>
      <c r="P55" t="s">
        <v>1318</v>
      </c>
      <c r="Q55">
        <v>2.9296249300476401E-2</v>
      </c>
      <c r="R55" t="s">
        <v>1319</v>
      </c>
      <c r="S55">
        <v>1.4593023255813899</v>
      </c>
      <c r="T55" t="s">
        <v>1320</v>
      </c>
      <c r="U55">
        <v>-0.63188935586166795</v>
      </c>
      <c r="V55" t="s">
        <v>1321</v>
      </c>
      <c r="W55">
        <v>0.218617060682261</v>
      </c>
      <c r="X55" t="s">
        <v>1322</v>
      </c>
      <c r="Y55" t="s">
        <v>1533</v>
      </c>
      <c r="Z55" t="s">
        <v>1534</v>
      </c>
      <c r="AA55">
        <v>0</v>
      </c>
      <c r="AB55" t="s">
        <v>1325</v>
      </c>
      <c r="AC55" t="s">
        <v>1326</v>
      </c>
      <c r="AD55" t="s">
        <v>1533</v>
      </c>
      <c r="AE55" t="s">
        <v>1534</v>
      </c>
      <c r="AF55">
        <v>0</v>
      </c>
      <c r="AG55" t="s">
        <v>1328</v>
      </c>
      <c r="AQ55" t="s">
        <v>1713</v>
      </c>
      <c r="AR55">
        <v>1.41610229372421</v>
      </c>
    </row>
    <row r="56" spans="1:47" x14ac:dyDescent="0.3">
      <c r="A56" t="s">
        <v>1500</v>
      </c>
      <c r="B56" t="s">
        <v>1310</v>
      </c>
      <c r="C56">
        <v>0.5</v>
      </c>
      <c r="D56" t="s">
        <v>1311</v>
      </c>
      <c r="E56" t="s">
        <v>1312</v>
      </c>
      <c r="F56">
        <v>0.3</v>
      </c>
      <c r="G56" t="s">
        <v>1342</v>
      </c>
      <c r="H56" t="s">
        <v>1346</v>
      </c>
      <c r="I56" t="s">
        <v>1693</v>
      </c>
      <c r="J56" t="s">
        <v>1315</v>
      </c>
      <c r="K56">
        <v>136</v>
      </c>
      <c r="L56" t="s">
        <v>1316</v>
      </c>
      <c r="M56">
        <v>37</v>
      </c>
      <c r="N56" t="s">
        <v>1317</v>
      </c>
      <c r="O56">
        <v>3.72000000000001</v>
      </c>
      <c r="P56" t="s">
        <v>1318</v>
      </c>
      <c r="Q56">
        <v>2.7352941176470601E-2</v>
      </c>
      <c r="R56" t="s">
        <v>1319</v>
      </c>
      <c r="S56">
        <v>1.84567567567567</v>
      </c>
      <c r="T56" t="s">
        <v>1320</v>
      </c>
      <c r="U56">
        <v>-0.65222222222222204</v>
      </c>
      <c r="V56" t="s">
        <v>1321</v>
      </c>
      <c r="W56">
        <v>0.25023046686939898</v>
      </c>
      <c r="X56" t="s">
        <v>1322</v>
      </c>
      <c r="Y56" t="s">
        <v>1503</v>
      </c>
      <c r="Z56" t="s">
        <v>1504</v>
      </c>
      <c r="AA56">
        <v>0</v>
      </c>
      <c r="AB56" t="s">
        <v>1325</v>
      </c>
      <c r="AC56" t="s">
        <v>1326</v>
      </c>
      <c r="AD56" t="s">
        <v>1503</v>
      </c>
      <c r="AE56" t="s">
        <v>1504</v>
      </c>
      <c r="AF56">
        <v>0</v>
      </c>
      <c r="AG56" t="s">
        <v>1328</v>
      </c>
      <c r="AQ56" t="s">
        <v>1714</v>
      </c>
      <c r="AR56">
        <v>-0.64809495399994599</v>
      </c>
    </row>
    <row r="57" spans="1:47" x14ac:dyDescent="0.3">
      <c r="A57" t="s">
        <v>1500</v>
      </c>
      <c r="B57" t="s">
        <v>1310</v>
      </c>
      <c r="C57">
        <v>0.3</v>
      </c>
      <c r="D57" t="s">
        <v>1311</v>
      </c>
      <c r="E57" t="s">
        <v>1312</v>
      </c>
      <c r="F57">
        <v>0.15</v>
      </c>
      <c r="G57" t="s">
        <v>1381</v>
      </c>
      <c r="H57" t="s">
        <v>1337</v>
      </c>
      <c r="I57" t="s">
        <v>1694</v>
      </c>
      <c r="J57" t="s">
        <v>1315</v>
      </c>
      <c r="K57">
        <v>140</v>
      </c>
      <c r="L57" t="s">
        <v>1316</v>
      </c>
      <c r="M57">
        <v>35</v>
      </c>
      <c r="N57" t="s">
        <v>1317</v>
      </c>
      <c r="O57">
        <v>3.68842528739536</v>
      </c>
      <c r="P57" t="s">
        <v>1318</v>
      </c>
      <c r="Q57">
        <v>2.6345894909966899E-2</v>
      </c>
      <c r="R57" t="s">
        <v>1319</v>
      </c>
      <c r="S57">
        <v>1.8454285714285701</v>
      </c>
      <c r="T57" t="s">
        <v>1320</v>
      </c>
      <c r="U57">
        <v>-0.58001499726290096</v>
      </c>
      <c r="V57" t="s">
        <v>1321</v>
      </c>
      <c r="W57">
        <v>0.39292098682807902</v>
      </c>
      <c r="X57" t="s">
        <v>1322</v>
      </c>
      <c r="Y57" t="s">
        <v>1552</v>
      </c>
      <c r="Z57" t="s">
        <v>1341</v>
      </c>
      <c r="AA57">
        <v>0</v>
      </c>
      <c r="AB57" t="s">
        <v>1325</v>
      </c>
      <c r="AC57" t="s">
        <v>1326</v>
      </c>
      <c r="AD57" t="s">
        <v>1552</v>
      </c>
      <c r="AE57" t="s">
        <v>1341</v>
      </c>
      <c r="AF57">
        <v>0</v>
      </c>
      <c r="AG57" t="s">
        <v>1328</v>
      </c>
      <c r="AQ57" t="s">
        <v>1715</v>
      </c>
      <c r="AR57">
        <v>0.55654154986140802</v>
      </c>
    </row>
    <row r="58" spans="1:47" x14ac:dyDescent="0.3">
      <c r="A58" t="s">
        <v>1500</v>
      </c>
      <c r="B58" t="s">
        <v>1310</v>
      </c>
      <c r="C58">
        <v>0.3</v>
      </c>
      <c r="D58" t="s">
        <v>1311</v>
      </c>
      <c r="E58" t="s">
        <v>1312</v>
      </c>
      <c r="F58">
        <v>0.15</v>
      </c>
      <c r="G58" t="s">
        <v>1403</v>
      </c>
      <c r="H58" t="s">
        <v>1356</v>
      </c>
      <c r="I58" t="s">
        <v>1695</v>
      </c>
      <c r="J58" t="s">
        <v>1315</v>
      </c>
      <c r="K58">
        <v>177</v>
      </c>
      <c r="L58" t="s">
        <v>1316</v>
      </c>
      <c r="M58">
        <v>41</v>
      </c>
      <c r="N58" t="s">
        <v>1317</v>
      </c>
      <c r="O58">
        <v>3.1169281374684501</v>
      </c>
      <c r="P58" t="s">
        <v>1318</v>
      </c>
      <c r="Q58">
        <v>1.76097634885223E-2</v>
      </c>
      <c r="R58" t="s">
        <v>1319</v>
      </c>
      <c r="S58">
        <v>2.2699761069447999</v>
      </c>
      <c r="T58" t="s">
        <v>1320</v>
      </c>
      <c r="U58">
        <v>-0.66141244299462199</v>
      </c>
      <c r="V58" t="s">
        <v>1321</v>
      </c>
      <c r="W58">
        <v>0.33308084078780897</v>
      </c>
      <c r="X58" t="s">
        <v>1322</v>
      </c>
      <c r="Y58" t="s">
        <v>1555</v>
      </c>
      <c r="Z58" t="s">
        <v>1556</v>
      </c>
      <c r="AA58">
        <v>0</v>
      </c>
      <c r="AB58" t="s">
        <v>1325</v>
      </c>
      <c r="AC58" t="s">
        <v>1326</v>
      </c>
      <c r="AD58" t="s">
        <v>1555</v>
      </c>
      <c r="AE58" t="s">
        <v>1556</v>
      </c>
      <c r="AF58">
        <v>0</v>
      </c>
      <c r="AG58" t="s">
        <v>1328</v>
      </c>
      <c r="AQ58" t="s">
        <v>1716</v>
      </c>
      <c r="AR58" t="s">
        <v>1733</v>
      </c>
    </row>
    <row r="59" spans="1:47" x14ac:dyDescent="0.3">
      <c r="A59" t="s">
        <v>1500</v>
      </c>
      <c r="B59" t="s">
        <v>1310</v>
      </c>
      <c r="C59">
        <v>0.3</v>
      </c>
      <c r="D59" t="s">
        <v>1311</v>
      </c>
      <c r="E59" t="s">
        <v>1312</v>
      </c>
      <c r="F59">
        <v>0.15</v>
      </c>
      <c r="G59" t="s">
        <v>1403</v>
      </c>
      <c r="H59" t="s">
        <v>1359</v>
      </c>
      <c r="I59" t="s">
        <v>1696</v>
      </c>
      <c r="J59" t="s">
        <v>1315</v>
      </c>
      <c r="K59">
        <v>177</v>
      </c>
      <c r="L59" t="s">
        <v>1316</v>
      </c>
      <c r="M59">
        <v>28</v>
      </c>
      <c r="N59" t="s">
        <v>1317</v>
      </c>
      <c r="O59">
        <v>2.6869281374684499</v>
      </c>
      <c r="P59" t="s">
        <v>1318</v>
      </c>
      <c r="Q59">
        <v>1.5180384957448801E-2</v>
      </c>
      <c r="R59" t="s">
        <v>1319</v>
      </c>
      <c r="S59">
        <v>3.6514285714285699</v>
      </c>
      <c r="T59" t="s">
        <v>1320</v>
      </c>
      <c r="U59">
        <v>-0.66814142189618497</v>
      </c>
      <c r="V59" t="s">
        <v>1321</v>
      </c>
      <c r="W59">
        <v>0.43243316554425598</v>
      </c>
      <c r="X59" t="s">
        <v>1322</v>
      </c>
      <c r="Y59" t="s">
        <v>1554</v>
      </c>
      <c r="Z59" t="s">
        <v>1341</v>
      </c>
      <c r="AA59">
        <v>0</v>
      </c>
      <c r="AB59" t="s">
        <v>1325</v>
      </c>
      <c r="AC59" t="s">
        <v>1326</v>
      </c>
      <c r="AD59" t="s">
        <v>1554</v>
      </c>
      <c r="AE59" t="s">
        <v>1341</v>
      </c>
      <c r="AF59">
        <v>0</v>
      </c>
      <c r="AG59" t="s">
        <v>1328</v>
      </c>
      <c r="AQ59" t="s">
        <v>1734</v>
      </c>
    </row>
    <row r="60" spans="1:47" x14ac:dyDescent="0.3">
      <c r="A60" t="s">
        <v>1500</v>
      </c>
      <c r="B60" t="s">
        <v>1310</v>
      </c>
      <c r="C60">
        <v>0.3</v>
      </c>
      <c r="D60" t="s">
        <v>1311</v>
      </c>
      <c r="E60" t="s">
        <v>1312</v>
      </c>
      <c r="F60">
        <v>0.15</v>
      </c>
      <c r="G60" t="s">
        <v>1313</v>
      </c>
      <c r="H60" t="s">
        <v>1337</v>
      </c>
      <c r="I60" t="s">
        <v>1697</v>
      </c>
      <c r="J60" t="s">
        <v>1315</v>
      </c>
      <c r="K60">
        <v>140</v>
      </c>
      <c r="L60" t="s">
        <v>1316</v>
      </c>
      <c r="M60">
        <v>70</v>
      </c>
      <c r="N60" t="s">
        <v>1317</v>
      </c>
      <c r="O60">
        <v>2.39895019159693</v>
      </c>
      <c r="P60" t="s">
        <v>1318</v>
      </c>
      <c r="Q60">
        <v>1.7135358511406702E-2</v>
      </c>
      <c r="R60" t="s">
        <v>1319</v>
      </c>
      <c r="S60">
        <v>0.63855643130852702</v>
      </c>
      <c r="T60" t="s">
        <v>1320</v>
      </c>
      <c r="U60">
        <v>-0.60428571428571398</v>
      </c>
      <c r="V60" t="s">
        <v>1321</v>
      </c>
      <c r="W60">
        <v>0.20070760832435999</v>
      </c>
      <c r="X60" t="s">
        <v>1322</v>
      </c>
      <c r="Y60" t="s">
        <v>1544</v>
      </c>
      <c r="Z60" t="s">
        <v>1545</v>
      </c>
      <c r="AA60">
        <v>0</v>
      </c>
      <c r="AB60" t="s">
        <v>1325</v>
      </c>
      <c r="AC60" t="s">
        <v>1326</v>
      </c>
      <c r="AD60" t="s">
        <v>1544</v>
      </c>
      <c r="AE60" t="s">
        <v>1545</v>
      </c>
      <c r="AF60">
        <v>0</v>
      </c>
      <c r="AG60" t="s">
        <v>1328</v>
      </c>
      <c r="AQ60" t="s">
        <v>1735</v>
      </c>
    </row>
    <row r="61" spans="1:47" x14ac:dyDescent="0.3">
      <c r="A61" t="s">
        <v>1500</v>
      </c>
      <c r="B61" t="s">
        <v>1310</v>
      </c>
      <c r="C61">
        <v>0.3</v>
      </c>
      <c r="D61" t="s">
        <v>1311</v>
      </c>
      <c r="E61" t="s">
        <v>1312</v>
      </c>
      <c r="F61">
        <v>0.15</v>
      </c>
      <c r="G61" t="s">
        <v>1342</v>
      </c>
      <c r="H61" t="s">
        <v>1350</v>
      </c>
      <c r="I61" t="s">
        <v>1698</v>
      </c>
      <c r="J61" t="s">
        <v>1315</v>
      </c>
      <c r="K61">
        <v>136</v>
      </c>
      <c r="L61" t="s">
        <v>1316</v>
      </c>
      <c r="M61">
        <v>52</v>
      </c>
      <c r="N61" t="s">
        <v>1317</v>
      </c>
      <c r="O61">
        <v>2.3674366502258799</v>
      </c>
      <c r="P61" t="s">
        <v>1318</v>
      </c>
      <c r="Q61">
        <v>1.74076224281315E-2</v>
      </c>
      <c r="R61" t="s">
        <v>1319</v>
      </c>
      <c r="S61">
        <v>1.1173942208340699</v>
      </c>
      <c r="T61" t="s">
        <v>1320</v>
      </c>
      <c r="U61">
        <v>-0.66353646229935703</v>
      </c>
      <c r="V61" t="s">
        <v>1321</v>
      </c>
      <c r="W61">
        <v>0.22824113423543399</v>
      </c>
      <c r="X61" t="s">
        <v>1322</v>
      </c>
      <c r="Y61" t="s">
        <v>1546</v>
      </c>
      <c r="Z61" t="s">
        <v>1368</v>
      </c>
      <c r="AA61">
        <v>0</v>
      </c>
      <c r="AB61" t="s">
        <v>1325</v>
      </c>
      <c r="AC61" t="s">
        <v>1326</v>
      </c>
      <c r="AD61" t="s">
        <v>1546</v>
      </c>
      <c r="AE61" t="s">
        <v>1368</v>
      </c>
      <c r="AF61">
        <v>0</v>
      </c>
      <c r="AG61" t="s">
        <v>1328</v>
      </c>
      <c r="AQ61" t="s">
        <v>1721</v>
      </c>
      <c r="AR61" t="s">
        <v>1377</v>
      </c>
      <c r="AS61" t="s">
        <v>1378</v>
      </c>
      <c r="AT61" t="s">
        <v>1379</v>
      </c>
    </row>
    <row r="62" spans="1:47" x14ac:dyDescent="0.3">
      <c r="A62" t="s">
        <v>1500</v>
      </c>
      <c r="B62" t="s">
        <v>1310</v>
      </c>
      <c r="C62">
        <v>0.5</v>
      </c>
      <c r="D62" t="s">
        <v>1311</v>
      </c>
      <c r="E62" t="s">
        <v>1312</v>
      </c>
      <c r="F62">
        <v>0.3</v>
      </c>
      <c r="G62" t="s">
        <v>1342</v>
      </c>
      <c r="H62" t="s">
        <v>1343</v>
      </c>
      <c r="I62" t="s">
        <v>1699</v>
      </c>
      <c r="J62" t="s">
        <v>1315</v>
      </c>
      <c r="K62">
        <v>136</v>
      </c>
      <c r="L62" t="s">
        <v>1316</v>
      </c>
      <c r="M62">
        <v>48</v>
      </c>
      <c r="N62" t="s">
        <v>1317</v>
      </c>
      <c r="O62">
        <v>2.3500000000000099</v>
      </c>
      <c r="P62" t="s">
        <v>1318</v>
      </c>
      <c r="Q62">
        <v>1.7279411764705901E-2</v>
      </c>
      <c r="R62" t="s">
        <v>1319</v>
      </c>
      <c r="S62">
        <v>1.21145833333333</v>
      </c>
      <c r="T62" t="s">
        <v>1320</v>
      </c>
      <c r="U62">
        <v>-0.63409090909090804</v>
      </c>
      <c r="V62" t="s">
        <v>1321</v>
      </c>
      <c r="W62">
        <v>0.18794372902950601</v>
      </c>
      <c r="X62" t="s">
        <v>1322</v>
      </c>
      <c r="Y62" t="s">
        <v>1501</v>
      </c>
      <c r="Z62" t="s">
        <v>1502</v>
      </c>
      <c r="AA62">
        <v>0</v>
      </c>
      <c r="AB62" t="s">
        <v>1325</v>
      </c>
      <c r="AC62" t="s">
        <v>1326</v>
      </c>
      <c r="AD62" t="s">
        <v>1501</v>
      </c>
      <c r="AE62" t="s">
        <v>1502</v>
      </c>
      <c r="AF62">
        <v>0</v>
      </c>
      <c r="AG62" t="s">
        <v>1328</v>
      </c>
      <c r="AQ62" t="s">
        <v>1717</v>
      </c>
      <c r="AR62" t="s">
        <v>1733</v>
      </c>
      <c r="AS62" t="s">
        <v>1736</v>
      </c>
      <c r="AT62">
        <v>0</v>
      </c>
      <c r="AU62" t="s">
        <v>1718</v>
      </c>
    </row>
    <row r="63" spans="1:47" x14ac:dyDescent="0.3">
      <c r="A63" t="s">
        <v>1500</v>
      </c>
      <c r="B63" t="s">
        <v>1310</v>
      </c>
      <c r="C63">
        <v>0.4</v>
      </c>
      <c r="D63" t="s">
        <v>1311</v>
      </c>
      <c r="E63" t="s">
        <v>1312</v>
      </c>
      <c r="F63">
        <v>0.2</v>
      </c>
      <c r="G63" t="s">
        <v>1342</v>
      </c>
      <c r="H63" t="s">
        <v>1350</v>
      </c>
      <c r="I63" t="s">
        <v>1700</v>
      </c>
      <c r="J63" t="s">
        <v>1315</v>
      </c>
      <c r="K63">
        <v>136</v>
      </c>
      <c r="L63" t="s">
        <v>1316</v>
      </c>
      <c r="M63">
        <v>43</v>
      </c>
      <c r="N63" t="s">
        <v>1317</v>
      </c>
      <c r="O63">
        <v>1.92285993657654</v>
      </c>
      <c r="P63" t="s">
        <v>1318</v>
      </c>
      <c r="Q63">
        <v>1.4138676004239299E-2</v>
      </c>
      <c r="R63" t="s">
        <v>1319</v>
      </c>
      <c r="S63">
        <v>1.5993688357343301</v>
      </c>
      <c r="T63" t="s">
        <v>1320</v>
      </c>
      <c r="U63">
        <v>-0.71881720430107499</v>
      </c>
      <c r="V63" t="s">
        <v>1321</v>
      </c>
      <c r="W63">
        <v>0.27742897924621601</v>
      </c>
      <c r="X63" t="s">
        <v>1322</v>
      </c>
      <c r="Y63" t="s">
        <v>1367</v>
      </c>
      <c r="Z63" t="s">
        <v>1368</v>
      </c>
      <c r="AA63">
        <v>0</v>
      </c>
      <c r="AB63" t="s">
        <v>1325</v>
      </c>
      <c r="AC63" t="s">
        <v>1326</v>
      </c>
      <c r="AD63" t="s">
        <v>1367</v>
      </c>
      <c r="AE63" t="s">
        <v>1368</v>
      </c>
      <c r="AF63">
        <v>0</v>
      </c>
      <c r="AG63" t="s">
        <v>1328</v>
      </c>
    </row>
    <row r="64" spans="1:47" x14ac:dyDescent="0.3">
      <c r="A64" t="s">
        <v>1604</v>
      </c>
      <c r="B64" t="s">
        <v>1310</v>
      </c>
      <c r="C64">
        <v>0.5</v>
      </c>
      <c r="D64" t="s">
        <v>1311</v>
      </c>
      <c r="E64" t="s">
        <v>1312</v>
      </c>
      <c r="F64">
        <v>0.3</v>
      </c>
      <c r="G64" t="s">
        <v>1351</v>
      </c>
      <c r="H64" t="s">
        <v>1352</v>
      </c>
      <c r="I64" t="s">
        <v>1701</v>
      </c>
      <c r="J64" t="s">
        <v>1315</v>
      </c>
      <c r="K64">
        <v>291</v>
      </c>
      <c r="L64" t="s">
        <v>1316</v>
      </c>
      <c r="M64">
        <v>86</v>
      </c>
      <c r="N64" t="s">
        <v>1317</v>
      </c>
      <c r="O64">
        <v>1.89336307167893</v>
      </c>
      <c r="P64" t="s">
        <v>1318</v>
      </c>
      <c r="Q64">
        <v>6.5064023081750303E-3</v>
      </c>
      <c r="R64" t="s">
        <v>1319</v>
      </c>
      <c r="S64">
        <v>1.62403092793445</v>
      </c>
      <c r="T64" t="s">
        <v>1320</v>
      </c>
      <c r="U64">
        <v>-0.672064862100897</v>
      </c>
      <c r="V64" t="s">
        <v>1321</v>
      </c>
      <c r="W64">
        <v>0.37582732754989001</v>
      </c>
      <c r="X64" t="s">
        <v>1322</v>
      </c>
      <c r="Y64" t="s">
        <v>1614</v>
      </c>
      <c r="Z64" t="s">
        <v>1615</v>
      </c>
    </row>
    <row r="65" spans="1:33" x14ac:dyDescent="0.3">
      <c r="A65" t="s">
        <v>1500</v>
      </c>
      <c r="B65" t="s">
        <v>1310</v>
      </c>
      <c r="C65">
        <v>0.4</v>
      </c>
      <c r="D65" t="s">
        <v>1311</v>
      </c>
      <c r="E65" t="s">
        <v>1312</v>
      </c>
      <c r="F65">
        <v>0.2</v>
      </c>
      <c r="G65" t="s">
        <v>1403</v>
      </c>
      <c r="H65" t="s">
        <v>1356</v>
      </c>
      <c r="I65" t="s">
        <v>1702</v>
      </c>
      <c r="J65" t="s">
        <v>1315</v>
      </c>
      <c r="K65">
        <v>177</v>
      </c>
      <c r="L65" t="s">
        <v>1316</v>
      </c>
      <c r="M65">
        <v>40</v>
      </c>
      <c r="N65" t="s">
        <v>1317</v>
      </c>
      <c r="O65">
        <v>1.4966429000428201</v>
      </c>
      <c r="P65" t="s">
        <v>1318</v>
      </c>
      <c r="Q65">
        <v>8.4556096047617296E-3</v>
      </c>
      <c r="R65" t="s">
        <v>1319</v>
      </c>
      <c r="S65">
        <v>2.4417499999999999</v>
      </c>
      <c r="T65" t="s">
        <v>1320</v>
      </c>
      <c r="U65">
        <v>-0.70199530729895698</v>
      </c>
      <c r="V65" t="s">
        <v>1321</v>
      </c>
      <c r="W65">
        <v>0.379648525298171</v>
      </c>
      <c r="X65" t="s">
        <v>1322</v>
      </c>
      <c r="Y65" t="s">
        <v>1538</v>
      </c>
      <c r="Z65" t="s">
        <v>1539</v>
      </c>
    </row>
    <row r="66" spans="1:33" x14ac:dyDescent="0.3">
      <c r="A66" t="s">
        <v>1309</v>
      </c>
      <c r="B66" t="s">
        <v>1310</v>
      </c>
      <c r="C66">
        <v>0.4</v>
      </c>
      <c r="D66" t="s">
        <v>1311</v>
      </c>
      <c r="E66" t="s">
        <v>1312</v>
      </c>
      <c r="F66">
        <v>0.2</v>
      </c>
      <c r="G66" t="s">
        <v>1392</v>
      </c>
      <c r="H66" t="s">
        <v>1349</v>
      </c>
      <c r="I66" t="s">
        <v>1703</v>
      </c>
      <c r="J66" t="s">
        <v>1315</v>
      </c>
      <c r="K66">
        <v>3050</v>
      </c>
      <c r="L66" t="s">
        <v>1316</v>
      </c>
      <c r="M66">
        <v>453</v>
      </c>
      <c r="N66" t="s">
        <v>1317</v>
      </c>
      <c r="O66">
        <v>1.1882486292869401</v>
      </c>
      <c r="P66" t="s">
        <v>1318</v>
      </c>
      <c r="Q66">
        <v>3.8958971452030899E-4</v>
      </c>
      <c r="R66" t="s">
        <v>1319</v>
      </c>
      <c r="S66">
        <v>4.04153861236676</v>
      </c>
      <c r="T66" t="s">
        <v>1320</v>
      </c>
      <c r="U66">
        <v>-0.70451626598877304</v>
      </c>
      <c r="V66" t="s">
        <v>1321</v>
      </c>
      <c r="W66">
        <v>3.4176626524043301</v>
      </c>
      <c r="X66" t="s">
        <v>1322</v>
      </c>
      <c r="Y66" t="s">
        <v>1395</v>
      </c>
      <c r="Z66" t="s">
        <v>1396</v>
      </c>
      <c r="AA66">
        <v>0</v>
      </c>
      <c r="AB66" t="s">
        <v>1325</v>
      </c>
      <c r="AC66" t="s">
        <v>1326</v>
      </c>
      <c r="AD66" t="s">
        <v>1400</v>
      </c>
      <c r="AE66" t="s">
        <v>1399</v>
      </c>
      <c r="AF66">
        <v>0</v>
      </c>
      <c r="AG66" t="s">
        <v>1328</v>
      </c>
    </row>
    <row r="67" spans="1:33" x14ac:dyDescent="0.3">
      <c r="A67" t="s">
        <v>1604</v>
      </c>
      <c r="B67" t="s">
        <v>1310</v>
      </c>
      <c r="C67">
        <v>0.4</v>
      </c>
      <c r="D67" t="s">
        <v>1311</v>
      </c>
      <c r="E67" t="s">
        <v>1312</v>
      </c>
      <c r="F67">
        <v>0.2</v>
      </c>
      <c r="G67" t="s">
        <v>1313</v>
      </c>
      <c r="H67" t="s">
        <v>1314</v>
      </c>
      <c r="I67" t="s">
        <v>1704</v>
      </c>
      <c r="J67" t="s">
        <v>1315</v>
      </c>
      <c r="K67">
        <v>224</v>
      </c>
      <c r="L67" t="s">
        <v>1316</v>
      </c>
      <c r="M67">
        <v>101</v>
      </c>
      <c r="N67" t="s">
        <v>1317</v>
      </c>
      <c r="O67">
        <v>1.0499999999999901</v>
      </c>
      <c r="P67" t="s">
        <v>1318</v>
      </c>
      <c r="Q67">
        <v>4.6874999999999703E-3</v>
      </c>
      <c r="R67" t="s">
        <v>1319</v>
      </c>
      <c r="S67">
        <v>0.98821782178217799</v>
      </c>
      <c r="T67" t="s">
        <v>1320</v>
      </c>
      <c r="U67">
        <v>-0.80292682926829195</v>
      </c>
      <c r="V67" t="s">
        <v>1321</v>
      </c>
      <c r="W67">
        <v>0.28457768993474197</v>
      </c>
      <c r="X67" t="s">
        <v>1322</v>
      </c>
      <c r="Y67" t="s">
        <v>1344</v>
      </c>
      <c r="Z67" t="s">
        <v>1331</v>
      </c>
      <c r="AA67">
        <v>0</v>
      </c>
      <c r="AB67" t="s">
        <v>1325</v>
      </c>
      <c r="AC67" t="s">
        <v>1326</v>
      </c>
      <c r="AD67" t="s">
        <v>1344</v>
      </c>
      <c r="AE67" t="s">
        <v>1331</v>
      </c>
      <c r="AF67">
        <v>0</v>
      </c>
      <c r="AG67" t="s">
        <v>1328</v>
      </c>
    </row>
    <row r="68" spans="1:33" x14ac:dyDescent="0.3">
      <c r="A68" t="s">
        <v>1455</v>
      </c>
      <c r="B68" t="s">
        <v>1310</v>
      </c>
      <c r="C68">
        <v>0.4</v>
      </c>
      <c r="D68" t="s">
        <v>1311</v>
      </c>
      <c r="E68" t="s">
        <v>1312</v>
      </c>
      <c r="F68">
        <v>0.2</v>
      </c>
      <c r="G68" t="s">
        <v>1313</v>
      </c>
      <c r="H68" t="s">
        <v>1333</v>
      </c>
      <c r="I68" t="s">
        <v>1705</v>
      </c>
      <c r="J68" t="s">
        <v>1315</v>
      </c>
      <c r="K68">
        <v>191</v>
      </c>
      <c r="L68" t="s">
        <v>1316</v>
      </c>
      <c r="M68">
        <v>71</v>
      </c>
      <c r="N68" t="s">
        <v>1317</v>
      </c>
      <c r="O68">
        <v>1.0399999999999701</v>
      </c>
      <c r="P68" t="s">
        <v>1318</v>
      </c>
      <c r="Q68">
        <v>5.4450261780103499E-3</v>
      </c>
      <c r="R68" t="s">
        <v>1319</v>
      </c>
      <c r="S68">
        <v>1.34042253521126</v>
      </c>
      <c r="T68" t="s">
        <v>1320</v>
      </c>
      <c r="U68">
        <v>-0.78441666666666598</v>
      </c>
      <c r="V68" t="s">
        <v>1321</v>
      </c>
      <c r="W68">
        <v>0.41623133893632203</v>
      </c>
      <c r="X68" t="s">
        <v>1322</v>
      </c>
      <c r="Y68" t="s">
        <v>1477</v>
      </c>
      <c r="Z68" t="s">
        <v>1478</v>
      </c>
      <c r="AA68">
        <v>0</v>
      </c>
      <c r="AB68" t="s">
        <v>1325</v>
      </c>
      <c r="AC68" t="s">
        <v>1326</v>
      </c>
      <c r="AD68" t="s">
        <v>1476</v>
      </c>
      <c r="AE68" t="s">
        <v>1372</v>
      </c>
      <c r="AF68">
        <v>0</v>
      </c>
      <c r="AG68" t="s">
        <v>1328</v>
      </c>
    </row>
    <row r="69" spans="1:33" x14ac:dyDescent="0.3">
      <c r="A69" t="s">
        <v>1500</v>
      </c>
      <c r="B69" t="s">
        <v>1310</v>
      </c>
      <c r="C69">
        <v>0.4</v>
      </c>
      <c r="D69" t="s">
        <v>1311</v>
      </c>
      <c r="E69" t="s">
        <v>1312</v>
      </c>
      <c r="F69">
        <v>0.2</v>
      </c>
      <c r="G69" t="s">
        <v>1403</v>
      </c>
      <c r="H69" t="s">
        <v>1352</v>
      </c>
      <c r="I69" t="s">
        <v>1706</v>
      </c>
      <c r="J69" t="s">
        <v>1315</v>
      </c>
      <c r="K69">
        <v>177</v>
      </c>
      <c r="L69" t="s">
        <v>1316</v>
      </c>
      <c r="M69">
        <v>57</v>
      </c>
      <c r="N69" t="s">
        <v>1317</v>
      </c>
      <c r="O69">
        <v>0.892641038130086</v>
      </c>
      <c r="P69" t="s">
        <v>1318</v>
      </c>
      <c r="Q69">
        <v>5.0431697069496396E-3</v>
      </c>
      <c r="R69" t="s">
        <v>1319</v>
      </c>
      <c r="S69">
        <v>1.4519698175929501</v>
      </c>
      <c r="T69" t="s">
        <v>1320</v>
      </c>
      <c r="U69">
        <v>-0.68224698803890105</v>
      </c>
      <c r="V69" t="s">
        <v>1321</v>
      </c>
      <c r="W69">
        <v>0.30757395253627801</v>
      </c>
      <c r="X69" t="s">
        <v>1322</v>
      </c>
      <c r="Y69" t="s">
        <v>1538</v>
      </c>
      <c r="Z69" t="s">
        <v>1539</v>
      </c>
    </row>
    <row r="70" spans="1:33" x14ac:dyDescent="0.3">
      <c r="A70" t="s">
        <v>1500</v>
      </c>
      <c r="B70" t="s">
        <v>1310</v>
      </c>
      <c r="C70">
        <v>0.4</v>
      </c>
      <c r="D70" t="s">
        <v>1311</v>
      </c>
      <c r="E70" t="s">
        <v>1312</v>
      </c>
      <c r="F70">
        <v>0.2</v>
      </c>
      <c r="G70" t="s">
        <v>1392</v>
      </c>
      <c r="H70" t="s">
        <v>1346</v>
      </c>
      <c r="I70" t="s">
        <v>1707</v>
      </c>
      <c r="J70" t="s">
        <v>1315</v>
      </c>
      <c r="K70">
        <v>136</v>
      </c>
      <c r="L70" t="s">
        <v>1316</v>
      </c>
      <c r="M70">
        <v>32</v>
      </c>
      <c r="N70" t="s">
        <v>1317</v>
      </c>
      <c r="O70">
        <v>0.484289904864802</v>
      </c>
      <c r="P70" t="s">
        <v>1318</v>
      </c>
      <c r="Q70">
        <v>3.5609551828294202E-3</v>
      </c>
      <c r="R70" t="s">
        <v>1319</v>
      </c>
      <c r="S70">
        <v>2.1178124999999999</v>
      </c>
      <c r="T70" t="s">
        <v>1320</v>
      </c>
      <c r="U70">
        <v>-0.64697798168399201</v>
      </c>
      <c r="V70" t="s">
        <v>1321</v>
      </c>
      <c r="W70">
        <v>0.264453615658304</v>
      </c>
      <c r="X70" t="s">
        <v>1322</v>
      </c>
      <c r="Y70" t="s">
        <v>1535</v>
      </c>
      <c r="Z70" t="s">
        <v>1506</v>
      </c>
      <c r="AA70">
        <v>0</v>
      </c>
      <c r="AB70" t="s">
        <v>1325</v>
      </c>
      <c r="AC70" t="s">
        <v>1326</v>
      </c>
      <c r="AD70" t="s">
        <v>1535</v>
      </c>
      <c r="AE70" t="s">
        <v>1506</v>
      </c>
      <c r="AF70">
        <v>0</v>
      </c>
      <c r="AG70" t="s">
        <v>1328</v>
      </c>
    </row>
    <row r="71" spans="1:33" x14ac:dyDescent="0.3">
      <c r="N71" s="10"/>
    </row>
    <row r="72" spans="1:33" x14ac:dyDescent="0.3">
      <c r="N72" s="10"/>
    </row>
    <row r="73" spans="1:33" x14ac:dyDescent="0.3">
      <c r="N73" s="10"/>
    </row>
    <row r="74" spans="1:33" x14ac:dyDescent="0.3">
      <c r="N74" s="10"/>
    </row>
    <row r="75" spans="1:33" x14ac:dyDescent="0.3">
      <c r="N75" s="10"/>
    </row>
    <row r="76" spans="1:33" x14ac:dyDescent="0.3">
      <c r="N76" s="10"/>
    </row>
    <row r="77" spans="1:33" x14ac:dyDescent="0.3">
      <c r="N77" s="10"/>
    </row>
    <row r="78" spans="1:33" x14ac:dyDescent="0.3">
      <c r="N78" s="10"/>
    </row>
    <row r="79" spans="1:33" x14ac:dyDescent="0.3">
      <c r="N79" s="10"/>
    </row>
    <row r="80" spans="1:33" x14ac:dyDescent="0.3">
      <c r="N80" s="10"/>
    </row>
    <row r="81" spans="14:14" x14ac:dyDescent="0.3">
      <c r="N81" s="10"/>
    </row>
    <row r="82" spans="14:14" x14ac:dyDescent="0.3">
      <c r="N82" s="10"/>
    </row>
    <row r="83" spans="14:14" x14ac:dyDescent="0.3">
      <c r="N83" s="10"/>
    </row>
    <row r="84" spans="14:14" x14ac:dyDescent="0.3">
      <c r="N84" s="10"/>
    </row>
    <row r="85" spans="14:14" x14ac:dyDescent="0.3">
      <c r="N85" s="10"/>
    </row>
    <row r="86" spans="14:14" x14ac:dyDescent="0.3">
      <c r="N86" s="10"/>
    </row>
    <row r="87" spans="14:14" x14ac:dyDescent="0.3">
      <c r="N87" s="10"/>
    </row>
    <row r="88" spans="14:14" x14ac:dyDescent="0.3">
      <c r="N88" s="10"/>
    </row>
    <row r="89" spans="14:14" x14ac:dyDescent="0.3">
      <c r="N89" s="10"/>
    </row>
    <row r="90" spans="14:14" x14ac:dyDescent="0.3">
      <c r="N90" s="10"/>
    </row>
    <row r="91" spans="14:14" x14ac:dyDescent="0.3">
      <c r="N91" s="10"/>
    </row>
    <row r="92" spans="14:14" x14ac:dyDescent="0.3">
      <c r="N92" s="10"/>
    </row>
    <row r="93" spans="14:14" x14ac:dyDescent="0.3">
      <c r="N93" s="10"/>
    </row>
    <row r="94" spans="14:14" x14ac:dyDescent="0.3">
      <c r="N94" s="10"/>
    </row>
    <row r="95" spans="14:14" x14ac:dyDescent="0.3">
      <c r="N95" s="10"/>
    </row>
    <row r="96" spans="14:14" x14ac:dyDescent="0.3">
      <c r="N96" s="10"/>
    </row>
    <row r="97" spans="14:18" x14ac:dyDescent="0.3">
      <c r="N97" s="10"/>
    </row>
    <row r="98" spans="14:18" x14ac:dyDescent="0.3">
      <c r="N98" s="10"/>
    </row>
    <row r="99" spans="14:18" x14ac:dyDescent="0.3">
      <c r="N99" s="10"/>
    </row>
    <row r="100" spans="14:18" x14ac:dyDescent="0.3">
      <c r="N100" s="10"/>
    </row>
    <row r="101" spans="14:18" x14ac:dyDescent="0.3">
      <c r="N101" s="10"/>
    </row>
    <row r="102" spans="14:18" x14ac:dyDescent="0.3">
      <c r="N102" s="10"/>
    </row>
    <row r="103" spans="14:18" x14ac:dyDescent="0.3">
      <c r="N103" s="10"/>
    </row>
    <row r="104" spans="14:18" x14ac:dyDescent="0.3">
      <c r="N104" s="10"/>
    </row>
    <row r="105" spans="14:18" x14ac:dyDescent="0.3">
      <c r="N105" s="10"/>
    </row>
    <row r="106" spans="14:18" x14ac:dyDescent="0.3">
      <c r="N106" s="10"/>
    </row>
    <row r="107" spans="14:18" x14ac:dyDescent="0.3">
      <c r="N107" s="10"/>
      <c r="R107" s="8"/>
    </row>
    <row r="108" spans="14:18" x14ac:dyDescent="0.3">
      <c r="N108" s="10"/>
    </row>
    <row r="109" spans="14:18" x14ac:dyDescent="0.3">
      <c r="N109" s="10"/>
    </row>
    <row r="110" spans="14:18" x14ac:dyDescent="0.3">
      <c r="N110" s="10"/>
    </row>
    <row r="111" spans="14:18" x14ac:dyDescent="0.3">
      <c r="N111" s="10"/>
    </row>
    <row r="112" spans="14:18" x14ac:dyDescent="0.3">
      <c r="N112" s="10"/>
    </row>
    <row r="113" spans="14:14" x14ac:dyDescent="0.3">
      <c r="N113" s="10"/>
    </row>
    <row r="114" spans="14:14" x14ac:dyDescent="0.3">
      <c r="N114" s="10"/>
    </row>
    <row r="115" spans="14:14" x14ac:dyDescent="0.3">
      <c r="N115" s="10"/>
    </row>
    <row r="116" spans="14:14" x14ac:dyDescent="0.3">
      <c r="N116" s="10"/>
    </row>
    <row r="117" spans="14:14" x14ac:dyDescent="0.3">
      <c r="N117" s="10"/>
    </row>
    <row r="118" spans="14:14" x14ac:dyDescent="0.3">
      <c r="N118" s="10"/>
    </row>
    <row r="119" spans="14:14" x14ac:dyDescent="0.3">
      <c r="N119" s="10"/>
    </row>
    <row r="120" spans="14:14" x14ac:dyDescent="0.3">
      <c r="N120" s="10"/>
    </row>
    <row r="121" spans="14:14" x14ac:dyDescent="0.3">
      <c r="N121" s="10"/>
    </row>
    <row r="122" spans="14:14" x14ac:dyDescent="0.3">
      <c r="N122" s="10"/>
    </row>
    <row r="123" spans="14:14" x14ac:dyDescent="0.3">
      <c r="N123" s="10"/>
    </row>
    <row r="124" spans="14:14" x14ac:dyDescent="0.3">
      <c r="N124" s="10"/>
    </row>
    <row r="125" spans="14:14" x14ac:dyDescent="0.3">
      <c r="N125" s="10"/>
    </row>
    <row r="126" spans="14:14" x14ac:dyDescent="0.3">
      <c r="N126" s="10"/>
    </row>
    <row r="127" spans="14:14" x14ac:dyDescent="0.3">
      <c r="N127" s="10"/>
    </row>
    <row r="128" spans="14:14" x14ac:dyDescent="0.3">
      <c r="N128" s="10"/>
    </row>
    <row r="129" spans="14:14" x14ac:dyDescent="0.3">
      <c r="N129" s="10"/>
    </row>
    <row r="130" spans="14:14" x14ac:dyDescent="0.3">
      <c r="N130" s="10"/>
    </row>
    <row r="131" spans="14:14" x14ac:dyDescent="0.3">
      <c r="N131" s="10"/>
    </row>
    <row r="132" spans="14:14" x14ac:dyDescent="0.3">
      <c r="N132" s="10"/>
    </row>
    <row r="133" spans="14:14" x14ac:dyDescent="0.3">
      <c r="N133" s="10"/>
    </row>
    <row r="134" spans="14:14" x14ac:dyDescent="0.3">
      <c r="N134" s="10"/>
    </row>
    <row r="135" spans="14:14" x14ac:dyDescent="0.3">
      <c r="N135" s="10"/>
    </row>
    <row r="136" spans="14:14" x14ac:dyDescent="0.3">
      <c r="N136" s="10"/>
    </row>
    <row r="137" spans="14:14" x14ac:dyDescent="0.3">
      <c r="N137" s="10"/>
    </row>
    <row r="138" spans="14:14" x14ac:dyDescent="0.3">
      <c r="N138" s="10"/>
    </row>
    <row r="139" spans="14:14" x14ac:dyDescent="0.3">
      <c r="N139" s="10"/>
    </row>
    <row r="140" spans="14:14" x14ac:dyDescent="0.3">
      <c r="N140" s="10"/>
    </row>
    <row r="141" spans="14:14" x14ac:dyDescent="0.3">
      <c r="N141" s="10"/>
    </row>
    <row r="142" spans="14:14" x14ac:dyDescent="0.3">
      <c r="N142" s="10"/>
    </row>
    <row r="143" spans="14:14" x14ac:dyDescent="0.3">
      <c r="N143" s="10"/>
    </row>
    <row r="144" spans="14:14" x14ac:dyDescent="0.3">
      <c r="N144" s="10"/>
    </row>
    <row r="145" spans="14:14" x14ac:dyDescent="0.3">
      <c r="N145" s="10"/>
    </row>
    <row r="146" spans="14:14" x14ac:dyDescent="0.3">
      <c r="N146" s="10"/>
    </row>
    <row r="147" spans="14:14" x14ac:dyDescent="0.3">
      <c r="N147" s="10"/>
    </row>
    <row r="148" spans="14:14" x14ac:dyDescent="0.3">
      <c r="N148" s="10"/>
    </row>
    <row r="149" spans="14:14" x14ac:dyDescent="0.3">
      <c r="N149" s="10"/>
    </row>
    <row r="150" spans="14:14" x14ac:dyDescent="0.3">
      <c r="N150" s="10"/>
    </row>
    <row r="151" spans="14:14" x14ac:dyDescent="0.3">
      <c r="N151" s="10"/>
    </row>
    <row r="152" spans="14:14" x14ac:dyDescent="0.3">
      <c r="N152" s="10"/>
    </row>
    <row r="153" spans="14:14" x14ac:dyDescent="0.3">
      <c r="N153" s="10"/>
    </row>
    <row r="154" spans="14:14" x14ac:dyDescent="0.3">
      <c r="N154" s="10"/>
    </row>
    <row r="155" spans="14:14" x14ac:dyDescent="0.3">
      <c r="N155" s="10"/>
    </row>
    <row r="156" spans="14:14" x14ac:dyDescent="0.3">
      <c r="N156" s="10"/>
    </row>
    <row r="157" spans="14:14" x14ac:dyDescent="0.3">
      <c r="N157" s="10"/>
    </row>
    <row r="158" spans="14:14" x14ac:dyDescent="0.3">
      <c r="N158" s="10"/>
    </row>
    <row r="159" spans="14:14" x14ac:dyDescent="0.3">
      <c r="N159" s="10"/>
    </row>
    <row r="160" spans="14:14" x14ac:dyDescent="0.3">
      <c r="N160" s="10"/>
    </row>
    <row r="161" spans="14:14" x14ac:dyDescent="0.3">
      <c r="N161" s="10"/>
    </row>
    <row r="162" spans="14:14" x14ac:dyDescent="0.3">
      <c r="N162" s="10"/>
    </row>
    <row r="163" spans="14:14" x14ac:dyDescent="0.3">
      <c r="N163" s="10"/>
    </row>
    <row r="164" spans="14:14" x14ac:dyDescent="0.3">
      <c r="N164" s="10"/>
    </row>
    <row r="165" spans="14:14" x14ac:dyDescent="0.3">
      <c r="N165" s="10"/>
    </row>
    <row r="166" spans="14:14" x14ac:dyDescent="0.3">
      <c r="N166" s="10"/>
    </row>
    <row r="167" spans="14:14" x14ac:dyDescent="0.3">
      <c r="N167" s="10"/>
    </row>
    <row r="168" spans="14:14" x14ac:dyDescent="0.3">
      <c r="N168" s="10"/>
    </row>
    <row r="169" spans="14:14" x14ac:dyDescent="0.3">
      <c r="N169" s="10"/>
    </row>
    <row r="170" spans="14:14" x14ac:dyDescent="0.3">
      <c r="N170" s="10"/>
    </row>
    <row r="171" spans="14:14" x14ac:dyDescent="0.3">
      <c r="N171" s="10"/>
    </row>
    <row r="172" spans="14:14" x14ac:dyDescent="0.3">
      <c r="N172" s="10"/>
    </row>
    <row r="173" spans="14:14" x14ac:dyDescent="0.3">
      <c r="N173" s="10"/>
    </row>
    <row r="174" spans="14:14" x14ac:dyDescent="0.3">
      <c r="N174" s="10"/>
    </row>
    <row r="175" spans="14:14" x14ac:dyDescent="0.3">
      <c r="N175" s="10"/>
    </row>
    <row r="176" spans="14:14" x14ac:dyDescent="0.3">
      <c r="N176" s="10"/>
    </row>
    <row r="177" spans="14:14" x14ac:dyDescent="0.3">
      <c r="N177" s="10"/>
    </row>
    <row r="178" spans="14:14" x14ac:dyDescent="0.3">
      <c r="N178" s="10"/>
    </row>
    <row r="179" spans="14:14" x14ac:dyDescent="0.3">
      <c r="N179" s="10"/>
    </row>
    <row r="180" spans="14:14" x14ac:dyDescent="0.3">
      <c r="N180" s="10"/>
    </row>
    <row r="181" spans="14:14" x14ac:dyDescent="0.3">
      <c r="N181" s="10"/>
    </row>
    <row r="182" spans="14:14" x14ac:dyDescent="0.3">
      <c r="N182" s="10"/>
    </row>
    <row r="183" spans="14:14" x14ac:dyDescent="0.3">
      <c r="N183" s="10"/>
    </row>
    <row r="184" spans="14:14" x14ac:dyDescent="0.3">
      <c r="N184" s="10"/>
    </row>
    <row r="185" spans="14:14" x14ac:dyDescent="0.3">
      <c r="N185" s="10"/>
    </row>
    <row r="186" spans="14:14" x14ac:dyDescent="0.3">
      <c r="N186" s="10"/>
    </row>
    <row r="187" spans="14:14" x14ac:dyDescent="0.3">
      <c r="N187" s="10"/>
    </row>
    <row r="188" spans="14:14" x14ac:dyDescent="0.3">
      <c r="N188" s="10"/>
    </row>
    <row r="189" spans="14:14" x14ac:dyDescent="0.3">
      <c r="N189" s="10"/>
    </row>
    <row r="190" spans="14:14" x14ac:dyDescent="0.3">
      <c r="N190" s="10"/>
    </row>
    <row r="191" spans="14:14" x14ac:dyDescent="0.3">
      <c r="N191" s="10"/>
    </row>
    <row r="192" spans="14:14" x14ac:dyDescent="0.3">
      <c r="N192" s="10"/>
    </row>
    <row r="193" spans="14:14" x14ac:dyDescent="0.3">
      <c r="N193" s="10"/>
    </row>
    <row r="194" spans="14:14" x14ac:dyDescent="0.3">
      <c r="N194" s="10"/>
    </row>
    <row r="195" spans="14:14" x14ac:dyDescent="0.3">
      <c r="N195" s="10"/>
    </row>
    <row r="196" spans="14:14" x14ac:dyDescent="0.3">
      <c r="N196" s="10"/>
    </row>
    <row r="197" spans="14:14" x14ac:dyDescent="0.3">
      <c r="N197" s="10"/>
    </row>
    <row r="198" spans="14:14" x14ac:dyDescent="0.3">
      <c r="N198" s="10"/>
    </row>
    <row r="199" spans="14:14" x14ac:dyDescent="0.3">
      <c r="N199" s="10"/>
    </row>
    <row r="200" spans="14:14" x14ac:dyDescent="0.3">
      <c r="N200" s="10"/>
    </row>
    <row r="201" spans="14:14" x14ac:dyDescent="0.3">
      <c r="N201" s="10"/>
    </row>
    <row r="202" spans="14:14" x14ac:dyDescent="0.3">
      <c r="N202" s="10"/>
    </row>
    <row r="203" spans="14:14" x14ac:dyDescent="0.3">
      <c r="N203" s="10"/>
    </row>
    <row r="204" spans="14:14" x14ac:dyDescent="0.3">
      <c r="N204" s="10"/>
    </row>
    <row r="205" spans="14:14" x14ac:dyDescent="0.3">
      <c r="N205" s="10"/>
    </row>
    <row r="206" spans="14:14" x14ac:dyDescent="0.3">
      <c r="N206" s="10"/>
    </row>
    <row r="207" spans="14:14" x14ac:dyDescent="0.3">
      <c r="N207" s="10"/>
    </row>
    <row r="208" spans="14:14" x14ac:dyDescent="0.3">
      <c r="N208" s="10"/>
    </row>
    <row r="209" spans="14:14" x14ac:dyDescent="0.3">
      <c r="N209" s="10"/>
    </row>
    <row r="210" spans="14:14" x14ac:dyDescent="0.3">
      <c r="N210" s="10"/>
    </row>
    <row r="211" spans="14:14" x14ac:dyDescent="0.3">
      <c r="N211" s="10"/>
    </row>
    <row r="212" spans="14:14" x14ac:dyDescent="0.3">
      <c r="N212" s="10"/>
    </row>
    <row r="213" spans="14:14" x14ac:dyDescent="0.3">
      <c r="N213" s="10"/>
    </row>
    <row r="214" spans="14:14" x14ac:dyDescent="0.3">
      <c r="N214" s="10"/>
    </row>
    <row r="215" spans="14:14" x14ac:dyDescent="0.3">
      <c r="N215" s="10"/>
    </row>
    <row r="216" spans="14:14" x14ac:dyDescent="0.3">
      <c r="N216" s="10"/>
    </row>
    <row r="217" spans="14:14" x14ac:dyDescent="0.3">
      <c r="N217" s="10"/>
    </row>
    <row r="218" spans="14:14" x14ac:dyDescent="0.3">
      <c r="N218" s="10"/>
    </row>
    <row r="219" spans="14:14" x14ac:dyDescent="0.3">
      <c r="N219" s="10"/>
    </row>
    <row r="220" spans="14:14" x14ac:dyDescent="0.3">
      <c r="N220" s="10"/>
    </row>
    <row r="221" spans="14:14" x14ac:dyDescent="0.3">
      <c r="N221" s="10"/>
    </row>
    <row r="222" spans="14:14" x14ac:dyDescent="0.3">
      <c r="N222" s="10"/>
    </row>
    <row r="223" spans="14:14" x14ac:dyDescent="0.3">
      <c r="N223" s="10"/>
    </row>
    <row r="224" spans="14:14" x14ac:dyDescent="0.3">
      <c r="N224" s="10"/>
    </row>
    <row r="225" spans="14:14" x14ac:dyDescent="0.3">
      <c r="N225" s="10"/>
    </row>
    <row r="226" spans="14:14" x14ac:dyDescent="0.3">
      <c r="N226" s="10"/>
    </row>
    <row r="227" spans="14:14" x14ac:dyDescent="0.3">
      <c r="N227" s="10"/>
    </row>
    <row r="228" spans="14:14" x14ac:dyDescent="0.3">
      <c r="N228" s="10"/>
    </row>
    <row r="229" spans="14:14" x14ac:dyDescent="0.3">
      <c r="N229" s="10"/>
    </row>
    <row r="230" spans="14:14" x14ac:dyDescent="0.3">
      <c r="N230" s="10"/>
    </row>
    <row r="231" spans="14:14" x14ac:dyDescent="0.3">
      <c r="N231" s="10"/>
    </row>
    <row r="232" spans="14:14" x14ac:dyDescent="0.3">
      <c r="N232" s="10"/>
    </row>
    <row r="233" spans="14:14" x14ac:dyDescent="0.3">
      <c r="N233" s="10"/>
    </row>
    <row r="234" spans="14:14" x14ac:dyDescent="0.3">
      <c r="N234" s="10"/>
    </row>
    <row r="235" spans="14:14" x14ac:dyDescent="0.3">
      <c r="N235" s="10"/>
    </row>
    <row r="236" spans="14:14" x14ac:dyDescent="0.3">
      <c r="N236" s="10"/>
    </row>
    <row r="237" spans="14:14" x14ac:dyDescent="0.3">
      <c r="N237" s="10"/>
    </row>
    <row r="238" spans="14:14" x14ac:dyDescent="0.3">
      <c r="N238" s="10"/>
    </row>
    <row r="239" spans="14:14" x14ac:dyDescent="0.3">
      <c r="N239" s="10"/>
    </row>
    <row r="240" spans="14:14" x14ac:dyDescent="0.3">
      <c r="N240" s="10"/>
    </row>
    <row r="241" spans="14:14" x14ac:dyDescent="0.3">
      <c r="N241" s="10"/>
    </row>
    <row r="242" spans="14:14" x14ac:dyDescent="0.3">
      <c r="N242" s="10"/>
    </row>
    <row r="243" spans="14:14" x14ac:dyDescent="0.3">
      <c r="N243" s="10"/>
    </row>
    <row r="244" spans="14:14" x14ac:dyDescent="0.3">
      <c r="N244" s="10"/>
    </row>
    <row r="245" spans="14:14" x14ac:dyDescent="0.3">
      <c r="N245" s="10"/>
    </row>
    <row r="246" spans="14:14" x14ac:dyDescent="0.3">
      <c r="N246" s="10"/>
    </row>
    <row r="247" spans="14:14" x14ac:dyDescent="0.3">
      <c r="N247" s="10"/>
    </row>
    <row r="248" spans="14:14" x14ac:dyDescent="0.3">
      <c r="N248" s="10"/>
    </row>
    <row r="249" spans="14:14" x14ac:dyDescent="0.3">
      <c r="N249" s="10"/>
    </row>
    <row r="250" spans="14:14" x14ac:dyDescent="0.3">
      <c r="N250" s="10"/>
    </row>
    <row r="251" spans="14:14" x14ac:dyDescent="0.3">
      <c r="N251" s="10"/>
    </row>
    <row r="252" spans="14:14" x14ac:dyDescent="0.3">
      <c r="N252" s="10"/>
    </row>
    <row r="253" spans="14:14" x14ac:dyDescent="0.3">
      <c r="N253" s="10"/>
    </row>
    <row r="254" spans="14:14" x14ac:dyDescent="0.3">
      <c r="N254" s="10"/>
    </row>
    <row r="255" spans="14:14" x14ac:dyDescent="0.3">
      <c r="N255" s="10"/>
    </row>
    <row r="256" spans="14:14" x14ac:dyDescent="0.3">
      <c r="N256" s="10"/>
    </row>
    <row r="257" spans="14:14" x14ac:dyDescent="0.3">
      <c r="N257" s="10"/>
    </row>
    <row r="258" spans="14:14" x14ac:dyDescent="0.3">
      <c r="N258" s="10"/>
    </row>
    <row r="259" spans="14:14" x14ac:dyDescent="0.3">
      <c r="N259" s="10"/>
    </row>
    <row r="260" spans="14:14" x14ac:dyDescent="0.3">
      <c r="N260" s="10"/>
    </row>
    <row r="261" spans="14:14" x14ac:dyDescent="0.3">
      <c r="N261" s="10"/>
    </row>
    <row r="262" spans="14:14" x14ac:dyDescent="0.3">
      <c r="N262" s="10"/>
    </row>
    <row r="263" spans="14:14" x14ac:dyDescent="0.3">
      <c r="N263" s="10"/>
    </row>
    <row r="264" spans="14:14" x14ac:dyDescent="0.3">
      <c r="N264" s="10"/>
    </row>
    <row r="265" spans="14:14" x14ac:dyDescent="0.3">
      <c r="N265" s="10"/>
    </row>
    <row r="266" spans="14:14" x14ac:dyDescent="0.3">
      <c r="N266" s="10"/>
    </row>
    <row r="267" spans="14:14" x14ac:dyDescent="0.3">
      <c r="N267" s="10"/>
    </row>
    <row r="268" spans="14:14" x14ac:dyDescent="0.3">
      <c r="N268" s="10"/>
    </row>
    <row r="269" spans="14:14" x14ac:dyDescent="0.3">
      <c r="N269" s="10"/>
    </row>
    <row r="270" spans="14:14" x14ac:dyDescent="0.3">
      <c r="N270" s="10"/>
    </row>
    <row r="271" spans="14:14" x14ac:dyDescent="0.3">
      <c r="N271" s="10"/>
    </row>
    <row r="272" spans="14:14" x14ac:dyDescent="0.3">
      <c r="N272" s="10"/>
    </row>
    <row r="273" spans="14:14" x14ac:dyDescent="0.3">
      <c r="N273" s="10"/>
    </row>
    <row r="274" spans="14:14" x14ac:dyDescent="0.3">
      <c r="N274" s="10"/>
    </row>
    <row r="275" spans="14:14" x14ac:dyDescent="0.3">
      <c r="N275" s="10"/>
    </row>
    <row r="276" spans="14:14" x14ac:dyDescent="0.3">
      <c r="N276" s="10"/>
    </row>
    <row r="277" spans="14:14" x14ac:dyDescent="0.3">
      <c r="N277" s="10"/>
    </row>
    <row r="278" spans="14:14" x14ac:dyDescent="0.3">
      <c r="N278" s="10"/>
    </row>
    <row r="279" spans="14:14" x14ac:dyDescent="0.3">
      <c r="N279" s="10"/>
    </row>
    <row r="280" spans="14:14" x14ac:dyDescent="0.3">
      <c r="N280" s="10"/>
    </row>
    <row r="281" spans="14:14" x14ac:dyDescent="0.3">
      <c r="N281" s="10"/>
    </row>
    <row r="282" spans="14:14" x14ac:dyDescent="0.3">
      <c r="N282" s="10"/>
    </row>
    <row r="283" spans="14:14" x14ac:dyDescent="0.3">
      <c r="N283" s="10"/>
    </row>
    <row r="284" spans="14:14" x14ac:dyDescent="0.3">
      <c r="N284" s="10"/>
    </row>
    <row r="285" spans="14:14" x14ac:dyDescent="0.3">
      <c r="N285" s="10"/>
    </row>
    <row r="286" spans="14:14" x14ac:dyDescent="0.3">
      <c r="N286" s="10"/>
    </row>
    <row r="287" spans="14:14" x14ac:dyDescent="0.3">
      <c r="N287" s="10"/>
    </row>
    <row r="288" spans="14:14" x14ac:dyDescent="0.3">
      <c r="N288" s="10"/>
    </row>
    <row r="289" spans="14:14" x14ac:dyDescent="0.3">
      <c r="N289" s="10"/>
    </row>
    <row r="290" spans="14:14" x14ac:dyDescent="0.3">
      <c r="N290" s="10"/>
    </row>
    <row r="291" spans="14:14" x14ac:dyDescent="0.3">
      <c r="N291" s="10"/>
    </row>
    <row r="292" spans="14:14" x14ac:dyDescent="0.3">
      <c r="N292" s="10"/>
    </row>
    <row r="293" spans="14:14" x14ac:dyDescent="0.3">
      <c r="N293" s="10"/>
    </row>
    <row r="294" spans="14:14" x14ac:dyDescent="0.3">
      <c r="N294" s="10"/>
    </row>
    <row r="295" spans="14:14" x14ac:dyDescent="0.3">
      <c r="N295" s="10"/>
    </row>
    <row r="296" spans="14:14" x14ac:dyDescent="0.3">
      <c r="N296" s="10"/>
    </row>
    <row r="297" spans="14:14" x14ac:dyDescent="0.3">
      <c r="N297" s="10"/>
    </row>
    <row r="298" spans="14:14" x14ac:dyDescent="0.3">
      <c r="N298" s="10"/>
    </row>
    <row r="299" spans="14:14" x14ac:dyDescent="0.3">
      <c r="N299" s="10"/>
    </row>
    <row r="300" spans="14:14" x14ac:dyDescent="0.3">
      <c r="N300" s="10"/>
    </row>
    <row r="301" spans="14:14" x14ac:dyDescent="0.3">
      <c r="N301" s="10"/>
    </row>
    <row r="302" spans="14:14" x14ac:dyDescent="0.3">
      <c r="N302" s="10"/>
    </row>
    <row r="303" spans="14:14" x14ac:dyDescent="0.3">
      <c r="N303" s="10"/>
    </row>
    <row r="304" spans="14:14" x14ac:dyDescent="0.3">
      <c r="N304" s="10"/>
    </row>
    <row r="305" spans="14:14" x14ac:dyDescent="0.3">
      <c r="N305" s="10"/>
    </row>
    <row r="306" spans="14:14" x14ac:dyDescent="0.3">
      <c r="N306" s="10"/>
    </row>
    <row r="307" spans="14:14" x14ac:dyDescent="0.3">
      <c r="N307" s="10"/>
    </row>
    <row r="308" spans="14:14" x14ac:dyDescent="0.3">
      <c r="N308" s="10"/>
    </row>
    <row r="309" spans="14:14" x14ac:dyDescent="0.3">
      <c r="N309" s="10"/>
    </row>
    <row r="310" spans="14:14" x14ac:dyDescent="0.3">
      <c r="N310" s="10"/>
    </row>
    <row r="311" spans="14:14" x14ac:dyDescent="0.3">
      <c r="N311" s="10"/>
    </row>
    <row r="312" spans="14:14" x14ac:dyDescent="0.3">
      <c r="N312" s="10"/>
    </row>
    <row r="313" spans="14:14" x14ac:dyDescent="0.3">
      <c r="N313" s="10"/>
    </row>
    <row r="314" spans="14:14" x14ac:dyDescent="0.3">
      <c r="N314" s="10"/>
    </row>
    <row r="315" spans="14:14" x14ac:dyDescent="0.3">
      <c r="N315" s="10"/>
    </row>
    <row r="316" spans="14:14" x14ac:dyDescent="0.3">
      <c r="N316" s="10"/>
    </row>
    <row r="317" spans="14:14" x14ac:dyDescent="0.3">
      <c r="N317" s="10"/>
    </row>
    <row r="318" spans="14:14" x14ac:dyDescent="0.3">
      <c r="N318" s="10"/>
    </row>
    <row r="319" spans="14:14" x14ac:dyDescent="0.3">
      <c r="N319" s="10"/>
    </row>
    <row r="320" spans="14:14" x14ac:dyDescent="0.3">
      <c r="N320" s="10"/>
    </row>
    <row r="321" spans="14:14" x14ac:dyDescent="0.3">
      <c r="N321" s="10"/>
    </row>
    <row r="322" spans="14:14" x14ac:dyDescent="0.3">
      <c r="N322" s="10"/>
    </row>
    <row r="323" spans="14:14" x14ac:dyDescent="0.3">
      <c r="N323" s="10"/>
    </row>
    <row r="324" spans="14:14" x14ac:dyDescent="0.3">
      <c r="N324" s="10"/>
    </row>
    <row r="325" spans="14:14" x14ac:dyDescent="0.3">
      <c r="N325" s="10"/>
    </row>
    <row r="326" spans="14:14" x14ac:dyDescent="0.3">
      <c r="N326" s="10"/>
    </row>
    <row r="327" spans="14:14" x14ac:dyDescent="0.3">
      <c r="N327" s="10"/>
    </row>
    <row r="328" spans="14:14" x14ac:dyDescent="0.3">
      <c r="N328" s="10"/>
    </row>
    <row r="329" spans="14:14" x14ac:dyDescent="0.3">
      <c r="N329" s="10"/>
    </row>
    <row r="330" spans="14:14" x14ac:dyDescent="0.3">
      <c r="N330" s="10"/>
    </row>
    <row r="331" spans="14:14" x14ac:dyDescent="0.3">
      <c r="N331" s="10"/>
    </row>
    <row r="332" spans="14:14" x14ac:dyDescent="0.3">
      <c r="N332" s="10"/>
    </row>
    <row r="333" spans="14:14" x14ac:dyDescent="0.3">
      <c r="N333" s="10"/>
    </row>
    <row r="334" spans="14:14" x14ac:dyDescent="0.3">
      <c r="N334" s="10"/>
    </row>
    <row r="335" spans="14:14" x14ac:dyDescent="0.3">
      <c r="N335" s="10"/>
    </row>
    <row r="336" spans="14:14" x14ac:dyDescent="0.3">
      <c r="N336" s="10"/>
    </row>
    <row r="337" spans="14:14" x14ac:dyDescent="0.3">
      <c r="N337" s="10"/>
    </row>
    <row r="338" spans="14:14" x14ac:dyDescent="0.3">
      <c r="N338" s="10"/>
    </row>
    <row r="339" spans="14:14" x14ac:dyDescent="0.3">
      <c r="N339" s="10"/>
    </row>
    <row r="340" spans="14:14" x14ac:dyDescent="0.3">
      <c r="N340" s="10"/>
    </row>
    <row r="341" spans="14:14" x14ac:dyDescent="0.3">
      <c r="N341" s="10"/>
    </row>
    <row r="342" spans="14:14" x14ac:dyDescent="0.3">
      <c r="N342" s="10"/>
    </row>
    <row r="343" spans="14:14" x14ac:dyDescent="0.3">
      <c r="N343" s="10"/>
    </row>
    <row r="344" spans="14:14" x14ac:dyDescent="0.3">
      <c r="N344" s="10"/>
    </row>
    <row r="345" spans="14:14" x14ac:dyDescent="0.3">
      <c r="N345" s="10"/>
    </row>
    <row r="346" spans="14:14" x14ac:dyDescent="0.3">
      <c r="N346" s="10"/>
    </row>
    <row r="347" spans="14:14" x14ac:dyDescent="0.3">
      <c r="N347" s="10"/>
    </row>
    <row r="348" spans="14:14" x14ac:dyDescent="0.3">
      <c r="N348" s="10"/>
    </row>
    <row r="349" spans="14:14" x14ac:dyDescent="0.3">
      <c r="N349" s="10"/>
    </row>
    <row r="350" spans="14:14" x14ac:dyDescent="0.3">
      <c r="N350" s="10"/>
    </row>
    <row r="351" spans="14:14" x14ac:dyDescent="0.3">
      <c r="N351" s="10"/>
    </row>
    <row r="352" spans="14:14" x14ac:dyDescent="0.3">
      <c r="N352" s="10"/>
    </row>
    <row r="353" spans="14:14" x14ac:dyDescent="0.3">
      <c r="N353" s="10"/>
    </row>
    <row r="354" spans="14:14" x14ac:dyDescent="0.3">
      <c r="N354" s="10"/>
    </row>
    <row r="355" spans="14:14" x14ac:dyDescent="0.3">
      <c r="N355" s="10"/>
    </row>
    <row r="356" spans="14:14" x14ac:dyDescent="0.3">
      <c r="N356" s="10"/>
    </row>
    <row r="357" spans="14:14" x14ac:dyDescent="0.3">
      <c r="N357" s="10"/>
    </row>
    <row r="358" spans="14:14" x14ac:dyDescent="0.3">
      <c r="N358" s="10"/>
    </row>
    <row r="359" spans="14:14" x14ac:dyDescent="0.3">
      <c r="N359" s="10"/>
    </row>
    <row r="360" spans="14:14" x14ac:dyDescent="0.3">
      <c r="N360" s="10"/>
    </row>
    <row r="361" spans="14:14" x14ac:dyDescent="0.3">
      <c r="N361" s="10"/>
    </row>
    <row r="362" spans="14:14" x14ac:dyDescent="0.3">
      <c r="N362" s="10"/>
    </row>
    <row r="363" spans="14:14" x14ac:dyDescent="0.3">
      <c r="N363" s="10"/>
    </row>
    <row r="364" spans="14:14" x14ac:dyDescent="0.3">
      <c r="N364" s="10"/>
    </row>
    <row r="365" spans="14:14" x14ac:dyDescent="0.3">
      <c r="N365" s="10"/>
    </row>
    <row r="366" spans="14:14" x14ac:dyDescent="0.3">
      <c r="N366" s="10"/>
    </row>
    <row r="367" spans="14:14" x14ac:dyDescent="0.3">
      <c r="N367" s="10"/>
    </row>
    <row r="368" spans="14:14" x14ac:dyDescent="0.3">
      <c r="N368" s="10"/>
    </row>
    <row r="369" spans="14:14" x14ac:dyDescent="0.3">
      <c r="N369" s="10"/>
    </row>
    <row r="370" spans="14:14" x14ac:dyDescent="0.3">
      <c r="N370" s="10"/>
    </row>
    <row r="371" spans="14:14" x14ac:dyDescent="0.3">
      <c r="N371" s="10"/>
    </row>
    <row r="372" spans="14:14" x14ac:dyDescent="0.3">
      <c r="N372" s="10"/>
    </row>
    <row r="373" spans="14:14" x14ac:dyDescent="0.3">
      <c r="N373" s="10"/>
    </row>
    <row r="374" spans="14:14" x14ac:dyDescent="0.3">
      <c r="N374" s="10"/>
    </row>
    <row r="375" spans="14:14" x14ac:dyDescent="0.3">
      <c r="N375" s="10"/>
    </row>
    <row r="376" spans="14:14" x14ac:dyDescent="0.3">
      <c r="N376" s="10"/>
    </row>
    <row r="377" spans="14:14" x14ac:dyDescent="0.3">
      <c r="N377" s="10"/>
    </row>
    <row r="378" spans="14:14" x14ac:dyDescent="0.3">
      <c r="N378" s="10"/>
    </row>
    <row r="379" spans="14:14" x14ac:dyDescent="0.3">
      <c r="N379" s="10"/>
    </row>
    <row r="380" spans="14:14" x14ac:dyDescent="0.3">
      <c r="N380" s="10"/>
    </row>
    <row r="381" spans="14:14" x14ac:dyDescent="0.3">
      <c r="N381" s="10"/>
    </row>
    <row r="382" spans="14:14" x14ac:dyDescent="0.3">
      <c r="N382" s="10"/>
    </row>
    <row r="383" spans="14:14" x14ac:dyDescent="0.3">
      <c r="N383" s="10"/>
    </row>
    <row r="384" spans="14:14" x14ac:dyDescent="0.3">
      <c r="N384" s="10"/>
    </row>
    <row r="385" spans="1:14" x14ac:dyDescent="0.3">
      <c r="N385" s="10"/>
    </row>
    <row r="386" spans="1:14" x14ac:dyDescent="0.3">
      <c r="N386" s="10"/>
    </row>
    <row r="387" spans="1:14" x14ac:dyDescent="0.3">
      <c r="N387" s="10"/>
    </row>
    <row r="388" spans="1:14" x14ac:dyDescent="0.3">
      <c r="N388" s="10"/>
    </row>
    <row r="389" spans="1:14" x14ac:dyDescent="0.3">
      <c r="N389" s="10"/>
    </row>
    <row r="390" spans="1:14" x14ac:dyDescent="0.3">
      <c r="A390" t="s">
        <v>1303</v>
      </c>
      <c r="N390" s="10" t="e">
        <f t="shared" ref="N390" si="0">M390/K390</f>
        <v>#DIV/0!</v>
      </c>
    </row>
    <row r="391" spans="1:14" x14ac:dyDescent="0.3">
      <c r="A391" t="s">
        <v>1376</v>
      </c>
      <c r="B391" t="s">
        <v>1377</v>
      </c>
      <c r="C391" t="s">
        <v>1378</v>
      </c>
      <c r="D391" t="s">
        <v>1379</v>
      </c>
      <c r="E391" t="s">
        <v>1326</v>
      </c>
      <c r="F391" t="s">
        <v>1380</v>
      </c>
      <c r="G391" t="s">
        <v>1331</v>
      </c>
      <c r="H391">
        <v>0</v>
      </c>
      <c r="J391" t="s">
        <v>1328</v>
      </c>
    </row>
    <row r="392" spans="1:14" x14ac:dyDescent="0.3">
      <c r="A392" t="s">
        <v>1303</v>
      </c>
    </row>
    <row r="393" spans="1:14" x14ac:dyDescent="0.3">
      <c r="A393" t="s">
        <v>1376</v>
      </c>
      <c r="B393" t="s">
        <v>1377</v>
      </c>
      <c r="C393" t="s">
        <v>1378</v>
      </c>
      <c r="D393" t="s">
        <v>1379</v>
      </c>
      <c r="E393" t="s">
        <v>1326</v>
      </c>
      <c r="F393" t="s">
        <v>1380</v>
      </c>
      <c r="G393" t="s">
        <v>1331</v>
      </c>
      <c r="H393">
        <v>0</v>
      </c>
      <c r="J393" t="s">
        <v>1328</v>
      </c>
    </row>
    <row r="394" spans="1:14" x14ac:dyDescent="0.3">
      <c r="A394" t="s">
        <v>1303</v>
      </c>
    </row>
    <row r="395" spans="1:14" x14ac:dyDescent="0.3">
      <c r="A395" t="s">
        <v>1376</v>
      </c>
      <c r="B395" t="s">
        <v>1377</v>
      </c>
      <c r="C395" t="s">
        <v>1378</v>
      </c>
      <c r="D395" t="s">
        <v>1379</v>
      </c>
      <c r="E395" t="s">
        <v>1326</v>
      </c>
      <c r="F395" t="s">
        <v>1380</v>
      </c>
      <c r="G395" t="s">
        <v>1331</v>
      </c>
      <c r="H395">
        <v>0</v>
      </c>
      <c r="J395" t="s">
        <v>1328</v>
      </c>
    </row>
    <row r="396" spans="1:14" x14ac:dyDescent="0.3">
      <c r="A396" t="s">
        <v>1303</v>
      </c>
    </row>
    <row r="397" spans="1:14" x14ac:dyDescent="0.3">
      <c r="A397" t="s">
        <v>1376</v>
      </c>
      <c r="B397" t="s">
        <v>1377</v>
      </c>
      <c r="C397" t="s">
        <v>1378</v>
      </c>
      <c r="D397" t="s">
        <v>1379</v>
      </c>
      <c r="E397" t="s">
        <v>1326</v>
      </c>
      <c r="F397" t="s">
        <v>1380</v>
      </c>
      <c r="G397" t="s">
        <v>1331</v>
      </c>
      <c r="H397">
        <v>0</v>
      </c>
      <c r="J397" t="s">
        <v>1328</v>
      </c>
    </row>
    <row r="398" spans="1:14" x14ac:dyDescent="0.3">
      <c r="A398" t="s">
        <v>1304</v>
      </c>
    </row>
    <row r="399" spans="1:14" x14ac:dyDescent="0.3">
      <c r="A399" t="s">
        <v>1376</v>
      </c>
      <c r="B399" t="s">
        <v>1377</v>
      </c>
      <c r="C399" t="s">
        <v>1378</v>
      </c>
      <c r="D399" t="s">
        <v>1379</v>
      </c>
      <c r="E399" t="s">
        <v>1326</v>
      </c>
      <c r="F399" t="s">
        <v>1448</v>
      </c>
      <c r="G399" t="s">
        <v>1449</v>
      </c>
      <c r="H399">
        <v>0</v>
      </c>
      <c r="J399" t="s">
        <v>1328</v>
      </c>
    </row>
    <row r="400" spans="1:14" x14ac:dyDescent="0.3">
      <c r="A400" t="s">
        <v>1304</v>
      </c>
    </row>
    <row r="401" spans="1:10" x14ac:dyDescent="0.3">
      <c r="A401" t="s">
        <v>1376</v>
      </c>
      <c r="B401" t="s">
        <v>1377</v>
      </c>
      <c r="C401" t="s">
        <v>1378</v>
      </c>
      <c r="D401" t="s">
        <v>1379</v>
      </c>
      <c r="E401" t="s">
        <v>1326</v>
      </c>
      <c r="F401" t="s">
        <v>1450</v>
      </c>
      <c r="G401" t="s">
        <v>1427</v>
      </c>
      <c r="H401">
        <v>0</v>
      </c>
      <c r="J401" t="s">
        <v>1328</v>
      </c>
    </row>
    <row r="402" spans="1:10" x14ac:dyDescent="0.3">
      <c r="A402" t="s">
        <v>1304</v>
      </c>
    </row>
    <row r="403" spans="1:10" x14ac:dyDescent="0.3">
      <c r="A403" t="s">
        <v>1376</v>
      </c>
      <c r="B403" t="s">
        <v>1377</v>
      </c>
      <c r="C403" t="s">
        <v>1378</v>
      </c>
      <c r="D403" t="s">
        <v>1379</v>
      </c>
      <c r="E403" t="s">
        <v>1326</v>
      </c>
      <c r="F403" t="s">
        <v>1451</v>
      </c>
      <c r="G403" t="s">
        <v>1427</v>
      </c>
      <c r="H403">
        <v>0</v>
      </c>
      <c r="J403" t="s">
        <v>1328</v>
      </c>
    </row>
    <row r="404" spans="1:10" x14ac:dyDescent="0.3">
      <c r="A404" t="s">
        <v>1304</v>
      </c>
    </row>
    <row r="405" spans="1:10" x14ac:dyDescent="0.3">
      <c r="A405" t="s">
        <v>1376</v>
      </c>
      <c r="B405" t="s">
        <v>1377</v>
      </c>
      <c r="C405" t="s">
        <v>1378</v>
      </c>
      <c r="D405" t="s">
        <v>1379</v>
      </c>
      <c r="E405" t="s">
        <v>1326</v>
      </c>
      <c r="F405" t="s">
        <v>1452</v>
      </c>
      <c r="G405" t="s">
        <v>1453</v>
      </c>
      <c r="H405">
        <v>0</v>
      </c>
      <c r="J405" t="s">
        <v>1328</v>
      </c>
    </row>
    <row r="406" spans="1:10" x14ac:dyDescent="0.3">
      <c r="A406" t="s">
        <v>1304</v>
      </c>
    </row>
    <row r="407" spans="1:10" x14ac:dyDescent="0.3">
      <c r="A407" t="s">
        <v>1376</v>
      </c>
      <c r="B407" t="s">
        <v>1377</v>
      </c>
      <c r="C407" t="s">
        <v>1378</v>
      </c>
      <c r="D407" t="s">
        <v>1379</v>
      </c>
      <c r="E407" t="s">
        <v>1326</v>
      </c>
      <c r="F407" t="s">
        <v>1454</v>
      </c>
      <c r="G407" t="s">
        <v>1399</v>
      </c>
      <c r="H407">
        <v>0</v>
      </c>
      <c r="J407" t="s">
        <v>1328</v>
      </c>
    </row>
    <row r="408" spans="1:10" x14ac:dyDescent="0.3">
      <c r="A408" t="s">
        <v>1305</v>
      </c>
    </row>
    <row r="409" spans="1:10" x14ac:dyDescent="0.3">
      <c r="A409" t="s">
        <v>1376</v>
      </c>
      <c r="B409" t="s">
        <v>1377</v>
      </c>
      <c r="C409" t="s">
        <v>1378</v>
      </c>
      <c r="D409" t="s">
        <v>1379</v>
      </c>
      <c r="E409" t="s">
        <v>1326</v>
      </c>
      <c r="F409" t="s">
        <v>1511</v>
      </c>
      <c r="G409" t="s">
        <v>1513</v>
      </c>
      <c r="H409">
        <v>0</v>
      </c>
      <c r="J409" t="s">
        <v>1328</v>
      </c>
    </row>
    <row r="410" spans="1:10" x14ac:dyDescent="0.3">
      <c r="A410" t="s">
        <v>1306</v>
      </c>
    </row>
    <row r="411" spans="1:10" x14ac:dyDescent="0.3">
      <c r="A411" t="s">
        <v>1376</v>
      </c>
      <c r="B411" t="s">
        <v>1377</v>
      </c>
      <c r="C411" t="s">
        <v>1378</v>
      </c>
      <c r="D411" t="s">
        <v>1379</v>
      </c>
      <c r="E411" t="s">
        <v>1326</v>
      </c>
      <c r="F411" t="s">
        <v>1525</v>
      </c>
      <c r="G411" t="s">
        <v>1527</v>
      </c>
      <c r="H411">
        <v>0</v>
      </c>
      <c r="J411" t="s">
        <v>1328</v>
      </c>
    </row>
    <row r="412" spans="1:10" x14ac:dyDescent="0.3">
      <c r="A412" t="s">
        <v>1306</v>
      </c>
    </row>
    <row r="413" spans="1:10" x14ac:dyDescent="0.3">
      <c r="A413" t="s">
        <v>1376</v>
      </c>
      <c r="B413" t="s">
        <v>1377</v>
      </c>
      <c r="C413" t="s">
        <v>1378</v>
      </c>
      <c r="D413" t="s">
        <v>1379</v>
      </c>
      <c r="E413" t="s">
        <v>1326</v>
      </c>
      <c r="F413" t="s">
        <v>1538</v>
      </c>
      <c r="G413" t="s">
        <v>1527</v>
      </c>
      <c r="H413">
        <v>0</v>
      </c>
      <c r="J413" t="s">
        <v>1328</v>
      </c>
    </row>
    <row r="414" spans="1:10" x14ac:dyDescent="0.3">
      <c r="A414" t="s">
        <v>1306</v>
      </c>
    </row>
    <row r="415" spans="1:10" x14ac:dyDescent="0.3">
      <c r="A415" t="s">
        <v>1376</v>
      </c>
      <c r="B415" t="s">
        <v>1377</v>
      </c>
      <c r="C415" t="s">
        <v>1378</v>
      </c>
      <c r="D415" t="s">
        <v>1379</v>
      </c>
      <c r="E415" t="s">
        <v>1326</v>
      </c>
      <c r="F415" t="s">
        <v>1538</v>
      </c>
      <c r="G415" t="s">
        <v>1527</v>
      </c>
      <c r="H415">
        <v>0</v>
      </c>
      <c r="J415" t="s">
        <v>1328</v>
      </c>
    </row>
    <row r="416" spans="1:10" x14ac:dyDescent="0.3">
      <c r="A416" t="s">
        <v>1306</v>
      </c>
    </row>
    <row r="417" spans="1:10" x14ac:dyDescent="0.3">
      <c r="A417" t="s">
        <v>1376</v>
      </c>
      <c r="B417" t="s">
        <v>1377</v>
      </c>
      <c r="C417" t="s">
        <v>1378</v>
      </c>
      <c r="D417" t="s">
        <v>1379</v>
      </c>
      <c r="E417" t="s">
        <v>1326</v>
      </c>
      <c r="F417" t="s">
        <v>1538</v>
      </c>
      <c r="G417" t="s">
        <v>1527</v>
      </c>
      <c r="H417">
        <v>0</v>
      </c>
      <c r="J417" t="s">
        <v>1328</v>
      </c>
    </row>
    <row r="418" spans="1:10" x14ac:dyDescent="0.3">
      <c r="A418" t="s">
        <v>1306</v>
      </c>
    </row>
    <row r="419" spans="1:10" x14ac:dyDescent="0.3">
      <c r="A419" t="s">
        <v>1376</v>
      </c>
      <c r="B419" t="s">
        <v>1377</v>
      </c>
      <c r="C419" t="s">
        <v>1378</v>
      </c>
      <c r="D419" t="s">
        <v>1379</v>
      </c>
      <c r="E419" t="s">
        <v>1326</v>
      </c>
      <c r="F419" t="s">
        <v>1538</v>
      </c>
      <c r="G419" t="s">
        <v>1527</v>
      </c>
      <c r="H419">
        <v>0</v>
      </c>
      <c r="J419" t="s">
        <v>1328</v>
      </c>
    </row>
    <row r="420" spans="1:10" x14ac:dyDescent="0.3">
      <c r="A420" t="s">
        <v>1307</v>
      </c>
    </row>
    <row r="421" spans="1:10" x14ac:dyDescent="0.3">
      <c r="A421" t="s">
        <v>1376</v>
      </c>
      <c r="B421" t="s">
        <v>1377</v>
      </c>
      <c r="C421" t="s">
        <v>1378</v>
      </c>
      <c r="D421" t="s">
        <v>1379</v>
      </c>
      <c r="E421" t="s">
        <v>1326</v>
      </c>
      <c r="F421" t="s">
        <v>1590</v>
      </c>
      <c r="G421" t="s">
        <v>1534</v>
      </c>
      <c r="H421">
        <v>0</v>
      </c>
      <c r="J421" t="s">
        <v>1328</v>
      </c>
    </row>
    <row r="422" spans="1:10" x14ac:dyDescent="0.3">
      <c r="A422" t="s">
        <v>1307</v>
      </c>
    </row>
    <row r="423" spans="1:10" x14ac:dyDescent="0.3">
      <c r="A423" t="s">
        <v>1376</v>
      </c>
      <c r="B423" t="s">
        <v>1377</v>
      </c>
      <c r="C423" t="s">
        <v>1378</v>
      </c>
      <c r="D423" t="s">
        <v>1379</v>
      </c>
      <c r="E423" t="s">
        <v>1326</v>
      </c>
      <c r="F423" t="s">
        <v>1590</v>
      </c>
      <c r="G423" t="s">
        <v>1534</v>
      </c>
      <c r="H423">
        <v>0</v>
      </c>
      <c r="J423" t="s">
        <v>1328</v>
      </c>
    </row>
    <row r="424" spans="1:10" x14ac:dyDescent="0.3">
      <c r="A424" t="s">
        <v>1308</v>
      </c>
    </row>
    <row r="425" spans="1:10" x14ac:dyDescent="0.3">
      <c r="A425" t="s">
        <v>1376</v>
      </c>
      <c r="B425" t="s">
        <v>1377</v>
      </c>
      <c r="C425" t="s">
        <v>1378</v>
      </c>
      <c r="D425" t="s">
        <v>1379</v>
      </c>
      <c r="E425" t="s">
        <v>1326</v>
      </c>
      <c r="F425" t="s">
        <v>1614</v>
      </c>
      <c r="G425" t="s">
        <v>1616</v>
      </c>
      <c r="H425">
        <v>0</v>
      </c>
      <c r="J425" t="s">
        <v>1328</v>
      </c>
    </row>
    <row r="426" spans="1:10" x14ac:dyDescent="0.3">
      <c r="A426" t="s">
        <v>1308</v>
      </c>
    </row>
    <row r="427" spans="1:10" x14ac:dyDescent="0.3">
      <c r="A427" t="s">
        <v>1376</v>
      </c>
      <c r="B427" t="s">
        <v>1377</v>
      </c>
      <c r="C427" t="s">
        <v>1378</v>
      </c>
      <c r="D427" t="s">
        <v>1379</v>
      </c>
      <c r="E427" t="s">
        <v>1326</v>
      </c>
      <c r="F427" t="s">
        <v>1614</v>
      </c>
      <c r="G427" t="s">
        <v>1616</v>
      </c>
      <c r="H427">
        <v>0</v>
      </c>
      <c r="J427" t="s">
        <v>1328</v>
      </c>
    </row>
    <row r="428" spans="1:10" x14ac:dyDescent="0.3">
      <c r="A428" t="s">
        <v>1308</v>
      </c>
    </row>
    <row r="429" spans="1:10" x14ac:dyDescent="0.3">
      <c r="A429" t="s">
        <v>1376</v>
      </c>
      <c r="B429" t="s">
        <v>1377</v>
      </c>
      <c r="C429" t="s">
        <v>1378</v>
      </c>
      <c r="D429" t="s">
        <v>1379</v>
      </c>
      <c r="E429" t="s">
        <v>1326</v>
      </c>
      <c r="F429" t="s">
        <v>1617</v>
      </c>
      <c r="G429" t="s">
        <v>1618</v>
      </c>
      <c r="H429">
        <v>0</v>
      </c>
      <c r="J429" t="s">
        <v>1328</v>
      </c>
    </row>
    <row r="430" spans="1:10" x14ac:dyDescent="0.3">
      <c r="A430" t="s">
        <v>1308</v>
      </c>
    </row>
    <row r="431" spans="1:10" x14ac:dyDescent="0.3">
      <c r="A431" t="s">
        <v>1376</v>
      </c>
      <c r="B431" t="s">
        <v>1377</v>
      </c>
      <c r="C431" t="s">
        <v>1378</v>
      </c>
      <c r="D431" t="s">
        <v>1379</v>
      </c>
      <c r="E431" t="s">
        <v>1326</v>
      </c>
      <c r="F431" t="s">
        <v>1617</v>
      </c>
      <c r="G431" t="s">
        <v>1618</v>
      </c>
      <c r="H431">
        <v>0</v>
      </c>
      <c r="J431" t="s">
        <v>1328</v>
      </c>
    </row>
    <row r="432" spans="1:10" x14ac:dyDescent="0.3">
      <c r="A432" t="s">
        <v>1308</v>
      </c>
    </row>
    <row r="433" spans="1:10" x14ac:dyDescent="0.3">
      <c r="A433" t="s">
        <v>1376</v>
      </c>
      <c r="B433" t="s">
        <v>1377</v>
      </c>
      <c r="C433" t="s">
        <v>1378</v>
      </c>
      <c r="D433" t="s">
        <v>1379</v>
      </c>
      <c r="E433" t="s">
        <v>1326</v>
      </c>
      <c r="F433" t="s">
        <v>1617</v>
      </c>
      <c r="G433" t="s">
        <v>1618</v>
      </c>
      <c r="H433">
        <v>0</v>
      </c>
      <c r="J433" t="s">
        <v>1328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69FC-31C5-4A68-8F5A-F5EF15DDC875}">
  <dimension ref="A1:T70"/>
  <sheetViews>
    <sheetView topLeftCell="A14" zoomScale="70" zoomScaleNormal="70" workbookViewId="0">
      <selection activeCell="O25" sqref="O25"/>
    </sheetView>
  </sheetViews>
  <sheetFormatPr defaultRowHeight="16.5" x14ac:dyDescent="0.3"/>
  <sheetData>
    <row r="1" spans="1:14" x14ac:dyDescent="0.3">
      <c r="A1" s="2" t="s">
        <v>1708</v>
      </c>
    </row>
    <row r="2" spans="1:14" x14ac:dyDescent="0.3">
      <c r="A2" t="s">
        <v>1726</v>
      </c>
    </row>
    <row r="3" spans="1:14" x14ac:dyDescent="0.3">
      <c r="A3" s="2" t="s">
        <v>1727</v>
      </c>
    </row>
    <row r="4" spans="1:14" x14ac:dyDescent="0.3">
      <c r="A4" s="2" t="s">
        <v>1725</v>
      </c>
    </row>
    <row r="5" spans="1:14" x14ac:dyDescent="0.3">
      <c r="A5" s="2" t="s">
        <v>1728</v>
      </c>
    </row>
    <row r="6" spans="1:14" x14ac:dyDescent="0.3">
      <c r="A6" s="11" t="s">
        <v>1729</v>
      </c>
    </row>
    <row r="7" spans="1:14" x14ac:dyDescent="0.3">
      <c r="A7" s="13" t="s">
        <v>1732</v>
      </c>
    </row>
    <row r="8" spans="1:14" x14ac:dyDescent="0.3">
      <c r="A8" s="13" t="s">
        <v>1720</v>
      </c>
    </row>
    <row r="9" spans="1:14" x14ac:dyDescent="0.3">
      <c r="A9" s="13" t="s">
        <v>1731</v>
      </c>
    </row>
    <row r="10" spans="1:14" x14ac:dyDescent="0.3">
      <c r="A10" s="15" t="s">
        <v>1747</v>
      </c>
    </row>
    <row r="11" spans="1:14" x14ac:dyDescent="0.3">
      <c r="A11" s="15" t="s">
        <v>1740</v>
      </c>
    </row>
    <row r="12" spans="1:14" x14ac:dyDescent="0.3">
      <c r="A12" s="14" t="s">
        <v>1745</v>
      </c>
    </row>
    <row r="13" spans="1:14" x14ac:dyDescent="0.3">
      <c r="A13" s="14" t="s">
        <v>1746</v>
      </c>
    </row>
    <row r="15" spans="1:14" x14ac:dyDescent="0.3">
      <c r="A15" s="2" t="s">
        <v>1730</v>
      </c>
      <c r="H15" s="2" t="s">
        <v>1737</v>
      </c>
      <c r="N15" s="2" t="s">
        <v>1741</v>
      </c>
    </row>
    <row r="16" spans="1:14" x14ac:dyDescent="0.3">
      <c r="H16" t="s">
        <v>1742</v>
      </c>
      <c r="N16" t="s">
        <v>1743</v>
      </c>
    </row>
    <row r="18" spans="1:15" x14ac:dyDescent="0.3">
      <c r="A18" s="2" t="s">
        <v>1723</v>
      </c>
      <c r="D18" s="2" t="s">
        <v>1724</v>
      </c>
      <c r="H18" s="2" t="s">
        <v>1738</v>
      </c>
      <c r="N18" s="2" t="s">
        <v>1744</v>
      </c>
    </row>
    <row r="23" spans="1:15" x14ac:dyDescent="0.3">
      <c r="A23" s="2" t="s">
        <v>1709</v>
      </c>
      <c r="B23" s="2">
        <v>104</v>
      </c>
      <c r="C23" s="2"/>
      <c r="D23" t="s">
        <v>1709</v>
      </c>
      <c r="E23">
        <v>167</v>
      </c>
      <c r="H23" t="s">
        <v>1709</v>
      </c>
      <c r="I23" s="2">
        <v>265</v>
      </c>
      <c r="J23" s="2"/>
      <c r="K23" s="2"/>
      <c r="L23" s="2"/>
      <c r="M23" s="2"/>
      <c r="N23" t="s">
        <v>1709</v>
      </c>
      <c r="O23">
        <v>265</v>
      </c>
    </row>
    <row r="24" spans="1:15" x14ac:dyDescent="0.3">
      <c r="A24" s="2" t="s">
        <v>1710</v>
      </c>
      <c r="B24" s="2">
        <v>62</v>
      </c>
      <c r="C24" s="2"/>
      <c r="D24" s="2" t="s">
        <v>1710</v>
      </c>
      <c r="E24" s="2">
        <v>101</v>
      </c>
      <c r="F24" s="2"/>
      <c r="G24" s="2"/>
      <c r="H24" s="2" t="s">
        <v>1710</v>
      </c>
      <c r="I24" s="2">
        <v>161</v>
      </c>
      <c r="J24" s="2"/>
      <c r="K24" s="2"/>
      <c r="L24" s="2"/>
      <c r="M24" s="2"/>
      <c r="N24" t="s">
        <v>1710</v>
      </c>
      <c r="O24">
        <v>175</v>
      </c>
    </row>
    <row r="25" spans="1:15" x14ac:dyDescent="0.3">
      <c r="A25" s="2" t="s">
        <v>1711</v>
      </c>
      <c r="B25" s="2">
        <v>35.979999999999997</v>
      </c>
      <c r="C25" s="2"/>
      <c r="D25" s="2" t="s">
        <v>1711</v>
      </c>
      <c r="E25" s="2">
        <v>70.837325324843704</v>
      </c>
      <c r="F25" s="2"/>
      <c r="G25" s="2"/>
      <c r="H25" s="2" t="s">
        <v>1711</v>
      </c>
      <c r="I25" s="2">
        <v>152.427258751604</v>
      </c>
      <c r="J25" s="2"/>
      <c r="K25" s="2"/>
      <c r="L25" s="2"/>
      <c r="M25" s="2"/>
      <c r="N25" t="s">
        <v>1711</v>
      </c>
      <c r="O25">
        <v>189.087258751604</v>
      </c>
    </row>
    <row r="26" spans="1:15" x14ac:dyDescent="0.3">
      <c r="A26" s="2" t="s">
        <v>1712</v>
      </c>
      <c r="B26" s="2">
        <v>0.34596153846153799</v>
      </c>
      <c r="C26" s="2"/>
      <c r="D26" s="2" t="s">
        <v>1712</v>
      </c>
      <c r="E26" s="2">
        <v>0.42417560074756699</v>
      </c>
      <c r="F26" s="2"/>
      <c r="G26" s="2"/>
      <c r="H26" s="2" t="s">
        <v>1712</v>
      </c>
      <c r="I26" s="2">
        <v>0.57519720283624298</v>
      </c>
      <c r="J26" s="2"/>
      <c r="K26" s="2"/>
      <c r="L26" s="2"/>
      <c r="M26" s="2"/>
      <c r="N26" t="s">
        <v>1712</v>
      </c>
      <c r="O26">
        <v>0.71353682547775299</v>
      </c>
    </row>
    <row r="27" spans="1:15" x14ac:dyDescent="0.3">
      <c r="A27" s="2" t="s">
        <v>1713</v>
      </c>
      <c r="B27" s="2">
        <v>1.0946774193548301</v>
      </c>
      <c r="C27" s="2"/>
      <c r="D27" s="2" t="s">
        <v>1713</v>
      </c>
      <c r="E27" s="2">
        <v>1.05328326023248</v>
      </c>
      <c r="F27" s="2"/>
      <c r="G27" s="2"/>
      <c r="H27" s="2" t="s">
        <v>1713</v>
      </c>
      <c r="I27" s="2">
        <v>1.3372203061465799</v>
      </c>
      <c r="J27" s="2"/>
      <c r="K27" s="2"/>
      <c r="L27" s="2"/>
      <c r="M27" s="2"/>
      <c r="N27" t="s">
        <v>1713</v>
      </c>
      <c r="O27">
        <v>1.44885567477565</v>
      </c>
    </row>
    <row r="28" spans="1:15" x14ac:dyDescent="0.3">
      <c r="A28" s="2" t="s">
        <v>1714</v>
      </c>
      <c r="B28" s="2">
        <v>-0.79724999999999902</v>
      </c>
      <c r="C28" s="2"/>
      <c r="D28" s="2" t="s">
        <v>1714</v>
      </c>
      <c r="E28" s="2">
        <v>-0.59240473264395599</v>
      </c>
      <c r="F28" s="2"/>
      <c r="G28" s="2"/>
      <c r="H28" s="2" t="s">
        <v>1714</v>
      </c>
      <c r="I28" s="2">
        <v>-0.64809495399994599</v>
      </c>
      <c r="J28" s="2"/>
      <c r="K28" s="2"/>
      <c r="L28" s="2"/>
      <c r="M28" s="2"/>
      <c r="N28" t="s">
        <v>1714</v>
      </c>
      <c r="O28">
        <v>-0.74956377132714702</v>
      </c>
    </row>
    <row r="29" spans="1:15" x14ac:dyDescent="0.3">
      <c r="A29" s="2" t="s">
        <v>1715</v>
      </c>
      <c r="B29" s="2">
        <v>0.214167477742085</v>
      </c>
      <c r="C29" s="2"/>
      <c r="D29" s="2" t="s">
        <v>1715</v>
      </c>
      <c r="E29" s="2">
        <v>0.28180981233032598</v>
      </c>
      <c r="F29" s="2"/>
      <c r="G29" s="2"/>
      <c r="H29" s="2" t="s">
        <v>1715</v>
      </c>
      <c r="I29" s="2">
        <v>0.53589486449788304</v>
      </c>
      <c r="J29" s="2"/>
      <c r="K29" s="2"/>
      <c r="L29" s="2"/>
      <c r="M29" s="2"/>
      <c r="N29" t="s">
        <v>1715</v>
      </c>
      <c r="O29">
        <v>0.57656722793077497</v>
      </c>
    </row>
    <row r="30" spans="1:15" x14ac:dyDescent="0.3">
      <c r="A30" s="2" t="s">
        <v>1716</v>
      </c>
      <c r="B30" s="2" t="s">
        <v>1520</v>
      </c>
      <c r="C30" s="2"/>
      <c r="D30" s="2" t="s">
        <v>1716</v>
      </c>
      <c r="E30" s="2" t="s">
        <v>1525</v>
      </c>
      <c r="F30" s="2"/>
      <c r="G30" s="2"/>
      <c r="H30" s="2" t="s">
        <v>1716</v>
      </c>
      <c r="I30" s="2" t="s">
        <v>1733</v>
      </c>
      <c r="J30" s="2"/>
      <c r="K30" s="2"/>
      <c r="L30" s="2"/>
      <c r="M30" s="2"/>
      <c r="N30" t="s">
        <v>1716</v>
      </c>
      <c r="O30" t="s">
        <v>1733</v>
      </c>
    </row>
    <row r="31" spans="1:15" x14ac:dyDescent="0.3">
      <c r="A31" s="2" t="s">
        <v>1717</v>
      </c>
      <c r="B31" s="2" t="s">
        <v>1520</v>
      </c>
      <c r="C31" s="2"/>
      <c r="D31" s="2" t="s">
        <v>1717</v>
      </c>
      <c r="E31" s="2" t="s">
        <v>1525</v>
      </c>
      <c r="F31" s="2"/>
      <c r="G31" s="2"/>
      <c r="H31" s="2" t="s">
        <v>1734</v>
      </c>
      <c r="I31" s="2"/>
      <c r="J31" s="2"/>
      <c r="K31" s="2"/>
      <c r="L31" s="2"/>
      <c r="M31" s="2"/>
      <c r="N31" t="s">
        <v>1734</v>
      </c>
    </row>
    <row r="32" spans="1:15" x14ac:dyDescent="0.3">
      <c r="A32" s="2" t="s">
        <v>1315</v>
      </c>
      <c r="B32" s="2">
        <v>100</v>
      </c>
      <c r="C32" s="2"/>
      <c r="D32" s="2" t="s">
        <v>1315</v>
      </c>
      <c r="E32" s="2">
        <v>156</v>
      </c>
      <c r="F32" s="2"/>
      <c r="G32" s="2"/>
      <c r="H32" s="2" t="s">
        <v>1735</v>
      </c>
      <c r="I32" s="2"/>
      <c r="J32" s="2"/>
      <c r="K32" s="2"/>
      <c r="L32" s="2"/>
      <c r="M32" s="2"/>
      <c r="N32" t="s">
        <v>1735</v>
      </c>
    </row>
    <row r="33" spans="1:20" x14ac:dyDescent="0.3">
      <c r="A33" s="2" t="s">
        <v>1710</v>
      </c>
      <c r="B33" s="2">
        <v>60</v>
      </c>
      <c r="C33" s="2"/>
      <c r="D33" s="2" t="s">
        <v>1710</v>
      </c>
      <c r="E33" s="2">
        <v>95</v>
      </c>
      <c r="F33" s="2"/>
      <c r="G33" s="2"/>
      <c r="H33" s="2" t="s">
        <v>1721</v>
      </c>
      <c r="I33" s="2" t="s">
        <v>1377</v>
      </c>
      <c r="J33" s="2" t="s">
        <v>1378</v>
      </c>
      <c r="K33" s="2" t="s">
        <v>1379</v>
      </c>
      <c r="L33" s="2"/>
      <c r="M33" s="2"/>
      <c r="N33" t="s">
        <v>1721</v>
      </c>
      <c r="O33" t="s">
        <v>1377</v>
      </c>
      <c r="P33" t="s">
        <v>1378</v>
      </c>
      <c r="Q33" t="s">
        <v>1379</v>
      </c>
    </row>
    <row r="34" spans="1:20" x14ac:dyDescent="0.3">
      <c r="A34" s="2" t="s">
        <v>1711</v>
      </c>
      <c r="B34" s="2">
        <v>36.76</v>
      </c>
      <c r="C34" s="2"/>
      <c r="D34" s="2" t="s">
        <v>1711</v>
      </c>
      <c r="E34" s="2">
        <v>72.927258751604498</v>
      </c>
      <c r="F34" s="2"/>
      <c r="G34" s="2"/>
      <c r="H34" s="2" t="s">
        <v>1717</v>
      </c>
      <c r="I34" s="2" t="s">
        <v>1733</v>
      </c>
      <c r="J34" s="2" t="s">
        <v>1736</v>
      </c>
      <c r="K34" s="2">
        <v>0</v>
      </c>
      <c r="L34" s="2" t="s">
        <v>1328</v>
      </c>
      <c r="M34" s="2"/>
      <c r="N34" t="s">
        <v>1717</v>
      </c>
      <c r="O34" t="s">
        <v>1733</v>
      </c>
      <c r="P34" t="s">
        <v>1736</v>
      </c>
      <c r="Q34">
        <v>0</v>
      </c>
      <c r="R34" t="s">
        <v>1328</v>
      </c>
    </row>
    <row r="35" spans="1:20" x14ac:dyDescent="0.3">
      <c r="A35" s="2" t="s">
        <v>1712</v>
      </c>
      <c r="B35" s="2">
        <v>0.36759999999999998</v>
      </c>
      <c r="C35" s="2"/>
      <c r="D35" s="2" t="s">
        <v>1712</v>
      </c>
      <c r="E35" s="2">
        <v>0.46748242789490102</v>
      </c>
      <c r="F35" s="2"/>
      <c r="G35" s="2"/>
      <c r="H35" s="2" t="s">
        <v>1315</v>
      </c>
      <c r="I35" s="2">
        <v>265</v>
      </c>
      <c r="J35" s="2"/>
      <c r="K35" s="2"/>
      <c r="L35" s="2"/>
      <c r="M35" s="2"/>
      <c r="N35" s="4" t="s">
        <v>1315</v>
      </c>
      <c r="O35" s="4">
        <v>265</v>
      </c>
      <c r="P35" s="4"/>
      <c r="Q35" s="4"/>
      <c r="R35" s="4"/>
      <c r="S35" s="4"/>
      <c r="T35" t="s">
        <v>1748</v>
      </c>
    </row>
    <row r="36" spans="1:20" x14ac:dyDescent="0.3">
      <c r="A36" s="2" t="s">
        <v>1713</v>
      </c>
      <c r="B36" s="2">
        <v>1.1014999999999999</v>
      </c>
      <c r="C36" s="2"/>
      <c r="D36" s="2" t="s">
        <v>1713</v>
      </c>
      <c r="E36" s="2">
        <v>1.0830786241010399</v>
      </c>
      <c r="F36" s="2"/>
      <c r="G36" s="2"/>
      <c r="H36" s="2" t="s">
        <v>1710</v>
      </c>
      <c r="I36" s="2">
        <v>161</v>
      </c>
      <c r="J36" s="2"/>
      <c r="K36" s="2"/>
      <c r="L36" s="2"/>
      <c r="M36" s="2"/>
      <c r="N36" s="4" t="s">
        <v>1710</v>
      </c>
      <c r="O36" s="4">
        <v>183</v>
      </c>
      <c r="P36" s="4"/>
      <c r="Q36" s="4"/>
      <c r="R36" s="4"/>
      <c r="S36" s="4"/>
      <c r="T36" t="s">
        <v>1751</v>
      </c>
    </row>
    <row r="37" spans="1:20" x14ac:dyDescent="0.3">
      <c r="A37" s="2" t="s">
        <v>1714</v>
      </c>
      <c r="B37" s="2">
        <v>-0.771842105263156</v>
      </c>
      <c r="C37" s="2"/>
      <c r="D37" s="2" t="s">
        <v>1714</v>
      </c>
      <c r="E37" s="2">
        <v>-0.54482200978172401</v>
      </c>
      <c r="F37" s="2"/>
      <c r="G37" s="2"/>
      <c r="H37" s="2" t="s">
        <v>1711</v>
      </c>
      <c r="I37" s="2">
        <v>158.47725875160401</v>
      </c>
      <c r="J37" s="2"/>
      <c r="K37" s="2"/>
      <c r="L37" s="2"/>
      <c r="M37" s="2"/>
      <c r="N37" s="4" t="s">
        <v>1711</v>
      </c>
      <c r="O37" s="4">
        <v>191.59424041753999</v>
      </c>
      <c r="P37" s="4"/>
      <c r="Q37" s="4"/>
      <c r="R37" s="4"/>
      <c r="S37" s="4"/>
      <c r="T37" t="s">
        <v>1749</v>
      </c>
    </row>
    <row r="38" spans="1:20" x14ac:dyDescent="0.3">
      <c r="A38" s="2" t="s">
        <v>1715</v>
      </c>
      <c r="B38" s="2">
        <v>0.207769640503389</v>
      </c>
      <c r="C38" s="2"/>
      <c r="D38" s="2" t="s">
        <v>1715</v>
      </c>
      <c r="E38" s="2">
        <v>0.25987637905662198</v>
      </c>
      <c r="F38" s="2"/>
      <c r="G38" s="2"/>
      <c r="H38" s="2" t="s">
        <v>1712</v>
      </c>
      <c r="I38" s="2">
        <v>0.598027391515489</v>
      </c>
      <c r="J38" s="2"/>
      <c r="K38" s="2"/>
      <c r="L38" s="2"/>
      <c r="M38" s="2"/>
      <c r="N38" s="4" t="s">
        <v>1712</v>
      </c>
      <c r="O38" s="4">
        <v>0.72299713365109397</v>
      </c>
      <c r="P38" s="4"/>
      <c r="Q38" s="4"/>
      <c r="R38" s="4"/>
      <c r="S38" s="4"/>
      <c r="T38" t="s">
        <v>1750</v>
      </c>
    </row>
    <row r="39" spans="1:20" x14ac:dyDescent="0.3">
      <c r="A39" s="2" t="s">
        <v>1716</v>
      </c>
      <c r="B39" s="2" t="s">
        <v>1520</v>
      </c>
      <c r="C39" s="2"/>
      <c r="D39" s="2" t="s">
        <v>1716</v>
      </c>
      <c r="E39" s="2" t="s">
        <v>1525</v>
      </c>
      <c r="F39" s="2"/>
      <c r="G39" s="2"/>
      <c r="H39" s="2" t="s">
        <v>1713</v>
      </c>
      <c r="I39" s="2">
        <v>1.3747979458981301</v>
      </c>
      <c r="J39" s="2"/>
      <c r="K39" s="2"/>
      <c r="L39" s="2"/>
      <c r="M39" s="2"/>
      <c r="N39" s="4" t="s">
        <v>1713</v>
      </c>
      <c r="O39" s="4">
        <v>1.4302026742041301</v>
      </c>
      <c r="P39" s="4"/>
      <c r="Q39" s="4"/>
      <c r="R39" s="4"/>
      <c r="S39" s="4"/>
    </row>
    <row r="40" spans="1:20" x14ac:dyDescent="0.3">
      <c r="A40" s="2" t="s">
        <v>1717</v>
      </c>
      <c r="B40" s="2" t="s">
        <v>1520</v>
      </c>
      <c r="C40" s="2"/>
      <c r="D40" s="2" t="s">
        <v>1717</v>
      </c>
      <c r="E40" s="2" t="s">
        <v>1525</v>
      </c>
      <c r="F40" s="2"/>
      <c r="G40" s="2"/>
      <c r="H40" s="2" t="s">
        <v>1714</v>
      </c>
      <c r="I40" s="2">
        <v>-0.64809495399994599</v>
      </c>
      <c r="J40" s="2"/>
      <c r="K40" s="2"/>
      <c r="L40" s="2"/>
      <c r="M40" s="2"/>
      <c r="N40" s="4" t="s">
        <v>1714</v>
      </c>
      <c r="O40" s="4">
        <v>-0.89913908925406705</v>
      </c>
      <c r="P40" s="4"/>
      <c r="Q40" s="4"/>
      <c r="R40" s="4"/>
      <c r="S40" s="4"/>
    </row>
    <row r="41" spans="1:20" x14ac:dyDescent="0.3">
      <c r="A41" s="2" t="s">
        <v>1315</v>
      </c>
      <c r="B41" s="2">
        <v>104</v>
      </c>
      <c r="C41" s="2"/>
      <c r="D41" s="2" t="s">
        <v>1315</v>
      </c>
      <c r="E41" s="2">
        <v>167</v>
      </c>
      <c r="F41" s="2"/>
      <c r="G41" s="2"/>
      <c r="H41" s="2" t="s">
        <v>1715</v>
      </c>
      <c r="I41" s="2">
        <v>0.54416570320809199</v>
      </c>
      <c r="J41" s="2"/>
      <c r="K41" s="2"/>
      <c r="L41" s="2"/>
      <c r="M41" s="2"/>
      <c r="N41" s="4" t="s">
        <v>1715</v>
      </c>
      <c r="O41" s="4">
        <v>0.60013488985126195</v>
      </c>
      <c r="P41" s="4"/>
      <c r="Q41" s="4"/>
      <c r="R41" s="4"/>
      <c r="S41" s="4"/>
    </row>
    <row r="42" spans="1:20" x14ac:dyDescent="0.3">
      <c r="A42" s="2" t="s">
        <v>1710</v>
      </c>
      <c r="B42" s="2">
        <v>29</v>
      </c>
      <c r="C42" s="2"/>
      <c r="D42" s="2" t="s">
        <v>1710</v>
      </c>
      <c r="E42" s="2">
        <v>47</v>
      </c>
      <c r="F42" s="2"/>
      <c r="G42" s="2"/>
      <c r="H42" s="2" t="s">
        <v>1716</v>
      </c>
      <c r="I42" s="2" t="s">
        <v>1733</v>
      </c>
      <c r="J42" s="2"/>
      <c r="K42" s="2"/>
      <c r="L42" s="2"/>
      <c r="M42" s="2"/>
      <c r="N42" s="4" t="s">
        <v>1716</v>
      </c>
      <c r="O42" s="4" t="s">
        <v>1733</v>
      </c>
      <c r="P42" s="4"/>
      <c r="Q42" s="4"/>
      <c r="R42" s="4"/>
      <c r="S42" s="4"/>
    </row>
    <row r="43" spans="1:20" x14ac:dyDescent="0.3">
      <c r="A43" t="s">
        <v>1711</v>
      </c>
      <c r="B43">
        <v>0.78000000000006098</v>
      </c>
      <c r="D43" s="2" t="s">
        <v>1711</v>
      </c>
      <c r="E43" s="2">
        <v>21.9799690060402</v>
      </c>
      <c r="F43" s="2"/>
      <c r="G43" s="2"/>
      <c r="H43" s="2" t="s">
        <v>1734</v>
      </c>
      <c r="N43" s="4" t="s">
        <v>1734</v>
      </c>
      <c r="O43" s="4"/>
      <c r="P43" s="4"/>
      <c r="Q43" s="4"/>
      <c r="R43" s="4"/>
      <c r="S43" s="4"/>
    </row>
    <row r="44" spans="1:20" x14ac:dyDescent="0.3">
      <c r="A44" t="s">
        <v>1712</v>
      </c>
      <c r="B44">
        <v>7.5000000000005904E-3</v>
      </c>
      <c r="D44" t="s">
        <v>1712</v>
      </c>
      <c r="E44">
        <v>0.13161658087449199</v>
      </c>
      <c r="H44" t="s">
        <v>1735</v>
      </c>
      <c r="N44" s="4" t="s">
        <v>1735</v>
      </c>
      <c r="O44" s="4"/>
      <c r="P44" s="4"/>
      <c r="Q44" s="4"/>
      <c r="R44" s="4"/>
      <c r="S44" s="4"/>
    </row>
    <row r="45" spans="1:20" x14ac:dyDescent="0.3">
      <c r="A45" t="s">
        <v>1713</v>
      </c>
      <c r="B45">
        <v>2.0596551724137901</v>
      </c>
      <c r="D45" t="s">
        <v>1713</v>
      </c>
      <c r="E45">
        <v>2.0887719064425099</v>
      </c>
      <c r="H45" t="s">
        <v>1721</v>
      </c>
      <c r="I45" t="s">
        <v>1377</v>
      </c>
      <c r="J45" t="s">
        <v>1378</v>
      </c>
      <c r="K45" t="s">
        <v>1379</v>
      </c>
      <c r="N45" s="4" t="s">
        <v>1721</v>
      </c>
      <c r="O45" s="4" t="s">
        <v>1377</v>
      </c>
      <c r="P45" s="4" t="s">
        <v>1378</v>
      </c>
      <c r="Q45" s="4" t="s">
        <v>1379</v>
      </c>
      <c r="R45" s="4"/>
      <c r="S45" s="4"/>
    </row>
    <row r="46" spans="1:20" x14ac:dyDescent="0.3">
      <c r="A46" t="s">
        <v>1714</v>
      </c>
      <c r="B46">
        <v>-0.81874999999999898</v>
      </c>
      <c r="D46" t="s">
        <v>1714</v>
      </c>
      <c r="E46">
        <v>-0.67426823536953895</v>
      </c>
      <c r="H46" t="s">
        <v>1717</v>
      </c>
      <c r="I46" t="s">
        <v>1733</v>
      </c>
      <c r="J46" t="s">
        <v>1736</v>
      </c>
      <c r="K46">
        <v>0</v>
      </c>
      <c r="L46" t="s">
        <v>1328</v>
      </c>
      <c r="N46" s="4" t="s">
        <v>1717</v>
      </c>
      <c r="O46" s="4" t="s">
        <v>1733</v>
      </c>
      <c r="P46" s="4" t="s">
        <v>1736</v>
      </c>
      <c r="Q46" s="4">
        <v>0</v>
      </c>
      <c r="R46" s="4" t="s">
        <v>1328</v>
      </c>
      <c r="S46" s="4"/>
    </row>
    <row r="47" spans="1:20" x14ac:dyDescent="0.3">
      <c r="A47" t="s">
        <v>1715</v>
      </c>
      <c r="B47">
        <v>0.29566238969519498</v>
      </c>
      <c r="D47" t="s">
        <v>1715</v>
      </c>
      <c r="E47">
        <v>0.39559619768439003</v>
      </c>
      <c r="H47" t="s">
        <v>1315</v>
      </c>
      <c r="I47">
        <v>265</v>
      </c>
      <c r="N47" s="4" t="s">
        <v>1315</v>
      </c>
      <c r="O47" s="4">
        <v>265</v>
      </c>
      <c r="P47" s="4"/>
      <c r="Q47" s="4"/>
      <c r="R47" s="4"/>
      <c r="S47" s="4"/>
    </row>
    <row r="48" spans="1:20" x14ac:dyDescent="0.3">
      <c r="A48" t="s">
        <v>1716</v>
      </c>
      <c r="B48" t="s">
        <v>1719</v>
      </c>
      <c r="D48" t="s">
        <v>1716</v>
      </c>
      <c r="E48" t="s">
        <v>1538</v>
      </c>
      <c r="H48" t="s">
        <v>1710</v>
      </c>
      <c r="I48">
        <v>161</v>
      </c>
      <c r="N48" s="4" t="s">
        <v>1710</v>
      </c>
      <c r="O48" s="4">
        <v>188</v>
      </c>
      <c r="P48" s="4"/>
      <c r="Q48" s="4"/>
      <c r="R48" s="4"/>
      <c r="S48" s="4"/>
    </row>
    <row r="49" spans="1:19" x14ac:dyDescent="0.3">
      <c r="A49" t="s">
        <v>1717</v>
      </c>
      <c r="B49" t="s">
        <v>1719</v>
      </c>
      <c r="D49" t="s">
        <v>1717</v>
      </c>
      <c r="E49" t="s">
        <v>1538</v>
      </c>
      <c r="H49" t="s">
        <v>1711</v>
      </c>
      <c r="I49">
        <v>165.12725875160399</v>
      </c>
      <c r="N49" s="4" t="s">
        <v>1711</v>
      </c>
      <c r="O49" s="4">
        <v>203.56424041753999</v>
      </c>
      <c r="P49" s="4"/>
      <c r="Q49" s="4"/>
      <c r="R49" s="4"/>
      <c r="S49" s="4"/>
    </row>
    <row r="50" spans="1:19" x14ac:dyDescent="0.3">
      <c r="A50" t="s">
        <v>1315</v>
      </c>
      <c r="B50">
        <v>100</v>
      </c>
      <c r="D50" t="s">
        <v>1315</v>
      </c>
      <c r="E50">
        <v>156</v>
      </c>
      <c r="H50" t="s">
        <v>1712</v>
      </c>
      <c r="I50">
        <v>0.62312173113812996</v>
      </c>
      <c r="N50" s="4" t="s">
        <v>1712</v>
      </c>
      <c r="O50" s="4">
        <v>0.76816694497184901</v>
      </c>
      <c r="P50" s="4"/>
      <c r="Q50" s="4"/>
      <c r="R50" s="4"/>
      <c r="S50" s="4"/>
    </row>
    <row r="51" spans="1:19" x14ac:dyDescent="0.3">
      <c r="A51" t="s">
        <v>1710</v>
      </c>
      <c r="B51">
        <v>29</v>
      </c>
      <c r="D51" t="s">
        <v>1710</v>
      </c>
      <c r="E51">
        <v>46</v>
      </c>
      <c r="H51" t="s">
        <v>1713</v>
      </c>
      <c r="I51">
        <v>1.41610229372421</v>
      </c>
      <c r="N51" s="4" t="s">
        <v>1713</v>
      </c>
      <c r="O51" s="4">
        <v>1.42806962435828</v>
      </c>
      <c r="P51" s="4"/>
      <c r="Q51" s="4"/>
      <c r="R51" s="4"/>
      <c r="S51" s="4"/>
    </row>
    <row r="52" spans="1:19" x14ac:dyDescent="0.3">
      <c r="A52" t="s">
        <v>1711</v>
      </c>
      <c r="B52">
        <v>6.1100000000000501</v>
      </c>
      <c r="D52" t="s">
        <v>1711</v>
      </c>
      <c r="E52">
        <v>32.4948691461815</v>
      </c>
      <c r="H52" t="s">
        <v>1714</v>
      </c>
      <c r="I52">
        <v>-0.64809495399994599</v>
      </c>
      <c r="N52" s="4" t="s">
        <v>1714</v>
      </c>
      <c r="O52" s="4">
        <v>-0.87720066164617905</v>
      </c>
      <c r="P52" s="4"/>
      <c r="Q52" s="4"/>
      <c r="R52" s="4"/>
      <c r="S52" s="4"/>
    </row>
    <row r="53" spans="1:19" x14ac:dyDescent="0.3">
      <c r="A53" t="s">
        <v>1712</v>
      </c>
      <c r="B53">
        <v>6.1100000000000501E-2</v>
      </c>
      <c r="D53" t="s">
        <v>1712</v>
      </c>
      <c r="E53">
        <v>0.208300443244753</v>
      </c>
      <c r="H53" t="s">
        <v>1715</v>
      </c>
      <c r="I53">
        <v>0.55654154986140802</v>
      </c>
      <c r="N53" s="4" t="s">
        <v>1715</v>
      </c>
      <c r="O53" s="4">
        <v>0.63959335312008203</v>
      </c>
      <c r="P53" s="4"/>
      <c r="Q53" s="4"/>
      <c r="R53" s="4"/>
      <c r="S53" s="4"/>
    </row>
    <row r="54" spans="1:19" x14ac:dyDescent="0.3">
      <c r="A54" t="s">
        <v>1713</v>
      </c>
      <c r="B54">
        <v>2.0596551724137901</v>
      </c>
      <c r="D54" t="s">
        <v>1713</v>
      </c>
      <c r="E54">
        <v>2.09331042614778</v>
      </c>
      <c r="H54" t="s">
        <v>1716</v>
      </c>
      <c r="I54" t="s">
        <v>1733</v>
      </c>
      <c r="N54" s="4" t="s">
        <v>1716</v>
      </c>
      <c r="O54" s="4" t="s">
        <v>1733</v>
      </c>
      <c r="P54" s="4"/>
      <c r="Q54" s="4"/>
      <c r="R54" s="4"/>
      <c r="S54" s="4"/>
    </row>
    <row r="55" spans="1:19" x14ac:dyDescent="0.3">
      <c r="A55" t="s">
        <v>1714</v>
      </c>
      <c r="B55">
        <v>-0.78852941176470503</v>
      </c>
      <c r="D55" t="s">
        <v>1714</v>
      </c>
      <c r="E55">
        <v>-0.61939233453025999</v>
      </c>
      <c r="H55" t="s">
        <v>1734</v>
      </c>
      <c r="N55" s="4" t="s">
        <v>1734</v>
      </c>
      <c r="O55" s="4"/>
      <c r="P55" s="4"/>
      <c r="Q55" s="4"/>
      <c r="R55" s="4"/>
      <c r="S55" s="4"/>
    </row>
    <row r="56" spans="1:19" x14ac:dyDescent="0.3">
      <c r="A56" t="s">
        <v>1715</v>
      </c>
      <c r="B56">
        <v>0.28136252536392797</v>
      </c>
      <c r="D56" t="s">
        <v>1715</v>
      </c>
      <c r="E56">
        <v>0.35912354501770999</v>
      </c>
      <c r="H56" t="s">
        <v>1735</v>
      </c>
      <c r="N56" s="4" t="s">
        <v>1735</v>
      </c>
      <c r="O56" s="4"/>
      <c r="P56" s="4"/>
      <c r="Q56" s="4"/>
      <c r="R56" s="4"/>
      <c r="S56" s="4"/>
    </row>
    <row r="57" spans="1:19" x14ac:dyDescent="0.3">
      <c r="A57" t="s">
        <v>1716</v>
      </c>
      <c r="B57" t="s">
        <v>1719</v>
      </c>
      <c r="D57" t="s">
        <v>1716</v>
      </c>
      <c r="E57" t="s">
        <v>1538</v>
      </c>
      <c r="H57" t="s">
        <v>1721</v>
      </c>
      <c r="I57" t="s">
        <v>1377</v>
      </c>
      <c r="J57" t="s">
        <v>1378</v>
      </c>
      <c r="K57" t="s">
        <v>1379</v>
      </c>
      <c r="N57" s="4" t="s">
        <v>1721</v>
      </c>
      <c r="O57" s="4" t="s">
        <v>1377</v>
      </c>
      <c r="P57" s="4" t="s">
        <v>1378</v>
      </c>
      <c r="Q57" s="4" t="s">
        <v>1379</v>
      </c>
      <c r="R57" s="4"/>
      <c r="S57" s="4"/>
    </row>
    <row r="58" spans="1:19" x14ac:dyDescent="0.3">
      <c r="A58" t="s">
        <v>1717</v>
      </c>
      <c r="B58" t="s">
        <v>1719</v>
      </c>
      <c r="D58" t="s">
        <v>1717</v>
      </c>
      <c r="E58" t="s">
        <v>1538</v>
      </c>
      <c r="H58" t="s">
        <v>1717</v>
      </c>
      <c r="I58" t="s">
        <v>1733</v>
      </c>
      <c r="J58" t="s">
        <v>1736</v>
      </c>
      <c r="K58">
        <v>0</v>
      </c>
      <c r="L58" t="s">
        <v>1328</v>
      </c>
      <c r="N58" s="4" t="s">
        <v>1717</v>
      </c>
      <c r="O58" s="4" t="s">
        <v>1733</v>
      </c>
      <c r="P58" s="4" t="s">
        <v>1736</v>
      </c>
      <c r="Q58" s="4">
        <v>0</v>
      </c>
      <c r="R58" s="4" t="s">
        <v>1328</v>
      </c>
      <c r="S58" s="4"/>
    </row>
    <row r="59" spans="1:19" x14ac:dyDescent="0.3">
      <c r="H59" t="s">
        <v>1315</v>
      </c>
      <c r="I59">
        <v>265</v>
      </c>
      <c r="N59" t="s">
        <v>1315</v>
      </c>
      <c r="O59">
        <v>265</v>
      </c>
    </row>
    <row r="60" spans="1:19" x14ac:dyDescent="0.3">
      <c r="H60" t="s">
        <v>1710</v>
      </c>
      <c r="I60">
        <v>161</v>
      </c>
      <c r="N60" t="s">
        <v>1710</v>
      </c>
      <c r="O60">
        <v>187</v>
      </c>
    </row>
    <row r="61" spans="1:19" x14ac:dyDescent="0.3">
      <c r="H61" t="s">
        <v>1711</v>
      </c>
      <c r="I61">
        <v>165.12725875160399</v>
      </c>
      <c r="N61" t="s">
        <v>1711</v>
      </c>
      <c r="O61">
        <v>192.72424041753999</v>
      </c>
    </row>
    <row r="62" spans="1:19" x14ac:dyDescent="0.3">
      <c r="H62" t="s">
        <v>1712</v>
      </c>
      <c r="I62">
        <v>0.62312173113812996</v>
      </c>
      <c r="N62" t="s">
        <v>1712</v>
      </c>
      <c r="O62">
        <v>0.72726128459449002</v>
      </c>
    </row>
    <row r="63" spans="1:19" x14ac:dyDescent="0.3">
      <c r="H63" t="s">
        <v>1713</v>
      </c>
      <c r="I63">
        <v>1.41610229372421</v>
      </c>
      <c r="N63" t="s">
        <v>1713</v>
      </c>
      <c r="O63">
        <v>1.45854058491635</v>
      </c>
    </row>
    <row r="64" spans="1:19" x14ac:dyDescent="0.3">
      <c r="H64" t="s">
        <v>1714</v>
      </c>
      <c r="I64">
        <v>-0.64809495399994599</v>
      </c>
      <c r="N64" t="s">
        <v>1714</v>
      </c>
      <c r="O64">
        <v>-1.0669713194908901</v>
      </c>
    </row>
    <row r="65" spans="8:18" x14ac:dyDescent="0.3">
      <c r="H65" t="s">
        <v>1715</v>
      </c>
      <c r="I65">
        <v>0.55654154986140802</v>
      </c>
      <c r="N65" t="s">
        <v>1715</v>
      </c>
      <c r="O65">
        <v>0.65594036570660696</v>
      </c>
    </row>
    <row r="66" spans="8:18" x14ac:dyDescent="0.3">
      <c r="H66" t="s">
        <v>1716</v>
      </c>
      <c r="I66" t="s">
        <v>1733</v>
      </c>
      <c r="N66" t="s">
        <v>1716</v>
      </c>
      <c r="O66" t="s">
        <v>1733</v>
      </c>
    </row>
    <row r="67" spans="8:18" x14ac:dyDescent="0.3">
      <c r="H67" t="s">
        <v>1734</v>
      </c>
      <c r="N67" t="s">
        <v>1734</v>
      </c>
    </row>
    <row r="68" spans="8:18" x14ac:dyDescent="0.3">
      <c r="H68" t="s">
        <v>1735</v>
      </c>
      <c r="N68" t="s">
        <v>1735</v>
      </c>
    </row>
    <row r="69" spans="8:18" x14ac:dyDescent="0.3">
      <c r="H69" t="s">
        <v>1721</v>
      </c>
      <c r="I69" t="s">
        <v>1377</v>
      </c>
      <c r="J69" t="s">
        <v>1378</v>
      </c>
      <c r="K69" t="s">
        <v>1379</v>
      </c>
      <c r="N69" t="s">
        <v>1721</v>
      </c>
      <c r="O69" t="s">
        <v>1377</v>
      </c>
      <c r="P69" t="s">
        <v>1378</v>
      </c>
      <c r="Q69" t="s">
        <v>1379</v>
      </c>
    </row>
    <row r="70" spans="8:18" x14ac:dyDescent="0.3">
      <c r="H70" t="s">
        <v>1717</v>
      </c>
      <c r="I70" t="s">
        <v>1733</v>
      </c>
      <c r="J70" t="s">
        <v>1736</v>
      </c>
      <c r="K70">
        <v>0</v>
      </c>
      <c r="L70" t="s">
        <v>1718</v>
      </c>
      <c r="N70" t="s">
        <v>1717</v>
      </c>
      <c r="O70" t="s">
        <v>1733</v>
      </c>
      <c r="P70" t="s">
        <v>1736</v>
      </c>
      <c r="Q70">
        <v>0</v>
      </c>
      <c r="R70" t="s">
        <v>1718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calldebit_raw</vt:lpstr>
      <vt:lpstr>calldebit_1차filter_positive</vt:lpstr>
      <vt:lpstr>calldebit_2차filter_custom조건들</vt:lpstr>
      <vt:lpstr>callbs_raw</vt:lpstr>
      <vt:lpstr>callbs_1차filter</vt:lpstr>
      <vt:lpstr>callbs_2차filter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희관</dc:creator>
  <cp:lastModifiedBy>문 희관</cp:lastModifiedBy>
  <dcterms:created xsi:type="dcterms:W3CDTF">2023-11-02T11:34:29Z</dcterms:created>
  <dcterms:modified xsi:type="dcterms:W3CDTF">2023-11-03T09:07:00Z</dcterms:modified>
</cp:coreProperties>
</file>
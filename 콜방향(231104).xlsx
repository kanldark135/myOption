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ld\Desktop\my_option\"/>
    </mc:Choice>
  </mc:AlternateContent>
  <xr:revisionPtr revIDLastSave="0" documentId="13_ncr:1_{EBB30013-B199-4339-AC0B-3D53C2DA47C8}" xr6:coauthVersionLast="47" xr6:coauthVersionMax="47" xr10:uidLastSave="{00000000-0000-0000-0000-000000000000}"/>
  <bookViews>
    <workbookView xWindow="-120" yWindow="-120" windowWidth="29040" windowHeight="15840" activeTab="6" xr2:uid="{7CB56BB1-6317-4CA3-9FA7-43504FDE8EF3}"/>
  </bookViews>
  <sheets>
    <sheet name="naked_call_raw" sheetId="1" r:id="rId1"/>
    <sheet name="naked_call_filter" sheetId="2" r:id="rId2"/>
    <sheet name="call_debit_raw" sheetId="3" r:id="rId3"/>
    <sheet name="call_debit_filter" sheetId="4" r:id="rId4"/>
    <sheet name="manual_filter" sheetId="5" r:id="rId5"/>
    <sheet name="call_bspread_raw" sheetId="6" r:id="rId6"/>
    <sheet name="call_bspread_filter" sheetId="7" r:id="rId7"/>
    <sheet name="call_calendar_raw" sheetId="8" r:id="rId8"/>
    <sheet name="sell_naked_call_raw" sheetId="9" r:id="rId9"/>
    <sheet name="sell_call_credit_raw" sheetId="10" r:id="rId10"/>
    <sheet name="sell_call_ratio" sheetId="15" r:id="rId11"/>
    <sheet name="buy_put_raw" sheetId="16" r:id="rId12"/>
    <sheet name="buy_put_debit" sheetId="17" r:id="rId13"/>
    <sheet name="buy_put_bs" sheetId="18" r:id="rId14"/>
    <sheet name="buy_put_calendar" sheetId="19" r:id="rId15"/>
  </sheets>
  <definedNames>
    <definedName name="_xlnm._FilterDatabase" localSheetId="13" hidden="1">buy_put_bs!$A$1:$AA$749</definedName>
    <definedName name="_xlnm._FilterDatabase" localSheetId="12" hidden="1">buy_put_debit!$A$1:$AG$403</definedName>
    <definedName name="_xlnm._FilterDatabase" localSheetId="11" hidden="1">buy_put_raw!$A$1:$AD$407</definedName>
    <definedName name="_xlnm._FilterDatabase" localSheetId="5" hidden="1">call_bspread_raw!$A$1:$AB$451</definedName>
    <definedName name="_xlnm._FilterDatabase" localSheetId="2" hidden="1">call_debit_raw!$A$2:$AI$289</definedName>
    <definedName name="_xlnm._FilterDatabase" localSheetId="0" hidden="1">naked_call_raw!$A$2:$AF$327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7" i="16" l="1"/>
  <c r="F406" i="16"/>
  <c r="F405" i="16"/>
  <c r="F404" i="16"/>
  <c r="F403" i="16"/>
  <c r="F402" i="16"/>
  <c r="F401" i="16"/>
  <c r="F400" i="16"/>
  <c r="F399" i="16"/>
  <c r="F398" i="16"/>
  <c r="F397" i="16"/>
  <c r="F396" i="16"/>
  <c r="F395" i="16"/>
  <c r="F394" i="16"/>
  <c r="F393" i="16"/>
  <c r="F392" i="16"/>
  <c r="F391" i="16"/>
  <c r="F390" i="16"/>
  <c r="F389" i="16"/>
  <c r="F388" i="16"/>
  <c r="F387" i="16"/>
  <c r="F386" i="16"/>
  <c r="F385" i="16"/>
  <c r="F384" i="16"/>
  <c r="F383" i="16"/>
  <c r="F382" i="16"/>
  <c r="F381" i="16"/>
  <c r="F380" i="16"/>
  <c r="F379" i="16"/>
  <c r="F378" i="16"/>
  <c r="F377" i="16"/>
  <c r="F376" i="16"/>
  <c r="F375" i="16"/>
  <c r="F374" i="16"/>
  <c r="F373" i="16"/>
  <c r="F372" i="16"/>
  <c r="F371" i="16"/>
  <c r="F370" i="16"/>
  <c r="F369" i="16"/>
  <c r="F368" i="16"/>
  <c r="F367" i="16"/>
  <c r="F366" i="16"/>
  <c r="F365" i="16"/>
  <c r="F364" i="16"/>
  <c r="F363" i="16"/>
  <c r="F362" i="16"/>
  <c r="F361" i="16"/>
  <c r="F360" i="16"/>
  <c r="F359" i="16"/>
  <c r="F358" i="16"/>
  <c r="F357" i="16"/>
  <c r="F356" i="16"/>
  <c r="F355" i="16"/>
  <c r="F354" i="16"/>
  <c r="F353" i="16"/>
  <c r="F352" i="16"/>
  <c r="F351" i="16"/>
  <c r="F350" i="16"/>
  <c r="F349" i="16"/>
  <c r="F348" i="16"/>
  <c r="F347" i="16"/>
  <c r="F346" i="16"/>
  <c r="F345" i="16"/>
  <c r="F344" i="16"/>
  <c r="F343" i="16"/>
  <c r="F342" i="16"/>
  <c r="F341" i="16"/>
  <c r="F340" i="16"/>
  <c r="F339" i="16"/>
  <c r="F338" i="16"/>
  <c r="F337" i="16"/>
  <c r="F336" i="16"/>
  <c r="F335" i="16"/>
  <c r="F334" i="16"/>
  <c r="F333" i="16"/>
  <c r="F332" i="16"/>
  <c r="F331" i="16"/>
  <c r="F330" i="16"/>
  <c r="F329" i="16"/>
  <c r="F328" i="16"/>
  <c r="F327" i="16"/>
  <c r="F326" i="16"/>
  <c r="F325" i="16"/>
  <c r="F324" i="16"/>
  <c r="F323" i="16"/>
  <c r="F322" i="16"/>
  <c r="F321" i="16"/>
  <c r="F320" i="16"/>
  <c r="F319" i="16"/>
  <c r="F318" i="16"/>
  <c r="F317" i="16"/>
  <c r="F316" i="16"/>
  <c r="F315" i="16"/>
  <c r="F314" i="16"/>
  <c r="F313" i="16"/>
  <c r="F312" i="16"/>
  <c r="F311" i="16"/>
  <c r="F310" i="16"/>
  <c r="F309" i="16"/>
  <c r="F308" i="16"/>
  <c r="F307" i="16"/>
  <c r="F306" i="16"/>
  <c r="F305" i="16"/>
  <c r="F304" i="16"/>
  <c r="F303" i="16"/>
  <c r="F302" i="16"/>
  <c r="F301" i="16"/>
  <c r="F300" i="16"/>
  <c r="F299" i="16"/>
  <c r="F298" i="16"/>
  <c r="F297" i="16"/>
  <c r="F296" i="16"/>
  <c r="F295" i="16"/>
  <c r="F294" i="16"/>
  <c r="F293" i="16"/>
  <c r="F292" i="16"/>
  <c r="F291" i="16"/>
  <c r="F290" i="16"/>
  <c r="F289" i="16"/>
  <c r="F288" i="16"/>
  <c r="F287" i="16"/>
  <c r="F286" i="16"/>
  <c r="F285" i="16"/>
  <c r="F284" i="16"/>
  <c r="F283" i="16"/>
  <c r="F282" i="16"/>
  <c r="F281" i="16"/>
  <c r="F280" i="16"/>
  <c r="F279" i="16"/>
  <c r="F278" i="16"/>
  <c r="F277" i="16"/>
  <c r="F276" i="16"/>
  <c r="F275" i="16"/>
  <c r="F274" i="16"/>
  <c r="F273" i="16"/>
  <c r="F272" i="16"/>
  <c r="F271" i="16"/>
  <c r="F270" i="16"/>
  <c r="F269" i="16"/>
  <c r="F268" i="16"/>
  <c r="F267" i="16"/>
  <c r="F266" i="16"/>
  <c r="F265" i="16"/>
  <c r="F264" i="16"/>
  <c r="F263" i="16"/>
  <c r="F262" i="16"/>
  <c r="F261" i="16"/>
  <c r="F260" i="16"/>
  <c r="F259" i="16"/>
  <c r="F258" i="16"/>
  <c r="F257" i="16"/>
  <c r="F256" i="16"/>
  <c r="F255" i="16"/>
  <c r="F254" i="16"/>
  <c r="F253" i="16"/>
  <c r="F252" i="16"/>
  <c r="F251" i="16"/>
  <c r="F250" i="16"/>
  <c r="F249" i="16"/>
  <c r="F248" i="16"/>
  <c r="F247" i="16"/>
  <c r="F246" i="16"/>
  <c r="F245" i="16"/>
  <c r="F244" i="16"/>
  <c r="F243" i="16"/>
  <c r="F242" i="16"/>
  <c r="F241" i="16"/>
  <c r="F240" i="16"/>
  <c r="F239" i="16"/>
  <c r="F238" i="16"/>
  <c r="F237" i="16"/>
  <c r="F236" i="16"/>
  <c r="F235" i="16"/>
  <c r="F234" i="16"/>
  <c r="F233" i="16"/>
  <c r="F232" i="16"/>
  <c r="F231" i="16"/>
  <c r="F230" i="16"/>
  <c r="F229" i="16"/>
  <c r="F228" i="16"/>
  <c r="F227" i="16"/>
  <c r="F226" i="16"/>
  <c r="F225" i="16"/>
  <c r="F224" i="16"/>
  <c r="F223" i="16"/>
  <c r="F222" i="16"/>
  <c r="F221" i="16"/>
  <c r="F220" i="16"/>
  <c r="F219" i="16"/>
  <c r="F218" i="16"/>
  <c r="F217" i="16"/>
  <c r="F216" i="16"/>
  <c r="F215" i="16"/>
  <c r="F214" i="16"/>
  <c r="F213" i="16"/>
  <c r="F212" i="16"/>
  <c r="F211" i="16"/>
  <c r="F210" i="16"/>
  <c r="F209" i="16"/>
  <c r="F208" i="16"/>
  <c r="F207" i="16"/>
  <c r="F206" i="16"/>
  <c r="F205" i="16"/>
  <c r="F204" i="16"/>
  <c r="F203" i="16"/>
  <c r="F202" i="16"/>
  <c r="F201" i="16"/>
  <c r="F200" i="16"/>
  <c r="F199" i="16"/>
  <c r="F198" i="16"/>
  <c r="F197" i="16"/>
  <c r="F196" i="16"/>
  <c r="F195" i="16"/>
  <c r="F194" i="16"/>
  <c r="F193" i="16"/>
  <c r="F192" i="16"/>
  <c r="F191" i="16"/>
  <c r="F190" i="16"/>
  <c r="F189" i="16"/>
  <c r="F188" i="16"/>
  <c r="F187" i="16"/>
  <c r="F186" i="16"/>
  <c r="F185" i="16"/>
  <c r="F184" i="16"/>
  <c r="F183" i="16"/>
  <c r="F182" i="16"/>
  <c r="F181" i="16"/>
  <c r="F180" i="16"/>
  <c r="F179" i="16"/>
  <c r="F178" i="16"/>
  <c r="F177" i="16"/>
  <c r="F176" i="16"/>
  <c r="F175" i="16"/>
  <c r="F174" i="16"/>
  <c r="F173" i="16"/>
  <c r="F172" i="16"/>
  <c r="F171" i="16"/>
  <c r="F170" i="16"/>
  <c r="F169" i="16"/>
  <c r="F168" i="16"/>
  <c r="F167" i="16"/>
  <c r="F166" i="16"/>
  <c r="F165" i="16"/>
  <c r="F164" i="16"/>
  <c r="F163" i="16"/>
  <c r="F162" i="16"/>
  <c r="F161" i="16"/>
  <c r="F160" i="16"/>
  <c r="F159" i="16"/>
  <c r="F158" i="16"/>
  <c r="F157" i="16"/>
  <c r="F156" i="16"/>
  <c r="F155" i="16"/>
  <c r="F154" i="16"/>
  <c r="F153" i="16"/>
  <c r="F152" i="16"/>
  <c r="F151" i="16"/>
  <c r="F150" i="16"/>
  <c r="F149" i="16"/>
  <c r="F148" i="16"/>
  <c r="F147" i="16"/>
  <c r="F146" i="16"/>
  <c r="F145" i="16"/>
  <c r="F144" i="16"/>
  <c r="F143" i="16"/>
  <c r="F142" i="16"/>
  <c r="F141" i="16"/>
  <c r="F140" i="16"/>
  <c r="F139" i="16"/>
  <c r="F138" i="16"/>
  <c r="F137" i="16"/>
  <c r="F136" i="16"/>
  <c r="F135" i="16"/>
  <c r="F134" i="16"/>
  <c r="F133" i="16"/>
  <c r="F132" i="16"/>
  <c r="F131" i="16"/>
  <c r="F130" i="16"/>
  <c r="F129" i="16"/>
  <c r="F128" i="16"/>
  <c r="F127" i="16"/>
  <c r="F126" i="16"/>
  <c r="F125" i="16"/>
  <c r="F124" i="16"/>
  <c r="F123" i="16"/>
  <c r="F122" i="16"/>
  <c r="F121" i="16"/>
  <c r="F120" i="16"/>
  <c r="F119" i="16"/>
  <c r="F118" i="16"/>
  <c r="F117" i="16"/>
  <c r="F116" i="16"/>
  <c r="F115" i="16"/>
  <c r="F114" i="16"/>
  <c r="F113" i="16"/>
  <c r="F112" i="16"/>
  <c r="F111" i="16"/>
  <c r="F110" i="16"/>
  <c r="F109" i="16"/>
  <c r="F108" i="16"/>
  <c r="F107" i="16"/>
  <c r="F106" i="16"/>
  <c r="F105" i="16"/>
  <c r="F104" i="16"/>
  <c r="F103" i="16"/>
  <c r="F102" i="16"/>
  <c r="F101" i="16"/>
  <c r="F100" i="16"/>
  <c r="F99" i="16"/>
  <c r="F98" i="16"/>
  <c r="F97" i="16"/>
  <c r="F96" i="16"/>
  <c r="F95" i="16"/>
  <c r="F94" i="16"/>
  <c r="F93" i="16"/>
  <c r="F92" i="16"/>
  <c r="F91" i="16"/>
  <c r="F90" i="16"/>
  <c r="F89" i="16"/>
  <c r="F88" i="16"/>
  <c r="F87" i="16"/>
  <c r="F86" i="16"/>
  <c r="F85" i="16"/>
  <c r="F84" i="16"/>
  <c r="F83" i="16"/>
  <c r="F82" i="16"/>
  <c r="F81" i="16"/>
  <c r="F80" i="16"/>
  <c r="F79" i="16"/>
  <c r="F78" i="16"/>
  <c r="F77" i="16"/>
  <c r="F76" i="16"/>
  <c r="F75" i="16"/>
  <c r="F74" i="16"/>
  <c r="F73" i="16"/>
  <c r="F72" i="16"/>
  <c r="F71" i="16"/>
  <c r="F70" i="16"/>
  <c r="F69" i="16"/>
  <c r="F68" i="16"/>
  <c r="F67" i="16"/>
  <c r="F66" i="16"/>
  <c r="F65" i="16"/>
  <c r="F64" i="16"/>
  <c r="F63" i="16"/>
  <c r="F62" i="16"/>
  <c r="F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F3" i="16"/>
  <c r="F2" i="16"/>
  <c r="I385" i="17"/>
  <c r="I384" i="17"/>
  <c r="I383" i="17"/>
  <c r="I382" i="17"/>
  <c r="I381" i="17"/>
  <c r="I380" i="17"/>
  <c r="I379" i="17"/>
  <c r="I378" i="17"/>
  <c r="I377" i="17"/>
  <c r="I376" i="17"/>
  <c r="I375" i="17"/>
  <c r="I374" i="17"/>
  <c r="I373" i="17"/>
  <c r="I372" i="17"/>
  <c r="I371" i="17"/>
  <c r="I370" i="17"/>
  <c r="I369" i="17"/>
  <c r="I368" i="17"/>
  <c r="I367" i="17"/>
  <c r="I366" i="17"/>
  <c r="I365" i="17"/>
  <c r="I364" i="17"/>
  <c r="I363" i="17"/>
  <c r="I362" i="17"/>
  <c r="I361" i="17"/>
  <c r="I360" i="17"/>
  <c r="I359" i="17"/>
  <c r="I358" i="17"/>
  <c r="I357" i="17"/>
  <c r="I356" i="17"/>
  <c r="I355" i="17"/>
  <c r="I354" i="17"/>
  <c r="I353" i="17"/>
  <c r="I352" i="17"/>
  <c r="I351" i="17"/>
  <c r="I350" i="17"/>
  <c r="I349" i="17"/>
  <c r="I348" i="17"/>
  <c r="I347" i="17"/>
  <c r="I346" i="17"/>
  <c r="I345" i="17"/>
  <c r="I344" i="17"/>
  <c r="I343" i="17"/>
  <c r="I342" i="17"/>
  <c r="I341" i="17"/>
  <c r="I340" i="17"/>
  <c r="I339" i="17"/>
  <c r="I338" i="17"/>
  <c r="I337" i="17"/>
  <c r="I336" i="17"/>
  <c r="I335" i="17"/>
  <c r="I334" i="17"/>
  <c r="I333" i="17"/>
  <c r="I332" i="17"/>
  <c r="I331" i="17"/>
  <c r="I330" i="17"/>
  <c r="I329" i="17"/>
  <c r="I328" i="17"/>
  <c r="I327" i="17"/>
  <c r="I326" i="17"/>
  <c r="I325" i="17"/>
  <c r="I324" i="17"/>
  <c r="I323" i="17"/>
  <c r="I322" i="17"/>
  <c r="I321" i="17"/>
  <c r="I320" i="17"/>
  <c r="I319" i="17"/>
  <c r="I318" i="17"/>
  <c r="I317" i="17"/>
  <c r="I316" i="17"/>
  <c r="I315" i="17"/>
  <c r="I314" i="17"/>
  <c r="I313" i="17"/>
  <c r="I312" i="17"/>
  <c r="I311" i="17"/>
  <c r="I310" i="17"/>
  <c r="I309" i="17"/>
  <c r="I308" i="17"/>
  <c r="I307" i="17"/>
  <c r="I306" i="17"/>
  <c r="I305" i="17"/>
  <c r="I304" i="17"/>
  <c r="I303" i="17"/>
  <c r="I302" i="17"/>
  <c r="I301" i="17"/>
  <c r="I300" i="17"/>
  <c r="I299" i="17"/>
  <c r="I298" i="17"/>
  <c r="I297" i="17"/>
  <c r="I296" i="17"/>
  <c r="I295" i="17"/>
  <c r="I294" i="17"/>
  <c r="I293" i="17"/>
  <c r="I292" i="17"/>
  <c r="I291" i="17"/>
  <c r="I290" i="17"/>
  <c r="I289" i="17"/>
  <c r="I288" i="17"/>
  <c r="I287" i="17"/>
  <c r="I286" i="17"/>
  <c r="I285" i="17"/>
  <c r="I284" i="17"/>
  <c r="I283" i="17"/>
  <c r="I282" i="17"/>
  <c r="I281" i="17"/>
  <c r="I280" i="17"/>
  <c r="I279" i="17"/>
  <c r="I278" i="17"/>
  <c r="I277" i="17"/>
  <c r="I276" i="17"/>
  <c r="I275" i="17"/>
  <c r="I274" i="17"/>
  <c r="I273" i="17"/>
  <c r="I272" i="17"/>
  <c r="I271" i="17"/>
  <c r="I270" i="17"/>
  <c r="I269" i="17"/>
  <c r="I268" i="17"/>
  <c r="I267" i="17"/>
  <c r="I266" i="17"/>
  <c r="I265" i="17"/>
  <c r="I264" i="17"/>
  <c r="I263" i="17"/>
  <c r="I262" i="17"/>
  <c r="I261" i="17"/>
  <c r="I260" i="17"/>
  <c r="I259" i="17"/>
  <c r="I258" i="17"/>
  <c r="I257" i="17"/>
  <c r="I256" i="17"/>
  <c r="I255" i="17"/>
  <c r="I254" i="17"/>
  <c r="I253" i="17"/>
  <c r="I252" i="17"/>
  <c r="I251" i="17"/>
  <c r="I250" i="17"/>
  <c r="I249" i="17"/>
  <c r="I248" i="17"/>
  <c r="I247" i="17"/>
  <c r="I246" i="17"/>
  <c r="I245" i="17"/>
  <c r="I244" i="17"/>
  <c r="I243" i="17"/>
  <c r="I242" i="17"/>
  <c r="I241" i="17"/>
  <c r="I240" i="17"/>
  <c r="I239" i="17"/>
  <c r="I238" i="17"/>
  <c r="I237" i="17"/>
  <c r="I236" i="17"/>
  <c r="I235" i="17"/>
  <c r="I234" i="17"/>
  <c r="I233" i="17"/>
  <c r="I232" i="17"/>
  <c r="I231" i="17"/>
  <c r="I230" i="17"/>
  <c r="I229" i="17"/>
  <c r="I228" i="17"/>
  <c r="I227" i="17"/>
  <c r="I226" i="17"/>
  <c r="I225" i="17"/>
  <c r="I224" i="17"/>
  <c r="I223" i="17"/>
  <c r="I222" i="17"/>
  <c r="I221" i="17"/>
  <c r="I220" i="17"/>
  <c r="I219" i="17"/>
  <c r="I218" i="17"/>
  <c r="I217" i="17"/>
  <c r="I216" i="17"/>
  <c r="I215" i="17"/>
  <c r="I214" i="17"/>
  <c r="I213" i="17"/>
  <c r="I212" i="17"/>
  <c r="I211" i="17"/>
  <c r="I210" i="17"/>
  <c r="I209" i="17"/>
  <c r="I208" i="17"/>
  <c r="I207" i="17"/>
  <c r="I206" i="17"/>
  <c r="I205" i="17"/>
  <c r="I204" i="17"/>
  <c r="I203" i="17"/>
  <c r="I202" i="17"/>
  <c r="I201" i="17"/>
  <c r="I200" i="17"/>
  <c r="I199" i="17"/>
  <c r="I198" i="17"/>
  <c r="I197" i="17"/>
  <c r="I196" i="17"/>
  <c r="I195" i="17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52" i="17"/>
  <c r="I151" i="17"/>
  <c r="I150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4" i="17"/>
  <c r="I133" i="17"/>
  <c r="I132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I2" i="17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C1" i="19"/>
  <c r="O31" i="5"/>
  <c r="A31" i="5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289" i="3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O5" i="5"/>
  <c r="O4" i="5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72" i="1"/>
  <c r="A198" i="1"/>
  <c r="A160" i="1"/>
  <c r="A165" i="1"/>
  <c r="A164" i="1"/>
  <c r="A161" i="1"/>
  <c r="A170" i="1"/>
  <c r="A167" i="1"/>
  <c r="A131" i="1"/>
  <c r="A130" i="1"/>
  <c r="A191" i="1"/>
  <c r="A166" i="1"/>
  <c r="A193" i="1"/>
  <c r="A135" i="1"/>
  <c r="A142" i="1"/>
  <c r="A79" i="1"/>
  <c r="A205" i="1"/>
  <c r="A174" i="1"/>
  <c r="A188" i="1"/>
  <c r="A202" i="1"/>
  <c r="A213" i="1"/>
  <c r="A197" i="1"/>
  <c r="A219" i="1"/>
  <c r="A224" i="1"/>
  <c r="A230" i="1"/>
  <c r="A204" i="1"/>
  <c r="A232" i="1"/>
  <c r="A199" i="1"/>
  <c r="A251" i="1"/>
  <c r="A242" i="1"/>
  <c r="A236" i="1"/>
  <c r="A235" i="1"/>
  <c r="A248" i="1"/>
  <c r="A239" i="1"/>
  <c r="A231" i="1"/>
  <c r="A240" i="1"/>
  <c r="A250" i="1"/>
  <c r="A227" i="1"/>
  <c r="A245" i="1"/>
  <c r="A141" i="1"/>
  <c r="A265" i="1"/>
  <c r="A266" i="1"/>
  <c r="A263" i="1"/>
  <c r="A252" i="1"/>
  <c r="A261" i="1"/>
  <c r="A264" i="1"/>
  <c r="A253" i="1"/>
  <c r="A260" i="1"/>
  <c r="A126" i="1"/>
  <c r="A132" i="1"/>
  <c r="A125" i="1"/>
  <c r="A111" i="1"/>
  <c r="A116" i="1"/>
  <c r="A115" i="1"/>
  <c r="A106" i="1"/>
  <c r="A101" i="1"/>
  <c r="A112" i="1"/>
  <c r="A104" i="1"/>
  <c r="A91" i="1"/>
  <c r="A78" i="1"/>
  <c r="A113" i="1"/>
  <c r="A122" i="1"/>
  <c r="A134" i="1"/>
  <c r="A118" i="1"/>
  <c r="A181" i="1"/>
  <c r="A149" i="1"/>
  <c r="A140" i="1"/>
  <c r="A138" i="1"/>
  <c r="A168" i="1"/>
  <c r="A151" i="1"/>
  <c r="A129" i="1"/>
  <c r="A94" i="1"/>
  <c r="A84" i="1"/>
  <c r="A46" i="1"/>
  <c r="A88" i="1"/>
  <c r="A97" i="1"/>
  <c r="A208" i="1"/>
  <c r="A185" i="1"/>
  <c r="A163" i="1"/>
  <c r="A152" i="1"/>
  <c r="A195" i="1"/>
  <c r="A176" i="1"/>
  <c r="A136" i="1"/>
  <c r="A103" i="1"/>
  <c r="A327" i="1"/>
  <c r="A326" i="1"/>
  <c r="A30" i="1"/>
  <c r="A15" i="1"/>
  <c r="A20" i="1"/>
  <c r="A31" i="1"/>
  <c r="A89" i="1"/>
  <c r="A61" i="1"/>
  <c r="A37" i="1"/>
  <c r="A85" i="1"/>
  <c r="A148" i="1"/>
  <c r="A147" i="1"/>
  <c r="A98" i="1"/>
  <c r="A48" i="1"/>
  <c r="A87" i="1"/>
  <c r="A325" i="1"/>
  <c r="A324" i="1"/>
  <c r="A57" i="1"/>
  <c r="A323" i="1"/>
  <c r="A322" i="1"/>
  <c r="A56" i="1"/>
  <c r="A321" i="1"/>
  <c r="A320" i="1"/>
  <c r="A74" i="1"/>
  <c r="A105" i="1"/>
  <c r="A109" i="1"/>
  <c r="A77" i="1"/>
  <c r="A68" i="1"/>
  <c r="A81" i="1"/>
  <c r="A83" i="1"/>
  <c r="A60" i="1"/>
  <c r="A55" i="1"/>
  <c r="A27" i="1"/>
  <c r="A26" i="1"/>
  <c r="A45" i="1"/>
  <c r="A319" i="1"/>
  <c r="A318" i="1"/>
  <c r="A62" i="1"/>
  <c r="A39" i="1"/>
  <c r="A73" i="1"/>
  <c r="A127" i="1"/>
  <c r="A102" i="1"/>
  <c r="A70" i="1"/>
  <c r="A117" i="1"/>
  <c r="A144" i="1"/>
  <c r="A120" i="1"/>
  <c r="A317" i="1"/>
  <c r="A316" i="1"/>
  <c r="A76" i="1"/>
  <c r="A156" i="1"/>
  <c r="A67" i="1"/>
  <c r="A315" i="1"/>
  <c r="A314" i="1"/>
  <c r="A173" i="1"/>
  <c r="A24" i="1"/>
  <c r="A41" i="1"/>
  <c r="A128" i="1"/>
  <c r="A139" i="1"/>
  <c r="A34" i="1"/>
  <c r="A52" i="1"/>
  <c r="A123" i="1"/>
  <c r="A137" i="1"/>
  <c r="A313" i="1"/>
  <c r="A312" i="1"/>
  <c r="A225" i="1"/>
  <c r="A311" i="1"/>
  <c r="A310" i="1"/>
  <c r="A184" i="1"/>
  <c r="A124" i="1"/>
  <c r="A309" i="1"/>
  <c r="A308" i="1"/>
  <c r="A157" i="1"/>
  <c r="A40" i="1"/>
  <c r="A43" i="1"/>
  <c r="A108" i="1"/>
  <c r="A162" i="1"/>
  <c r="A50" i="1"/>
  <c r="A121" i="1"/>
  <c r="A182" i="1"/>
  <c r="A194" i="1"/>
  <c r="A72" i="1"/>
  <c r="A82" i="1"/>
  <c r="A307" i="1"/>
  <c r="A306" i="1"/>
  <c r="A99" i="1"/>
  <c r="A107" i="1"/>
  <c r="A49" i="1"/>
  <c r="A110" i="1"/>
  <c r="A100" i="1"/>
  <c r="A59" i="1"/>
  <c r="A51" i="1"/>
  <c r="A95" i="1"/>
  <c r="A65" i="1"/>
  <c r="A54" i="1"/>
  <c r="A12" i="1"/>
  <c r="A23" i="1"/>
  <c r="A35" i="1"/>
  <c r="A305" i="1"/>
  <c r="A304" i="1"/>
  <c r="A47" i="1"/>
  <c r="A21" i="1"/>
  <c r="A58" i="1"/>
  <c r="A92" i="1"/>
  <c r="A75" i="1"/>
  <c r="A38" i="1"/>
  <c r="A96" i="1"/>
  <c r="A146" i="1"/>
  <c r="A114" i="1"/>
  <c r="A303" i="1"/>
  <c r="A302" i="1"/>
  <c r="A17" i="1"/>
  <c r="A86" i="1"/>
  <c r="A33" i="1"/>
  <c r="A301" i="1"/>
  <c r="A300" i="1"/>
  <c r="A178" i="1"/>
  <c r="A14" i="1"/>
  <c r="A36" i="1"/>
  <c r="A71" i="1"/>
  <c r="A93" i="1"/>
  <c r="A11" i="1"/>
  <c r="A18" i="1"/>
  <c r="A53" i="1"/>
  <c r="A64" i="1"/>
  <c r="A299" i="1"/>
  <c r="A298" i="1"/>
  <c r="A80" i="1"/>
  <c r="A297" i="1"/>
  <c r="A296" i="1"/>
  <c r="A16" i="1"/>
  <c r="A295" i="1"/>
  <c r="A294" i="1"/>
  <c r="A29" i="1"/>
  <c r="A293" i="1"/>
  <c r="A292" i="1"/>
  <c r="A42" i="1"/>
  <c r="A9" i="1"/>
  <c r="A13" i="1"/>
  <c r="A32" i="1"/>
  <c r="A90" i="1"/>
  <c r="A10" i="1"/>
  <c r="A19" i="1"/>
  <c r="A66" i="1"/>
  <c r="A119" i="1"/>
  <c r="A159" i="1"/>
  <c r="A175" i="1"/>
  <c r="A145" i="1"/>
  <c r="A155" i="1"/>
  <c r="A143" i="1"/>
  <c r="A150" i="1"/>
  <c r="A169" i="1"/>
  <c r="A171" i="1"/>
  <c r="A200" i="1"/>
  <c r="A179" i="1"/>
  <c r="A153" i="1"/>
  <c r="A133" i="1"/>
  <c r="A206" i="1"/>
  <c r="A210" i="1"/>
  <c r="A212" i="1"/>
  <c r="A190" i="1"/>
  <c r="A192" i="1"/>
  <c r="A180" i="1"/>
  <c r="A216" i="1"/>
  <c r="A201" i="1"/>
  <c r="A223" i="1"/>
  <c r="A207" i="1"/>
  <c r="A218" i="1"/>
  <c r="A209" i="1"/>
  <c r="A187" i="1"/>
  <c r="A246" i="1"/>
  <c r="A229" i="1"/>
  <c r="A233" i="1"/>
  <c r="A186" i="1"/>
  <c r="A234" i="1"/>
  <c r="A217" i="1"/>
  <c r="A177" i="1"/>
  <c r="A203" i="1"/>
  <c r="A214" i="1"/>
  <c r="A226" i="1"/>
  <c r="A69" i="1"/>
  <c r="A189" i="1"/>
  <c r="A222" i="1"/>
  <c r="A243" i="1"/>
  <c r="A220" i="1"/>
  <c r="A28" i="1"/>
  <c r="A196" i="1"/>
  <c r="A215" i="1"/>
  <c r="A63" i="1"/>
  <c r="A22" i="1"/>
  <c r="A154" i="1"/>
  <c r="A158" i="1"/>
  <c r="A25" i="1"/>
  <c r="A244" i="1"/>
  <c r="A272" i="1"/>
  <c r="A278" i="1"/>
  <c r="A281" i="1"/>
  <c r="A258" i="1"/>
  <c r="A256" i="1"/>
  <c r="A269" i="1"/>
  <c r="A271" i="1"/>
  <c r="A237" i="1"/>
  <c r="A247" i="1"/>
  <c r="A255" i="1"/>
  <c r="A249" i="1"/>
  <c r="A291" i="1"/>
  <c r="A290" i="1"/>
  <c r="A7" i="1"/>
  <c r="A183" i="1"/>
  <c r="A268" i="1"/>
  <c r="A284" i="1"/>
  <c r="A44" i="1"/>
  <c r="A221" i="1"/>
  <c r="A262" i="1"/>
  <c r="A279" i="1"/>
  <c r="A238" i="1"/>
  <c r="A257" i="1"/>
  <c r="A277" i="1"/>
  <c r="A270" i="1"/>
  <c r="A254" i="1"/>
  <c r="A267" i="1"/>
  <c r="A283" i="1"/>
  <c r="A289" i="1"/>
  <c r="A259" i="1"/>
  <c r="A274" i="1"/>
  <c r="A282" i="1"/>
  <c r="A287" i="1"/>
  <c r="A4" i="1"/>
  <c r="A211" i="1"/>
  <c r="A273" i="1"/>
  <c r="A276" i="1"/>
  <c r="A6" i="1"/>
  <c r="A228" i="1"/>
  <c r="A275" i="1"/>
  <c r="A286" i="1"/>
  <c r="A8" i="1"/>
  <c r="A280" i="1"/>
  <c r="A285" i="1"/>
  <c r="A288" i="1"/>
  <c r="A3" i="1"/>
  <c r="A5" i="1"/>
  <c r="A241" i="1"/>
  <c r="A2" i="1"/>
</calcChain>
</file>

<file path=xl/sharedStrings.xml><?xml version="1.0" encoding="utf-8"?>
<sst xmlns="http://schemas.openxmlformats.org/spreadsheetml/2006/main" count="74375" uniqueCount="4428">
  <si>
    <t>alltime_{'C'</t>
  </si>
  <si>
    <t xml:space="preserve"> [('delta'</t>
  </si>
  <si>
    <t xml:space="preserve"> 1)]}_[7</t>
  </si>
  <si>
    <t xml:space="preserve"> 35]_1</t>
  </si>
  <si>
    <t xml:space="preserve"> {'n'</t>
  </si>
  <si>
    <t xml:space="preserve"> 'win'</t>
  </si>
  <si>
    <t xml:space="preserve"> 'total_ret'</t>
  </si>
  <si>
    <t xml:space="preserve"> 'avg_ret'</t>
  </si>
  <si>
    <t xml:space="preserve"> 'avg_win'</t>
  </si>
  <si>
    <t xml:space="preserve"> 'avg_loss'</t>
  </si>
  <si>
    <t xml:space="preserve"> 'vol'</t>
  </si>
  <si>
    <t xml:space="preserve"> 'single_strat_mdd'</t>
  </si>
  <si>
    <t xml:space="preserve"> (-8.41</t>
  </si>
  <si>
    <t xml:space="preserve"> Timestamp('2020-03-23 00</t>
  </si>
  <si>
    <t>00'))</t>
  </si>
  <si>
    <t xml:space="preserve"> 'net_liq_mdd'</t>
  </si>
  <si>
    <t xml:space="preserve"> (-42.87</t>
  </si>
  <si>
    <t xml:space="preserve"> Timestamp('2020-05-04 00</t>
  </si>
  <si>
    <t>00'))}</t>
  </si>
  <si>
    <t xml:space="preserve"> 35]_2</t>
  </si>
  <si>
    <t xml:space="preserve"> (-12.35</t>
  </si>
  <si>
    <t xml:space="preserve"> Timestamp('2011-11-10 00</t>
  </si>
  <si>
    <t xml:space="preserve"> (-65.94</t>
  </si>
  <si>
    <t xml:space="preserve"> 35]_3</t>
  </si>
  <si>
    <t xml:space="preserve"> (-69.32999999999998</t>
  </si>
  <si>
    <t xml:space="preserve"> Timestamp('2023-04-06 00</t>
  </si>
  <si>
    <t xml:space="preserve"> 35]_4</t>
  </si>
  <si>
    <t xml:space="preserve"> 1)]}_[21</t>
  </si>
  <si>
    <t xml:space="preserve"> 49]_1</t>
  </si>
  <si>
    <t xml:space="preserve"> (-60.05000000000001</t>
  </si>
  <si>
    <t xml:space="preserve"> 49]_2</t>
  </si>
  <si>
    <t xml:space="preserve"> (-14.07999999999999</t>
  </si>
  <si>
    <t xml:space="preserve"> (-138.50999999999996</t>
  </si>
  <si>
    <t xml:space="preserve"> 49]_3</t>
  </si>
  <si>
    <t xml:space="preserve"> (-14.379999999999988</t>
  </si>
  <si>
    <t xml:space="preserve"> (-166.81999999999994</t>
  </si>
  <si>
    <t xml:space="preserve"> 49]_4</t>
  </si>
  <si>
    <t xml:space="preserve"> 1)]}_[35</t>
  </si>
  <si>
    <t xml:space="preserve"> 70]_1</t>
  </si>
  <si>
    <t xml:space="preserve"> (-77.92000000000002</t>
  </si>
  <si>
    <t xml:space="preserve"> 70]_2</t>
  </si>
  <si>
    <t xml:space="preserve"> (-114.27000000000001</t>
  </si>
  <si>
    <t xml:space="preserve"> 70]_3</t>
  </si>
  <si>
    <t xml:space="preserve"> (-132.2899999999999</t>
  </si>
  <si>
    <t xml:space="preserve"> 70]_4</t>
  </si>
  <si>
    <t xml:space="preserve"> (-171.2553970414734</t>
  </si>
  <si>
    <t xml:space="preserve"> Timestamp('2020-08-20 00</t>
  </si>
  <si>
    <t xml:space="preserve"> (-6.510000000000001</t>
  </si>
  <si>
    <t xml:space="preserve"> (-27.049999999999997</t>
  </si>
  <si>
    <t xml:space="preserve"> (-7.370000000000001</t>
  </si>
  <si>
    <t xml:space="preserve"> Timestamp('2021-01-26 00</t>
  </si>
  <si>
    <t xml:space="preserve"> (-44.11</t>
  </si>
  <si>
    <t xml:space="preserve"> (-8.750000000000002</t>
  </si>
  <si>
    <t xml:space="preserve"> Timestamp('2020-04-01 00</t>
  </si>
  <si>
    <t xml:space="preserve"> (-52.56999999999999</t>
  </si>
  <si>
    <t xml:space="preserve"> (-52.66999999999999</t>
  </si>
  <si>
    <t xml:space="preserve"> Timestamp('2023-02-06 00</t>
  </si>
  <si>
    <t xml:space="preserve"> (-39.44</t>
  </si>
  <si>
    <t xml:space="preserve"> (-7.8</t>
  </si>
  <si>
    <t xml:space="preserve"> (-54.25</t>
  </si>
  <si>
    <t xml:space="preserve"> (-14.629999999999988</t>
  </si>
  <si>
    <t xml:space="preserve"> (-95.85999999999999</t>
  </si>
  <si>
    <t xml:space="preserve"> (-6.38</t>
  </si>
  <si>
    <t xml:space="preserve"> (-43.190000000000005</t>
  </si>
  <si>
    <t xml:space="preserve"> (-78.63</t>
  </si>
  <si>
    <t xml:space="preserve"> (-88.35999999999999</t>
  </si>
  <si>
    <t xml:space="preserve"> (-4.470000000000001</t>
  </si>
  <si>
    <t xml:space="preserve"> (-15.9</t>
  </si>
  <si>
    <t xml:space="preserve"> (-5.749999999999999</t>
  </si>
  <si>
    <t xml:space="preserve"> (-24.900000000000002</t>
  </si>
  <si>
    <t xml:space="preserve"> (-7.289999999999999</t>
  </si>
  <si>
    <t xml:space="preserve"> (-31.349999999999998</t>
  </si>
  <si>
    <t xml:space="preserve"> (-19.88</t>
  </si>
  <si>
    <t xml:space="preserve"> (-27.59</t>
  </si>
  <si>
    <t xml:space="preserve"> (-33.56</t>
  </si>
  <si>
    <t xml:space="preserve"> Timestamp('2022-08-10 00</t>
  </si>
  <si>
    <t xml:space="preserve"> (-4.370000000000001</t>
  </si>
  <si>
    <t xml:space="preserve"> Timestamp('2021-01-12 00</t>
  </si>
  <si>
    <t xml:space="preserve"> (-23.95</t>
  </si>
  <si>
    <t xml:space="preserve"> (-5.710000000000001</t>
  </si>
  <si>
    <t xml:space="preserve"> (-37.97</t>
  </si>
  <si>
    <t xml:space="preserve"> (-43.22</t>
  </si>
  <si>
    <t xml:space="preserve"> (-7.940000000000009</t>
  </si>
  <si>
    <t xml:space="preserve"> 2010-09-10   2010-10-12</t>
  </si>
  <si>
    <t>2010-09-10   2010-11-11</t>
  </si>
  <si>
    <t>Name</t>
  </si>
  <si>
    <t xml:space="preserve"> drawdown_date</t>
  </si>
  <si>
    <t xml:space="preserve"> dtype</t>
  </si>
  <si>
    <t xml:space="preserve"> datetime64[ns])</t>
  </si>
  <si>
    <t xml:space="preserve"> (-1.81</t>
  </si>
  <si>
    <t xml:space="preserve"> (-5.3</t>
  </si>
  <si>
    <t xml:space="preserve"> Timestamp('2020-03-18 00</t>
  </si>
  <si>
    <t xml:space="preserve"> (-2.4299999999999997</t>
  </si>
  <si>
    <t xml:space="preserve"> Timestamp('2021-02-04 00</t>
  </si>
  <si>
    <t xml:space="preserve"> (-10.39</t>
  </si>
  <si>
    <t xml:space="preserve"> (-2.9799999999999995</t>
  </si>
  <si>
    <t xml:space="preserve"> (-11.61</t>
  </si>
  <si>
    <t xml:space="preserve"> (-12.530000000000001</t>
  </si>
  <si>
    <t xml:space="preserve"> Timestamp('2022-11-03 00</t>
  </si>
  <si>
    <t xml:space="preserve"> (-6.7</t>
  </si>
  <si>
    <t xml:space="preserve"> Timestamp('2021-04-21 00</t>
  </si>
  <si>
    <t xml:space="preserve"> (-1.9100000000000001</t>
  </si>
  <si>
    <t xml:space="preserve"> (-8.84</t>
  </si>
  <si>
    <t xml:space="preserve"> Timestamp('2011-09-22 00</t>
  </si>
  <si>
    <t xml:space="preserve"> (-10.0</t>
  </si>
  <si>
    <t xml:space="preserve"> Timestamp('2019-04-18 00</t>
  </si>
  <si>
    <t xml:space="preserve"> (-1.65</t>
  </si>
  <si>
    <t xml:space="preserve"> (-8.56</t>
  </si>
  <si>
    <t xml:space="preserve"> (-3.1100000000000003</t>
  </si>
  <si>
    <t xml:space="preserve"> (-15.3</t>
  </si>
  <si>
    <t xml:space="preserve"> (-4.8500000000000005</t>
  </si>
  <si>
    <t xml:space="preserve"> (-16.250794471298065</t>
  </si>
  <si>
    <t xml:space="preserve"> Timestamp('2012-02-10 00</t>
  </si>
  <si>
    <t>bbands_{'C'</t>
  </si>
  <si>
    <t xml:space="preserve"> (-16.43</t>
  </si>
  <si>
    <t xml:space="preserve"> (-9.3</t>
  </si>
  <si>
    <t xml:space="preserve"> (-5.9</t>
  </si>
  <si>
    <t xml:space="preserve"> (-19.57</t>
  </si>
  <si>
    <t xml:space="preserve"> (-13.629999999999988</t>
  </si>
  <si>
    <t xml:space="preserve"> (-28.009999999999977</t>
  </si>
  <si>
    <t xml:space="preserve"> (-12.18</t>
  </si>
  <si>
    <t xml:space="preserve"> (-15.54</t>
  </si>
  <si>
    <t xml:space="preserve"> (-26.97999999999999</t>
  </si>
  <si>
    <t xml:space="preserve"> (-8.78</t>
  </si>
  <si>
    <t xml:space="preserve"> (-3.49</t>
  </si>
  <si>
    <t xml:space="preserve"> (-8.83</t>
  </si>
  <si>
    <t xml:space="preserve"> (-13.5</t>
  </si>
  <si>
    <t xml:space="preserve"> (-4.760000000000001</t>
  </si>
  <si>
    <t xml:space="preserve"> (-2.6399999999999997</t>
  </si>
  <si>
    <t xml:space="preserve"> Timestamp('2021-02-26 00</t>
  </si>
  <si>
    <t xml:space="preserve"> (-2.24</t>
  </si>
  <si>
    <t xml:space="preserve"> Timestamp('2015-09-21 00</t>
  </si>
  <si>
    <t xml:space="preserve"> (-1.3000000000000003</t>
  </si>
  <si>
    <t xml:space="preserve"> (-4.199999999999999</t>
  </si>
  <si>
    <t>psar_{'C'</t>
  </si>
  <si>
    <t xml:space="preserve"> (-3.4699999999999998</t>
  </si>
  <si>
    <t xml:space="preserve"> (-4.16</t>
  </si>
  <si>
    <t xml:space="preserve"> Timestamp('2014-03-10 00</t>
  </si>
  <si>
    <t xml:space="preserve"> (-6.659999999999999</t>
  </si>
  <si>
    <t xml:space="preserve"> (-3.75</t>
  </si>
  <si>
    <t xml:space="preserve"> Timestamp('2011-10-20 00</t>
  </si>
  <si>
    <t xml:space="preserve"> (-10.2</t>
  </si>
  <si>
    <t xml:space="preserve"> (-6.5</t>
  </si>
  <si>
    <t xml:space="preserve"> 2011-10-07   2011-10-20</t>
  </si>
  <si>
    <t>2011-10-07   2011-11-10</t>
  </si>
  <si>
    <t xml:space="preserve"> 2011-10-07   2011-11-10</t>
  </si>
  <si>
    <t xml:space="preserve"> (-3.08</t>
  </si>
  <si>
    <t xml:space="preserve"> (-5.49</t>
  </si>
  <si>
    <t xml:space="preserve"> (-3.7</t>
  </si>
  <si>
    <t xml:space="preserve"> (-3.9999999999999996</t>
  </si>
  <si>
    <t xml:space="preserve"> (-4.33</t>
  </si>
  <si>
    <t xml:space="preserve"> (-7.490000000000009</t>
  </si>
  <si>
    <t xml:space="preserve"> 2010-09-06   2010-10-12</t>
  </si>
  <si>
    <t>2010-09-06   2010-11-11</t>
  </si>
  <si>
    <t xml:space="preserve"> Timestamp('2010-11-11 00</t>
  </si>
  <si>
    <t xml:space="preserve"> (-1.5999999999999999</t>
  </si>
  <si>
    <t xml:space="preserve"> (-2.71</t>
  </si>
  <si>
    <t xml:space="preserve"> (-3.3600000000000003</t>
  </si>
  <si>
    <t xml:space="preserve"> Timestamp('2020-12-08 00</t>
  </si>
  <si>
    <t xml:space="preserve"> (-1.8400000000000003</t>
  </si>
  <si>
    <t xml:space="preserve"> Timestamp('2021-05-11 00</t>
  </si>
  <si>
    <t xml:space="preserve"> (-2.3800000000000003</t>
  </si>
  <si>
    <t xml:space="preserve"> (-1.9000000000000001</t>
  </si>
  <si>
    <t xml:space="preserve"> (-3.51</t>
  </si>
  <si>
    <t xml:space="preserve"> (-0.5700000000000001</t>
  </si>
  <si>
    <t xml:space="preserve"> Timestamp('2018-05-02 00</t>
  </si>
  <si>
    <t xml:space="preserve"> (-0.61</t>
  </si>
  <si>
    <t xml:space="preserve"> (-1.71</t>
  </si>
  <si>
    <t xml:space="preserve"> (-1.73</t>
  </si>
  <si>
    <t xml:space="preserve"> (-1.0999999999999999</t>
  </si>
  <si>
    <t xml:space="preserve"> (-1.36</t>
  </si>
  <si>
    <t xml:space="preserve"> (-0.7680238455410517</t>
  </si>
  <si>
    <t xml:space="preserve"> Timestamp('2012-02-23 00</t>
  </si>
  <si>
    <t xml:space="preserve"> 2021-05-07   2021-05-11</t>
  </si>
  <si>
    <t>2021-05-07   2021-05-11</t>
  </si>
  <si>
    <t>psar_no_highvol_{'C'</t>
  </si>
  <si>
    <t xml:space="preserve"> (-2.9000000000000004</t>
  </si>
  <si>
    <t xml:space="preserve"> (-4.9</t>
  </si>
  <si>
    <t xml:space="preserve"> (-4.050000000000001</t>
  </si>
  <si>
    <t xml:space="preserve"> Timestamp('2020-01-28 00</t>
  </si>
  <si>
    <t xml:space="preserve"> (-5.15</t>
  </si>
  <si>
    <t xml:space="preserve"> Timestamp('2011-01-21 00</t>
  </si>
  <si>
    <t xml:space="preserve"> (-4.390000000000001</t>
  </si>
  <si>
    <t xml:space="preserve"> Timestamp('2019-07-08 00</t>
  </si>
  <si>
    <t xml:space="preserve"> (-5.32</t>
  </si>
  <si>
    <t xml:space="preserve"> Timestamp('2019-10-02 00</t>
  </si>
  <si>
    <t xml:space="preserve"> (-3.93</t>
  </si>
  <si>
    <t xml:space="preserve"> 2018-03-09   2018-03-23</t>
  </si>
  <si>
    <t>2018-03-09   2018-03-23</t>
  </si>
  <si>
    <t xml:space="preserve"> (-4.319999999999999</t>
  </si>
  <si>
    <t xml:space="preserve"> Timestamp('2021-06-09 00</t>
  </si>
  <si>
    <t xml:space="preserve"> (-5.25</t>
  </si>
  <si>
    <t xml:space="preserve"> Timestamp('2017-07-28 00</t>
  </si>
  <si>
    <t xml:space="preserve"> (-5.4</t>
  </si>
  <si>
    <t xml:space="preserve"> Timestamp('2018-02-02 00</t>
  </si>
  <si>
    <t xml:space="preserve"> (-7.8400000000000105</t>
  </si>
  <si>
    <t xml:space="preserve"> (-2.76</t>
  </si>
  <si>
    <t xml:space="preserve"> Timestamp('2015-07-06 00</t>
  </si>
  <si>
    <t xml:space="preserve"> (-2.8</t>
  </si>
  <si>
    <t xml:space="preserve"> (-3.7800000000000002</t>
  </si>
  <si>
    <t xml:space="preserve"> (-3.2</t>
  </si>
  <si>
    <t xml:space="preserve"> (-3.1899999999999995</t>
  </si>
  <si>
    <t xml:space="preserve"> Timestamp('2010-10-12 00</t>
  </si>
  <si>
    <t xml:space="preserve"> (-2.7299999999999995</t>
  </si>
  <si>
    <t xml:space="preserve"> (-3.2199999999999998</t>
  </si>
  <si>
    <t xml:space="preserve"> (-3.6799999999999993</t>
  </si>
  <si>
    <t xml:space="preserve"> Timestamp('2018-01-30 00</t>
  </si>
  <si>
    <t xml:space="preserve"> (-1.1199999999999999</t>
  </si>
  <si>
    <t xml:space="preserve"> Timestamp('2022-05-24 00</t>
  </si>
  <si>
    <t xml:space="preserve"> (-2.04</t>
  </si>
  <si>
    <t xml:space="preserve"> (-2.6900000000000004</t>
  </si>
  <si>
    <t xml:space="preserve"> (-1.98</t>
  </si>
  <si>
    <t xml:space="preserve"> Timestamp('2019-07-03 00</t>
  </si>
  <si>
    <t>2021-05-07   2021-05-12</t>
  </si>
  <si>
    <t xml:space="preserve"> (-2.08</t>
  </si>
  <si>
    <t xml:space="preserve"> (-1.01</t>
  </si>
  <si>
    <t xml:space="preserve"> Timestamp('2021-09-02 00</t>
  </si>
  <si>
    <t xml:space="preserve"> (-0.75</t>
  </si>
  <si>
    <t xml:space="preserve"> 2021-05-07   2021-05-07</t>
  </si>
  <si>
    <t xml:space="preserve"> (-1.2000000000000002</t>
  </si>
  <si>
    <t xml:space="preserve"> Timestamp('2011-01-10 00</t>
  </si>
  <si>
    <t>rsi_{'C'</t>
  </si>
  <si>
    <t xml:space="preserve"> (-4.0</t>
  </si>
  <si>
    <t xml:space="preserve"> Timestamp('2020-03-06 00</t>
  </si>
  <si>
    <t xml:space="preserve"> (-3.41</t>
  </si>
  <si>
    <t xml:space="preserve"> Timestamp('2022-02-24 00</t>
  </si>
  <si>
    <t xml:space="preserve"> (-3.84</t>
  </si>
  <si>
    <t xml:space="preserve"> (-5.54</t>
  </si>
  <si>
    <t xml:space="preserve"> Timestamp('2021-10-29 00</t>
  </si>
  <si>
    <t xml:space="preserve"> (-4.6200000000000045</t>
  </si>
  <si>
    <t xml:space="preserve"> Timestamp('2022-11-10 00</t>
  </si>
  <si>
    <t xml:space="preserve"> (-6.99</t>
  </si>
  <si>
    <t xml:space="preserve"> Timestamp('2012-06-22 00</t>
  </si>
  <si>
    <t xml:space="preserve"> (-6.0</t>
  </si>
  <si>
    <t xml:space="preserve"> (-7.9</t>
  </si>
  <si>
    <t xml:space="preserve"> (-6.400000000000002</t>
  </si>
  <si>
    <t xml:space="preserve"> 2022-10-04   2022-11-10</t>
  </si>
  <si>
    <t>2022-10-04   2022-12-02</t>
  </si>
  <si>
    <t xml:space="preserve"> (-2.1700000000000004</t>
  </si>
  <si>
    <t xml:space="preserve"> Timestamp('2018-02-20 00</t>
  </si>
  <si>
    <t xml:space="preserve"> (-2.65</t>
  </si>
  <si>
    <t xml:space="preserve"> Timestamp('2013-05-10 00</t>
  </si>
  <si>
    <t xml:space="preserve"> (-4.2700000000000005</t>
  </si>
  <si>
    <t xml:space="preserve"> (-6.039999999999999</t>
  </si>
  <si>
    <t xml:space="preserve"> (-1.3899999999999997</t>
  </si>
  <si>
    <t xml:space="preserve"> Timestamp('2022-06-29 00</t>
  </si>
  <si>
    <t xml:space="preserve"> (-3.0</t>
  </si>
  <si>
    <t xml:space="preserve"> Timestamp('2010-06-07 00</t>
  </si>
  <si>
    <t xml:space="preserve"> nan</t>
  </si>
  <si>
    <t xml:space="preserve"> (-1.7</t>
  </si>
  <si>
    <t xml:space="preserve"> (-2.17</t>
  </si>
  <si>
    <t xml:space="preserve"> Timestamp('2012-06-21 00</t>
  </si>
  <si>
    <t xml:space="preserve"> (-0.5</t>
  </si>
  <si>
    <t xml:space="preserve"> (-0.5399999999999999</t>
  </si>
  <si>
    <t xml:space="preserve"> Timestamp('2019-08-22 00</t>
  </si>
  <si>
    <t xml:space="preserve"> (-0.98</t>
  </si>
  <si>
    <t xml:space="preserve"> (-1.3599999999999999</t>
  </si>
  <si>
    <t xml:space="preserve"> (-0.6300000000000001</t>
  </si>
  <si>
    <t xml:space="preserve"> Timestamp('2010-06-25 00</t>
  </si>
  <si>
    <t xml:space="preserve"> (-0.66</t>
  </si>
  <si>
    <t xml:space="preserve"> (-0.8499999999999999</t>
  </si>
  <si>
    <t xml:space="preserve"> (-0.7099999999999997</t>
  </si>
  <si>
    <t>stoch_{'C'</t>
  </si>
  <si>
    <t xml:space="preserve"> (-5.379999999999999</t>
  </si>
  <si>
    <t xml:space="preserve"> (-13.53</t>
  </si>
  <si>
    <t xml:space="preserve"> (-14.059999999999999</t>
  </si>
  <si>
    <t xml:space="preserve"> Timestamp('2022-10-11 00</t>
  </si>
  <si>
    <t xml:space="preserve"> (-9.100000000000001</t>
  </si>
  <si>
    <t xml:space="preserve"> (-15.760000000000002</t>
  </si>
  <si>
    <t xml:space="preserve"> (-17.230000000000018</t>
  </si>
  <si>
    <t xml:space="preserve"> (-15.58</t>
  </si>
  <si>
    <t xml:space="preserve"> (-18.202946414973873</t>
  </si>
  <si>
    <t xml:space="preserve"> (-21.0507221084495</t>
  </si>
  <si>
    <t xml:space="preserve"> (-10.06</t>
  </si>
  <si>
    <t xml:space="preserve"> (-4.539999999999999</t>
  </si>
  <si>
    <t xml:space="preserve"> (-12.049999999999999</t>
  </si>
  <si>
    <t xml:space="preserve"> (-14.270000000000001</t>
  </si>
  <si>
    <t xml:space="preserve"> (-2.8599999999999994</t>
  </si>
  <si>
    <t xml:space="preserve"> (-7.1</t>
  </si>
  <si>
    <t xml:space="preserve"> (-3.6499999999999995</t>
  </si>
  <si>
    <t xml:space="preserve"> (-6.91</t>
  </si>
  <si>
    <t xml:space="preserve"> (-4.2</t>
  </si>
  <si>
    <t xml:space="preserve"> (-9.11</t>
  </si>
  <si>
    <t xml:space="preserve"> (-1.49</t>
  </si>
  <si>
    <t xml:space="preserve"> Timestamp('2011-08-10 00</t>
  </si>
  <si>
    <t xml:space="preserve"> (-3.83</t>
  </si>
  <si>
    <t xml:space="preserve"> (-1.354545183712366</t>
  </si>
  <si>
    <t xml:space="preserve"> Timestamp('2011-10-04 00</t>
  </si>
  <si>
    <t xml:space="preserve"> (-3.21</t>
  </si>
  <si>
    <t xml:space="preserve"> (-1.52</t>
  </si>
  <si>
    <t xml:space="preserve"> (-4.430000000000001</t>
  </si>
  <si>
    <t>alltime_{'C',  [('delta', 0.4,  1)]}_[7,  35]_1</t>
  </si>
  <si>
    <t>alltime_{'C',  [('delta', 0.4,  1)]}_[7,  35]_2</t>
  </si>
  <si>
    <t>alltime_{'C',  [('delta', 0.4,  1)]}_[7,  35]_3</t>
  </si>
  <si>
    <t>alltime_{'C',  [('delta', 0.4,  1)]}_[7,  35]_4</t>
  </si>
  <si>
    <t>alltime_{'C',  [('delta', 0.4,  1)]}_[21,  49]_1</t>
  </si>
  <si>
    <t>alltime_{'C',  [('delta', 0.4,  1)]}_[21,  49]_2</t>
  </si>
  <si>
    <t>alltime_{'C',  [('delta', 0.4,  1)]}_[21,  49]_3</t>
  </si>
  <si>
    <t>alltime_{'C',  [('delta', 0.4,  1)]}_[21,  49]_4</t>
  </si>
  <si>
    <t>alltime_{'C',  [('delta', 0.4,  1)]}_[35,  70]_1</t>
  </si>
  <si>
    <t>alltime_{'C',  [('delta', 0.4,  1)]}_[35,  70]_2</t>
  </si>
  <si>
    <t>alltime_{'C',  [('delta', 0.4,  1)]}_[35,  70]_3</t>
  </si>
  <si>
    <t>alltime_{'C',  [('delta', 0.4,  1)]}_[35,  70]_4</t>
  </si>
  <si>
    <t>alltime_{'C',  [('delta', 0.3,  1)]}_[7,  35]_1</t>
  </si>
  <si>
    <t>alltime_{'C',  [('delta', 0.3,  1)]}_[7,  35]_2</t>
  </si>
  <si>
    <t>alltime_{'C',  [('delta', 0.3,  1)]}_[7,  35]_3</t>
  </si>
  <si>
    <t>alltime_{'C',  [('delta', 0.3,  1)]}_[7,  35]_4</t>
  </si>
  <si>
    <t>alltime_{'C',  [('delta', 0.3,  1)]}_[21,  49]_1</t>
  </si>
  <si>
    <t>alltime_{'C',  [('delta', 0.3,  1)]}_[21,  49]_2</t>
  </si>
  <si>
    <t>alltime_{'C',  [('delta', 0.3,  1)]}_[21,  49]_3</t>
  </si>
  <si>
    <t>alltime_{'C',  [('delta', 0.3,  1)]}_[21,  49]_4</t>
  </si>
  <si>
    <t>alltime_{'C',  [('delta', 0.3,  1)]}_[35,  70]_1</t>
  </si>
  <si>
    <t>alltime_{'C',  [('delta', 0.3,  1)]}_[35,  70]_2</t>
  </si>
  <si>
    <t>alltime_{'C',  [('delta', 0.3,  1)]}_[35,  70]_3</t>
  </si>
  <si>
    <t>alltime_{'C',  [('delta', 0.3,  1)]}_[35,  70]_4</t>
  </si>
  <si>
    <t>alltime_{'C',  [('delta', 0.2,  1)]}_[7,  35]_1</t>
  </si>
  <si>
    <t>alltime_{'C',  [('delta', 0.2,  1)]}_[7,  35]_2</t>
  </si>
  <si>
    <t>alltime_{'C',  [('delta', 0.2,  1)]}_[7,  35]_3</t>
  </si>
  <si>
    <t>alltime_{'C',  [('delta', 0.2,  1)]}_[7,  35]_4</t>
  </si>
  <si>
    <t>alltime_{'C',  [('delta', 0.2,  1)]}_[21,  49]_1</t>
  </si>
  <si>
    <t>alltime_{'C',  [('delta', 0.2,  1)]}_[21,  49]_2</t>
  </si>
  <si>
    <t>alltime_{'C',  [('delta', 0.2,  1)]}_[21,  49]_3</t>
  </si>
  <si>
    <t>alltime_{'C',  [('delta', 0.2,  1)]}_[21,  49]_4</t>
  </si>
  <si>
    <t>alltime_{'C',  [('delta', 0.2,  1)]}_[35,  70]_1</t>
  </si>
  <si>
    <t>alltime_{'C',  [('delta', 0.2,  1)]}_[35,  70]_2</t>
  </si>
  <si>
    <t>alltime_{'C',  [('delta', 0.2,  1)]}_[35,  70]_3</t>
  </si>
  <si>
    <t>alltime_{'C',  [('delta', 0.2,  1)]}_[35,  70]_4</t>
  </si>
  <si>
    <t xml:space="preserve">2010-09-10   2010-11-11, , , , </t>
  </si>
  <si>
    <t>Name,  drawdown_date,  dtype,  datetime64[ns]),  'net_liq_mdd'</t>
  </si>
  <si>
    <t>alltime_{'C',  [('delta', 0.1,  1)]}_[7,  35]_1</t>
  </si>
  <si>
    <t>alltime_{'C',  [('delta', 0.1,  1)]}_[7,  35]_2</t>
  </si>
  <si>
    <t>alltime_{'C',  [('delta', 0.1,  1)]}_[7,  35]_3</t>
  </si>
  <si>
    <t>alltime_{'C',  [('delta', 0.1,  1)]}_[7,  35]_4</t>
  </si>
  <si>
    <t>alltime_{'C',  [('delta', 0.1,  1)]}_[21,  49]_1</t>
  </si>
  <si>
    <t>alltime_{'C',  [('delta', 0.1,  1)]}_[21,  49]_2</t>
  </si>
  <si>
    <t>alltime_{'C',  [('delta', 0.1,  1)]}_[21,  49]_3</t>
  </si>
  <si>
    <t>alltime_{'C',  [('delta', 0.1,  1)]}_[21,  49]_4</t>
  </si>
  <si>
    <t>alltime_{'C',  [('delta', 0.1,  1)]}_[35,  70]_1</t>
  </si>
  <si>
    <t>alltime_{'C',  [('delta', 0.1,  1)]}_[35,  70]_2</t>
  </si>
  <si>
    <t>alltime_{'C',  [('delta', 0.1,  1)]}_[35,  70]_3</t>
  </si>
  <si>
    <t>alltime_{'C',  [('delta', 0.1,  1)]}_[35,  70]_4</t>
  </si>
  <si>
    <t>bbands_{'C',  [('delta', 0.4,  1)]}_[7,  35]_1</t>
  </si>
  <si>
    <t>bbands_{'C',  [('delta', 0.4,  1)]}_[7,  35]_2</t>
  </si>
  <si>
    <t>bbands_{'C',  [('delta', 0.4,  1)]}_[7,  35]_3</t>
  </si>
  <si>
    <t>bbands_{'C',  [('delta', 0.4,  1)]}_[7,  35]_4</t>
  </si>
  <si>
    <t>bbands_{'C',  [('delta', 0.4,  1)]}_[21,  49]_1</t>
  </si>
  <si>
    <t>bbands_{'C',  [('delta', 0.4,  1)]}_[21,  49]_2</t>
  </si>
  <si>
    <t>bbands_{'C',  [('delta', 0.4,  1)]}_[21,  49]_3</t>
  </si>
  <si>
    <t>bbands_{'C',  [('delta', 0.4,  1)]}_[21,  49]_4</t>
  </si>
  <si>
    <t>bbands_{'C',  [('delta', 0.4,  1)]}_[35,  70]_1</t>
  </si>
  <si>
    <t>bbands_{'C',  [('delta', 0.4,  1)]}_[35,  70]_2</t>
  </si>
  <si>
    <t>bbands_{'C',  [('delta', 0.4,  1)]}_[35,  70]_3</t>
  </si>
  <si>
    <t>bbands_{'C',  [('delta', 0.4,  1)]}_[35,  70]_4</t>
  </si>
  <si>
    <t>bbands_{'C',  [('delta', 0.3,  1)]}_[7,  35]_1</t>
  </si>
  <si>
    <t>bbands_{'C',  [('delta', 0.3,  1)]}_[7,  35]_2</t>
  </si>
  <si>
    <t>bbands_{'C',  [('delta', 0.3,  1)]}_[7,  35]_3</t>
  </si>
  <si>
    <t>bbands_{'C',  [('delta', 0.3,  1)]}_[7,  35]_4</t>
  </si>
  <si>
    <t>bbands_{'C',  [('delta', 0.3,  1)]}_[21,  49]_1</t>
  </si>
  <si>
    <t>bbands_{'C',  [('delta', 0.3,  1)]}_[21,  49]_2</t>
  </si>
  <si>
    <t>bbands_{'C',  [('delta', 0.3,  1)]}_[21,  49]_3</t>
  </si>
  <si>
    <t>bbands_{'C',  [('delta', 0.3,  1)]}_[21,  49]_4</t>
  </si>
  <si>
    <t>bbands_{'C',  [('delta', 0.3,  1)]}_[35,  70]_1</t>
  </si>
  <si>
    <t>bbands_{'C',  [('delta', 0.3,  1)]}_[35,  70]_2</t>
  </si>
  <si>
    <t>bbands_{'C',  [('delta', 0.3,  1)]}_[35,  70]_3</t>
  </si>
  <si>
    <t>bbands_{'C',  [('delta', 0.3,  1)]}_[35,  70]_4</t>
  </si>
  <si>
    <t>bbands_{'C',  [('delta', 0.2,  1)]}_[7,  35]_1</t>
  </si>
  <si>
    <t>bbands_{'C',  [('delta', 0.2,  1)]}_[7,  35]_2</t>
  </si>
  <si>
    <t>bbands_{'C',  [('delta', 0.2,  1)]}_[7,  35]_3</t>
  </si>
  <si>
    <t>bbands_{'C',  [('delta', 0.2,  1)]}_[7,  35]_4</t>
  </si>
  <si>
    <t>bbands_{'C',  [('delta', 0.2,  1)]}_[21,  49]_1</t>
  </si>
  <si>
    <t>bbands_{'C',  [('delta', 0.2,  1)]}_[21,  49]_2</t>
  </si>
  <si>
    <t>bbands_{'C',  [('delta', 0.2,  1)]}_[21,  49]_3</t>
  </si>
  <si>
    <t>bbands_{'C',  [('delta', 0.2,  1)]}_[21,  49]_4</t>
  </si>
  <si>
    <t>bbands_{'C',  [('delta', 0.2,  1)]}_[35,  70]_1</t>
  </si>
  <si>
    <t>bbands_{'C',  [('delta', 0.2,  1)]}_[35,  70]_2</t>
  </si>
  <si>
    <t>bbands_{'C',  [('delta', 0.2,  1)]}_[35,  70]_3</t>
  </si>
  <si>
    <t>bbands_{'C',  [('delta', 0.2,  1)]}_[35,  70]_4</t>
  </si>
  <si>
    <t>bbands_{'C',  [('delta', 0.1,  1)]}_[7,  35]_1</t>
  </si>
  <si>
    <t>bbands_{'C',  [('delta', 0.1,  1)]}_[7,  35]_2</t>
  </si>
  <si>
    <t>bbands_{'C',  [('delta', 0.1,  1)]}_[7,  35]_3</t>
  </si>
  <si>
    <t>bbands_{'C',  [('delta', 0.1,  1)]}_[7,  35]_4</t>
  </si>
  <si>
    <t>bbands_{'C',  [('delta', 0.1,  1)]}_[21,  49]_1</t>
  </si>
  <si>
    <t>bbands_{'C',  [('delta', 0.1,  1)]}_[21,  49]_2</t>
  </si>
  <si>
    <t>bbands_{'C',  [('delta', 0.1,  1)]}_[21,  49]_3</t>
  </si>
  <si>
    <t>bbands_{'C',  [('delta', 0.1,  1)]}_[21,  49]_4</t>
  </si>
  <si>
    <t>bbands_{'C',  [('delta', 0.1,  1)]}_[35,  70]_1</t>
  </si>
  <si>
    <t>bbands_{'C',  [('delta', 0.1,  1)]}_[35,  70]_2</t>
  </si>
  <si>
    <t>bbands_{'C',  [('delta', 0.1,  1)]}_[35,  70]_3</t>
  </si>
  <si>
    <t>bbands_{'C',  [('delta', 0.1,  1)]}_[35,  70]_4</t>
  </si>
  <si>
    <t>psar_{'C',  [('delta', 0.4,  1)]}_[7,  35]_1</t>
  </si>
  <si>
    <t>psar_{'C',  [('delta', 0.4,  1)]}_[7,  35]_2</t>
  </si>
  <si>
    <t>psar_{'C',  [('delta', 0.4,  1)]}_[7,  35]_3</t>
  </si>
  <si>
    <t>psar_{'C',  [('delta', 0.4,  1)]}_[7,  35]_4</t>
  </si>
  <si>
    <t>psar_{'C',  [('delta', 0.4,  1)]}_[21,  49]_1</t>
  </si>
  <si>
    <t>psar_{'C',  [('delta', 0.4,  1)]}_[21,  49]_2</t>
  </si>
  <si>
    <t>psar_{'C',  [('delta', 0.4,  1)]}_[21,  49]_3</t>
  </si>
  <si>
    <t>psar_{'C',  [('delta', 0.4,  1)]}_[21,  49]_4</t>
  </si>
  <si>
    <t>psar_{'C',  [('delta', 0.4,  1)]}_[35,  70]_1</t>
  </si>
  <si>
    <t xml:space="preserve">2011-10-07   2011-11-10, , , , </t>
  </si>
  <si>
    <t>psar_{'C',  [('delta', 0.4,  1)]}_[35,  70]_2</t>
  </si>
  <si>
    <t>psar_{'C',  [('delta', 0.4,  1)]}_[35,  70]_3</t>
  </si>
  <si>
    <t>psar_{'C',  [('delta', 0.4,  1)]}_[35,  70]_4</t>
  </si>
  <si>
    <t>psar_{'C',  [('delta', 0.3,  1)]}_[7,  35]_1</t>
  </si>
  <si>
    <t>psar_{'C',  [('delta', 0.3,  1)]}_[7,  35]_2</t>
  </si>
  <si>
    <t>psar_{'C',  [('delta', 0.3,  1)]}_[7,  35]_3</t>
  </si>
  <si>
    <t>psar_{'C',  [('delta', 0.3,  1)]}_[7,  35]_4</t>
  </si>
  <si>
    <t>psar_{'C',  [('delta', 0.3,  1)]}_[21,  49]_1</t>
  </si>
  <si>
    <t>psar_{'C',  [('delta', 0.3,  1)]}_[21,  49]_2</t>
  </si>
  <si>
    <t>psar_{'C',  [('delta', 0.3,  1)]}_[21,  49]_3</t>
  </si>
  <si>
    <t>psar_{'C',  [('delta', 0.3,  1)]}_[21,  49]_4</t>
  </si>
  <si>
    <t>psar_{'C',  [('delta', 0.3,  1)]}_[35,  70]_1</t>
  </si>
  <si>
    <t>psar_{'C',  [('delta', 0.3,  1)]}_[35,  70]_2</t>
  </si>
  <si>
    <t>psar_{'C',  [('delta', 0.3,  1)]}_[35,  70]_3</t>
  </si>
  <si>
    <t>psar_{'C',  [('delta', 0.3,  1)]}_[35,  70]_4</t>
  </si>
  <si>
    <t xml:space="preserve">2010-09-06   2010-11-11, , , , </t>
  </si>
  <si>
    <t>psar_{'C',  [('delta', 0.2,  1)]}_[7,  35]_1</t>
  </si>
  <si>
    <t>psar_{'C',  [('delta', 0.2,  1)]}_[7,  35]_2</t>
  </si>
  <si>
    <t>psar_{'C',  [('delta', 0.2,  1)]}_[7,  35]_3</t>
  </si>
  <si>
    <t>psar_{'C',  [('delta', 0.2,  1)]}_[7,  35]_4</t>
  </si>
  <si>
    <t>psar_{'C',  [('delta', 0.2,  1)]}_[21,  49]_1</t>
  </si>
  <si>
    <t>psar_{'C',  [('delta', 0.2,  1)]}_[21,  49]_2</t>
  </si>
  <si>
    <t>psar_{'C',  [('delta', 0.2,  1)]}_[21,  49]_3</t>
  </si>
  <si>
    <t>psar_{'C',  [('delta', 0.2,  1)]}_[21,  49]_4</t>
  </si>
  <si>
    <t>psar_{'C',  [('delta', 0.2,  1)]}_[35,  70]_1</t>
  </si>
  <si>
    <t>psar_{'C',  [('delta', 0.2,  1)]}_[35,  70]_2</t>
  </si>
  <si>
    <t>psar_{'C',  [('delta', 0.2,  1)]}_[35,  70]_3</t>
  </si>
  <si>
    <t>psar_{'C',  [('delta', 0.2,  1)]}_[35,  70]_4</t>
  </si>
  <si>
    <t>psar_{'C',  [('delta', 0.1,  1)]}_[7,  35]_1</t>
  </si>
  <si>
    <t>psar_{'C',  [('delta', 0.1,  1)]}_[7,  35]_2</t>
  </si>
  <si>
    <t>psar_{'C',  [('delta', 0.1,  1)]}_[7,  35]_3</t>
  </si>
  <si>
    <t>psar_{'C',  [('delta', 0.1,  1)]}_[7,  35]_4</t>
  </si>
  <si>
    <t>psar_{'C',  [('delta', 0.1,  1)]}_[21,  49]_1</t>
  </si>
  <si>
    <t>psar_{'C',  [('delta', 0.1,  1)]}_[21,  49]_2</t>
  </si>
  <si>
    <t>psar_{'C',  [('delta', 0.1,  1)]}_[21,  49]_3</t>
  </si>
  <si>
    <t>psar_{'C',  [('delta', 0.1,  1)]}_[21,  49]_4</t>
  </si>
  <si>
    <t>psar_{'C',  [('delta', 0.1,  1)]}_[35,  70]_1</t>
  </si>
  <si>
    <t>psar_{'C',  [('delta', 0.1,  1)]}_[35,  70]_2</t>
  </si>
  <si>
    <t xml:space="preserve">2021-05-07   2021-05-11, , , , </t>
  </si>
  <si>
    <t>psar_{'C',  [('delta', 0.1,  1)]}_[35,  70]_3</t>
  </si>
  <si>
    <t>psar_{'C',  [('delta', 0.1,  1)]}_[35,  70]_4</t>
  </si>
  <si>
    <t>psar_no_highvol_{'C',  [('delta', 0.4,  1)]}_[7,  35]_1</t>
  </si>
  <si>
    <t>psar_no_highvol_{'C',  [('delta', 0.4,  1)]}_[7,  35]_2</t>
  </si>
  <si>
    <t>psar_no_highvol_{'C',  [('delta', 0.4,  1)]}_[7,  35]_3</t>
  </si>
  <si>
    <t>psar_no_highvol_{'C',  [('delta', 0.4,  1)]}_[7,  35]_4</t>
  </si>
  <si>
    <t>psar_no_highvol_{'C',  [('delta', 0.4,  1)]}_[21,  49]_1</t>
  </si>
  <si>
    <t>psar_no_highvol_{'C',  [('delta', 0.4,  1)]}_[21,  49]_2</t>
  </si>
  <si>
    <t>psar_no_highvol_{'C',  [('delta', 0.4,  1)]}_[21,  49]_3</t>
  </si>
  <si>
    <t>psar_no_highvol_{'C',  [('delta', 0.4,  1)]}_[21,  49]_4</t>
  </si>
  <si>
    <t>psar_no_highvol_{'C',  [('delta', 0.4,  1)]}_[35,  70]_1</t>
  </si>
  <si>
    <t xml:space="preserve">2018-03-09   2018-03-23, , , , </t>
  </si>
  <si>
    <t>psar_no_highvol_{'C',  [('delta', 0.4,  1)]}_[35,  70]_2</t>
  </si>
  <si>
    <t>psar_no_highvol_{'C',  [('delta', 0.4,  1)]}_[35,  70]_3</t>
  </si>
  <si>
    <t>psar_no_highvol_{'C',  [('delta', 0.4,  1)]}_[35,  70]_4</t>
  </si>
  <si>
    <t>psar_no_highvol_{'C',  [('delta', 0.3,  1)]}_[7,  35]_1</t>
  </si>
  <si>
    <t>psar_no_highvol_{'C',  [('delta', 0.3,  1)]}_[7,  35]_2</t>
  </si>
  <si>
    <t>psar_no_highvol_{'C',  [('delta', 0.3,  1)]}_[7,  35]_3</t>
  </si>
  <si>
    <t>psar_no_highvol_{'C',  [('delta', 0.3,  1)]}_[7,  35]_4</t>
  </si>
  <si>
    <t>psar_no_highvol_{'C',  [('delta', 0.3,  1)]}_[21,  49]_1</t>
  </si>
  <si>
    <t>psar_no_highvol_{'C',  [('delta', 0.3,  1)]}_[21,  49]_2</t>
  </si>
  <si>
    <t>psar_no_highvol_{'C',  [('delta', 0.3,  1)]}_[21,  49]_3</t>
  </si>
  <si>
    <t>psar_no_highvol_{'C',  [('delta', 0.3,  1)]}_[21,  49]_4</t>
  </si>
  <si>
    <t>psar_no_highvol_{'C',  [('delta', 0.3,  1)]}_[35,  70]_1</t>
  </si>
  <si>
    <t>psar_no_highvol_{'C',  [('delta', 0.3,  1)]}_[35,  70]_2</t>
  </si>
  <si>
    <t>psar_no_highvol_{'C',  [('delta', 0.3,  1)]}_[35,  70]_3</t>
  </si>
  <si>
    <t>psar_no_highvol_{'C',  [('delta', 0.3,  1)]}_[35,  70]_4</t>
  </si>
  <si>
    <t>psar_no_highvol_{'C',  [('delta', 0.2,  1)]}_[7,  35]_1</t>
  </si>
  <si>
    <t>psar_no_highvol_{'C',  [('delta', 0.2,  1)]}_[7,  35]_2</t>
  </si>
  <si>
    <t>psar_no_highvol_{'C',  [('delta', 0.2,  1)]}_[7,  35]_3</t>
  </si>
  <si>
    <t>psar_no_highvol_{'C',  [('delta', 0.2,  1)]}_[7,  35]_4</t>
  </si>
  <si>
    <t>psar_no_highvol_{'C',  [('delta', 0.2,  1)]}_[21,  49]_1</t>
  </si>
  <si>
    <t>psar_no_highvol_{'C',  [('delta', 0.2,  1)]}_[21,  49]_2</t>
  </si>
  <si>
    <t>psar_no_highvol_{'C',  [('delta', 0.2,  1)]}_[21,  49]_3</t>
  </si>
  <si>
    <t>psar_no_highvol_{'C',  [('delta', 0.2,  1)]}_[21,  49]_4</t>
  </si>
  <si>
    <t>psar_no_highvol_{'C',  [('delta', 0.2,  1)]}_[35,  70]_1</t>
  </si>
  <si>
    <t xml:space="preserve">2021-05-07   2021-05-12, , , , </t>
  </si>
  <si>
    <t>psar_no_highvol_{'C',  [('delta', 0.2,  1)]}_[35,  70]_2</t>
  </si>
  <si>
    <t>psar_no_highvol_{'C',  [('delta', 0.2,  1)]}_[35,  70]_3</t>
  </si>
  <si>
    <t>psar_no_highvol_{'C',  [('delta', 0.2,  1)]}_[35,  70]_4</t>
  </si>
  <si>
    <t>psar_no_highvol_{'C',  [('delta', 0.1,  1)]}_[7,  35]_1</t>
  </si>
  <si>
    <t>psar_no_highvol_{'C',  [('delta', 0.1,  1)]}_[7,  35]_2</t>
  </si>
  <si>
    <t>psar_no_highvol_{'C',  [('delta', 0.1,  1)]}_[7,  35]_3</t>
  </si>
  <si>
    <t>psar_no_highvol_{'C',  [('delta', 0.1,  1)]}_[7,  35]_4</t>
  </si>
  <si>
    <t>psar_no_highvol_{'C',  [('delta', 0.1,  1)]}_[21,  49]_1</t>
  </si>
  <si>
    <t>psar_no_highvol_{'C',  [('delta', 0.1,  1)]}_[21,  49]_2</t>
  </si>
  <si>
    <t>psar_no_highvol_{'C',  [('delta', 0.1,  1)]}_[21,  49]_3</t>
  </si>
  <si>
    <t>psar_no_highvol_{'C',  [('delta', 0.1,  1)]}_[21,  49]_4</t>
  </si>
  <si>
    <t>psar_no_highvol_{'C',  [('delta', 0.1,  1)]}_[35,  70]_1</t>
  </si>
  <si>
    <t>psar_no_highvol_{'C',  [('delta', 0.1,  1)]}_[35,  70]_2</t>
  </si>
  <si>
    <t>psar_no_highvol_{'C',  [('delta', 0.1,  1)]}_[35,  70]_3</t>
  </si>
  <si>
    <t>psar_no_highvol_{'C',  [('delta', 0.1,  1)]}_[35,  70]_4</t>
  </si>
  <si>
    <t>rsi_{'C',  [('delta', 0.4,  1)]}_[7,  35]_1</t>
  </si>
  <si>
    <t>rsi_{'C',  [('delta', 0.4,  1)]}_[7,  35]_2</t>
  </si>
  <si>
    <t>rsi_{'C',  [('delta', 0.4,  1)]}_[7,  35]_3</t>
  </si>
  <si>
    <t>rsi_{'C',  [('delta', 0.4,  1)]}_[7,  35]_4</t>
  </si>
  <si>
    <t>rsi_{'C',  [('delta', 0.4,  1)]}_[21,  49]_1</t>
  </si>
  <si>
    <t>rsi_{'C',  [('delta', 0.4,  1)]}_[21,  49]_2</t>
  </si>
  <si>
    <t>rsi_{'C',  [('delta', 0.4,  1)]}_[21,  49]_3</t>
  </si>
  <si>
    <t>rsi_{'C',  [('delta', 0.4,  1)]}_[21,  49]_4</t>
  </si>
  <si>
    <t>rsi_{'C',  [('delta', 0.4,  1)]}_[35,  70]_1</t>
  </si>
  <si>
    <t>rsi_{'C',  [('delta', 0.4,  1)]}_[35,  70]_2</t>
  </si>
  <si>
    <t>rsi_{'C',  [('delta', 0.4,  1)]}_[35,  70]_3</t>
  </si>
  <si>
    <t>rsi_{'C',  [('delta', 0.4,  1)]}_[35,  70]_4</t>
  </si>
  <si>
    <t xml:space="preserve">2022-10-04   2022-12-02, , , , </t>
  </si>
  <si>
    <t>rsi_{'C',  [('delta', 0.3,  1)]}_[7,  35]_1</t>
  </si>
  <si>
    <t>rsi_{'C',  [('delta', 0.3,  1)]}_[7,  35]_2</t>
  </si>
  <si>
    <t>rsi_{'C',  [('delta', 0.3,  1)]}_[7,  35]_3</t>
  </si>
  <si>
    <t>rsi_{'C',  [('delta', 0.3,  1)]}_[7,  35]_4</t>
  </si>
  <si>
    <t>rsi_{'C',  [('delta', 0.3,  1)]}_[21,  49]_1</t>
  </si>
  <si>
    <t>rsi_{'C',  [('delta', 0.3,  1)]}_[21,  49]_2</t>
  </si>
  <si>
    <t>rsi_{'C',  [('delta', 0.3,  1)]}_[21,  49]_3</t>
  </si>
  <si>
    <t>rsi_{'C',  [('delta', 0.3,  1)]}_[21,  49]_4</t>
  </si>
  <si>
    <t>rsi_{'C',  [('delta', 0.3,  1)]}_[35,  70]_1</t>
  </si>
  <si>
    <t>rsi_{'C',  [('delta', 0.3,  1)]}_[35,  70]_2</t>
  </si>
  <si>
    <t>rsi_{'C',  [('delta', 0.3,  1)]}_[35,  70]_3</t>
  </si>
  <si>
    <t>rsi_{'C',  [('delta', 0.3,  1)]}_[35,  70]_4</t>
  </si>
  <si>
    <t>rsi_{'C',  [('delta', 0.2,  1)]}_[7,  35]_1</t>
  </si>
  <si>
    <t>rsi_{'C',  [('delta', 0.2,  1)]}_[7,  35]_2</t>
  </si>
  <si>
    <t>rsi_{'C',  [('delta', 0.2,  1)]}_[7,  35]_3</t>
  </si>
  <si>
    <t>rsi_{'C',  [('delta', 0.2,  1)]}_[7,  35]_4</t>
  </si>
  <si>
    <t>rsi_{'C',  [('delta', 0.2,  1)]}_[21,  49]_1</t>
  </si>
  <si>
    <t>rsi_{'C',  [('delta', 0.2,  1)]}_[21,  49]_2</t>
  </si>
  <si>
    <t>rsi_{'C',  [('delta', 0.2,  1)]}_[21,  49]_3</t>
  </si>
  <si>
    <t>rsi_{'C',  [('delta', 0.2,  1)]}_[21,  49]_4</t>
  </si>
  <si>
    <t>rsi_{'C',  [('delta', 0.2,  1)]}_[35,  70]_1</t>
  </si>
  <si>
    <t>rsi_{'C',  [('delta', 0.2,  1)]}_[35,  70]_2</t>
  </si>
  <si>
    <t>rsi_{'C',  [('delta', 0.2,  1)]}_[35,  70]_3</t>
  </si>
  <si>
    <t>rsi_{'C',  [('delta', 0.2,  1)]}_[35,  70]_4</t>
  </si>
  <si>
    <t>rsi_{'C',  [('delta', 0.1,  1)]}_[7,  35]_1</t>
  </si>
  <si>
    <t>rsi_{'C',  [('delta', 0.1,  1)]}_[7,  35]_2</t>
  </si>
  <si>
    <t>rsi_{'C',  [('delta', 0.1,  1)]}_[7,  35]_3</t>
  </si>
  <si>
    <t>rsi_{'C',  [('delta', 0.1,  1)]}_[7,  35]_4</t>
  </si>
  <si>
    <t>rsi_{'C',  [('delta', 0.1,  1)]}_[21,  49]_1</t>
  </si>
  <si>
    <t>rsi_{'C',  [('delta', 0.1,  1)]}_[21,  49]_2</t>
  </si>
  <si>
    <t>rsi_{'C',  [('delta', 0.1,  1)]}_[21,  49]_3</t>
  </si>
  <si>
    <t>rsi_{'C',  [('delta', 0.1,  1)]}_[21,  49]_4</t>
  </si>
  <si>
    <t>rsi_{'C',  [('delta', 0.1,  1)]}_[35,  70]_1</t>
  </si>
  <si>
    <t>rsi_{'C',  [('delta', 0.1,  1)]}_[35,  70]_2</t>
  </si>
  <si>
    <t>rsi_{'C',  [('delta', 0.1,  1)]}_[35,  70]_3</t>
  </si>
  <si>
    <t>rsi_{'C',  [('delta', 0.1,  1)]}_[35,  70]_4</t>
  </si>
  <si>
    <t>stoch_{'C',  [('delta', 0.4,  1)]}_[7,  35]_1</t>
  </si>
  <si>
    <t>stoch_{'C',  [('delta', 0.4,  1)]}_[7,  35]_2</t>
  </si>
  <si>
    <t>stoch_{'C',  [('delta', 0.4,  1)]}_[7,  35]_3</t>
  </si>
  <si>
    <t>stoch_{'C',  [('delta', 0.4,  1)]}_[7,  35]_4</t>
  </si>
  <si>
    <t>stoch_{'C',  [('delta', 0.4,  1)]}_[21,  49]_1</t>
  </si>
  <si>
    <t>stoch_{'C',  [('delta', 0.4,  1)]}_[21,  49]_2</t>
  </si>
  <si>
    <t>stoch_{'C',  [('delta', 0.4,  1)]}_[21,  49]_3</t>
  </si>
  <si>
    <t>stoch_{'C',  [('delta', 0.4,  1)]}_[21,  49]_4</t>
  </si>
  <si>
    <t>stoch_{'C',  [('delta', 0.4,  1)]}_[35,  70]_1</t>
  </si>
  <si>
    <t>stoch_{'C',  [('delta', 0.4,  1)]}_[35,  70]_2</t>
  </si>
  <si>
    <t>stoch_{'C',  [('delta', 0.4,  1)]}_[35,  70]_3</t>
  </si>
  <si>
    <t>stoch_{'C',  [('delta', 0.4,  1)]}_[35,  70]_4</t>
  </si>
  <si>
    <t>stoch_{'C',  [('delta', 0.3,  1)]}_[7,  35]_1</t>
  </si>
  <si>
    <t>stoch_{'C',  [('delta', 0.3,  1)]}_[7,  35]_2</t>
  </si>
  <si>
    <t>stoch_{'C',  [('delta', 0.3,  1)]}_[7,  35]_3</t>
  </si>
  <si>
    <t>stoch_{'C',  [('delta', 0.3,  1)]}_[7,  35]_4</t>
  </si>
  <si>
    <t>stoch_{'C',  [('delta', 0.3,  1)]}_[21,  49]_1</t>
  </si>
  <si>
    <t>stoch_{'C',  [('delta', 0.3,  1)]}_[21,  49]_2</t>
  </si>
  <si>
    <t>stoch_{'C',  [('delta', 0.3,  1)]}_[21,  49]_3</t>
  </si>
  <si>
    <t>stoch_{'C',  [('delta', 0.3,  1)]}_[21,  49]_4</t>
  </si>
  <si>
    <t>stoch_{'C',  [('delta', 0.3,  1)]}_[35,  70]_1</t>
  </si>
  <si>
    <t>stoch_{'C',  [('delta', 0.3,  1)]}_[35,  70]_2</t>
  </si>
  <si>
    <t>stoch_{'C',  [('delta', 0.3,  1)]}_[35,  70]_3</t>
  </si>
  <si>
    <t>stoch_{'C',  [('delta', 0.3,  1)]}_[35,  70]_4</t>
  </si>
  <si>
    <t>stoch_{'C',  [('delta', 0.2,  1)]}_[7,  35]_1</t>
  </si>
  <si>
    <t>stoch_{'C',  [('delta', 0.2,  1)]}_[7,  35]_2</t>
  </si>
  <si>
    <t>stoch_{'C',  [('delta', 0.2,  1)]}_[7,  35]_3</t>
  </si>
  <si>
    <t>stoch_{'C',  [('delta', 0.2,  1)]}_[7,  35]_4</t>
  </si>
  <si>
    <t>stoch_{'C',  [('delta', 0.2,  1)]}_[21,  49]_1</t>
  </si>
  <si>
    <t>stoch_{'C',  [('delta', 0.2,  1)]}_[21,  49]_2</t>
  </si>
  <si>
    <t>stoch_{'C',  [('delta', 0.2,  1)]}_[21,  49]_3</t>
  </si>
  <si>
    <t>stoch_{'C',  [('delta', 0.2,  1)]}_[21,  49]_4</t>
  </si>
  <si>
    <t>stoch_{'C',  [('delta', 0.2,  1)]}_[35,  70]_1</t>
  </si>
  <si>
    <t>stoch_{'C',  [('delta', 0.2,  1)]}_[35,  70]_2</t>
  </si>
  <si>
    <t>stoch_{'C',  [('delta', 0.2,  1)]}_[35,  70]_3</t>
  </si>
  <si>
    <t>stoch_{'C',  [('delta', 0.2,  1)]}_[35,  70]_4</t>
  </si>
  <si>
    <t>stoch_{'C',  [('delta', 0.1,  1)]}_[7,  35]_1</t>
  </si>
  <si>
    <t>stoch_{'C',  [('delta', 0.1,  1)]}_[7,  35]_2</t>
  </si>
  <si>
    <t>stoch_{'C',  [('delta', 0.1,  1)]}_[7,  35]_3</t>
  </si>
  <si>
    <t>stoch_{'C',  [('delta', 0.1,  1)]}_[7,  35]_4</t>
  </si>
  <si>
    <t>stoch_{'C',  [('delta', 0.1,  1)]}_[21,  49]_1</t>
  </si>
  <si>
    <t>stoch_{'C',  [('delta', 0.1,  1)]}_[21,  49]_2</t>
  </si>
  <si>
    <t>stoch_{'C',  [('delta', 0.1,  1)]}_[21,  49]_3</t>
  </si>
  <si>
    <t>stoch_{'C',  [('delta', 0.1,  1)]}_[21,  49]_4</t>
  </si>
  <si>
    <t>stoch_{'C',  [('delta', 0.1,  1)]}_[35,  70]_1</t>
  </si>
  <si>
    <t>stoch_{'C',  [('delta', 0.1,  1)]}_[35,  70]_2</t>
  </si>
  <si>
    <t>stoch_{'C',  [('delta', 0.1,  1)]}_[35,  70]_3</t>
  </si>
  <si>
    <t>stoch_{'C',  [('delta', 0.1,  1)]}_[35,  70]_4</t>
  </si>
  <si>
    <t xml:space="preserve"> [('number'</t>
  </si>
  <si>
    <t xml:space="preserve"> 1)</t>
  </si>
  <si>
    <t xml:space="preserve"> ('number'</t>
  </si>
  <si>
    <t xml:space="preserve"> -1)]}_[7</t>
  </si>
  <si>
    <t xml:space="preserve"> (-7.869999999999997</t>
  </si>
  <si>
    <t xml:space="preserve"> (-22.37000000000001</t>
  </si>
  <si>
    <t xml:space="preserve"> Timestamp('2016-02-11 00</t>
  </si>
  <si>
    <t xml:space="preserve"> (-8.050000000000004</t>
  </si>
  <si>
    <t xml:space="preserve"> Timestamp('2021-01-11 00</t>
  </si>
  <si>
    <t xml:space="preserve"> (-30.439999999999976</t>
  </si>
  <si>
    <t xml:space="preserve"> (-10.450000000000003</t>
  </si>
  <si>
    <t xml:space="preserve"> (-30.880000000000003</t>
  </si>
  <si>
    <t xml:space="preserve"> -1)]}_[21</t>
  </si>
  <si>
    <t xml:space="preserve"> (-21.029999999999998</t>
  </si>
  <si>
    <t xml:space="preserve"> Timestamp('2014-12-10 00</t>
  </si>
  <si>
    <t xml:space="preserve"> (-25.190000000000147</t>
  </si>
  <si>
    <t xml:space="preserve"> Timestamp('2011-05-12 00</t>
  </si>
  <si>
    <t xml:space="preserve"> (-29.200000000000017</t>
  </si>
  <si>
    <t xml:space="preserve"> -1)]}_[35</t>
  </si>
  <si>
    <t xml:space="preserve"> (-5.449999999999996</t>
  </si>
  <si>
    <t xml:space="preserve"> 2021-01-04   2021-01-08</t>
  </si>
  <si>
    <t xml:space="preserve"> 2020-12-07   2021-01-11</t>
  </si>
  <si>
    <t xml:space="preserve"> 2020-12-04   2021-01-12</t>
  </si>
  <si>
    <t xml:space="preserve"> (-18.5</t>
  </si>
  <si>
    <t xml:space="preserve"> Timestamp('2022-06-07 00</t>
  </si>
  <si>
    <t xml:space="preserve"> (-27.679999999999996</t>
  </si>
  <si>
    <t xml:space="preserve"> (-13.499999999999996</t>
  </si>
  <si>
    <t xml:space="preserve"> Timestamp('2018-08-02 00</t>
  </si>
  <si>
    <t xml:space="preserve"> (-23.040000000000006</t>
  </si>
  <si>
    <t xml:space="preserve"> (-4.8685704712572715</t>
  </si>
  <si>
    <t xml:space="preserve"> (-15.37</t>
  </si>
  <si>
    <t xml:space="preserve"> Timestamp('2012-04-09 00</t>
  </si>
  <si>
    <t xml:space="preserve"> 2020-12-04   2021-01-11</t>
  </si>
  <si>
    <t xml:space="preserve"> (-16.700637302849834</t>
  </si>
  <si>
    <t xml:space="preserve"> 2023-04-06   2023-04-25</t>
  </si>
  <si>
    <t xml:space="preserve"> (-11.4</t>
  </si>
  <si>
    <t xml:space="preserve"> (-19.81999999999999</t>
  </si>
  <si>
    <t xml:space="preserve"> (-21.81999999999999</t>
  </si>
  <si>
    <t xml:space="preserve"> (-10.080000000000004</t>
  </si>
  <si>
    <t xml:space="preserve"> Timestamp('2011-08-02 00</t>
  </si>
  <si>
    <t xml:space="preserve"> (-19.82999999999996</t>
  </si>
  <si>
    <t xml:space="preserve"> (-20.82999999999996</t>
  </si>
  <si>
    <t xml:space="preserve"> (-4.949999999999999</t>
  </si>
  <si>
    <t xml:space="preserve"> 2021-01-06   2021-01-12</t>
  </si>
  <si>
    <t xml:space="preserve"> (-9.177362463434246</t>
  </si>
  <si>
    <t xml:space="preserve"> Timestamp('2020-03-25 00</t>
  </si>
  <si>
    <t xml:space="preserve"> (-22.91</t>
  </si>
  <si>
    <t xml:space="preserve"> (-29.71303545295647</t>
  </si>
  <si>
    <t xml:space="preserve"> Timestamp('2021-01-05 00</t>
  </si>
  <si>
    <t xml:space="preserve"> (-1.6100000000000003</t>
  </si>
  <si>
    <t xml:space="preserve"> (-9.03</t>
  </si>
  <si>
    <t xml:space="preserve"> (-4.450000000000001</t>
  </si>
  <si>
    <t xml:space="preserve"> Timestamp('2020-11-30 00</t>
  </si>
  <si>
    <t xml:space="preserve"> (-14.17</t>
  </si>
  <si>
    <t xml:space="preserve"> (-14.270000000000005</t>
  </si>
  <si>
    <t xml:space="preserve"> (-9.690000000000001</t>
  </si>
  <si>
    <t xml:space="preserve"> (-20.020000000000003</t>
  </si>
  <si>
    <t xml:space="preserve"> (-20.57</t>
  </si>
  <si>
    <t xml:space="preserve"> (-21.119999999999997</t>
  </si>
  <si>
    <t xml:space="preserve"> (-4.981284723860998</t>
  </si>
  <si>
    <t xml:space="preserve"> Timestamp('2020-03-20 00</t>
  </si>
  <si>
    <t xml:space="preserve"> (-11.25</t>
  </si>
  <si>
    <t xml:space="preserve"> (-19.549999999999997</t>
  </si>
  <si>
    <t xml:space="preserve"> Timestamp('2020-08-12 00</t>
  </si>
  <si>
    <t xml:space="preserve"> (-5.099999999999994</t>
  </si>
  <si>
    <t xml:space="preserve"> (-36.35000000000001</t>
  </si>
  <si>
    <t xml:space="preserve"> (-34.52999844162212</t>
  </si>
  <si>
    <t xml:space="preserve"> Timestamp('2021-12-06 00</t>
  </si>
  <si>
    <t xml:space="preserve"> (-4.000000000000014</t>
  </si>
  <si>
    <t xml:space="preserve"> Timestamp('2022-10-13 00</t>
  </si>
  <si>
    <t xml:space="preserve"> (-3.799999999999997</t>
  </si>
  <si>
    <t xml:space="preserve"> Timestamp('2020-03-26 00</t>
  </si>
  <si>
    <t xml:space="preserve"> (-1.2099999999999995</t>
  </si>
  <si>
    <t xml:space="preserve"> Timestamp('2018-02-07 00</t>
  </si>
  <si>
    <t xml:space="preserve"> (-3.2699999999999996</t>
  </si>
  <si>
    <t xml:space="preserve"> (-4.80442016770737</t>
  </si>
  <si>
    <t xml:space="preserve"> (-9.049999999999986</t>
  </si>
  <si>
    <t xml:space="preserve"> Timestamp('2023-01-27 00</t>
  </si>
  <si>
    <t xml:space="preserve"> (-2.8157210559378676</t>
  </si>
  <si>
    <t xml:space="preserve"> (-4.949518870590341</t>
  </si>
  <si>
    <t xml:space="preserve"> Timestamp('2019-08-09 00</t>
  </si>
  <si>
    <t xml:space="preserve"> (-1.54</t>
  </si>
  <si>
    <t xml:space="preserve"> (-4.25</t>
  </si>
  <si>
    <t xml:space="preserve"> Timestamp('2021-12-08 00</t>
  </si>
  <si>
    <t xml:space="preserve"> (-1.4499999999999993</t>
  </si>
  <si>
    <t xml:space="preserve"> Timestamp('2020-11-09 00</t>
  </si>
  <si>
    <t xml:space="preserve"> (-4.02</t>
  </si>
  <si>
    <t xml:space="preserve"> (-2.0300000000000002</t>
  </si>
  <si>
    <t xml:space="preserve"> Timestamp('2021-09-09 00</t>
  </si>
  <si>
    <t xml:space="preserve"> (-4.299999999999999</t>
  </si>
  <si>
    <t xml:space="preserve"> Timestamp('2023-01-11 00</t>
  </si>
  <si>
    <t xml:space="preserve"> (-3.8500000000000014</t>
  </si>
  <si>
    <t xml:space="preserve"> Timestamp('2023-02-01 00</t>
  </si>
  <si>
    <t xml:space="preserve"> (-11.200000000000005</t>
  </si>
  <si>
    <t xml:space="preserve"> (-3.7991553634427486</t>
  </si>
  <si>
    <t xml:space="preserve"> 2021-05-03   2021-05-04</t>
  </si>
  <si>
    <t xml:space="preserve"> 2021-05-03   2021-05-10</t>
  </si>
  <si>
    <t xml:space="preserve"> (-1.2600000000000007</t>
  </si>
  <si>
    <t xml:space="preserve"> (-2.4400000000000004</t>
  </si>
  <si>
    <t xml:space="preserve"> (-2.02</t>
  </si>
  <si>
    <t xml:space="preserve"> (-3.0500000000000016</t>
  </si>
  <si>
    <t xml:space="preserve"> (-4.099999999999998</t>
  </si>
  <si>
    <t xml:space="preserve"> (-4.459999999999997</t>
  </si>
  <si>
    <t xml:space="preserve"> (-1.4000000000000004</t>
  </si>
  <si>
    <t xml:space="preserve"> Timestamp('2021-02-25 00</t>
  </si>
  <si>
    <t xml:space="preserve"> (-3.62</t>
  </si>
  <si>
    <t xml:space="preserve"> (-2.3000000000000007</t>
  </si>
  <si>
    <t xml:space="preserve"> Timestamp('2023-01-26 00</t>
  </si>
  <si>
    <t xml:space="preserve"> (-4.230000000000001</t>
  </si>
  <si>
    <t xml:space="preserve"> (-2.450000000000003</t>
  </si>
  <si>
    <t xml:space="preserve"> Timestamp('2011-11-08 00</t>
  </si>
  <si>
    <t xml:space="preserve"> (-7.150000000000002</t>
  </si>
  <si>
    <t xml:space="preserve"> (-3.25</t>
  </si>
  <si>
    <t xml:space="preserve"> 2021-10-06   2021-11-11</t>
  </si>
  <si>
    <t xml:space="preserve"> (-1.3999999999999986</t>
  </si>
  <si>
    <t xml:space="preserve"> (-2.2199999999999998</t>
  </si>
  <si>
    <t xml:space="preserve"> (-4.495459253656662</t>
  </si>
  <si>
    <t xml:space="preserve"> Timestamp('2020-12-01 00</t>
  </si>
  <si>
    <t xml:space="preserve"> (-7.999999999999993</t>
  </si>
  <si>
    <t xml:space="preserve"> Timestamp('2023-02-03 00</t>
  </si>
  <si>
    <t xml:space="preserve"> (-7.381284723860999</t>
  </si>
  <si>
    <t xml:space="preserve"> (-1.7899999999999996</t>
  </si>
  <si>
    <t xml:space="preserve"> (-1.8700000000000006</t>
  </si>
  <si>
    <t xml:space="preserve"> (-2.9499999999999993</t>
  </si>
  <si>
    <t xml:space="preserve"> Timestamp('2020-03-27 00</t>
  </si>
  <si>
    <t xml:space="preserve"> (-1.4799999999999998</t>
  </si>
  <si>
    <t xml:space="preserve"> (-2.200000000000003</t>
  </si>
  <si>
    <t xml:space="preserve"> (-1.3099999999999998</t>
  </si>
  <si>
    <t xml:space="preserve"> Timestamp('2014-03-12 00</t>
  </si>
  <si>
    <t xml:space="preserve"> (-1.379999999999999</t>
  </si>
  <si>
    <t xml:space="preserve"> (-2.4499999999999957</t>
  </si>
  <si>
    <t xml:space="preserve"> Timestamp('2020-12-02 00</t>
  </si>
  <si>
    <t xml:space="preserve"> (-5.399999999999999</t>
  </si>
  <si>
    <t xml:space="preserve"> Timestamp('2021-01-08 00</t>
  </si>
  <si>
    <t xml:space="preserve"> (-5.5</t>
  </si>
  <si>
    <t xml:space="preserve"> (-2.0734657353448</t>
  </si>
  <si>
    <t xml:space="preserve"> 2018-06-07   2018-06-14</t>
  </si>
  <si>
    <t xml:space="preserve"> (-6.114309058305206</t>
  </si>
  <si>
    <t xml:space="preserve"> 2023-01-05   2023-02-06</t>
  </si>
  <si>
    <t xml:space="preserve"> (-1.0399999999999998</t>
  </si>
  <si>
    <t xml:space="preserve"> (-1.1099999999999999</t>
  </si>
  <si>
    <t xml:space="preserve"> (-1.2999999999999998</t>
  </si>
  <si>
    <t xml:space="preserve"> Timestamp('2011-07-12 00</t>
  </si>
  <si>
    <t xml:space="preserve"> Timestamp('2021-07-08 00</t>
  </si>
  <si>
    <t xml:space="preserve"> (-1.7299999999999898</t>
  </si>
  <si>
    <t xml:space="preserve"> (-2.5438835682532783</t>
  </si>
  <si>
    <t xml:space="preserve"> Timestamp('2020-12-07 00</t>
  </si>
  <si>
    <t xml:space="preserve"> (-1.549999999999999</t>
  </si>
  <si>
    <t xml:space="preserve"> 2011-10-07   2011-10-14</t>
  </si>
  <si>
    <t xml:space="preserve"> (-2.299999999999997</t>
  </si>
  <si>
    <t xml:space="preserve"> Timestamp('2020-11-17 00</t>
  </si>
  <si>
    <t xml:space="preserve"> (-5.100000000000001</t>
  </si>
  <si>
    <t xml:space="preserve"> (-0.77</t>
  </si>
  <si>
    <t xml:space="preserve"> (-0.78</t>
  </si>
  <si>
    <t xml:space="preserve"> (-1.0899999999999979</t>
  </si>
  <si>
    <t xml:space="preserve"> Timestamp('2011-12-08 00</t>
  </si>
  <si>
    <t xml:space="preserve"> (-0.96</t>
  </si>
  <si>
    <t xml:space="preserve"> Timestamp('2011-01-31 00</t>
  </si>
  <si>
    <t xml:space="preserve"> (-1.0500000000000003</t>
  </si>
  <si>
    <t xml:space="preserve"> (-2.1500000000000004</t>
  </si>
  <si>
    <t xml:space="preserve"> (-2.049999999999999</t>
  </si>
  <si>
    <t xml:space="preserve"> Timestamp('2021-02-17 00</t>
  </si>
  <si>
    <t xml:space="preserve"> (-2.2779715598737127</t>
  </si>
  <si>
    <t xml:space="preserve"> 2020-10-06   2020-10-29</t>
  </si>
  <si>
    <t xml:space="preserve"> (-2.6999999999999993</t>
  </si>
  <si>
    <t xml:space="preserve"> 2022-10-05   2022-10-28</t>
  </si>
  <si>
    <t xml:space="preserve"> (-2.4816642723040108</t>
  </si>
  <si>
    <t xml:space="preserve"> 2021-05-07   2021-06-09</t>
  </si>
  <si>
    <t xml:space="preserve"> 2023-01-05   2023-02-03</t>
  </si>
  <si>
    <t xml:space="preserve"> (-1.930000000000005</t>
  </si>
  <si>
    <t xml:space="preserve"> (-1.9500000000000002</t>
  </si>
  <si>
    <t xml:space="preserve"> (-2.349999999999998</t>
  </si>
  <si>
    <t xml:space="preserve"> 2019-01-09   2019-01-31</t>
  </si>
  <si>
    <t xml:space="preserve"> (-1.0899999999999999</t>
  </si>
  <si>
    <t xml:space="preserve"> (-2.268024116416011</t>
  </si>
  <si>
    <t xml:space="preserve"> (-0.8999999999999999</t>
  </si>
  <si>
    <t xml:space="preserve"> Timestamp('2021-09-08 00</t>
  </si>
  <si>
    <t xml:space="preserve"> (-0.9600000000000004</t>
  </si>
  <si>
    <t xml:space="preserve"> (-1.1</t>
  </si>
  <si>
    <t xml:space="preserve"> (-1.7599999999999998</t>
  </si>
  <si>
    <t xml:space="preserve"> 2023-01-05   2023-01-05</t>
  </si>
  <si>
    <t xml:space="preserve"> (-2.0</t>
  </si>
  <si>
    <t xml:space="preserve"> 2019-01-09   2019-01-14</t>
  </si>
  <si>
    <t xml:space="preserve"> (-1.8499999999999999</t>
  </si>
  <si>
    <t xml:space="preserve"> (-0.9599999999999995</t>
  </si>
  <si>
    <t xml:space="preserve"> Timestamp('2020-03-09 00</t>
  </si>
  <si>
    <t xml:space="preserve"> (-1.4099999999999997</t>
  </si>
  <si>
    <t xml:space="preserve"> Timestamp('2012-06-04 00</t>
  </si>
  <si>
    <t xml:space="preserve"> (-1.0499999999999998</t>
  </si>
  <si>
    <t xml:space="preserve"> (-1.6000000000000003</t>
  </si>
  <si>
    <t xml:space="preserve"> Timestamp('2021-11-10 00</t>
  </si>
  <si>
    <t xml:space="preserve"> (-1.3199999999999998</t>
  </si>
  <si>
    <t xml:space="preserve"> (-1.5999999999999996</t>
  </si>
  <si>
    <t xml:space="preserve"> Timestamp('2011-09-01 00</t>
  </si>
  <si>
    <t xml:space="preserve"> (-2.96</t>
  </si>
  <si>
    <t xml:space="preserve"> Timestamp('2014-12-11 00</t>
  </si>
  <si>
    <t xml:space="preserve"> (-1.8900000000000006</t>
  </si>
  <si>
    <t xml:space="preserve"> (-3.219999999999999</t>
  </si>
  <si>
    <t xml:space="preserve"> Timestamp('2019-10-07 00</t>
  </si>
  <si>
    <t xml:space="preserve"> (-3.2608010850331866</t>
  </si>
  <si>
    <t xml:space="preserve"> 2022-10-04   2022-11-07</t>
  </si>
  <si>
    <t xml:space="preserve"> (-0.9000000000000008</t>
  </si>
  <si>
    <t xml:space="preserve"> (-1.18</t>
  </si>
  <si>
    <t xml:space="preserve"> (-0.95</t>
  </si>
  <si>
    <t xml:space="preserve"> (-1.4900000000000002</t>
  </si>
  <si>
    <t xml:space="preserve"> (-1.13</t>
  </si>
  <si>
    <t xml:space="preserve"> (-1.9999999999999725</t>
  </si>
  <si>
    <t xml:space="preserve"> Timestamp('2014-11-13 00</t>
  </si>
  <si>
    <t xml:space="preserve"> (-0.9699999999999984</t>
  </si>
  <si>
    <t xml:space="preserve"> (-3.579999999999999</t>
  </si>
  <si>
    <t xml:space="preserve"> (-2.599999999999998</t>
  </si>
  <si>
    <t xml:space="preserve"> Timestamp('2020-03-31 00</t>
  </si>
  <si>
    <t xml:space="preserve"> (-0.7199999999999998</t>
  </si>
  <si>
    <t xml:space="preserve"> (-0.8500000000000001</t>
  </si>
  <si>
    <t xml:space="preserve"> Timestamp('2022-03-07 00</t>
  </si>
  <si>
    <t xml:space="preserve"> (-0.9000000000000001</t>
  </si>
  <si>
    <t xml:space="preserve"> Timestamp('2013-08-07 00</t>
  </si>
  <si>
    <t xml:space="preserve"> (-1.3</t>
  </si>
  <si>
    <t xml:space="preserve"> Timestamp('2021-11-03 00</t>
  </si>
  <si>
    <t xml:space="preserve"> (-1.2611364668756462</t>
  </si>
  <si>
    <t xml:space="preserve"> 2022-10-04   2022-10-28</t>
  </si>
  <si>
    <t xml:space="preserve"> (-2.000000000000007</t>
  </si>
  <si>
    <t xml:space="preserve"> (-6.000000000000021</t>
  </si>
  <si>
    <t xml:space="preserve"> (-4.1842617085616</t>
  </si>
  <si>
    <t xml:space="preserve"> Timestamp('2020-04-02 00</t>
  </si>
  <si>
    <t xml:space="preserve"> (-3.6999999999999997</t>
  </si>
  <si>
    <t xml:space="preserve"> (-3.1995036250547173</t>
  </si>
  <si>
    <t xml:space="preserve"> Timestamp('2021-02-03 00</t>
  </si>
  <si>
    <t xml:space="preserve"> (-6.199999999999996</t>
  </si>
  <si>
    <t xml:space="preserve"> Timestamp('2022-11-04 00</t>
  </si>
  <si>
    <t xml:space="preserve"> (-4.941409394247325</t>
  </si>
  <si>
    <t xml:space="preserve"> 2018-03-07   2018-03-23</t>
  </si>
  <si>
    <t xml:space="preserve"> (-4.62</t>
  </si>
  <si>
    <t xml:space="preserve"> (-2.150000000000002</t>
  </si>
  <si>
    <t xml:space="preserve"> Timestamp('2020-02-12 00</t>
  </si>
  <si>
    <t xml:space="preserve"> (-2.419999999999999</t>
  </si>
  <si>
    <t xml:space="preserve"> Timestamp('2018-10-23 00</t>
  </si>
  <si>
    <t xml:space="preserve"> (-2.78</t>
  </si>
  <si>
    <t xml:space="preserve"> (-3.3500000000000014</t>
  </si>
  <si>
    <t xml:space="preserve"> (-4.5500000000000025</t>
  </si>
  <si>
    <t xml:space="preserve"> (-2.540000000000001</t>
  </si>
  <si>
    <t xml:space="preserve"> (-3.460000000000001</t>
  </si>
  <si>
    <t xml:space="preserve"> (-1.1799999999999997</t>
  </si>
  <si>
    <t xml:space="preserve"> (-1.959999999999999</t>
  </si>
  <si>
    <t xml:space="preserve"> (-1.96</t>
  </si>
  <si>
    <t xml:space="preserve"> Timestamp('2010-08-12 00</t>
  </si>
  <si>
    <t xml:space="preserve"> Timestamp('2022-11-09 00</t>
  </si>
  <si>
    <t xml:space="preserve"> (-2.0535645934620046</t>
  </si>
  <si>
    <t xml:space="preserve"> 2021-02-02   2021-02-04</t>
  </si>
  <si>
    <t xml:space="preserve"> (-7.627362463434245</t>
  </si>
  <si>
    <t xml:space="preserve"> (-7.107362463434246</t>
  </si>
  <si>
    <t xml:space="preserve"> (-2.2299999999999995</t>
  </si>
  <si>
    <t xml:space="preserve"> (-3.0999999999999996</t>
  </si>
  <si>
    <t xml:space="preserve"> (-2.3500000000000014</t>
  </si>
  <si>
    <t xml:space="preserve"> Timestamp('2020-04-06 00</t>
  </si>
  <si>
    <t xml:space="preserve"> (-1.8199999999999998</t>
  </si>
  <si>
    <t xml:space="preserve"> (-1.0500000000000025</t>
  </si>
  <si>
    <t xml:space="preserve"> Timestamp('2011-11-02 00</t>
  </si>
  <si>
    <t xml:space="preserve"> (-2.3699999999999974</t>
  </si>
  <si>
    <t xml:space="preserve"> Timestamp('2022-11-07 00</t>
  </si>
  <si>
    <t xml:space="preserve"> (-1.0599999999999996</t>
  </si>
  <si>
    <t xml:space="preserve"> Timestamp('2015-11-10 00</t>
  </si>
  <si>
    <t xml:space="preserve"> (-1.1300000000000001</t>
  </si>
  <si>
    <t xml:space="preserve"> (-4.049999999999999</t>
  </si>
  <si>
    <t xml:space="preserve"> Timestamp('2020-03-24 00</t>
  </si>
  <si>
    <t xml:space="preserve"> (-5.899999999999999</t>
  </si>
  <si>
    <t>alltime_{'C',  [('number', 0,  1),  ('number', 2.5,  -1)]}_[7,  35]_1</t>
  </si>
  <si>
    <t>alltime_{'C',  [('number', 0,  1),  ('number', 2.5,  -1)]}_[7,  35]_2</t>
  </si>
  <si>
    <t>alltime_{'C',  [('number', 0,  1),  ('number', 2.5,  -1)]}_[7,  35]_3</t>
  </si>
  <si>
    <t>alltime_{'C',  [('number', 0,  1),  ('number', 2.5,  -1)]}_[7,  35]_4</t>
  </si>
  <si>
    <t>alltime_{'C',  [('number', 0,  1),  ('number', 2.5,  -1)]}_[21,  49]_1</t>
  </si>
  <si>
    <t>alltime_{'C',  [('number', 0,  1),  ('number', 2.5,  -1)]}_[21,  49]_2</t>
  </si>
  <si>
    <t>alltime_{'C',  [('number', 0,  1),  ('number', 2.5,  -1)]}_[21,  49]_3</t>
  </si>
  <si>
    <t>alltime_{'C',  [('number', 0,  1),  ('number', 2.5,  -1)]}_[21,  49]_4</t>
  </si>
  <si>
    <t>alltime_{'C',  [('number', 0,  1),  ('number', 2.5,  -1)]}_[35,  70]_1</t>
  </si>
  <si>
    <t>alltime_{'C',  [('number', 0,  1),  ('number', 2.5,  -1)]}_[35,  70]_2</t>
  </si>
  <si>
    <t>alltime_{'C',  [('number', 0,  1),  ('number', 2.5,  -1)]}_[35,  70]_3</t>
  </si>
  <si>
    <t>alltime_{'C',  [('number', 0,  1),  ('number', 2.5,  -1)]}_[35,  70]_4</t>
  </si>
  <si>
    <t>alltime_{'C',  [('number', 2.5,  1),  ('number', 5,  -1)]}_[7,  35]_1</t>
  </si>
  <si>
    <t>alltime_{'C',  [('number', 2.5,  1),  ('number', 5,  -1)]}_[7,  35]_2</t>
  </si>
  <si>
    <t>alltime_{'C',  [('number', 2.5,  1),  ('number', 5,  -1)]}_[7,  35]_3</t>
  </si>
  <si>
    <t>alltime_{'C',  [('number', 2.5,  1),  ('number', 5,  -1)]}_[7,  35]_4</t>
  </si>
  <si>
    <t>alltime_{'C',  [('number', 2.5,  1),  ('number', 5,  -1)]}_[21,  49]_1</t>
  </si>
  <si>
    <t>alltime_{'C',  [('number', 2.5,  1),  ('number', 5,  -1)]}_[21,  49]_2</t>
  </si>
  <si>
    <t>alltime_{'C',  [('number', 2.5,  1),  ('number', 5,  -1)]}_[21,  49]_3</t>
  </si>
  <si>
    <t>alltime_{'C',  [('number', 2.5,  1),  ('number', 5,  -1)]}_[21,  49]_4</t>
  </si>
  <si>
    <t>alltime_{'C',  [('number', 2.5,  1),  ('number', 5,  -1)]}_[35,  70]_1</t>
  </si>
  <si>
    <t>alltime_{'C',  [('number', 2.5,  1),  ('number', 5,  -1)]}_[35,  70]_2</t>
  </si>
  <si>
    <t>alltime_{'C',  [('number', 2.5,  1),  ('number', 5,  -1)]}_[35,  70]_3</t>
  </si>
  <si>
    <t>alltime_{'C',  [('number', 2.5,  1),  ('number', 5,  -1)]}_[35,  70]_4</t>
  </si>
  <si>
    <t>alltime_{'C',  [('number', 5,  1),  ('number', 7.5,  -1)]}_[7,  35]_1</t>
  </si>
  <si>
    <t>alltime_{'C',  [('number', 5,  1),  ('number', 7.5,  -1)]}_[7,  35]_2</t>
  </si>
  <si>
    <t>alltime_{'C',  [('number', 5,  1),  ('number', 7.5,  -1)]}_[7,  35]_3</t>
  </si>
  <si>
    <t>alltime_{'C',  [('number', 5,  1),  ('number', 7.5,  -1)]}_[7,  35]_4</t>
  </si>
  <si>
    <t>alltime_{'C',  [('number', 5,  1),  ('number', 7.5,  -1)]}_[21,  49]_1</t>
  </si>
  <si>
    <t>alltime_{'C',  [('number', 5,  1),  ('number', 7.5,  -1)]}_[21,  49]_2</t>
  </si>
  <si>
    <t>alltime_{'C',  [('number', 5,  1),  ('number', 7.5,  -1)]}_[21,  49]_3</t>
  </si>
  <si>
    <t>alltime_{'C',  [('number', 5,  1),  ('number', 7.5,  -1)]}_[21,  49]_4</t>
  </si>
  <si>
    <t>alltime_{'C',  [('number', 5,  1),  ('number', 7.5,  -1)]}_[35,  70]_1</t>
  </si>
  <si>
    <t>alltime_{'C',  [('number', 5,  1),  ('number', 7.5,  -1)]}_[35,  70]_2</t>
  </si>
  <si>
    <t>alltime_{'C',  [('number', 5,  1),  ('number', 7.5,  -1)]}_[35,  70]_3</t>
  </si>
  <si>
    <t>alltime_{'C',  [('number', 5,  1),  ('number', 7.5,  -1)]}_[35,  70]_4</t>
  </si>
  <si>
    <t>alltime_{'C',  [('number', 7.5,  1),  ('number', 10,  -1)]}_[7,  35]_1</t>
  </si>
  <si>
    <t>alltime_{'C',  [('number', 7.5,  1),  ('number', 10,  -1)]}_[7,  35]_2</t>
  </si>
  <si>
    <t>alltime_{'C',  [('number', 7.5,  1),  ('number', 10,  -1)]}_[7,  35]_3</t>
  </si>
  <si>
    <t>alltime_{'C',  [('number', 7.5,  1),  ('number', 10,  -1)]}_[7,  35]_4</t>
  </si>
  <si>
    <t>alltime_{'C',  [('number', 7.5,  1),  ('number', 10,  -1)]}_[21,  49]_1</t>
  </si>
  <si>
    <t>alltime_{'C',  [('number', 7.5,  1),  ('number', 10,  -1)]}_[21,  49]_2</t>
  </si>
  <si>
    <t>alltime_{'C',  [('number', 7.5,  1),  ('number', 10,  -1)]}_[21,  49]_3</t>
  </si>
  <si>
    <t>alltime_{'C',  [('number', 7.5,  1),  ('number', 10,  -1)]}_[21,  49]_4</t>
  </si>
  <si>
    <t>alltime_{'C',  [('number', 7.5,  1),  ('number', 10,  -1)]}_[35,  70]_1</t>
  </si>
  <si>
    <t>alltime_{'C',  [('number', 7.5,  1),  ('number', 10,  -1)]}_[35,  70]_2</t>
  </si>
  <si>
    <t>alltime_{'C',  [('number', 7.5,  1),  ('number', 10,  -1)]}_[35,  70]_3</t>
  </si>
  <si>
    <t>alltime_{'C',  [('number', 7.5,  1),  ('number', 10,  -1)]}_[35,  70]_4</t>
  </si>
  <si>
    <t>bbands_{'C',  [('number', 0,  1),  ('number', 2.5,  -1)]}_[7,  35]_1</t>
  </si>
  <si>
    <t>bbands_{'C',  [('number', 0,  1),  ('number', 2.5,  -1)]}_[7,  35]_2</t>
  </si>
  <si>
    <t>bbands_{'C',  [('number', 0,  1),  ('number', 2.5,  -1)]}_[7,  35]_3</t>
  </si>
  <si>
    <t>bbands_{'C',  [('number', 0,  1),  ('number', 2.5,  -1)]}_[7,  35]_4</t>
  </si>
  <si>
    <t>bbands_{'C',  [('number', 0,  1),  ('number', 2.5,  -1)]}_[21,  49]_1</t>
  </si>
  <si>
    <t>bbands_{'C',  [('number', 0,  1),  ('number', 2.5,  -1)]}_[21,  49]_2</t>
  </si>
  <si>
    <t>bbands_{'C',  [('number', 0,  1),  ('number', 2.5,  -1)]}_[21,  49]_3</t>
  </si>
  <si>
    <t>bbands_{'C',  [('number', 0,  1),  ('number', 2.5,  -1)]}_[21,  49]_4</t>
  </si>
  <si>
    <t>bbands_{'C',  [('number', 0,  1),  ('number', 2.5,  -1)]}_[35,  70]_1</t>
  </si>
  <si>
    <t>bbands_{'C',  [('number', 0,  1),  ('number', 2.5,  -1)]}_[35,  70]_2</t>
  </si>
  <si>
    <t>bbands_{'C',  [('number', 0,  1),  ('number', 2.5,  -1)]}_[35,  70]_3</t>
  </si>
  <si>
    <t>bbands_{'C',  [('number', 0,  1),  ('number', 2.5,  -1)]}_[35,  70]_4</t>
  </si>
  <si>
    <t>bbands_{'C',  [('number', 2.5,  1),  ('number', 5,  -1)]}_[7,  35]_1</t>
  </si>
  <si>
    <t>bbands_{'C',  [('number', 2.5,  1),  ('number', 5,  -1)]}_[7,  35]_2</t>
  </si>
  <si>
    <t>bbands_{'C',  [('number', 2.5,  1),  ('number', 5,  -1)]}_[7,  35]_3</t>
  </si>
  <si>
    <t>bbands_{'C',  [('number', 2.5,  1),  ('number', 5,  -1)]}_[7,  35]_4</t>
  </si>
  <si>
    <t>bbands_{'C',  [('number', 2.5,  1),  ('number', 5,  -1)]}_[21,  49]_1</t>
  </si>
  <si>
    <t>bbands_{'C',  [('number', 2.5,  1),  ('number', 5,  -1)]}_[21,  49]_2</t>
  </si>
  <si>
    <t>bbands_{'C',  [('number', 2.5,  1),  ('number', 5,  -1)]}_[21,  49]_3</t>
  </si>
  <si>
    <t>bbands_{'C',  [('number', 2.5,  1),  ('number', 5,  -1)]}_[21,  49]_4</t>
  </si>
  <si>
    <t>bbands_{'C',  [('number', 2.5,  1),  ('number', 5,  -1)]}_[35,  70]_1</t>
  </si>
  <si>
    <t>bbands_{'C',  [('number', 2.5,  1),  ('number', 5,  -1)]}_[35,  70]_2</t>
  </si>
  <si>
    <t>bbands_{'C',  [('number', 2.5,  1),  ('number', 5,  -1)]}_[35,  70]_3</t>
  </si>
  <si>
    <t>bbands_{'C',  [('number', 2.5,  1),  ('number', 5,  -1)]}_[35,  70]_4</t>
  </si>
  <si>
    <t>bbands_{'C',  [('number', 5,  1),  ('number', 7.5,  -1)]}_[7,  35]_1</t>
  </si>
  <si>
    <t>bbands_{'C',  [('number', 5,  1),  ('number', 7.5,  -1)]}_[7,  35]_2</t>
  </si>
  <si>
    <t>bbands_{'C',  [('number', 5,  1),  ('number', 7.5,  -1)]}_[7,  35]_3</t>
  </si>
  <si>
    <t>bbands_{'C',  [('number', 5,  1),  ('number', 7.5,  -1)]}_[7,  35]_4</t>
  </si>
  <si>
    <t>bbands_{'C',  [('number', 5,  1),  ('number', 7.5,  -1)]}_[21,  49]_1</t>
  </si>
  <si>
    <t>bbands_{'C',  [('number', 5,  1),  ('number', 7.5,  -1)]}_[21,  49]_2</t>
  </si>
  <si>
    <t>bbands_{'C',  [('number', 5,  1),  ('number', 7.5,  -1)]}_[21,  49]_3</t>
  </si>
  <si>
    <t>bbands_{'C',  [('number', 5,  1),  ('number', 7.5,  -1)]}_[21,  49]_4</t>
  </si>
  <si>
    <t>bbands_{'C',  [('number', 5,  1),  ('number', 7.5,  -1)]}_[35,  70]_1</t>
  </si>
  <si>
    <t>bbands_{'C',  [('number', 5,  1),  ('number', 7.5,  -1)]}_[35,  70]_2</t>
  </si>
  <si>
    <t>bbands_{'C',  [('number', 5,  1),  ('number', 7.5,  -1)]}_[35,  70]_3</t>
  </si>
  <si>
    <t>bbands_{'C',  [('number', 5,  1),  ('number', 7.5,  -1)]}_[35,  70]_4</t>
  </si>
  <si>
    <t>bbands_{'C',  [('number', 7.5,  1),  ('number', 10,  -1)]}_[7,  35]_1</t>
  </si>
  <si>
    <t>bbands_{'C',  [('number', 7.5,  1),  ('number', 10,  -1)]}_[7,  35]_2</t>
  </si>
  <si>
    <t>bbands_{'C',  [('number', 7.5,  1),  ('number', 10,  -1)]}_[7,  35]_3</t>
  </si>
  <si>
    <t>bbands_{'C',  [('number', 7.5,  1),  ('number', 10,  -1)]}_[7,  35]_4</t>
  </si>
  <si>
    <t>bbands_{'C',  [('number', 7.5,  1),  ('number', 10,  -1)]}_[21,  49]_1</t>
  </si>
  <si>
    <t>bbands_{'C',  [('number', 7.5,  1),  ('number', 10,  -1)]}_[21,  49]_2</t>
  </si>
  <si>
    <t>bbands_{'C',  [('number', 7.5,  1),  ('number', 10,  -1)]}_[21,  49]_3</t>
  </si>
  <si>
    <t>bbands_{'C',  [('number', 7.5,  1),  ('number', 10,  -1)]}_[21,  49]_4</t>
  </si>
  <si>
    <t>bbands_{'C',  [('number', 7.5,  1),  ('number', 10,  -1)]}_[35,  70]_1</t>
  </si>
  <si>
    <t>bbands_{'C',  [('number', 7.5,  1),  ('number', 10,  -1)]}_[35,  70]_2</t>
  </si>
  <si>
    <t>bbands_{'C',  [('number', 7.5,  1),  ('number', 10,  -1)]}_[35,  70]_3</t>
  </si>
  <si>
    <t>bbands_{'C',  [('number', 7.5,  1),  ('number', 10,  -1)]}_[35,  70]_4</t>
  </si>
  <si>
    <t>psar_{'C',  [('number', 0,  1),  ('number', 2.5,  -1)]}_[7,  35]_1</t>
  </si>
  <si>
    <t>psar_{'C',  [('number', 0,  1),  ('number', 2.5,  -1)]}_[7,  35]_2</t>
  </si>
  <si>
    <t>psar_{'C',  [('number', 0,  1),  ('number', 2.5,  -1)]}_[7,  35]_3</t>
  </si>
  <si>
    <t>psar_{'C',  [('number', 0,  1),  ('number', 2.5,  -1)]}_[7,  35]_4</t>
  </si>
  <si>
    <t>psar_{'C',  [('number', 0,  1),  ('number', 2.5,  -1)]}_[21,  49]_1</t>
  </si>
  <si>
    <t>psar_{'C',  [('number', 0,  1),  ('number', 2.5,  -1)]}_[21,  49]_2</t>
  </si>
  <si>
    <t>psar_{'C',  [('number', 0,  1),  ('number', 2.5,  -1)]}_[21,  49]_3</t>
  </si>
  <si>
    <t>psar_{'C',  [('number', 0,  1),  ('number', 2.5,  -1)]}_[21,  49]_4</t>
  </si>
  <si>
    <t>psar_{'C',  [('number', 0,  1),  ('number', 2.5,  -1)]}_[35,  70]_1</t>
  </si>
  <si>
    <t>psar_{'C',  [('number', 0,  1),  ('number', 2.5,  -1)]}_[35,  70]_2</t>
  </si>
  <si>
    <t>psar_{'C',  [('number', 0,  1),  ('number', 2.5,  -1)]}_[35,  70]_3</t>
  </si>
  <si>
    <t>psar_{'C',  [('number', 0,  1),  ('number', 2.5,  -1)]}_[35,  70]_4</t>
  </si>
  <si>
    <t>psar_{'C',  [('number', 2.5,  1),  ('number', 5,  -1)]}_[7,  35]_1</t>
  </si>
  <si>
    <t>psar_{'C',  [('number', 2.5,  1),  ('number', 5,  -1)]}_[7,  35]_2</t>
  </si>
  <si>
    <t>psar_{'C',  [('number', 2.5,  1),  ('number', 5,  -1)]}_[7,  35]_3</t>
  </si>
  <si>
    <t>psar_{'C',  [('number', 2.5,  1),  ('number', 5,  -1)]}_[7,  35]_4</t>
  </si>
  <si>
    <t>psar_{'C',  [('number', 2.5,  1),  ('number', 5,  -1)]}_[21,  49]_1</t>
  </si>
  <si>
    <t>psar_{'C',  [('number', 2.5,  1),  ('number', 5,  -1)]}_[21,  49]_2</t>
  </si>
  <si>
    <t>psar_{'C',  [('number', 2.5,  1),  ('number', 5,  -1)]}_[21,  49]_3</t>
  </si>
  <si>
    <t>psar_{'C',  [('number', 2.5,  1),  ('number', 5,  -1)]}_[21,  49]_4</t>
  </si>
  <si>
    <t>psar_{'C',  [('number', 2.5,  1),  ('number', 5,  -1)]}_[35,  70]_1</t>
  </si>
  <si>
    <t>psar_{'C',  [('number', 2.5,  1),  ('number', 5,  -1)]}_[35,  70]_2</t>
  </si>
  <si>
    <t>psar_{'C',  [('number', 2.5,  1),  ('number', 5,  -1)]}_[35,  70]_3</t>
  </si>
  <si>
    <t>psar_{'C',  [('number', 2.5,  1),  ('number', 5,  -1)]}_[35,  70]_4</t>
  </si>
  <si>
    <t>psar_{'C',  [('number', 5,  1),  ('number', 7.5,  -1)]}_[7,  35]_1</t>
  </si>
  <si>
    <t>psar_{'C',  [('number', 5,  1),  ('number', 7.5,  -1)]}_[7,  35]_2</t>
  </si>
  <si>
    <t>psar_{'C',  [('number', 5,  1),  ('number', 7.5,  -1)]}_[7,  35]_3</t>
  </si>
  <si>
    <t>psar_{'C',  [('number', 5,  1),  ('number', 7.5,  -1)]}_[7,  35]_4</t>
  </si>
  <si>
    <t>psar_{'C',  [('number', 5,  1),  ('number', 7.5,  -1)]}_[21,  49]_1</t>
  </si>
  <si>
    <t>psar_{'C',  [('number', 5,  1),  ('number', 7.5,  -1)]}_[21,  49]_2</t>
  </si>
  <si>
    <t>psar_{'C',  [('number', 5,  1),  ('number', 7.5,  -1)]}_[21,  49]_3</t>
  </si>
  <si>
    <t>psar_{'C',  [('number', 5,  1),  ('number', 7.5,  -1)]}_[21,  49]_4</t>
  </si>
  <si>
    <t>psar_{'C',  [('number', 5,  1),  ('number', 7.5,  -1)]}_[35,  70]_1</t>
  </si>
  <si>
    <t>psar_{'C',  [('number', 5,  1),  ('number', 7.5,  -1)]}_[35,  70]_2</t>
  </si>
  <si>
    <t>psar_{'C',  [('number', 5,  1),  ('number', 7.5,  -1)]}_[35,  70]_3</t>
  </si>
  <si>
    <t>psar_{'C',  [('number', 5,  1),  ('number', 7.5,  -1)]}_[35,  70]_4</t>
  </si>
  <si>
    <t>psar_{'C',  [('number', 7.5,  1),  ('number', 10,  -1)]}_[7,  35]_1</t>
  </si>
  <si>
    <t>psar_{'C',  [('number', 7.5,  1),  ('number', 10,  -1)]}_[7,  35]_2</t>
  </si>
  <si>
    <t>psar_{'C',  [('number', 7.5,  1),  ('number', 10,  -1)]}_[7,  35]_3</t>
  </si>
  <si>
    <t>psar_{'C',  [('number', 7.5,  1),  ('number', 10,  -1)]}_[7,  35]_4</t>
  </si>
  <si>
    <t>psar_{'C',  [('number', 7.5,  1),  ('number', 10,  -1)]}_[21,  49]_1</t>
  </si>
  <si>
    <t>psar_{'C',  [('number', 7.5,  1),  ('number', 10,  -1)]}_[21,  49]_2</t>
  </si>
  <si>
    <t>psar_{'C',  [('number', 7.5,  1),  ('number', 10,  -1)]}_[21,  49]_3</t>
  </si>
  <si>
    <t>psar_{'C',  [('number', 7.5,  1),  ('number', 10,  -1)]}_[21,  49]_4</t>
  </si>
  <si>
    <t>psar_{'C',  [('number', 7.5,  1),  ('number', 10,  -1)]}_[35,  70]_1</t>
  </si>
  <si>
    <t>psar_{'C',  [('number', 7.5,  1),  ('number', 10,  -1)]}_[35,  70]_2</t>
  </si>
  <si>
    <t>psar_{'C',  [('number', 7.5,  1),  ('number', 10,  -1)]}_[35,  70]_3</t>
  </si>
  <si>
    <t>psar_{'C',  [('number', 7.5,  1),  ('number', 10,  -1)]}_[35,  70]_4</t>
  </si>
  <si>
    <t>psar_no_highvol_{'C',  [('number', 0,  1),  ('number', 2.5,  -1)]}_[7,  35]_1</t>
  </si>
  <si>
    <t>psar_no_highvol_{'C',  [('number', 0,  1),  ('number', 2.5,  -1)]}_[7,  35]_2</t>
  </si>
  <si>
    <t>psar_no_highvol_{'C',  [('number', 0,  1),  ('number', 2.5,  -1)]}_[7,  35]_3</t>
  </si>
  <si>
    <t>psar_no_highvol_{'C',  [('number', 0,  1),  ('number', 2.5,  -1)]}_[7,  35]_4</t>
  </si>
  <si>
    <t>psar_no_highvol_{'C',  [('number', 0,  1),  ('number', 2.5,  -1)]}_[21,  49]_1</t>
  </si>
  <si>
    <t>psar_no_highvol_{'C',  [('number', 0,  1),  ('number', 2.5,  -1)]}_[21,  49]_2</t>
  </si>
  <si>
    <t>psar_no_highvol_{'C',  [('number', 0,  1),  ('number', 2.5,  -1)]}_[21,  49]_3</t>
  </si>
  <si>
    <t>psar_no_highvol_{'C',  [('number', 0,  1),  ('number', 2.5,  -1)]}_[21,  49]_4</t>
  </si>
  <si>
    <t>psar_no_highvol_{'C',  [('number', 0,  1),  ('number', 2.5,  -1)]}_[35,  70]_1</t>
  </si>
  <si>
    <t>psar_no_highvol_{'C',  [('number', 0,  1),  ('number', 2.5,  -1)]}_[35,  70]_2</t>
  </si>
  <si>
    <t>psar_no_highvol_{'C',  [('number', 0,  1),  ('number', 2.5,  -1)]}_[35,  70]_3</t>
  </si>
  <si>
    <t>psar_no_highvol_{'C',  [('number', 0,  1),  ('number', 2.5,  -1)]}_[35,  70]_4</t>
  </si>
  <si>
    <t>psar_no_highvol_{'C',  [('number', 2.5,  1),  ('number', 5,  -1)]}_[7,  35]_1</t>
  </si>
  <si>
    <t>psar_no_highvol_{'C',  [('number', 2.5,  1),  ('number', 5,  -1)]}_[7,  35]_2</t>
  </si>
  <si>
    <t>psar_no_highvol_{'C',  [('number', 2.5,  1),  ('number', 5,  -1)]}_[7,  35]_3</t>
  </si>
  <si>
    <t>psar_no_highvol_{'C',  [('number', 2.5,  1),  ('number', 5,  -1)]}_[7,  35]_4</t>
  </si>
  <si>
    <t>psar_no_highvol_{'C',  [('number', 2.5,  1),  ('number', 5,  -1)]}_[21,  49]_1</t>
  </si>
  <si>
    <t>psar_no_highvol_{'C',  [('number', 2.5,  1),  ('number', 5,  -1)]}_[21,  49]_2</t>
  </si>
  <si>
    <t>psar_no_highvol_{'C',  [('number', 2.5,  1),  ('number', 5,  -1)]}_[21,  49]_3</t>
  </si>
  <si>
    <t>psar_no_highvol_{'C',  [('number', 2.5,  1),  ('number', 5,  -1)]}_[21,  49]_4</t>
  </si>
  <si>
    <t>psar_no_highvol_{'C',  [('number', 2.5,  1),  ('number', 5,  -1)]}_[35,  70]_1</t>
  </si>
  <si>
    <t>psar_no_highvol_{'C',  [('number', 2.5,  1),  ('number', 5,  -1)]}_[35,  70]_2</t>
  </si>
  <si>
    <t>psar_no_highvol_{'C',  [('number', 2.5,  1),  ('number', 5,  -1)]}_[35,  70]_3</t>
  </si>
  <si>
    <t>psar_no_highvol_{'C',  [('number', 2.5,  1),  ('number', 5,  -1)]}_[35,  70]_4</t>
  </si>
  <si>
    <t>psar_no_highvol_{'C',  [('number', 5,  1),  ('number', 7.5,  -1)]}_[7,  35]_1</t>
  </si>
  <si>
    <t>psar_no_highvol_{'C',  [('number', 5,  1),  ('number', 7.5,  -1)]}_[7,  35]_2</t>
  </si>
  <si>
    <t>psar_no_highvol_{'C',  [('number', 5,  1),  ('number', 7.5,  -1)]}_[7,  35]_3</t>
  </si>
  <si>
    <t>psar_no_highvol_{'C',  [('number', 5,  1),  ('number', 7.5,  -1)]}_[7,  35]_4</t>
  </si>
  <si>
    <t>psar_no_highvol_{'C',  [('number', 5,  1),  ('number', 7.5,  -1)]}_[21,  49]_1</t>
  </si>
  <si>
    <t>psar_no_highvol_{'C',  [('number', 5,  1),  ('number', 7.5,  -1)]}_[21,  49]_2</t>
  </si>
  <si>
    <t>psar_no_highvol_{'C',  [('number', 5,  1),  ('number', 7.5,  -1)]}_[21,  49]_3</t>
  </si>
  <si>
    <t>psar_no_highvol_{'C',  [('number', 5,  1),  ('number', 7.5,  -1)]}_[21,  49]_4</t>
  </si>
  <si>
    <t>psar_no_highvol_{'C',  [('number', 5,  1),  ('number', 7.5,  -1)]}_[35,  70]_1</t>
  </si>
  <si>
    <t>psar_no_highvol_{'C',  [('number', 5,  1),  ('number', 7.5,  -1)]}_[35,  70]_2</t>
  </si>
  <si>
    <t>psar_no_highvol_{'C',  [('number', 5,  1),  ('number', 7.5,  -1)]}_[35,  70]_3</t>
  </si>
  <si>
    <t>psar_no_highvol_{'C',  [('number', 5,  1),  ('number', 7.5,  -1)]}_[35,  70]_4</t>
  </si>
  <si>
    <t>psar_no_highvol_{'C',  [('number', 7.5,  1),  ('number', 10,  -1)]}_[7,  35]_1</t>
  </si>
  <si>
    <t>psar_no_highvol_{'C',  [('number', 7.5,  1),  ('number', 10,  -1)]}_[7,  35]_2</t>
  </si>
  <si>
    <t>psar_no_highvol_{'C',  [('number', 7.5,  1),  ('number', 10,  -1)]}_[7,  35]_3</t>
  </si>
  <si>
    <t>psar_no_highvol_{'C',  [('number', 7.5,  1),  ('number', 10,  -1)]}_[7,  35]_4</t>
  </si>
  <si>
    <t>psar_no_highvol_{'C',  [('number', 7.5,  1),  ('number', 10,  -1)]}_[21,  49]_1</t>
  </si>
  <si>
    <t>psar_no_highvol_{'C',  [('number', 7.5,  1),  ('number', 10,  -1)]}_[21,  49]_2</t>
  </si>
  <si>
    <t>psar_no_highvol_{'C',  [('number', 7.5,  1),  ('number', 10,  -1)]}_[21,  49]_3</t>
  </si>
  <si>
    <t>psar_no_highvol_{'C',  [('number', 7.5,  1),  ('number', 10,  -1)]}_[21,  49]_4</t>
  </si>
  <si>
    <t>psar_no_highvol_{'C',  [('number', 7.5,  1),  ('number', 10,  -1)]}_[35,  70]_1</t>
  </si>
  <si>
    <t>psar_no_highvol_{'C',  [('number', 7.5,  1),  ('number', 10,  -1)]}_[35,  70]_2</t>
  </si>
  <si>
    <t>psar_no_highvol_{'C',  [('number', 7.5,  1),  ('number', 10,  -1)]}_[35,  70]_3</t>
  </si>
  <si>
    <t>psar_no_highvol_{'C',  [('number', 7.5,  1),  ('number', 10,  -1)]}_[35,  70]_4</t>
  </si>
  <si>
    <t>rsi_{'C',  [('number', 0,  1),  ('number', 2.5,  -1)]}_[7,  35]_1</t>
  </si>
  <si>
    <t>rsi_{'C',  [('number', 0,  1),  ('number', 2.5,  -1)]}_[7,  35]_2</t>
  </si>
  <si>
    <t>rsi_{'C',  [('number', 0,  1),  ('number', 2.5,  -1)]}_[7,  35]_3</t>
  </si>
  <si>
    <t>rsi_{'C',  [('number', 0,  1),  ('number', 2.5,  -1)]}_[7,  35]_4</t>
  </si>
  <si>
    <t>rsi_{'C',  [('number', 0,  1),  ('number', 2.5,  -1)]}_[21,  49]_1</t>
  </si>
  <si>
    <t>rsi_{'C',  [('number', 0,  1),  ('number', 2.5,  -1)]}_[21,  49]_2</t>
  </si>
  <si>
    <t>rsi_{'C',  [('number', 0,  1),  ('number', 2.5,  -1)]}_[21,  49]_3</t>
  </si>
  <si>
    <t>rsi_{'C',  [('number', 0,  1),  ('number', 2.5,  -1)]}_[21,  49]_4</t>
  </si>
  <si>
    <t>rsi_{'C',  [('number', 0,  1),  ('number', 2.5,  -1)]}_[35,  70]_1</t>
  </si>
  <si>
    <t>rsi_{'C',  [('number', 0,  1),  ('number', 2.5,  -1)]}_[35,  70]_2</t>
  </si>
  <si>
    <t>rsi_{'C',  [('number', 0,  1),  ('number', 2.5,  -1)]}_[35,  70]_3</t>
  </si>
  <si>
    <t>rsi_{'C',  [('number', 0,  1),  ('number', 2.5,  -1)]}_[35,  70]_4</t>
  </si>
  <si>
    <t>rsi_{'C',  [('number', 2.5,  1),  ('number', 5,  -1)]}_[7,  35]_1</t>
  </si>
  <si>
    <t>rsi_{'C',  [('number', 2.5,  1),  ('number', 5,  -1)]}_[7,  35]_2</t>
  </si>
  <si>
    <t>rsi_{'C',  [('number', 2.5,  1),  ('number', 5,  -1)]}_[7,  35]_3</t>
  </si>
  <si>
    <t>rsi_{'C',  [('number', 2.5,  1),  ('number', 5,  -1)]}_[7,  35]_4</t>
  </si>
  <si>
    <t>rsi_{'C',  [('number', 2.5,  1),  ('number', 5,  -1)]}_[21,  49]_1</t>
  </si>
  <si>
    <t>rsi_{'C',  [('number', 2.5,  1),  ('number', 5,  -1)]}_[21,  49]_2</t>
  </si>
  <si>
    <t>rsi_{'C',  [('number', 2.5,  1),  ('number', 5,  -1)]}_[21,  49]_3</t>
  </si>
  <si>
    <t>rsi_{'C',  [('number', 2.5,  1),  ('number', 5,  -1)]}_[21,  49]_4</t>
  </si>
  <si>
    <t>rsi_{'C',  [('number', 2.5,  1),  ('number', 5,  -1)]}_[35,  70]_1</t>
  </si>
  <si>
    <t>rsi_{'C',  [('number', 2.5,  1),  ('number', 5,  -1)]}_[35,  70]_2</t>
  </si>
  <si>
    <t>rsi_{'C',  [('number', 2.5,  1),  ('number', 5,  -1)]}_[35,  70]_3</t>
  </si>
  <si>
    <t>rsi_{'C',  [('number', 2.5,  1),  ('number', 5,  -1)]}_[35,  70]_4</t>
  </si>
  <si>
    <t>rsi_{'C',  [('number', 5,  1),  ('number', 7.5,  -1)]}_[7,  35]_1</t>
  </si>
  <si>
    <t>rsi_{'C',  [('number', 5,  1),  ('number', 7.5,  -1)]}_[7,  35]_2</t>
  </si>
  <si>
    <t>rsi_{'C',  [('number', 5,  1),  ('number', 7.5,  -1)]}_[7,  35]_3</t>
  </si>
  <si>
    <t>rsi_{'C',  [('number', 5,  1),  ('number', 7.5,  -1)]}_[7,  35]_4</t>
  </si>
  <si>
    <t>rsi_{'C',  [('number', 5,  1),  ('number', 7.5,  -1)]}_[21,  49]_1</t>
  </si>
  <si>
    <t>rsi_{'C',  [('number', 5,  1),  ('number', 7.5,  -1)]}_[21,  49]_2</t>
  </si>
  <si>
    <t>rsi_{'C',  [('number', 5,  1),  ('number', 7.5,  -1)]}_[21,  49]_3</t>
  </si>
  <si>
    <t>rsi_{'C',  [('number', 5,  1),  ('number', 7.5,  -1)]}_[21,  49]_4</t>
  </si>
  <si>
    <t>rsi_{'C',  [('number', 5,  1),  ('number', 7.5,  -1)]}_[35,  70]_1</t>
  </si>
  <si>
    <t>rsi_{'C',  [('number', 5,  1),  ('number', 7.5,  -1)]}_[35,  70]_2</t>
  </si>
  <si>
    <t>rsi_{'C',  [('number', 5,  1),  ('number', 7.5,  -1)]}_[35,  70]_3</t>
  </si>
  <si>
    <t>rsi_{'C',  [('number', 5,  1),  ('number', 7.5,  -1)]}_[35,  70]_4</t>
  </si>
  <si>
    <t>rsi_{'C',  [('number', 7.5,  1),  ('number', 10,  -1)]}_[7,  35]_1</t>
  </si>
  <si>
    <t>rsi_{'C',  [('number', 7.5,  1),  ('number', 10,  -1)]}_[7,  35]_2</t>
  </si>
  <si>
    <t>rsi_{'C',  [('number', 7.5,  1),  ('number', 10,  -1)]}_[7,  35]_3</t>
  </si>
  <si>
    <t>rsi_{'C',  [('number', 7.5,  1),  ('number', 10,  -1)]}_[7,  35]_4</t>
  </si>
  <si>
    <t>rsi_{'C',  [('number', 7.5,  1),  ('number', 10,  -1)]}_[21,  49]_1</t>
  </si>
  <si>
    <t>rsi_{'C',  [('number', 7.5,  1),  ('number', 10,  -1)]}_[21,  49]_2</t>
  </si>
  <si>
    <t>rsi_{'C',  [('number', 7.5,  1),  ('number', 10,  -1)]}_[21,  49]_3</t>
  </si>
  <si>
    <t>rsi_{'C',  [('number', 7.5,  1),  ('number', 10,  -1)]}_[21,  49]_4</t>
  </si>
  <si>
    <t>rsi_{'C',  [('number', 7.5,  1),  ('number', 10,  -1)]}_[35,  70]_1</t>
  </si>
  <si>
    <t>rsi_{'C',  [('number', 7.5,  1),  ('number', 10,  -1)]}_[35,  70]_2</t>
  </si>
  <si>
    <t>rsi_{'C',  [('number', 7.5,  1),  ('number', 10,  -1)]}_[35,  70]_3</t>
  </si>
  <si>
    <t>rsi_{'C',  [('number', 7.5,  1),  ('number', 10,  -1)]}_[35,  70]_4</t>
  </si>
  <si>
    <t>stoch_{'C',  [('number', 0,  1),  ('number', 2.5,  -1)]}_[7,  35]_1</t>
  </si>
  <si>
    <t>stoch_{'C',  [('number', 0,  1),  ('number', 2.5,  -1)]}_[7,  35]_2</t>
  </si>
  <si>
    <t>stoch_{'C',  [('number', 0,  1),  ('number', 2.5,  -1)]}_[7,  35]_3</t>
  </si>
  <si>
    <t>stoch_{'C',  [('number', 0,  1),  ('number', 2.5,  -1)]}_[7,  35]_4</t>
  </si>
  <si>
    <t>stoch_{'C',  [('number', 0,  1),  ('number', 2.5,  -1)]}_[21,  49]_1</t>
  </si>
  <si>
    <t>stoch_{'C',  [('number', 0,  1),  ('number', 2.5,  -1)]}_[21,  49]_2</t>
  </si>
  <si>
    <t>stoch_{'C',  [('number', 0,  1),  ('number', 2.5,  -1)]}_[21,  49]_3</t>
  </si>
  <si>
    <t>stoch_{'C',  [('number', 0,  1),  ('number', 2.5,  -1)]}_[21,  49]_4</t>
  </si>
  <si>
    <t>stoch_{'C',  [('number', 0,  1),  ('number', 2.5,  -1)]}_[35,  70]_1</t>
  </si>
  <si>
    <t>stoch_{'C',  [('number', 5,  1),  ('number', 7.5,  -1)]}_[35,  70]_1</t>
  </si>
  <si>
    <t>stoch_{'C',  [('number', 2.5,  1),  ('number', 5,  -1)]}_[35,  70]_1</t>
  </si>
  <si>
    <t>stoch_{'C',  [('number', 2.5,  1),  ('number', 5,  -1)]}_[21,  49]_1</t>
  </si>
  <si>
    <t>stoch_{'C',  [('number', 5,  1),  ('number', 7.5,  -1)]}_[35,  70]_2</t>
  </si>
  <si>
    <t>stoch_{'C',  [('number', 2.5,  1),  ('number', 5,  -1)]}_[35,  70]_2</t>
  </si>
  <si>
    <t>stoch_{'C',  [('number', 7.5,  1),  ('number', 10,  -1)]}_[21,  49]_2</t>
  </si>
  <si>
    <t>stoch_{'C',  [('number', 2.5,  1),  ('number', 5,  -1)]}_[7,  35]_1</t>
  </si>
  <si>
    <t>stoch_{'C',  [('number', 7.5,  1),  ('number', 10,  -1)]}_[7,  35]_3</t>
  </si>
  <si>
    <t>stoch_{'C',  [('number', 2.5,  1),  ('number', 5,  -1)]}_[21,  49]_2</t>
  </si>
  <si>
    <t>stoch_{'C',  [('number', 2.5,  1),  ('number', 5,  -1)]}_[7,  35]_2</t>
  </si>
  <si>
    <t>stoch_{'C',  [('number', 7.5,  1),  ('number', 10,  -1)]}_[21,  49]_1</t>
  </si>
  <si>
    <t>stoch_{'C',  [('number', 5,  1),  ('number', 7.5,  -1)]}_[21,  49]_1</t>
  </si>
  <si>
    <t>stoch_{'C',  [('number', 7.5,  1),  ('number', 10,  -1)]}_[7,  35]_2</t>
  </si>
  <si>
    <t>stoch_{'C',  [('number', 2.5,  1),  ('number', 5,  -1)]}_[21,  49]_3</t>
  </si>
  <si>
    <t>stoch_{'C',  [('number', 7.5,  1),  ('number', 10,  -1)]}_[7,  35]_4</t>
  </si>
  <si>
    <t>stoch_{'C',  [('number', 2.5,  1),  ('number', 5,  -1)]}_[21,  49]_4</t>
  </si>
  <si>
    <t>stoch_{'C',  [('number', 7.5,  1),  ('number', 10,  -1)]}_[7,  35]_1</t>
  </si>
  <si>
    <t>stoch_{'C',  [('number', 2.5,  1),  ('number', 5,  -1)]}_[7,  35]_4</t>
  </si>
  <si>
    <t>stoch_{'C',  [('number', 2.5,  1),  ('number', 5,  -1)]}_[7,  35]_3</t>
  </si>
  <si>
    <t>stoch_{'C',  [('number', 2.5,  1),  ('number', 5,  -1)]}_[35,  70]_3</t>
  </si>
  <si>
    <t>stoch_{'C',  [('number', 7.5,  1),  ('number', 10,  -1)]}_[35,  70]_1</t>
  </si>
  <si>
    <t>stoch_{'C',  [('number', 7.5,  1),  ('number', 10,  -1)]}_[21,  49]_3</t>
  </si>
  <si>
    <t>stoch_{'C',  [('number', 5,  1),  ('number', 7.5,  -1)]}_[7,  35]_1</t>
  </si>
  <si>
    <t>stoch_{'C',  [('number', 5,  1),  ('number', 7.5,  -1)]}_[7,  35]_2</t>
  </si>
  <si>
    <t>stoch_{'C',  [('number', 5,  1),  ('number', 7.5,  -1)]}_[7,  35]_3</t>
  </si>
  <si>
    <t>stoch_{'C',  [('number', 7.5,  1),  ('number', 10,  -1)]}_[21,  49]_4</t>
  </si>
  <si>
    <t>stoch_{'C',  [('number', 5,  1),  ('number', 7.5,  -1)]}_[21,  49]_2</t>
  </si>
  <si>
    <t>stoch_{'C',  [('number', 5,  1),  ('number', 7.5,  -1)]}_[7,  35]_4</t>
  </si>
  <si>
    <t>stoch_{'C',  [('number', 5,  1),  ('number', 7.5,  -1)]}_[35,  70]_3</t>
  </si>
  <si>
    <t>stoch_{'C',  [('number', 2.5,  1),  ('number', 5,  -1)]}_[35,  70]_4</t>
  </si>
  <si>
    <t>stoch_{'C',  [('number', 7.5,  1),  ('number', 10,  -1)]}_[35,  70]_2</t>
  </si>
  <si>
    <t>stoch_{'C',  [('number', 0,  1),  ('number', 2.5,  -1)]}_[35,  70]_2</t>
  </si>
  <si>
    <t>stoch_{'C',  [('number', 5,  1),  ('number', 7.5,  -1)]}_[21,  49]_4</t>
  </si>
  <si>
    <t>stoch_{'C',  [('number', 7.5,  1),  ('number', 10,  -1)]}_[35,  70]_3</t>
  </si>
  <si>
    <t>stoch_{'C',  [('number', 5,  1),  ('number', 7.5,  -1)]}_[21,  49]_3</t>
  </si>
  <si>
    <t>stoch_{'C',  [('number', 5,  1),  ('number', 7.5,  -1)]}_[35,  70]_4</t>
  </si>
  <si>
    <t>stoch_{'C',  [('number', 7.5,  1),  ('number', 10,  -1)]}_[35,  70]_4</t>
  </si>
  <si>
    <t>stoch_{'C',  [('number', 0,  1),  ('number', 2.5,  -1)]}_[35,  70]_3</t>
  </si>
  <si>
    <t>stoch_{'C',  [('number', 0,  1),  ('number', 2.5,  -1)]}_[35,  70]_4</t>
  </si>
  <si>
    <t>콜 데빗은 단타성으로 운용</t>
    <phoneticPr fontId="2" type="noConversion"/>
  </si>
  <si>
    <t>진입후 50% 수익 / -50% 손절</t>
    <phoneticPr fontId="2" type="noConversion"/>
  </si>
  <si>
    <t>alltime_</t>
  </si>
  <si>
    <t xml:space="preserve">'C': [('delta', 0.5, -1), ('delta', 0.25, 2)]}_[7, 35]_1, </t>
  </si>
  <si>
    <t xml:space="preserve">'C': [('delta', 0.5, -1), ('delta', 0.25, 2)]}_[7, 35]_2, </t>
  </si>
  <si>
    <t xml:space="preserve">'C': [('delta', 0.5, -1), ('delta', 0.25, 2)]}_[7, 35]_3, </t>
  </si>
  <si>
    <t xml:space="preserve">'C': [('delta', 0.5, -1), ('delta', 0.25, 2)]}_[7, 35]_4, </t>
  </si>
  <si>
    <t xml:space="preserve">'C': [('delta', 0.5, -1), ('delta', 0.25, 2)]}_[7, 35]_5, </t>
  </si>
  <si>
    <t xml:space="preserve">'C': [('delta', 0.5, -1), ('delta', 0.25, 2)]}_[21, 49]_1, </t>
  </si>
  <si>
    <t xml:space="preserve">'C': [('delta', 0.5, -1), ('delta', 0.25, 2)]}_[21, 49]_2, </t>
  </si>
  <si>
    <t xml:space="preserve">'C': [('delta', 0.5, -1), ('delta', 0.25, 2)]}_[21, 49]_3, </t>
  </si>
  <si>
    <t xml:space="preserve">'C': [('delta', 0.5, -1), ('delta', 0.25, 2)]}_[21, 49]_4, </t>
  </si>
  <si>
    <t xml:space="preserve">'C': [('delta', 0.5, -1), ('delta', 0.25, 2)]}_[21, 49]_5, </t>
  </si>
  <si>
    <t xml:space="preserve">'C': [('delta', 0.5, -1), ('delta', 0.25, 2)]}_[42, 70]_1, </t>
  </si>
  <si>
    <t xml:space="preserve">'C': [('delta', 0.5, -1), ('delta', 0.25, 2)]}_[42, 70]_2, </t>
  </si>
  <si>
    <t xml:space="preserve">'C': [('delta', 0.5, -1), ('delta', 0.25, 2)]}_[42, 70]_3, </t>
  </si>
  <si>
    <t xml:space="preserve">'C': [('delta', 0.5, -1), ('delta', 0.25, 2)]}_[42, 70]_4, </t>
  </si>
  <si>
    <t xml:space="preserve">'C': [('delta', 0.5, -1), ('delta', 0.25, 2)]}_[42, 70]_5, </t>
  </si>
  <si>
    <t xml:space="preserve">'C': [('delta', 0.4, -1), ('delta', 0.2, 2)]}_[7, 35]_1, </t>
  </si>
  <si>
    <t xml:space="preserve">'C': [('delta', 0.4, -1), ('delta', 0.2, 2)]}_[7, 35]_2, </t>
  </si>
  <si>
    <t xml:space="preserve">'C': [('delta', 0.4, -1), ('delta', 0.2, 2)]}_[7, 35]_3, </t>
  </si>
  <si>
    <t xml:space="preserve">'C': [('delta', 0.4, -1), ('delta', 0.2, 2)]}_[7, 35]_4, </t>
  </si>
  <si>
    <t xml:space="preserve">'C': [('delta', 0.4, -1), ('delta', 0.2, 2)]}_[7, 35]_5, </t>
  </si>
  <si>
    <t xml:space="preserve">'C': [('delta', 0.4, -1), ('delta', 0.2, 2)]}_[21, 49]_1, </t>
  </si>
  <si>
    <t xml:space="preserve">'C': [('delta', 0.4, -1), ('delta', 0.2, 2)]}_[21, 49]_2, </t>
  </si>
  <si>
    <t xml:space="preserve">'C': [('delta', 0.4, -1), ('delta', 0.2, 2)]}_[21, 49]_3, </t>
  </si>
  <si>
    <t xml:space="preserve">'C': [('delta', 0.4, -1), ('delta', 0.2, 2)]}_[21, 49]_4, </t>
  </si>
  <si>
    <t xml:space="preserve">'C': [('delta', 0.4, -1), ('delta', 0.2, 2)]}_[21, 49]_5, </t>
  </si>
  <si>
    <t xml:space="preserve">'C': [('delta', 0.4, -1), ('delta', 0.2, 2)]}_[42, 70]_1, </t>
  </si>
  <si>
    <t xml:space="preserve">'C': [('delta', 0.4, -1), ('delta', 0.2, 2)]}_[42, 70]_2, </t>
  </si>
  <si>
    <t xml:space="preserve">'C': [('delta', 0.4, -1), ('delta', 0.2, 2)]}_[42, 70]_3, </t>
  </si>
  <si>
    <t xml:space="preserve">'C': [('delta', 0.4, -1), ('delta', 0.2, 2)]}_[42, 70]_4, </t>
  </si>
  <si>
    <t xml:space="preserve">'C': [('delta', 0.4, -1), ('delta', 0.2, 2)]}_[42, 70]_5, </t>
  </si>
  <si>
    <t xml:space="preserve">'C': [('delta', 0.4, -1), ('delta', 0.2, 3)]}_[7, 35]_1, </t>
  </si>
  <si>
    <t xml:space="preserve">'C': [('delta', 0.4, -1), ('delta', 0.2, 3)]}_[7, 35]_2, </t>
  </si>
  <si>
    <t xml:space="preserve">'C': [('delta', 0.4, -1), ('delta', 0.2, 3)]}_[7, 35]_3, </t>
  </si>
  <si>
    <t xml:space="preserve">'C': [('delta', 0.4, -1), ('delta', 0.2, 3)]}_[7, 35]_4, </t>
  </si>
  <si>
    <t xml:space="preserve">'C': [('delta', 0.4, -1), ('delta', 0.2, 3)]}_[7, 35]_5, </t>
  </si>
  <si>
    <t xml:space="preserve">'C': [('delta', 0.4, -1), ('delta', 0.2, 3)]}_[21, 49]_1, </t>
  </si>
  <si>
    <t xml:space="preserve">'C': [('delta', 0.4, -1), ('delta', 0.2, 3)]}_[21, 49]_2, </t>
  </si>
  <si>
    <t xml:space="preserve">'C': [('delta', 0.4, -1), ('delta', 0.2, 3)]}_[21, 49]_3, </t>
  </si>
  <si>
    <t xml:space="preserve">'C': [('delta', 0.4, -1), ('delta', 0.2, 3)]}_[21, 49]_4, </t>
  </si>
  <si>
    <t xml:space="preserve">'C': [('delta', 0.4, -1), ('delta', 0.2, 3)]}_[21, 49]_5, </t>
  </si>
  <si>
    <t xml:space="preserve">'C': [('delta', 0.4, -1), ('delta', 0.2, 3)]}_[42, 70]_1, </t>
  </si>
  <si>
    <t xml:space="preserve">'C': [('delta', 0.4, -1), ('delta', 0.2, 3)]}_[42, 70]_2, </t>
  </si>
  <si>
    <t xml:space="preserve">'C': [('delta', 0.4, -1), ('delta', 0.2, 3)]}_[42, 70]_3, </t>
  </si>
  <si>
    <t xml:space="preserve">'C': [('delta', 0.4, -1), ('delta', 0.2, 3)]}_[42, 70]_4, </t>
  </si>
  <si>
    <t xml:space="preserve">'C': [('delta', 0.4, -1), ('delta', 0.2, 3)]}_[42, 70]_5, </t>
  </si>
  <si>
    <t xml:space="preserve">'C': [('delta', 0.3, -1), ('delta', 0.15, 2)]}_[7, 35]_1, </t>
  </si>
  <si>
    <t xml:space="preserve">'C': [('delta', 0.3, -1), ('delta', 0.15, 2)]}_[7, 35]_2, </t>
  </si>
  <si>
    <t xml:space="preserve">'C': [('delta', 0.3, -1), ('delta', 0.15, 2)]}_[7, 35]_3, </t>
  </si>
  <si>
    <t xml:space="preserve">'C': [('delta', 0.3, -1), ('delta', 0.15, 2)]}_[7, 35]_4, </t>
  </si>
  <si>
    <t xml:space="preserve">'C': [('delta', 0.3, -1), ('delta', 0.15, 2)]}_[7, 35]_5, </t>
  </si>
  <si>
    <t xml:space="preserve">'C': [('delta', 0.3, -1), ('delta', 0.15, 2)]}_[21, 49]_1, </t>
  </si>
  <si>
    <t xml:space="preserve">'C': [('delta', 0.3, -1), ('delta', 0.15, 2)]}_[21, 49]_2, </t>
  </si>
  <si>
    <t xml:space="preserve">'C': [('delta', 0.3, -1), ('delta', 0.15, 2)]}_[21, 49]_3, </t>
  </si>
  <si>
    <t xml:space="preserve">'C': [('delta', 0.3, -1), ('delta', 0.15, 2)]}_[21, 49]_4, </t>
  </si>
  <si>
    <t xml:space="preserve">'C': [('delta', 0.3, -1), ('delta', 0.15, 2)]}_[21, 49]_5, </t>
  </si>
  <si>
    <t xml:space="preserve">'C': [('delta', 0.3, -1), ('delta', 0.15, 2)]}_[42, 70]_1, </t>
  </si>
  <si>
    <t xml:space="preserve">'C': [('delta', 0.3, -1), ('delta', 0.15, 2)]}_[42, 70]_2, </t>
  </si>
  <si>
    <t xml:space="preserve">'C': [('delta', 0.3, -1), ('delta', 0.15, 2)]}_[42, 70]_3, </t>
  </si>
  <si>
    <t xml:space="preserve">'C': [('delta', 0.3, -1), ('delta', 0.15, 2)]}_[42, 70]_4, </t>
  </si>
  <si>
    <t xml:space="preserve">'C': [('delta', 0.3, -1), ('delta', 0.15, 2)]}_[42, 70]_5, </t>
  </si>
  <si>
    <t xml:space="preserve">'C': [('delta', 0.3, -1), ('delta', 0.15, 3)]}_[7, 35]_1, </t>
  </si>
  <si>
    <t xml:space="preserve">'C': [('delta', 0.3, -1), ('delta', 0.15, 3)]}_[7, 35]_2, </t>
  </si>
  <si>
    <t xml:space="preserve">'C': [('delta', 0.3, -1), ('delta', 0.15, 3)]}_[7, 35]_3, </t>
  </si>
  <si>
    <t xml:space="preserve">'C': [('delta', 0.3, -1), ('delta', 0.15, 3)]}_[7, 35]_4, </t>
  </si>
  <si>
    <t xml:space="preserve">'C': [('delta', 0.3, -1), ('delta', 0.15, 3)]}_[7, 35]_5, </t>
  </si>
  <si>
    <t xml:space="preserve">'C': [('delta', 0.3, -1), ('delta', 0.15, 3)]}_[21, 49]_1, </t>
  </si>
  <si>
    <t xml:space="preserve">'C': [('delta', 0.3, -1), ('delta', 0.15, 3)]}_[21, 49]_2, </t>
  </si>
  <si>
    <t xml:space="preserve">'C': [('delta', 0.3, -1), ('delta', 0.15, 3)]}_[21, 49]_3, </t>
  </si>
  <si>
    <t xml:space="preserve">'C': [('delta', 0.3, -1), ('delta', 0.15, 3)]}_[21, 49]_4, </t>
  </si>
  <si>
    <t xml:space="preserve">'C': [('delta', 0.3, -1), ('delta', 0.15, 3)]}_[21, 49]_5, </t>
  </si>
  <si>
    <t xml:space="preserve">'C': [('delta', 0.3, -1), ('delta', 0.15, 3)]}_[42, 70]_1, </t>
  </si>
  <si>
    <t xml:space="preserve">'C': [('delta', 0.3, -1), ('delta', 0.15, 3)]}_[42, 70]_2, </t>
  </si>
  <si>
    <t xml:space="preserve">'C': [('delta', 0.3, -1), ('delta', 0.15, 3)]}_[42, 70]_3, </t>
  </si>
  <si>
    <t xml:space="preserve">'C': [('delta', 0.3, -1), ('delta', 0.15, 3)]}_[42, 70]_4, </t>
  </si>
  <si>
    <t xml:space="preserve">'C': [('delta', 0.3, -1), ('delta', 0.15, 3)]}_[42, 70]_5, </t>
  </si>
  <si>
    <t>bbands_</t>
  </si>
  <si>
    <t>psar_</t>
  </si>
  <si>
    <t>psar_no_highvol_</t>
  </si>
  <si>
    <t>rsi_</t>
  </si>
  <si>
    <t>stoch_</t>
  </si>
  <si>
    <t>'n'</t>
  </si>
  <si>
    <t xml:space="preserve"> (-4.439999999999975</t>
  </si>
  <si>
    <t xml:space="preserve"> Timestamp('2021-10-14 00</t>
  </si>
  <si>
    <t xml:space="preserve"> (-21.17000000000003</t>
  </si>
  <si>
    <t xml:space="preserve"> Timestamp('2013-05-09 00</t>
  </si>
  <si>
    <t xml:space="preserve"> (-5.39</t>
  </si>
  <si>
    <t xml:space="preserve"> Timestamp('2016-12-08 00</t>
  </si>
  <si>
    <t xml:space="preserve"> (-21.559999999999995</t>
  </si>
  <si>
    <t xml:space="preserve"> Timestamp('2013-07-11 00</t>
  </si>
  <si>
    <t xml:space="preserve"> (-23.70000000000002</t>
  </si>
  <si>
    <t xml:space="preserve"> (-8.39000000000001</t>
  </si>
  <si>
    <t xml:space="preserve"> (-28.270000000000024</t>
  </si>
  <si>
    <t xml:space="preserve"> (-27.400000000000013</t>
  </si>
  <si>
    <t xml:space="preserve"> Timestamp('2016-04-14 00</t>
  </si>
  <si>
    <t xml:space="preserve"> (-42.339999999999996</t>
  </si>
  <si>
    <t xml:space="preserve"> (-47.629999999999995</t>
  </si>
  <si>
    <t xml:space="preserve"> Timestamp('2011-12-01 00</t>
  </si>
  <si>
    <t xml:space="preserve"> (-9.861699084048334</t>
  </si>
  <si>
    <t xml:space="preserve"> (-28.159999999999993</t>
  </si>
  <si>
    <t xml:space="preserve"> (-50.14</t>
  </si>
  <si>
    <t xml:space="preserve"> (-61.5</t>
  </si>
  <si>
    <t xml:space="preserve"> (-26.129999999999892</t>
  </si>
  <si>
    <t xml:space="preserve"> (-4.820000000000004</t>
  </si>
  <si>
    <t xml:space="preserve"> (-29.79</t>
  </si>
  <si>
    <t xml:space="preserve"> (-4.249999999999984</t>
  </si>
  <si>
    <t xml:space="preserve"> Timestamp('2012-08-09 00</t>
  </si>
  <si>
    <t xml:space="preserve"> (-37.48999999999988</t>
  </si>
  <si>
    <t xml:space="preserve"> (-5.7205470345472005</t>
  </si>
  <si>
    <t xml:space="preserve"> (-19.960000000000093</t>
  </si>
  <si>
    <t xml:space="preserve"> Timestamp('2019-12-12 00</t>
  </si>
  <si>
    <t xml:space="preserve"> (-8.239999999999998</t>
  </si>
  <si>
    <t xml:space="preserve"> (-23.52999999999986</t>
  </si>
  <si>
    <t xml:space="preserve"> (-27.000000000000064</t>
  </si>
  <si>
    <t xml:space="preserve"> (-32.18000000000001</t>
  </si>
  <si>
    <t xml:space="preserve"> (-41.86000000000001</t>
  </si>
  <si>
    <t xml:space="preserve"> (-5.240000000000028</t>
  </si>
  <si>
    <t xml:space="preserve"> Timestamp('2020-11-12 00</t>
  </si>
  <si>
    <t xml:space="preserve"> (-18.310000000000088</t>
  </si>
  <si>
    <t xml:space="preserve"> Timestamp('2017-07-13 00</t>
  </si>
  <si>
    <t xml:space="preserve"> (-5.9999999999999964</t>
  </si>
  <si>
    <t xml:space="preserve"> (-22.04000000000001</t>
  </si>
  <si>
    <t xml:space="preserve"> (-26.140000000000008</t>
  </si>
  <si>
    <t xml:space="preserve"> (-9.490000000000006</t>
  </si>
  <si>
    <t xml:space="preserve"> (-31.279999999999838</t>
  </si>
  <si>
    <t xml:space="preserve"> (-6.309999999999995</t>
  </si>
  <si>
    <t xml:space="preserve"> (-37.83</t>
  </si>
  <si>
    <t xml:space="preserve"> Timestamp('2011-05-03 00</t>
  </si>
  <si>
    <t xml:space="preserve"> (-6.010547034547201</t>
  </si>
  <si>
    <t xml:space="preserve"> (-22.599999999999998</t>
  </si>
  <si>
    <t xml:space="preserve"> (-24.659999999999993</t>
  </si>
  <si>
    <t xml:space="preserve"> (-6.15</t>
  </si>
  <si>
    <t xml:space="preserve"> (-30.039103458068865</t>
  </si>
  <si>
    <t xml:space="preserve"> (-30.69000000000001</t>
  </si>
  <si>
    <t xml:space="preserve"> (-3.6499999999999932</t>
  </si>
  <si>
    <t xml:space="preserve"> Timestamp('2010-12-09 00</t>
  </si>
  <si>
    <t xml:space="preserve"> (-28.0900000000003</t>
  </si>
  <si>
    <t xml:space="preserve"> (-34.490000000000336</t>
  </si>
  <si>
    <t xml:space="preserve"> (-4.454924753215414</t>
  </si>
  <si>
    <t xml:space="preserve"> (-18.870000000000026</t>
  </si>
  <si>
    <t xml:space="preserve"> (-25.440000000000012</t>
  </si>
  <si>
    <t xml:space="preserve"> Timestamp('2019-09-25 00</t>
  </si>
  <si>
    <t xml:space="preserve"> (-5.109999999999999</t>
  </si>
  <si>
    <t xml:space="preserve"> (-31.19999999999998</t>
  </si>
  <si>
    <t xml:space="preserve"> Timestamp('2020-08-14 00</t>
  </si>
  <si>
    <t xml:space="preserve"> (-18.840000000000245</t>
  </si>
  <si>
    <t xml:space="preserve"> (-18.110000000000205</t>
  </si>
  <si>
    <t xml:space="preserve"> (-18.980000000000008</t>
  </si>
  <si>
    <t xml:space="preserve"> (-29.019999999999875</t>
  </si>
  <si>
    <t xml:space="preserve"> Timestamp('2017-11-09 00</t>
  </si>
  <si>
    <t xml:space="preserve"> (-7.229999999999997</t>
  </si>
  <si>
    <t xml:space="preserve"> (-30.309999999999995</t>
  </si>
  <si>
    <t xml:space="preserve"> Timestamp('2023-01-30 00</t>
  </si>
  <si>
    <t xml:space="preserve"> (-4.289999999999984</t>
  </si>
  <si>
    <t xml:space="preserve"> (-26.369999999999823</t>
  </si>
  <si>
    <t xml:space="preserve"> (-5.24</t>
  </si>
  <si>
    <t xml:space="preserve"> (-25.80999999999985</t>
  </si>
  <si>
    <t xml:space="preserve"> (-30.46</t>
  </si>
  <si>
    <t xml:space="preserve"> (-4.380983681131056</t>
  </si>
  <si>
    <t xml:space="preserve"> Timestamp('2021-02-05 00</t>
  </si>
  <si>
    <t xml:space="preserve"> (-11.95</t>
  </si>
  <si>
    <t xml:space="preserve"> Timestamp('2016-03-02 00</t>
  </si>
  <si>
    <t xml:space="preserve"> (-18.709999999999987</t>
  </si>
  <si>
    <t xml:space="preserve"> (-23.999999999999986</t>
  </si>
  <si>
    <t xml:space="preserve"> (-4.490000000000002</t>
  </si>
  <si>
    <t xml:space="preserve"> (-27.180000000000003</t>
  </si>
  <si>
    <t xml:space="preserve"> Timestamp('2020-01-21 00</t>
  </si>
  <si>
    <t xml:space="preserve"> (-4.739999999999999</t>
  </si>
  <si>
    <t xml:space="preserve"> (-30.479999999999993</t>
  </si>
  <si>
    <t xml:space="preserve"> Timestamp('2010-11-12 00</t>
  </si>
  <si>
    <t xml:space="preserve"> (-5.969999999999949</t>
  </si>
  <si>
    <t xml:space="preserve"> (-5.98999999999995</t>
  </si>
  <si>
    <t xml:space="preserve"> (-5.159999999999999</t>
  </si>
  <si>
    <t xml:space="preserve"> (-9.82</t>
  </si>
  <si>
    <t xml:space="preserve"> (-3.1500000000000004</t>
  </si>
  <si>
    <t xml:space="preserve"> Timestamp('2011-08-16 00</t>
  </si>
  <si>
    <t xml:space="preserve"> (-3.6</t>
  </si>
  <si>
    <t xml:space="preserve"> Timestamp('2019-06-10 00</t>
  </si>
  <si>
    <t xml:space="preserve"> (-3.5199999999999996</t>
  </si>
  <si>
    <t xml:space="preserve"> Timestamp('2016-10-11 00</t>
  </si>
  <si>
    <t xml:space="preserve"> (-5.630000000000001</t>
  </si>
  <si>
    <t xml:space="preserve"> (-9.879999999999999</t>
  </si>
  <si>
    <t xml:space="preserve"> (-8.011699084048335</t>
  </si>
  <si>
    <t xml:space="preserve"> (-9.321699084048333</t>
  </si>
  <si>
    <t xml:space="preserve"> (-10.601699084048334</t>
  </si>
  <si>
    <t xml:space="preserve"> (-11.341699084048333</t>
  </si>
  <si>
    <t xml:space="preserve"> (-3.7599999999999953</t>
  </si>
  <si>
    <t xml:space="preserve"> (-4.609999999999999</t>
  </si>
  <si>
    <t xml:space="preserve"> Timestamp('2012-06-07 00</t>
  </si>
  <si>
    <t xml:space="preserve"> (-5.249999999999997</t>
  </si>
  <si>
    <t xml:space="preserve"> (-4.0705470345472</t>
  </si>
  <si>
    <t xml:space="preserve"> (-6.7700000000000005</t>
  </si>
  <si>
    <t xml:space="preserve"> (-7.460000000000004</t>
  </si>
  <si>
    <t xml:space="preserve"> (-7.520000000000005</t>
  </si>
  <si>
    <t xml:space="preserve"> (-3.769999999999995</t>
  </si>
  <si>
    <t xml:space="preserve"> (-5.34</t>
  </si>
  <si>
    <t xml:space="preserve"> (-5.6</t>
  </si>
  <si>
    <t xml:space="preserve"> Timestamp('2022-01-13 00</t>
  </si>
  <si>
    <t xml:space="preserve"> (-7.479999999999999</t>
  </si>
  <si>
    <t xml:space="preserve"> (-8.759999999999998</t>
  </si>
  <si>
    <t xml:space="preserve"> Timestamp('2018-09-05 00</t>
  </si>
  <si>
    <t xml:space="preserve"> (-6.610000000000001</t>
  </si>
  <si>
    <t xml:space="preserve"> (-7.659999999999998</t>
  </si>
  <si>
    <t xml:space="preserve"> (-9.420000000000002</t>
  </si>
  <si>
    <t xml:space="preserve"> (-8.3005470345472</t>
  </si>
  <si>
    <t xml:space="preserve"> (-3.0600000000000045</t>
  </si>
  <si>
    <t xml:space="preserve"> (-5.26</t>
  </si>
  <si>
    <t xml:space="preserve"> Timestamp('2015-09-09 00</t>
  </si>
  <si>
    <t xml:space="preserve"> (-5.629999999999999</t>
  </si>
  <si>
    <t xml:space="preserve"> (-2.9700000000000006</t>
  </si>
  <si>
    <t xml:space="preserve"> Timestamp('2017-10-10 00</t>
  </si>
  <si>
    <t xml:space="preserve"> (-5.940000000000001</t>
  </si>
  <si>
    <t xml:space="preserve"> (-6.000000000000004</t>
  </si>
  <si>
    <t xml:space="preserve"> (-3.200000000000024</t>
  </si>
  <si>
    <t xml:space="preserve"> Timestamp('2013-10-10 00</t>
  </si>
  <si>
    <t xml:space="preserve"> (-3.3100000000000005</t>
  </si>
  <si>
    <t xml:space="preserve"> (-3.4299999999999993</t>
  </si>
  <si>
    <t xml:space="preserve"> (-3.5900000000000007</t>
  </si>
  <si>
    <t xml:space="preserve"> (-5.719999999999999</t>
  </si>
  <si>
    <t xml:space="preserve"> (-4.21</t>
  </si>
  <si>
    <t xml:space="preserve"> (-5.8</t>
  </si>
  <si>
    <t xml:space="preserve"> (-5.8199999999999985</t>
  </si>
  <si>
    <t xml:space="preserve"> (-8.169999999999998</t>
  </si>
  <si>
    <t xml:space="preserve"> (-4.4</t>
  </si>
  <si>
    <t xml:space="preserve"> (-3.129999999999998</t>
  </si>
  <si>
    <t xml:space="preserve"> (-3.280000000000001</t>
  </si>
  <si>
    <t xml:space="preserve"> Timestamp('2020-03-16 00</t>
  </si>
  <si>
    <t xml:space="preserve"> (-4.1000000000000005</t>
  </si>
  <si>
    <t xml:space="preserve"> (-4.630000000000002</t>
  </si>
  <si>
    <t xml:space="preserve"> (-3.4200000000000004</t>
  </si>
  <si>
    <t xml:space="preserve"> (-5.010000000000001</t>
  </si>
  <si>
    <t xml:space="preserve"> (-4.339999999999998</t>
  </si>
  <si>
    <t xml:space="preserve"> (-1.8199999999999994</t>
  </si>
  <si>
    <t xml:space="preserve"> Timestamp('2023-05-31 00</t>
  </si>
  <si>
    <t xml:space="preserve"> (-3.639999999999999</t>
  </si>
  <si>
    <t xml:space="preserve"> (-2.83</t>
  </si>
  <si>
    <t xml:space="preserve"> Timestamp('2012-01-03 00</t>
  </si>
  <si>
    <t xml:space="preserve"> (-3.0100000000000007</t>
  </si>
  <si>
    <t xml:space="preserve"> Timestamp('2020-01-02 00</t>
  </si>
  <si>
    <t xml:space="preserve"> (-3.700000000000001</t>
  </si>
  <si>
    <t xml:space="preserve"> Timestamp('2011-04-12 00</t>
  </si>
  <si>
    <t xml:space="preserve"> (-3.4400000000000013</t>
  </si>
  <si>
    <t xml:space="preserve"> (-3.9200000000000017</t>
  </si>
  <si>
    <t xml:space="preserve"> Timestamp('2023-06-07 00</t>
  </si>
  <si>
    <t xml:space="preserve"> (-6.699999999999999</t>
  </si>
  <si>
    <t xml:space="preserve"> (-2.6000000000000227</t>
  </si>
  <si>
    <t xml:space="preserve"> (-3.1728489618173628</t>
  </si>
  <si>
    <t xml:space="preserve"> Timestamp('2021-05-10 00</t>
  </si>
  <si>
    <t xml:space="preserve"> (-3.400000000000002</t>
  </si>
  <si>
    <t xml:space="preserve"> (-4.320000000000004</t>
  </si>
  <si>
    <t xml:space="preserve"> (-4.740000000000002</t>
  </si>
  <si>
    <t xml:space="preserve"> Timestamp('2019-02-28 00</t>
  </si>
  <si>
    <t xml:space="preserve"> (-2.6300000000000225</t>
  </si>
  <si>
    <t xml:space="preserve"> (-2.879999999999972</t>
  </si>
  <si>
    <t xml:space="preserve"> (-3.5600000000000023</t>
  </si>
  <si>
    <t xml:space="preserve"> (-5.39999999999999</t>
  </si>
  <si>
    <t xml:space="preserve"> Timestamp('2020-12-10 00</t>
  </si>
  <si>
    <t xml:space="preserve"> (-2.5942734427260445</t>
  </si>
  <si>
    <t xml:space="preserve"> (-3.9700000000000015</t>
  </si>
  <si>
    <t xml:space="preserve"> (-2.679999999999999</t>
  </si>
  <si>
    <t xml:space="preserve"> (-2.980000000000003</t>
  </si>
  <si>
    <t xml:space="preserve"> (-2.970000000000004</t>
  </si>
  <si>
    <t xml:space="preserve"> (-2.9299999999999997</t>
  </si>
  <si>
    <t xml:space="preserve"> Timestamp('2020-11-11 00</t>
  </si>
  <si>
    <t xml:space="preserve"> (-2.88</t>
  </si>
  <si>
    <t xml:space="preserve"> (-3.2399999999999984</t>
  </si>
  <si>
    <t xml:space="preserve"> (-3.0270525298207076</t>
  </si>
  <si>
    <t xml:space="preserve"> (-2.1399999999999997</t>
  </si>
  <si>
    <t xml:space="preserve"> (-2.8299999999999907</t>
  </si>
  <si>
    <t xml:space="preserve"> Timestamp('2010-03-11 00</t>
  </si>
  <si>
    <t xml:space="preserve"> (-5.540000000000004</t>
  </si>
  <si>
    <t xml:space="preserve"> (-2.6599999999999837</t>
  </si>
  <si>
    <t xml:space="preserve"> (-3.039999999999999</t>
  </si>
  <si>
    <t xml:space="preserve"> (-4.66</t>
  </si>
  <si>
    <t xml:space="preserve"> (-2.680815961123294</t>
  </si>
  <si>
    <t xml:space="preserve"> Timestamp('2021-02-10 00</t>
  </si>
  <si>
    <t xml:space="preserve"> (-3.4000000000000026</t>
  </si>
  <si>
    <t xml:space="preserve"> (-1.9600000000000009</t>
  </si>
  <si>
    <t xml:space="preserve"> Timestamp('2013-01-08 00</t>
  </si>
  <si>
    <t xml:space="preserve"> (-3.250000000000008</t>
  </si>
  <si>
    <t xml:space="preserve"> Timestamp('2019-06-13 00</t>
  </si>
  <si>
    <t xml:space="preserve"> (-2.839999999999998</t>
  </si>
  <si>
    <t xml:space="preserve"> Timestamp('2019-11-20 00</t>
  </si>
  <si>
    <t xml:space="preserve"> (-2.079999999999993</t>
  </si>
  <si>
    <t xml:space="preserve"> (-2.649999999999984</t>
  </si>
  <si>
    <t xml:space="preserve"> (-2.1999999999999993</t>
  </si>
  <si>
    <t xml:space="preserve"> (-2.919999999999999</t>
  </si>
  <si>
    <t xml:space="preserve"> (-1.630000000000025</t>
  </si>
  <si>
    <t xml:space="preserve"> Timestamp('2020-01-09 00</t>
  </si>
  <si>
    <t xml:space="preserve"> (-1.890000000000001</t>
  </si>
  <si>
    <t xml:space="preserve"> (-1.9200000000000017</t>
  </si>
  <si>
    <t xml:space="preserve"> Timestamp('2013-09-30 00</t>
  </si>
  <si>
    <t xml:space="preserve"> (-4.24</t>
  </si>
  <si>
    <t xml:space="preserve"> (-1.5899999999999996</t>
  </si>
  <si>
    <t xml:space="preserve"> (-2.1199999999999997</t>
  </si>
  <si>
    <t xml:space="preserve"> (-2.36</t>
  </si>
  <si>
    <t xml:space="preserve"> Timestamp('2012-06-11 00</t>
  </si>
  <si>
    <t xml:space="preserve"> (-3.8999999999999995</t>
  </si>
  <si>
    <t xml:space="preserve"> (-2.980000000000027</t>
  </si>
  <si>
    <t xml:space="preserve"> (-4.04</t>
  </si>
  <si>
    <t xml:space="preserve"> (-1.63</t>
  </si>
  <si>
    <t xml:space="preserve"> (-2.3</t>
  </si>
  <si>
    <t xml:space="preserve"> (-3.6799999999999997</t>
  </si>
  <si>
    <t xml:space="preserve"> (-7.359999999999999</t>
  </si>
  <si>
    <t xml:space="preserve"> (-3.87</t>
  </si>
  <si>
    <t xml:space="preserve"> (-5.150000000000002</t>
  </si>
  <si>
    <t xml:space="preserve"> (-2.1099999999999994</t>
  </si>
  <si>
    <t xml:space="preserve"> (-2.5500000000000007</t>
  </si>
  <si>
    <t xml:space="preserve"> (-3.330000000000001</t>
  </si>
  <si>
    <t xml:space="preserve"> Timestamp('2019-07-02 00</t>
  </si>
  <si>
    <t xml:space="preserve"> (-2.1100000000000003</t>
  </si>
  <si>
    <t xml:space="preserve"> (-1.8099999999999727</t>
  </si>
  <si>
    <t xml:space="preserve"> (-1.9400000000000002</t>
  </si>
  <si>
    <t xml:space="preserve"> (-2.3300000000000005</t>
  </si>
  <si>
    <t xml:space="preserve"> (-2.570000000000002</t>
  </si>
  <si>
    <t xml:space="preserve"> (-2.440000000000002</t>
  </si>
  <si>
    <t xml:space="preserve"> (-1.8499999999999726</t>
  </si>
  <si>
    <t xml:space="preserve"> (-1.8499999999999996</t>
  </si>
  <si>
    <t xml:space="preserve"> (-5.959999999999999</t>
  </si>
  <si>
    <t xml:space="preserve"> (-7.86</t>
  </si>
  <si>
    <t xml:space="preserve"> (-9.1</t>
  </si>
  <si>
    <t xml:space="preserve"> (-4.13</t>
  </si>
  <si>
    <t xml:space="preserve"> Timestamp('2021-03-26 00</t>
  </si>
  <si>
    <t xml:space="preserve"> (-8.399999999999999</t>
  </si>
  <si>
    <t xml:space="preserve"> (-4.41</t>
  </si>
  <si>
    <t xml:space="preserve"> (-8.92</t>
  </si>
  <si>
    <t xml:space="preserve"> Timestamp('2022-07-18 00</t>
  </si>
  <si>
    <t xml:space="preserve"> (-4.420000000000001</t>
  </si>
  <si>
    <t xml:space="preserve"> (-4.709999999999997</t>
  </si>
  <si>
    <t xml:space="preserve"> (-4.359999999999999</t>
  </si>
  <si>
    <t xml:space="preserve"> Timestamp('2014-10-29 00</t>
  </si>
  <si>
    <t xml:space="preserve"> (-6.6400000000000015</t>
  </si>
  <si>
    <t xml:space="preserve"> (-2.6799999999999993</t>
  </si>
  <si>
    <t xml:space="preserve"> (-5.130000000000001</t>
  </si>
  <si>
    <t xml:space="preserve"> (-3.4100000000000206</t>
  </si>
  <si>
    <t xml:space="preserve"> Timestamp('2012-12-13 00</t>
  </si>
  <si>
    <t xml:space="preserve"> (-5.479999999999999</t>
  </si>
  <si>
    <t xml:space="preserve"> (-4.060000000000002</t>
  </si>
  <si>
    <t xml:space="preserve"> (-4.400000000000027</t>
  </si>
  <si>
    <t xml:space="preserve"> Timestamp('2020-10-08 00</t>
  </si>
  <si>
    <t xml:space="preserve"> (-6.379999999999972</t>
  </si>
  <si>
    <t xml:space="preserve"> (-6.560000000000001</t>
  </si>
  <si>
    <t xml:space="preserve"> (-5.96</t>
  </si>
  <si>
    <t xml:space="preserve"> (-4.5699999999999985</t>
  </si>
  <si>
    <t xml:space="preserve"> (-6.209999999999997</t>
  </si>
  <si>
    <t xml:space="preserve"> (-2.7199999999999998</t>
  </si>
  <si>
    <t xml:space="preserve"> (-3.5300000000000002</t>
  </si>
  <si>
    <t xml:space="preserve"> (-2.670000000000001</t>
  </si>
  <si>
    <t xml:space="preserve"> (-4.510000000000001</t>
  </si>
  <si>
    <t xml:space="preserve"> (-3.1999999999999993</t>
  </si>
  <si>
    <t xml:space="preserve"> (-3.450000000000001</t>
  </si>
  <si>
    <t xml:space="preserve"> (-5.580000000000061</t>
  </si>
  <si>
    <t xml:space="preserve"> (-5.540000000000054</t>
  </si>
  <si>
    <t xml:space="preserve"> (-5.68</t>
  </si>
  <si>
    <t xml:space="preserve"> (-4.01</t>
  </si>
  <si>
    <t xml:space="preserve"> (-3.9799999999999986</t>
  </si>
  <si>
    <t xml:space="preserve"> (-6.759999999999998</t>
  </si>
  <si>
    <t xml:space="preserve"> (-3.259999999999997</t>
  </si>
  <si>
    <t xml:space="preserve"> (-3.440000000000001</t>
  </si>
  <si>
    <t xml:space="preserve">alltime_{'C': [('delta', 0.5, -1), ('delta', 0.25, 2)]}_[7, 35]_1, </t>
  </si>
  <si>
    <t xml:space="preserve">alltime_{'C': [('delta', 0.5, -1), ('delta', 0.25, 2)]}_[7, 35]_2, </t>
  </si>
  <si>
    <t xml:space="preserve">alltime_{'C': [('delta', 0.5, -1), ('delta', 0.25, 2)]}_[7, 35]_3, </t>
  </si>
  <si>
    <t xml:space="preserve">alltime_{'C': [('delta', 0.5, -1), ('delta', 0.25, 2)]}_[7, 35]_4, </t>
  </si>
  <si>
    <t xml:space="preserve">alltime_{'C': [('delta', 0.5, -1), ('delta', 0.25, 2)]}_[7, 35]_5, </t>
  </si>
  <si>
    <t xml:space="preserve">alltime_{'C': [('delta', 0.5, -1), ('delta', 0.25, 2)]}_[21, 49]_1, </t>
  </si>
  <si>
    <t xml:space="preserve">alltime_{'C': [('delta', 0.5, -1), ('delta', 0.25, 2)]}_[21, 49]_2, </t>
  </si>
  <si>
    <t xml:space="preserve">alltime_{'C': [('delta', 0.5, -1), ('delta', 0.25, 2)]}_[21, 49]_3, </t>
  </si>
  <si>
    <t xml:space="preserve">alltime_{'C': [('delta', 0.5, -1), ('delta', 0.25, 2)]}_[21, 49]_4, </t>
  </si>
  <si>
    <t xml:space="preserve">alltime_{'C': [('delta', 0.5, -1), ('delta', 0.25, 2)]}_[21, 49]_5, </t>
  </si>
  <si>
    <t xml:space="preserve">alltime_{'C': [('delta', 0.5, -1), ('delta', 0.25, 2)]}_[42, 70]_1, </t>
  </si>
  <si>
    <t xml:space="preserve">alltime_{'C': [('delta', 0.5, -1), ('delta', 0.25, 2)]}_[42, 70]_2, </t>
  </si>
  <si>
    <t xml:space="preserve">alltime_{'C': [('delta', 0.5, -1), ('delta', 0.25, 2)]}_[42, 70]_3, </t>
  </si>
  <si>
    <t xml:space="preserve">alltime_{'C': [('delta', 0.5, -1), ('delta', 0.25, 2)]}_[42, 70]_4, </t>
  </si>
  <si>
    <t xml:space="preserve">alltime_{'C': [('delta', 0.5, -1), ('delta', 0.25, 2)]}_[42, 70]_5, </t>
  </si>
  <si>
    <t xml:space="preserve">alltime_{'C': [('delta', 0.4, -1), ('delta', 0.2, 2)]}_[7, 35]_1, </t>
  </si>
  <si>
    <t xml:space="preserve">alltime_{'C': [('delta', 0.4, -1), ('delta', 0.2, 2)]}_[7, 35]_2, </t>
  </si>
  <si>
    <t xml:space="preserve">alltime_{'C': [('delta', 0.4, -1), ('delta', 0.2, 2)]}_[7, 35]_3, </t>
  </si>
  <si>
    <t xml:space="preserve">alltime_{'C': [('delta', 0.4, -1), ('delta', 0.2, 2)]}_[7, 35]_4, </t>
  </si>
  <si>
    <t xml:space="preserve">alltime_{'C': [('delta', 0.4, -1), ('delta', 0.2, 2)]}_[7, 35]_5, </t>
  </si>
  <si>
    <t xml:space="preserve">alltime_{'C': [('delta', 0.4, -1), ('delta', 0.2, 2)]}_[21, 49]_1, </t>
  </si>
  <si>
    <t xml:space="preserve">alltime_{'C': [('delta', 0.4, -1), ('delta', 0.2, 2)]}_[21, 49]_2, </t>
  </si>
  <si>
    <t xml:space="preserve">alltime_{'C': [('delta', 0.4, -1), ('delta', 0.2, 2)]}_[21, 49]_3, </t>
  </si>
  <si>
    <t xml:space="preserve">alltime_{'C': [('delta', 0.4, -1), ('delta', 0.2, 2)]}_[21, 49]_4, </t>
  </si>
  <si>
    <t xml:space="preserve">alltime_{'C': [('delta', 0.4, -1), ('delta', 0.2, 2)]}_[21, 49]_5, </t>
  </si>
  <si>
    <t xml:space="preserve">alltime_{'C': [('delta', 0.4, -1), ('delta', 0.2, 2)]}_[42, 70]_1, </t>
  </si>
  <si>
    <t xml:space="preserve">alltime_{'C': [('delta', 0.4, -1), ('delta', 0.2, 2)]}_[42, 70]_2, </t>
  </si>
  <si>
    <t xml:space="preserve">alltime_{'C': [('delta', 0.4, -1), ('delta', 0.2, 2)]}_[42, 70]_3, </t>
  </si>
  <si>
    <t xml:space="preserve">alltime_{'C': [('delta', 0.4, -1), ('delta', 0.2, 2)]}_[42, 70]_4, </t>
  </si>
  <si>
    <t xml:space="preserve">alltime_{'C': [('delta', 0.4, -1), ('delta', 0.2, 2)]}_[42, 70]_5, </t>
  </si>
  <si>
    <t xml:space="preserve">alltime_{'C': [('delta', 0.4, -1), ('delta', 0.2, 3)]}_[7, 35]_1, </t>
  </si>
  <si>
    <t xml:space="preserve">alltime_{'C': [('delta', 0.4, -1), ('delta', 0.2, 3)]}_[7, 35]_2, </t>
  </si>
  <si>
    <t xml:space="preserve">alltime_{'C': [('delta', 0.4, -1), ('delta', 0.2, 3)]}_[7, 35]_3, </t>
  </si>
  <si>
    <t xml:space="preserve">alltime_{'C': [('delta', 0.4, -1), ('delta', 0.2, 3)]}_[7, 35]_4, </t>
  </si>
  <si>
    <t xml:space="preserve">alltime_{'C': [('delta', 0.4, -1), ('delta', 0.2, 3)]}_[7, 35]_5, </t>
  </si>
  <si>
    <t xml:space="preserve">alltime_{'C': [('delta', 0.4, -1), ('delta', 0.2, 3)]}_[21, 49]_1, </t>
  </si>
  <si>
    <t xml:space="preserve">alltime_{'C': [('delta', 0.4, -1), ('delta', 0.2, 3)]}_[21, 49]_2, </t>
  </si>
  <si>
    <t xml:space="preserve">alltime_{'C': [('delta', 0.4, -1), ('delta', 0.2, 3)]}_[21, 49]_3, </t>
  </si>
  <si>
    <t xml:space="preserve">alltime_{'C': [('delta', 0.4, -1), ('delta', 0.2, 3)]}_[21, 49]_4, </t>
  </si>
  <si>
    <t xml:space="preserve">alltime_{'C': [('delta', 0.4, -1), ('delta', 0.2, 3)]}_[21, 49]_5, </t>
  </si>
  <si>
    <t xml:space="preserve">alltime_{'C': [('delta', 0.4, -1), ('delta', 0.2, 3)]}_[42, 70]_1, </t>
  </si>
  <si>
    <t xml:space="preserve">alltime_{'C': [('delta', 0.4, -1), ('delta', 0.2, 3)]}_[42, 70]_2, </t>
  </si>
  <si>
    <t xml:space="preserve">alltime_{'C': [('delta', 0.4, -1), ('delta', 0.2, 3)]}_[42, 70]_3, </t>
  </si>
  <si>
    <t xml:space="preserve">alltime_{'C': [('delta', 0.4, -1), ('delta', 0.2, 3)]}_[42, 70]_4, </t>
  </si>
  <si>
    <t xml:space="preserve">alltime_{'C': [('delta', 0.4, -1), ('delta', 0.2, 3)]}_[42, 70]_5, </t>
  </si>
  <si>
    <t xml:space="preserve">alltime_{'C': [('delta', 0.3, -1), ('delta', 0.15, 2)]}_[7, 35]_1, </t>
  </si>
  <si>
    <t xml:space="preserve">alltime_{'C': [('delta', 0.3, -1), ('delta', 0.15, 2)]}_[7, 35]_2, </t>
  </si>
  <si>
    <t xml:space="preserve">alltime_{'C': [('delta', 0.3, -1), ('delta', 0.15, 2)]}_[7, 35]_3, </t>
  </si>
  <si>
    <t xml:space="preserve">alltime_{'C': [('delta', 0.3, -1), ('delta', 0.15, 2)]}_[7, 35]_4, </t>
  </si>
  <si>
    <t xml:space="preserve">alltime_{'C': [('delta', 0.3, -1), ('delta', 0.15, 2)]}_[21, 49]_1, </t>
  </si>
  <si>
    <t xml:space="preserve">alltime_{'C': [('delta', 0.3, -1), ('delta', 0.15, 2)]}_[21, 49]_2, </t>
  </si>
  <si>
    <t xml:space="preserve">alltime_{'C': [('delta', 0.3, -1), ('delta', 0.15, 2)]}_[21, 49]_3, </t>
  </si>
  <si>
    <t xml:space="preserve">alltime_{'C': [('delta', 0.3, -1), ('delta', 0.15, 2)]}_[21, 49]_4, </t>
  </si>
  <si>
    <t xml:space="preserve">alltime_{'C': [('delta', 0.3, -1), ('delta', 0.15, 2)]}_[21, 49]_5, </t>
  </si>
  <si>
    <t xml:space="preserve">alltime_{'C': [('delta', 0.3, -1), ('delta', 0.15, 2)]}_[42, 70]_1, </t>
  </si>
  <si>
    <t xml:space="preserve">alltime_{'C': [('delta', 0.3, -1), ('delta', 0.15, 2)]}_[42, 70]_2, </t>
  </si>
  <si>
    <t xml:space="preserve">alltime_{'C': [('delta', 0.3, -1), ('delta', 0.15, 2)]}_[42, 70]_3, </t>
  </si>
  <si>
    <t xml:space="preserve">alltime_{'C': [('delta', 0.3, -1), ('delta', 0.15, 2)]}_[42, 70]_4, </t>
  </si>
  <si>
    <t xml:space="preserve">alltime_{'C': [('delta', 0.3, -1), ('delta', 0.15, 2)]}_[42, 70]_5, </t>
  </si>
  <si>
    <t xml:space="preserve">alltime_{'C': [('delta', 0.3, -1), ('delta', 0.15, 3)]}_[7, 35]_1, </t>
  </si>
  <si>
    <t xml:space="preserve">alltime_{'C': [('delta', 0.3, -1), ('delta', 0.15, 3)]}_[7, 35]_2, </t>
  </si>
  <si>
    <t xml:space="preserve">alltime_{'C': [('delta', 0.3, -1), ('delta', 0.15, 3)]}_[7, 35]_3, </t>
  </si>
  <si>
    <t xml:space="preserve">alltime_{'C': [('delta', 0.3, -1), ('delta', 0.15, 3)]}_[7, 35]_4, </t>
  </si>
  <si>
    <t xml:space="preserve">alltime_{'C': [('delta', 0.3, -1), ('delta', 0.15, 3)]}_[7, 35]_5, </t>
  </si>
  <si>
    <t xml:space="preserve">alltime_{'C': [('delta', 0.3, -1), ('delta', 0.15, 3)]}_[21, 49]_1, </t>
  </si>
  <si>
    <t xml:space="preserve">alltime_{'C': [('delta', 0.3, -1), ('delta', 0.15, 3)]}_[21, 49]_2, </t>
  </si>
  <si>
    <t xml:space="preserve">alltime_{'C': [('delta', 0.3, -1), ('delta', 0.15, 3)]}_[21, 49]_3, </t>
  </si>
  <si>
    <t xml:space="preserve">alltime_{'C': [('delta', 0.3, -1), ('delta', 0.15, 3)]}_[21, 49]_4, </t>
  </si>
  <si>
    <t xml:space="preserve">alltime_{'C': [('delta', 0.3, -1), ('delta', 0.15, 3)]}_[21, 49]_5, </t>
  </si>
  <si>
    <t xml:space="preserve">alltime_{'C': [('delta', 0.3, -1), ('delta', 0.15, 3)]}_[42, 70]_2, </t>
  </si>
  <si>
    <t xml:space="preserve">alltime_{'C': [('delta', 0.3, -1), ('delta', 0.15, 3)]}_[42, 70]_3, </t>
  </si>
  <si>
    <t xml:space="preserve">alltime_{'C': [('delta', 0.3, -1), ('delta', 0.15, 3)]}_[42, 70]_4, </t>
  </si>
  <si>
    <t xml:space="preserve">alltime_{'C': [('delta', 0.3, -1), ('delta', 0.15, 3)]}_[42, 70]_5, </t>
  </si>
  <si>
    <t xml:space="preserve">bbands_{'C': [('delta', 0.5, -1), ('delta', 0.25, 2)]}_[7, 35]_1, </t>
  </si>
  <si>
    <t xml:space="preserve">bbands_{'C': [('delta', 0.5, -1), ('delta', 0.25, 2)]}_[7, 35]_2, </t>
  </si>
  <si>
    <t xml:space="preserve">bbands_{'C': [('delta', 0.5, -1), ('delta', 0.25, 2)]}_[7, 35]_3, </t>
  </si>
  <si>
    <t xml:space="preserve">bbands_{'C': [('delta', 0.5, -1), ('delta', 0.25, 2)]}_[7, 35]_4, </t>
  </si>
  <si>
    <t xml:space="preserve">bbands_{'C': [('delta', 0.5, -1), ('delta', 0.25, 2)]}_[7, 35]_5, </t>
  </si>
  <si>
    <t xml:space="preserve">bbands_{'C': [('delta', 0.5, -1), ('delta', 0.25, 2)]}_[21, 49]_1, </t>
  </si>
  <si>
    <t xml:space="preserve">bbands_{'C': [('delta', 0.5, -1), ('delta', 0.25, 2)]}_[21, 49]_2, </t>
  </si>
  <si>
    <t xml:space="preserve">bbands_{'C': [('delta', 0.5, -1), ('delta', 0.25, 2)]}_[21, 49]_3, </t>
  </si>
  <si>
    <t xml:space="preserve">bbands_{'C': [('delta', 0.5, -1), ('delta', 0.25, 2)]}_[21, 49]_4, </t>
  </si>
  <si>
    <t xml:space="preserve">bbands_{'C': [('delta', 0.5, -1), ('delta', 0.25, 2)]}_[21, 49]_5, </t>
  </si>
  <si>
    <t xml:space="preserve">bbands_{'C': [('delta', 0.5, -1), ('delta', 0.25, 2)]}_[42, 70]_1, </t>
  </si>
  <si>
    <t xml:space="preserve">bbands_{'C': [('delta', 0.5, -1), ('delta', 0.25, 2)]}_[42, 70]_2, </t>
  </si>
  <si>
    <t xml:space="preserve">bbands_{'C': [('delta', 0.5, -1), ('delta', 0.25, 2)]}_[42, 70]_3, </t>
  </si>
  <si>
    <t xml:space="preserve">bbands_{'C': [('delta', 0.5, -1), ('delta', 0.25, 2)]}_[42, 70]_4, </t>
  </si>
  <si>
    <t xml:space="preserve">bbands_{'C': [('delta', 0.5, -1), ('delta', 0.25, 2)]}_[42, 70]_5, </t>
  </si>
  <si>
    <t xml:space="preserve">bbands_{'C': [('delta', 0.4, -1), ('delta', 0.2, 2)]}_[7, 35]_1, </t>
  </si>
  <si>
    <t xml:space="preserve">bbands_{'C': [('delta', 0.4, -1), ('delta', 0.2, 2)]}_[7, 35]_2, </t>
  </si>
  <si>
    <t xml:space="preserve">bbands_{'C': [('delta', 0.4, -1), ('delta', 0.2, 2)]}_[7, 35]_3, </t>
  </si>
  <si>
    <t xml:space="preserve">bbands_{'C': [('delta', 0.4, -1), ('delta', 0.2, 2)]}_[7, 35]_4, </t>
  </si>
  <si>
    <t xml:space="preserve">bbands_{'C': [('delta', 0.4, -1), ('delta', 0.2, 2)]}_[7, 35]_5, </t>
  </si>
  <si>
    <t xml:space="preserve">bbands_{'C': [('delta', 0.4, -1), ('delta', 0.2, 2)]}_[21, 49]_1, </t>
  </si>
  <si>
    <t xml:space="preserve">bbands_{'C': [('delta', 0.4, -1), ('delta', 0.2, 2)]}_[21, 49]_2, </t>
  </si>
  <si>
    <t xml:space="preserve">bbands_{'C': [('delta', 0.4, -1), ('delta', 0.2, 2)]}_[21, 49]_3, </t>
  </si>
  <si>
    <t xml:space="preserve">bbands_{'C': [('delta', 0.4, -1), ('delta', 0.2, 2)]}_[21, 49]_4, </t>
  </si>
  <si>
    <t xml:space="preserve">bbands_{'C': [('delta', 0.4, -1), ('delta', 0.2, 2)]}_[21, 49]_5, </t>
  </si>
  <si>
    <t xml:space="preserve">bbands_{'C': [('delta', 0.4, -1), ('delta', 0.2, 2)]}_[42, 70]_1, </t>
  </si>
  <si>
    <t xml:space="preserve">bbands_{'C': [('delta', 0.4, -1), ('delta', 0.2, 2)]}_[42, 70]_2, </t>
  </si>
  <si>
    <t xml:space="preserve">bbands_{'C': [('delta', 0.4, -1), ('delta', 0.2, 2)]}_[42, 70]_3, </t>
  </si>
  <si>
    <t xml:space="preserve">bbands_{'C': [('delta', 0.4, -1), ('delta', 0.2, 2)]}_[42, 70]_4, </t>
  </si>
  <si>
    <t xml:space="preserve">bbands_{'C': [('delta', 0.4, -1), ('delta', 0.2, 2)]}_[42, 70]_5, </t>
  </si>
  <si>
    <t xml:space="preserve">bbands_{'C': [('delta', 0.4, -1), ('delta', 0.2, 3)]}_[7, 35]_1, </t>
  </si>
  <si>
    <t xml:space="preserve">bbands_{'C': [('delta', 0.4, -1), ('delta', 0.2, 3)]}_[7, 35]_2, </t>
  </si>
  <si>
    <t xml:space="preserve">bbands_{'C': [('delta', 0.4, -1), ('delta', 0.2, 3)]}_[7, 35]_3, </t>
  </si>
  <si>
    <t xml:space="preserve">bbands_{'C': [('delta', 0.4, -1), ('delta', 0.2, 3)]}_[7, 35]_4, </t>
  </si>
  <si>
    <t xml:space="preserve">bbands_{'C': [('delta', 0.4, -1), ('delta', 0.2, 3)]}_[7, 35]_5, </t>
  </si>
  <si>
    <t xml:space="preserve">bbands_{'C': [('delta', 0.4, -1), ('delta', 0.2, 3)]}_[21, 49]_1, </t>
  </si>
  <si>
    <t xml:space="preserve">bbands_{'C': [('delta', 0.4, -1), ('delta', 0.2, 3)]}_[21, 49]_2, </t>
  </si>
  <si>
    <t xml:space="preserve">bbands_{'C': [('delta', 0.4, -1), ('delta', 0.2, 3)]}_[21, 49]_3, </t>
  </si>
  <si>
    <t xml:space="preserve">bbands_{'C': [('delta', 0.4, -1), ('delta', 0.2, 3)]}_[21, 49]_4, </t>
  </si>
  <si>
    <t xml:space="preserve">bbands_{'C': [('delta', 0.4, -1), ('delta', 0.2, 3)]}_[21, 49]_5, </t>
  </si>
  <si>
    <t xml:space="preserve">bbands_{'C': [('delta', 0.4, -1), ('delta', 0.2, 3)]}_[42, 70]_1, </t>
  </si>
  <si>
    <t xml:space="preserve">bbands_{'C': [('delta', 0.4, -1), ('delta', 0.2, 3)]}_[42, 70]_2, </t>
  </si>
  <si>
    <t xml:space="preserve">bbands_{'C': [('delta', 0.4, -1), ('delta', 0.2, 3)]}_[42, 70]_3, </t>
  </si>
  <si>
    <t xml:space="preserve">bbands_{'C': [('delta', 0.4, -1), ('delta', 0.2, 3)]}_[42, 70]_4, </t>
  </si>
  <si>
    <t xml:space="preserve">bbands_{'C': [('delta', 0.4, -1), ('delta', 0.2, 3)]}_[42, 70]_5, </t>
  </si>
  <si>
    <t xml:space="preserve">bbands_{'C': [('delta', 0.3, -1), ('delta', 0.15, 2)]}_[7, 35]_1, </t>
  </si>
  <si>
    <t xml:space="preserve">bbands_{'C': [('delta', 0.3, -1), ('delta', 0.15, 2)]}_[7, 35]_2, </t>
  </si>
  <si>
    <t xml:space="preserve">bbands_{'C': [('delta', 0.3, -1), ('delta', 0.15, 2)]}_[7, 35]_3, </t>
  </si>
  <si>
    <t xml:space="preserve">bbands_{'C': [('delta', 0.3, -1), ('delta', 0.15, 2)]}_[7, 35]_4, </t>
  </si>
  <si>
    <t xml:space="preserve">bbands_{'C': [('delta', 0.3, -1), ('delta', 0.15, 2)]}_[7, 35]_5, </t>
  </si>
  <si>
    <t xml:space="preserve">bbands_{'C': [('delta', 0.3, -1), ('delta', 0.15, 2)]}_[21, 49]_1, </t>
  </si>
  <si>
    <t xml:space="preserve">bbands_{'C': [('delta', 0.3, -1), ('delta', 0.15, 2)]}_[21, 49]_2, </t>
  </si>
  <si>
    <t xml:space="preserve">bbands_{'C': [('delta', 0.3, -1), ('delta', 0.15, 2)]}_[21, 49]_3, </t>
  </si>
  <si>
    <t xml:space="preserve">bbands_{'C': [('delta', 0.3, -1), ('delta', 0.15, 2)]}_[21, 49]_4, </t>
  </si>
  <si>
    <t xml:space="preserve">bbands_{'C': [('delta', 0.3, -1), ('delta', 0.15, 2)]}_[21, 49]_5, </t>
  </si>
  <si>
    <t xml:space="preserve">bbands_{'C': [('delta', 0.3, -1), ('delta', 0.15, 2)]}_[42, 70]_1, </t>
  </si>
  <si>
    <t xml:space="preserve">bbands_{'C': [('delta', 0.3, -1), ('delta', 0.15, 2)]}_[42, 70]_2, </t>
  </si>
  <si>
    <t xml:space="preserve">bbands_{'C': [('delta', 0.3, -1), ('delta', 0.15, 2)]}_[42, 70]_3, </t>
  </si>
  <si>
    <t xml:space="preserve">bbands_{'C': [('delta', 0.3, -1), ('delta', 0.15, 2)]}_[42, 70]_4, </t>
  </si>
  <si>
    <t xml:space="preserve">bbands_{'C': [('delta', 0.3, -1), ('delta', 0.15, 2)]}_[42, 70]_5, </t>
  </si>
  <si>
    <t xml:space="preserve">bbands_{'C': [('delta', 0.3, -1), ('delta', 0.15, 3)]}_[7, 35]_1, </t>
  </si>
  <si>
    <t xml:space="preserve">bbands_{'C': [('delta', 0.3, -1), ('delta', 0.15, 3)]}_[7, 35]_2, </t>
  </si>
  <si>
    <t xml:space="preserve">bbands_{'C': [('delta', 0.3, -1), ('delta', 0.15, 3)]}_[7, 35]_3, </t>
  </si>
  <si>
    <t xml:space="preserve">bbands_{'C': [('delta', 0.3, -1), ('delta', 0.15, 3)]}_[7, 35]_4, </t>
  </si>
  <si>
    <t xml:space="preserve">bbands_{'C': [('delta', 0.3, -1), ('delta', 0.15, 3)]}_[7, 35]_5, </t>
  </si>
  <si>
    <t xml:space="preserve">bbands_{'C': [('delta', 0.3, -1), ('delta', 0.15, 3)]}_[21, 49]_1, </t>
  </si>
  <si>
    <t xml:space="preserve">bbands_{'C': [('delta', 0.3, -1), ('delta', 0.15, 3)]}_[21, 49]_2, </t>
  </si>
  <si>
    <t xml:space="preserve">bbands_{'C': [('delta', 0.3, -1), ('delta', 0.15, 3)]}_[21, 49]_3, </t>
  </si>
  <si>
    <t xml:space="preserve">bbands_{'C': [('delta', 0.3, -1), ('delta', 0.15, 3)]}_[21, 49]_4, </t>
  </si>
  <si>
    <t xml:space="preserve">bbands_{'C': [('delta', 0.3, -1), ('delta', 0.15, 3)]}_[21, 49]_5, </t>
  </si>
  <si>
    <t xml:space="preserve">bbands_{'C': [('delta', 0.3, -1), ('delta', 0.15, 3)]}_[42, 70]_1, </t>
  </si>
  <si>
    <t xml:space="preserve">bbands_{'C': [('delta', 0.3, -1), ('delta', 0.15, 3)]}_[42, 70]_2, </t>
  </si>
  <si>
    <t xml:space="preserve">bbands_{'C': [('delta', 0.3, -1), ('delta', 0.15, 3)]}_[42, 70]_3, </t>
  </si>
  <si>
    <t xml:space="preserve">bbands_{'C': [('delta', 0.3, -1), ('delta', 0.15, 3)]}_[42, 70]_4, </t>
  </si>
  <si>
    <t xml:space="preserve">bbands_{'C': [('delta', 0.3, -1), ('delta', 0.15, 3)]}_[42, 70]_5, </t>
  </si>
  <si>
    <t xml:space="preserve">psar_{'C': [('delta', 0.5, -1), ('delta', 0.25, 2)]}_[7, 35]_1, </t>
  </si>
  <si>
    <t xml:space="preserve">psar_{'C': [('delta', 0.5, -1), ('delta', 0.25, 2)]}_[7, 35]_2, </t>
  </si>
  <si>
    <t xml:space="preserve">psar_{'C': [('delta', 0.5, -1), ('delta', 0.25, 2)]}_[7, 35]_3, </t>
  </si>
  <si>
    <t xml:space="preserve">psar_{'C': [('delta', 0.5, -1), ('delta', 0.25, 2)]}_[7, 35]_4, </t>
  </si>
  <si>
    <t xml:space="preserve">psar_{'C': [('delta', 0.5, -1), ('delta', 0.25, 2)]}_[7, 35]_5, </t>
  </si>
  <si>
    <t xml:space="preserve">psar_{'C': [('delta', 0.5, -1), ('delta', 0.25, 2)]}_[21, 49]_1, </t>
  </si>
  <si>
    <t xml:space="preserve">psar_{'C': [('delta', 0.5, -1), ('delta', 0.25, 2)]}_[21, 49]_2, </t>
  </si>
  <si>
    <t xml:space="preserve">psar_{'C': [('delta', 0.5, -1), ('delta', 0.25, 2)]}_[21, 49]_3, </t>
  </si>
  <si>
    <t xml:space="preserve">psar_{'C': [('delta', 0.5, -1), ('delta', 0.25, 2)]}_[21, 49]_4, </t>
  </si>
  <si>
    <t xml:space="preserve">psar_{'C': [('delta', 0.5, -1), ('delta', 0.25, 2)]}_[21, 49]_5, </t>
  </si>
  <si>
    <t xml:space="preserve">psar_{'C': [('delta', 0.5, -1), ('delta', 0.25, 2)]}_[42, 70]_1, </t>
  </si>
  <si>
    <t xml:space="preserve">psar_{'C': [('delta', 0.5, -1), ('delta', 0.25, 2)]}_[42, 70]_2, </t>
  </si>
  <si>
    <t xml:space="preserve">psar_{'C': [('delta', 0.5, -1), ('delta', 0.25, 2)]}_[42, 70]_3, </t>
  </si>
  <si>
    <t xml:space="preserve">psar_{'C': [('delta', 0.5, -1), ('delta', 0.25, 2)]}_[42, 70]_4, </t>
  </si>
  <si>
    <t xml:space="preserve">psar_{'C': [('delta', 0.5, -1), ('delta', 0.25, 2)]}_[42, 70]_5, </t>
  </si>
  <si>
    <t xml:space="preserve">psar_{'C': [('delta', 0.4, -1), ('delta', 0.2, 2)]}_[7, 35]_1, </t>
  </si>
  <si>
    <t xml:space="preserve">psar_{'C': [('delta', 0.4, -1), ('delta', 0.2, 2)]}_[7, 35]_2, </t>
  </si>
  <si>
    <t xml:space="preserve">psar_{'C': [('delta', 0.4, -1), ('delta', 0.2, 2)]}_[7, 35]_3, </t>
  </si>
  <si>
    <t xml:space="preserve">psar_{'C': [('delta', 0.4, -1), ('delta', 0.2, 2)]}_[7, 35]_4, </t>
  </si>
  <si>
    <t xml:space="preserve">psar_{'C': [('delta', 0.4, -1), ('delta', 0.2, 2)]}_[7, 35]_5, </t>
  </si>
  <si>
    <t xml:space="preserve">psar_{'C': [('delta', 0.4, -1), ('delta', 0.2, 2)]}_[21, 49]_1, </t>
  </si>
  <si>
    <t xml:space="preserve">psar_{'C': [('delta', 0.4, -1), ('delta', 0.2, 2)]}_[21, 49]_2, </t>
  </si>
  <si>
    <t xml:space="preserve">psar_{'C': [('delta', 0.4, -1), ('delta', 0.2, 2)]}_[21, 49]_3, </t>
  </si>
  <si>
    <t xml:space="preserve">psar_{'C': [('delta', 0.4, -1), ('delta', 0.2, 2)]}_[21, 49]_4, </t>
  </si>
  <si>
    <t xml:space="preserve">psar_{'C': [('delta', 0.4, -1), ('delta', 0.2, 2)]}_[21, 49]_5, </t>
  </si>
  <si>
    <t xml:space="preserve">psar_{'C': [('delta', 0.4, -1), ('delta', 0.2, 2)]}_[42, 70]_1, </t>
  </si>
  <si>
    <t xml:space="preserve">psar_{'C': [('delta', 0.4, -1), ('delta', 0.2, 2)]}_[42, 70]_2, </t>
  </si>
  <si>
    <t xml:space="preserve">psar_{'C': [('delta', 0.4, -1), ('delta', 0.2, 2)]}_[42, 70]_3, </t>
  </si>
  <si>
    <t xml:space="preserve">psar_{'C': [('delta', 0.4, -1), ('delta', 0.2, 2)]}_[42, 70]_4, </t>
  </si>
  <si>
    <t xml:space="preserve">psar_{'C': [('delta', 0.4, -1), ('delta', 0.2, 2)]}_[42, 70]_5, </t>
  </si>
  <si>
    <t xml:space="preserve">psar_{'C': [('delta', 0.4, -1), ('delta', 0.2, 3)]}_[7, 35]_1, </t>
  </si>
  <si>
    <t xml:space="preserve">psar_{'C': [('delta', 0.4, -1), ('delta', 0.2, 3)]}_[7, 35]_2, </t>
  </si>
  <si>
    <t xml:space="preserve">psar_{'C': [('delta', 0.4, -1), ('delta', 0.2, 3)]}_[7, 35]_3, </t>
  </si>
  <si>
    <t xml:space="preserve">psar_{'C': [('delta', 0.4, -1), ('delta', 0.2, 3)]}_[7, 35]_4, </t>
  </si>
  <si>
    <t xml:space="preserve">psar_{'C': [('delta', 0.4, -1), ('delta', 0.2, 3)]}_[7, 35]_5, </t>
  </si>
  <si>
    <t xml:space="preserve">psar_{'C': [('delta', 0.4, -1), ('delta', 0.2, 3)]}_[21, 49]_1, </t>
  </si>
  <si>
    <t xml:space="preserve">psar_{'C': [('delta', 0.4, -1), ('delta', 0.2, 3)]}_[21, 49]_2, </t>
  </si>
  <si>
    <t xml:space="preserve">psar_{'C': [('delta', 0.4, -1), ('delta', 0.2, 3)]}_[21, 49]_3, </t>
  </si>
  <si>
    <t xml:space="preserve">psar_{'C': [('delta', 0.4, -1), ('delta', 0.2, 3)]}_[21, 49]_4, </t>
  </si>
  <si>
    <t xml:space="preserve">psar_{'C': [('delta', 0.4, -1), ('delta', 0.2, 3)]}_[21, 49]_5, </t>
  </si>
  <si>
    <t xml:space="preserve">psar_{'C': [('delta', 0.4, -1), ('delta', 0.2, 3)]}_[42, 70]_1, </t>
  </si>
  <si>
    <t xml:space="preserve">psar_{'C': [('delta', 0.4, -1), ('delta', 0.2, 3)]}_[42, 70]_2, </t>
  </si>
  <si>
    <t xml:space="preserve">psar_{'C': [('delta', 0.4, -1), ('delta', 0.2, 3)]}_[42, 70]_3, </t>
  </si>
  <si>
    <t xml:space="preserve">psar_{'C': [('delta', 0.4, -1), ('delta', 0.2, 3)]}_[42, 70]_4, </t>
  </si>
  <si>
    <t xml:space="preserve">psar_{'C': [('delta', 0.4, -1), ('delta', 0.2, 3)]}_[42, 70]_5, </t>
  </si>
  <si>
    <t xml:space="preserve">psar_{'C': [('delta', 0.3, -1), ('delta', 0.15, 2)]}_[7, 35]_1, </t>
  </si>
  <si>
    <t xml:space="preserve">psar_{'C': [('delta', 0.3, -1), ('delta', 0.15, 2)]}_[7, 35]_2, </t>
  </si>
  <si>
    <t xml:space="preserve">psar_{'C': [('delta', 0.3, -1), ('delta', 0.15, 2)]}_[7, 35]_3, </t>
  </si>
  <si>
    <t xml:space="preserve">psar_{'C': [('delta', 0.3, -1), ('delta', 0.15, 2)]}_[7, 35]_4, </t>
  </si>
  <si>
    <t xml:space="preserve">psar_{'C': [('delta', 0.3, -1), ('delta', 0.15, 2)]}_[7, 35]_5, </t>
  </si>
  <si>
    <t xml:space="preserve">psar_{'C': [('delta', 0.3, -1), ('delta', 0.15, 2)]}_[21, 49]_1, </t>
  </si>
  <si>
    <t xml:space="preserve">psar_{'C': [('delta', 0.3, -1), ('delta', 0.15, 2)]}_[21, 49]_2, </t>
  </si>
  <si>
    <t xml:space="preserve">psar_{'C': [('delta', 0.3, -1), ('delta', 0.15, 2)]}_[21, 49]_3, </t>
  </si>
  <si>
    <t xml:space="preserve">psar_{'C': [('delta', 0.3, -1), ('delta', 0.15, 2)]}_[21, 49]_4, </t>
  </si>
  <si>
    <t xml:space="preserve">psar_{'C': [('delta', 0.3, -1), ('delta', 0.15, 2)]}_[21, 49]_5, </t>
  </si>
  <si>
    <t xml:space="preserve">psar_{'C': [('delta', 0.3, -1), ('delta', 0.15, 2)]}_[42, 70]_1, </t>
  </si>
  <si>
    <t xml:space="preserve">psar_{'C': [('delta', 0.3, -1), ('delta', 0.15, 2)]}_[42, 70]_2, </t>
  </si>
  <si>
    <t xml:space="preserve">psar_{'C': [('delta', 0.3, -1), ('delta', 0.15, 2)]}_[42, 70]_3, </t>
  </si>
  <si>
    <t xml:space="preserve">psar_{'C': [('delta', 0.3, -1), ('delta', 0.15, 2)]}_[42, 70]_4, </t>
  </si>
  <si>
    <t xml:space="preserve">psar_{'C': [('delta', 0.3, -1), ('delta', 0.15, 2)]}_[42, 70]_5, </t>
  </si>
  <si>
    <t xml:space="preserve">psar_{'C': [('delta', 0.3, -1), ('delta', 0.15, 3)]}_[7, 35]_1, </t>
  </si>
  <si>
    <t xml:space="preserve">psar_{'C': [('delta', 0.3, -1), ('delta', 0.15, 3)]}_[7, 35]_2, </t>
  </si>
  <si>
    <t xml:space="preserve">psar_{'C': [('delta', 0.3, -1), ('delta', 0.15, 3)]}_[7, 35]_3, </t>
  </si>
  <si>
    <t xml:space="preserve">psar_{'C': [('delta', 0.3, -1), ('delta', 0.15, 3)]}_[7, 35]_4, </t>
  </si>
  <si>
    <t xml:space="preserve">psar_{'C': [('delta', 0.3, -1), ('delta', 0.15, 3)]}_[7, 35]_5, </t>
  </si>
  <si>
    <t xml:space="preserve">psar_{'C': [('delta', 0.3, -1), ('delta', 0.15, 3)]}_[21, 49]_1, </t>
  </si>
  <si>
    <t xml:space="preserve">psar_{'C': [('delta', 0.3, -1), ('delta', 0.15, 3)]}_[21, 49]_2, </t>
  </si>
  <si>
    <t xml:space="preserve">psar_{'C': [('delta', 0.3, -1), ('delta', 0.15, 3)]}_[21, 49]_3, </t>
  </si>
  <si>
    <t xml:space="preserve">psar_{'C': [('delta', 0.3, -1), ('delta', 0.15, 3)]}_[21, 49]_4, </t>
  </si>
  <si>
    <t xml:space="preserve">psar_{'C': [('delta', 0.3, -1), ('delta', 0.15, 3)]}_[21, 49]_5, </t>
  </si>
  <si>
    <t xml:space="preserve">psar_{'C': [('delta', 0.3, -1), ('delta', 0.15, 3)]}_[42, 70]_1, </t>
  </si>
  <si>
    <t xml:space="preserve">psar_{'C': [('delta', 0.3, -1), ('delta', 0.15, 3)]}_[42, 70]_2, </t>
  </si>
  <si>
    <t xml:space="preserve">psar_{'C': [('delta', 0.3, -1), ('delta', 0.15, 3)]}_[42, 70]_3, </t>
  </si>
  <si>
    <t xml:space="preserve">psar_{'C': [('delta', 0.3, -1), ('delta', 0.15, 3)]}_[42, 70]_4, </t>
  </si>
  <si>
    <t xml:space="preserve">psar_{'C': [('delta', 0.3, -1), ('delta', 0.15, 3)]}_[42, 70]_5, </t>
  </si>
  <si>
    <t xml:space="preserve">psar_no_highvol_{'C': [('delta', 0.5, -1), ('delta', 0.25, 2)]}_[7, 35]_1, </t>
  </si>
  <si>
    <t xml:space="preserve">psar_no_highvol_{'C': [('delta', 0.5, -1), ('delta', 0.25, 2)]}_[7, 35]_2, </t>
  </si>
  <si>
    <t xml:space="preserve">psar_no_highvol_{'C': [('delta', 0.5, -1), ('delta', 0.25, 2)]}_[7, 35]_3, </t>
  </si>
  <si>
    <t xml:space="preserve">psar_no_highvol_{'C': [('delta', 0.5, -1), ('delta', 0.25, 2)]}_[7, 35]_4, </t>
  </si>
  <si>
    <t xml:space="preserve">psar_no_highvol_{'C': [('delta', 0.5, -1), ('delta', 0.25, 2)]}_[7, 35]_5, </t>
  </si>
  <si>
    <t xml:space="preserve">psar_no_highvol_{'C': [('delta', 0.5, -1), ('delta', 0.25, 2)]}_[21, 49]_1, </t>
  </si>
  <si>
    <t xml:space="preserve">psar_no_highvol_{'C': [('delta', 0.5, -1), ('delta', 0.25, 2)]}_[21, 49]_2, </t>
  </si>
  <si>
    <t xml:space="preserve">psar_no_highvol_{'C': [('delta', 0.5, -1), ('delta', 0.25, 2)]}_[21, 49]_3, </t>
  </si>
  <si>
    <t xml:space="preserve">psar_no_highvol_{'C': [('delta', 0.5, -1), ('delta', 0.25, 2)]}_[21, 49]_4, </t>
  </si>
  <si>
    <t xml:space="preserve">psar_no_highvol_{'C': [('delta', 0.5, -1), ('delta', 0.25, 2)]}_[21, 49]_5, </t>
  </si>
  <si>
    <t xml:space="preserve">psar_no_highvol_{'C': [('delta', 0.5, -1), ('delta', 0.25, 2)]}_[42, 70]_1, </t>
  </si>
  <si>
    <t xml:space="preserve">psar_no_highvol_{'C': [('delta', 0.5, -1), ('delta', 0.25, 2)]}_[42, 70]_2, </t>
  </si>
  <si>
    <t xml:space="preserve">psar_no_highvol_{'C': [('delta', 0.5, -1), ('delta', 0.25, 2)]}_[42, 70]_3, </t>
  </si>
  <si>
    <t xml:space="preserve">psar_no_highvol_{'C': [('delta', 0.5, -1), ('delta', 0.25, 2)]}_[42, 70]_4, </t>
  </si>
  <si>
    <t xml:space="preserve">psar_no_highvol_{'C': [('delta', 0.5, -1), ('delta', 0.25, 2)]}_[42, 70]_5, </t>
  </si>
  <si>
    <t xml:space="preserve">psar_no_highvol_{'C': [('delta', 0.4, -1), ('delta', 0.2, 2)]}_[7, 35]_1, </t>
  </si>
  <si>
    <t xml:space="preserve">psar_no_highvol_{'C': [('delta', 0.4, -1), ('delta', 0.2, 2)]}_[7, 35]_2, </t>
  </si>
  <si>
    <t xml:space="preserve">psar_no_highvol_{'C': [('delta', 0.4, -1), ('delta', 0.2, 2)]}_[7, 35]_3, </t>
  </si>
  <si>
    <t xml:space="preserve">psar_no_highvol_{'C': [('delta', 0.4, -1), ('delta', 0.2, 2)]}_[7, 35]_4, </t>
  </si>
  <si>
    <t xml:space="preserve">psar_no_highvol_{'C': [('delta', 0.4, -1), ('delta', 0.2, 2)]}_[7, 35]_5, </t>
  </si>
  <si>
    <t xml:space="preserve">psar_no_highvol_{'C': [('delta', 0.4, -1), ('delta', 0.2, 2)]}_[21, 49]_1, </t>
  </si>
  <si>
    <t xml:space="preserve">psar_no_highvol_{'C': [('delta', 0.4, -1), ('delta', 0.2, 2)]}_[21, 49]_2, </t>
  </si>
  <si>
    <t xml:space="preserve">psar_no_highvol_{'C': [('delta', 0.4, -1), ('delta', 0.2, 2)]}_[21, 49]_3, </t>
  </si>
  <si>
    <t xml:space="preserve">psar_no_highvol_{'C': [('delta', 0.4, -1), ('delta', 0.2, 2)]}_[21, 49]_4, </t>
  </si>
  <si>
    <t xml:space="preserve">psar_no_highvol_{'C': [('delta', 0.4, -1), ('delta', 0.2, 2)]}_[21, 49]_5, </t>
  </si>
  <si>
    <t xml:space="preserve">psar_no_highvol_{'C': [('delta', 0.4, -1), ('delta', 0.2, 2)]}_[42, 70]_1, </t>
  </si>
  <si>
    <t xml:space="preserve">psar_no_highvol_{'C': [('delta', 0.4, -1), ('delta', 0.2, 2)]}_[42, 70]_2, </t>
  </si>
  <si>
    <t xml:space="preserve">psar_no_highvol_{'C': [('delta', 0.4, -1), ('delta', 0.2, 2)]}_[42, 70]_3, </t>
  </si>
  <si>
    <t xml:space="preserve">psar_no_highvol_{'C': [('delta', 0.4, -1), ('delta', 0.2, 2)]}_[42, 70]_4, </t>
  </si>
  <si>
    <t xml:space="preserve">psar_no_highvol_{'C': [('delta', 0.4, -1), ('delta', 0.2, 2)]}_[42, 70]_5, </t>
  </si>
  <si>
    <t xml:space="preserve">psar_no_highvol_{'C': [('delta', 0.4, -1), ('delta', 0.2, 3)]}_[7, 35]_1, </t>
  </si>
  <si>
    <t xml:space="preserve">psar_no_highvol_{'C': [('delta', 0.4, -1), ('delta', 0.2, 3)]}_[7, 35]_2, </t>
  </si>
  <si>
    <t xml:space="preserve">psar_no_highvol_{'C': [('delta', 0.4, -1), ('delta', 0.2, 3)]}_[7, 35]_3, </t>
  </si>
  <si>
    <t xml:space="preserve">psar_no_highvol_{'C': [('delta', 0.4, -1), ('delta', 0.2, 3)]}_[7, 35]_4, </t>
  </si>
  <si>
    <t xml:space="preserve">psar_no_highvol_{'C': [('delta', 0.4, -1), ('delta', 0.2, 3)]}_[7, 35]_5, </t>
  </si>
  <si>
    <t xml:space="preserve">psar_no_highvol_{'C': [('delta', 0.4, -1), ('delta', 0.2, 3)]}_[21, 49]_1, </t>
  </si>
  <si>
    <t xml:space="preserve">psar_no_highvol_{'C': [('delta', 0.4, -1), ('delta', 0.2, 3)]}_[21, 49]_2, </t>
  </si>
  <si>
    <t xml:space="preserve">psar_no_highvol_{'C': [('delta', 0.4, -1), ('delta', 0.2, 3)]}_[21, 49]_3, </t>
  </si>
  <si>
    <t xml:space="preserve">psar_no_highvol_{'C': [('delta', 0.4, -1), ('delta', 0.2, 3)]}_[21, 49]_4, </t>
  </si>
  <si>
    <t xml:space="preserve">psar_no_highvol_{'C': [('delta', 0.4, -1), ('delta', 0.2, 3)]}_[21, 49]_5, </t>
  </si>
  <si>
    <t xml:space="preserve">psar_no_highvol_{'C': [('delta', 0.4, -1), ('delta', 0.2, 3)]}_[42, 70]_1, </t>
  </si>
  <si>
    <t xml:space="preserve">psar_no_highvol_{'C': [('delta', 0.4, -1), ('delta', 0.2, 3)]}_[42, 70]_2, </t>
  </si>
  <si>
    <t xml:space="preserve">psar_no_highvol_{'C': [('delta', 0.4, -1), ('delta', 0.2, 3)]}_[42, 70]_3, </t>
  </si>
  <si>
    <t xml:space="preserve">psar_no_highvol_{'C': [('delta', 0.4, -1), ('delta', 0.2, 3)]}_[42, 70]_4, </t>
  </si>
  <si>
    <t xml:space="preserve">psar_no_highvol_{'C': [('delta', 0.4, -1), ('delta', 0.2, 3)]}_[42, 70]_5, </t>
  </si>
  <si>
    <t xml:space="preserve">psar_no_highvol_{'C': [('delta', 0.3, -1), ('delta', 0.15, 2)]}_[7, 35]_1, </t>
  </si>
  <si>
    <t xml:space="preserve">psar_no_highvol_{'C': [('delta', 0.3, -1), ('delta', 0.15, 2)]}_[7, 35]_2, </t>
  </si>
  <si>
    <t xml:space="preserve">psar_no_highvol_{'C': [('delta', 0.3, -1), ('delta', 0.15, 2)]}_[7, 35]_3, </t>
  </si>
  <si>
    <t xml:space="preserve">psar_no_highvol_{'C': [('delta', 0.3, -1), ('delta', 0.15, 2)]}_[7, 35]_4, </t>
  </si>
  <si>
    <t xml:space="preserve">psar_no_highvol_{'C': [('delta', 0.3, -1), ('delta', 0.15, 2)]}_[7, 35]_5, </t>
  </si>
  <si>
    <t xml:space="preserve">psar_no_highvol_{'C': [('delta', 0.3, -1), ('delta', 0.15, 2)]}_[21, 49]_1, </t>
  </si>
  <si>
    <t xml:space="preserve">psar_no_highvol_{'C': [('delta', 0.3, -1), ('delta', 0.15, 2)]}_[21, 49]_2, </t>
  </si>
  <si>
    <t xml:space="preserve">psar_no_highvol_{'C': [('delta', 0.3, -1), ('delta', 0.15, 2)]}_[21, 49]_3, </t>
  </si>
  <si>
    <t xml:space="preserve">psar_no_highvol_{'C': [('delta', 0.3, -1), ('delta', 0.15, 2)]}_[21, 49]_4, </t>
  </si>
  <si>
    <t xml:space="preserve">psar_no_highvol_{'C': [('delta', 0.3, -1), ('delta', 0.15, 2)]}_[21, 49]_5, </t>
  </si>
  <si>
    <t xml:space="preserve">psar_no_highvol_{'C': [('delta', 0.3, -1), ('delta', 0.15, 2)]}_[42, 70]_1, </t>
  </si>
  <si>
    <t xml:space="preserve">psar_no_highvol_{'C': [('delta', 0.3, -1), ('delta', 0.15, 2)]}_[42, 70]_2, </t>
  </si>
  <si>
    <t xml:space="preserve">psar_no_highvol_{'C': [('delta', 0.3, -1), ('delta', 0.15, 2)]}_[42, 70]_3, </t>
  </si>
  <si>
    <t xml:space="preserve">psar_no_highvol_{'C': [('delta', 0.3, -1), ('delta', 0.15, 2)]}_[42, 70]_4, </t>
  </si>
  <si>
    <t xml:space="preserve">psar_no_highvol_{'C': [('delta', 0.3, -1), ('delta', 0.15, 2)]}_[42, 70]_5, </t>
  </si>
  <si>
    <t xml:space="preserve">psar_no_highvol_{'C': [('delta', 0.3, -1), ('delta', 0.15, 3)]}_[7, 35]_1, </t>
  </si>
  <si>
    <t xml:space="preserve">psar_no_highvol_{'C': [('delta', 0.3, -1), ('delta', 0.15, 3)]}_[7, 35]_2, </t>
  </si>
  <si>
    <t xml:space="preserve">psar_no_highvol_{'C': [('delta', 0.3, -1), ('delta', 0.15, 3)]}_[7, 35]_3, </t>
  </si>
  <si>
    <t xml:space="preserve">psar_no_highvol_{'C': [('delta', 0.3, -1), ('delta', 0.15, 3)]}_[7, 35]_4, </t>
  </si>
  <si>
    <t xml:space="preserve">psar_no_highvol_{'C': [('delta', 0.3, -1), ('delta', 0.15, 3)]}_[7, 35]_5, </t>
  </si>
  <si>
    <t xml:space="preserve">psar_no_highvol_{'C': [('delta', 0.3, -1), ('delta', 0.15, 3)]}_[21, 49]_1, </t>
  </si>
  <si>
    <t xml:space="preserve">psar_no_highvol_{'C': [('delta', 0.3, -1), ('delta', 0.15, 3)]}_[21, 49]_2, </t>
  </si>
  <si>
    <t xml:space="preserve">psar_no_highvol_{'C': [('delta', 0.3, -1), ('delta', 0.15, 3)]}_[21, 49]_3, </t>
  </si>
  <si>
    <t xml:space="preserve">psar_no_highvol_{'C': [('delta', 0.3, -1), ('delta', 0.15, 3)]}_[21, 49]_4, </t>
  </si>
  <si>
    <t xml:space="preserve">psar_no_highvol_{'C': [('delta', 0.3, -1), ('delta', 0.15, 3)]}_[21, 49]_5, </t>
  </si>
  <si>
    <t xml:space="preserve">psar_no_highvol_{'C': [('delta', 0.3, -1), ('delta', 0.15, 3)]}_[42, 70]_1, </t>
  </si>
  <si>
    <t xml:space="preserve">psar_no_highvol_{'C': [('delta', 0.3, -1), ('delta', 0.15, 3)]}_[42, 70]_2, </t>
  </si>
  <si>
    <t xml:space="preserve">psar_no_highvol_{'C': [('delta', 0.3, -1), ('delta', 0.15, 3)]}_[42, 70]_3, </t>
  </si>
  <si>
    <t xml:space="preserve">psar_no_highvol_{'C': [('delta', 0.3, -1), ('delta', 0.15, 3)]}_[42, 70]_4, </t>
  </si>
  <si>
    <t xml:space="preserve">psar_no_highvol_{'C': [('delta', 0.3, -1), ('delta', 0.15, 3)]}_[42, 70]_5, </t>
  </si>
  <si>
    <t xml:space="preserve">rsi_{'C': [('delta', 0.5, -1), ('delta', 0.25, 2)]}_[7, 35]_1, </t>
  </si>
  <si>
    <t xml:space="preserve">rsi_{'C': [('delta', 0.5, -1), ('delta', 0.25, 2)]}_[7, 35]_2, </t>
  </si>
  <si>
    <t xml:space="preserve">rsi_{'C': [('delta', 0.5, -1), ('delta', 0.25, 2)]}_[7, 35]_3, </t>
  </si>
  <si>
    <t xml:space="preserve">rsi_{'C': [('delta', 0.5, -1), ('delta', 0.25, 2)]}_[7, 35]_4, </t>
  </si>
  <si>
    <t xml:space="preserve">rsi_{'C': [('delta', 0.5, -1), ('delta', 0.25, 2)]}_[7, 35]_5, </t>
  </si>
  <si>
    <t xml:space="preserve">rsi_{'C': [('delta', 0.5, -1), ('delta', 0.25, 2)]}_[21, 49]_1, </t>
  </si>
  <si>
    <t xml:space="preserve">rsi_{'C': [('delta', 0.5, -1), ('delta', 0.25, 2)]}_[21, 49]_2, </t>
  </si>
  <si>
    <t xml:space="preserve">rsi_{'C': [('delta', 0.5, -1), ('delta', 0.25, 2)]}_[21, 49]_3, </t>
  </si>
  <si>
    <t xml:space="preserve">rsi_{'C': [('delta', 0.5, -1), ('delta', 0.25, 2)]}_[21, 49]_4, </t>
  </si>
  <si>
    <t xml:space="preserve">rsi_{'C': [('delta', 0.5, -1), ('delta', 0.25, 2)]}_[21, 49]_5, </t>
  </si>
  <si>
    <t xml:space="preserve">rsi_{'C': [('delta', 0.5, -1), ('delta', 0.25, 2)]}_[42, 70]_1, </t>
  </si>
  <si>
    <t xml:space="preserve">rsi_{'C': [('delta', 0.5, -1), ('delta', 0.25, 2)]}_[42, 70]_2, </t>
  </si>
  <si>
    <t xml:space="preserve">rsi_{'C': [('delta', 0.5, -1), ('delta', 0.25, 2)]}_[42, 70]_3, </t>
  </si>
  <si>
    <t xml:space="preserve">rsi_{'C': [('delta', 0.5, -1), ('delta', 0.25, 2)]}_[42, 70]_4, </t>
  </si>
  <si>
    <t xml:space="preserve">rsi_{'C': [('delta', 0.5, -1), ('delta', 0.25, 2)]}_[42, 70]_5, </t>
  </si>
  <si>
    <t xml:space="preserve">rsi_{'C': [('delta', 0.4, -1), ('delta', 0.2, 2)]}_[7, 35]_1, </t>
  </si>
  <si>
    <t xml:space="preserve">rsi_{'C': [('delta', 0.4, -1), ('delta', 0.2, 2)]}_[7, 35]_2, </t>
  </si>
  <si>
    <t xml:space="preserve">rsi_{'C': [('delta', 0.4, -1), ('delta', 0.2, 2)]}_[7, 35]_3, </t>
  </si>
  <si>
    <t xml:space="preserve">rsi_{'C': [('delta', 0.4, -1), ('delta', 0.2, 2)]}_[7, 35]_4, </t>
  </si>
  <si>
    <t xml:space="preserve">rsi_{'C': [('delta', 0.4, -1), ('delta', 0.2, 2)]}_[7, 35]_5, </t>
  </si>
  <si>
    <t xml:space="preserve">rsi_{'C': [('delta', 0.4, -1), ('delta', 0.2, 2)]}_[21, 49]_1, </t>
  </si>
  <si>
    <t xml:space="preserve">rsi_{'C': [('delta', 0.4, -1), ('delta', 0.2, 2)]}_[21, 49]_2, </t>
  </si>
  <si>
    <t xml:space="preserve">rsi_{'C': [('delta', 0.4, -1), ('delta', 0.2, 2)]}_[21, 49]_3, </t>
  </si>
  <si>
    <t xml:space="preserve">rsi_{'C': [('delta', 0.4, -1), ('delta', 0.2, 2)]}_[21, 49]_4, </t>
  </si>
  <si>
    <t xml:space="preserve">rsi_{'C': [('delta', 0.4, -1), ('delta', 0.2, 2)]}_[21, 49]_5, </t>
  </si>
  <si>
    <t xml:space="preserve">rsi_{'C': [('delta', 0.4, -1), ('delta', 0.2, 2)]}_[42, 70]_1, </t>
  </si>
  <si>
    <t xml:space="preserve">rsi_{'C': [('delta', 0.4, -1), ('delta', 0.2, 2)]}_[42, 70]_2, </t>
  </si>
  <si>
    <t xml:space="preserve">rsi_{'C': [('delta', 0.4, -1), ('delta', 0.2, 2)]}_[42, 70]_3, </t>
  </si>
  <si>
    <t xml:space="preserve">rsi_{'C': [('delta', 0.4, -1), ('delta', 0.2, 2)]}_[42, 70]_4, </t>
  </si>
  <si>
    <t xml:space="preserve">rsi_{'C': [('delta', 0.4, -1), ('delta', 0.2, 2)]}_[42, 70]_5, </t>
  </si>
  <si>
    <t xml:space="preserve">rsi_{'C': [('delta', 0.4, -1), ('delta', 0.2, 3)]}_[7, 35]_1, </t>
  </si>
  <si>
    <t xml:space="preserve">rsi_{'C': [('delta', 0.4, -1), ('delta', 0.2, 3)]}_[7, 35]_2, </t>
  </si>
  <si>
    <t xml:space="preserve">rsi_{'C': [('delta', 0.4, -1), ('delta', 0.2, 3)]}_[7, 35]_3, </t>
  </si>
  <si>
    <t xml:space="preserve">rsi_{'C': [('delta', 0.4, -1), ('delta', 0.2, 3)]}_[7, 35]_4, </t>
  </si>
  <si>
    <t xml:space="preserve">rsi_{'C': [('delta', 0.4, -1), ('delta', 0.2, 3)]}_[7, 35]_5, </t>
  </si>
  <si>
    <t xml:space="preserve">rsi_{'C': [('delta', 0.4, -1), ('delta', 0.2, 3)]}_[21, 49]_1, </t>
  </si>
  <si>
    <t xml:space="preserve">rsi_{'C': [('delta', 0.4, -1), ('delta', 0.2, 3)]}_[21, 49]_2, </t>
  </si>
  <si>
    <t xml:space="preserve">rsi_{'C': [('delta', 0.4, -1), ('delta', 0.2, 3)]}_[21, 49]_3, </t>
  </si>
  <si>
    <t xml:space="preserve">rsi_{'C': [('delta', 0.4, -1), ('delta', 0.2, 3)]}_[21, 49]_4, </t>
  </si>
  <si>
    <t xml:space="preserve">rsi_{'C': [('delta', 0.4, -1), ('delta', 0.2, 3)]}_[21, 49]_5, </t>
  </si>
  <si>
    <t xml:space="preserve">rsi_{'C': [('delta', 0.4, -1), ('delta', 0.2, 3)]}_[42, 70]_1, </t>
  </si>
  <si>
    <t xml:space="preserve">rsi_{'C': [('delta', 0.4, -1), ('delta', 0.2, 3)]}_[42, 70]_2, </t>
  </si>
  <si>
    <t xml:space="preserve">rsi_{'C': [('delta', 0.4, -1), ('delta', 0.2, 3)]}_[42, 70]_3, </t>
  </si>
  <si>
    <t xml:space="preserve">rsi_{'C': [('delta', 0.4, -1), ('delta', 0.2, 3)]}_[42, 70]_4, </t>
  </si>
  <si>
    <t xml:space="preserve">rsi_{'C': [('delta', 0.4, -1), ('delta', 0.2, 3)]}_[42, 70]_5, </t>
  </si>
  <si>
    <t xml:space="preserve">rsi_{'C': [('delta', 0.3, -1), ('delta', 0.15, 2)]}_[7, 35]_1, </t>
  </si>
  <si>
    <t xml:space="preserve">rsi_{'C': [('delta', 0.3, -1), ('delta', 0.15, 2)]}_[7, 35]_2, </t>
  </si>
  <si>
    <t xml:space="preserve">rsi_{'C': [('delta', 0.3, -1), ('delta', 0.15, 2)]}_[7, 35]_3, </t>
  </si>
  <si>
    <t xml:space="preserve">rsi_{'C': [('delta', 0.3, -1), ('delta', 0.15, 2)]}_[7, 35]_4, </t>
  </si>
  <si>
    <t xml:space="preserve">rsi_{'C': [('delta', 0.3, -1), ('delta', 0.15, 2)]}_[7, 35]_5, </t>
  </si>
  <si>
    <t xml:space="preserve">rsi_{'C': [('delta', 0.3, -1), ('delta', 0.15, 2)]}_[21, 49]_1, </t>
  </si>
  <si>
    <t xml:space="preserve">rsi_{'C': [('delta', 0.3, -1), ('delta', 0.15, 2)]}_[21, 49]_2, </t>
  </si>
  <si>
    <t xml:space="preserve">rsi_{'C': [('delta', 0.3, -1), ('delta', 0.15, 2)]}_[21, 49]_3, </t>
  </si>
  <si>
    <t xml:space="preserve">rsi_{'C': [('delta', 0.3, -1), ('delta', 0.15, 2)]}_[21, 49]_4, </t>
  </si>
  <si>
    <t xml:space="preserve">rsi_{'C': [('delta', 0.3, -1), ('delta', 0.15, 2)]}_[21, 49]_5, </t>
  </si>
  <si>
    <t xml:space="preserve">rsi_{'C': [('delta', 0.3, -1), ('delta', 0.15, 2)]}_[42, 70]_1, </t>
  </si>
  <si>
    <t xml:space="preserve">rsi_{'C': [('delta', 0.3, -1), ('delta', 0.15, 2)]}_[42, 70]_2, </t>
  </si>
  <si>
    <t xml:space="preserve">rsi_{'C': [('delta', 0.3, -1), ('delta', 0.15, 2)]}_[42, 70]_3, </t>
  </si>
  <si>
    <t xml:space="preserve">rsi_{'C': [('delta', 0.3, -1), ('delta', 0.15, 2)]}_[42, 70]_4, </t>
  </si>
  <si>
    <t xml:space="preserve">rsi_{'C': [('delta', 0.3, -1), ('delta', 0.15, 2)]}_[42, 70]_5, </t>
  </si>
  <si>
    <t xml:space="preserve">rsi_{'C': [('delta', 0.3, -1), ('delta', 0.15, 3)]}_[7, 35]_1, </t>
  </si>
  <si>
    <t xml:space="preserve">rsi_{'C': [('delta', 0.3, -1), ('delta', 0.15, 3)]}_[7, 35]_2, </t>
  </si>
  <si>
    <t xml:space="preserve">rsi_{'C': [('delta', 0.3, -1), ('delta', 0.15, 3)]}_[7, 35]_3, </t>
  </si>
  <si>
    <t xml:space="preserve">rsi_{'C': [('delta', 0.3, -1), ('delta', 0.15, 3)]}_[7, 35]_4, </t>
  </si>
  <si>
    <t xml:space="preserve">rsi_{'C': [('delta', 0.3, -1), ('delta', 0.15, 3)]}_[7, 35]_5, </t>
  </si>
  <si>
    <t xml:space="preserve">rsi_{'C': [('delta', 0.3, -1), ('delta', 0.15, 3)]}_[21, 49]_1, </t>
  </si>
  <si>
    <t xml:space="preserve">rsi_{'C': [('delta', 0.3, -1), ('delta', 0.15, 3)]}_[21, 49]_2, </t>
  </si>
  <si>
    <t xml:space="preserve">rsi_{'C': [('delta', 0.3, -1), ('delta', 0.15, 3)]}_[21, 49]_3, </t>
  </si>
  <si>
    <t xml:space="preserve">rsi_{'C': [('delta', 0.3, -1), ('delta', 0.15, 3)]}_[21, 49]_4, </t>
  </si>
  <si>
    <t xml:space="preserve">rsi_{'C': [('delta', 0.3, -1), ('delta', 0.15, 3)]}_[21, 49]_5, </t>
  </si>
  <si>
    <t xml:space="preserve">rsi_{'C': [('delta', 0.3, -1), ('delta', 0.15, 3)]}_[42, 70]_1, </t>
  </si>
  <si>
    <t xml:space="preserve">rsi_{'C': [('delta', 0.3, -1), ('delta', 0.15, 3)]}_[42, 70]_2, </t>
  </si>
  <si>
    <t xml:space="preserve">rsi_{'C': [('delta', 0.3, -1), ('delta', 0.15, 3)]}_[42, 70]_3, </t>
  </si>
  <si>
    <t xml:space="preserve">rsi_{'C': [('delta', 0.3, -1), ('delta', 0.15, 3)]}_[42, 70]_4, </t>
  </si>
  <si>
    <t xml:space="preserve">rsi_{'C': [('delta', 0.3, -1), ('delta', 0.15, 3)]}_[42, 70]_5, </t>
  </si>
  <si>
    <t xml:space="preserve">stoch_{'C': [('delta', 0.5, -1), ('delta', 0.25, 2)]}_[7, 35]_1, </t>
  </si>
  <si>
    <t xml:space="preserve">stoch_{'C': [('delta', 0.5, -1), ('delta', 0.25, 2)]}_[7, 35]_2, </t>
  </si>
  <si>
    <t xml:space="preserve">stoch_{'C': [('delta', 0.5, -1), ('delta', 0.25, 2)]}_[7, 35]_3, </t>
  </si>
  <si>
    <t xml:space="preserve">stoch_{'C': [('delta', 0.5, -1), ('delta', 0.25, 2)]}_[7, 35]_4, </t>
  </si>
  <si>
    <t xml:space="preserve">stoch_{'C': [('delta', 0.5, -1), ('delta', 0.25, 2)]}_[7, 35]_5, </t>
  </si>
  <si>
    <t xml:space="preserve">stoch_{'C': [('delta', 0.5, -1), ('delta', 0.25, 2)]}_[21, 49]_1, </t>
  </si>
  <si>
    <t xml:space="preserve">stoch_{'C': [('delta', 0.5, -1), ('delta', 0.25, 2)]}_[21, 49]_2, </t>
  </si>
  <si>
    <t xml:space="preserve">stoch_{'C': [('delta', 0.5, -1), ('delta', 0.25, 2)]}_[21, 49]_3, </t>
  </si>
  <si>
    <t xml:space="preserve">stoch_{'C': [('delta', 0.5, -1), ('delta', 0.25, 2)]}_[21, 49]_4, </t>
  </si>
  <si>
    <t xml:space="preserve">stoch_{'C': [('delta', 0.5, -1), ('delta', 0.25, 2)]}_[21, 49]_5, </t>
  </si>
  <si>
    <t xml:space="preserve">stoch_{'C': [('delta', 0.5, -1), ('delta', 0.25, 2)]}_[42, 70]_1, </t>
  </si>
  <si>
    <t xml:space="preserve">stoch_{'C': [('delta', 0.5, -1), ('delta', 0.25, 2)]}_[42, 70]_2, </t>
  </si>
  <si>
    <t xml:space="preserve">stoch_{'C': [('delta', 0.5, -1), ('delta', 0.25, 2)]}_[42, 70]_3, </t>
  </si>
  <si>
    <t xml:space="preserve">stoch_{'C': [('delta', 0.5, -1), ('delta', 0.25, 2)]}_[42, 70]_4, </t>
  </si>
  <si>
    <t xml:space="preserve">stoch_{'C': [('delta', 0.5, -1), ('delta', 0.25, 2)]}_[42, 70]_5, </t>
  </si>
  <si>
    <t xml:space="preserve">stoch_{'C': [('delta', 0.4, -1), ('delta', 0.2, 2)]}_[7, 35]_1, </t>
  </si>
  <si>
    <t xml:space="preserve">stoch_{'C': [('delta', 0.4, -1), ('delta', 0.2, 2)]}_[7, 35]_2, </t>
  </si>
  <si>
    <t xml:space="preserve">stoch_{'C': [('delta', 0.4, -1), ('delta', 0.2, 2)]}_[7, 35]_3, </t>
  </si>
  <si>
    <t xml:space="preserve">stoch_{'C': [('delta', 0.4, -1), ('delta', 0.2, 2)]}_[7, 35]_4, </t>
  </si>
  <si>
    <t xml:space="preserve">stoch_{'C': [('delta', 0.4, -1), ('delta', 0.2, 2)]}_[7, 35]_5, </t>
  </si>
  <si>
    <t xml:space="preserve">stoch_{'C': [('delta', 0.4, -1), ('delta', 0.2, 2)]}_[21, 49]_1, </t>
  </si>
  <si>
    <t xml:space="preserve">stoch_{'C': [('delta', 0.4, -1), ('delta', 0.2, 2)]}_[21, 49]_2, </t>
  </si>
  <si>
    <t xml:space="preserve">stoch_{'C': [('delta', 0.4, -1), ('delta', 0.2, 2)]}_[21, 49]_3, </t>
  </si>
  <si>
    <t xml:space="preserve">stoch_{'C': [('delta', 0.4, -1), ('delta', 0.2, 2)]}_[21, 49]_4, </t>
  </si>
  <si>
    <t xml:space="preserve">stoch_{'C': [('delta', 0.4, -1), ('delta', 0.2, 2)]}_[21, 49]_5, </t>
  </si>
  <si>
    <t xml:space="preserve">stoch_{'C': [('delta', 0.4, -1), ('delta', 0.2, 2)]}_[42, 70]_1, </t>
  </si>
  <si>
    <t xml:space="preserve">stoch_{'C': [('delta', 0.4, -1), ('delta', 0.2, 2)]}_[42, 70]_2, </t>
  </si>
  <si>
    <t xml:space="preserve">stoch_{'C': [('delta', 0.4, -1), ('delta', 0.2, 2)]}_[42, 70]_3, </t>
  </si>
  <si>
    <t xml:space="preserve">stoch_{'C': [('delta', 0.4, -1), ('delta', 0.2, 2)]}_[42, 70]_4, </t>
  </si>
  <si>
    <t xml:space="preserve">stoch_{'C': [('delta', 0.4, -1), ('delta', 0.2, 2)]}_[42, 70]_5, </t>
  </si>
  <si>
    <t xml:space="preserve">stoch_{'C': [('delta', 0.4, -1), ('delta', 0.2, 3)]}_[7, 35]_1, </t>
  </si>
  <si>
    <t xml:space="preserve">stoch_{'C': [('delta', 0.4, -1), ('delta', 0.2, 3)]}_[7, 35]_2, </t>
  </si>
  <si>
    <t xml:space="preserve">stoch_{'C': [('delta', 0.4, -1), ('delta', 0.2, 3)]}_[7, 35]_3, </t>
  </si>
  <si>
    <t xml:space="preserve">stoch_{'C': [('delta', 0.4, -1), ('delta', 0.2, 3)]}_[7, 35]_4, </t>
  </si>
  <si>
    <t xml:space="preserve">stoch_{'C': [('delta', 0.4, -1), ('delta', 0.2, 3)]}_[7, 35]_5, </t>
  </si>
  <si>
    <t xml:space="preserve">stoch_{'C': [('delta', 0.4, -1), ('delta', 0.2, 3)]}_[21, 49]_1, </t>
  </si>
  <si>
    <t xml:space="preserve">stoch_{'C': [('delta', 0.4, -1), ('delta', 0.2, 3)]}_[21, 49]_2, </t>
  </si>
  <si>
    <t xml:space="preserve">stoch_{'C': [('delta', 0.4, -1), ('delta', 0.2, 3)]}_[21, 49]_3, </t>
  </si>
  <si>
    <t xml:space="preserve">stoch_{'C': [('delta', 0.4, -1), ('delta', 0.2, 3)]}_[21, 49]_4, </t>
  </si>
  <si>
    <t xml:space="preserve">stoch_{'C': [('delta', 0.4, -1), ('delta', 0.2, 3)]}_[21, 49]_5, </t>
  </si>
  <si>
    <t xml:space="preserve">stoch_{'C': [('delta', 0.4, -1), ('delta', 0.2, 3)]}_[42, 70]_1, </t>
  </si>
  <si>
    <t xml:space="preserve">stoch_{'C': [('delta', 0.4, -1), ('delta', 0.2, 3)]}_[42, 70]_2, </t>
  </si>
  <si>
    <t xml:space="preserve">stoch_{'C': [('delta', 0.4, -1), ('delta', 0.2, 3)]}_[42, 70]_3, </t>
  </si>
  <si>
    <t xml:space="preserve">stoch_{'C': [('delta', 0.4, -1), ('delta', 0.2, 3)]}_[42, 70]_4, </t>
  </si>
  <si>
    <t xml:space="preserve">stoch_{'C': [('delta', 0.4, -1), ('delta', 0.2, 3)]}_[42, 70]_5, </t>
  </si>
  <si>
    <t xml:space="preserve">stoch_{'C': [('delta', 0.3, -1), ('delta', 0.15, 2)]}_[7, 35]_1, </t>
  </si>
  <si>
    <t xml:space="preserve">stoch_{'C': [('delta', 0.3, -1), ('delta', 0.15, 2)]}_[7, 35]_2, </t>
  </si>
  <si>
    <t xml:space="preserve">stoch_{'C': [('delta', 0.3, -1), ('delta', 0.15, 2)]}_[7, 35]_3, </t>
  </si>
  <si>
    <t xml:space="preserve">stoch_{'C': [('delta', 0.3, -1), ('delta', 0.15, 2)]}_[7, 35]_4, </t>
  </si>
  <si>
    <t xml:space="preserve">stoch_{'C': [('delta', 0.3, -1), ('delta', 0.15, 2)]}_[7, 35]_5, </t>
  </si>
  <si>
    <t xml:space="preserve">stoch_{'C': [('delta', 0.3, -1), ('delta', 0.15, 2)]}_[21, 49]_1, </t>
  </si>
  <si>
    <t xml:space="preserve">stoch_{'C': [('delta', 0.3, -1), ('delta', 0.15, 2)]}_[21, 49]_2, </t>
  </si>
  <si>
    <t xml:space="preserve">stoch_{'C': [('delta', 0.3, -1), ('delta', 0.15, 2)]}_[21, 49]_3, </t>
  </si>
  <si>
    <t xml:space="preserve">stoch_{'C': [('delta', 0.3, -1), ('delta', 0.15, 2)]}_[21, 49]_4, </t>
  </si>
  <si>
    <t xml:space="preserve">stoch_{'C': [('delta', 0.3, -1), ('delta', 0.15, 2)]}_[21, 49]_5, </t>
  </si>
  <si>
    <t xml:space="preserve">stoch_{'C': [('delta', 0.3, -1), ('delta', 0.15, 2)]}_[42, 70]_1, </t>
  </si>
  <si>
    <t xml:space="preserve">stoch_{'C': [('delta', 0.3, -1), ('delta', 0.15, 2)]}_[42, 70]_2, </t>
  </si>
  <si>
    <t xml:space="preserve">stoch_{'C': [('delta', 0.3, -1), ('delta', 0.15, 2)]}_[42, 70]_3, </t>
  </si>
  <si>
    <t xml:space="preserve">stoch_{'C': [('delta', 0.3, -1), ('delta', 0.15, 2)]}_[42, 70]_4, </t>
  </si>
  <si>
    <t xml:space="preserve">stoch_{'C': [('delta', 0.3, -1), ('delta', 0.15, 2)]}_[42, 70]_5, </t>
  </si>
  <si>
    <t xml:space="preserve">stoch_{'C': [('delta', 0.3, -1), ('delta', 0.15, 3)]}_[7, 35]_1, </t>
  </si>
  <si>
    <t xml:space="preserve">stoch_{'C': [('delta', 0.3, -1), ('delta', 0.15, 3)]}_[7, 35]_2, </t>
  </si>
  <si>
    <t xml:space="preserve">stoch_{'C': [('delta', 0.3, -1), ('delta', 0.15, 3)]}_[7, 35]_3, </t>
  </si>
  <si>
    <t xml:space="preserve">stoch_{'C': [('delta', 0.3, -1), ('delta', 0.15, 3)]}_[7, 35]_4, </t>
  </si>
  <si>
    <t xml:space="preserve">stoch_{'C': [('delta', 0.3, -1), ('delta', 0.15, 3)]}_[7, 35]_5, </t>
  </si>
  <si>
    <t xml:space="preserve">stoch_{'C': [('delta', 0.3, -1), ('delta', 0.15, 3)]}_[21, 49]_1, </t>
  </si>
  <si>
    <t xml:space="preserve">stoch_{'C': [('delta', 0.3, -1), ('delta', 0.15, 3)]}_[21, 49]_2, </t>
  </si>
  <si>
    <t xml:space="preserve">stoch_{'C': [('delta', 0.3, -1), ('delta', 0.15, 3)]}_[21, 49]_3, </t>
  </si>
  <si>
    <t xml:space="preserve">stoch_{'C': [('delta', 0.3, -1), ('delta', 0.15, 3)]}_[21, 49]_4, </t>
  </si>
  <si>
    <t xml:space="preserve">stoch_{'C': [('delta', 0.3, -1), ('delta', 0.15, 3)]}_[21, 49]_5, </t>
  </si>
  <si>
    <t xml:space="preserve">stoch_{'C': [('delta', 0.3, -1), ('delta', 0.15, 3)]}_[42, 70]_1, </t>
  </si>
  <si>
    <t xml:space="preserve">stoch_{'C': [('delta', 0.3, -1), ('delta', 0.15, 3)]}_[42, 70]_2, </t>
  </si>
  <si>
    <t xml:space="preserve">stoch_{'C': [('delta', 0.3, -1), ('delta', 0.15, 3)]}_[42, 70]_3, </t>
  </si>
  <si>
    <t xml:space="preserve">stoch_{'C': [('delta', 0.3, -1), ('delta', 0.15, 3)]}_[42, 70]_4, </t>
  </si>
  <si>
    <t xml:space="preserve">stoch_{'C': [('delta', 0.3, -1), ('delta', 0.15, 3)]}_[42, 70]_5, </t>
  </si>
  <si>
    <t xml:space="preserve">C': [('delta', 0.3, -1), ('delta', 0.15, 3)]}_[7, 35]_5, </t>
    <phoneticPr fontId="2" type="noConversion"/>
  </si>
  <si>
    <t>m</t>
    <phoneticPr fontId="2" type="noConversion"/>
  </si>
  <si>
    <t xml:space="preserve">alltime_{'C': [('delta', 0.3, -1), ('delta', 0.15, 3)]}_[42, 70]_1, </t>
    <phoneticPr fontId="2" type="noConversion"/>
  </si>
  <si>
    <t xml:space="preserve">alltime_{'C': [('delta', 0.3, -1), ('delta', 0.15, 2)]}_[7, 35]_5, </t>
    <phoneticPr fontId="2" type="noConversion"/>
  </si>
  <si>
    <t>alltime_[42</t>
  </si>
  <si>
    <t xml:space="preserve"> (-7.130000000000003</t>
  </si>
  <si>
    <t xml:space="preserve"> (-17.55999999999992</t>
  </si>
  <si>
    <t xml:space="preserve"> (-23.679999999999996</t>
  </si>
  <si>
    <t xml:space="preserve"> (-25.39999999999994</t>
  </si>
  <si>
    <t xml:space="preserve"> Timestamp('2021-12-09 00</t>
  </si>
  <si>
    <t>bbands_[42</t>
  </si>
  <si>
    <t xml:space="preserve"> (-6.799999999999999</t>
  </si>
  <si>
    <t xml:space="preserve"> (-8.999999999999998</t>
  </si>
  <si>
    <t xml:space="preserve"> (-8.629999999999999</t>
  </si>
  <si>
    <t>psar_[42</t>
  </si>
  <si>
    <t>psar_no_highvol_[42</t>
  </si>
  <si>
    <t>rsi_[42</t>
  </si>
  <si>
    <t>stoch_[42</t>
  </si>
  <si>
    <t xml:space="preserve"> (-3.3399999999999856</t>
  </si>
  <si>
    <t xml:space="preserve"> Timestamp('2013-09-12 00</t>
  </si>
  <si>
    <t xml:space="preserve"> (-3.32</t>
  </si>
  <si>
    <t xml:space="preserve"> (-4.409999999999981</t>
  </si>
  <si>
    <t xml:space="preserve"> (-3.34</t>
  </si>
  <si>
    <t xml:space="preserve"> (-7.719999999999999</t>
  </si>
  <si>
    <t>거꾸로 콜크레딧 매도차원에서 누적수익 좋은 전략</t>
    <phoneticPr fontId="2" type="noConversion"/>
  </si>
  <si>
    <t>손절 -2로 둬도 비슷한 차트 (수익은 300따리로 확 줄어즘)</t>
    <phoneticPr fontId="2" type="noConversion"/>
  </si>
  <si>
    <t>익절 0.5 / 손절 -4 / 승률 77%</t>
    <phoneticPr fontId="2" type="noConversion"/>
  </si>
  <si>
    <t>누적수익 자체는 좋지만 풋대비 drawdown이 너무 큼</t>
    <phoneticPr fontId="2" type="noConversion"/>
  </si>
  <si>
    <t>상방 가능성 회피하는 차원에서 TA 도입 필요</t>
    <phoneticPr fontId="2" type="noConversion"/>
  </si>
  <si>
    <t xml:space="preserve"> 35]_-1</t>
  </si>
  <si>
    <t xml:space="preserve"> (-15.560000000000002</t>
  </si>
  <si>
    <t xml:space="preserve"> (-43.17</t>
  </si>
  <si>
    <t xml:space="preserve"> 35]_-2</t>
  </si>
  <si>
    <t xml:space="preserve"> (-16.55</t>
  </si>
  <si>
    <t xml:space="preserve"> (-59.720000000000006</t>
  </si>
  <si>
    <t xml:space="preserve"> 35]_-3</t>
  </si>
  <si>
    <t xml:space="preserve"> (-59.86</t>
  </si>
  <si>
    <t xml:space="preserve"> Timestamp('2020-06-03 00</t>
  </si>
  <si>
    <t xml:space="preserve"> 35]_-4</t>
  </si>
  <si>
    <t xml:space="preserve"> (-17.4</t>
  </si>
  <si>
    <t xml:space="preserve"> (-77.12</t>
  </si>
  <si>
    <t xml:space="preserve"> 49]_-1</t>
  </si>
  <si>
    <t xml:space="preserve"> (-14.75</t>
  </si>
  <si>
    <t xml:space="preserve"> (-53.209999999999994</t>
  </si>
  <si>
    <t xml:space="preserve"> 49]_-2</t>
  </si>
  <si>
    <t xml:space="preserve"> (-62.11</t>
  </si>
  <si>
    <t xml:space="preserve"> 49]_-3</t>
  </si>
  <si>
    <t xml:space="preserve"> 49]_-4</t>
  </si>
  <si>
    <t xml:space="preserve"> -1)]}_[42</t>
  </si>
  <si>
    <t xml:space="preserve"> 70]_-1</t>
  </si>
  <si>
    <t xml:space="preserve"> (-13.399999999999999</t>
  </si>
  <si>
    <t xml:space="preserve"> (-39.3</t>
  </si>
  <si>
    <t xml:space="preserve"> 70]_-2</t>
  </si>
  <si>
    <t xml:space="preserve"> (-40.18</t>
  </si>
  <si>
    <t xml:space="preserve"> 70]_-3</t>
  </si>
  <si>
    <t xml:space="preserve"> 70]_-4</t>
  </si>
  <si>
    <t xml:space="preserve"> (-14.619999999999997</t>
  </si>
  <si>
    <t xml:space="preserve"> (-38.16</t>
  </si>
  <si>
    <t xml:space="preserve"> (-53.72</t>
  </si>
  <si>
    <t xml:space="preserve"> (-55.88999999999999</t>
  </si>
  <si>
    <t xml:space="preserve"> (-12.85</t>
  </si>
  <si>
    <t xml:space="preserve"> (-44.15</t>
  </si>
  <si>
    <t xml:space="preserve"> (-44.46</t>
  </si>
  <si>
    <t xml:space="preserve"> Timestamp('2022-11-11 00</t>
  </si>
  <si>
    <t xml:space="preserve"> (-15.799999999999997</t>
  </si>
  <si>
    <t xml:space="preserve"> (-59.949999999999996</t>
  </si>
  <si>
    <t xml:space="preserve"> (-10.749999999999998</t>
  </si>
  <si>
    <t xml:space="preserve"> (-23.06045289317774</t>
  </si>
  <si>
    <t xml:space="preserve"> (-34.33</t>
  </si>
  <si>
    <t xml:space="preserve"> (-12.990000000000002</t>
  </si>
  <si>
    <t xml:space="preserve"> (-31.720000000000002</t>
  </si>
  <si>
    <t xml:space="preserve"> (-13.93</t>
  </si>
  <si>
    <t xml:space="preserve"> (-45.65</t>
  </si>
  <si>
    <t xml:space="preserve"> (-10.430000000000001</t>
  </si>
  <si>
    <t xml:space="preserve"> (-32.95</t>
  </si>
  <si>
    <t xml:space="preserve"> (-13.899999999999999</t>
  </si>
  <si>
    <t xml:space="preserve"> (-46.85</t>
  </si>
  <si>
    <t xml:space="preserve"> (-9.2</t>
  </si>
  <si>
    <t xml:space="preserve"> (-20.707558010060684</t>
  </si>
  <si>
    <t xml:space="preserve"> (-27.38</t>
  </si>
  <si>
    <t xml:space="preserve"> (-9.32</t>
  </si>
  <si>
    <t xml:space="preserve"> (-21.43</t>
  </si>
  <si>
    <t xml:space="preserve"> (-11.75</t>
  </si>
  <si>
    <t xml:space="preserve"> (-33.18</t>
  </si>
  <si>
    <t xml:space="preserve"> (-5.71</t>
  </si>
  <si>
    <t xml:space="preserve"> (-13.120982088371996</t>
  </si>
  <si>
    <t xml:space="preserve"> (-7.42</t>
  </si>
  <si>
    <t xml:space="preserve"> (-20.540982088371997</t>
  </si>
  <si>
    <t xml:space="preserve"> (-3.7240221992941116</t>
  </si>
  <si>
    <t xml:space="preserve"> (-10.058148599344477</t>
  </si>
  <si>
    <t xml:space="preserve"> (-6.1899999999999995</t>
  </si>
  <si>
    <t xml:space="preserve"> (-16.248148599344475</t>
  </si>
  <si>
    <t xml:space="preserve"> (-20.05</t>
  </si>
  <si>
    <t>bbands_no_highvol_{'C'</t>
  </si>
  <si>
    <t xml:space="preserve"> (-8.86</t>
  </si>
  <si>
    <t xml:space="preserve"> (-5.260000000000001</t>
  </si>
  <si>
    <t xml:space="preserve"> Timestamp('2021-01-19 00</t>
  </si>
  <si>
    <t xml:space="preserve"> (-5.620000000000015</t>
  </si>
  <si>
    <t xml:space="preserve"> Timestamp('2022-08-11 00</t>
  </si>
  <si>
    <t xml:space="preserve"> (-7.350000000000001</t>
  </si>
  <si>
    <t xml:space="preserve"> Timestamp('2020-12-30 00</t>
  </si>
  <si>
    <t xml:space="preserve"> (-11.079999999999998</t>
  </si>
  <si>
    <t xml:space="preserve"> Timestamp('2020-12-24 00</t>
  </si>
  <si>
    <t xml:space="preserve"> (-4.75</t>
  </si>
  <si>
    <t xml:space="preserve"> (-11.0</t>
  </si>
  <si>
    <t xml:space="preserve"> Timestamp('2021-01-04 00</t>
  </si>
  <si>
    <t xml:space="preserve"> (-7.28</t>
  </si>
  <si>
    <t xml:space="preserve"> (-5.92</t>
  </si>
  <si>
    <t xml:space="preserve"> (-6.309999999999999</t>
  </si>
  <si>
    <t xml:space="preserve"> (-9.38</t>
  </si>
  <si>
    <t xml:space="preserve"> (-6.100000000000001</t>
  </si>
  <si>
    <t xml:space="preserve"> (-8.899999999999999</t>
  </si>
  <si>
    <t xml:space="preserve"> (-5.03</t>
  </si>
  <si>
    <t xml:space="preserve"> (-4.750000000000016</t>
  </si>
  <si>
    <t xml:space="preserve"> (-5.27</t>
  </si>
  <si>
    <t xml:space="preserve"> (-5.349999999999986</t>
  </si>
  <si>
    <t xml:space="preserve"> (-7.699999999999999</t>
  </si>
  <si>
    <t xml:space="preserve"> (-3.1799999999999997</t>
  </si>
  <si>
    <t xml:space="preserve"> (-2.14</t>
  </si>
  <si>
    <t xml:space="preserve"> (-3.4000000000000004</t>
  </si>
  <si>
    <t xml:space="preserve"> (-7.32</t>
  </si>
  <si>
    <t xml:space="preserve"> Timestamp('2020-06-16 00</t>
  </si>
  <si>
    <t xml:space="preserve"> (-8.969999999999999</t>
  </si>
  <si>
    <t xml:space="preserve"> Timestamp('2019-11-04 00</t>
  </si>
  <si>
    <t xml:space="preserve"> (-9.09</t>
  </si>
  <si>
    <t xml:space="preserve"> Timestamp('2017-01-11 00</t>
  </si>
  <si>
    <t xml:space="preserve"> (-9.399999999999999</t>
  </si>
  <si>
    <t xml:space="preserve"> (-9.7</t>
  </si>
  <si>
    <t xml:space="preserve"> Timestamp('2011-05-02 00</t>
  </si>
  <si>
    <t xml:space="preserve"> (-9.719999999999999</t>
  </si>
  <si>
    <t xml:space="preserve"> Timestamp('2020-07-28 00</t>
  </si>
  <si>
    <t xml:space="preserve"> (-9.770000000000001</t>
  </si>
  <si>
    <t xml:space="preserve"> (-9.85</t>
  </si>
  <si>
    <t xml:space="preserve"> (-13.450000000000001</t>
  </si>
  <si>
    <t xml:space="preserve"> Timestamp('2020-08-06 00</t>
  </si>
  <si>
    <t xml:space="preserve"> (-13.95</t>
  </si>
  <si>
    <t xml:space="preserve"> Timestamp('2020-08-10 00</t>
  </si>
  <si>
    <t xml:space="preserve"> (-5.779999999999999</t>
  </si>
  <si>
    <t xml:space="preserve"> (-9.659999999999998</t>
  </si>
  <si>
    <t xml:space="preserve"> (-8.250000000000002</t>
  </si>
  <si>
    <t xml:space="preserve"> (-14.35999999999998</t>
  </si>
  <si>
    <t xml:space="preserve"> (-14.58975201069881</t>
  </si>
  <si>
    <t xml:space="preserve"> Timestamp('2020-08-11 00</t>
  </si>
  <si>
    <t xml:space="preserve"> (-6.0200000000000005</t>
  </si>
  <si>
    <t xml:space="preserve"> (-6.87</t>
  </si>
  <si>
    <t xml:space="preserve"> (-7.23</t>
  </si>
  <si>
    <t xml:space="preserve"> (-8.75</t>
  </si>
  <si>
    <t xml:space="preserve"> (-7.54</t>
  </si>
  <si>
    <t xml:space="preserve"> (-8.67</t>
  </si>
  <si>
    <t xml:space="preserve"> (-12.7</t>
  </si>
  <si>
    <t xml:space="preserve"> (-5.06</t>
  </si>
  <si>
    <t xml:space="preserve"> (-8.24</t>
  </si>
  <si>
    <t xml:space="preserve"> (-5.400000000000002</t>
  </si>
  <si>
    <t xml:space="preserve"> (-10.600000000000003</t>
  </si>
  <si>
    <t xml:space="preserve"> (-8.5</t>
  </si>
  <si>
    <t xml:space="preserve"> (-13.86999999999998</t>
  </si>
  <si>
    <t xml:space="preserve"> (-5.86</t>
  </si>
  <si>
    <t xml:space="preserve"> (-6.8500000000000005</t>
  </si>
  <si>
    <t xml:space="preserve"> (-3.92</t>
  </si>
  <si>
    <t xml:space="preserve"> (-4.91</t>
  </si>
  <si>
    <t xml:space="preserve"> (-4.18</t>
  </si>
  <si>
    <t xml:space="preserve"> (-5.699999999999999</t>
  </si>
  <si>
    <t xml:space="preserve"> (-4.529999999999993</t>
  </si>
  <si>
    <t xml:space="preserve"> (-11.62999999999998</t>
  </si>
  <si>
    <t xml:space="preserve"> (-6.969999999999999</t>
  </si>
  <si>
    <t xml:space="preserve"> (-2.8999999999999995</t>
  </si>
  <si>
    <t xml:space="preserve"> (-3.55</t>
  </si>
  <si>
    <t xml:space="preserve"> Timestamp('2011-04-21 00</t>
  </si>
  <si>
    <t xml:space="preserve"> (-4.57</t>
  </si>
  <si>
    <t xml:space="preserve"> (-2.95</t>
  </si>
  <si>
    <t xml:space="preserve"> (-4.889999999999999</t>
  </si>
  <si>
    <t xml:space="preserve"> (-28.550000000000004</t>
  </si>
  <si>
    <t xml:space="preserve"> (-30.23</t>
  </si>
  <si>
    <t xml:space="preserve"> Timestamp('2020-11-23 00</t>
  </si>
  <si>
    <t xml:space="preserve"> (-40.86</t>
  </si>
  <si>
    <t xml:space="preserve"> (-26.41</t>
  </si>
  <si>
    <t xml:space="preserve"> (-30.229999999999997</t>
  </si>
  <si>
    <t xml:space="preserve"> (-32.35</t>
  </si>
  <si>
    <t xml:space="preserve"> (-13.2</t>
  </si>
  <si>
    <t xml:space="preserve"> (-20.570000000000004</t>
  </si>
  <si>
    <t xml:space="preserve"> (-32.52811482869704</t>
  </si>
  <si>
    <t xml:space="preserve"> (-36.18999999999999</t>
  </si>
  <si>
    <t xml:space="preserve"> Timestamp('2020-12-04 00</t>
  </si>
  <si>
    <t xml:space="preserve"> (-51.03999999999999</t>
  </si>
  <si>
    <t xml:space="preserve"> (-25.169999999999998</t>
  </si>
  <si>
    <t xml:space="preserve"> (-26.18</t>
  </si>
  <si>
    <t xml:space="preserve"> (-27.150000000000002</t>
  </si>
  <si>
    <t xml:space="preserve"> (-11.66</t>
  </si>
  <si>
    <t xml:space="preserve"> (-20.87</t>
  </si>
  <si>
    <t xml:space="preserve"> (-26.179999999999996</t>
  </si>
  <si>
    <t xml:space="preserve"> (-17.209643699245568</t>
  </si>
  <si>
    <t xml:space="preserve"> (-20.259999999999998</t>
  </si>
  <si>
    <t xml:space="preserve"> (-30.43</t>
  </si>
  <si>
    <t xml:space="preserve"> (-36.25</t>
  </si>
  <si>
    <t xml:space="preserve"> (-21.17</t>
  </si>
  <si>
    <t xml:space="preserve"> (-21.199999999999996</t>
  </si>
  <si>
    <t xml:space="preserve"> (-8.36</t>
  </si>
  <si>
    <t xml:space="preserve"> (-14.559999999999999</t>
  </si>
  <si>
    <t xml:space="preserve"> (-18.630000000000003</t>
  </si>
  <si>
    <t xml:space="preserve"> (-15.234669337688956</t>
  </si>
  <si>
    <t xml:space="preserve"> (-19.539028653447275</t>
  </si>
  <si>
    <t xml:space="preserve"> (-25.72</t>
  </si>
  <si>
    <t xml:space="preserve"> (-14.34</t>
  </si>
  <si>
    <t xml:space="preserve"> (-8.511224723830942</t>
  </si>
  <si>
    <t xml:space="preserve"> (-10.120000000000001</t>
  </si>
  <si>
    <t xml:space="preserve"> (-11.07</t>
  </si>
  <si>
    <t xml:space="preserve"> (-6.334126400050366</t>
  </si>
  <si>
    <t xml:space="preserve"> (-4.350438554366432</t>
  </si>
  <si>
    <t xml:space="preserve"> (-6.75</t>
  </si>
  <si>
    <t xml:space="preserve"> (-7.82</t>
  </si>
  <si>
    <t xml:space="preserve"> (-5.343760131055831</t>
  </si>
  <si>
    <t xml:space="preserve"> (-9.95</t>
  </si>
  <si>
    <t>stoch_no_highvol_{'C'</t>
  </si>
  <si>
    <t xml:space="preserve"> -1)</t>
  </si>
  <si>
    <t xml:space="preserve"> (-1.57</t>
  </si>
  <si>
    <t xml:space="preserve"> (-2.9</t>
  </si>
  <si>
    <t xml:space="preserve"> (-2.4499999999999993</t>
  </si>
  <si>
    <t xml:space="preserve"> Timestamp('2020-12-03 00</t>
  </si>
  <si>
    <t xml:space="preserve"> (-3.5900000000000016</t>
  </si>
  <si>
    <t xml:space="preserve"> Timestamp('2021-01-07 00</t>
  </si>
  <si>
    <t xml:space="preserve"> (-3.1999999999999957</t>
  </si>
  <si>
    <t xml:space="preserve"> Timestamp('2020-06-04 00</t>
  </si>
  <si>
    <t xml:space="preserve"> (-6.71999999999999</t>
  </si>
  <si>
    <t xml:space="preserve"> (-6.649999999999999</t>
  </si>
  <si>
    <t xml:space="preserve"> 1)]}_[42</t>
  </si>
  <si>
    <t xml:space="preserve"> (-4.349999999999998</t>
  </si>
  <si>
    <t xml:space="preserve"> Timestamp('2020-06-05 00</t>
  </si>
  <si>
    <t xml:space="preserve"> (-4.8999999999999915</t>
  </si>
  <si>
    <t xml:space="preserve"> (-13.049999999999994</t>
  </si>
  <si>
    <t xml:space="preserve"> (-8.649999999999995</t>
  </si>
  <si>
    <t xml:space="preserve"> (-4.390000000000004</t>
  </si>
  <si>
    <t xml:space="preserve"> (-5.049999999999999</t>
  </si>
  <si>
    <t xml:space="preserve"> (-5.569999999999997</t>
  </si>
  <si>
    <t xml:space="preserve"> (-4.770000000000001</t>
  </si>
  <si>
    <t xml:space="preserve"> (-5.680000000000001</t>
  </si>
  <si>
    <t xml:space="preserve"> (-12.180000000000001</t>
  </si>
  <si>
    <t xml:space="preserve"> Timestamp('2020-06-15 00</t>
  </si>
  <si>
    <t xml:space="preserve"> (-11.060000000000002</t>
  </si>
  <si>
    <t xml:space="preserve"> (-9.940000000000003</t>
  </si>
  <si>
    <t xml:space="preserve"> (-2.029999999999993</t>
  </si>
  <si>
    <t xml:space="preserve"> (-5.449999999999999</t>
  </si>
  <si>
    <t xml:space="preserve"> (-5.790000000000001</t>
  </si>
  <si>
    <t xml:space="preserve"> Timestamp('2017-05-08 00</t>
  </si>
  <si>
    <t xml:space="preserve"> (-2.5</t>
  </si>
  <si>
    <t xml:space="preserve"> (-3.149999999999996</t>
  </si>
  <si>
    <t xml:space="preserve"> (-10.599999999999987</t>
  </si>
  <si>
    <t xml:space="preserve"> (-1.1999999999999993</t>
  </si>
  <si>
    <t xml:space="preserve"> (-3.7699999999999996</t>
  </si>
  <si>
    <t xml:space="preserve"> Timestamp('2021-01-13 00</t>
  </si>
  <si>
    <t xml:space="preserve"> (-5.420000000000002</t>
  </si>
  <si>
    <t xml:space="preserve"> (-1.0900000000000016</t>
  </si>
  <si>
    <t xml:space="preserve"> (-4.190000000000007</t>
  </si>
  <si>
    <t xml:space="preserve"> (-1.5000000000000036</t>
  </si>
  <si>
    <t xml:space="preserve"> (-10.7</t>
  </si>
  <si>
    <t xml:space="preserve"> (-10.899999999999999</t>
  </si>
  <si>
    <t xml:space="preserve"> (-2.55</t>
  </si>
  <si>
    <t xml:space="preserve"> (-1.6600000000000001</t>
  </si>
  <si>
    <t xml:space="preserve"> (-2.1000000000000014</t>
  </si>
  <si>
    <t xml:space="preserve"> (-3.3000000000000007</t>
  </si>
  <si>
    <t xml:space="preserve"> Timestamp('2021-03-02 00</t>
  </si>
  <si>
    <t xml:space="preserve"> (-4.699999999999999</t>
  </si>
  <si>
    <t xml:space="preserve"> Timestamp('2020-12-29 00</t>
  </si>
  <si>
    <t xml:space="preserve"> (-6.84</t>
  </si>
  <si>
    <t xml:space="preserve"> (-3.6324283578641143</t>
  </si>
  <si>
    <t xml:space="preserve"> (-1.1600000000000001</t>
  </si>
  <si>
    <t xml:space="preserve"> Timestamp('2015-10-07 00</t>
  </si>
  <si>
    <t xml:space="preserve"> (-1.45</t>
  </si>
  <si>
    <t xml:space="preserve"> (-1.049999999999999</t>
  </si>
  <si>
    <t xml:space="preserve"> (-1.1400000000000001</t>
  </si>
  <si>
    <t xml:space="preserve"> Timestamp('2017-03-02 00</t>
  </si>
  <si>
    <t xml:space="preserve"> (-4.902558653433175</t>
  </si>
  <si>
    <t xml:space="preserve"> Timestamp('2021-01-06 00</t>
  </si>
  <si>
    <t xml:space="preserve"> (-1.6535812631171956</t>
  </si>
  <si>
    <t xml:space="preserve"> Timestamp('2018-03-06 00</t>
  </si>
  <si>
    <t xml:space="preserve"> (-2.0500000000000007</t>
  </si>
  <si>
    <t xml:space="preserve"> (-5.136964547043533</t>
  </si>
  <si>
    <t xml:space="preserve"> (-0.8700000000000001</t>
  </si>
  <si>
    <t xml:space="preserve"> (-1.1200000000000228</t>
  </si>
  <si>
    <t xml:space="preserve"> (-1.4899999999999998</t>
  </si>
  <si>
    <t xml:space="preserve"> Timestamp('2015-10-08 00</t>
  </si>
  <si>
    <t xml:space="preserve"> (-1.9000000000000004</t>
  </si>
  <si>
    <t xml:space="preserve"> (-1.9499999999999993</t>
  </si>
  <si>
    <t xml:space="preserve"> (-2.3599999999999977</t>
  </si>
  <si>
    <t xml:space="preserve"> (-7.199999999999996</t>
  </si>
  <si>
    <t xml:space="preserve"> (-3.743883568253281</t>
  </si>
  <si>
    <t xml:space="preserve"> (-1.0800000000000018</t>
  </si>
  <si>
    <t xml:space="preserve"> (-1.3099999999999996</t>
  </si>
  <si>
    <t xml:space="preserve"> (-5.3199999999999985</t>
  </si>
  <si>
    <t xml:space="preserve"> (-2.242479379132856</t>
  </si>
  <si>
    <t xml:space="preserve"> (-2.2800000000000047</t>
  </si>
  <si>
    <t xml:space="preserve"> Timestamp('2019-11-19 00</t>
  </si>
  <si>
    <t xml:space="preserve"> (-2.6105270739578046</t>
  </si>
  <si>
    <t xml:space="preserve"> Timestamp('2023-04-07 00</t>
  </si>
  <si>
    <t xml:space="preserve"> (-2.845791871614752</t>
  </si>
  <si>
    <t xml:space="preserve"> (-3.0799984416221164</t>
  </si>
  <si>
    <t xml:space="preserve"> Timestamp('2020-08-13 00</t>
  </si>
  <si>
    <t xml:space="preserve"> (-1.7000000000000002</t>
  </si>
  <si>
    <t xml:space="preserve"> (-3.07</t>
  </si>
  <si>
    <t xml:space="preserve"> (-1.0399999999999996</t>
  </si>
  <si>
    <t xml:space="preserve"> Timestamp('2012-09-07 00</t>
  </si>
  <si>
    <t xml:space="preserve"> Timestamp('2017-11-02 00</t>
  </si>
  <si>
    <t xml:space="preserve"> (-4.100000000000001</t>
  </si>
  <si>
    <t xml:space="preserve"> (-2.2400000000000455</t>
  </si>
  <si>
    <t xml:space="preserve"> (-2.68</t>
  </si>
  <si>
    <t xml:space="preserve"> Timestamp('2019-11-14 00</t>
  </si>
  <si>
    <t xml:space="preserve"> (-0.9100000000000004</t>
  </si>
  <si>
    <t xml:space="preserve"> Timestamp('2010-08-02 00</t>
  </si>
  <si>
    <t xml:space="preserve"> (-1.7399999999999993</t>
  </si>
  <si>
    <t xml:space="preserve"> Timestamp('2010-11-01 00</t>
  </si>
  <si>
    <t xml:space="preserve"> (-1.3300000000000005</t>
  </si>
  <si>
    <t xml:space="preserve"> (-2.240000000000001</t>
  </si>
  <si>
    <t xml:space="preserve"> Timestamp('2021-04-20 00</t>
  </si>
  <si>
    <t xml:space="preserve"> (-1.4399999999999986</t>
  </si>
  <si>
    <t xml:space="preserve"> (-1.6799999999999997</t>
  </si>
  <si>
    <t xml:space="preserve"> Timestamp('2016-09-05 00</t>
  </si>
  <si>
    <t xml:space="preserve"> (-4.0600000000000005</t>
  </si>
  <si>
    <t xml:space="preserve"> (-1.9199999999999997</t>
  </si>
  <si>
    <t xml:space="preserve"> (-3.009999999999993</t>
  </si>
  <si>
    <t xml:space="preserve"> (-1.3300000000000003</t>
  </si>
  <si>
    <t xml:space="preserve"> Timestamp('2023-02-08 00</t>
  </si>
  <si>
    <t xml:space="preserve"> (-1.7799999999999994</t>
  </si>
  <si>
    <t xml:space="preserve"> (-1.59</t>
  </si>
  <si>
    <t xml:space="preserve"> Timestamp('2010-10-14 00</t>
  </si>
  <si>
    <t xml:space="preserve"> (-0.9500000000000006</t>
  </si>
  <si>
    <t xml:space="preserve"> Timestamp('2013-03-06 00</t>
  </si>
  <si>
    <t xml:space="preserve"> (-1.6200000000000008</t>
  </si>
  <si>
    <t xml:space="preserve"> Timestamp('2012-04-03 00</t>
  </si>
  <si>
    <t xml:space="preserve"> (-1.7000000000000028</t>
  </si>
  <si>
    <t xml:space="preserve"> Timestamp('2020-05-07 00</t>
  </si>
  <si>
    <t xml:space="preserve"> (-9.920000000000002</t>
  </si>
  <si>
    <t xml:space="preserve"> Timestamp('2020-12-09 00</t>
  </si>
  <si>
    <t xml:space="preserve"> (-3.5500000000000007</t>
  </si>
  <si>
    <t xml:space="preserve"> (-6.700000000000003</t>
  </si>
  <si>
    <t xml:space="preserve"> (-9.919999999999995</t>
  </si>
  <si>
    <t xml:space="preserve"> (-5.370000000000001</t>
  </si>
  <si>
    <t xml:space="preserve"> (-4.400000000000002</t>
  </si>
  <si>
    <t xml:space="preserve"> Timestamp('2021-02-08 00</t>
  </si>
  <si>
    <t xml:space="preserve"> (-9.200000000000003</t>
  </si>
  <si>
    <t xml:space="preserve"> (-9.199999999999996</t>
  </si>
  <si>
    <t xml:space="preserve"> Timestamp('2011-10-28 00</t>
  </si>
  <si>
    <t xml:space="preserve"> Timestamp('2011-01-24 00</t>
  </si>
  <si>
    <t xml:space="preserve"> (-5.65492469453136</t>
  </si>
  <si>
    <t xml:space="preserve"> (-9.05</t>
  </si>
  <si>
    <t xml:space="preserve"> (-20.050000000000004</t>
  </si>
  <si>
    <t xml:space="preserve"> (-1.9</t>
  </si>
  <si>
    <t xml:space="preserve"> (-3.9399999999999995</t>
  </si>
  <si>
    <t xml:space="preserve"> Timestamp('2010-10-06 00</t>
  </si>
  <si>
    <t xml:space="preserve"> (-8.049999999999994</t>
  </si>
  <si>
    <t xml:space="preserve"> (-3.5799999999999996</t>
  </si>
  <si>
    <t xml:space="preserve"> Timestamp('2010-12-29 00</t>
  </si>
  <si>
    <t xml:space="preserve"> (-8.399999999999991</t>
  </si>
  <si>
    <t xml:space="preserve"> (-10.25</t>
  </si>
  <si>
    <t xml:space="preserve"> (-9.649999999999999</t>
  </si>
  <si>
    <t xml:space="preserve"> (-7.120708105203493</t>
  </si>
  <si>
    <t xml:space="preserve"> (-3.3899999999999997</t>
  </si>
  <si>
    <t xml:space="preserve"> (-5.36</t>
  </si>
  <si>
    <t xml:space="preserve"> (-3.6999999999999957</t>
  </si>
  <si>
    <t xml:space="preserve"> (-6.302558653433174</t>
  </si>
  <si>
    <t xml:space="preserve"> (-3.335107884971654</t>
  </si>
  <si>
    <t xml:space="preserve"> Timestamp('2021-02-09 00</t>
  </si>
  <si>
    <t xml:space="preserve"> (-5.390000000000005</t>
  </si>
  <si>
    <t xml:space="preserve"> (-6.509999999999995</t>
  </si>
  <si>
    <t xml:space="preserve"> (-11.202558653433172</t>
  </si>
  <si>
    <t xml:space="preserve"> (-2.6799999999999997</t>
  </si>
  <si>
    <t xml:space="preserve"> (-1.8599999999999999</t>
  </si>
  <si>
    <t xml:space="preserve"> (-4.7700000000000005</t>
  </si>
  <si>
    <t xml:space="preserve"> (-1.62</t>
  </si>
  <si>
    <t xml:space="preserve"> (-2.75</t>
  </si>
  <si>
    <t xml:space="preserve"> (-8.599999999999994</t>
  </si>
  <si>
    <t xml:space="preserve"> (-3.711898918718015</t>
  </si>
  <si>
    <t xml:space="preserve"> (-6.061898918718015</t>
  </si>
  <si>
    <t xml:space="preserve"> (-4.900000000000002</t>
  </si>
  <si>
    <t xml:space="preserve"> (-1.240000000000002</t>
  </si>
  <si>
    <t xml:space="preserve"> ('delta'</t>
  </si>
  <si>
    <t xml:space="preserve"> -2)]}_[7</t>
  </si>
  <si>
    <t xml:space="preserve"> (-11.309999999999999</t>
  </si>
  <si>
    <t xml:space="preserve"> (-34.43000000000001</t>
  </si>
  <si>
    <t xml:space="preserve"> (-12.089999999999996</t>
  </si>
  <si>
    <t xml:space="preserve"> (-41.32000000000001</t>
  </si>
  <si>
    <t xml:space="preserve"> -2)]}_[21</t>
  </si>
  <si>
    <t xml:space="preserve"> (-12.969999999999999</t>
  </si>
  <si>
    <t xml:space="preserve"> (-24.52000000000001</t>
  </si>
  <si>
    <t xml:space="preserve"> -2)]}_[42</t>
  </si>
  <si>
    <t xml:space="preserve"> (-5.63807592333718</t>
  </si>
  <si>
    <t xml:space="preserve"> (-13.548075923337175</t>
  </si>
  <si>
    <t xml:space="preserve"> (-6.037140942514544</t>
  </si>
  <si>
    <t xml:space="preserve"> (-19.23807592333717</t>
  </si>
  <si>
    <t xml:space="preserve"> (-7.9999999999999964</t>
  </si>
  <si>
    <t xml:space="preserve"> (-31.580000000000002</t>
  </si>
  <si>
    <t xml:space="preserve"> (-37.24</t>
  </si>
  <si>
    <t xml:space="preserve"> (-6.910000000000004</t>
  </si>
  <si>
    <t xml:space="preserve"> (-14.699999999999994</t>
  </si>
  <si>
    <t xml:space="preserve"> (-18.9</t>
  </si>
  <si>
    <t xml:space="preserve"> (-31.590000000000003</t>
  </si>
  <si>
    <t xml:space="preserve"> (-8.1</t>
  </si>
  <si>
    <t xml:space="preserve"> (-11.009999999999994</t>
  </si>
  <si>
    <t xml:space="preserve"> (-22.699999999999996</t>
  </si>
  <si>
    <t xml:space="preserve"> -3)]}_[7</t>
  </si>
  <si>
    <t xml:space="preserve"> (-17.030000000000005</t>
  </si>
  <si>
    <t xml:space="preserve"> (-28.580000000000005</t>
  </si>
  <si>
    <t xml:space="preserve"> (-30.87</t>
  </si>
  <si>
    <t xml:space="preserve"> (-23.410000000000004</t>
  </si>
  <si>
    <t xml:space="preserve"> (-51.99000000000001</t>
  </si>
  <si>
    <t xml:space="preserve"> (-25.23999999999999</t>
  </si>
  <si>
    <t xml:space="preserve"> (-77.23</t>
  </si>
  <si>
    <t xml:space="preserve"> -3)]}_[21</t>
  </si>
  <si>
    <t xml:space="preserve"> (-11.03</t>
  </si>
  <si>
    <t xml:space="preserve"> (-17.97</t>
  </si>
  <si>
    <t xml:space="preserve"> (-28.300000000000008</t>
  </si>
  <si>
    <t xml:space="preserve"> (-36.51999999999999</t>
  </si>
  <si>
    <t xml:space="preserve"> (-14.620000000000001</t>
  </si>
  <si>
    <t xml:space="preserve"> -3)]}_[42</t>
  </si>
  <si>
    <t xml:space="preserve"> (-7.884008013066868</t>
  </si>
  <si>
    <t xml:space="preserve"> (-10.94816298133362</t>
  </si>
  <si>
    <t xml:space="preserve"> (-15.449999999999998</t>
  </si>
  <si>
    <t xml:space="preserve"> (-18.762674030182055</t>
  </si>
  <si>
    <t xml:space="preserve"> (-25.85999999999999</t>
  </si>
  <si>
    <t xml:space="preserve"> (-17.249999999999993</t>
  </si>
  <si>
    <t xml:space="preserve"> (-10.420000000000002</t>
  </si>
  <si>
    <t xml:space="preserve"> (-24.72</t>
  </si>
  <si>
    <t xml:space="preserve"> (-31.610000000000003</t>
  </si>
  <si>
    <t xml:space="preserve"> (-5.33</t>
  </si>
  <si>
    <t xml:space="preserve"> (-12.32000000000001</t>
  </si>
  <si>
    <t xml:space="preserve"> (-6.890000000000001</t>
  </si>
  <si>
    <t xml:space="preserve"> (-17.55</t>
  </si>
  <si>
    <t xml:space="preserve"> (-8.320000000000007</t>
  </si>
  <si>
    <t xml:space="preserve"> (-18.510000000000005</t>
  </si>
  <si>
    <t xml:space="preserve"> (-8.420294302750301</t>
  </si>
  <si>
    <t xml:space="preserve"> (-16.770000000000003</t>
  </si>
  <si>
    <t xml:space="preserve"> (-9.006090733368932</t>
  </si>
  <si>
    <t xml:space="preserve"> (-39.420000000000016</t>
  </si>
  <si>
    <t xml:space="preserve"> (-47.32000000000001</t>
  </si>
  <si>
    <t xml:space="preserve"> (-60.53000000000001</t>
  </si>
  <si>
    <t xml:space="preserve"> (-62.83000000000001</t>
  </si>
  <si>
    <t xml:space="preserve"> (-8.17</t>
  </si>
  <si>
    <t xml:space="preserve"> (-14.53</t>
  </si>
  <si>
    <t xml:space="preserve"> (-12.490000000000004</t>
  </si>
  <si>
    <t xml:space="preserve"> (-24.980000000000008</t>
  </si>
  <si>
    <t xml:space="preserve"> (-37.36</t>
  </si>
  <si>
    <t xml:space="preserve"> (-40.71000000000001</t>
  </si>
  <si>
    <t xml:space="preserve"> (-9.930441454125452</t>
  </si>
  <si>
    <t xml:space="preserve"> (-14.420000000000005</t>
  </si>
  <si>
    <t xml:space="preserve"> Timestamp('2017-11-01 00</t>
  </si>
  <si>
    <t xml:space="preserve"> (-14.959999999999999</t>
  </si>
  <si>
    <t xml:space="preserve"> (-14.269999999999996</t>
  </si>
  <si>
    <t xml:space="preserve"> (-33.540000000000006</t>
  </si>
  <si>
    <t xml:space="preserve"> (-42.32000000000001</t>
  </si>
  <si>
    <t xml:space="preserve"> (-14.270000000000008</t>
  </si>
  <si>
    <t xml:space="preserve"> (-10.099999999999998</t>
  </si>
  <si>
    <t xml:space="preserve"> (-29.480000000000004</t>
  </si>
  <si>
    <t xml:space="preserve"> (-13.002674030182055</t>
  </si>
  <si>
    <t xml:space="preserve"> (-25.13400801306686</t>
  </si>
  <si>
    <t xml:space="preserve"> (-3.620000000000001</t>
  </si>
  <si>
    <t xml:space="preserve"> (-5.02</t>
  </si>
  <si>
    <t xml:space="preserve"> (-3.3499999999999996</t>
  </si>
  <si>
    <t xml:space="preserve"> Timestamp('2012-07-31 00</t>
  </si>
  <si>
    <t xml:space="preserve"> Timestamp('2015-04-23 00</t>
  </si>
  <si>
    <t xml:space="preserve"> (-3.169999999999998</t>
  </si>
  <si>
    <t xml:space="preserve"> Timestamp('2020-11-16 00</t>
  </si>
  <si>
    <t xml:space="preserve"> (-6.150000000000002</t>
  </si>
  <si>
    <t xml:space="preserve"> (-6.050000000000001</t>
  </si>
  <si>
    <t xml:space="preserve"> (-3.4899999999999967</t>
  </si>
  <si>
    <t xml:space="preserve"> (-5.6799999999999855</t>
  </si>
  <si>
    <t xml:space="preserve"> (-5.079999999999998</t>
  </si>
  <si>
    <t xml:space="preserve"> (-5.620000000000001</t>
  </si>
  <si>
    <t xml:space="preserve"> (-6.230000000000002</t>
  </si>
  <si>
    <t xml:space="preserve"> (-8.0</t>
  </si>
  <si>
    <t xml:space="preserve"> (-8.95</t>
  </si>
  <si>
    <t xml:space="preserve"> Timestamp('2019-12-27 00</t>
  </si>
  <si>
    <t xml:space="preserve"> (-2.6099999999999994</t>
  </si>
  <si>
    <t xml:space="preserve"> Timestamp('2017-10-11 00</t>
  </si>
  <si>
    <t xml:space="preserve"> (-5.729999999999984</t>
  </si>
  <si>
    <t xml:space="preserve"> (-6.860000000000001</t>
  </si>
  <si>
    <t xml:space="preserve"> (-5.5299999999999985</t>
  </si>
  <si>
    <t xml:space="preserve"> (-4.1</t>
  </si>
  <si>
    <t xml:space="preserve"> (-14.210000000000004</t>
  </si>
  <si>
    <t xml:space="preserve"> (-5.560000000000002</t>
  </si>
  <si>
    <t xml:space="preserve"> Timestamp('2019-01-30 00</t>
  </si>
  <si>
    <t xml:space="preserve"> (-2.0000000000000004</t>
  </si>
  <si>
    <t xml:space="preserve"> Timestamp('2018-06-14 00</t>
  </si>
  <si>
    <t xml:space="preserve"> (-4.600000000000001</t>
  </si>
  <si>
    <t xml:space="preserve"> (-4.799999999999997</t>
  </si>
  <si>
    <t xml:space="preserve"> (-6.190000000000001</t>
  </si>
  <si>
    <t xml:space="preserve"> (-5.609999999999999</t>
  </si>
  <si>
    <t xml:space="preserve"> (-4.309999999999999</t>
  </si>
  <si>
    <t xml:space="preserve"> (-6.34</t>
  </si>
  <si>
    <t xml:space="preserve"> (-7.8199999999999985</t>
  </si>
  <si>
    <t xml:space="preserve"> (-5.199999999999999</t>
  </si>
  <si>
    <t xml:space="preserve"> (-2.734920819621397</t>
  </si>
  <si>
    <t xml:space="preserve"> Timestamp('2020-08-26 00</t>
  </si>
  <si>
    <t xml:space="preserve"> (-3.6600000000000037</t>
  </si>
  <si>
    <t xml:space="preserve"> Timestamp('2017-03-21 00</t>
  </si>
  <si>
    <t xml:space="preserve"> Timestamp('2023-04-18 00</t>
  </si>
  <si>
    <t xml:space="preserve"> (-3.3599999999999977</t>
  </si>
  <si>
    <t xml:space="preserve"> (-6.719999999999995</t>
  </si>
  <si>
    <t xml:space="preserve"> (-8.580000000000002</t>
  </si>
  <si>
    <t xml:space="preserve"> (-7.509999999999998</t>
  </si>
  <si>
    <t xml:space="preserve"> (-3.869999999999999</t>
  </si>
  <si>
    <t xml:space="preserve"> (-5.689999999999996</t>
  </si>
  <si>
    <t xml:space="preserve"> (-5.939752010698804</t>
  </si>
  <si>
    <t xml:space="preserve"> (-6.600000000000001</t>
  </si>
  <si>
    <t xml:space="preserve"> (-6.929999999999998</t>
  </si>
  <si>
    <t xml:space="preserve"> (-8.490000000000002</t>
  </si>
  <si>
    <t xml:space="preserve"> (-7.029999999999999</t>
  </si>
  <si>
    <t xml:space="preserve"> (-5.980000000000002</t>
  </si>
  <si>
    <t xml:space="preserve"> (-7.359999999999998</t>
  </si>
  <si>
    <t xml:space="preserve"> (-11.039999999999996</t>
  </si>
  <si>
    <t xml:space="preserve"> (-9.170000000000002</t>
  </si>
  <si>
    <t xml:space="preserve"> (-2.93</t>
  </si>
  <si>
    <t xml:space="preserve"> (-4.49</t>
  </si>
  <si>
    <t xml:space="preserve"> (-7.34</t>
  </si>
  <si>
    <t xml:space="preserve"> (-3.6899999999999986</t>
  </si>
  <si>
    <t xml:space="preserve"> (-4.780000000000001</t>
  </si>
  <si>
    <t xml:space="preserve"> (-5.799999999999999</t>
  </si>
  <si>
    <t xml:space="preserve"> (-6.1599999999999975</t>
  </si>
  <si>
    <t xml:space="preserve"> (-10.350000000000001</t>
  </si>
  <si>
    <t xml:space="preserve"> (-6.589999999999998</t>
  </si>
  <si>
    <t xml:space="preserve"> (-6.319999999999999</t>
  </si>
  <si>
    <t xml:space="preserve"> (-3.8</t>
  </si>
  <si>
    <t xml:space="preserve"> (-6.12</t>
  </si>
  <si>
    <t xml:space="preserve"> (-8.639999999999997</t>
  </si>
  <si>
    <t xml:space="preserve"> (-16.569999999999997</t>
  </si>
  <si>
    <t xml:space="preserve"> (-21.42</t>
  </si>
  <si>
    <t xml:space="preserve"> (-8.25</t>
  </si>
  <si>
    <t xml:space="preserve"> (-14.079999999999998</t>
  </si>
  <si>
    <t xml:space="preserve"> (-18.930000000000003</t>
  </si>
  <si>
    <t xml:space="preserve"> (-7.199999999999999</t>
  </si>
  <si>
    <t xml:space="preserve"> (-16.11490486568602</t>
  </si>
  <si>
    <t xml:space="preserve"> (-16.41062063464043</t>
  </si>
  <si>
    <t xml:space="preserve"> (-13.79</t>
  </si>
  <si>
    <t xml:space="preserve"> (-21.520000000000003</t>
  </si>
  <si>
    <t xml:space="preserve"> (-34.449999999999996</t>
  </si>
  <si>
    <t xml:space="preserve"> (-6.820000000000004</t>
  </si>
  <si>
    <t xml:space="preserve"> (-13.640000000000008</t>
  </si>
  <si>
    <t xml:space="preserve"> (-15.699999999999992</t>
  </si>
  <si>
    <t xml:space="preserve"> (-23.439999999999998</t>
  </si>
  <si>
    <t xml:space="preserve"> (-8.049999999999997</t>
  </si>
  <si>
    <t xml:space="preserve"> (-9.899338675377908</t>
  </si>
  <si>
    <t xml:space="preserve"> (-13.629999999999997</t>
  </si>
  <si>
    <t xml:space="preserve"> (-15.250000000000009</t>
  </si>
  <si>
    <t xml:space="preserve"> (-18.90000000000001</t>
  </si>
  <si>
    <t xml:space="preserve"> (-11.55</t>
  </si>
  <si>
    <t xml:space="preserve"> (-16.169999999999998</t>
  </si>
  <si>
    <t xml:space="preserve"> (-19.78</t>
  </si>
  <si>
    <t xml:space="preserve"> (-34.96000000000001</t>
  </si>
  <si>
    <t xml:space="preserve"> (-6.940000000000001</t>
  </si>
  <si>
    <t xml:space="preserve"> (-10.330000000000005</t>
  </si>
  <si>
    <t xml:space="preserve"> (-17.270000000000007</t>
  </si>
  <si>
    <t xml:space="preserve"> (-19.269999999999996</t>
  </si>
  <si>
    <t xml:space="preserve"> (-25.660000000000004</t>
  </si>
  <si>
    <t xml:space="preserve"> (-11.820000000000002</t>
  </si>
  <si>
    <t xml:space="preserve"> (-9.159999999999993</t>
  </si>
  <si>
    <t xml:space="preserve"> (-6.480000000000004</t>
  </si>
  <si>
    <t xml:space="preserve"> (-10.43</t>
  </si>
  <si>
    <t xml:space="preserve"> (-17.449999999999996</t>
  </si>
  <si>
    <t xml:space="preserve"> (-21.88</t>
  </si>
  <si>
    <t xml:space="preserve"> (-5.409999999999998</t>
  </si>
  <si>
    <t xml:space="preserve"> (-9.399999999999995</t>
  </si>
  <si>
    <t xml:space="preserve"> (-15.179999999999996</t>
  </si>
  <si>
    <t xml:space="preserve"> (-15.920000000000002</t>
  </si>
  <si>
    <t xml:space="preserve"> (-9.270000000000003</t>
  </si>
  <si>
    <t xml:space="preserve"> (-13.730000000000008</t>
  </si>
  <si>
    <t xml:space="preserve"> (-14.42</t>
  </si>
  <si>
    <t xml:space="preserve"> (-24.450000000000003</t>
  </si>
  <si>
    <t xml:space="preserve"> (-24.89</t>
  </si>
  <si>
    <t xml:space="preserve"> (-6.359999999999999</t>
  </si>
  <si>
    <t xml:space="preserve"> (-11.669999999999998</t>
  </si>
  <si>
    <t xml:space="preserve"> Timestamp('2019-01-25 00</t>
  </si>
  <si>
    <t xml:space="preserve"> (-10.809999999999992</t>
  </si>
  <si>
    <t xml:space="preserve"> (-14.89</t>
  </si>
  <si>
    <t xml:space="preserve"> (-18.1</t>
  </si>
  <si>
    <t xml:space="preserve"> (-18.700000000000003</t>
  </si>
  <si>
    <t xml:space="preserve"> (-18.240000000000006</t>
  </si>
  <si>
    <t xml:space="preserve"> (-19.042066597882332</t>
  </si>
  <si>
    <t xml:space="preserve"> (-23.400000000000006</t>
  </si>
  <si>
    <t xml:space="preserve"> (-3.4092918947965067</t>
  </si>
  <si>
    <t xml:space="preserve"> (-6.739999999999997</t>
  </si>
  <si>
    <t xml:space="preserve"> (-11.929999999999996</t>
  </si>
  <si>
    <t xml:space="preserve"> (-14.91</t>
  </si>
  <si>
    <t xml:space="preserve"> (-11.399999999999999</t>
  </si>
  <si>
    <t xml:space="preserve"> (-18.49999999999999</t>
  </si>
  <si>
    <t xml:space="preserve"> Timestamp('2013-01-02 00</t>
  </si>
  <si>
    <t xml:space="preserve"> (-11.129999999999994</t>
  </si>
  <si>
    <t xml:space="preserve"> Timestamp('2011-10-24 00</t>
  </si>
  <si>
    <t xml:space="preserve"> (-7.910000000000004</t>
  </si>
  <si>
    <t xml:space="preserve"> (-11.760000000000002</t>
  </si>
  <si>
    <t xml:space="preserve"> (-11.730000000000004</t>
  </si>
  <si>
    <t xml:space="preserve"> (-19.760000000000005</t>
  </si>
  <si>
    <t>alltime_{'P'</t>
  </si>
  <si>
    <t xml:space="preserve"> 35]_1 </t>
  </si>
  <si>
    <t>{'n'</t>
  </si>
  <si>
    <t xml:space="preserve"> (-57.82999999999993</t>
  </si>
  <si>
    <t xml:space="preserve"> Timestamp('2021-03-11 00</t>
  </si>
  <si>
    <t xml:space="preserve"> 35]_2 </t>
  </si>
  <si>
    <t xml:space="preserve"> (-96.42999999999984</t>
  </si>
  <si>
    <t xml:space="preserve"> 35]_4 </t>
  </si>
  <si>
    <t xml:space="preserve"> (-16.900000000000002</t>
  </si>
  <si>
    <t xml:space="preserve"> 35]_6 </t>
  </si>
  <si>
    <t xml:space="preserve"> (-17.0</t>
  </si>
  <si>
    <t xml:space="preserve"> (-113.36</t>
  </si>
  <si>
    <t xml:space="preserve"> 49]_1 </t>
  </si>
  <si>
    <t xml:space="preserve"> (-55.92</t>
  </si>
  <si>
    <t xml:space="preserve"> 49]_2 </t>
  </si>
  <si>
    <t xml:space="preserve"> (-101.35</t>
  </si>
  <si>
    <t xml:space="preserve"> Timestamp('2011-11-28 00</t>
  </si>
  <si>
    <t xml:space="preserve"> 49]_4 </t>
  </si>
  <si>
    <t xml:space="preserve"> (-126.5</t>
  </si>
  <si>
    <t xml:space="preserve"> Timestamp('2011-09-27 00</t>
  </si>
  <si>
    <t xml:space="preserve"> 49]_6 </t>
  </si>
  <si>
    <t xml:space="preserve"> 70]_1 </t>
  </si>
  <si>
    <t xml:space="preserve"> (-12.2</t>
  </si>
  <si>
    <t xml:space="preserve"> (-79.44441306645082</t>
  </si>
  <si>
    <t xml:space="preserve"> 70]_2 </t>
  </si>
  <si>
    <t xml:space="preserve"> (-105.74999999999999</t>
  </si>
  <si>
    <t xml:space="preserve"> Timestamp('2022-05-13 00</t>
  </si>
  <si>
    <t xml:space="preserve"> 70]_4 </t>
  </si>
  <si>
    <t xml:space="preserve"> (-16.130383681550597</t>
  </si>
  <si>
    <t xml:space="preserve"> (-137.13853231123895</t>
  </si>
  <si>
    <t xml:space="preserve"> Timestamp('2022-09-13 00</t>
  </si>
  <si>
    <t xml:space="preserve"> 70]_6 </t>
  </si>
  <si>
    <t xml:space="preserve"> (-8.73</t>
  </si>
  <si>
    <t xml:space="preserve"> (-28.09</t>
  </si>
  <si>
    <t xml:space="preserve"> (-13.3</t>
  </si>
  <si>
    <t xml:space="preserve"> (-66.42999999999992</t>
  </si>
  <si>
    <t xml:space="preserve"> (-14.950000000000001</t>
  </si>
  <si>
    <t xml:space="preserve"> (-70.79000000000002</t>
  </si>
  <si>
    <t xml:space="preserve"> (-17.5</t>
  </si>
  <si>
    <t xml:space="preserve"> (-91.78</t>
  </si>
  <si>
    <t xml:space="preserve"> (-42.34</t>
  </si>
  <si>
    <t xml:space="preserve"> (-81.78</t>
  </si>
  <si>
    <t xml:space="preserve"> (-99.2</t>
  </si>
  <si>
    <t xml:space="preserve"> (-101.19999999999999</t>
  </si>
  <si>
    <t xml:space="preserve"> Timestamp('2023-01-04 00</t>
  </si>
  <si>
    <t xml:space="preserve"> (-8.69</t>
  </si>
  <si>
    <t xml:space="preserve"> (-57.45</t>
  </si>
  <si>
    <t xml:space="preserve"> (-10.500000000000004</t>
  </si>
  <si>
    <t xml:space="preserve"> (-89.72999999999999</t>
  </si>
  <si>
    <t xml:space="preserve"> Timestamp('2022-03-10 00</t>
  </si>
  <si>
    <t xml:space="preserve"> (-111.54</t>
  </si>
  <si>
    <t xml:space="preserve"> (-121.68999999999986</t>
  </si>
  <si>
    <t xml:space="preserve"> (-6.390000000000001</t>
  </si>
  <si>
    <t xml:space="preserve"> (-18.54</t>
  </si>
  <si>
    <t xml:space="preserve"> (-10.04</t>
  </si>
  <si>
    <t xml:space="preserve"> (-34.230000000000004</t>
  </si>
  <si>
    <t xml:space="preserve"> (-12.450000000000001</t>
  </si>
  <si>
    <t xml:space="preserve"> (-51.25</t>
  </si>
  <si>
    <t xml:space="preserve"> (-54.89</t>
  </si>
  <si>
    <t xml:space="preserve"> (-27.430000000000003</t>
  </si>
  <si>
    <t xml:space="preserve"> (-46.42999999999999</t>
  </si>
  <si>
    <t xml:space="preserve"> (-68.39</t>
  </si>
  <si>
    <t xml:space="preserve"> (-73.88000000000001</t>
  </si>
  <si>
    <t xml:space="preserve"> (-6.250446848880912</t>
  </si>
  <si>
    <t xml:space="preserve"> Timestamp('2011-08-12 00</t>
  </si>
  <si>
    <t xml:space="preserve"> (-32.91</t>
  </si>
  <si>
    <t xml:space="preserve"> (-10.500000000000002</t>
  </si>
  <si>
    <t xml:space="preserve"> (-64.37</t>
  </si>
  <si>
    <t xml:space="preserve"> (-11.5</t>
  </si>
  <si>
    <t xml:space="preserve"> (-75.02</t>
  </si>
  <si>
    <t xml:space="preserve"> (-90.23999999999992</t>
  </si>
  <si>
    <t xml:space="preserve"> (-4.311926887115206</t>
  </si>
  <si>
    <t xml:space="preserve"> Timestamp('2011-08-11 00</t>
  </si>
  <si>
    <t xml:space="preserve"> (-7.76</t>
  </si>
  <si>
    <t xml:space="preserve"> Timestamp('2018-12-27 00</t>
  </si>
  <si>
    <t xml:space="preserve"> (-4.5600000000000005</t>
  </si>
  <si>
    <t xml:space="preserve"> (-14.48</t>
  </si>
  <si>
    <t xml:space="preserve"> (-22.92</t>
  </si>
  <si>
    <t xml:space="preserve"> (-14.700000000000001</t>
  </si>
  <si>
    <t xml:space="preserve"> Timestamp('2011-10-06 00</t>
  </si>
  <si>
    <t xml:space="preserve"> (-20.26</t>
  </si>
  <si>
    <t xml:space="preserve"> (-4.8</t>
  </si>
  <si>
    <t xml:space="preserve"> (-34.64</t>
  </si>
  <si>
    <t xml:space="preserve"> (-24.787254927457447</t>
  </si>
  <si>
    <t xml:space="preserve"> (-49.58536126789086</t>
  </si>
  <si>
    <t>bbands_{'P'</t>
  </si>
  <si>
    <t xml:space="preserve"> (-7.300000000000001</t>
  </si>
  <si>
    <t xml:space="preserve"> (-9.010000000000002</t>
  </si>
  <si>
    <t xml:space="preserve"> (-9.400000000000002</t>
  </si>
  <si>
    <t xml:space="preserve"> 2021-01-08   2021-01-13</t>
  </si>
  <si>
    <t>2021-01-08   2021-02-01</t>
  </si>
  <si>
    <t xml:space="preserve"> (-14.600000000000001</t>
  </si>
  <si>
    <t xml:space="preserve"> (-11.620000000000001</t>
  </si>
  <si>
    <t xml:space="preserve"> Timestamp('2021-02-01 00</t>
  </si>
  <si>
    <t xml:space="preserve"> (-18.92</t>
  </si>
  <si>
    <t xml:space="preserve"> (-10.649999999999999</t>
  </si>
  <si>
    <t xml:space="preserve"> (-27.249999999999996</t>
  </si>
  <si>
    <t xml:space="preserve"> (-13.03458808131218</t>
  </si>
  <si>
    <t xml:space="preserve"> (-9.5</t>
  </si>
  <si>
    <t xml:space="preserve"> (-19.799999999999997</t>
  </si>
  <si>
    <t xml:space="preserve"> Timestamp('2021-02-02 00</t>
  </si>
  <si>
    <t xml:space="preserve"> (-21.35</t>
  </si>
  <si>
    <t xml:space="preserve"> Timestamp('2011-05-26 00</t>
  </si>
  <si>
    <t>2021-01-08   2021-01-19</t>
  </si>
  <si>
    <t xml:space="preserve"> (-10.5</t>
  </si>
  <si>
    <t xml:space="preserve"> (-5.43</t>
  </si>
  <si>
    <t xml:space="preserve"> Timestamp('2020-02-04 00</t>
  </si>
  <si>
    <t xml:space="preserve"> (-8.55</t>
  </si>
  <si>
    <t xml:space="preserve"> (-13.59</t>
  </si>
  <si>
    <t xml:space="preserve"> (-8.809999999999999</t>
  </si>
  <si>
    <t xml:space="preserve"> (-25.15</t>
  </si>
  <si>
    <t xml:space="preserve"> (-5.949999999999999</t>
  </si>
  <si>
    <t xml:space="preserve"> (-14.030000000000001</t>
  </si>
  <si>
    <t xml:space="preserve"> (-6.399999999999999</t>
  </si>
  <si>
    <t xml:space="preserve"> (-19.849999999999998</t>
  </si>
  <si>
    <t xml:space="preserve"> (-4.32</t>
  </si>
  <si>
    <t xml:space="preserve"> (-8.37</t>
  </si>
  <si>
    <t xml:space="preserve"> Timestamp('2020-08-21 00</t>
  </si>
  <si>
    <t xml:space="preserve"> (-4.9399999999999995</t>
  </si>
  <si>
    <t xml:space="preserve"> (-6.02</t>
  </si>
  <si>
    <t xml:space="preserve"> (-10.34</t>
  </si>
  <si>
    <t xml:space="preserve"> (-6.339999999999999</t>
  </si>
  <si>
    <t xml:space="preserve"> (-12.679999999999998</t>
  </si>
  <si>
    <t xml:space="preserve"> (-6.869999999999999</t>
  </si>
  <si>
    <t xml:space="preserve"> (-4.030000000000001</t>
  </si>
  <si>
    <t xml:space="preserve"> (-10.280000000000001</t>
  </si>
  <si>
    <t xml:space="preserve"> (-4.850000000000001</t>
  </si>
  <si>
    <t xml:space="preserve"> (-7.08</t>
  </si>
  <si>
    <t xml:space="preserve"> Timestamp('2021-12-01 00</t>
  </si>
  <si>
    <t xml:space="preserve"> (-16.5</t>
  </si>
  <si>
    <t xml:space="preserve"> (-2.53</t>
  </si>
  <si>
    <t xml:space="preserve"> (-2.5599999999999996</t>
  </si>
  <si>
    <t xml:space="preserve"> (-4.51</t>
  </si>
  <si>
    <t xml:space="preserve"> (-4.880000000000001</t>
  </si>
  <si>
    <t xml:space="preserve"> (-5.57</t>
  </si>
  <si>
    <t xml:space="preserve"> (-3.7900000000000005</t>
  </si>
  <si>
    <t xml:space="preserve"> (-7.580000000000001</t>
  </si>
  <si>
    <t xml:space="preserve"> (-4.54</t>
  </si>
  <si>
    <t xml:space="preserve"> (-12.120000000000001</t>
  </si>
  <si>
    <t xml:space="preserve"> (-1.7800000000000002</t>
  </si>
  <si>
    <t xml:space="preserve"> (-5.999999999999999</t>
  </si>
  <si>
    <t xml:space="preserve"> (-2.7700000000000005</t>
  </si>
  <si>
    <t xml:space="preserve"> (-3.1</t>
  </si>
  <si>
    <t xml:space="preserve"> (-7.449999999999999</t>
  </si>
  <si>
    <t xml:space="preserve"> (-3.870000000000001</t>
  </si>
  <si>
    <t>bbands_no_highvol_{'P'</t>
  </si>
  <si>
    <t xml:space="preserve"> (-4.83</t>
  </si>
  <si>
    <t xml:space="preserve"> (-5.88</t>
  </si>
  <si>
    <t xml:space="preserve"> Timestamp('2020-02-06 00</t>
  </si>
  <si>
    <t xml:space="preserve"> (-11.549999999999997</t>
  </si>
  <si>
    <t xml:space="preserve"> (-8.45</t>
  </si>
  <si>
    <t xml:space="preserve"> (-6.4</t>
  </si>
  <si>
    <t xml:space="preserve"> (-12.009999999999998</t>
  </si>
  <si>
    <t xml:space="preserve"> Timestamp('2011-08-01 00</t>
  </si>
  <si>
    <t xml:space="preserve"> (-6.010000000000002</t>
  </si>
  <si>
    <t xml:space="preserve"> Timestamp('2016-11-10 00</t>
  </si>
  <si>
    <t xml:space="preserve"> (-15.999999999999996</t>
  </si>
  <si>
    <t xml:space="preserve"> Timestamp('2023-01-09 00</t>
  </si>
  <si>
    <t xml:space="preserve"> (-20.13</t>
  </si>
  <si>
    <t xml:space="preserve"> (-4.659999999999999</t>
  </si>
  <si>
    <t xml:space="preserve"> Timestamp('2018-04-05 00</t>
  </si>
  <si>
    <t xml:space="preserve"> (-9.709999999999999</t>
  </si>
  <si>
    <t xml:space="preserve"> (-7.5</t>
  </si>
  <si>
    <t xml:space="preserve"> Timestamp('2011-07-20 00</t>
  </si>
  <si>
    <t xml:space="preserve"> (-3.85</t>
  </si>
  <si>
    <t xml:space="preserve"> (-8.120000000000001</t>
  </si>
  <si>
    <t xml:space="preserve"> Timestamp('2013-03-25 00</t>
  </si>
  <si>
    <t xml:space="preserve"> (-12.42</t>
  </si>
  <si>
    <t xml:space="preserve"> (-6.090000000000001</t>
  </si>
  <si>
    <t xml:space="preserve"> (-16.13</t>
  </si>
  <si>
    <t xml:space="preserve"> (-2.48</t>
  </si>
  <si>
    <t xml:space="preserve"> (-3.4199999999999995</t>
  </si>
  <si>
    <t xml:space="preserve"> (-4.34</t>
  </si>
  <si>
    <t xml:space="preserve"> Timestamp('2019-01-09 00</t>
  </si>
  <si>
    <t xml:space="preserve"> (-2.7699999999999996</t>
  </si>
  <si>
    <t xml:space="preserve"> (-9.41</t>
  </si>
  <si>
    <t xml:space="preserve"> (-11.53</t>
  </si>
  <si>
    <t xml:space="preserve"> (-1.9300000000000002</t>
  </si>
  <si>
    <t xml:space="preserve"> (-2.49</t>
  </si>
  <si>
    <t xml:space="preserve"> Timestamp('2020-05-25 00</t>
  </si>
  <si>
    <t xml:space="preserve"> (-1.7600000000000002</t>
  </si>
  <si>
    <t xml:space="preserve"> (-1.9499999999999997</t>
  </si>
  <si>
    <t xml:space="preserve"> Timestamp('2020-09-28 00</t>
  </si>
  <si>
    <t xml:space="preserve"> (-3.46</t>
  </si>
  <si>
    <t xml:space="preserve"> (-2.09</t>
  </si>
  <si>
    <t xml:space="preserve"> (-6.98</t>
  </si>
  <si>
    <t xml:space="preserve"> (-1.19</t>
  </si>
  <si>
    <t xml:space="preserve"> (-1.4000000000000001</t>
  </si>
  <si>
    <t xml:space="preserve"> (-4.720000000000001</t>
  </si>
  <si>
    <t xml:space="preserve"> (-6.020000000000001</t>
  </si>
  <si>
    <t>psar_{'P'</t>
  </si>
  <si>
    <t xml:space="preserve"> (-9.999999999999998</t>
  </si>
  <si>
    <t xml:space="preserve"> (-5.65</t>
  </si>
  <si>
    <t xml:space="preserve"> (-13.979999999999999</t>
  </si>
  <si>
    <t xml:space="preserve"> Timestamp('2021-08-24 00</t>
  </si>
  <si>
    <t xml:space="preserve"> (-15.75</t>
  </si>
  <si>
    <t xml:space="preserve"> Timestamp('2022-01-28 00</t>
  </si>
  <si>
    <t xml:space="preserve"> (-10.54</t>
  </si>
  <si>
    <t xml:space="preserve"> (-9.149999999999999</t>
  </si>
  <si>
    <t xml:space="preserve"> (-6.08</t>
  </si>
  <si>
    <t xml:space="preserve"> (-4.65</t>
  </si>
  <si>
    <t xml:space="preserve"> (-5.3999999999999995</t>
  </si>
  <si>
    <t xml:space="preserve"> (-5.0600000000000005</t>
  </si>
  <si>
    <t xml:space="preserve"> (-8.29</t>
  </si>
  <si>
    <t xml:space="preserve"> (-9.509999999999991</t>
  </si>
  <si>
    <t xml:space="preserve"> (-2.8500000000000005</t>
  </si>
  <si>
    <t xml:space="preserve"> (-3.77</t>
  </si>
  <si>
    <t xml:space="preserve"> (-3.541811519135061</t>
  </si>
  <si>
    <t xml:space="preserve"> (-5.430000000000001</t>
  </si>
  <si>
    <t xml:space="preserve"> (-10.20999999999999</t>
  </si>
  <si>
    <t xml:space="preserve"> (-1.24</t>
  </si>
  <si>
    <t xml:space="preserve"> Timestamp('2011-11-04 00</t>
  </si>
  <si>
    <t xml:space="preserve"> (-1.6500000000000001</t>
  </si>
  <si>
    <t xml:space="preserve"> (-1.7699999999999998</t>
  </si>
  <si>
    <t>psar_no_highvol_{'P'</t>
  </si>
  <si>
    <t xml:space="preserve"> (-3.16</t>
  </si>
  <si>
    <t xml:space="preserve"> Timestamp('2019-04-29 00</t>
  </si>
  <si>
    <t xml:space="preserve"> (-6.79</t>
  </si>
  <si>
    <t xml:space="preserve"> (-7.050000000000001</t>
  </si>
  <si>
    <t xml:space="preserve"> Timestamp('2022-10-04 00</t>
  </si>
  <si>
    <t xml:space="preserve"> (-9.350000000000001</t>
  </si>
  <si>
    <t xml:space="preserve"> (-4.989999999999999</t>
  </si>
  <si>
    <t xml:space="preserve"> (-5.700000000000001</t>
  </si>
  <si>
    <t xml:space="preserve"> (-2.58</t>
  </si>
  <si>
    <t xml:space="preserve"> Timestamp('2014-12-19 00</t>
  </si>
  <si>
    <t xml:space="preserve"> (-7.0</t>
  </si>
  <si>
    <t xml:space="preserve"> (-3.7099999999999995</t>
  </si>
  <si>
    <t xml:space="preserve"> (-4.819999999999999</t>
  </si>
  <si>
    <t xml:space="preserve"> (-1.7300000000000004</t>
  </si>
  <si>
    <t xml:space="preserve"> Timestamp('2021-05-14 00</t>
  </si>
  <si>
    <t xml:space="preserve"> (-2.43</t>
  </si>
  <si>
    <t xml:space="preserve"> Timestamp('2011-03-03 00</t>
  </si>
  <si>
    <t xml:space="preserve"> (-2.94</t>
  </si>
  <si>
    <t xml:space="preserve"> (-0.9099999999999999</t>
  </si>
  <si>
    <t xml:space="preserve"> (-2.8899999999999997</t>
  </si>
  <si>
    <t xml:space="preserve"> Timestamp('2011-03-16 00</t>
  </si>
  <si>
    <t xml:space="preserve"> (-2.54</t>
  </si>
  <si>
    <t xml:space="preserve"> Timestamp('2021-08-23 00</t>
  </si>
  <si>
    <t xml:space="preserve"> (-2.12</t>
  </si>
  <si>
    <t>rsi_{'P'</t>
  </si>
  <si>
    <t xml:space="preserve"> (-6.67</t>
  </si>
  <si>
    <t xml:space="preserve"> (-10.75</t>
  </si>
  <si>
    <t xml:space="preserve"> (-16.3</t>
  </si>
  <si>
    <t xml:space="preserve"> (-7.049999999999999</t>
  </si>
  <si>
    <t xml:space="preserve"> (-6.950000000000001</t>
  </si>
  <si>
    <t xml:space="preserve"> Timestamp('2010-05-13 00</t>
  </si>
  <si>
    <t xml:space="preserve"> (-8.91</t>
  </si>
  <si>
    <t xml:space="preserve"> (-15.860000000000001</t>
  </si>
  <si>
    <t xml:space="preserve"> (-7.43</t>
  </si>
  <si>
    <t xml:space="preserve"> (-10.200000000000022</t>
  </si>
  <si>
    <t xml:space="preserve"> (-14.25</t>
  </si>
  <si>
    <t xml:space="preserve"> (-4.630000000000001</t>
  </si>
  <si>
    <t xml:space="preserve"> (-5.880000000000001</t>
  </si>
  <si>
    <t xml:space="preserve"> (-12.830000000000002</t>
  </si>
  <si>
    <t xml:space="preserve"> (-13.05</t>
  </si>
  <si>
    <t xml:space="preserve"> Timestamp('2010-05-27 00</t>
  </si>
  <si>
    <t xml:space="preserve"> (-4.07</t>
  </si>
  <si>
    <t xml:space="preserve"> (-5.51</t>
  </si>
  <si>
    <t xml:space="preserve"> (-4.15</t>
  </si>
  <si>
    <t xml:space="preserve"> (-3.5200000000000005</t>
  </si>
  <si>
    <t xml:space="preserve"> (-3.5500000000000003</t>
  </si>
  <si>
    <t xml:space="preserve"> (-8.23</t>
  </si>
  <si>
    <t xml:space="preserve"> (-4.99</t>
  </si>
  <si>
    <t xml:space="preserve"> (-4.46</t>
  </si>
  <si>
    <t xml:space="preserve"> (-9.98</t>
  </si>
  <si>
    <t xml:space="preserve"> (-11.950000000000003</t>
  </si>
  <si>
    <t xml:space="preserve"> (-2.25</t>
  </si>
  <si>
    <t xml:space="preserve"> (-1.8399999999999999</t>
  </si>
  <si>
    <t xml:space="preserve"> (-2.3200000000000003</t>
  </si>
  <si>
    <t xml:space="preserve"> (-3.38</t>
  </si>
  <si>
    <t xml:space="preserve"> (-3.05</t>
  </si>
  <si>
    <t xml:space="preserve"> (-2.1799999999999997</t>
  </si>
  <si>
    <t xml:space="preserve"> (-4.640000000000001</t>
  </si>
  <si>
    <t>stoch_{'P'</t>
  </si>
  <si>
    <t xml:space="preserve"> (-13.459999999999999</t>
  </si>
  <si>
    <t xml:space="preserve"> (-20.400000000000002</t>
  </si>
  <si>
    <t xml:space="preserve"> (-31.949999999999996</t>
  </si>
  <si>
    <t xml:space="preserve"> (-17.42</t>
  </si>
  <si>
    <t xml:space="preserve"> (-24.720000000000002</t>
  </si>
  <si>
    <t xml:space="preserve"> (-50.89999999999999</t>
  </si>
  <si>
    <t xml:space="preserve"> (-14.984588081312179</t>
  </si>
  <si>
    <t xml:space="preserve"> (-26.207483710606425</t>
  </si>
  <si>
    <t xml:space="preserve"> (-10.6</t>
  </si>
  <si>
    <t xml:space="preserve"> (-15.5</t>
  </si>
  <si>
    <t xml:space="preserve"> (-25.409999999999997</t>
  </si>
  <si>
    <t xml:space="preserve"> (-13.34</t>
  </si>
  <si>
    <t xml:space="preserve"> (-6.45</t>
  </si>
  <si>
    <t xml:space="preserve"> (-18.59</t>
  </si>
  <si>
    <t xml:space="preserve"> (-42.389999999999986</t>
  </si>
  <si>
    <t xml:space="preserve"> (-6.149999999999999</t>
  </si>
  <si>
    <t xml:space="preserve"> (-14.749999999999998</t>
  </si>
  <si>
    <t xml:space="preserve"> (-21.15</t>
  </si>
  <si>
    <t xml:space="preserve"> (-7.010000000000001</t>
  </si>
  <si>
    <t xml:space="preserve"> (-11.330000000000002</t>
  </si>
  <si>
    <t xml:space="preserve"> (-7.45</t>
  </si>
  <si>
    <t xml:space="preserve"> (-12.02</t>
  </si>
  <si>
    <t xml:space="preserve"> Timestamp('2011-09-07 00</t>
  </si>
  <si>
    <t xml:space="preserve"> (-21.77</t>
  </si>
  <si>
    <t xml:space="preserve"> (-13.43</t>
  </si>
  <si>
    <t xml:space="preserve"> (-19.1</t>
  </si>
  <si>
    <t xml:space="preserve"> (-34.98</t>
  </si>
  <si>
    <t xml:space="preserve"> (-4.499999999999999</t>
  </si>
  <si>
    <t xml:space="preserve"> (-11.169999999999998</t>
  </si>
  <si>
    <t xml:space="preserve"> (-12.980000000000004</t>
  </si>
  <si>
    <t xml:space="preserve"> (-7.4</t>
  </si>
  <si>
    <t xml:space="preserve"> (-19.740000000000002</t>
  </si>
  <si>
    <t xml:space="preserve"> (-2.3714526043033004</t>
  </si>
  <si>
    <t xml:space="preserve"> Timestamp('2011-08-23 00</t>
  </si>
  <si>
    <t xml:space="preserve"> (-3.0200000000000005</t>
  </si>
  <si>
    <t xml:space="preserve"> (-5.58</t>
  </si>
  <si>
    <t xml:space="preserve"> (-4.14</t>
  </si>
  <si>
    <t xml:space="preserve"> (-6.24</t>
  </si>
  <si>
    <t xml:space="preserve"> (-13.149999999999999</t>
  </si>
  <si>
    <t xml:space="preserve"> (-4.08</t>
  </si>
  <si>
    <t xml:space="preserve"> (-6.640000000000001</t>
  </si>
  <si>
    <t xml:space="preserve"> (-10.407005616136532</t>
  </si>
  <si>
    <t xml:space="preserve"> (-21.48</t>
  </si>
  <si>
    <t xml:space="preserve"> (-4.506075476738715</t>
  </si>
  <si>
    <t xml:space="preserve"> (-5.559999999999999</t>
  </si>
  <si>
    <t xml:space="preserve"> Timestamp('2020-11-02 00</t>
  </si>
  <si>
    <t>stoch_no_highvol_{'P'</t>
  </si>
  <si>
    <t xml:space="preserve"> Timestamp('2022-02-16 00</t>
  </si>
  <si>
    <t xml:space="preserve"> (-11.36</t>
  </si>
  <si>
    <t xml:space="preserve"> Timestamp('2020-11-03 00</t>
  </si>
  <si>
    <t xml:space="preserve"> (-15.799999999999999</t>
  </si>
  <si>
    <t xml:space="preserve"> Timestamp('2022-01-12 00</t>
  </si>
  <si>
    <t xml:space="preserve"> (-9.84</t>
  </si>
  <si>
    <t xml:space="preserve"> Timestamp('2018-09-14 00</t>
  </si>
  <si>
    <t xml:space="preserve"> (-16.1</t>
  </si>
  <si>
    <t xml:space="preserve"> (-5.849999999999998</t>
  </si>
  <si>
    <t xml:space="preserve"> (-14.129999999999999</t>
  </si>
  <si>
    <t xml:space="preserve"> (-15.399999999999995</t>
  </si>
  <si>
    <t xml:space="preserve"> Timestamp('2022-02-03 00</t>
  </si>
  <si>
    <t xml:space="preserve"> (-24.0</t>
  </si>
  <si>
    <t xml:space="preserve"> (-8.799999999999997</t>
  </si>
  <si>
    <t xml:space="preserve"> (-8.18</t>
  </si>
  <si>
    <t xml:space="preserve"> Timestamp('2010-12-28 00</t>
  </si>
  <si>
    <t xml:space="preserve"> (-9.8</t>
  </si>
  <si>
    <t xml:space="preserve"> (-13.92</t>
  </si>
  <si>
    <t xml:space="preserve"> (-3.530000000000001</t>
  </si>
  <si>
    <t xml:space="preserve"> Timestamp('2021-07-22 00</t>
  </si>
  <si>
    <t xml:space="preserve"> (-7.6</t>
  </si>
  <si>
    <t xml:space="preserve"> (-4.58</t>
  </si>
  <si>
    <t xml:space="preserve"> (-12.9</t>
  </si>
  <si>
    <t xml:space="preserve"> (-4.490000000000001</t>
  </si>
  <si>
    <t xml:space="preserve"> (-10.91</t>
  </si>
  <si>
    <t xml:space="preserve"> (-12.429999999999998</t>
  </si>
  <si>
    <t xml:space="preserve"> (-18.270000000000003</t>
  </si>
  <si>
    <t xml:space="preserve"> (-5.369999999999999</t>
  </si>
  <si>
    <t xml:space="preserve"> (-2.9699999999999998</t>
  </si>
  <si>
    <t xml:space="preserve"> Timestamp('2022-02-25 00</t>
  </si>
  <si>
    <t xml:space="preserve"> Timestamp('2021-12-21 00</t>
  </si>
  <si>
    <t xml:space="preserve"> (-3.3400000000000003</t>
  </si>
  <si>
    <t xml:space="preserve"> (-6.449999999999999</t>
  </si>
  <si>
    <t xml:space="preserve"> (-4.259999999999999</t>
  </si>
  <si>
    <t xml:space="preserve"> (-9.729999999999999</t>
  </si>
  <si>
    <t xml:space="preserve"> (-1.4</t>
  </si>
  <si>
    <t xml:space="preserve"> (-2.4699999999999998</t>
  </si>
  <si>
    <t xml:space="preserve"> (-3.54</t>
  </si>
  <si>
    <t xml:space="preserve"> Timestamp('2016-01-13 00</t>
  </si>
  <si>
    <t xml:space="preserve"> (-2.9399999999999995</t>
  </si>
  <si>
    <t xml:space="preserve"> (-1.79</t>
  </si>
  <si>
    <t xml:space="preserve"> (-6.58</t>
  </si>
  <si>
    <t xml:space="preserve"> (-7.7700000000000005</t>
  </si>
  <si>
    <t xml:space="preserve"> 35]_0.5 </t>
  </si>
  <si>
    <t xml:space="preserve"> (-5.35</t>
  </si>
  <si>
    <t xml:space="preserve"> Timestamp('2011-02-01 00</t>
  </si>
  <si>
    <t xml:space="preserve"> (-11.360000000000152</t>
  </si>
  <si>
    <t xml:space="preserve"> (-8.100000000000001</t>
  </si>
  <si>
    <t xml:space="preserve"> (-15.99</t>
  </si>
  <si>
    <t xml:space="preserve"> (-19.06</t>
  </si>
  <si>
    <t xml:space="preserve"> 35]_3 </t>
  </si>
  <si>
    <t xml:space="preserve"> 49]_0.5 </t>
  </si>
  <si>
    <t xml:space="preserve"> (-5.770955425953449</t>
  </si>
  <si>
    <t xml:space="preserve"> (-11.97</t>
  </si>
  <si>
    <t xml:space="preserve"> (-9.25</t>
  </si>
  <si>
    <t xml:space="preserve"> Timestamp('2021-01-29 00</t>
  </si>
  <si>
    <t xml:space="preserve"> (-19.270000000000003</t>
  </si>
  <si>
    <t xml:space="preserve"> 49]_3 </t>
  </si>
  <si>
    <t xml:space="preserve"> (-26.900000000000002</t>
  </si>
  <si>
    <t xml:space="preserve"> 70]_0.5 </t>
  </si>
  <si>
    <t xml:space="preserve"> (-6.756582506254567</t>
  </si>
  <si>
    <t xml:space="preserve"> Timestamp('2021-01-15 00</t>
  </si>
  <si>
    <t xml:space="preserve"> (-8.299999999999997</t>
  </si>
  <si>
    <t xml:space="preserve"> Timestamp('2021-11-30 00</t>
  </si>
  <si>
    <t xml:space="preserve"> (-20.15</t>
  </si>
  <si>
    <t xml:space="preserve"> Timestamp('2020-01-31 00</t>
  </si>
  <si>
    <t xml:space="preserve"> (-22.4</t>
  </si>
  <si>
    <t xml:space="preserve"> 70]_3 </t>
  </si>
  <si>
    <t xml:space="preserve"> (-9.45</t>
  </si>
  <si>
    <t xml:space="preserve"> Timestamp('2021-02-24 00</t>
  </si>
  <si>
    <t xml:space="preserve"> (-23.200000000000014</t>
  </si>
  <si>
    <t xml:space="preserve"> Timestamp('2013-06-24 00</t>
  </si>
  <si>
    <t xml:space="preserve"> (-1.2599999999999998</t>
  </si>
  <si>
    <t xml:space="preserve"> (-12.84</t>
  </si>
  <si>
    <t xml:space="preserve"> (-17.980000000000004</t>
  </si>
  <si>
    <t xml:space="preserve"> (-23.51000000000001</t>
  </si>
  <si>
    <t xml:space="preserve"> (-3.4300000000000006</t>
  </si>
  <si>
    <t xml:space="preserve"> Timestamp('2020-08-31 00</t>
  </si>
  <si>
    <t xml:space="preserve"> (-6.560000000000005</t>
  </si>
  <si>
    <t xml:space="preserve"> (-3.5100000000000033</t>
  </si>
  <si>
    <t xml:space="preserve"> (-13.230000000000002</t>
  </si>
  <si>
    <t xml:space="preserve"> (-16.61</t>
  </si>
  <si>
    <t xml:space="preserve"> (-18.81000000000001</t>
  </si>
  <si>
    <t xml:space="preserve"> (-8.2</t>
  </si>
  <si>
    <t xml:space="preserve"> (-8.669999999999998</t>
  </si>
  <si>
    <t xml:space="preserve"> (-14.399999999999997</t>
  </si>
  <si>
    <t xml:space="preserve"> (-14.700000000000008</t>
  </si>
  <si>
    <t xml:space="preserve"> (-11.319999999999999</t>
  </si>
  <si>
    <t xml:space="preserve"> 2021-01-08   2021-01-14</t>
  </si>
  <si>
    <t xml:space="preserve"> (-20.790000000000013</t>
  </si>
  <si>
    <t xml:space="preserve"> (-21.640000000000015</t>
  </si>
  <si>
    <t xml:space="preserve"> (-3.049999999999999</t>
  </si>
  <si>
    <t xml:space="preserve"> (-5.930000000000001</t>
  </si>
  <si>
    <t xml:space="preserve"> (-14.640000000000002</t>
  </si>
  <si>
    <t xml:space="preserve"> (-33.45000000000001</t>
  </si>
  <si>
    <t xml:space="preserve"> (-4.35</t>
  </si>
  <si>
    <t xml:space="preserve"> (-8.850000000000001</t>
  </si>
  <si>
    <t xml:space="preserve"> Timestamp('2020-12-22 00</t>
  </si>
  <si>
    <t xml:space="preserve"> (-9.249999999999996</t>
  </si>
  <si>
    <t xml:space="preserve"> (-11.619999999999996</t>
  </si>
  <si>
    <t xml:space="preserve"> (-15.229999999999999</t>
  </si>
  <si>
    <t xml:space="preserve"> Timestamp('2020-03-19 00</t>
  </si>
  <si>
    <t xml:space="preserve"> (-23.549999999999997</t>
  </si>
  <si>
    <t xml:space="preserve"> (-2.6214508278174717</t>
  </si>
  <si>
    <t xml:space="preserve"> Timestamp('2011-08-22 00</t>
  </si>
  <si>
    <t xml:space="preserve"> (-3.3600000000000008</t>
  </si>
  <si>
    <t xml:space="preserve"> (-6.779999999999999</t>
  </si>
  <si>
    <t xml:space="preserve"> (-12.629999999999999</t>
  </si>
  <si>
    <t xml:space="preserve"> (-13.889999999999928</t>
  </si>
  <si>
    <t xml:space="preserve"> (-5.760000000000001</t>
  </si>
  <si>
    <t xml:space="preserve"> (-9.579999999999998</t>
  </si>
  <si>
    <t xml:space="preserve"> (-12.809999999999995</t>
  </si>
  <si>
    <t xml:space="preserve"> Timestamp('2020-03-12 00</t>
  </si>
  <si>
    <t xml:space="preserve"> (-17.999999999999996</t>
  </si>
  <si>
    <t xml:space="preserve"> (-5.642507601665544</t>
  </si>
  <si>
    <t xml:space="preserve"> Timestamp('2021-03-09 00</t>
  </si>
  <si>
    <t xml:space="preserve"> (-6.409999999999997</t>
  </si>
  <si>
    <t xml:space="preserve"> (-13.86</t>
  </si>
  <si>
    <t xml:space="preserve"> (-21.020000000000007</t>
  </si>
  <si>
    <t xml:space="preserve"> (-1.6200000000000254</t>
  </si>
  <si>
    <t xml:space="preserve"> (-3.240000000000051</t>
  </si>
  <si>
    <t xml:space="preserve"> (-1.6500000000000021</t>
  </si>
  <si>
    <t xml:space="preserve"> (-3.4499999999999993</t>
  </si>
  <si>
    <t xml:space="preserve"> (-5.247536772313879</t>
  </si>
  <si>
    <t xml:space="preserve"> (-5.299999999999999</t>
  </si>
  <si>
    <t xml:space="preserve"> (-9.949999999999998</t>
  </si>
  <si>
    <t xml:space="preserve"> (-0.9000000000000004</t>
  </si>
  <si>
    <t>2021-01-08   2021-01-11</t>
  </si>
  <si>
    <t xml:space="preserve"> (-2.34</t>
  </si>
  <si>
    <t xml:space="preserve"> Timestamp('2020-09-10 00</t>
  </si>
  <si>
    <t xml:space="preserve"> (-1.5100000000000022</t>
  </si>
  <si>
    <t xml:space="preserve"> Timestamp('2018-05-10 00</t>
  </si>
  <si>
    <t xml:space="preserve"> (-0.9900000000000002</t>
  </si>
  <si>
    <t xml:space="preserve"> (-1.6999999999999993</t>
  </si>
  <si>
    <t xml:space="preserve"> (-3.3000000000000003</t>
  </si>
  <si>
    <t xml:space="preserve"> (-2.450000000000001</t>
  </si>
  <si>
    <t xml:space="preserve"> Timestamp('2018-02-27 00</t>
  </si>
  <si>
    <t xml:space="preserve"> (-6.056690934938018</t>
  </si>
  <si>
    <t xml:space="preserve"> (-11.773381869876035</t>
  </si>
  <si>
    <t xml:space="preserve"> (-0.7000000000000002</t>
  </si>
  <si>
    <t xml:space="preserve"> Timestamp('2023-05-08 00</t>
  </si>
  <si>
    <t xml:space="preserve"> (-0.8000000000000003</t>
  </si>
  <si>
    <t xml:space="preserve"> (-1.47</t>
  </si>
  <si>
    <t xml:space="preserve"> (-16.200000000000003</t>
  </si>
  <si>
    <t xml:space="preserve"> (-1.5700000000000003</t>
  </si>
  <si>
    <t xml:space="preserve"> (-3.1462996217544124</t>
  </si>
  <si>
    <t xml:space="preserve"> (-6.292599243508825</t>
  </si>
  <si>
    <t xml:space="preserve"> (-0.5199999999999996</t>
  </si>
  <si>
    <t xml:space="preserve"> (-1.0899999999999996</t>
  </si>
  <si>
    <t xml:space="preserve"> (-1.0299999999999998</t>
  </si>
  <si>
    <t xml:space="preserve"> (-7.020000000000007</t>
  </si>
  <si>
    <t xml:space="preserve"> (-6.6200000000000045</t>
  </si>
  <si>
    <t xml:space="preserve"> (-3.8063357282026864</t>
  </si>
  <si>
    <t xml:space="preserve"> (-2.279522779393739</t>
  </si>
  <si>
    <t xml:space="preserve"> Timestamp('2017-05-10 00</t>
  </si>
  <si>
    <t xml:space="preserve"> (-3.5754626766598374</t>
  </si>
  <si>
    <t xml:space="preserve"> Timestamp('2019-12-19 00</t>
  </si>
  <si>
    <t xml:space="preserve"> (-0.7399999999999998</t>
  </si>
  <si>
    <t xml:space="preserve"> (-1.5499999999999972</t>
  </si>
  <si>
    <t xml:space="preserve"> (-2.1028502556109174</t>
  </si>
  <si>
    <t xml:space="preserve"> 2020-12-04   2020-12-09</t>
  </si>
  <si>
    <t>2020-12-04   2020-12-09</t>
  </si>
  <si>
    <t xml:space="preserve"> (-2.3214652670981533</t>
  </si>
  <si>
    <t xml:space="preserve"> (-3.193224477587356</t>
  </si>
  <si>
    <t xml:space="preserve"> Timestamp('2019-11-12 00</t>
  </si>
  <si>
    <t xml:space="preserve"> (-7.799999999999997</t>
  </si>
  <si>
    <t xml:space="preserve"> (-1.9599999999999724</t>
  </si>
  <si>
    <t xml:space="preserve"> (-2.080000000000002</t>
  </si>
  <si>
    <t xml:space="preserve"> (-0.870000000000001</t>
  </si>
  <si>
    <t xml:space="preserve"> (-2.009999999999999</t>
  </si>
  <si>
    <t xml:space="preserve"> (-1.4500000000000044</t>
  </si>
  <si>
    <t xml:space="preserve"> Timestamp('2017-04-13 00</t>
  </si>
  <si>
    <t xml:space="preserve"> (-1.9798728777880932</t>
  </si>
  <si>
    <t xml:space="preserve"> Timestamp('2020-08-07 00</t>
  </si>
  <si>
    <t xml:space="preserve"> (-3.6674185520343965</t>
  </si>
  <si>
    <t xml:space="preserve"> (-2.678936558823473</t>
  </si>
  <si>
    <t xml:space="preserve"> Timestamp('2020-08-24 00</t>
  </si>
  <si>
    <t xml:space="preserve"> (-1.3100000000000005</t>
  </si>
  <si>
    <t xml:space="preserve"> (-1.4600000000000013</t>
  </si>
  <si>
    <t xml:space="preserve"> (-1.6999999999999957</t>
  </si>
  <si>
    <t xml:space="preserve"> Timestamp('2011-08-09 00</t>
  </si>
  <si>
    <t xml:space="preserve"> (-0.82</t>
  </si>
  <si>
    <t xml:space="preserve"> (-1.02</t>
  </si>
  <si>
    <t xml:space="preserve"> (-1.4999999999999996</t>
  </si>
  <si>
    <t xml:space="preserve"> (-2.22</t>
  </si>
  <si>
    <t xml:space="preserve"> (-2.549999999999997</t>
  </si>
  <si>
    <t xml:space="preserve"> (-0.8599999999999999</t>
  </si>
  <si>
    <t xml:space="preserve"> Timestamp('2022-04-13 00</t>
  </si>
  <si>
    <t xml:space="preserve"> Timestamp('2023-07-11 00</t>
  </si>
  <si>
    <t xml:space="preserve"> (-0.6100000000000003</t>
  </si>
  <si>
    <t xml:space="preserve"> (-0.6899999999999997</t>
  </si>
  <si>
    <t xml:space="preserve"> Timestamp('2010-04-21 00</t>
  </si>
  <si>
    <t xml:space="preserve"> (-1.8800000000000003</t>
  </si>
  <si>
    <t xml:space="preserve"> (-3.450000000000003</t>
  </si>
  <si>
    <t xml:space="preserve"> (-1.3499999999999996</t>
  </si>
  <si>
    <t xml:space="preserve"> (-2.549999999999999</t>
  </si>
  <si>
    <t xml:space="preserve"> Timestamp('2017-11-30 00</t>
  </si>
  <si>
    <t xml:space="preserve"> (-2.1499999999999986</t>
  </si>
  <si>
    <t xml:space="preserve"> (-2.170775784189381</t>
  </si>
  <si>
    <t xml:space="preserve"> Timestamp('2021-08-25 00</t>
  </si>
  <si>
    <t xml:space="preserve"> (-3.6000000000000014</t>
  </si>
  <si>
    <t xml:space="preserve"> Timestamp('2022-09-30 00</t>
  </si>
  <si>
    <t xml:space="preserve"> (-0.87</t>
  </si>
  <si>
    <t xml:space="preserve"> (-1.6500000000000004</t>
  </si>
  <si>
    <t xml:space="preserve"> (-1.9500000000000006</t>
  </si>
  <si>
    <t xml:space="preserve"> (-0.5500000000000007</t>
  </si>
  <si>
    <t xml:space="preserve"> Timestamp('2020-06-12 00</t>
  </si>
  <si>
    <t xml:space="preserve"> Timestamp('2020-03-10 00</t>
  </si>
  <si>
    <t xml:space="preserve"> (-1.5999999999999979</t>
  </si>
  <si>
    <t xml:space="preserve"> Timestamp('2022-02-09 00</t>
  </si>
  <si>
    <t xml:space="preserve"> (-1.799999999999999</t>
  </si>
  <si>
    <t xml:space="preserve"> Timestamp('2021-01-18 00</t>
  </si>
  <si>
    <t xml:space="preserve"> (-0.45999999999999996</t>
  </si>
  <si>
    <t xml:space="preserve"> (-0.5999999999999999</t>
  </si>
  <si>
    <t xml:space="preserve"> Timestamp('2019-01-07 00</t>
  </si>
  <si>
    <t xml:space="preserve"> (-1.0600000000000005</t>
  </si>
  <si>
    <t xml:space="preserve"> (-1.299999999999999</t>
  </si>
  <si>
    <t xml:space="preserve"> Timestamp('2022-01-26 00</t>
  </si>
  <si>
    <t xml:space="preserve"> (-2.3899999999999997</t>
  </si>
  <si>
    <t xml:space="preserve"> (-0.8499999999999996</t>
  </si>
  <si>
    <t xml:space="preserve"> (-0.7699999999999996</t>
  </si>
  <si>
    <t xml:space="preserve"> Timestamp('2022-09-01 00</t>
  </si>
  <si>
    <t xml:space="preserve"> (-0.6900000000000001</t>
  </si>
  <si>
    <t xml:space="preserve"> Timestamp('2021-11-11 00</t>
  </si>
  <si>
    <t xml:space="preserve"> (-0.48999999999999977</t>
  </si>
  <si>
    <t xml:space="preserve"> (-1.5500000000000007</t>
  </si>
  <si>
    <t xml:space="preserve"> (-1.6403702340604642</t>
  </si>
  <si>
    <t xml:space="preserve"> Timestamp('2022-09-29 00</t>
  </si>
  <si>
    <t xml:space="preserve"> (-0.42000000000000015</t>
  </si>
  <si>
    <t xml:space="preserve"> (-0.7999999999999998</t>
  </si>
  <si>
    <t xml:space="preserve"> (-0.9999999999999982</t>
  </si>
  <si>
    <t xml:space="preserve"> (-0.8200000000000021</t>
  </si>
  <si>
    <t xml:space="preserve"> Timestamp('2018-10-11 00</t>
  </si>
  <si>
    <t xml:space="preserve"> (-0.9100000000000001</t>
  </si>
  <si>
    <t xml:space="preserve"> (-0.7599999999999989</t>
  </si>
  <si>
    <t xml:space="preserve"> (-0.9300000000000002</t>
  </si>
  <si>
    <t xml:space="preserve"> (-1.620000000000001</t>
  </si>
  <si>
    <t xml:space="preserve"> (-1.37</t>
  </si>
  <si>
    <t xml:space="preserve"> (-2.1900000000000004</t>
  </si>
  <si>
    <t xml:space="preserve"> (-5.099999999999998</t>
  </si>
  <si>
    <t xml:space="preserve"> (-5.500000000000001</t>
  </si>
  <si>
    <t xml:space="preserve"> (-0.72</t>
  </si>
  <si>
    <t xml:space="preserve"> Timestamp('2013-03-14 00</t>
  </si>
  <si>
    <t xml:space="preserve"> (-2.16</t>
  </si>
  <si>
    <t xml:space="preserve"> (-1.1500000000000004</t>
  </si>
  <si>
    <t xml:space="preserve"> (-1.2000000000000028</t>
  </si>
  <si>
    <t xml:space="preserve"> (-0.6499999999999995</t>
  </si>
  <si>
    <t xml:space="preserve"> (-0.8700000000000006</t>
  </si>
  <si>
    <t xml:space="preserve"> Timestamp('2023-02-16 00</t>
  </si>
  <si>
    <t xml:space="preserve"> (-0.8499999999999992</t>
  </si>
  <si>
    <t xml:space="preserve"> (-1.4200000000000008</t>
  </si>
  <si>
    <t xml:space="preserve"> Timestamp('2021-08-04 00</t>
  </si>
  <si>
    <t xml:space="preserve"> (-3.1499999999999995</t>
  </si>
  <si>
    <t xml:space="preserve"> (-0.9500000000000002</t>
  </si>
  <si>
    <t xml:space="preserve"> (-1.4699999999999993</t>
  </si>
  <si>
    <t xml:space="preserve"> (-1.5076475643885532</t>
  </si>
  <si>
    <t xml:space="preserve"> Timestamp('2015-11-18 00</t>
  </si>
  <si>
    <t xml:space="preserve"> (-2.030000000000001</t>
  </si>
  <si>
    <t xml:space="preserve"> Timestamp('2023-02-28 00</t>
  </si>
  <si>
    <t xml:space="preserve"> (-2.880000000000001</t>
  </si>
  <si>
    <t xml:space="preserve"> (-2.7</t>
  </si>
  <si>
    <t xml:space="preserve"> Timestamp('2021-07-09 00</t>
  </si>
  <si>
    <t xml:space="preserve"> Timestamp('2012-02-28 00</t>
  </si>
  <si>
    <t xml:space="preserve"> (-1.92</t>
  </si>
  <si>
    <t xml:space="preserve"> (-0.8000000000000007</t>
  </si>
  <si>
    <t xml:space="preserve"> (-1.0499999999999963</t>
  </si>
  <si>
    <t xml:space="preserve"> Timestamp('2021-07-12 00</t>
  </si>
  <si>
    <t xml:space="preserve"> (-2.360794003288688</t>
  </si>
  <si>
    <t xml:space="preserve"> (-2.4400000000000013</t>
  </si>
  <si>
    <t xml:space="preserve"> (-2.488345838018935</t>
  </si>
  <si>
    <t xml:space="preserve"> Timestamp('2021-05-13 00</t>
  </si>
  <si>
    <t xml:space="preserve"> (-0.54</t>
  </si>
  <si>
    <t xml:space="preserve"> (-0.6300000000000002</t>
  </si>
  <si>
    <t xml:space="preserve"> Timestamp('2011-04-20 00</t>
  </si>
  <si>
    <t xml:space="preserve"> (-0.84</t>
  </si>
  <si>
    <t xml:space="preserve"> Timestamp('2012-04-02 00</t>
  </si>
  <si>
    <t xml:space="preserve"> (-0.9499999999999997</t>
  </si>
  <si>
    <t xml:space="preserve"> Timestamp('2011-11-29 00</t>
  </si>
  <si>
    <t xml:space="preserve"> (-1.6</t>
  </si>
  <si>
    <t xml:space="preserve"> (-0.3800000000000001</t>
  </si>
  <si>
    <t xml:space="preserve"> (-0.6499999999999999</t>
  </si>
  <si>
    <t xml:space="preserve"> Timestamp('2021-06-22 00</t>
  </si>
  <si>
    <t xml:space="preserve"> (-0.5699999999999998</t>
  </si>
  <si>
    <t xml:space="preserve"> (-1.3200000000000025</t>
  </si>
  <si>
    <t xml:space="preserve"> (-2.2499999999999996</t>
  </si>
  <si>
    <t xml:space="preserve"> (-4.700000000000001</t>
  </si>
  <si>
    <t xml:space="preserve"> (-5.640000000000001</t>
  </si>
  <si>
    <t xml:space="preserve"> (-6.480000000000102</t>
  </si>
  <si>
    <t xml:space="preserve"> Timestamp('2020-03-03 00</t>
  </si>
  <si>
    <t xml:space="preserve"> (-10.599999999999998</t>
  </si>
  <si>
    <t xml:space="preserve"> (-0.9700000000000006</t>
  </si>
  <si>
    <t xml:space="preserve"> (-3.559999999999999</t>
  </si>
  <si>
    <t xml:space="preserve"> (-8.349999999999998</t>
  </si>
  <si>
    <t xml:space="preserve"> Timestamp('2021-01-28 00</t>
  </si>
  <si>
    <t xml:space="preserve"> (-2.3700000000000006</t>
  </si>
  <si>
    <t xml:space="preserve"> (-5.390000000000001</t>
  </si>
  <si>
    <t xml:space="preserve"> (-6.66</t>
  </si>
  <si>
    <t xml:space="preserve"> Timestamp('2021-06-10 00</t>
  </si>
  <si>
    <t xml:space="preserve"> (-2.8300000000000005</t>
  </si>
  <si>
    <t xml:space="preserve"> (-3.1599999999999726</t>
  </si>
  <si>
    <t xml:space="preserve"> (-1.8000000000000003</t>
  </si>
  <si>
    <t xml:space="preserve"> (-4.84</t>
  </si>
  <si>
    <t xml:space="preserve"> (-2.8400000000000025</t>
  </si>
  <si>
    <t xml:space="preserve"> Timestamp('2020-11-19 00</t>
  </si>
  <si>
    <t xml:space="preserve"> (-2.900000000000003</t>
  </si>
  <si>
    <t xml:space="preserve"> (-3.3999999999999986</t>
  </si>
  <si>
    <t xml:space="preserve"> (-4.409999999999999</t>
  </si>
  <si>
    <t xml:space="preserve"> (-5.053386565819643</t>
  </si>
  <si>
    <t xml:space="preserve"> (-4.350000000000001</t>
  </si>
  <si>
    <t xml:space="preserve"> (-5.6999999999999975</t>
  </si>
  <si>
    <t xml:space="preserve"> (-4.860000000000076</t>
  </si>
  <si>
    <t xml:space="preserve"> (-5.459999999999999</t>
  </si>
  <si>
    <t xml:space="preserve"> (-2.0700000000000003</t>
  </si>
  <si>
    <t xml:space="preserve"> (-5.293453175234074</t>
  </si>
  <si>
    <t xml:space="preserve"> Timestamp('2021-12-14 00</t>
  </si>
  <si>
    <t xml:space="preserve"> (-0.85</t>
  </si>
  <si>
    <t xml:space="preserve"> (-2.2199999999999993</t>
  </si>
  <si>
    <t xml:space="preserve"> Timestamp('2021-08-13 00</t>
  </si>
  <si>
    <t xml:space="preserve"> (-6.890000000000002</t>
  </si>
  <si>
    <t xml:space="preserve"> (-0.6000000000000001</t>
  </si>
  <si>
    <t xml:space="preserve"> (-4.98</t>
  </si>
  <si>
    <t xml:space="preserve"> (-1.610681547155405</t>
  </si>
  <si>
    <t xml:space="preserve"> Timestamp('2021-03-19 00</t>
  </si>
  <si>
    <t xml:space="preserve"> (-1.8337092760171982</t>
  </si>
  <si>
    <t xml:space="preserve"> (-3.1499999999999986</t>
  </si>
  <si>
    <t xml:space="preserve"> (-3.3200000000000003</t>
  </si>
  <si>
    <t xml:space="preserve"> (-1.9800000000000006</t>
  </si>
  <si>
    <t xml:space="preserve"> (-1.2900000000000005</t>
  </si>
  <si>
    <t xml:space="preserve"> Timestamp('2020-12-11 00</t>
  </si>
  <si>
    <t xml:space="preserve"> (-3.5</t>
  </si>
  <si>
    <t xml:space="preserve"> Timestamp('2020-10-30 00</t>
  </si>
  <si>
    <t>Name: drawdown_date, dtype: datetime64[ns]), 'net_liq_mdd': (-47.79999999999993, Timestamp('2011-11-10 00:00:00'))}</t>
  </si>
  <si>
    <t>Name: drawdown_date, dtype: datetime64[ns]), 'net_liq_mdd': (-47.910000000000004, Timestamp('2021-12-01 00:00:00'))}</t>
  </si>
  <si>
    <t>Name: drawdown_date, dtype: datetime64[ns]), 'net_liq_mdd': (-60.480000000000004, Timestamp('2021-12-01 00:00:00'))}</t>
  </si>
  <si>
    <t>Name: drawdown_date, dtype: datetime64[ns]), 'net_liq_mdd': (-23.859999999999996, Timestamp('2021-01-19 00:00:00'))}</t>
  </si>
  <si>
    <t>Name: drawdown_date, dtype: datetime64[ns]), 'net_liq_mdd': (-12.659999999999995, Timestamp('2020-02-04 00:00:00'))}</t>
  </si>
  <si>
    <t>2020-12-04   2020-12-11</t>
  </si>
  <si>
    <t>Name: drawdown_date, dtype: datetime64[ns]), 'net_liq_mdd': (-9.250000000000004, Timestamp('2011-05-18 00:00:00'))}</t>
  </si>
  <si>
    <t>Name: drawdown_date, dtype: datetime64[ns]), 'net_liq_mdd': (-9.12, Timestamp('2013-11-15 00:00:00'))}</t>
  </si>
  <si>
    <t>Name: drawdown_date, dtype: datetime64[ns]), 'net_liq_mdd': (-15.26, Timestamp('2017-09-07 00:00:00'))}</t>
  </si>
  <si>
    <t>2020-12-04   2020-12-07</t>
  </si>
  <si>
    <t>Name: drawdown_date, dtype: datetime64[ns]), 'net_liq_mdd': (-4.48, Timestamp('2020-11-11 00:00:00'))}</t>
  </si>
  <si>
    <t>Name: drawdown_date, dtype: datetime64[ns]), 'net_liq_mdd': (-24.599999999999994, Timestamp('2021-01-19 00:00:00'))}</t>
  </si>
  <si>
    <t>'P': [('delta', -0.5, -1), ('delta', -0.26, 2)]}_[7, 35]_0.5 :</t>
  </si>
  <si>
    <t>'P': [('delta', -0.5, -1), ('delta', -0.26, 2)]}_[7, 35]_1 :</t>
  </si>
  <si>
    <t>'P': [('delta', -0.5, -1), ('delta', -0.26, 2)]}_[7, 35]_2 :</t>
  </si>
  <si>
    <t>'P': [('delta', -0.5, -1), ('delta', -0.26, 2)]}_[7, 35]_4 :</t>
  </si>
  <si>
    <t>'P': [('delta', -0.5, -1), ('delta', -0.26, 2)]}_[7, 35]_7 :</t>
  </si>
  <si>
    <t>'P': [('delta', -0.5, -1), ('delta', -0.26, 2)]}_[7, 35]_10 :</t>
  </si>
  <si>
    <t>'P': [('delta', -0.5, -1), ('delta', -0.26, 2)]}_[21, 49]_0.5 :</t>
  </si>
  <si>
    <t>'P': [('delta', -0.5, -1), ('delta', -0.26, 2)]}_[21, 49]_1 :</t>
  </si>
  <si>
    <t>'P': [('delta', -0.5, -1), ('delta', -0.26, 2)]}_[21, 49]_2 :</t>
  </si>
  <si>
    <t>'P': [('delta', -0.5, -1), ('delta', -0.26, 2)]}_[21, 49]_4 :</t>
  </si>
  <si>
    <t>'P': [('delta', -0.5, -1), ('delta', -0.26, 2)]}_[21, 49]_7 :</t>
  </si>
  <si>
    <t>'P': [('delta', -0.5, -1), ('delta', -0.26, 2)]}_[21, 49]_10 :</t>
  </si>
  <si>
    <t>'P': [('delta', -0.5, -1), ('delta', -0.26, 2)]}_[42, 70]_0.5 :</t>
  </si>
  <si>
    <t>'P': [('delta', -0.5, -1), ('delta', -0.26, 2)]}_[42, 70]_1 :</t>
  </si>
  <si>
    <t>'P': [('delta', -0.5, -1), ('delta', -0.26, 2)]}_[42, 70]_2 :</t>
  </si>
  <si>
    <t>'P': [('delta', -0.5, -1), ('delta', -0.26, 2)]}_[42, 70]_4 :</t>
  </si>
  <si>
    <t>'P': [('delta', -0.5, -1), ('delta', -0.26, 2)]}_[42, 70]_7 :</t>
  </si>
  <si>
    <t>'P': [('delta', -0.5, -1), ('delta', -0.26, 2)]}_[42, 70]_10 :</t>
  </si>
  <si>
    <t>'P': [('delta', -0.4, -1), ('delta', -0.21, 2)]}_[7, 35]_0.5 :</t>
  </si>
  <si>
    <t>'P': [('delta', -0.4, -1), ('delta', -0.21, 2)]}_[7, 35]_1 :</t>
  </si>
  <si>
    <t>'P': [('delta', -0.4, -1), ('delta', -0.21, 2)]}_[7, 35]_2 :</t>
  </si>
  <si>
    <t>'P': [('delta', -0.4, -1), ('delta', -0.21, 2)]}_[7, 35]_4 :</t>
  </si>
  <si>
    <t>'P': [('delta', -0.4, -1), ('delta', -0.21, 2)]}_[7, 35]_7 :</t>
  </si>
  <si>
    <t>'P': [('delta', -0.4, -1), ('delta', -0.21, 2)]}_[7, 35]_10 :</t>
  </si>
  <si>
    <t>'P': [('delta', -0.4, -1), ('delta', -0.21, 2)]}_[21, 49]_0.5 :</t>
  </si>
  <si>
    <t>'P': [('delta', -0.4, -1), ('delta', -0.21, 2)]}_[21, 49]_1 :</t>
  </si>
  <si>
    <t>'P': [('delta', -0.4, -1), ('delta', -0.21, 2)]}_[21, 49]_2 :</t>
  </si>
  <si>
    <t>'P': [('delta', -0.4, -1), ('delta', -0.21, 2)]}_[21, 49]_4 :</t>
  </si>
  <si>
    <t>'P': [('delta', -0.4, -1), ('delta', -0.21, 2)]}_[21, 49]_7 :</t>
  </si>
  <si>
    <t>'P': [('delta', -0.4, -1), ('delta', -0.21, 2)]}_[21, 49]_10 :</t>
  </si>
  <si>
    <t>'P': [('delta', -0.4, -1), ('delta', -0.21, 2)]}_[42, 70]_0.5 :</t>
  </si>
  <si>
    <t>'P': [('delta', -0.4, -1), ('delta', -0.21, 2)]}_[42, 70]_1 :</t>
  </si>
  <si>
    <t>'P': [('delta', -0.4, -1), ('delta', -0.21, 2)]}_[42, 70]_2 :</t>
  </si>
  <si>
    <t>'P': [('delta', -0.4, -1), ('delta', -0.21, 2)]}_[42, 70]_4 :</t>
  </si>
  <si>
    <t>'P': [('delta', -0.4, -1), ('delta', -0.21, 2)]}_[42, 70]_7 :</t>
  </si>
  <si>
    <t>'P': [('delta', -0.4, -1), ('delta', -0.21, 2)]}_[42, 70]_10 :</t>
  </si>
  <si>
    <t>'P': [('delta', -0.3, -1), ('delta', -0.16, 2)]}_[7, 35]_0.5 :</t>
  </si>
  <si>
    <t>'P': [('delta', -0.3, -1), ('delta', -0.16, 2)]}_[7, 35]_1 :</t>
  </si>
  <si>
    <t>'P': [('delta', -0.3, -1), ('delta', -0.16, 2)]}_[7, 35]_2 :</t>
  </si>
  <si>
    <t>'P': [('delta', -0.3, -1), ('delta', -0.16, 2)]}_[7, 35]_4 :</t>
  </si>
  <si>
    <t>'P': [('delta', -0.3, -1), ('delta', -0.16, 2)]}_[7, 35]_7 :</t>
  </si>
  <si>
    <t>'P': [('delta', -0.3, -1), ('delta', -0.16, 2)]}_[7, 35]_10 :</t>
  </si>
  <si>
    <t>'P': [('delta', -0.3, -1), ('delta', -0.16, 2)]}_[21, 49]_0.5 :</t>
  </si>
  <si>
    <t>'P': [('delta', -0.3, -1), ('delta', -0.16, 2)]}_[21, 49]_1 :</t>
  </si>
  <si>
    <t>'P': [('delta', -0.3, -1), ('delta', -0.16, 2)]}_[21, 49]_2 :</t>
  </si>
  <si>
    <t>'P': [('delta', -0.3, -1), ('delta', -0.16, 2)]}_[21, 49]_4 :</t>
  </si>
  <si>
    <t>'P': [('delta', -0.3, -1), ('delta', -0.16, 2)]}_[21, 49]_7 :</t>
  </si>
  <si>
    <t>'P': [('delta', -0.3, -1), ('delta', -0.16, 2)]}_[21, 49]_10 :</t>
  </si>
  <si>
    <t>'P': [('delta', -0.3, -1), ('delta', -0.16, 2)]}_[42, 70]_0.5 :</t>
  </si>
  <si>
    <t>'P': [('delta', -0.3, -1), ('delta', -0.16, 2)]}_[42, 70]_1 :</t>
  </si>
  <si>
    <t>'P': [('delta', -0.3, -1), ('delta', -0.16, 2)]}_[42, 70]_2 :</t>
  </si>
  <si>
    <t>'P': [('delta', -0.3, -1), ('delta', -0.16, 2)]}_[42, 70]_4 :</t>
  </si>
  <si>
    <t>'P': [('delta', -0.3, -1), ('delta', -0.16, 2)]}_[42, 70]_7 :</t>
  </si>
  <si>
    <t>'P': [('delta', -0.3, -1), ('delta', -0.16, 2)]}_[42, 70]_10 :</t>
  </si>
  <si>
    <t>'P': [('number', 0, -1), ('number', -5, 2)]}_[7, 35]_0.5 :</t>
  </si>
  <si>
    <t>'P': [('number', 0, -1), ('number', -5, 2)]}_[7, 35]_1 :</t>
  </si>
  <si>
    <t>'P': [('number', 0, -1), ('number', -5, 2)]}_[7, 35]_2 :</t>
  </si>
  <si>
    <t>'P': [('number', 0, -1), ('number', -5, 2)]}_[7, 35]_4 :</t>
  </si>
  <si>
    <t>'P': [('number', 0, -1), ('number', -5, 2)]}_[7, 35]_7 :</t>
  </si>
  <si>
    <t>'P': [('number', 0, -1), ('number', -5, 2)]}_[7, 35]_10 :</t>
  </si>
  <si>
    <t>'P': [('number', 0, -1), ('number', -5, 2)]}_[21, 49]_0.5 :</t>
  </si>
  <si>
    <t>'P': [('number', 0, -1), ('number', -5, 2)]}_[21, 49]_1 :</t>
  </si>
  <si>
    <t>'P': [('number', 0, -1), ('number', -5, 2)]}_[21, 49]_2 :</t>
  </si>
  <si>
    <t>'P': [('number', 0, -1), ('number', -5, 2)]}_[21, 49]_4 :</t>
  </si>
  <si>
    <t>'P': [('number', 0, -1), ('number', -5, 2)]}_[21, 49]_7 :</t>
  </si>
  <si>
    <t>'P': [('number', 0, -1), ('number', -5, 2)]}_[21, 49]_10 :</t>
  </si>
  <si>
    <t>'P': [('number', 0, -1), ('number', -5, 2)]}_[42, 70]_0.5 :</t>
  </si>
  <si>
    <t>'P': [('number', 0, -1), ('number', -5, 2)]}_[42, 70]_1 :</t>
  </si>
  <si>
    <t>'P': [('number', 0, -1), ('number', -5, 2)]}_[42, 70]_2 :</t>
  </si>
  <si>
    <t>'P': [('number', 0, -1), ('number', -5, 2)]}_[42, 70]_4 :</t>
  </si>
  <si>
    <t>'P': [('number', 0, -1), ('number', -5, 2)]}_[42, 70]_7 :</t>
  </si>
  <si>
    <t>'P': [('number', 0, -1), ('number', -5, 2)]}_[42, 70]_10 :</t>
  </si>
  <si>
    <t>'P': [('number', 0, -1), ('number', -7.5, 2)]}_[7, 35]_0.5 :</t>
  </si>
  <si>
    <t>'P': [('number', 0, -1), ('number', -7.5, 2)]}_[7, 35]_1 :</t>
  </si>
  <si>
    <t>'P': [('number', 0, -1), ('number', -7.5, 2)]}_[7, 35]_2 :</t>
  </si>
  <si>
    <t>'P': [('number', 0, -1), ('number', -7.5, 2)]}_[7, 35]_4 :</t>
  </si>
  <si>
    <t>'P': [('number', 0, -1), ('number', -7.5, 2)]}_[7, 35]_7 :</t>
  </si>
  <si>
    <t>'P': [('number', 0, -1), ('number', -7.5, 2)]}_[7, 35]_10 :</t>
  </si>
  <si>
    <t>'P': [('number', 0, -1), ('number', -7.5, 2)]}_[21, 49]_0.5 :</t>
  </si>
  <si>
    <t>'P': [('number', 0, -1), ('number', -7.5, 2)]}_[21, 49]_1 :</t>
  </si>
  <si>
    <t>'P': [('number', 0, -1), ('number', -7.5, 2)]}_[21, 49]_2 :</t>
  </si>
  <si>
    <t>'P': [('number', 0, -1), ('number', -7.5, 2)]}_[21, 49]_4 :</t>
  </si>
  <si>
    <t>'P': [('number', 0, -1), ('number', -7.5, 2)]}_[21, 49]_7 :</t>
  </si>
  <si>
    <t>'P': [('number', 0, -1), ('number', -7.5, 2)]}_[21, 49]_10 :</t>
  </si>
  <si>
    <t>'P': [('number', 0, -1), ('number', -7.5, 2)]}_[42, 70]_0.5 :</t>
  </si>
  <si>
    <t>'P': [('number', 0, -1), ('number', -7.5, 2)]}_[42, 70]_1 :</t>
  </si>
  <si>
    <t>'P': [('number', 0, -1), ('number', -7.5, 2)]}_[42, 70]_2 :</t>
  </si>
  <si>
    <t>'P': [('number', 0, -1), ('number', -7.5, 2)]}_[42, 70]_4 :</t>
  </si>
  <si>
    <t>'P': [('number', 0, -1), ('number', -7.5, 2)]}_[42, 70]_7 :</t>
  </si>
  <si>
    <t>'P': [('number', 0, -1), ('number', -7.5, 2)]}_[42, 70]_10 :</t>
  </si>
  <si>
    <t>bbands_no_highvol_</t>
  </si>
  <si>
    <t>stoch_no_highvol_</t>
  </si>
  <si>
    <t xml:space="preserve"> (-8.133825618843336</t>
  </si>
  <si>
    <t xml:space="preserve"> (-25.429999999999993</t>
  </si>
  <si>
    <t xml:space="preserve"> Timestamp('2016-11-09 00</t>
  </si>
  <si>
    <t xml:space="preserve"> (-10.879999999999997</t>
  </si>
  <si>
    <t xml:space="preserve"> (-40.099999999999916</t>
  </si>
  <si>
    <t xml:space="preserve"> (-11.599999999999998</t>
  </si>
  <si>
    <t xml:space="preserve"> (-47.79999999999993</t>
  </si>
  <si>
    <t xml:space="preserve"> (-12.259999999999998</t>
  </si>
  <si>
    <t xml:space="preserve"> (-26.659999999999997</t>
  </si>
  <si>
    <t xml:space="preserve"> Timestamp('2019-05-09 00</t>
  </si>
  <si>
    <t xml:space="preserve"> (-41.250000000000114</t>
  </si>
  <si>
    <t xml:space="preserve"> (-44.48000000000012</t>
  </si>
  <si>
    <t xml:space="preserve"> (-48.41999999999999</t>
  </si>
  <si>
    <t xml:space="preserve"> (-49.93000000000001</t>
  </si>
  <si>
    <t xml:space="preserve"> (-12.430731334587094</t>
  </si>
  <si>
    <t xml:space="preserve"> (-62.46999999999999</t>
  </si>
  <si>
    <t xml:space="preserve"> (-66.24000000000001</t>
  </si>
  <si>
    <t xml:space="preserve"> (-85.78999999999999</t>
  </si>
  <si>
    <t xml:space="preserve"> (-15.010000000000002</t>
  </si>
  <si>
    <t xml:space="preserve"> (-46.10000000000003</t>
  </si>
  <si>
    <t xml:space="preserve"> (-56.35000000000001</t>
  </si>
  <si>
    <t xml:space="preserve"> (-59.27999999999999</t>
  </si>
  <si>
    <t xml:space="preserve"> (-11.3</t>
  </si>
  <si>
    <t xml:space="preserve"> (-41.14999999999999</t>
  </si>
  <si>
    <t xml:space="preserve"> (-41.91999999999999</t>
  </si>
  <si>
    <t xml:space="preserve"> (-57.440000000000005</t>
  </si>
  <si>
    <t xml:space="preserve"> Timestamp('2013-06-27 00</t>
  </si>
  <si>
    <t xml:space="preserve"> (-11.500893697761825</t>
  </si>
  <si>
    <t xml:space="preserve"> (-46.339999999999996</t>
  </si>
  <si>
    <t xml:space="preserve"> (-73.40000000000002</t>
  </si>
  <si>
    <t xml:space="preserve"> (-12.039999999999997</t>
  </si>
  <si>
    <t xml:space="preserve"> (-76.05000000000004</t>
  </si>
  <si>
    <t xml:space="preserve"> (-6.329999999999989</t>
  </si>
  <si>
    <t xml:space="preserve"> (-31.869999999999955</t>
  </si>
  <si>
    <t xml:space="preserve"> (-38.71999999999998</t>
  </si>
  <si>
    <t xml:space="preserve"> (-40.67999999999999</t>
  </si>
  <si>
    <t xml:space="preserve"> Timestamp('2021-10-07 00</t>
  </si>
  <si>
    <t xml:space="preserve"> (-8.540000000000003</t>
  </si>
  <si>
    <t xml:space="preserve"> (-3.9600000000000066</t>
  </si>
  <si>
    <t xml:space="preserve"> Timestamp('2011-02-10 00</t>
  </si>
  <si>
    <t xml:space="preserve"> (-34.24</t>
  </si>
  <si>
    <t xml:space="preserve"> (-5.360000000000001</t>
  </si>
  <si>
    <t xml:space="preserve"> (-49.77000000000001</t>
  </si>
  <si>
    <t xml:space="preserve"> (-70.63000000000001</t>
  </si>
  <si>
    <t xml:space="preserve"> (-7.330000000000022</t>
  </si>
  <si>
    <t xml:space="preserve"> (-35.09999999999995</t>
  </si>
  <si>
    <t xml:space="preserve"> (-9.690000000000023</t>
  </si>
  <si>
    <t xml:space="preserve"> (-52.12</t>
  </si>
  <si>
    <t xml:space="preserve"> (-60.500000000000014</t>
  </si>
  <si>
    <t xml:space="preserve"> (-76.66</t>
  </si>
  <si>
    <t xml:space="preserve"> (-7.440000000000001</t>
  </si>
  <si>
    <t xml:space="preserve"> (-26.529999999999987</t>
  </si>
  <si>
    <t xml:space="preserve"> (-33.269999999999996</t>
  </si>
  <si>
    <t xml:space="preserve"> (-8.27000000000001</t>
  </si>
  <si>
    <t xml:space="preserve"> (-43.69000000000003</t>
  </si>
  <si>
    <t xml:space="preserve"> (-9.99</t>
  </si>
  <si>
    <t xml:space="preserve"> (-64.49000000000008</t>
  </si>
  <si>
    <t xml:space="preserve"> (-14.199999999999996</t>
  </si>
  <si>
    <t xml:space="preserve"> (-31.910000000000103</t>
  </si>
  <si>
    <t xml:space="preserve"> (-35.20000000000011</t>
  </si>
  <si>
    <t xml:space="preserve"> (-7.549999999999999</t>
  </si>
  <si>
    <t xml:space="preserve"> (-41.31999999999999</t>
  </si>
  <si>
    <t xml:space="preserve"> (-12.98376238792963</t>
  </si>
  <si>
    <t xml:space="preserve"> (-44.44000000000001</t>
  </si>
  <si>
    <t xml:space="preserve"> (-65.60000000000001</t>
  </si>
  <si>
    <t xml:space="preserve"> (-7.19777408091187</t>
  </si>
  <si>
    <t xml:space="preserve"> (-11.600000000000003</t>
  </si>
  <si>
    <t xml:space="preserve"> Timestamp('2016-05-25 00</t>
  </si>
  <si>
    <t xml:space="preserve"> (-15.500000000000004</t>
  </si>
  <si>
    <t xml:space="preserve"> (-23.53000000000001</t>
  </si>
  <si>
    <t xml:space="preserve"> Timestamp('2016-09-19 00</t>
  </si>
  <si>
    <t xml:space="preserve"> (-48.25</t>
  </si>
  <si>
    <t xml:space="preserve"> (-64.9</t>
  </si>
  <si>
    <t xml:space="preserve"> (-6.279999999999999</t>
  </si>
  <si>
    <t xml:space="preserve"> (-54.149999999999984</t>
  </si>
  <si>
    <t xml:space="preserve"> (-8.089999999999982</t>
  </si>
  <si>
    <t xml:space="preserve"> (-10.759999999999991</t>
  </si>
  <si>
    <t xml:space="preserve"> (-12.940000000000001</t>
  </si>
  <si>
    <t xml:space="preserve"> (-63.650000000000006</t>
  </si>
  <si>
    <t xml:space="preserve"> (-38.43999999999999</t>
  </si>
  <si>
    <t xml:space="preserve"> (-40.92000000000013</t>
  </si>
  <si>
    <t xml:space="preserve"> (-8.929999999999998</t>
  </si>
  <si>
    <t xml:space="preserve"> (-65.04999999999998</t>
  </si>
  <si>
    <t xml:space="preserve"> (-10.95</t>
  </si>
  <si>
    <t xml:space="preserve"> (-65.32999999999998</t>
  </si>
  <si>
    <t xml:space="preserve"> (-13.283086431124403</t>
  </si>
  <si>
    <t xml:space="preserve"> (-59.150000000000006</t>
  </si>
  <si>
    <t xml:space="preserve"> (-67.75</t>
  </si>
  <si>
    <t xml:space="preserve"> (-71.53999999999999</t>
  </si>
  <si>
    <t xml:space="preserve"> (-17.3</t>
  </si>
  <si>
    <t xml:space="preserve"> (-78.65989693945072</t>
  </si>
  <si>
    <t xml:space="preserve"> Timestamp('2019-08-30 00</t>
  </si>
  <si>
    <t xml:space="preserve"> (-3.1600000000000046</t>
  </si>
  <si>
    <t xml:space="preserve"> (-5.389999999999973</t>
  </si>
  <si>
    <t xml:space="preserve"> Timestamp('2011-07-14 00</t>
  </si>
  <si>
    <t xml:space="preserve"> Timestamp('2015-05-06 00</t>
  </si>
  <si>
    <t xml:space="preserve"> (-3.9499999999999993</t>
  </si>
  <si>
    <t xml:space="preserve"> Timestamp('2010-05-03 00</t>
  </si>
  <si>
    <t xml:space="preserve"> (-5.929999999999999</t>
  </si>
  <si>
    <t xml:space="preserve"> (-12.079999999999998</t>
  </si>
  <si>
    <t xml:space="preserve"> (-25.109999999999996</t>
  </si>
  <si>
    <t xml:space="preserve"> (-5.352963325658109</t>
  </si>
  <si>
    <t xml:space="preserve"> (-5.303148982977561</t>
  </si>
  <si>
    <t xml:space="preserve"> (-11.070000000000006</t>
  </si>
  <si>
    <t xml:space="preserve"> Timestamp('2017-08-14 00</t>
  </si>
  <si>
    <t xml:space="preserve"> (-5.550000000000001</t>
  </si>
  <si>
    <t xml:space="preserve"> Timestamp('2020-09-01 00</t>
  </si>
  <si>
    <t xml:space="preserve"> (-16.880000000000006</t>
  </si>
  <si>
    <t xml:space="preserve"> (-8.316902841312647</t>
  </si>
  <si>
    <t xml:space="preserve"> (-3.440000000000005</t>
  </si>
  <si>
    <t xml:space="preserve"> (-4.689999999999999</t>
  </si>
  <si>
    <t xml:space="preserve"> (-5.770000000000001</t>
  </si>
  <si>
    <t xml:space="preserve"> (-4.139999999999999</t>
  </si>
  <si>
    <t xml:space="preserve"> (-10.21</t>
  </si>
  <si>
    <t xml:space="preserve"> (-4.259999999999998</t>
  </si>
  <si>
    <t xml:space="preserve"> (-14.469999999999999</t>
  </si>
  <si>
    <t xml:space="preserve"> (-1.69</t>
  </si>
  <si>
    <t xml:space="preserve"> Timestamp('2010-05-06 00</t>
  </si>
  <si>
    <t xml:space="preserve"> (-2.1199999999999983</t>
  </si>
  <si>
    <t xml:space="preserve"> (-5.0000000000000036</t>
  </si>
  <si>
    <t xml:space="preserve"> (-7.270000000000003</t>
  </si>
  <si>
    <t xml:space="preserve"> (-4.379999999999999</t>
  </si>
  <si>
    <t xml:space="preserve"> (-16.800000000000004</t>
  </si>
  <si>
    <t xml:space="preserve"> (-4.500000000000002</t>
  </si>
  <si>
    <t xml:space="preserve"> (-6.57</t>
  </si>
  <si>
    <t xml:space="preserve"> Timestamp('2023-07-07 00</t>
  </si>
  <si>
    <t xml:space="preserve"> (-7.600000000000003</t>
  </si>
  <si>
    <t xml:space="preserve"> (-13.400000000000006</t>
  </si>
  <si>
    <t xml:space="preserve"> (-3.940000000000018</t>
  </si>
  <si>
    <t xml:space="preserve"> (-7.880000000000036</t>
  </si>
  <si>
    <t xml:space="preserve"> (-12.170000000000002</t>
  </si>
  <si>
    <t xml:space="preserve"> (-7.890000000000036</t>
  </si>
  <si>
    <t xml:space="preserve"> (-12.389999999999999</t>
  </si>
  <si>
    <t xml:space="preserve"> (-4.212194795748653</t>
  </si>
  <si>
    <t xml:space="preserve"> (-6.220000000000001</t>
  </si>
  <si>
    <t xml:space="preserve"> (-7.750000000000001</t>
  </si>
  <si>
    <t xml:space="preserve"> (-10.220000000000002</t>
  </si>
  <si>
    <t xml:space="preserve"> (-5.510000000000001</t>
  </si>
  <si>
    <t xml:space="preserve"> Timestamp('2011-05-11 00</t>
  </si>
  <si>
    <t xml:space="preserve"> (-4.769999999999998</t>
  </si>
  <si>
    <t xml:space="preserve"> (-3.4399999999999995</t>
  </si>
  <si>
    <t xml:space="preserve"> (-5.549999999999999</t>
  </si>
  <si>
    <t xml:space="preserve"> (-8.049999999999999</t>
  </si>
  <si>
    <t xml:space="preserve"> (-3.820000000000001</t>
  </si>
  <si>
    <t xml:space="preserve"> (-12.659999999999995</t>
  </si>
  <si>
    <t xml:space="preserve"> (-4.709999999999999</t>
  </si>
  <si>
    <t xml:space="preserve"> (-5.285575930913329</t>
  </si>
  <si>
    <t xml:space="preserve"> (-9.12</t>
  </si>
  <si>
    <t xml:space="preserve"> Timestamp('2013-11-15 00</t>
  </si>
  <si>
    <t xml:space="preserve"> (-6.13142914672345</t>
  </si>
  <si>
    <t xml:space="preserve"> (-6.634590337395583</t>
  </si>
  <si>
    <t xml:space="preserve"> (-15.26</t>
  </si>
  <si>
    <t xml:space="preserve"> Timestamp('2017-09-07 00</t>
  </si>
  <si>
    <t xml:space="preserve"> (-2.2700000000000005</t>
  </si>
  <si>
    <t xml:space="preserve"> (-7.140000000000001</t>
  </si>
  <si>
    <t xml:space="preserve"> Timestamp('2017-08-03 00</t>
  </si>
  <si>
    <t xml:space="preserve"> (-7.689999999999999</t>
  </si>
  <si>
    <t xml:space="preserve"> (-3.5700000000000003</t>
  </si>
  <si>
    <t xml:space="preserve"> (-5.41</t>
  </si>
  <si>
    <t xml:space="preserve"> (-14.849999999999996</t>
  </si>
  <si>
    <t xml:space="preserve"> (-2.119999999999999</t>
  </si>
  <si>
    <t xml:space="preserve"> (-3.9800000000000004</t>
  </si>
  <si>
    <t xml:space="preserve"> Timestamp('2013-11-04 00</t>
  </si>
  <si>
    <t xml:space="preserve"> (-8.8</t>
  </si>
  <si>
    <t xml:space="preserve"> Timestamp('2013-02-08 00</t>
  </si>
  <si>
    <t xml:space="preserve"> (-20.73</t>
  </si>
  <si>
    <t xml:space="preserve"> (-2.848651640833433</t>
  </si>
  <si>
    <t xml:space="preserve"> (-4.698651640833434</t>
  </si>
  <si>
    <t xml:space="preserve"> (-5.200000000000001</t>
  </si>
  <si>
    <t xml:space="preserve"> (-5.233856188556304</t>
  </si>
  <si>
    <t xml:space="preserve"> (-8.228651640833434</t>
  </si>
  <si>
    <t xml:space="preserve"> (-5.9499999999999975</t>
  </si>
  <si>
    <t xml:space="preserve"> (-17.730000000000004</t>
  </si>
  <si>
    <t xml:space="preserve"> (-6.809999999999999</t>
  </si>
  <si>
    <t xml:space="preserve"> (-8.61</t>
  </si>
  <si>
    <t xml:space="preserve"> (-5.800000000000001</t>
  </si>
  <si>
    <t xml:space="preserve"> (-9.439999999999996</t>
  </si>
  <si>
    <t xml:space="preserve"> (-7.339999999999999</t>
  </si>
  <si>
    <t xml:space="preserve"> (-11.05</t>
  </si>
  <si>
    <t xml:space="preserve"> (-4.029999999999998</t>
  </si>
  <si>
    <t xml:space="preserve"> Timestamp('2013-11-13 00</t>
  </si>
  <si>
    <t xml:space="preserve"> (-2.990000000000001</t>
  </si>
  <si>
    <t xml:space="preserve"> (-3.9800000000000013</t>
  </si>
  <si>
    <t xml:space="preserve"> (-4.08616864793337</t>
  </si>
  <si>
    <t xml:space="preserve"> (-4.029999999999999</t>
  </si>
  <si>
    <t xml:space="preserve"> Timestamp('2015-05-27 00</t>
  </si>
  <si>
    <t xml:space="preserve"> (-2.6300000000000003</t>
  </si>
  <si>
    <t xml:space="preserve"> (-3.200000000000001</t>
  </si>
  <si>
    <t xml:space="preserve"> (-5.850000000000001</t>
  </si>
  <si>
    <t xml:space="preserve"> Timestamp('2020-02-03 00</t>
  </si>
  <si>
    <t xml:space="preserve"> (-2.79</t>
  </si>
  <si>
    <t xml:space="preserve"> Timestamp('2012-10-10 00</t>
  </si>
  <si>
    <t xml:space="preserve"> Timestamp('2017-08-09 00</t>
  </si>
  <si>
    <t xml:space="preserve"> (-4.840000000000002</t>
  </si>
  <si>
    <t xml:space="preserve"> (-5.229999999999999</t>
  </si>
  <si>
    <t xml:space="preserve"> (-3.3400000000000016</t>
  </si>
  <si>
    <t xml:space="preserve"> (-5.219999999999999</t>
  </si>
  <si>
    <t xml:space="preserve"> Timestamp('2019-12-06 00</t>
  </si>
  <si>
    <t xml:space="preserve"> (-6.199999999999998</t>
  </si>
  <si>
    <t xml:space="preserve"> (-6.000000000000002</t>
  </si>
  <si>
    <t xml:space="preserve"> (-3.9500000000000024</t>
  </si>
  <si>
    <t xml:space="preserve"> Timestamp('2013-10-28 00</t>
  </si>
  <si>
    <t xml:space="preserve"> (-2.630000000000001</t>
  </si>
  <si>
    <t xml:space="preserve"> (-15.550000000000002</t>
  </si>
  <si>
    <t xml:space="preserve"> (-4.48</t>
  </si>
  <si>
    <t xml:space="preserve"> (-3.3896137947887865</t>
  </si>
  <si>
    <t xml:space="preserve"> Timestamp('2020-11-20 00</t>
  </si>
  <si>
    <t xml:space="preserve"> (-6.315498787472178</t>
  </si>
  <si>
    <t xml:space="preserve"> Timestamp('2020-09-23 00</t>
  </si>
  <si>
    <t xml:space="preserve"> (-3.269999999999999</t>
  </si>
  <si>
    <t xml:space="preserve"> (-3.900000000000002</t>
  </si>
  <si>
    <t xml:space="preserve"> (-4.37999999999999</t>
  </si>
  <si>
    <t xml:space="preserve"> Timestamp('2010-02-11 00</t>
  </si>
  <si>
    <t xml:space="preserve"> (-8.900000000000004</t>
  </si>
  <si>
    <t xml:space="preserve"> (-5.70000000000001</t>
  </si>
  <si>
    <t xml:space="preserve"> (-6.609999999999999</t>
  </si>
  <si>
    <t xml:space="preserve"> (-3.79</t>
  </si>
  <si>
    <t xml:space="preserve"> Timestamp('2018-10-12 00</t>
  </si>
  <si>
    <t xml:space="preserve"> (-8.679999999999996</t>
  </si>
  <si>
    <t xml:space="preserve"> (-4.443606087302552</t>
  </si>
  <si>
    <t xml:space="preserve"> (-6.450000000000003</t>
  </si>
  <si>
    <t xml:space="preserve"> (-5.350000000000001</t>
  </si>
  <si>
    <t xml:space="preserve"> (-6.480000000000014</t>
  </si>
  <si>
    <t xml:space="preserve"> (-8.129999999999995</t>
  </si>
  <si>
    <t xml:space="preserve"> (-2.1999999999999997</t>
  </si>
  <si>
    <t xml:space="preserve"> Timestamp('2015-01-06 00</t>
  </si>
  <si>
    <t xml:space="preserve"> Timestamp('2022-06-14 00</t>
  </si>
  <si>
    <t xml:space="preserve"> (-3.700000000000003</t>
  </si>
  <si>
    <t xml:space="preserve"> (-8.800000000000002</t>
  </si>
  <si>
    <t xml:space="preserve"> (-3.7400000000000047</t>
  </si>
  <si>
    <t xml:space="preserve"> (-4.830000000000002</t>
  </si>
  <si>
    <t xml:space="preserve"> Timestamp('2010-05-10 00</t>
  </si>
  <si>
    <t xml:space="preserve"> (-4.88</t>
  </si>
  <si>
    <t xml:space="preserve"> (-4.539999999999997</t>
  </si>
  <si>
    <t xml:space="preserve"> (-4.859999999999999</t>
  </si>
  <si>
    <t xml:space="preserve"> Timestamp('2017-12-13 00</t>
  </si>
  <si>
    <t xml:space="preserve"> (-5.999999999999998</t>
  </si>
  <si>
    <t xml:space="preserve"> (-8.509999999999978</t>
  </si>
  <si>
    <t xml:space="preserve"> (-7.189999999999994</t>
  </si>
  <si>
    <t xml:space="preserve"> Timestamp('2017-12-27 00</t>
  </si>
  <si>
    <t xml:space="preserve"> (-4.300000000000001</t>
  </si>
  <si>
    <t xml:space="preserve"> (-7.880000000000006</t>
  </si>
  <si>
    <t xml:space="preserve"> Timestamp('2018-02-08 00</t>
  </si>
  <si>
    <t xml:space="preserve"> (-6.199999999999999</t>
  </si>
  <si>
    <t xml:space="preserve"> (-6.630000000000003</t>
  </si>
  <si>
    <t xml:space="preserve"> (-9.050000000000002</t>
  </si>
  <si>
    <t xml:space="preserve"> (-3.3399999999999928</t>
  </si>
  <si>
    <t xml:space="preserve"> (-4.179999999999991</t>
  </si>
  <si>
    <t xml:space="preserve"> (-2.080000000000001</t>
  </si>
  <si>
    <t xml:space="preserve"> (-2.8599999999999977</t>
  </si>
  <si>
    <t xml:space="preserve"> (-5.07</t>
  </si>
  <si>
    <t xml:space="preserve"> Timestamp('2016-01-22 00</t>
  </si>
  <si>
    <t xml:space="preserve"> (-4.150000000000002</t>
  </si>
  <si>
    <t xml:space="preserve"> Timestamp('2020-12-23 00</t>
  </si>
  <si>
    <t xml:space="preserve"> (-6.1</t>
  </si>
  <si>
    <t xml:space="preserve"> (-5.859999999999984</t>
  </si>
  <si>
    <t xml:space="preserve"> (-8.380000000000013</t>
  </si>
  <si>
    <t xml:space="preserve"> (-3.650000000000002</t>
  </si>
  <si>
    <t xml:space="preserve"> (-5.200000000000012</t>
  </si>
  <si>
    <t xml:space="preserve"> (-10.400000000000023</t>
  </si>
  <si>
    <t xml:space="preserve"> (-2.929999999999992</t>
  </si>
  <si>
    <t xml:space="preserve"> (-6.240000000000001</t>
  </si>
  <si>
    <t xml:space="preserve"> (-5.700000000000003</t>
  </si>
  <si>
    <t xml:space="preserve"> (-8.60999999999998</t>
  </si>
  <si>
    <t xml:space="preserve"> (-2.320000000000002</t>
  </si>
  <si>
    <t xml:space="preserve"> Timestamp('2010-08-25 00</t>
  </si>
  <si>
    <t xml:space="preserve"> (-2.909999999999992</t>
  </si>
  <si>
    <t xml:space="preserve"> (-12.100000000000005</t>
  </si>
  <si>
    <t xml:space="preserve"> (-9.179999999999996</t>
  </si>
  <si>
    <t xml:space="preserve"> (-17.250000000000004</t>
  </si>
  <si>
    <t xml:space="preserve"> (-6.309999999999989</t>
  </si>
  <si>
    <t xml:space="preserve"> (-5.180000000000001</t>
  </si>
  <si>
    <t xml:space="preserve"> (-3.5399999999999974</t>
  </si>
  <si>
    <t xml:space="preserve"> Timestamp('2015-01-08 00</t>
  </si>
  <si>
    <t xml:space="preserve"> (-4.429999999999989</t>
  </si>
  <si>
    <t xml:space="preserve"> (-1.4899999999999984</t>
  </si>
  <si>
    <t xml:space="preserve"> (-2.2</t>
  </si>
  <si>
    <t xml:space="preserve"> Timestamp('2013-12-04 00</t>
  </si>
  <si>
    <t xml:space="preserve"> Timestamp('2014-12-15 00</t>
  </si>
  <si>
    <t xml:space="preserve"> Timestamp('2010-05-07 00</t>
  </si>
  <si>
    <t xml:space="preserve"> (-4.27</t>
  </si>
  <si>
    <t xml:space="preserve"> (-12.900000000000006</t>
  </si>
  <si>
    <t xml:space="preserve"> (-7.78999999999998</t>
  </si>
  <si>
    <t xml:space="preserve"> (-2.520000000000007</t>
  </si>
  <si>
    <t xml:space="preserve"> (-3.5999999999999988</t>
  </si>
  <si>
    <t xml:space="preserve"> Timestamp('2012-05-07 00</t>
  </si>
  <si>
    <t xml:space="preserve"> (-3.7299999999999898</t>
  </si>
  <si>
    <t xml:space="preserve"> (-3.940000000000003</t>
  </si>
  <si>
    <t xml:space="preserve"> (-5.230000000000002</t>
  </si>
  <si>
    <t xml:space="preserve"> (-3.7600000000000007</t>
  </si>
  <si>
    <t xml:space="preserve"> (-9.600000000000001</t>
  </si>
  <si>
    <t xml:space="preserve"> (-10.290000000000003</t>
  </si>
  <si>
    <t xml:space="preserve"> (-7.480000000000009</t>
  </si>
  <si>
    <t xml:space="preserve"> (-3.950000000000001</t>
  </si>
  <si>
    <t xml:space="preserve"> (-5.590000000000002</t>
  </si>
  <si>
    <t xml:space="preserve"> (-3.909999999999984</t>
  </si>
  <si>
    <t xml:space="preserve"> (-9.0</t>
  </si>
  <si>
    <t xml:space="preserve"> (-12.889999999999969</t>
  </si>
  <si>
    <t xml:space="preserve"> (-3.120000000000001</t>
  </si>
  <si>
    <t xml:space="preserve"> Timestamp('2020-07-13 00</t>
  </si>
  <si>
    <t xml:space="preserve"> (-5.330000000000002</t>
  </si>
  <si>
    <t xml:space="preserve"> (-11.8</t>
  </si>
  <si>
    <t xml:space="preserve"> (-4.6</t>
  </si>
  <si>
    <t xml:space="preserve"> (-4.159999999999992</t>
  </si>
  <si>
    <t xml:space="preserve"> (-8.029999999999976</t>
  </si>
  <si>
    <t xml:space="preserve"> (-4.650000000000002</t>
  </si>
  <si>
    <t xml:space="preserve"> (-5.829999999999999</t>
  </si>
  <si>
    <t xml:space="preserve"> (-6.6999999999999975</t>
  </si>
  <si>
    <t xml:space="preserve"> Timestamp('2010-02-03 00</t>
  </si>
  <si>
    <t xml:space="preserve"> (-9.549999999999997</t>
  </si>
  <si>
    <t xml:space="preserve"> (-5.649999999999999</t>
  </si>
  <si>
    <t xml:space="preserve"> (-3.4800000000000013</t>
  </si>
  <si>
    <t xml:space="preserve"> (-4.880000000000003</t>
  </si>
  <si>
    <t xml:space="preserve"> Timestamp('2022-12-22 00</t>
  </si>
  <si>
    <t xml:space="preserve"> (-5.300000000000001</t>
  </si>
  <si>
    <t xml:space="preserve"> (-8.050000000000002</t>
  </si>
  <si>
    <t xml:space="preserve"> (-18.250000000000007</t>
  </si>
  <si>
    <t xml:space="preserve"> (-3.92999999999999</t>
  </si>
  <si>
    <t xml:space="preserve"> (-4.339999999999996</t>
  </si>
  <si>
    <t xml:space="preserve"> (-15.62999999999996</t>
  </si>
  <si>
    <t xml:space="preserve"> (-15.179999999999971</t>
  </si>
  <si>
    <t xml:space="preserve"> (-7.309999999999997</t>
  </si>
  <si>
    <t xml:space="preserve"> (-24.949999999999996</t>
  </si>
  <si>
    <t xml:space="preserve"> (-6.539999999999998</t>
  </si>
  <si>
    <t xml:space="preserve"> (-15.430000000000042</t>
  </si>
  <si>
    <t xml:space="preserve"> (-19.29000000000005</t>
  </si>
  <si>
    <t xml:space="preserve"> (-7.003714861408049</t>
  </si>
  <si>
    <t xml:space="preserve"> (-8.081108508032141</t>
  </si>
  <si>
    <t xml:space="preserve"> (-23.16593187747233</t>
  </si>
  <si>
    <t xml:space="preserve"> (-4.31000000000001</t>
  </si>
  <si>
    <t xml:space="preserve"> (-9.079999999999984</t>
  </si>
  <si>
    <t xml:space="preserve"> (-10.039999999999978</t>
  </si>
  <si>
    <t xml:space="preserve"> (-12.750000000000005</t>
  </si>
  <si>
    <t xml:space="preserve"> (-5.880000000000004</t>
  </si>
  <si>
    <t xml:space="preserve"> (-3.919999999999991</t>
  </si>
  <si>
    <t xml:space="preserve"> Timestamp('2013-06-13 00</t>
  </si>
  <si>
    <t xml:space="preserve"> (-7.950000000000001</t>
  </si>
  <si>
    <t xml:space="preserve"> (-5.303741855303215</t>
  </si>
  <si>
    <t xml:space="preserve"> (-21.880000000000003</t>
  </si>
  <si>
    <t xml:space="preserve"> (-13.41</t>
  </si>
  <si>
    <t xml:space="preserve"> (-18.449999999999992</t>
  </si>
  <si>
    <t xml:space="preserve"> Timestamp('2019-05-30 00</t>
  </si>
  <si>
    <t xml:space="preserve"> (-7.510000000000001</t>
  </si>
  <si>
    <t xml:space="preserve"> (-9.15000000000002</t>
  </si>
  <si>
    <t xml:space="preserve"> (-12.629999999999997</t>
  </si>
  <si>
    <t xml:space="preserve"> (-4.3</t>
  </si>
  <si>
    <t xml:space="preserve"> (-19.219999999999995</t>
  </si>
  <si>
    <t xml:space="preserve"> (-5.349999999999998</t>
  </si>
  <si>
    <t xml:space="preserve"> (-4.460000000000001</t>
  </si>
  <si>
    <t xml:space="preserve"> (-6.04</t>
  </si>
  <si>
    <t xml:space="preserve"> (-8.159999999999993</t>
  </si>
  <si>
    <t xml:space="preserve"> (-5.250000000000002</t>
  </si>
  <si>
    <t xml:space="preserve"> (-7.1999999999999975</t>
  </si>
  <si>
    <t xml:space="preserve"> (-12.45</t>
  </si>
  <si>
    <t xml:space="preserve"> (-6.790000000000024</t>
  </si>
  <si>
    <t xml:space="preserve"> (-7.030000000000003</t>
  </si>
  <si>
    <t xml:space="preserve"> Timestamp('2011-04-13 00</t>
  </si>
  <si>
    <t xml:space="preserve"> (-7.660000000000007</t>
  </si>
  <si>
    <t xml:space="preserve"> Timestamp('2021-12-16 00</t>
  </si>
  <si>
    <t xml:space="preserve"> (-13.159999999999993</t>
  </si>
  <si>
    <t xml:space="preserve"> (-4.8128353137590185</t>
  </si>
  <si>
    <t xml:space="preserve"> (-8.560000000000006</t>
  </si>
  <si>
    <t xml:space="preserve"> (-8.620000000000001</t>
  </si>
  <si>
    <t xml:space="preserve"> (-13.440000000000008</t>
  </si>
  <si>
    <t xml:space="preserve"> Timestamp('2022-11-24 00</t>
  </si>
  <si>
    <t xml:space="preserve"> (-17.394258199802323</t>
  </si>
  <si>
    <t xml:space="preserve"> (-10.019999999999976</t>
  </si>
  <si>
    <t xml:space="preserve"> (-18.33999999999996</t>
  </si>
  <si>
    <t xml:space="preserve"> (-5.1</t>
  </si>
  <si>
    <t xml:space="preserve"> (-6.300000000000001</t>
  </si>
  <si>
    <t xml:space="preserve"> (-7.049999999999997</t>
  </si>
  <si>
    <t xml:space="preserve"> (-9.809999999999997</t>
  </si>
  <si>
    <t xml:space="preserve"> (-11.96</t>
  </si>
  <si>
    <t xml:space="preserve"> (-19.250000000000007</t>
  </si>
  <si>
    <t xml:space="preserve"> (-4.76000000000001</t>
  </si>
  <si>
    <t xml:space="preserve"> (-11.249999999999977</t>
  </si>
  <si>
    <t xml:space="preserve"> (-11.569999999999999</t>
  </si>
  <si>
    <t xml:space="preserve"> (-10.209999999999997</t>
  </si>
  <si>
    <t xml:space="preserve"> (-4.8100000000000005</t>
  </si>
  <si>
    <t xml:space="preserve"> (-6.270000000000003</t>
  </si>
  <si>
    <t xml:space="preserve"> (-7.969999999999998</t>
  </si>
  <si>
    <t xml:space="preserve"> (-9.220000000000002</t>
  </si>
  <si>
    <t xml:space="preserve"> (-3.290000000000008</t>
  </si>
  <si>
    <t xml:space="preserve"> (-6.0699999999999985</t>
  </si>
  <si>
    <t xml:space="preserve"> (-6.341507364215072</t>
  </si>
  <si>
    <t xml:space="preserve"> (-6.7500000000000036</t>
  </si>
  <si>
    <t xml:space="preserve"> (-4.330000000000001</t>
  </si>
  <si>
    <t xml:space="preserve"> (-10.16884138436636</t>
  </si>
  <si>
    <t xml:space="preserve"> (-11.600000000000005</t>
  </si>
  <si>
    <t>P': [('delta', -0.5, -1), ('delta', -0.26, 2)]}_[21, 49]_10 :</t>
    <phoneticPr fontId="2" type="noConversion"/>
  </si>
  <si>
    <t>stoch_no_highvol_[42, 70]_4 :{'n': 259, 'win': 105, 'total_ret': -18.18574985474336, 'avg_ret': -0.07021525040441452, 'avg_win': 1.1716190476190473, 'avg_loss': -0.9169204536022295, 'vol': 0.434428492647183, 'single_strat_mdd': (-3.8699999999999957, Timestamp('2018-02-08 00:00:00')), 'net_liq_mdd': (-4.83, Timestamp('2012-10-10 00:00:00'))}</t>
  </si>
  <si>
    <t xml:space="preserve"> (-11.800893697761824</t>
  </si>
  <si>
    <t xml:space="preserve"> (-24.080000000000005</t>
  </si>
  <si>
    <t xml:space="preserve"> (-40.229999999999954</t>
  </si>
  <si>
    <t xml:space="preserve"> (-2.41</t>
  </si>
  <si>
    <t xml:space="preserve"> (-5.019999999999996</t>
  </si>
  <si>
    <t>bbands_no_highvol_[42</t>
  </si>
  <si>
    <t xml:space="preserve"> (-1.7200000000000002</t>
  </si>
  <si>
    <t xml:space="preserve"> (-3.6000000000000028</t>
  </si>
  <si>
    <t xml:space="preserve"> Timestamp('2012-07-12 00</t>
  </si>
  <si>
    <t xml:space="preserve"> (-3.980000000000013</t>
  </si>
  <si>
    <t xml:space="preserve"> (-4.129999999999999</t>
  </si>
  <si>
    <t xml:space="preserve"> (-2.749999999999991</t>
  </si>
  <si>
    <t xml:space="preserve"> Timestamp('2017-12-14 00</t>
  </si>
  <si>
    <t xml:space="preserve"> (-4.5</t>
  </si>
  <si>
    <t xml:space="preserve"> Timestamp('2010-05-11 00</t>
  </si>
  <si>
    <t xml:space="preserve"> (-5.8500000000000005</t>
  </si>
  <si>
    <t xml:space="preserve"> Timestamp('2020-06-11 00</t>
  </si>
  <si>
    <t xml:space="preserve"> (-3.189999999999989</t>
  </si>
  <si>
    <t xml:space="preserve"> (-3.8699999999999957</t>
  </si>
  <si>
    <t>stoch_no_highvol_[42</t>
  </si>
  <si>
    <t xml:space="preserve"> (-1.8799999999999928</t>
  </si>
  <si>
    <t xml:space="preserve"> (-2.7999999999999936</t>
  </si>
  <si>
    <t xml:space="preserve"> Timestamp('2019-08-08 00</t>
  </si>
  <si>
    <t>alltime_'P': [('delta', -0.5, -1), ('delta', -0.26, 2)]}_[42, 70]_0.5 :</t>
  </si>
  <si>
    <t>psar_'P': [('number', 0, -1), ('number', -7.5, 2)]}_[42, 70]_4 :</t>
  </si>
  <si>
    <t>psar_no_highvol_'P': [('number', 0, -1), ('number', -7.5, 2)]}_[42, 70]_4 :</t>
  </si>
  <si>
    <t>bbands_no_highvol_'P': [('delta', -0.4, -1), ('delta', -0.21, 2)]}_[42, 70]_10 :</t>
  </si>
  <si>
    <t>psar_no_highvol_'P': [('number', 0, -1), ('number', -5, 2)]}_[21, 49]_10 :</t>
  </si>
  <si>
    <t>psar_no_highvol_'P': [('number', 0, -1), ('number', -5, 2)]}_[42, 70]_7 :</t>
  </si>
  <si>
    <t>bbands_no_highvol_'P': [('delta', -0.5, -1), ('delta', -0.26, 2)]}_[42, 70]_10 :</t>
  </si>
  <si>
    <t>bbands_no_highvol_'P': [('delta', -0.4, -1), ('delta', -0.21, 2)]}_[42, 70]_7 :</t>
  </si>
  <si>
    <t>psar_no_highvol_'P': [('number', 0, -1), ('number', -5, 2)]}_[21, 49]_7 :</t>
  </si>
  <si>
    <t>psar_no_highvol_'P': [('number', 0, -1), ('number', -7.5, 2)]}_[21, 49]_10 :</t>
  </si>
  <si>
    <t>bbands_no_highvol_'P': [('delta', -0.5, -1), ('delta', -0.26, 2)]}_[42, 70]_4 :</t>
  </si>
  <si>
    <t>psar_'P': [('number', 0, -1), ('number', -5, 2)]}_[21, 49]_7 :</t>
  </si>
  <si>
    <t>bbands_'P': [('delta', -0.4, -1), ('delta', -0.21, 2)]}_[42, 70]_10 :</t>
  </si>
  <si>
    <t>alltime_'P': [('number', 0, -1), ('number', -5, 2)]}_[42, 70]_1 :</t>
  </si>
  <si>
    <t>stoch_'P': [('delta', -0.5, -1), ('delta', -0.26, 2)]}_[42, 70]_0.5 :</t>
  </si>
  <si>
    <t>bbands_no_highvol_'P': [('delta', -0.5, -1), ('delta', -0.26, 2)]}_[42, 70]_2 :</t>
  </si>
  <si>
    <t>bbands_no_highvol_'P': [('delta', -0.5, -1), ('delta', -0.26, 2)]}_[42, 70]_0.5 :</t>
  </si>
  <si>
    <t>bbands_no_highvol_'P': [('delta', -0.3, -1), ('delta', -0.16, 2)]}_[42, 70]_10 :</t>
  </si>
  <si>
    <t>bbands_no_highvol_'P': [('delta', -0.3, -1), ('delta', -0.16, 2)]}_[42, 70]_7 :</t>
  </si>
  <si>
    <t>psar_'P': [('number', 0, -1), ('number', -5, 2)]}_[42, 70]_7 :</t>
  </si>
  <si>
    <t>stoch_no_highvol_'P': [('delta', -0.5, -1), ('delta', -0.26, 2)]}_[7, 35]_10 :</t>
  </si>
  <si>
    <t>psar_no_highvol_'P': [('number', 0, -1), ('number', -5, 2)]}_[42, 70]_10 :</t>
  </si>
  <si>
    <t>psar_no_highvol_'P': [('number', 0, -1), ('number', -7.5, 2)]}_[21, 49]_7 :</t>
  </si>
  <si>
    <t>psar_'P': [('number', 0, -1), ('number', -7.5, 2)]}_[21, 49]_10 :</t>
  </si>
  <si>
    <t>psar_'P': [('number', 0, -1), ('number', -7.5, 2)]}_[42, 70]_2 :</t>
  </si>
  <si>
    <t>psar_no_highvol_'P': [('number', 0, -1), ('number', -7.5, 2)]}_[42, 70]_7 :</t>
  </si>
  <si>
    <t>psar_no_highvol_'P': [('number', 0, -1), ('number', -7.5, 2)]}_[42, 70]_2 :</t>
  </si>
  <si>
    <t>psar_'P': [('number', 0, -1), ('number', -7.5, 2)]}_[21, 49]_4 :</t>
  </si>
  <si>
    <t>psar_no_highvol_'P': [('number', 0, -1), ('number', -7.5, 2)]}_[42, 70]_10 :</t>
  </si>
  <si>
    <t>bbands_no_highvol_'P': [('delta', -0.5, -1), ('delta', -0.26, 2)]}_[42, 70]_1 :</t>
  </si>
  <si>
    <t>rsi_'P': [('number', 0, -1), ('number', -7.5, 2)]}_[42, 70]_2 :</t>
  </si>
  <si>
    <t>stoch_'P': [('number', 0, -1), ('number', -5, 2)]}_[42, 70]_7 :</t>
  </si>
  <si>
    <t>bbands_no_highvol_'P': [('delta', -0.5, -1), ('delta', -0.26, 2)]}_[42, 70]_7 :</t>
  </si>
  <si>
    <t>bbands_'P': [('delta', -0.5, -1), ('delta', -0.26, 2)]}_[42, 70]_4 :</t>
  </si>
  <si>
    <t>psar_'P': [('number', 0, -1), ('number', -5, 2)]}_[21, 49]_10 :</t>
  </si>
  <si>
    <t>psar_no_highvol_'P': [('number', 0, -1), ('number', -7.5, 2)]}_[21, 49]_4 :</t>
  </si>
  <si>
    <t>bbands_no_highvol_'P': [('delta', -0.3, -1), ('delta', -0.16, 2)]}_[7, 35]_10 :</t>
  </si>
  <si>
    <t>psar_no_highvol_'P': [('number', 0, -1), ('number', -7.5, 2)]}_[42, 70]_0.5 :</t>
  </si>
  <si>
    <t>bbands_'P': [('delta', -0.4, -1), ('delta', -0.21, 2)]}_[42, 70]_7 :</t>
  </si>
  <si>
    <t>psar_'P': [('number', 0, -1), ('number', -7.5, 2)]}_[42, 70]_7 :</t>
  </si>
  <si>
    <t>bbands_'P': [('delta', -0.5, -1), ('delta', -0.26, 2)]}_[42, 70]_0.5 :</t>
  </si>
  <si>
    <t>bbands_no_highvol_'P': [('delta', -0.4, -1), ('delta', -0.21, 2)]}_[42, 70]_2 :</t>
  </si>
  <si>
    <t>psar_'P': [('number', 0, -1), ('number', -7.5, 2)]}_[42, 70]_0.5 :</t>
  </si>
  <si>
    <t>psar_'P': [('number', 0, -1), ('number', -7.5, 2)]}_[42, 70]_10 :</t>
  </si>
  <si>
    <t>bbands_'P': [('delta', -0.5, -1), ('delta', -0.26, 2)]}_[42, 70]_10 :</t>
  </si>
  <si>
    <t>stoch_no_highvol_'P': [('delta', -0.5, -1), ('delta', -0.26, 2)]}_[7, 35]_7 :</t>
  </si>
  <si>
    <t>rsi_'P': [('number', 0, -1), ('number', -5, 2)]}_[42, 70]_1 :</t>
  </si>
  <si>
    <t>psar_'P': [('number', 0, -1), ('number', -7.5, 2)]}_[21, 49]_7 :</t>
  </si>
  <si>
    <t>bbands_no_highvol_'P': [('number', 0, -1), ('number', -7.5, 2)]}_[7, 35]_4 :</t>
  </si>
  <si>
    <t>stoch_'P': [('number', 0, -1), ('number', -5, 2)]}_[42, 70]_4 :</t>
  </si>
  <si>
    <t>psar_'P': [('number', 0, -1), ('number', -5, 2)]}_[42, 70]_10 :</t>
  </si>
  <si>
    <t>psar_no_highvol_'P': [('delta', -0.4, -1), ('delta', -0.21, 2)]}_[21, 49]_4 :</t>
  </si>
  <si>
    <t>bbands_'P': [('delta', -0.3, -1), ('delta', -0.16, 2)]}_[42, 70]_10 :</t>
  </si>
  <si>
    <t>psar_'P': [('delta', -0.5, -1), ('delta', -0.26, 2)]}_[42, 70]_4 :</t>
  </si>
  <si>
    <t>bbands_'P': [('delta', -0.5, -1), ('delta', -0.26, 2)]}_[42, 70]_2 :</t>
  </si>
  <si>
    <t>rsi_'P': [('number', 0, -1), ('number', -7.5, 2)]}_[42, 70]_0.5 :</t>
  </si>
  <si>
    <t>bbands_'P': [('delta', -0.3, -1), ('delta', -0.16, 2)]}_[42, 70]_7 :</t>
  </si>
  <si>
    <t>psar_no_highvol_'P': [('delta', -0.4, -1), ('delta', -0.21, 2)]}_[42, 70]_2 :</t>
  </si>
  <si>
    <t>psar_no_highvol_'P': [('number', 0, -1), ('number', -7.5, 2)]}_[42, 70]_1 :</t>
  </si>
  <si>
    <t>psar_no_highvol_'P': [('number', 0, -1), ('number', -5, 2)]}_[21, 49]_4 :</t>
  </si>
  <si>
    <t>bbands_'P': [('delta', -0.4, -1), ('delta', -0.21, 2)]}_[42, 70]_2 :</t>
  </si>
  <si>
    <t>psar_no_highvol_'P': [('delta', -0.5, -1), ('delta', -0.26, 2)]}_[42, 70]_4 :</t>
  </si>
  <si>
    <t>bbands_no_highvol_'P': [('delta', -0.3, -1), ('delta', -0.16, 2)]}_[7, 35]_7 :</t>
  </si>
  <si>
    <t>rsi_'P': [('number', 0, -1), ('number', -7.5, 2)]}_[42, 70]_1 :</t>
  </si>
  <si>
    <t>bbands_no_highvol_'P': [('delta', -0.3, -1), ('delta', -0.16, 2)]}_[42, 70]_1 :</t>
  </si>
  <si>
    <t>psar_no_highvol_'P': [('delta', -0.4, -1), ('delta', -0.21, 2)]}_[21, 49]_7 :</t>
  </si>
  <si>
    <t>psar_'P': [('number', 0, -1), ('number', -7.5, 2)]}_[42, 70]_1 :</t>
  </si>
  <si>
    <t>stoch_no_highvol_'P': [('delta', -0.3, -1), ('delta', -0.16, 2)]}_[42, 70]_7 :</t>
  </si>
  <si>
    <t>bbands_'P': [('delta', -0.5, -1), ('delta', -0.26, 2)]}_[42, 70]_7 :</t>
  </si>
  <si>
    <t>psar_'P': [('delta', -0.4, -1), ('delta', -0.21, 2)]}_[21, 49]_4 :</t>
  </si>
  <si>
    <t>rsi_'P': [('delta', -0.5, -1), ('delta', -0.26, 2)]}_[42, 70]_0.5 :</t>
  </si>
  <si>
    <t>bbands_no_highvol_'P': [('number', 0, -1), ('number', -7.5, 2)]}_[7, 35]_2 :</t>
  </si>
  <si>
    <t>bbands_'P': [('delta', -0.5, -1), ('delta', -0.26, 2)]}_[42, 70]_1 :</t>
  </si>
  <si>
    <t>bbands_'P': [('delta', -0.4, -1), ('delta', -0.21, 2)]}_[42, 70]_0.5 :</t>
  </si>
  <si>
    <t>bbands_'P': [('delta', -0.3, -1), ('delta', -0.16, 2)]}_[42, 70]_1 :</t>
  </si>
  <si>
    <t>rsi_'P': [('number', 0, -1), ('number', -5, 2)]}_[21, 49]_0.5 :</t>
  </si>
  <si>
    <t>psar_no_highvol_'P': [('delta', -0.4, -1), ('delta', -0.21, 2)]}_[7, 35]_7 :</t>
  </si>
  <si>
    <t>rsi_'P': [('number', 0, -1), ('number', -5, 2)]}_[42, 70]_0.5 :</t>
  </si>
  <si>
    <t>rsi_'P': [('number', 0, -1), ('number', -5, 2)]}_[42, 70]_4 :</t>
  </si>
  <si>
    <t>psar_'P': [('number', 0, -1), ('number', -5, 2)]}_[21, 49]_4 :</t>
  </si>
  <si>
    <t>rsi_'P': [('number', 0, -1), ('number', -7.5, 2)]}_[42, 70]_4 :</t>
  </si>
  <si>
    <t>psar_'P': [('delta', -0.3, -1), ('delta', -0.16, 2)]}_[42, 70]_4 :</t>
  </si>
  <si>
    <t>stoch_no_highvol_'P': [('delta', -0.3, -1), ('delta', -0.16, 2)]}_[42, 70]_10 :</t>
  </si>
  <si>
    <t>bbands_'P': [('delta', -0.5, -1), ('delta', -0.26, 2)]}_[21, 49]_0.5 :</t>
  </si>
  <si>
    <t>psar_no_highvol_'P': [('number', 0, -1), ('number', -5, 2)]}_[42, 70]_4 :</t>
  </si>
  <si>
    <t>psar_no_highvol_'P': [('delta', -0.4, -1), ('delta', -0.21, 2)]}_[7, 35]_10 :</t>
  </si>
  <si>
    <t>stoch_no_highvol_'P': [('delta', -0.3, -1), ('delta', -0.16, 2)]}_[42, 70]_4 :</t>
  </si>
  <si>
    <t>psar_'P': [('delta', -0.4, -1), ('delta', -0.21, 2)]}_[42, 70]_2 :</t>
  </si>
  <si>
    <t>psar_'P': [('delta', -0.4, -1), ('delta', -0.21, 2)]}_[21, 49]_2 :</t>
  </si>
  <si>
    <t>rsi_'P': [('number', 0, -1), ('number', -7.5, 2)]}_[42, 70]_7 :</t>
  </si>
  <si>
    <t>bbands_no_highvol_'P': [('delta', -0.4, -1), ('delta', -0.21, 2)]}_[42, 70]_0.5 :</t>
  </si>
  <si>
    <t>psar_no_highvol_'P': [('delta', -0.4, -1), ('delta', -0.21, 2)]}_[21, 49]_2 :</t>
  </si>
  <si>
    <t>bbands_'P': [('delta', -0.4, -1), ('delta', -0.21, 2)]}_[42, 70]_1 :</t>
  </si>
  <si>
    <t>bbands_'P': [('number', 0, -1), ('number', -7.5, 2)]}_[7, 35]_4 :</t>
  </si>
  <si>
    <t>psar_no_highvol_'P': [('delta', -0.3, -1), ('delta', -0.16, 2)]}_[42, 70]_4 :</t>
  </si>
  <si>
    <t>bbands_no_highvol_'P': [('delta', -0.4, -1), ('delta', -0.21, 2)]}_[7, 35]_7 :</t>
  </si>
  <si>
    <t>psar_'P': [('number', 0, -1), ('number', -5, 2)]}_[42, 70]_2 :</t>
  </si>
  <si>
    <t>rsi_'P': [('delta', -0.3, -1), ('delta', -0.16, 2)]}_[42, 70]_10 :</t>
  </si>
  <si>
    <t>stoch_no_highvol_'P': [('delta', -0.4, -1), ('delta', -0.21, 2)]}_[7, 35]_10 :</t>
  </si>
  <si>
    <t>psar_no_highvol_'P': [('delta', -0.5, -1), ('delta', -0.26, 2)]}_[42, 70]_2 :</t>
  </si>
  <si>
    <t>psar_no_highvol_'P': [('delta', -0.4, -1), ('delta', -0.21, 2)]}_[7, 35]_4 :</t>
  </si>
  <si>
    <t>stoch_'P': [('delta', -0.3, -1), ('delta', -0.16, 2)]}_[42, 70]_2 :</t>
  </si>
  <si>
    <t>psar_no_highvol_'P': [('number', 0, -1), ('number', -5, 2)]}_[42, 70]_1 :</t>
  </si>
  <si>
    <t>bbands_no_highvol_'P': [('delta', -0.4, -1), ('delta', -0.21, 2)]}_[42, 70]_1 :</t>
  </si>
  <si>
    <t>bbands_no_highvol_'P': [('delta', -0.5, -1), ('delta', -0.26, 2)]}_[7, 35]_10 :</t>
  </si>
  <si>
    <t>psar_no_highvol_'P': [('delta', -0.3, -1), ('delta', -0.16, 2)]}_[7, 35]_10 :</t>
  </si>
  <si>
    <t>rsi_'P': [('number', 0, -1), ('number', -5, 2)]}_[42, 70]_7 :</t>
  </si>
  <si>
    <t>bbands_no_highvol_'P': [('delta', -0.4, -1), ('delta', -0.21, 2)]}_[7, 35]_10 :</t>
  </si>
  <si>
    <t>psar_'P': [('delta', -0.3, -1), ('delta', -0.16, 2)]}_[42, 70]_0.5 :</t>
  </si>
  <si>
    <t>rsi_'P': [('number', 0, -1), ('number', -5, 2)]}_[21, 49]_1 :</t>
  </si>
  <si>
    <t>psar_no_highvol_'P': [('number', 0, -1), ('number', -5, 2)]}_[21, 49]_1 :</t>
  </si>
  <si>
    <t>psar_'P': [('delta', -0.3, -1), ('delta', -0.16, 2)]}_[42, 70]_1 :</t>
  </si>
  <si>
    <t>stoch_'P': [('number', 0, -1), ('number', -5, 2)]}_[42, 70]_0.5 :</t>
  </si>
  <si>
    <t>psar_'P': [('number', 0, -1), ('number', -5, 2)]}_[42, 70]_4 :</t>
  </si>
  <si>
    <t>psar_no_highvol_'P': [('delta', -0.5, -1), ('delta', -0.26, 2)]}_[21, 49]_7 :</t>
  </si>
  <si>
    <t>bbands_'P': [('delta', -0.3, -1), ('delta', -0.16, 2)]}_[7, 35]_10 :</t>
  </si>
  <si>
    <t>rsi_'P': [('delta', -0.3, -1), ('delta', -0.16, 2)]}_[42, 70]_0.5 :</t>
  </si>
  <si>
    <t>psar_no_highvol_'P': [('delta', -0.3, -1), ('delta', -0.16, 2)]}_[7, 35]_0.5 :</t>
  </si>
  <si>
    <t>psar_'P': [('delta', -0.4, -1), ('delta', -0.21, 2)]}_[21, 49]_7 :</t>
  </si>
  <si>
    <t>psar_no_highvol_'P': [('number', 0, -1), ('number', -5, 2)]}_[21, 49]_0.5 :</t>
  </si>
  <si>
    <t>bbands_no_highvol_'P': [('delta', -0.3, -1), ('delta', -0.16, 2)]}_[7, 35]_4 :</t>
  </si>
  <si>
    <t>bbands_'P': [('delta', -0.5, -1), ('delta', -0.26, 2)]}_[21, 49]_1 :</t>
  </si>
  <si>
    <t>bbands_'P': [('delta', -0.5, -1), ('delta', -0.26, 2)]}_[21, 49]_2 :</t>
  </si>
  <si>
    <t>psar_no_highvol_'P': [('delta', -0.4, -1), ('delta', -0.21, 2)]}_[42, 70]_4 :</t>
  </si>
  <si>
    <t>psar_'P': [('delta', -0.4, -1), ('delta', -0.21, 2)]}_[42, 70]_1 :</t>
  </si>
  <si>
    <t>psar_no_highvol_'P': [('delta', -0.4, -1), ('delta', -0.21, 2)]}_[42, 70]_1 :</t>
  </si>
  <si>
    <t>bbands_no_highvol_'P': [('delta', -0.3, -1), ('delta', -0.16, 2)]}_[42, 70]_2 :</t>
  </si>
  <si>
    <t>bbands_'P': [('delta', -0.3, -1), ('delta', -0.16, 2)]}_[42, 70]_2 :</t>
  </si>
  <si>
    <t>psar_'P': [('number', 0, -1), ('number', -5, 2)]}_[42, 70]_1 :</t>
  </si>
  <si>
    <t>psar_no_highvol_'P': [('delta', -0.3, -1), ('delta', -0.16, 2)]}_[7, 35]_1 :</t>
  </si>
  <si>
    <t>psar_'P': [('delta', -0.5, -1), ('delta', -0.26, 2)]}_[42, 70]_2 :</t>
  </si>
  <si>
    <t>bbands_no_highvol_'P': [('delta', -0.5, -1), ('delta', -0.26, 2)]}_[21, 49]_0.5 :</t>
  </si>
  <si>
    <t>psar_no_highvol_'P': [('number', 0, -1), ('number', -5, 2)]}_[42, 70]_2 :</t>
  </si>
  <si>
    <t>psar_'P': [('number', 0, -1), ('number', -7.5, 2)]}_[21, 49]_2 :</t>
  </si>
  <si>
    <t>psar_no_highvol_'P': [('number', 0, -1), ('number', -5, 2)]}_[42, 70]_0.5 :</t>
  </si>
  <si>
    <t>psar_'P': [('delta', -0.4, -1), ('delta', -0.21, 2)]}_[7, 35]_4 :</t>
  </si>
  <si>
    <t>bbands_no_highvol_'P': [('number', 0, -1), ('number', -7.5, 2)]}_[7, 35]_7 :</t>
  </si>
  <si>
    <t>bbands_no_highvol_'P': [('delta', -0.3, -1), ('delta', -0.16, 2)]}_[21, 49]_2 :</t>
  </si>
  <si>
    <t>bbands_no_highvol_'P': [('number', 0, -1), ('number', -7.5, 2)]}_[7, 35]_0.5 :</t>
  </si>
  <si>
    <t>psar_no_highvol_'P': [('number', 0, -1), ('number', -7.5, 2)]}_[7, 35]_10 :</t>
  </si>
  <si>
    <t>psar_'P': [('number', 0, -1), ('number', -5, 2)]}_[21, 49]_2 :</t>
  </si>
  <si>
    <t>psar_'P': [('number', 0, -1), ('number', -5, 2)]}_[21, 49]_1 :</t>
  </si>
  <si>
    <t>stoch_no_highvol_'P': [('delta', -0.5, -1), ('delta', -0.26, 2)]}_[42, 70]_0.5 :</t>
  </si>
  <si>
    <t>rsi_'P': [('number', 0, -1), ('number', -5, 2)]}_[42, 70]_2 :</t>
  </si>
  <si>
    <t>alltime_'P': [('delta', -0.4, -1), ('delta', -0.21, 2)]}_[42, 70]_0.5 :</t>
  </si>
  <si>
    <t>bbands_no_highvol_'P': [('delta', -0.3, -1), ('delta', -0.16, 2)]}_[42, 70]_4 :</t>
  </si>
  <si>
    <t>psar_no_highvol_'P': [('delta', -0.5, -1), ('delta', -0.26, 2)]}_[42, 70]_1 :</t>
  </si>
  <si>
    <t>bbands_no_highvol_'P': [('number', 0, -1), ('number', -5, 2)]}_[7, 35]_7 :</t>
  </si>
  <si>
    <t>psar_no_highvol_'P': [('delta', -0.3, -1), ('delta', -0.16, 2)]}_[7, 35]_7 :</t>
  </si>
  <si>
    <t>stoch_'P': [('number', 0, -1), ('number', -5, 2)]}_[42, 70]_1 :</t>
  </si>
  <si>
    <t>psar_'P': [('number', 0, -1), ('number', -5, 2)]}_[21, 49]_0.5 :</t>
  </si>
  <si>
    <t>bbands_'P': [('number', 0, -1), ('number', -7.5, 2)]}_[7, 35]_2 :</t>
  </si>
  <si>
    <t>rsi_'P': [('delta', -0.4, -1), ('delta', -0.21, 2)]}_[42, 70]_0.5 :</t>
  </si>
  <si>
    <t>bbands_no_highvol_'P': [('delta', -0.3, -1), ('delta', -0.16, 2)]}_[42, 70]_0.5 :</t>
  </si>
  <si>
    <t>bbands_no_highvol_'P': [('delta', -0.5, -1), ('delta', -0.26, 2)]}_[21, 49]_2 :</t>
  </si>
  <si>
    <t>bbands_no_highvol_'P': [('delta', -0.3, -1), ('delta', -0.16, 2)]}_[21, 49]_10 :</t>
  </si>
  <si>
    <t>psar_no_highvol_'P': [('delta', -0.3, -1), ('delta', -0.16, 2)]}_[42, 70]_1 :</t>
  </si>
  <si>
    <t>bbands_no_highvol_'P': [('delta', -0.4, -1), ('delta', -0.21, 2)]}_[21, 49]_7 :</t>
  </si>
  <si>
    <t>stoch_'P': [('delta', -0.3, -1), ('delta', -0.16, 2)]}_[42, 70]_1 :</t>
  </si>
  <si>
    <t>psar_no_highvol_'P': [('number', 0, -1), ('number', -7.5, 2)]}_[21, 49]_2 :</t>
  </si>
  <si>
    <t>stoch_no_highvol_'P': [('delta', -0.4, -1), ('delta', -0.21, 2)]}_[7, 35]_7 :</t>
  </si>
  <si>
    <t>stoch_no_highvol_'P': [('delta', -0.3, -1), ('delta', -0.16, 2)]}_[42, 70]_2 :</t>
  </si>
  <si>
    <t>psar_'P': [('delta', -0.4, -1), ('delta', -0.21, 2)]}_[7, 35]_7 :</t>
  </si>
  <si>
    <t>psar_'P': [('delta', -0.5, -1), ('delta', -0.26, 2)]}_[42, 70]_0.5 :</t>
  </si>
  <si>
    <t>psar_no_highvol_'P': [('delta', -0.5, -1), ('delta', -0.26, 2)]}_[42, 70]_0.5 :</t>
  </si>
  <si>
    <t>psar_'P': [('delta', -0.5, -1), ('delta', -0.26, 2)]}_[42, 70]_1 :</t>
  </si>
  <si>
    <t>psar_no_highvol_'P': [('delta', -0.5, -1), ('delta', -0.26, 2)]}_[21, 49]_4 :</t>
  </si>
  <si>
    <t>bbands_'P': [('delta', -0.3, -1), ('delta', -0.16, 2)]}_[21, 49]_2 :</t>
  </si>
  <si>
    <t>bbands_no_highvol_'P': [('delta', -0.3, -1), ('delta', -0.16, 2)]}_[21, 49]_1 :</t>
  </si>
  <si>
    <t>psar_'P': [('delta', -0.4, -1), ('delta', -0.21, 2)]}_[42, 70]_0.5 :</t>
  </si>
  <si>
    <t>bbands_'P': [('number', 0, -1), ('number', -7.5, 2)]}_[21, 49]_4 :</t>
  </si>
  <si>
    <t>psar_no_highvol_'P': [('delta', -0.4, -1), ('delta', -0.21, 2)]}_[42, 70]_0.5 :</t>
  </si>
  <si>
    <t>bbands_no_highvol_'P': [('delta', -0.5, -1), ('delta', -0.26, 2)]}_[21, 49]_10 :</t>
  </si>
  <si>
    <t>psar_'P': [('number', 0, -1), ('number', -5, 2)]}_[42, 70]_0.5 :</t>
  </si>
  <si>
    <t>bbands_no_highvol_'P': [('delta', -0.3, -1), ('delta', -0.16, 2)]}_[21, 49]_7 :</t>
  </si>
  <si>
    <t>psar_no_highvol_'P': [('delta', -0.3, -1), ('delta', -0.16, 2)]}_[7, 35]_2 :</t>
  </si>
  <si>
    <t>stoch_no_highvol_'P': [('delta', -0.3, -1), ('delta', -0.16, 2)]}_[7, 35]_10 :</t>
  </si>
  <si>
    <t>bbands_'P': [('delta', -0.3, -1), ('delta', -0.16, 2)]}_[42, 70]_0.5 :</t>
  </si>
  <si>
    <t>psar_'P': [('number', 0, -1), ('number', -7.5, 2)]}_[7, 35]_10 :</t>
  </si>
  <si>
    <t>psar_'P': [('delta', -0.4, -1), ('delta', -0.21, 2)]}_[7, 35]_10 :</t>
  </si>
  <si>
    <t>psar_no_highvol_'P': [('delta', -0.4, -1), ('delta', -0.21, 2)]}_[21, 49]_1 :</t>
  </si>
  <si>
    <t>bbands_'P': [('delta', -0.3, -1), ('delta', -0.16, 2)]}_[7, 35]_7 :</t>
  </si>
  <si>
    <t>rsi_'P': [('delta', -0.3, -1), ('delta', -0.16, 2)]}_[42, 70]_1 :</t>
  </si>
  <si>
    <t>psar_no_highvol_'P': [('delta', -0.3, -1), ('delta', -0.16, 2)]}_[42, 70]_0.5 :</t>
  </si>
  <si>
    <t>bbands_'P': [('number', 0, -1), ('number', -5, 2)]}_[42, 70]_0.5 :</t>
  </si>
  <si>
    <t>psar_'P': [('delta', -0.4, -1), ('delta', -0.21, 2)]}_[42, 70]_4 :</t>
  </si>
  <si>
    <t>psar_'P': [('delta', -0.4, -1), ('delta', -0.21, 2)]}_[21, 49]_1 :</t>
  </si>
  <si>
    <t>stoch_'P': [('number', 0, -1), ('number', -5, 2)]}_[42, 70]_2 :</t>
  </si>
  <si>
    <t>bbands_no_highvol_'P': [('delta', -0.3, -1), ('delta', -0.16, 2)]}_[7, 35]_2 :</t>
  </si>
  <si>
    <t>rsi_'P': [('delta', -0.4, -1), ('delta', -0.21, 2)]}_[42, 70]_1 :</t>
  </si>
  <si>
    <t>bbands_no_highvol_'P': [('delta', -0.5, -1), ('delta', -0.26, 2)]}_[21, 49]_4 :</t>
  </si>
  <si>
    <t>bbands_no_highvol_'P': [('delta', -0.5, -1), ('delta', -0.26, 2)]}_[21, 49]_1 :</t>
  </si>
  <si>
    <t>psar_'P': [('delta', -0.3, -1), ('delta', -0.16, 2)]}_[42, 70]_2 :</t>
  </si>
  <si>
    <t>psar_no_highvol_'P': [('delta', -0.4, -1), ('delta', -0.21, 2)]}_[7, 35]_1 :</t>
  </si>
  <si>
    <t>stoch_'P': [('delta', -0.4, -1), ('delta', -0.21, 2)]}_[42, 70]_0.5 :</t>
  </si>
  <si>
    <t>bbands_'P': [('delta', -0.4, -1), ('delta', -0.21, 2)]}_[21, 49]_0.5 :</t>
  </si>
  <si>
    <t>rsi_'P': [('delta', -0.3, -1), ('delta', -0.16, 2)]}_[21, 49]_10 :</t>
  </si>
  <si>
    <t>bbands_no_highvol_'P': [('delta', -0.4, -1), ('delta', -0.21, 2)]}_[42, 70]_4 :</t>
  </si>
  <si>
    <t>bbands_no_highvol_'P': [('delta', -0.5, -1), ('delta', -0.26, 2)]}_[7, 35]_0.5 :</t>
  </si>
  <si>
    <t>bbands_'P': [('number', 0, -1), ('number', -7.5, 2)]}_[42, 70]_0.5 :</t>
  </si>
  <si>
    <t>bbands_'P': [('delta', -0.3, -1), ('delta', -0.16, 2)]}_[42, 70]_4 :</t>
  </si>
  <si>
    <t>psar_no_highvol_'P': [('number', 0, -1), ('number', -5, 2)]}_[21, 49]_2 :</t>
  </si>
  <si>
    <t>psar_'P': [('number', 0, -1), ('number', -7.5, 2)]}_[21, 49]_1 :</t>
  </si>
  <si>
    <t>rsi_'P': [('delta', -0.3, -1), ('delta', -0.16, 2)]}_[42, 70]_7 :</t>
  </si>
  <si>
    <t>psar_no_highvol_'P': [('number', 0, -1), ('number', -7.5, 2)]}_[21, 49]_1 :</t>
  </si>
  <si>
    <t>rsi_'P': [('delta', -0.3, -1), ('delta', -0.16, 2)]}_[21, 49]_0.5 :</t>
  </si>
  <si>
    <t>psar_no_highvol_'P': [('delta', -0.3, -1), ('delta', -0.16, 2)]}_[7, 35]_4 :</t>
  </si>
  <si>
    <t>bbands_'P': [('delta', -0.3, -1), ('delta', -0.16, 2)]}_[21, 49]_1 :</t>
  </si>
  <si>
    <t>rsi_'P': [('delta', -0.3, -1), ('delta', -0.16, 2)]}_[42, 70]_4 :</t>
  </si>
  <si>
    <t>bbands_no_highvol_'P': [('delta', -0.3, -1), ('delta', -0.16, 2)]}_[7, 35]_1 :</t>
  </si>
  <si>
    <t>stoch_no_highvol_'P': [('delta', -0.3, -1), ('delta', -0.16, 2)]}_[42, 70]_1 :</t>
  </si>
  <si>
    <t>psar_no_highvol_'P': [('number', 0, -1), ('number', -5, 2)]}_[7, 35]_10 :</t>
  </si>
  <si>
    <t>bbands_'P': [('delta', -0.4, -1), ('delta', -0.21, 2)]}_[21, 49]_1 :</t>
  </si>
  <si>
    <t>bbands_'P': [('delta', -0.4, -1), ('delta', -0.21, 2)]}_[7, 35]_7 :</t>
  </si>
  <si>
    <t>psar_'P': [('delta', -0.3, -1), ('delta', -0.16, 2)]}_[7, 35]_1 :</t>
  </si>
  <si>
    <t>psar_'P': [('delta', -0.5, -1), ('delta', -0.26, 2)]}_[21, 49]_4 :</t>
  </si>
  <si>
    <t>psar_no_highvol_'P': [('number', 0, -1), ('number', -5, 2)]}_[7, 35]_4 :</t>
  </si>
  <si>
    <t>bbands_no_highvol_'P': [('delta', -0.3, -1), ('delta', -0.16, 2)]}_[21, 49]_0.5 :</t>
  </si>
  <si>
    <t>rsi_'P': [('number', 0, -1), ('number', -5, 2)]}_[21, 49]_4 :</t>
  </si>
  <si>
    <t>psar_'P': [('delta', -0.3, -1), ('delta', -0.16, 2)]}_[21, 49]_1 :</t>
  </si>
  <si>
    <t>psar_'P': [('delta', -0.3, -1), ('delta', -0.16, 2)]}_[7, 35]_10 :</t>
  </si>
  <si>
    <t>psar_no_highvol_'P': [('delta', -0.4, -1), ('delta', -0.21, 2)]}_[7, 35]_2 :</t>
  </si>
  <si>
    <t>psar_no_highvol_'P': [('delta', -0.3, -1), ('delta', -0.16, 2)]}_[21, 49]_1 :</t>
  </si>
  <si>
    <t>psar_'P': [('delta', -0.3, -1), ('delta', -0.16, 2)]}_[7, 35]_0.5 :</t>
  </si>
  <si>
    <t>stoch_'P': [('number', 0, -1), ('number', -7.5, 2)]}_[42, 70]_7 :</t>
  </si>
  <si>
    <t>psar_'P': [('delta', -0.5, -1), ('delta', -0.26, 2)]}_[21, 49]_7 :</t>
  </si>
  <si>
    <t>bbands_'P': [('delta', -0.5, -1), ('delta', -0.26, 2)]}_[7, 35]_0.5 :</t>
  </si>
  <si>
    <t>bbands_'P': [('delta', -0.5, -1), ('delta', -0.26, 2)]}_[21, 49]_4 :</t>
  </si>
  <si>
    <t>bbands_no_highvol_'P': [('delta', -0.3, -1), ('delta', -0.16, 2)]}_[21, 49]_4 :</t>
  </si>
  <si>
    <t>bbands_'P': [('number', 0, -1), ('number', -7.5, 2)]}_[7, 35]_0.5 :</t>
  </si>
  <si>
    <t>psar_no_highvol_'P': [('delta', -0.3, -1), ('delta', -0.16, 2)]}_[42, 70]_2 :</t>
  </si>
  <si>
    <t>rsi_'P': [('number', 0, -1), ('number', -7.5, 2)]}_[21, 49]_7 :</t>
  </si>
  <si>
    <t>bbands_'P': [('delta', -0.4, -1), ('delta', -0.21, 2)]}_[7, 35]_10 :</t>
  </si>
  <si>
    <t>stoch_'P': [('delta', -0.3, -1), ('delta', -0.16, 2)]}_[42, 70]_0.5 :</t>
  </si>
  <si>
    <t>psar_no_highvol_'P': [('delta', -0.5, -1), ('delta', -0.26, 2)]}_[7, 35]_2 :</t>
  </si>
  <si>
    <t>bbands_no_highvol_'P': [('delta', -0.4, -1), ('delta', -0.21, 2)]}_[21, 49]_10 :</t>
  </si>
  <si>
    <t>bbands_no_highvol_'P': [('delta', -0.3, -1), ('delta', -0.16, 2)]}_[7, 35]_0.5 :</t>
  </si>
  <si>
    <t>bbands_'P': [('number', 0, -1), ('number', -5, 2)]}_[42, 70]_4 :</t>
  </si>
  <si>
    <t>bbands_no_highvol_'P': [('delta', -0.5, -1), ('delta', -0.26, 2)]}_[7, 35]_4 :</t>
  </si>
  <si>
    <t>psar_no_highvol_'P': [('delta', -0.4, -1), ('delta', -0.21, 2)]}_[7, 35]_0.5 :</t>
  </si>
  <si>
    <t>rsi_'P': [('delta', -0.3, -1), ('delta', -0.16, 2)]}_[7, 35]_10 :</t>
  </si>
  <si>
    <t>bbands_no_highvol_'P': [('delta', -0.4, -1), ('delta', -0.21, 2)]}_[21, 49]_0.5 :</t>
  </si>
  <si>
    <t>bbands_no_highvol_'P': [('delta', -0.4, -1), ('delta', -0.21, 2)]}_[21, 49]_1 :</t>
  </si>
  <si>
    <t>bbands_'P': [('number', 0, -1), ('number', -7.5, 2)]}_[21, 49]_0.5 :</t>
  </si>
  <si>
    <t>bbands_no_highvol_'P': [('number', 0, -1), ('number', -7.5, 2)]}_[7, 35]_1 :</t>
  </si>
  <si>
    <t>bbands_no_highvol_'P': [('number', 0, -1), ('number', -7.5, 2)]}_[42, 70]_0.5 :</t>
  </si>
  <si>
    <t>bbands_no_highvol_'P': [('number', 0, -1), ('number', -5, 2)]}_[42, 70]_0.5 :</t>
  </si>
  <si>
    <t>bbands_no_highvol_'P': [('delta', -0.5, -1), ('delta', -0.26, 2)]}_[7, 35]_7 :</t>
  </si>
  <si>
    <t>psar_'P': [('number', 0, -1), ('number', -5, 2)]}_[7, 35]_2 :</t>
  </si>
  <si>
    <t>stoch_'P': [('delta', -0.5, -1), ('delta', -0.26, 2)]}_[42, 70]_4 :</t>
  </si>
  <si>
    <t>psar_no_highvol_'P': [('number', 0, -1), ('number', -5, 2)]}_[7, 35]_7 :</t>
  </si>
  <si>
    <t>bbands_no_highvol_'P': [('number', 0, -1), ('number', -7.5, 2)]}_[21, 49]_0.5 :</t>
  </si>
  <si>
    <t>psar_'P': [('delta', -0.3, -1), ('delta', -0.16, 2)]}_[7, 35]_2 :</t>
  </si>
  <si>
    <t>bbands_'P': [('delta', -0.4, -1), ('delta', -0.21, 2)]}_[21, 49]_2 :</t>
  </si>
  <si>
    <t>bbands_no_highvol_'P': [('delta', -0.5, -1), ('delta', -0.26, 2)]}_[7, 35]_2 :</t>
  </si>
  <si>
    <t>psar_no_highvol_'P': [('delta', -0.5, -1), ('delta', -0.26, 2)]}_[7, 35]_7 :</t>
  </si>
  <si>
    <t>bbands_no_highvol_'P': [('delta', -0.5, -1), ('delta', -0.26, 2)]}_[21, 49]_7 :</t>
  </si>
  <si>
    <t>bbands_'P': [('delta', -0.4, -1), ('delta', -0.21, 2)]}_[42, 70]_4 :</t>
  </si>
  <si>
    <t>rsi_'P': [('delta', -0.4, -1), ('delta', -0.21, 2)]}_[42, 70]_2 :</t>
  </si>
  <si>
    <t>psar_no_highvol_'P': [('delta', -0.4, -1), ('delta', -0.21, 2)]}_[21, 49]_10 :</t>
  </si>
  <si>
    <t>bbands_'P': [('number', 0, -1), ('number', -5, 2)]}_[7, 35]_7 :</t>
  </si>
  <si>
    <t>bbands_no_highvol_'P': [('delta', -0.4, -1), ('delta', -0.21, 2)]}_[21, 49]_2 :</t>
  </si>
  <si>
    <t>psar_'P': [('delta', -0.3, -1), ('delta', -0.16, 2)]}_[21, 49]_2 :</t>
  </si>
  <si>
    <t>stoch_no_highvol_'P': [('delta', -0.3, -1), ('delta', -0.16, 2)]}_[42, 70]_0.5 :</t>
  </si>
  <si>
    <t>rsi_'P': [('delta', -0.3, -1), ('delta', -0.16, 2)]}_[21, 49]_1 :</t>
  </si>
  <si>
    <t>psar_no_highvol_'P': [('delta', -0.3, -1), ('delta', -0.16, 2)]}_[21, 49]_2 :</t>
  </si>
  <si>
    <t>psar_'P': [('delta', -0.4, -1), ('delta', -0.21, 2)]}_[7, 35]_2 :</t>
  </si>
  <si>
    <t>rsi_'P': [('delta', -0.3, -1), ('delta', -0.16, 2)]}_[42, 70]_2 :</t>
  </si>
  <si>
    <t>bbands_'P': [('delta', -0.3, -1), ('delta', -0.16, 2)]}_[7, 35]_4 :</t>
  </si>
  <si>
    <t>rsi_'P': [('delta', -0.3, -1), ('delta', -0.16, 2)]}_[21, 49]_7 :</t>
  </si>
  <si>
    <t>psar_'P': [('delta', -0.4, -1), ('delta', -0.21, 2)]}_[7, 35]_1 :</t>
  </si>
  <si>
    <t>bbands_'P': [('delta', -0.3, -1), ('delta', -0.16, 2)]}_[21, 49]_0.5 :</t>
  </si>
  <si>
    <t>psar_'P': [('delta', -0.3, -1), ('delta', -0.16, 2)]}_[7, 35]_7 :</t>
  </si>
  <si>
    <t>psar_'P': [('number', 0, -1), ('number', -5, 2)]}_[7, 35]_4 :</t>
  </si>
  <si>
    <t>psar_no_highvol_'P': [('number', 0, -1), ('number', -7.5, 2)]}_[21, 49]_0.5 :</t>
  </si>
  <si>
    <t>psar_no_highvol_'P': [('delta', -0.5, -1), ('delta', -0.26, 2)]}_[7, 35]_10 :</t>
  </si>
  <si>
    <t>bbands_'P': [('number', 0, -1), ('number', -7.5, 2)]}_[7, 35]_7 :</t>
  </si>
  <si>
    <t>rsi_'P': [('delta', -0.4, -1), ('delta', -0.21, 2)]}_[21, 49]_1 :</t>
  </si>
  <si>
    <t>bbands_no_highvol_'P': [('delta', -0.5, -1), ('delta', -0.26, 2)]}_[7, 35]_1 :</t>
  </si>
  <si>
    <t>bbands_'P': [('delta', -0.3, -1), ('delta', -0.16, 2)]}_[21, 49]_4 :</t>
  </si>
  <si>
    <t>psar_'P': [('number', 0, -1), ('number', -7.5, 2)]}_[21, 49]_0.5 :</t>
  </si>
  <si>
    <t>psar_no_highvol_'P': [('delta', -0.4, -1), ('delta', -0.21, 2)]}_[42, 70]_7 :</t>
  </si>
  <si>
    <t>stoch_'P': [('delta', -0.3, -1), ('delta', -0.16, 2)]}_[42, 70]_4 :</t>
  </si>
  <si>
    <t>psar_no_highvol_'P': [('number', 0, -1), ('number', -7.5, 2)]}_[7, 35]_2 :</t>
  </si>
  <si>
    <t>bbands_no_highvol_'P': [('delta', -0.4, -1), ('delta', -0.21, 2)]}_[7, 35]_1 :</t>
  </si>
  <si>
    <t>bbands_no_highvol_'P': [('delta', -0.4, -1), ('delta', -0.21, 2)]}_[7, 35]_2 :</t>
  </si>
  <si>
    <t>psar_no_highvol_'P': [('delta', -0.3, -1), ('delta', -0.16, 2)]}_[21, 49]_4 :</t>
  </si>
  <si>
    <t>psar_no_highvol_'P': [('delta', -0.5, -1), ('delta', -0.26, 2)]}_[7, 35]_1 :</t>
  </si>
  <si>
    <t>stoch_no_highvol_'P': [('number', 0, -1), ('number', -5, 2)]}_[42, 70]_0.5 :</t>
  </si>
  <si>
    <t>bbands_'P': [('delta', -0.3, -1), ('delta', -0.16, 2)]}_[21, 49]_10 :</t>
  </si>
  <si>
    <t>bbands_no_highvol_'P': [('number', 0, -1), ('number', -7.5, 2)]}_[7, 35]_10 :</t>
  </si>
  <si>
    <t>stoch_'P': [('number', 0, -1), ('number', -7.5, 2)]}_[21, 49]_4 :</t>
  </si>
  <si>
    <t>stoch_'P': [('delta', -0.5, -1), ('delta', -0.26, 2)]}_[7, 35]_7 :</t>
  </si>
  <si>
    <t>rsi_'P': [('delta', -0.3, -1), ('delta', -0.16, 2)]}_[7, 35]_0.5 :</t>
  </si>
  <si>
    <t>psar_'P': [('number', 0, -1), ('number', -7.5, 2)]}_[7, 35]_2 :</t>
  </si>
  <si>
    <t>psar_no_highvol_'P': [('delta', -0.5, -1), ('delta', -0.26, 2)]}_[7, 35]_4 :</t>
  </si>
  <si>
    <t>psar_no_highvol_'P': [('delta', -0.5, -1), ('delta', -0.26, 2)]}_[21, 49]_10 :</t>
  </si>
  <si>
    <t>stoch_'P': [('delta', -0.5, -1), ('delta', -0.26, 2)]}_[42, 70]_1 :</t>
  </si>
  <si>
    <t>bbands_no_highvol_'P': [('delta', -0.4, -1), ('delta', -0.21, 2)]}_[7, 35]_0.5 :</t>
  </si>
  <si>
    <t>bbands_no_highvol_'P': [('number', 0, -1), ('number', -5, 2)]}_[7, 35]_10 :</t>
  </si>
  <si>
    <t>bbands_'P': [('number', 0, -1), ('number', -5, 2)]}_[42, 70]_1 :</t>
  </si>
  <si>
    <t>bbands_'P': [('delta', -0.4, -1), ('delta', -0.21, 2)]}_[21, 49]_7 :</t>
  </si>
  <si>
    <t>rsi_'P': [('delta', -0.3, -1), ('delta', -0.16, 2)]}_[7, 35]_7 :</t>
  </si>
  <si>
    <t>bbands_'P': [('delta', -0.3, -1), ('delta', -0.16, 2)]}_[21, 49]_7 :</t>
  </si>
  <si>
    <t>psar_'P': [('number', 0, -1), ('number', -5, 2)]}_[7, 35]_7 :</t>
  </si>
  <si>
    <t>psar_'P': [('delta', -0.5, -1), ('delta', -0.26, 2)]}_[7, 35]_2 :</t>
  </si>
  <si>
    <t>stoch_no_highvol_'P': [('delta', -0.3, -1), ('delta', -0.16, 2)]}_[7, 35]_7 :</t>
  </si>
  <si>
    <t>psar_no_highvol_'P': [('number', 0, -1), ('number', -7.5, 2)]}_[7, 35]_7 :</t>
  </si>
  <si>
    <t>rsi_'P': [('delta', -0.5, -1), ('delta', -0.26, 2)]}_[21, 49]_0.5 :</t>
  </si>
  <si>
    <t>rsi_'P': [('number', 0, -1), ('number', -7.5, 2)]}_[21, 49]_0.5 :</t>
  </si>
  <si>
    <t>rsi_'P': [('delta', -0.4, -1), ('delta', -0.21, 2)]}_[21, 49]_2 :</t>
  </si>
  <si>
    <t>rsi_'P': [('delta', -0.5, -1), ('delta', -0.26, 2)]}_[42, 70]_1 :</t>
  </si>
  <si>
    <t>psar_no_highvol_'P': [('delta', -0.5, -1), ('delta', -0.26, 2)]}_[7, 35]_0.5 :</t>
  </si>
  <si>
    <t>rsi_'P': [('delta', -0.4, -1), ('delta', -0.21, 2)]}_[21, 49]_0.5 :</t>
  </si>
  <si>
    <t>psar_no_highvol_'P': [('number', 0, -1), ('number', -5, 2)]}_[7, 35]_2 :</t>
  </si>
  <si>
    <t>psar_'P': [('delta', -0.3, -1), ('delta', -0.16, 2)]}_[7, 35]_4 :</t>
  </si>
  <si>
    <t>psar_'P': [('delta', -0.4, -1), ('delta', -0.21, 2)]}_[7, 35]_0.5 :</t>
  </si>
  <si>
    <t>bbands_'P': [('number', 0, -1), ('number', -7.5, 2)]}_[42, 70]_2 :</t>
  </si>
  <si>
    <t>rsi_'P': [('number', 0, -1), ('number', -5, 2)]}_[21, 49]_7 :</t>
  </si>
  <si>
    <t>rsi_'P': [('number', 0, -1), ('number', -7.5, 2)]}_[21, 49]_2 :</t>
  </si>
  <si>
    <t>bbands_no_highvol_'P': [('delta', -0.4, -1), ('delta', -0.21, 2)]}_[7, 35]_4 :</t>
  </si>
  <si>
    <t>bbands_'P': [('delta', -0.3, -1), ('delta', -0.16, 2)]}_[7, 35]_1 :</t>
  </si>
  <si>
    <t>alltime_'P': [('number', 0, -1), ('number', -5, 2)]}_[42, 70]_0.5 :</t>
  </si>
  <si>
    <t>stoch_no_highvol_'P': [('delta', -0.4, -1), ('delta', -0.21, 2)]}_[7, 35]_4 :</t>
  </si>
  <si>
    <t>bbands_'P': [('delta', -0.3, -1), ('delta', -0.16, 2)]}_[7, 35]_2 :</t>
  </si>
  <si>
    <t>psar_no_highvol_'P': [('delta', -0.4, -1), ('delta', -0.21, 2)]}_[21, 49]_0.5 :</t>
  </si>
  <si>
    <t>stoch_'P': [('delta', -0.4, -1), ('delta', -0.21, 2)]}_[42, 70]_2 :</t>
  </si>
  <si>
    <t>bbands_'P': [('delta', -0.5, -1), ('delta', -0.26, 2)]}_[7, 35]_1 :</t>
  </si>
  <si>
    <t>rsi_'P': [('delta', -0.3, -1), ('delta', -0.16, 2)]}_[21, 49]_4 :</t>
  </si>
  <si>
    <t>psar_'P': [('delta', -0.3, -1), ('delta', -0.16, 2)]}_[21, 49]_4 :</t>
  </si>
  <si>
    <t>psar_'P': [('delta', -0.4, -1), ('delta', -0.21, 2)]}_[42, 70]_7 :</t>
  </si>
  <si>
    <t>psar_no_highvol_'P': [('delta', -0.3, -1), ('delta', -0.16, 2)]}_[21, 49]_7 :</t>
  </si>
  <si>
    <t>bbands_'P': [('number', 0, -1), ('number', -7.5, 2)]}_[42, 70]_10 :</t>
  </si>
  <si>
    <t>psar_'P': [('number', 0, -1), ('number', -7.5, 2)]}_[7, 35]_4 :</t>
  </si>
  <si>
    <t>psar_no_highvol_'P': [('delta', -0.5, -1), ('delta', -0.26, 2)]}_[21, 49]_2 :</t>
  </si>
  <si>
    <t>psar_'P': [('delta', -0.4, -1), ('delta', -0.21, 2)]}_[21, 49]_0.5 :</t>
  </si>
  <si>
    <t>rsi_'P': [('number', 0, -1), ('number', -5, 2)]}_[21, 49]_10 :</t>
  </si>
  <si>
    <t>bbands_'P': [('number', 0, -1), ('number', -7.5, 2)]}_[42, 70]_1 :</t>
  </si>
  <si>
    <t>psar_'P': [('delta', -0.5, -1), ('delta', -0.26, 2)]}_[7, 35]_4 :</t>
  </si>
  <si>
    <t>psar_'P': [('number', 0, -1), ('number', -5, 2)]}_[7, 35]_0.5 :</t>
  </si>
  <si>
    <t>psar_no_highvol_'P': [('number', 0, -1), ('number', -7.5, 2)]}_[7, 35]_4 :</t>
  </si>
  <si>
    <t>stoch_no_highvol_'P': [('number', 0, -1), ('number', -5, 2)]}_[42, 70]_4 :</t>
  </si>
  <si>
    <t>psar_no_highvol_'P': [('delta', -0.3, -1), ('delta', -0.16, 2)]}_[21, 49]_10 :</t>
  </si>
  <si>
    <t>psar_'P': [('number', 0, -1), ('number', -7.5, 2)]}_[7, 35]_7 :</t>
  </si>
  <si>
    <t>rsi_'P': [('delta', -0.3, -1), ('delta', -0.16, 2)]}_[21, 49]_2 :</t>
  </si>
  <si>
    <t>psar_'P': [('delta', -0.4, -1), ('delta', -0.21, 2)]}_[21, 49]_10 :</t>
  </si>
  <si>
    <t>bbands_'P': [('delta', -0.3, -1), ('delta', -0.16, 2)]}_[7, 35]_0.5 :</t>
  </si>
  <si>
    <t>rsi_'P': [('number', 0, -1), ('number', -5, 2)]}_[21, 49]_2 :</t>
  </si>
  <si>
    <t>stoch_no_highvol_'P': [('number', 0, -1), ('number', -7.5, 2)]}_[7, 35]_0.5 :</t>
  </si>
  <si>
    <t>stoch_no_highvol_'P': [('number', 0, -1), ('number', -5, 2)]}_[7, 35]_4 :</t>
  </si>
  <si>
    <t>bbands_'P': [('delta', -0.5, -1), ('delta', -0.26, 2)]}_[7, 35]_10 :</t>
  </si>
  <si>
    <t>psar_no_highvol_'P': [('delta', -0.5, -1), ('delta', -0.26, 2)]}_[42, 70]_7 :</t>
  </si>
  <si>
    <t>bbands_'P': [('number', 0, -1), ('number', -7.5, 2)]}_[7, 35]_1 :</t>
  </si>
  <si>
    <t>psar_no_highvol_'P': [('delta', -0.3, -1), ('delta', -0.16, 2)]}_[21, 49]_0.5 :</t>
  </si>
  <si>
    <t>stoch_no_highvol_'P': [('delta', -0.4, -1), ('delta', -0.21, 2)]}_[42, 70]_2 :</t>
  </si>
  <si>
    <t>stoch_'P': [('delta', -0.4, -1), ('delta', -0.21, 2)]}_[7, 35]_10 :</t>
  </si>
  <si>
    <t>stoch_no_highvol_'P': [('delta', -0.4, -1), ('delta', -0.21, 2)]}_[21, 49]_10 :</t>
  </si>
  <si>
    <t>psar_no_highvol_'P': [('number', 0, -1), ('number', -5, 2)]}_[7, 35]_0.5 :</t>
  </si>
  <si>
    <t>bbands_no_highvol_'P': [('number', 0, -1), ('number', -7.5, 2)]}_[21, 49]_4 :</t>
  </si>
  <si>
    <t>psar_'P': [('number', 0, -1), ('number', -5, 2)]}_[7, 35]_10 :</t>
  </si>
  <si>
    <t>psar_'P': [('delta', -0.5, -1), ('delta', -0.26, 2)]}_[7, 35]_0.5 :</t>
  </si>
  <si>
    <t>bbands_'P': [('delta', -0.4, -1), ('delta', -0.21, 2)]}_[7, 35]_0.5 :</t>
  </si>
  <si>
    <t>psar_'P': [('delta', -0.5, -1), ('delta', -0.26, 2)]}_[7, 35]_1 :</t>
  </si>
  <si>
    <t>psar_'P': [('number', 0, -1), ('number', -7.5, 2)]}_[7, 35]_0.5 :</t>
  </si>
  <si>
    <t>stoch_no_highvol_'P': [('number', 0, -1), ('number', -7.5, 2)]}_[7, 35]_2 :</t>
  </si>
  <si>
    <t>bbands_'P': [('number', 0, -1), ('number', -7.5, 2)]}_[42, 70]_4 :</t>
  </si>
  <si>
    <t>psar_'P': [('number', 0, -1), ('number', -7.5, 2)]}_[7, 35]_1 :</t>
  </si>
  <si>
    <t>psar_'P': [('delta', -0.5, -1), ('delta', -0.26, 2)]}_[7, 35]_7 :</t>
  </si>
  <si>
    <t>stoch_no_highvol_'P': [('number', 0, -1), ('number', -5, 2)]}_[42, 70]_7 :</t>
  </si>
  <si>
    <t>psar_no_highvol_'P': [('delta', -0.3, -1), ('delta', -0.16, 2)]}_[42, 70]_10 :</t>
  </si>
  <si>
    <t>bbands_no_highvol_'P': [('number', 0, -1), ('number', -5, 2)]}_[7, 35]_4 :</t>
  </si>
  <si>
    <t>rsi_'P': [('delta', -0.3, -1), ('delta', -0.16, 2)]}_[7, 35]_1 :</t>
  </si>
  <si>
    <t>rsi_'P': [('number', 0, -1), ('number', -7.5, 2)]}_[21, 49]_4 :</t>
  </si>
  <si>
    <t>psar_'P': [('delta', -0.3, -1), ('delta', -0.16, 2)]}_[21, 49]_0.5 :</t>
  </si>
  <si>
    <t>rsi_'P': [('delta', -0.5, -1), ('delta', -0.26, 2)]}_[21, 49]_4 :</t>
  </si>
  <si>
    <t>rsi_'P': [('delta', -0.5, -1), ('delta', -0.26, 2)]}_[42, 70]_2 :</t>
  </si>
  <si>
    <t>bbands_'P': [('delta', -0.4, -1), ('delta', -0.21, 2)]}_[7, 35]_2 :</t>
  </si>
  <si>
    <t>psar_no_highvol_'P': [('number', 0, -1), ('number', -7.5, 2)]}_[7, 35]_0.5 :</t>
  </si>
  <si>
    <t>psar_no_highvol_'P': [('number', 0, -1), ('number', -7.5, 2)]}_[7, 35]_1 :</t>
  </si>
  <si>
    <t>bbands_no_highvol_'P': [('number', 0, -1), ('number', -7.5, 2)]}_[42, 70]_1 :</t>
  </si>
  <si>
    <t>bbands_no_highvol_'P': [('number', 0, -1), ('number', -5, 2)]}_[42, 70]_4 :</t>
  </si>
  <si>
    <t>bbands_'P': [('delta', -0.4, -1), ('delta', -0.21, 2)]}_[21, 49]_10 :</t>
  </si>
  <si>
    <t>psar_'P': [('delta', -0.5, -1), ('delta', -0.26, 2)]}_[7, 35]_10 :</t>
  </si>
  <si>
    <t>psar_'P': [('delta', -0.5, -1), ('delta', -0.26, 2)]}_[42, 70]_7 :</t>
  </si>
  <si>
    <t>bbands_no_highvol_'P': [('number', 0, -1), ('number', -5, 2)]}_[42, 70]_1 :</t>
  </si>
  <si>
    <t>psar_'P': [('delta', -0.3, -1), ('delta', -0.16, 2)]}_[21, 49]_7 :</t>
  </si>
  <si>
    <t>stoch_no_highvol_'P': [('number', 0, -1), ('number', -5, 2)]}_[42, 70]_10 :</t>
  </si>
  <si>
    <t>stoch_'P': [('delta', -0.4, -1), ('delta', -0.21, 2)]}_[42, 70]_4 :</t>
  </si>
  <si>
    <t>stoch_'P': [('delta', -0.3, -1), ('delta', -0.16, 2)]}_[42, 70]_7 :</t>
  </si>
  <si>
    <t>bbands_'P': [('delta', -0.4, -1), ('delta', -0.21, 2)]}_[7, 35]_1 :</t>
  </si>
  <si>
    <t>stoch_no_highvol_'P': [('delta', -0.5, -1), ('delta', -0.26, 2)]}_[7, 35]_4 :</t>
  </si>
  <si>
    <t>bbands_'P': [('number', 0, -1), ('number', -7.5, 2)]}_[42, 70]_7 :</t>
  </si>
  <si>
    <t>psar_no_highvol_'P': [('number', 0, -1), ('number', -5, 2)]}_[7, 35]_1 :</t>
  </si>
  <si>
    <t>rsi_'P': [('number', 0, -1), ('number', -5, 2)]}_[42, 70]_10 :</t>
  </si>
  <si>
    <t>psar_'P': [('delta', -0.3, -1), ('delta', -0.16, 2)]}_[21, 49]_10 :</t>
  </si>
  <si>
    <t>psar_'P': [('number', 0, -1), ('number', -5, 2)]}_[7, 35]_1 :</t>
  </si>
  <si>
    <t>stoch_no_highvol_'P': [('delta', -0.5, -1), ('delta', -0.26, 2)]}_[42, 70]_4 :</t>
  </si>
  <si>
    <t>stoch_no_highvol_'P': [('delta', -0.4, -1), ('delta', -0.21, 2)]}_[42, 70]_4 :</t>
  </si>
  <si>
    <t>psar_'P': [('delta', -0.5, -1), ('delta', -0.26, 2)]}_[21, 49]_10 :</t>
  </si>
  <si>
    <t>bbands_'P': [('number', 0, -1), ('number', -7.5, 2)]}_[21, 49]_1 :</t>
  </si>
  <si>
    <t>rsi_'P': [('delta', -0.3, -1), ('delta', -0.16, 2)]}_[7, 35]_4 :</t>
  </si>
  <si>
    <t>stoch_no_highvol_'P': [('delta', -0.4, -1), ('delta', -0.21, 2)]}_[42, 70]_0.5 :</t>
  </si>
  <si>
    <t>stoch_'P': [('delta', -0.4, -1), ('delta', -0.21, 2)]}_[7, 35]_4 :</t>
  </si>
  <si>
    <t>stoch_'P': [('number', 0, -1), ('number', -7.5, 2)]}_[42, 70]_0.5 :</t>
  </si>
  <si>
    <t>psar_'P': [('delta', -0.3, -1), ('delta', -0.16, 2)]}_[42, 70]_7 :</t>
  </si>
  <si>
    <t>bbands_'P': [('delta', -0.5, -1), ('delta', -0.26, 2)]}_[21, 49]_10 :</t>
  </si>
  <si>
    <t>bbands_no_highvol_'P': [('number', 0, -1), ('number', -7.5, 2)]}_[42, 70]_10 :</t>
  </si>
  <si>
    <t>bbands_'P': [('number', 0, -1), ('number', -7.5, 2)]}_[21, 49]_7 :</t>
  </si>
  <si>
    <t>psar_no_highvol_'P': [('delta', -0.5, -1), ('delta', -0.26, 2)]}_[21, 49]_0.5 :</t>
  </si>
  <si>
    <t>stoch_no_highvol_'P': [('number', 0, -1), ('number', -7.5, 2)]}_[7, 35]_4 :</t>
  </si>
  <si>
    <t>rsi_'P': [('delta', -0.4, -1), ('delta', -0.21, 2)]}_[21, 49]_4 :</t>
  </si>
  <si>
    <t>bbands_'P': [('number', 0, -1), ('number', -5, 2)]}_[42, 70]_7 :</t>
  </si>
  <si>
    <t>psar_'P': [('delta', -0.5, -1), ('delta', -0.26, 2)]}_[21, 49]_2 :</t>
  </si>
  <si>
    <t>stoch_'P': [('delta', -0.3, -1), ('delta', -0.16, 2)]}_[42, 70]_10 :</t>
  </si>
  <si>
    <t>psar_'P': [('delta', -0.5, -1), ('delta', -0.26, 2)]}_[21, 49]_0.5 :</t>
  </si>
  <si>
    <t>stoch_no_highvol_'P': [('number', 0, -1), ('number', -5, 2)]}_[42, 70]_2 :</t>
  </si>
  <si>
    <t>bbands_no_highvol_'P': [('number', 0, -1), ('number', -7.5, 2)]}_[42, 70]_2 :</t>
  </si>
  <si>
    <t>bbands_no_highvol_'P': [('number', 0, -1), ('number', -7.5, 2)]}_[21, 49]_1 :</t>
  </si>
  <si>
    <t>bbands_'P': [('delta', -0.5, -1), ('delta', -0.26, 2)]}_[7, 35]_2 :</t>
  </si>
  <si>
    <t>stoch_'P': [('number', 0, -1), ('number', -5, 2)]}_[21, 49]_4 :</t>
  </si>
  <si>
    <t>rsi_'P': [('delta', -0.4, -1), ('delta', -0.21, 2)]}_[21, 49]_10 :</t>
  </si>
  <si>
    <t>stoch_'P': [('delta', -0.4, -1), ('delta', -0.21, 2)]}_[7, 35]_7 :</t>
  </si>
  <si>
    <t>rsi_'P': [('number', 0, -1), ('number', -7.5, 2)]}_[21, 49]_10 :</t>
  </si>
  <si>
    <t>rsi_'P': [('delta', -0.5, -1), ('delta', -0.26, 2)]}_[21, 49]_7 :</t>
  </si>
  <si>
    <t>bbands_'P': [('number', 0, -1), ('number', -7.5, 2)]}_[7, 35]_10 :</t>
  </si>
  <si>
    <t>psar_'P': [('delta', -0.3, -1), ('delta', -0.16, 2)]}_[42, 70]_10 :</t>
  </si>
  <si>
    <t>bbands_'P': [('delta', -0.5, -1), ('delta', -0.26, 2)]}_[21, 49]_7 :</t>
  </si>
  <si>
    <t>psar_no_highvol_'P': [('delta', -0.3, -1), ('delta', -0.16, 2)]}_[42, 70]_7 :</t>
  </si>
  <si>
    <t>psar_no_highvol_'P': [('delta', -0.5, -1), ('delta', -0.26, 2)]}_[21, 49]_1 :</t>
  </si>
  <si>
    <t>stoch_'P': [('number', 0, -1), ('number', -7.5, 2)]}_[42, 70]_4 :</t>
  </si>
  <si>
    <t>rsi_'P': [('delta', -0.5, -1), ('delta', -0.26, 2)]}_[21, 49]_2 :</t>
  </si>
  <si>
    <t>stoch_no_highvol_'P': [('number', 0, -1), ('number', -5, 2)]}_[7, 35]_7 :</t>
  </si>
  <si>
    <t>stoch_'P': [('number', 0, -1), ('number', -7.5, 2)]}_[7, 35]_0.5 :</t>
  </si>
  <si>
    <t>stoch_'P': [('delta', -0.5, -1), ('delta', -0.26, 2)]}_[7, 35]_10 :</t>
  </si>
  <si>
    <t>stoch_'P': [('number', 0, -1), ('number', -7.5, 2)]}_[21, 49]_2 :</t>
  </si>
  <si>
    <t>bbands_'P': [('number', 0, -1), ('number', -7.5, 2)]}_[21, 49]_2 :</t>
  </si>
  <si>
    <t>stoch_no_highvol_'P': [('delta', -0.4, -1), ('delta', -0.21, 2)]}_[21, 49]_7 :</t>
  </si>
  <si>
    <t>stoch_'P': [('delta', -0.5, -1), ('delta', -0.26, 2)]}_[7, 35]_0.5 :</t>
  </si>
  <si>
    <t>bbands_no_highvol_'P': [('number', 0, -1), ('number', -7.5, 2)]}_[21, 49]_2 :</t>
  </si>
  <si>
    <t>stoch_'P': [('delta', -0.4, -1), ('delta', -0.21, 2)]}_[42, 70]_1 :</t>
  </si>
  <si>
    <t>stoch_'P': [('delta', -0.3, -1), ('delta', -0.16, 2)]}_[7, 35]_10 :</t>
  </si>
  <si>
    <t>bbands_'P': [('delta', -0.4, -1), ('delta', -0.21, 2)]}_[7, 35]_4 :</t>
  </si>
  <si>
    <t>stoch_no_highvol_'P': [('number', 0, -1), ('number', -7.5, 2)]}_[42, 70]_7 :</t>
  </si>
  <si>
    <t>bbands_no_highvol_'P': [('number', 0, -1), ('number', -7.5, 2)]}_[42, 70]_7 :</t>
  </si>
  <si>
    <t>bbands_'P': [('delta', -0.4, -1), ('delta', -0.21, 2)]}_[21, 49]_4 :</t>
  </si>
  <si>
    <t>bbands_'P': [('number', 0, -1), ('number', -5, 2)]}_[42, 70]_2 :</t>
  </si>
  <si>
    <t>rsi_'P': [('delta', -0.5, -1), ('delta', -0.26, 2)]}_[21, 49]_1 :</t>
  </si>
  <si>
    <t>stoch_'P': [('number', 0, -1), ('number', -7.5, 2)]}_[42, 70]_1 :</t>
  </si>
  <si>
    <t>stoch_no_highvol_'P': [('number', 0, -1), ('number', -7.5, 2)]}_[42, 70]_0.5 :</t>
  </si>
  <si>
    <t>rsi_'P': [('delta', -0.4, -1), ('delta', -0.21, 2)]}_[21, 49]_7 :</t>
  </si>
  <si>
    <t>rsi_'P': [('delta', -0.4, -1), ('delta', -0.21, 2)]}_[42, 70]_4 :</t>
  </si>
  <si>
    <t>rsi_'P': [('number', 0, -1), ('number', -5, 2)]}_[7, 35]_0.5 :</t>
  </si>
  <si>
    <t>stoch_no_highvol_'P': [('delta', -0.3, -1), ('delta', -0.16, 2)]}_[7, 35]_4 :</t>
  </si>
  <si>
    <t>stoch_no_highvol_'P': [('delta', -0.3, -1), ('delta', -0.16, 2)]}_[7, 35]_1 :</t>
  </si>
  <si>
    <t>stoch_no_highvol_'P': [('number', 0, -1), ('number', -5, 2)]}_[42, 70]_1 :</t>
  </si>
  <si>
    <t>stoch_no_highvol_'P': [('delta', -0.5, -1), ('delta', -0.26, 2)]}_[7, 35]_0.5 :</t>
  </si>
  <si>
    <t>stoch_'P': [('number', 0, -1), ('number', -7.5, 2)]}_[21, 49]_0.5 :</t>
  </si>
  <si>
    <t>stoch_no_highvol_'P': [('delta', -0.5, -1), ('delta', -0.26, 2)]}_[21, 49]_10 :</t>
  </si>
  <si>
    <t>bbands_no_highvol_'P': [('delta', -0.4, -1), ('delta', -0.21, 2)]}_[21, 49]_4 :</t>
  </si>
  <si>
    <t>rsi_'P': [('number', 0, -1), ('number', -7.5, 2)]}_[7, 35]_0.5 :</t>
  </si>
  <si>
    <t>rsi_'P': [('delta', -0.5, -1), ('delta', -0.26, 2)]}_[7, 35]_7 :</t>
  </si>
  <si>
    <t>bbands_'P': [('delta', -0.5, -1), ('delta', -0.26, 2)]}_[7, 35]_4 :</t>
  </si>
  <si>
    <t>stoch_'P': [('number', 0, -1), ('number', -5, 2)]}_[7, 35]_4 :</t>
  </si>
  <si>
    <t>stoch_no_highvol_'P': [('delta', -0.5, -1), ('delta', -0.26, 2)]}_[42, 70]_1 :</t>
  </si>
  <si>
    <t>stoch_no_highvol_'P': [('delta', -0.5, -1), ('delta', -0.26, 2)]}_[7, 35]_2 :</t>
  </si>
  <si>
    <t>stoch_'P': [('delta', -0.4, -1), ('delta', -0.21, 2)]}_[21, 49]_4 :</t>
  </si>
  <si>
    <t>bbands_no_highvol_'P': [('number', 0, -1), ('number', -5, 2)]}_[42, 70]_10 :</t>
  </si>
  <si>
    <t>rsi_'P': [('delta', -0.4, -1), ('delta', -0.21, 2)]}_[7, 35]_2 :</t>
  </si>
  <si>
    <t>rsi_'P': [('delta', -0.4, -1), ('delta', -0.21, 2)]}_[7, 35]_0.5 :</t>
  </si>
  <si>
    <t>rsi_'P': [('delta', -0.4, -1), ('delta', -0.21, 2)]}_[7, 35]_7 :</t>
  </si>
  <si>
    <t>rsi_'P': [('delta', -0.4, -1), ('delta', -0.21, 2)]}_[7, 35]_10 :</t>
  </si>
  <si>
    <t>bbands_'P': [('number', 0, -1), ('number', -5, 2)]}_[21, 49]_7 :</t>
  </si>
  <si>
    <t>bbands_'P': [('delta', -0.5, -1), ('delta', -0.26, 2)]}_[7, 35]_7 :</t>
  </si>
  <si>
    <t>bbands_'P': [('number', 0, -1), ('number', -5, 2)]}_[7, 35]_10 :</t>
  </si>
  <si>
    <t>psar_'P': [('delta', -0.5, -1), ('delta', -0.26, 2)]}_[21, 49]_1 :</t>
  </si>
  <si>
    <t>stoch_'P': [('delta', -0.5, -1), ('delta', -0.26, 2)]}_[21, 49]_0.5 :</t>
  </si>
  <si>
    <t>rsi_'P': [('delta', -0.5, -1), ('delta', -0.26, 2)]}_[21, 49]_10 :</t>
  </si>
  <si>
    <t>stoch_'P': [('number', 0, -1), ('number', -5, 2)]}_[7, 35]_7 :</t>
  </si>
  <si>
    <t>stoch_'P': [('delta', -0.5, -1), ('delta', -0.26, 2)]}_[42, 70]_2 :</t>
  </si>
  <si>
    <t>stoch_no_highvol_'P': [('delta', -0.3, -1), ('delta', -0.16, 2)]}_[21, 49]_10 :</t>
  </si>
  <si>
    <t>stoch_'P': [('delta', -0.4, -1), ('delta', -0.21, 2)]}_[21, 49]_2 :</t>
  </si>
  <si>
    <t>stoch_no_highvol_'P': [('delta', -0.4, -1), ('delta', -0.21, 2)]}_[42, 70]_7 :</t>
  </si>
  <si>
    <t>stoch_'P': [('number', 0, -1), ('number', -7.5, 2)]}_[7, 35]_2 :</t>
  </si>
  <si>
    <t>rsi_'P': [('delta', -0.3, -1), ('delta', -0.16, 2)]}_[7, 35]_2 :</t>
  </si>
  <si>
    <t>stoch_'P': [('number', 0, -1), ('number', -7.5, 2)]}_[21, 49]_7 :</t>
  </si>
  <si>
    <t>stoch_no_highvol_'P': [('delta', -0.3, -1), ('delta', -0.16, 2)]}_[7, 35]_2 :</t>
  </si>
  <si>
    <t>rsi_'P': [('delta', -0.5, -1), ('delta', -0.26, 2)]}_[7, 35]_0.5 :</t>
  </si>
  <si>
    <t>rsi_'P': [('delta', -0.4, -1), ('delta', -0.21, 2)]}_[7, 35]_4 :</t>
  </si>
  <si>
    <t>bbands_'P': [('number', 0, -1), ('number', -5, 2)]}_[7, 35]_4 :</t>
  </si>
  <si>
    <t>bbands_no_highvol_'P': [('number', 0, -1), ('number', -7.5, 2)]}_[42, 70]_4 :</t>
  </si>
  <si>
    <t>rsi_'P': [('number', 0, -1), ('number', -5, 2)]}_[7, 35]_1 :</t>
  </si>
  <si>
    <t>rsi_'P': [('delta', -0.5, -1), ('delta', -0.26, 2)]}_[7, 35]_10 :</t>
  </si>
  <si>
    <t>stoch_'P': [('number', 0, -1), ('number', -7.5, 2)]}_[7, 35]_4 :</t>
  </si>
  <si>
    <t>stoch_no_highvol_'P': [('delta', -0.5, -1), ('delta', -0.26, 2)]}_[42, 70]_7 :</t>
  </si>
  <si>
    <t>stoch_no_highvol_'P': [('number', 0, -1), ('number', -7.5, 2)]}_[7, 35]_10 :</t>
  </si>
  <si>
    <t>stoch_no_highvol_'P': [('number', 0, -1), ('number', -7.5, 2)]}_[42, 70]_1 :</t>
  </si>
  <si>
    <t>bbands_no_highvol_'P': [('number', 0, -1), ('number', -5, 2)]}_[42, 70]_2 :</t>
  </si>
  <si>
    <t>rsi_'P': [('number', 0, -1), ('number', -5, 2)]}_[7, 35]_4 :</t>
  </si>
  <si>
    <t>bbands_no_highvol_'P': [('number', 0, -1), ('number', -7.5, 2)]}_[21, 49]_7 :</t>
  </si>
  <si>
    <t>stoch_no_highvol_'P': [('delta', -0.4, -1), ('delta', -0.21, 2)]}_[7, 35]_2 :</t>
  </si>
  <si>
    <t>rsi_'P': [('delta', -0.5, -1), ('delta', -0.26, 2)]}_[42, 70]_4 :</t>
  </si>
  <si>
    <t>bbands_no_highvol_'P': [('number', 0, -1), ('number', -7.5, 2)]}_[21, 49]_10 :</t>
  </si>
  <si>
    <t>rsi_'P': [('number', 0, -1), ('number', -5, 2)]}_[7, 35]_2 :</t>
  </si>
  <si>
    <t>rsi_'P': [('number', 0, -1), ('number', -7.5, 2)]}_[21, 49]_1 :</t>
  </si>
  <si>
    <t>stoch_'P': [('delta', -0.4, -1), ('delta', -0.21, 2)]}_[21, 49]_0.5 :</t>
  </si>
  <si>
    <t>stoch_no_highvol_'P': [('delta', -0.3, -1), ('delta', -0.16, 2)]}_[7, 35]_0.5 :</t>
  </si>
  <si>
    <t>stoch_no_highvol_'P': [('delta', -0.4, -1), ('delta', -0.21, 2)]}_[42, 70]_1 :</t>
  </si>
  <si>
    <t>stoch_no_highvol_'P': [('delta', -0.5, -1), ('delta', -0.26, 2)]}_[7, 35]_1 :</t>
  </si>
  <si>
    <t>stoch_'P': [('delta', -0.4, -1), ('delta', -0.21, 2)]}_[7, 35]_2 :</t>
  </si>
  <si>
    <t>rsi_'P': [('delta', -0.4, -1), ('delta', -0.21, 2)]}_[42, 70]_7 :</t>
  </si>
  <si>
    <t>rsi_'P': [('delta', -0.5, -1), ('delta', -0.26, 2)]}_[7, 35]_1 :</t>
  </si>
  <si>
    <t>stoch_no_highvol_'P': [('delta', -0.5, -1), ('delta', -0.26, 2)]}_[21, 49]_7 :</t>
  </si>
  <si>
    <t>stoch_no_highvol_'P': [('number', 0, -1), ('number', -7.5, 2)]}_[7, 35]_7 :</t>
  </si>
  <si>
    <t>rsi_'P': [('number', 0, -1), ('number', -7.5, 2)]}_[42, 70]_10 :</t>
  </si>
  <si>
    <t>stoch_'P': [('number', 0, -1), ('number', -5, 2)]}_[42, 70]_10 :</t>
  </si>
  <si>
    <t>stoch_'P': [('delta', -0.4, -1), ('delta', -0.21, 2)]}_[21, 49]_1 :</t>
  </si>
  <si>
    <t>bbands_no_highvol_'P': [('number', 0, -1), ('number', -5, 2)]}_[7, 35]_0.5 :</t>
  </si>
  <si>
    <t>bbands_no_highvol_'P': [('number', 0, -1), ('number', -5, 2)]}_[7, 35]_2 :</t>
  </si>
  <si>
    <t>stoch_'P': [('delta', -0.3, -1), ('delta', -0.16, 2)]}_[7, 35]_1 :</t>
  </si>
  <si>
    <t>rsi_'P': [('delta', -0.4, -1), ('delta', -0.21, 2)]}_[7, 35]_1 :</t>
  </si>
  <si>
    <t>stoch_'P': [('delta', -0.3, -1), ('delta', -0.16, 2)]}_[7, 35]_7 :</t>
  </si>
  <si>
    <t>psar_no_highvol_'P': [('delta', -0.4, -1), ('delta', -0.21, 2)]}_[42, 70]_10 :</t>
  </si>
  <si>
    <t>stoch_'P': [('delta', -0.3, -1), ('delta', -0.16, 2)]}_[21, 49]_2 :</t>
  </si>
  <si>
    <t>bbands_no_highvol_'P': [('number', 0, -1), ('number', -5, 2)]}_[42, 70]_7 :</t>
  </si>
  <si>
    <t>stoch_'P': [('delta', -0.3, -1), ('delta', -0.16, 2)]}_[7, 35]_4 :</t>
  </si>
  <si>
    <t>stoch_no_highvol_'P': [('number', 0, -1), ('number', -7.5, 2)]}_[21, 49]_2 :</t>
  </si>
  <si>
    <t>alltime_'P': [('delta', -0.3, -1), ('delta', -0.16, 2)]}_[42, 70]_1 :</t>
  </si>
  <si>
    <t>stoch_no_highvol_'P': [('delta', -0.5, -1), ('delta', -0.26, 2)]}_[42, 70]_2 :</t>
  </si>
  <si>
    <t>stoch_no_highvol_'P': [('delta', -0.3, -1), ('delta', -0.16, 2)]}_[21, 49]_7 :</t>
  </si>
  <si>
    <t>rsi_'P': [('number', 0, -1), ('number', -5, 2)]}_[7, 35]_7 :</t>
  </si>
  <si>
    <t>stoch_no_highvol_'P': [('number', 0, -1), ('number', -7.5, 2)]}_[7, 35]_1 :</t>
  </si>
  <si>
    <t>rsi_'P': [('number', 0, -1), ('number', -5, 2)]}_[7, 35]_10 :</t>
  </si>
  <si>
    <t>stoch_no_highvol_'P': [('number', 0, -1), ('number', -5, 2)]}_[7, 35]_10 :</t>
  </si>
  <si>
    <t>bbands_no_highvol_'P': [('number', 0, -1), ('number', -5, 2)]}_[7, 35]_1 :</t>
  </si>
  <si>
    <t>rsi_'P': [('delta', -0.5, -1), ('delta', -0.26, 2)]}_[42, 70]_7 :</t>
  </si>
  <si>
    <t>stoch_no_highvol_'P': [('number', 0, -1), ('number', -7.5, 2)]}_[21, 49]_0.5 :</t>
  </si>
  <si>
    <t>stoch_'P': [('delta', -0.4, -1), ('delta', -0.21, 2)]}_[21, 49]_10 :</t>
  </si>
  <si>
    <t>stoch_'P': [('number', 0, -1), ('number', -7.5, 2)]}_[7, 35]_1 :</t>
  </si>
  <si>
    <t>stoch_'P': [('delta', -0.3, -1), ('delta', -0.16, 2)]}_[7, 35]_2 :</t>
  </si>
  <si>
    <t>stoch_'P': [('delta', -0.3, -1), ('delta', -0.16, 2)]}_[7, 35]_0.5 :</t>
  </si>
  <si>
    <t>stoch_no_highvol_'P': [('delta', -0.5, -1), ('delta', -0.26, 2)]}_[21, 49]_0.5 :</t>
  </si>
  <si>
    <t>bbands_'P': [('number', 0, -1), ('number', -5, 2)]}_[42, 70]_10 :</t>
  </si>
  <si>
    <t>rsi_'P': [('number', 0, -1), ('number', -7.5, 2)]}_[7, 35]_2 :</t>
  </si>
  <si>
    <t>stoch_'P': [('delta', -0.5, -1), ('delta', -0.26, 2)]}_[21, 49]_4 :</t>
  </si>
  <si>
    <t>rsi_'P': [('delta', -0.5, -1), ('delta', -0.26, 2)]}_[7, 35]_2 :</t>
  </si>
  <si>
    <t>psar_'P': [('delta', -0.4, -1), ('delta', -0.21, 2)]}_[42, 70]_10 :</t>
  </si>
  <si>
    <t>stoch_'P': [('number', 0, -1), ('number', -7.5, 2)]}_[42, 70]_2 :</t>
  </si>
  <si>
    <t>stoch_'P': [('delta', -0.5, -1), ('delta', -0.26, 2)]}_[7, 35]_1 :</t>
  </si>
  <si>
    <t>stoch_no_highvol_'P': [('delta', -0.4, -1), ('delta', -0.21, 2)]}_[7, 35]_0.5 :</t>
  </si>
  <si>
    <t>stoch_no_highvol_'P': [('delta', -0.4, -1), ('delta', -0.21, 2)]}_[42, 70]_10 :</t>
  </si>
  <si>
    <t>bbands_no_highvol_'P': [('number', 0, -1), ('number', -5, 2)]}_[21, 49]_7 :</t>
  </si>
  <si>
    <t>stoch_no_highvol_'P': [('delta', -0.4, -1), ('delta', -0.21, 2)]}_[21, 49]_4 :</t>
  </si>
  <si>
    <t>psar_no_highvol_'P': [('delta', -0.5, -1), ('delta', -0.26, 2)]}_[42, 70]_10 :</t>
  </si>
  <si>
    <t>rsi_'P': [('number', 0, -1), ('number', -7.5, 2)]}_[7, 35]_7 :</t>
  </si>
  <si>
    <t>stoch_'P': [('delta', -0.4, -1), ('delta', -0.21, 2)]}_[7, 35]_0.5 :</t>
  </si>
  <si>
    <t>stoch_'P': [('delta', -0.5, -1), ('delta', -0.26, 2)]}_[21, 49]_1 :</t>
  </si>
  <si>
    <t>bbands_'P': [('number', 0, -1), ('number', -7.5, 2)]}_[21, 49]_10 :</t>
  </si>
  <si>
    <t>stoch_'P': [('delta', -0.5, -1), ('delta', -0.26, 2)]}_[7, 35]_4 :</t>
  </si>
  <si>
    <t>bbands_no_highvol_'P': [('number', 0, -1), ('number', -5, 2)]}_[21, 49]_0.5 :</t>
  </si>
  <si>
    <t>stoch_no_highvol_'P': [('delta', -0.3, -1), ('delta', -0.16, 2)]}_[21, 49]_2 :</t>
  </si>
  <si>
    <t>stoch_no_highvol_'P': [('delta', -0.4, -1), ('delta', -0.21, 2)]}_[7, 35]_1 :</t>
  </si>
  <si>
    <t>rsi_'P': [('number', 0, -1), ('number', -7.5, 2)]}_[7, 35]_4 :</t>
  </si>
  <si>
    <t>bbands_'P': [('number', 0, -1), ('number', -5, 2)]}_[7, 35]_0.5 :</t>
  </si>
  <si>
    <t>stoch_'P': [('number', 0, -1), ('number', -7.5, 2)]}_[21, 49]_1 :</t>
  </si>
  <si>
    <t>rsi_'P': [('number', 0, -1), ('number', -7.5, 2)]}_[7, 35]_1 :</t>
  </si>
  <si>
    <t>bbands_'P': [('number', 0, -1), ('number', -5, 2)]}_[21, 49]_0.5 :</t>
  </si>
  <si>
    <t>stoch_no_highvol_'P': [('number', 0, -1), ('number', -7.5, 2)]}_[21, 49]_10 :</t>
  </si>
  <si>
    <t>stoch_'P': [('number', 0, -1), ('number', -5, 2)]}_[7, 35]_2 :</t>
  </si>
  <si>
    <t>stoch_'P': [('delta', -0.3, -1), ('delta', -0.16, 2)]}_[21, 49]_1 :</t>
  </si>
  <si>
    <t>stoch_no_highvol_'P': [('delta', -0.4, -1), ('delta', -0.21, 2)]}_[21, 49]_2 :</t>
  </si>
  <si>
    <t>stoch_'P': [('number', 0, -1), ('number', -7.5, 2)]}_[7, 35]_7 :</t>
  </si>
  <si>
    <t>stoch_'P': [('delta', -0.4, -1), ('delta', -0.21, 2)]}_[21, 49]_7 :</t>
  </si>
  <si>
    <t>stoch_no_highvol_'P': [('number', 0, -1), ('number', -7.5, 2)]}_[42, 70]_4 :</t>
  </si>
  <si>
    <t>stoch_'P': [('delta', -0.4, -1), ('delta', -0.21, 2)]}_[42, 70]_7 :</t>
  </si>
  <si>
    <t>stoch_no_highvol_'P': [('number', 0, -1), ('number', -5, 2)]}_[7, 35]_2 :</t>
  </si>
  <si>
    <t>stoch_no_highvol_'P': [('number', 0, -1), ('number', -7.5, 2)]}_[42, 70]_2 :</t>
  </si>
  <si>
    <t>stoch_no_highvol_'P': [('delta', -0.5, -1), ('delta', -0.26, 2)]}_[21, 49]_4 :</t>
  </si>
  <si>
    <t>stoch_no_highvol_'P': [('delta', -0.5, -1), ('delta', -0.26, 2)]}_[42, 70]_10 :</t>
  </si>
  <si>
    <t>bbands_'P': [('number', 0, -1), ('number', -5, 2)]}_[21, 49]_4 :</t>
  </si>
  <si>
    <t>stoch_no_highvol_'P': [('delta', -0.3, -1), ('delta', -0.16, 2)]}_[21, 49]_4 :</t>
  </si>
  <si>
    <t>rsi_'P': [('number', 0, -1), ('number', -7.5, 2)]}_[7, 35]_10 :</t>
  </si>
  <si>
    <t>stoch_'P': [('number', 0, -1), ('number', -5, 2)]}_[7, 35]_10 :</t>
  </si>
  <si>
    <t>stoch_'P': [('delta', -0.5, -1), ('delta', -0.26, 2)]}_[21, 49]_7 :</t>
  </si>
  <si>
    <t>stoch_'P': [('delta', -0.4, -1), ('delta', -0.21, 2)]}_[7, 35]_1 :</t>
  </si>
  <si>
    <t>stoch_no_highvol_'P': [('number', 0, -1), ('number', -5, 2)]}_[21, 49]_4 :</t>
  </si>
  <si>
    <t>stoch_no_highvol_'P': [('delta', -0.5, -1), ('delta', -0.26, 2)]}_[21, 49]_1 :</t>
  </si>
  <si>
    <t>stoch_no_highvol_'P': [('delta', -0.3, -1), ('delta', -0.16, 2)]}_[21, 49]_1 :</t>
  </si>
  <si>
    <t>stoch_'P': [('delta', -0.3, -1), ('delta', -0.16, 2)]}_[21, 49]_0.5 :</t>
  </si>
  <si>
    <t>stoch_'P': [('delta', -0.5, -1), ('delta', -0.26, 2)]}_[7, 35]_2 :</t>
  </si>
  <si>
    <t>rsi_'P': [('delta', -0.5, -1), ('delta', -0.26, 2)]}_[7, 35]_4 :</t>
  </si>
  <si>
    <t>bbands_'P': [('number', 0, -1), ('number', -5, 2)]}_[7, 35]_1 :</t>
  </si>
  <si>
    <t>stoch_no_highvol_'P': [('delta', -0.4, -1), ('delta', -0.21, 2)]}_[21, 49]_1 :</t>
  </si>
  <si>
    <t>bbands_'P': [('number', 0, -1), ('number', -5, 2)]}_[7, 35]_2 :</t>
  </si>
  <si>
    <t>stoch_no_highvol_'P': [('delta', -0.5, -1), ('delta', -0.26, 2)]}_[21, 49]_2 :</t>
  </si>
  <si>
    <t>bbands_'P': [('number', 0, -1), ('number', -5, 2)]}_[21, 49]_10 :</t>
  </si>
  <si>
    <t>stoch_'P': [('delta', -0.5, -1), ('delta', -0.26, 2)]}_[42, 70]_7 :</t>
  </si>
  <si>
    <t>rsi_'P': [('delta', -0.4, -1), ('delta', -0.21, 2)]}_[42, 70]_10 :</t>
  </si>
  <si>
    <t>stoch_'P': [('number', 0, -1), ('number', -7.5, 2)]}_[7, 35]_10 :</t>
  </si>
  <si>
    <t>stoch_'P': [('number', 0, -1), ('number', -7.5, 2)]}_[21, 49]_10 :</t>
  </si>
  <si>
    <t>stoch_'P': [('delta', -0.5, -1), ('delta', -0.26, 2)]}_[21, 49]_2 :</t>
  </si>
  <si>
    <t>stoch_'P': [('delta', -0.3, -1), ('delta', -0.16, 2)]}_[21, 49]_10 :</t>
  </si>
  <si>
    <t>stoch_'P': [('delta', -0.3, -1), ('delta', -0.16, 2)]}_[21, 49]_4 :</t>
  </si>
  <si>
    <t>stoch_no_highvol_'P': [('delta', -0.4, -1), ('delta', -0.21, 2)]}_[21, 49]_0.5 :</t>
  </si>
  <si>
    <t>bbands_no_highvol_'P': [('number', 0, -1), ('number', -5, 2)]}_[21, 49]_4 :</t>
  </si>
  <si>
    <t>stoch_no_highvol_'P': [('delta', -0.3, -1), ('delta', -0.16, 2)]}_[21, 49]_0.5 :</t>
  </si>
  <si>
    <t>stoch_no_highvol_'P': [('number', 0, -1), ('number', -7.5, 2)]}_[21, 49]_4 :</t>
  </si>
  <si>
    <t>bbands_'P': [('number', 0, -1), ('number', -5, 2)]}_[21, 49]_1 :</t>
  </si>
  <si>
    <t>psar_'P': [('delta', -0.5, -1), ('delta', -0.26, 2)]}_[42, 70]_10 :</t>
  </si>
  <si>
    <t>bbands_no_highvol_'P': [('number', 0, -1), ('number', -5, 2)]}_[21, 49]_1 :</t>
  </si>
  <si>
    <t>bbands_no_highvol_'P': [('number', 0, -1), ('number', -5, 2)]}_[21, 49]_2 :</t>
  </si>
  <si>
    <t>stoch_'P': [('number', 0, -1), ('number', -5, 2)]}_[21, 49]_2 :</t>
  </si>
  <si>
    <t>bbands_'P': [('number', 0, -1), ('number', -5, 2)]}_[21, 49]_2 :</t>
  </si>
  <si>
    <t>stoch_no_highvol_'P': [('number', 0, -1), ('number', -7.5, 2)]}_[42, 70]_10 :</t>
  </si>
  <si>
    <t>bbands_no_highvol_'P': [('number', 0, -1), ('number', -5, 2)]}_[21, 49]_10 :</t>
  </si>
  <si>
    <t>stoch_'P': [('number', 0, -1), ('number', -5, 2)]}_[21, 49]_7 :</t>
  </si>
  <si>
    <t>stoch_'P': [('number', 0, -1), ('number', -5, 2)]}_[21, 49]_1 :</t>
  </si>
  <si>
    <t>stoch_no_highvol_'P': [('number', 0, -1), ('number', -7.5, 2)]}_[21, 49]_7 :</t>
  </si>
  <si>
    <t>rsi_'P': [('delta', -0.5, -1), ('delta', -0.26, 2)]}_[42, 70]_10 :</t>
  </si>
  <si>
    <t>stoch_'P': [('delta', -0.3, -1), ('delta', -0.16, 2)]}_[21, 49]_7 :</t>
  </si>
  <si>
    <t>stoch_no_highvol_'P': [('number', 0, -1), ('number', -7.5, 2)]}_[21, 49]_1 :</t>
  </si>
  <si>
    <t>stoch_'P': [('number', 0, -1), ('number', -5, 2)]}_[7, 35]_1 :</t>
  </si>
  <si>
    <t>stoch_no_highvol_'P': [('number', 0, -1), ('number', -5, 2)]}_[7, 35]_1 :</t>
  </si>
  <si>
    <t>stoch_'P': [('delta', -0.5, -1), ('delta', -0.26, 2)]}_[21, 49]_10 :</t>
  </si>
  <si>
    <t>stoch_'P': [('number', 0, -1), ('number', -5, 2)]}_[21, 49]_0.5 :</t>
  </si>
  <si>
    <t>stoch_'P': [('number', 0, -1), ('number', -5, 2)]}_[7, 35]_0.5 :</t>
  </si>
  <si>
    <t>alltime_'P': [('delta', -0.5, -1), ('delta', -0.26, 2)]}_[42, 70]_1 :</t>
  </si>
  <si>
    <t>stoch_no_highvol_'P': [('number', 0, -1), ('number', -5, 2)]}_[7, 35]_0.5 :</t>
  </si>
  <si>
    <t>alltime_'P': [('delta', -0.3, -1), ('delta', -0.16, 2)]}_[42, 70]_0.5 :</t>
  </si>
  <si>
    <t>stoch_no_highvol_'P': [('number', 0, -1), ('number', -5, 2)]}_[21, 49]_0.5 :</t>
  </si>
  <si>
    <t>stoch_'P': [('delta', -0.4, -1), ('delta', -0.21, 2)]}_[42, 70]_10 :</t>
  </si>
  <si>
    <t>stoch_no_highvol_'P': [('number', 0, -1), ('number', -5, 2)]}_[21, 49]_2 :</t>
  </si>
  <si>
    <t>stoch_'P': [('number', 0, -1), ('number', -7.5, 2)]}_[42, 70]_10 :</t>
  </si>
  <si>
    <t>alltime_'P': [('number', 0, -1), ('number', -5, 2)]}_[42, 70]_2 :</t>
  </si>
  <si>
    <t>stoch_'P': [('delta', -0.5, -1), ('delta', -0.26, 2)]}_[42, 70]_10 :</t>
  </si>
  <si>
    <t>stoch_no_highvol_'P': [('number', 0, -1), ('number', -5, 2)]}_[21, 49]_1 :</t>
  </si>
  <si>
    <t>alltime_'P': [('number', 0, -1), ('number', -5, 2)]}_[42, 70]_4 :</t>
  </si>
  <si>
    <t>alltime_'P': [('delta', -0.3, -1), ('delta', -0.16, 2)]}_[42, 70]_2 :</t>
  </si>
  <si>
    <t>alltime_'P': [('delta', -0.4, -1), ('delta', -0.21, 2)]}_[42, 70]_1 :</t>
  </si>
  <si>
    <t>alltime_'P': [('number', 0, -1), ('number', -7.5, 2)]}_[42, 70]_0.5 :</t>
  </si>
  <si>
    <t>stoch_'P': [('number', 0, -1), ('number', -5, 2)]}_[21, 49]_10 :</t>
  </si>
  <si>
    <t>stoch_no_highvol_'P': [('number', 0, -1), ('number', -5, 2)]}_[21, 49]_7 :</t>
  </si>
  <si>
    <t>alltime_'P': [('number', 0, -1), ('number', -7.5, 2)]}_[42, 70]_1 :</t>
  </si>
  <si>
    <t>stoch_no_highvol_'P': [('number', 0, -1), ('number', -5, 2)]}_[21, 49]_10 :</t>
  </si>
  <si>
    <t>alltime_'P': [('delta', -0.4, -1), ('delta', -0.21, 2)]}_[42, 70]_2 :</t>
  </si>
  <si>
    <t>alltime_'P': [('number', 0, -1), ('number', -7.5, 2)]}_[42, 70]_2 :</t>
  </si>
  <si>
    <t>alltime_'P': [('number', 0, -1), ('number', -5, 2)]}_[21, 49]_1 :</t>
  </si>
  <si>
    <t>alltime_'P': [('number', 0, -1), ('number', -7.5, 2)]}_[42, 70]_4 :</t>
  </si>
  <si>
    <t>alltime_'P': [('number', 0, -1), ('number', -5, 2)]}_[21, 49]_0.5 :</t>
  </si>
  <si>
    <t>alltime_'P': [('delta', -0.3, -1), ('delta', -0.16, 2)]}_[42, 70]_4 :</t>
  </si>
  <si>
    <t>alltime_'P': [('number', 0, -1), ('number', -5, 2)]}_[21, 49]_2 :</t>
  </si>
  <si>
    <t>alltime_'P': [('delta', -0.5, -1), ('delta', -0.26, 2)]}_[21, 49]_0.5 :</t>
  </si>
  <si>
    <t>alltime_'P': [('number', 0, -1), ('number', -5, 2)]}_[21, 49]_4 :</t>
  </si>
  <si>
    <t>alltime_'P': [('delta', -0.5, -1), ('delta', -0.26, 2)]}_[42, 70]_2 :</t>
  </si>
  <si>
    <t>alltime_'P': [('number', 0, -1), ('number', -7.5, 2)]}_[21, 49]_0.5 :</t>
  </si>
  <si>
    <t>alltime_'P': [('delta', -0.3, -1), ('delta', -0.16, 2)]}_[21, 49]_0.5 :</t>
  </si>
  <si>
    <t>alltime_'P': [('number', 0, -1), ('number', -5, 2)]}_[42, 70]_7 :</t>
  </si>
  <si>
    <t>alltime_'P': [('delta', -0.3, -1), ('delta', -0.16, 2)]}_[21, 49]_2 :</t>
  </si>
  <si>
    <t>alltime_'P': [('delta', -0.5, -1), ('delta', -0.26, 2)]}_[7, 35]_0.5 :</t>
  </si>
  <si>
    <t>alltime_'P': [('delta', -0.3, -1), ('delta', -0.16, 2)]}_[21, 49]_1 :</t>
  </si>
  <si>
    <t>alltime_'P': [('delta', -0.4, -1), ('delta', -0.21, 2)]}_[21, 49]_0.5 :</t>
  </si>
  <si>
    <t>alltime_'P': [('delta', -0.5, -1), ('delta', -0.26, 2)]}_[42, 70]_4 :</t>
  </si>
  <si>
    <t>alltime_'P': [('delta', -0.3, -1), ('delta', -0.16, 2)]}_[21, 49]_4 :</t>
  </si>
  <si>
    <t>alltime_'P': [('delta', -0.4, -1), ('delta', -0.21, 2)]}_[42, 70]_4 :</t>
  </si>
  <si>
    <t>alltime_'P': [('delta', -0.4, -1), ('delta', -0.21, 2)]}_[21, 49]_1 :</t>
  </si>
  <si>
    <t>alltime_'P': [('delta', -0.4, -1), ('delta', -0.21, 2)]}_[21, 49]_7 :</t>
  </si>
  <si>
    <t>alltime_'P': [('delta', -0.3, -1), ('delta', -0.16, 2)]}_[7, 35]_10 :</t>
  </si>
  <si>
    <t>alltime_'P': [('delta', -0.3, -1), ('delta', -0.16, 2)]}_[7, 35]_4 :</t>
  </si>
  <si>
    <t>alltime_'P': [('delta', -0.4, -1), ('delta', -0.21, 2)]}_[21, 49]_2 :</t>
  </si>
  <si>
    <t>alltime_'P': [('delta', -0.5, -1), ('delta', -0.26, 2)]}_[21, 49]_1 :</t>
  </si>
  <si>
    <t>alltime_'P': [('delta', -0.3, -1), ('delta', -0.16, 2)]}_[7, 35]_0.5 :</t>
  </si>
  <si>
    <t>alltime_'P': [('delta', -0.3, -1), ('delta', -0.16, 2)]}_[21, 49]_7 :</t>
  </si>
  <si>
    <t>alltime_'P': [('delta', -0.3, -1), ('delta', -0.16, 2)]}_[7, 35]_7 :</t>
  </si>
  <si>
    <t>alltime_'P': [('number', 0, -1), ('number', -7.5, 2)]}_[21, 49]_2 :</t>
  </si>
  <si>
    <t>alltime_'P': [('delta', -0.3, -1), ('delta', -0.16, 2)]}_[21, 49]_10 :</t>
  </si>
  <si>
    <t>alltime_'P': [('number', 0, -1), ('number', -7.5, 2)]}_[21, 49]_1 :</t>
  </si>
  <si>
    <t>alltime_'P': [('delta', -0.3, -1), ('delta', -0.16, 2)]}_[7, 35]_1 :</t>
  </si>
  <si>
    <t>alltime_'P': [('delta', -0.3, -1), ('delta', -0.16, 2)]}_[7, 35]_2 :</t>
  </si>
  <si>
    <t>alltime_'P': [('delta', -0.4, -1), ('delta', -0.21, 2)]}_[21, 49]_4 :</t>
  </si>
  <si>
    <t>alltime_'P': [('delta', -0.5, -1), ('delta', -0.26, 2)]}_[21, 49]_4 :</t>
  </si>
  <si>
    <t>alltime_'P': [('number', 0, -1), ('number', -5, 2)]}_[21, 49]_7 :</t>
  </si>
  <si>
    <t>alltime_'P': [('number', 0, -1), ('number', -7.5, 2)]}_[21, 49]_4 :</t>
  </si>
  <si>
    <t>alltime_'P': [('delta', -0.5, -1), ('delta', -0.26, 2)]}_[7, 35]_1 :</t>
  </si>
  <si>
    <t>alltime_'P': [('delta', -0.5, -1), ('delta', -0.26, 2)]}_[21, 49]_7 :</t>
  </si>
  <si>
    <t>alltime_'P': [('delta', -0.4, -1), ('delta', -0.21, 2)]}_[7, 35]_2 :</t>
  </si>
  <si>
    <t>alltime_'P': [('delta', -0.4, -1), ('delta', -0.21, 2)]}_[7, 35]_7 :</t>
  </si>
  <si>
    <t>alltime_'P': [('delta', -0.4, -1), ('delta', -0.21, 2)]}_[7, 35]_0.5 :</t>
  </si>
  <si>
    <t>alltime_'P': [('delta', -0.5, -1), ('delta', -0.26, 2)]}_[21, 49]_2 :</t>
  </si>
  <si>
    <t>alltime_'P': [('delta', -0.4, -1), ('delta', -0.21, 2)]}_[7, 35]_1 :</t>
  </si>
  <si>
    <t>alltime_'P': [('delta', -0.4, -1), ('delta', -0.21, 2)]}_[7, 35]_4 :</t>
  </si>
  <si>
    <t>alltime_'P': [('delta', -0.5, -1), ('delta', -0.26, 2)]}_[7, 35]_10 :</t>
  </si>
  <si>
    <t>alltime_'P': [('delta', -0.5, -1), ('delta', -0.26, 2)]}_[7, 35]_7 :</t>
  </si>
  <si>
    <t>alltime_'P': [('number', 0, -1), ('number', -5, 2)]}_[7, 35]_0.5 :</t>
  </si>
  <si>
    <t>alltime_'P': [('delta', -0.4, -1), ('delta', -0.21, 2)]}_[42, 70]_7 :</t>
  </si>
  <si>
    <t>alltime_'P': [('number', 0, -1), ('number', -5, 2)]}_[7, 35]_1 :</t>
  </si>
  <si>
    <t>alltime_'P': [('delta', -0.4, -1), ('delta', -0.21, 2)]}_[21, 49]_10 :</t>
  </si>
  <si>
    <t>alltime_'P': [('delta', -0.4, -1), ('delta', -0.21, 2)]}_[7, 35]_10 :</t>
  </si>
  <si>
    <t>alltime_'P': [('delta', -0.5, -1), ('delta', -0.26, 2)]}_[7, 35]_4 :</t>
  </si>
  <si>
    <t>alltime_'P': [('delta', -0.3, -1), ('delta', -0.16, 2)]}_[42, 70]_7 :</t>
  </si>
  <si>
    <t>alltime_'P': [('number', 0, -1), ('number', -7.5, 2)]}_[42, 70]_7 :</t>
  </si>
  <si>
    <t>alltime_'P': [('delta', -0.5, -1), ('delta', -0.26, 2)]}_[7, 35]_2 :</t>
  </si>
  <si>
    <t>alltime_'P': [('number', 0, -1), ('number', -7.5, 2)]}_[7, 35]_0.5 :</t>
  </si>
  <si>
    <t>alltime_'P': [('delta', -0.5, -1), ('delta', -0.26, 2)]}_[42, 70]_7 :</t>
  </si>
  <si>
    <t>alltime_'P': [('number', 0, -1), ('number', -5, 2)]}_[7, 35]_2 :</t>
  </si>
  <si>
    <t>alltime_P': [('delta', -0.5, -1), ('delta', -0.26, 2)]}_[21, 49]_10 :</t>
  </si>
  <si>
    <t>alltime_'P': [('number', 0, -1), ('number', -5, 2)]}_[21, 49]_10 :</t>
  </si>
  <si>
    <t>alltime_'P': [('number', 0, -1), ('number', -5, 2)]}_[7, 35]_4 :</t>
  </si>
  <si>
    <t>alltime_'P': [('number', 0, -1), ('number', -5, 2)]}_[42, 70]_10 :</t>
  </si>
  <si>
    <t>alltime_'P': [('delta', -0.3, -1), ('delta', -0.16, 2)]}_[42, 70]_10 :</t>
  </si>
  <si>
    <t>alltime_'P': [('number', 0, -1), ('number', -7.5, 2)]}_[21, 49]_7 :</t>
  </si>
  <si>
    <t>alltime_'P': [('number', 0, -1), ('number', -5, 2)]}_[7, 35]_7 :</t>
  </si>
  <si>
    <t>alltime_'P': [('number', 0, -1), ('number', -7.5, 2)]}_[21, 49]_10 :</t>
  </si>
  <si>
    <t>alltime_'P': [('number', 0, -1), ('number', -7.5, 2)]}_[7, 35]_1 :</t>
  </si>
  <si>
    <t>alltime_'P': [('number', 0, -1), ('number', -7.5, 2)]}_[7, 35]_2 :</t>
  </si>
  <si>
    <t>alltime_'P': [('number', 0, -1), ('number', -7.5, 2)]}_[7, 35]_4 :</t>
  </si>
  <si>
    <t>alltime_'P': [('number', 0, -1), ('number', -5, 2)]}_[7, 35]_10 :</t>
  </si>
  <si>
    <t>alltime_'P': [('delta', -0.4, -1), ('delta', -0.21, 2)]}_[42, 70]_10 :</t>
  </si>
  <si>
    <t>alltime_'P': [('number', 0, -1), ('number', -7.5, 2)]}_[7, 35]_7 :</t>
  </si>
  <si>
    <t>alltime_'P': [('number', 0, -1), ('number', -7.5, 2)]}_[7, 35]_10 :</t>
  </si>
  <si>
    <t>alltime_'P': [('number', 0, -1), ('number', -7.5, 2)]}_[42, 70]_10 :</t>
  </si>
  <si>
    <t>alltime_'P': [('delta', -0.5, -1), ('delta', -0.26, 2)]}_[42, 70]_10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</si>
</sst>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10" fontId="0" fillId="0" borderId="0" xfId="1" applyNumberFormat="1" applyFont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176" fontId="3" fillId="2" borderId="0" xfId="1" applyNumberFormat="1" applyFont="1" applyFill="1">
      <alignment vertical="center"/>
    </xf>
    <xf numFmtId="0" fontId="4" fillId="2" borderId="0" xfId="0" applyFont="1" applyFill="1">
      <alignment vertical="center"/>
    </xf>
    <xf numFmtId="176" fontId="4" fillId="2" borderId="0" xfId="1" applyNumberFormat="1" applyFont="1" applyFill="1">
      <alignment vertical="center"/>
    </xf>
    <xf numFmtId="10" fontId="3" fillId="2" borderId="0" xfId="1" applyNumberFormat="1" applyFont="1" applyFill="1">
      <alignment vertical="center"/>
    </xf>
    <xf numFmtId="0" fontId="0" fillId="0" borderId="0" xfId="0" quotePrefix="1">
      <alignment vertical="center"/>
    </xf>
    <xf numFmtId="0" fontId="5" fillId="0" borderId="0" xfId="0" applyFont="1">
      <alignment vertical="center"/>
    </xf>
    <xf numFmtId="176" fontId="5" fillId="0" borderId="0" xfId="1" applyNumberFormat="1" applyFont="1">
      <alignment vertical="center"/>
    </xf>
    <xf numFmtId="0" fontId="3" fillId="3" borderId="0" xfId="0" applyFont="1" applyFill="1">
      <alignment vertical="center"/>
    </xf>
    <xf numFmtId="176" fontId="3" fillId="3" borderId="0" xfId="1" applyNumberFormat="1" applyFont="1" applyFill="1">
      <alignment vertical="center"/>
    </xf>
    <xf numFmtId="0" fontId="6" fillId="0" borderId="0" xfId="0" applyFont="1">
      <alignment vertical="center"/>
    </xf>
    <xf numFmtId="9" fontId="0" fillId="0" borderId="0" xfId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87584</xdr:rowOff>
    </xdr:from>
    <xdr:to>
      <xdr:col>8</xdr:col>
      <xdr:colOff>585714</xdr:colOff>
      <xdr:row>55</xdr:row>
      <xdr:rowOff>190500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0E40FA9-2D11-C041-F648-07991F48C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35441"/>
          <a:ext cx="6028571" cy="39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8C7C-34D3-438A-AF96-0DE40FD81354}">
  <sheetPr>
    <tabColor rgb="FFFF0000"/>
  </sheetPr>
  <dimension ref="A2:AF327"/>
  <sheetViews>
    <sheetView topLeftCell="E1" workbookViewId="0">
      <selection activeCell="T18" sqref="S18:T18"/>
    </sheetView>
  </sheetViews>
  <sheetFormatPr defaultRowHeight="16.5" x14ac:dyDescent="0.3"/>
  <cols>
    <col min="1" max="2" width="48.625" customWidth="1"/>
    <col min="9" max="9" width="8.75" customWidth="1"/>
  </cols>
  <sheetData>
    <row r="2" spans="1:32" x14ac:dyDescent="0.3">
      <c r="A2" t="str">
        <f t="shared" ref="A2:A65" si="0">_xlfn.TEXTJOIN(", ", FALSE, C2,D2,E2,F2,G2)</f>
        <v>alltime_{'C',  [('delta', 0.4,  1)]}_[7,  35]_1</v>
      </c>
      <c r="B2" t="s">
        <v>291</v>
      </c>
      <c r="C2" t="s">
        <v>0</v>
      </c>
      <c r="D2" t="s">
        <v>1</v>
      </c>
      <c r="E2">
        <v>0.4</v>
      </c>
      <c r="F2" t="s">
        <v>2</v>
      </c>
      <c r="G2" t="s">
        <v>3</v>
      </c>
      <c r="H2" t="s">
        <v>4</v>
      </c>
      <c r="I2">
        <v>3073</v>
      </c>
      <c r="J2" t="s">
        <v>5</v>
      </c>
      <c r="K2">
        <v>948</v>
      </c>
      <c r="L2" s="3">
        <f>K2/I2</f>
        <v>0.30849332899446796</v>
      </c>
      <c r="M2" t="s">
        <v>6</v>
      </c>
      <c r="N2">
        <v>-241.64999999999901</v>
      </c>
      <c r="O2" t="s">
        <v>7</v>
      </c>
      <c r="P2">
        <v>-7.8636511552228797E-2</v>
      </c>
      <c r="Q2" t="s">
        <v>8</v>
      </c>
      <c r="R2">
        <v>3.7081118143459899</v>
      </c>
      <c r="S2" t="s">
        <v>9</v>
      </c>
      <c r="T2">
        <v>-1.7679717647058799</v>
      </c>
      <c r="U2" t="s">
        <v>10</v>
      </c>
      <c r="V2">
        <v>6.6417212909041599</v>
      </c>
      <c r="W2" t="s">
        <v>11</v>
      </c>
      <c r="X2" t="s">
        <v>12</v>
      </c>
      <c r="Y2" t="s">
        <v>13</v>
      </c>
      <c r="Z2">
        <v>0</v>
      </c>
      <c r="AA2" t="s">
        <v>14</v>
      </c>
      <c r="AB2" t="s">
        <v>15</v>
      </c>
      <c r="AC2" t="s">
        <v>16</v>
      </c>
      <c r="AD2" t="s">
        <v>17</v>
      </c>
      <c r="AE2">
        <v>0</v>
      </c>
      <c r="AF2" t="s">
        <v>18</v>
      </c>
    </row>
    <row r="3" spans="1:32" x14ac:dyDescent="0.3">
      <c r="A3" t="str">
        <f t="shared" si="0"/>
        <v>alltime_{'C',  [('delta', 0.4,  1)]}_[7,  35]_4</v>
      </c>
      <c r="B3" t="s">
        <v>294</v>
      </c>
      <c r="C3" t="s">
        <v>0</v>
      </c>
      <c r="D3" t="s">
        <v>1</v>
      </c>
      <c r="E3">
        <v>0.4</v>
      </c>
      <c r="F3" t="s">
        <v>2</v>
      </c>
      <c r="G3" t="s">
        <v>26</v>
      </c>
      <c r="H3" t="s">
        <v>4</v>
      </c>
      <c r="I3">
        <v>3073</v>
      </c>
      <c r="J3" t="s">
        <v>5</v>
      </c>
      <c r="K3">
        <v>653</v>
      </c>
      <c r="L3" s="3">
        <f t="shared" ref="L3:L66" si="1">K3/I3</f>
        <v>0.21249593231369998</v>
      </c>
      <c r="M3" t="s">
        <v>6</v>
      </c>
      <c r="N3">
        <v>485.78</v>
      </c>
      <c r="O3" t="s">
        <v>7</v>
      </c>
      <c r="P3">
        <v>0.15808005206638401</v>
      </c>
      <c r="Q3" t="s">
        <v>8</v>
      </c>
      <c r="R3">
        <v>7.2976875957120804</v>
      </c>
      <c r="S3" t="s">
        <v>9</v>
      </c>
      <c r="T3">
        <v>-1.76843388429752</v>
      </c>
      <c r="U3" t="s">
        <v>10</v>
      </c>
      <c r="V3">
        <v>11.2588976347509</v>
      </c>
      <c r="W3" t="s">
        <v>11</v>
      </c>
      <c r="X3" t="s">
        <v>20</v>
      </c>
      <c r="Y3" t="s">
        <v>21</v>
      </c>
      <c r="Z3">
        <v>0</v>
      </c>
      <c r="AA3" t="s">
        <v>14</v>
      </c>
      <c r="AB3" t="s">
        <v>15</v>
      </c>
      <c r="AC3" t="s">
        <v>24</v>
      </c>
      <c r="AD3" t="s">
        <v>25</v>
      </c>
      <c r="AE3">
        <v>0</v>
      </c>
      <c r="AF3" t="s">
        <v>18</v>
      </c>
    </row>
    <row r="4" spans="1:32" x14ac:dyDescent="0.3">
      <c r="A4" t="str">
        <f t="shared" si="0"/>
        <v>alltime_{'C',  [('delta', 0.3,  1)]}_[7,  35]_4</v>
      </c>
      <c r="B4" t="s">
        <v>306</v>
      </c>
      <c r="C4" t="s">
        <v>0</v>
      </c>
      <c r="D4" t="s">
        <v>1</v>
      </c>
      <c r="E4">
        <v>0.3</v>
      </c>
      <c r="F4" t="s">
        <v>2</v>
      </c>
      <c r="G4" t="s">
        <v>26</v>
      </c>
      <c r="H4" t="s">
        <v>4</v>
      </c>
      <c r="I4">
        <v>3073</v>
      </c>
      <c r="J4" t="s">
        <v>5</v>
      </c>
      <c r="K4">
        <v>518</v>
      </c>
      <c r="L4" s="3">
        <f t="shared" si="1"/>
        <v>0.16856492027334852</v>
      </c>
      <c r="M4" t="s">
        <v>6</v>
      </c>
      <c r="N4">
        <v>156.82999999999899</v>
      </c>
      <c r="O4" t="s">
        <v>7</v>
      </c>
      <c r="P4">
        <v>5.10348193947281E-2</v>
      </c>
      <c r="Q4" t="s">
        <v>8</v>
      </c>
      <c r="R4">
        <v>6.0409073359073302</v>
      </c>
      <c r="S4" t="s">
        <v>9</v>
      </c>
      <c r="T4">
        <v>-1.1633502935420701</v>
      </c>
      <c r="U4" t="s">
        <v>10</v>
      </c>
      <c r="V4">
        <v>7.6369804404683697</v>
      </c>
      <c r="W4" t="s">
        <v>11</v>
      </c>
      <c r="X4" t="s">
        <v>52</v>
      </c>
      <c r="Y4" t="s">
        <v>53</v>
      </c>
      <c r="Z4">
        <v>0</v>
      </c>
      <c r="AA4" t="s">
        <v>14</v>
      </c>
      <c r="AB4" t="s">
        <v>15</v>
      </c>
      <c r="AC4" t="s">
        <v>55</v>
      </c>
      <c r="AD4" t="s">
        <v>56</v>
      </c>
      <c r="AE4">
        <v>0</v>
      </c>
      <c r="AF4" t="s">
        <v>18</v>
      </c>
    </row>
    <row r="5" spans="1:32" x14ac:dyDescent="0.3">
      <c r="A5" t="str">
        <f t="shared" si="0"/>
        <v>alltime_{'C',  [('delta', 0.4,  1)]}_[7,  35]_3</v>
      </c>
      <c r="B5" t="s">
        <v>293</v>
      </c>
      <c r="C5" t="s">
        <v>0</v>
      </c>
      <c r="D5" t="s">
        <v>1</v>
      </c>
      <c r="E5">
        <v>0.4</v>
      </c>
      <c r="F5" t="s">
        <v>2</v>
      </c>
      <c r="G5" t="s">
        <v>23</v>
      </c>
      <c r="H5" t="s">
        <v>4</v>
      </c>
      <c r="I5">
        <v>3073</v>
      </c>
      <c r="J5" t="s">
        <v>5</v>
      </c>
      <c r="K5">
        <v>665</v>
      </c>
      <c r="L5" s="3">
        <f t="shared" si="1"/>
        <v>0.21640091116173121</v>
      </c>
      <c r="M5" t="s">
        <v>6</v>
      </c>
      <c r="N5">
        <v>152.14000000000101</v>
      </c>
      <c r="O5" t="s">
        <v>7</v>
      </c>
      <c r="P5">
        <v>4.9508623494956501E-2</v>
      </c>
      <c r="Q5" t="s">
        <v>8</v>
      </c>
      <c r="R5">
        <v>6.6283007518796904</v>
      </c>
      <c r="S5" t="s">
        <v>9</v>
      </c>
      <c r="T5">
        <v>-1.76730897009967</v>
      </c>
      <c r="U5" t="s">
        <v>10</v>
      </c>
      <c r="V5">
        <v>10.3563681817761</v>
      </c>
      <c r="W5" t="s">
        <v>11</v>
      </c>
      <c r="X5" t="s">
        <v>20</v>
      </c>
      <c r="Y5" t="s">
        <v>21</v>
      </c>
      <c r="Z5">
        <v>0</v>
      </c>
      <c r="AA5" t="s">
        <v>14</v>
      </c>
      <c r="AB5" t="s">
        <v>15</v>
      </c>
      <c r="AC5" t="s">
        <v>24</v>
      </c>
      <c r="AD5" t="s">
        <v>25</v>
      </c>
      <c r="AE5">
        <v>0</v>
      </c>
      <c r="AF5" t="s">
        <v>18</v>
      </c>
    </row>
    <row r="6" spans="1:32" x14ac:dyDescent="0.3">
      <c r="A6" t="str">
        <f t="shared" si="0"/>
        <v>alltime_{'C',  [('delta', 0.4,  1)]}_[35,  70]_4</v>
      </c>
      <c r="B6" t="s">
        <v>302</v>
      </c>
      <c r="C6" t="s">
        <v>0</v>
      </c>
      <c r="D6" t="s">
        <v>1</v>
      </c>
      <c r="E6">
        <v>0.4</v>
      </c>
      <c r="F6" t="s">
        <v>37</v>
      </c>
      <c r="G6" t="s">
        <v>44</v>
      </c>
      <c r="H6" t="s">
        <v>4</v>
      </c>
      <c r="I6">
        <v>3810</v>
      </c>
      <c r="J6" t="s">
        <v>5</v>
      </c>
      <c r="K6">
        <v>719</v>
      </c>
      <c r="L6" s="3">
        <f t="shared" si="1"/>
        <v>0.18871391076115485</v>
      </c>
      <c r="M6" t="s">
        <v>6</v>
      </c>
      <c r="N6">
        <v>110.740544467425</v>
      </c>
      <c r="O6" t="s">
        <v>7</v>
      </c>
      <c r="P6">
        <v>2.90657597027363E-2</v>
      </c>
      <c r="Q6" t="s">
        <v>8</v>
      </c>
      <c r="R6">
        <v>11.3040953952832</v>
      </c>
      <c r="S6" t="s">
        <v>9</v>
      </c>
      <c r="T6">
        <v>-2.5936279665937301</v>
      </c>
      <c r="U6" t="s">
        <v>10</v>
      </c>
      <c r="V6">
        <v>17.251104226937102</v>
      </c>
      <c r="W6" t="s">
        <v>11</v>
      </c>
      <c r="X6" t="s">
        <v>34</v>
      </c>
      <c r="Y6" t="s">
        <v>21</v>
      </c>
      <c r="Z6">
        <v>0</v>
      </c>
      <c r="AA6" t="s">
        <v>14</v>
      </c>
      <c r="AB6" t="s">
        <v>15</v>
      </c>
      <c r="AC6" t="s">
        <v>45</v>
      </c>
      <c r="AD6" t="s">
        <v>46</v>
      </c>
      <c r="AE6">
        <v>0</v>
      </c>
      <c r="AF6" t="s">
        <v>18</v>
      </c>
    </row>
    <row r="7" spans="1:32" x14ac:dyDescent="0.3">
      <c r="A7" t="str">
        <f t="shared" si="0"/>
        <v>alltime_{'C',  [('delta', 0.2,  1)]}_[35,  70]_4</v>
      </c>
      <c r="B7" t="s">
        <v>326</v>
      </c>
      <c r="C7" t="s">
        <v>0</v>
      </c>
      <c r="D7" t="s">
        <v>1</v>
      </c>
      <c r="E7">
        <v>0.2</v>
      </c>
      <c r="F7" t="s">
        <v>37</v>
      </c>
      <c r="G7" t="s">
        <v>44</v>
      </c>
      <c r="H7" t="s">
        <v>4</v>
      </c>
      <c r="I7">
        <v>3810</v>
      </c>
      <c r="J7" t="s">
        <v>5</v>
      </c>
      <c r="K7">
        <v>483</v>
      </c>
      <c r="L7" s="3">
        <f t="shared" si="1"/>
        <v>0.12677165354330708</v>
      </c>
      <c r="M7" t="s">
        <v>6</v>
      </c>
      <c r="N7">
        <v>83.365597257601806</v>
      </c>
      <c r="O7" t="s">
        <v>7</v>
      </c>
      <c r="P7">
        <v>2.1880734188346899E-2</v>
      </c>
      <c r="Q7" t="s">
        <v>8</v>
      </c>
      <c r="R7">
        <v>7.0375231936557396</v>
      </c>
      <c r="S7" t="s">
        <v>9</v>
      </c>
      <c r="T7">
        <v>-0.99662101150529703</v>
      </c>
      <c r="U7" t="s">
        <v>10</v>
      </c>
      <c r="V7">
        <v>7.0581227535760203</v>
      </c>
      <c r="W7" t="s">
        <v>11</v>
      </c>
      <c r="X7" t="s">
        <v>82</v>
      </c>
      <c r="Y7" t="s">
        <v>83</v>
      </c>
    </row>
    <row r="8" spans="1:32" x14ac:dyDescent="0.3">
      <c r="A8" t="str">
        <f t="shared" si="0"/>
        <v>alltime_{'C',  [('delta', 0.4,  1)]}_[21,  49]_4</v>
      </c>
      <c r="B8" t="s">
        <v>298</v>
      </c>
      <c r="C8" t="s">
        <v>0</v>
      </c>
      <c r="D8" t="s">
        <v>1</v>
      </c>
      <c r="E8">
        <v>0.4</v>
      </c>
      <c r="F8" t="s">
        <v>27</v>
      </c>
      <c r="G8" t="s">
        <v>36</v>
      </c>
      <c r="H8" t="s">
        <v>4</v>
      </c>
      <c r="I8">
        <v>3050</v>
      </c>
      <c r="J8" t="s">
        <v>5</v>
      </c>
      <c r="K8">
        <v>588</v>
      </c>
      <c r="L8" s="3">
        <f t="shared" si="1"/>
        <v>0.19278688524590165</v>
      </c>
      <c r="M8" t="s">
        <v>6</v>
      </c>
      <c r="N8">
        <v>81.049999999999699</v>
      </c>
      <c r="O8" t="s">
        <v>7</v>
      </c>
      <c r="P8">
        <v>2.6573770491803098E-2</v>
      </c>
      <c r="Q8" t="s">
        <v>8</v>
      </c>
      <c r="R8">
        <v>9.31335034013604</v>
      </c>
      <c r="S8" t="s">
        <v>9</v>
      </c>
      <c r="T8">
        <v>-2.1913891145410198</v>
      </c>
      <c r="U8" t="s">
        <v>10</v>
      </c>
      <c r="V8">
        <v>13.249429268788401</v>
      </c>
      <c r="W8" t="s">
        <v>11</v>
      </c>
      <c r="X8" t="s">
        <v>34</v>
      </c>
      <c r="Y8" t="s">
        <v>21</v>
      </c>
      <c r="Z8">
        <v>0</v>
      </c>
      <c r="AA8" t="s">
        <v>14</v>
      </c>
      <c r="AB8" t="s">
        <v>15</v>
      </c>
      <c r="AC8" t="s">
        <v>35</v>
      </c>
      <c r="AD8" t="s">
        <v>21</v>
      </c>
      <c r="AE8">
        <v>0</v>
      </c>
      <c r="AF8" t="s">
        <v>18</v>
      </c>
    </row>
    <row r="9" spans="1:32" x14ac:dyDescent="0.3">
      <c r="A9" t="str">
        <f t="shared" si="0"/>
        <v>psar_{'C',  [('delta', 0.4,  1)]}_[21,  49]_4</v>
      </c>
      <c r="B9" t="s">
        <v>396</v>
      </c>
      <c r="C9" t="s">
        <v>134</v>
      </c>
      <c r="D9" t="s">
        <v>1</v>
      </c>
      <c r="E9">
        <v>0.4</v>
      </c>
      <c r="F9" t="s">
        <v>27</v>
      </c>
      <c r="G9" t="s">
        <v>36</v>
      </c>
      <c r="H9" t="s">
        <v>4</v>
      </c>
      <c r="I9">
        <v>136</v>
      </c>
      <c r="J9" t="s">
        <v>5</v>
      </c>
      <c r="K9">
        <v>30</v>
      </c>
      <c r="L9" s="3">
        <f t="shared" si="1"/>
        <v>0.22058823529411764</v>
      </c>
      <c r="M9" t="s">
        <v>6</v>
      </c>
      <c r="N9">
        <v>47.42</v>
      </c>
      <c r="O9" t="s">
        <v>7</v>
      </c>
      <c r="P9">
        <v>0.34867647058823498</v>
      </c>
      <c r="Q9" t="s">
        <v>8</v>
      </c>
      <c r="R9">
        <v>9.2233333333333292</v>
      </c>
      <c r="S9" t="s">
        <v>9</v>
      </c>
      <c r="T9">
        <v>-2.1630188679245199</v>
      </c>
      <c r="U9" t="s">
        <v>10</v>
      </c>
      <c r="V9">
        <v>0.93939441976492599</v>
      </c>
      <c r="W9" t="s">
        <v>11</v>
      </c>
      <c r="X9" t="s">
        <v>141</v>
      </c>
      <c r="Y9" t="s">
        <v>21</v>
      </c>
      <c r="Z9">
        <v>0</v>
      </c>
      <c r="AA9" t="s">
        <v>14</v>
      </c>
      <c r="AB9" t="s">
        <v>15</v>
      </c>
      <c r="AC9" t="s">
        <v>141</v>
      </c>
      <c r="AD9" t="s">
        <v>21</v>
      </c>
      <c r="AE9">
        <v>0</v>
      </c>
      <c r="AF9" t="s">
        <v>18</v>
      </c>
    </row>
    <row r="10" spans="1:32" x14ac:dyDescent="0.3">
      <c r="A10" t="str">
        <f t="shared" si="0"/>
        <v>psar_{'C',  [('delta', 0.4,  1)]}_[7,  35]_4</v>
      </c>
      <c r="B10" t="s">
        <v>392</v>
      </c>
      <c r="C10" t="s">
        <v>134</v>
      </c>
      <c r="D10" t="s">
        <v>1</v>
      </c>
      <c r="E10">
        <v>0.4</v>
      </c>
      <c r="F10" t="s">
        <v>2</v>
      </c>
      <c r="G10" t="s">
        <v>26</v>
      </c>
      <c r="H10" t="s">
        <v>4</v>
      </c>
      <c r="I10">
        <v>140</v>
      </c>
      <c r="J10" t="s">
        <v>5</v>
      </c>
      <c r="K10">
        <v>33</v>
      </c>
      <c r="L10" s="3">
        <f t="shared" si="1"/>
        <v>0.23571428571428571</v>
      </c>
      <c r="M10" t="s">
        <v>6</v>
      </c>
      <c r="N10">
        <v>40.840000000000003</v>
      </c>
      <c r="O10" t="s">
        <v>7</v>
      </c>
      <c r="P10">
        <v>0.29171428571428598</v>
      </c>
      <c r="Q10" t="s">
        <v>8</v>
      </c>
      <c r="R10">
        <v>6.5887878787878797</v>
      </c>
      <c r="S10" t="s">
        <v>9</v>
      </c>
      <c r="T10">
        <v>-1.6503738317757</v>
      </c>
      <c r="U10" t="s">
        <v>10</v>
      </c>
      <c r="V10">
        <v>0.78753994410588402</v>
      </c>
      <c r="W10" t="s">
        <v>11</v>
      </c>
      <c r="X10" t="s">
        <v>138</v>
      </c>
      <c r="Y10" t="s">
        <v>53</v>
      </c>
      <c r="Z10">
        <v>0</v>
      </c>
      <c r="AA10" t="s">
        <v>14</v>
      </c>
      <c r="AB10" t="s">
        <v>15</v>
      </c>
      <c r="AC10" t="s">
        <v>138</v>
      </c>
      <c r="AD10" t="s">
        <v>53</v>
      </c>
      <c r="AE10">
        <v>0</v>
      </c>
      <c r="AF10" t="s">
        <v>18</v>
      </c>
    </row>
    <row r="11" spans="1:32" x14ac:dyDescent="0.3">
      <c r="A11" t="str">
        <f t="shared" si="0"/>
        <v>psar_{'C',  [('delta', 0.3,  1)]}_[7,  35]_4</v>
      </c>
      <c r="B11" t="s">
        <v>405</v>
      </c>
      <c r="C11" t="s">
        <v>134</v>
      </c>
      <c r="D11" t="s">
        <v>1</v>
      </c>
      <c r="E11">
        <v>0.3</v>
      </c>
      <c r="F11" t="s">
        <v>2</v>
      </c>
      <c r="G11" t="s">
        <v>26</v>
      </c>
      <c r="H11" t="s">
        <v>4</v>
      </c>
      <c r="I11">
        <v>140</v>
      </c>
      <c r="J11" t="s">
        <v>5</v>
      </c>
      <c r="K11">
        <v>25</v>
      </c>
      <c r="L11" s="3">
        <f t="shared" si="1"/>
        <v>0.17857142857142858</v>
      </c>
      <c r="M11" t="s">
        <v>6</v>
      </c>
      <c r="N11">
        <v>39.75</v>
      </c>
      <c r="O11" t="s">
        <v>7</v>
      </c>
      <c r="P11">
        <v>0.28392857142857097</v>
      </c>
      <c r="Q11" t="s">
        <v>8</v>
      </c>
      <c r="R11">
        <v>6.2160000000000002</v>
      </c>
      <c r="S11" t="s">
        <v>9</v>
      </c>
      <c r="T11">
        <v>-1.00565217391304</v>
      </c>
      <c r="U11" t="s">
        <v>10</v>
      </c>
      <c r="V11">
        <v>0.61283544744293905</v>
      </c>
      <c r="W11" t="s">
        <v>11</v>
      </c>
      <c r="X11" t="s">
        <v>147</v>
      </c>
      <c r="Y11" t="s">
        <v>53</v>
      </c>
      <c r="Z11">
        <v>0</v>
      </c>
      <c r="AA11" t="s">
        <v>14</v>
      </c>
      <c r="AB11" t="s">
        <v>15</v>
      </c>
      <c r="AC11" t="s">
        <v>147</v>
      </c>
      <c r="AD11" t="s">
        <v>53</v>
      </c>
      <c r="AE11">
        <v>0</v>
      </c>
      <c r="AF11" t="s">
        <v>18</v>
      </c>
    </row>
    <row r="12" spans="1:32" x14ac:dyDescent="0.3">
      <c r="A12" t="str">
        <f t="shared" si="0"/>
        <v>psar_{'C',  [('delta', 0.2,  1)]}_[35,  70]_4</v>
      </c>
      <c r="B12" t="s">
        <v>426</v>
      </c>
      <c r="C12" t="s">
        <v>134</v>
      </c>
      <c r="D12" t="s">
        <v>1</v>
      </c>
      <c r="E12">
        <v>0.2</v>
      </c>
      <c r="F12" t="s">
        <v>37</v>
      </c>
      <c r="G12" t="s">
        <v>44</v>
      </c>
      <c r="H12" t="s">
        <v>4</v>
      </c>
      <c r="I12">
        <v>177</v>
      </c>
      <c r="J12" t="s">
        <v>5</v>
      </c>
      <c r="K12">
        <v>27</v>
      </c>
      <c r="L12" s="3">
        <f t="shared" si="1"/>
        <v>0.15254237288135594</v>
      </c>
      <c r="M12" t="s">
        <v>6</v>
      </c>
      <c r="N12">
        <v>38.894437357472199</v>
      </c>
      <c r="O12" t="s">
        <v>7</v>
      </c>
      <c r="P12">
        <v>0.21974258394051999</v>
      </c>
      <c r="Q12" t="s">
        <v>8</v>
      </c>
      <c r="R12">
        <v>6.6233333333333304</v>
      </c>
      <c r="S12" t="s">
        <v>9</v>
      </c>
      <c r="T12">
        <v>-0.93290375095018496</v>
      </c>
      <c r="U12" t="s">
        <v>10</v>
      </c>
      <c r="V12">
        <v>0.61137086470401203</v>
      </c>
      <c r="W12" t="s">
        <v>11</v>
      </c>
      <c r="X12" t="s">
        <v>163</v>
      </c>
      <c r="Y12" t="s">
        <v>17</v>
      </c>
      <c r="Z12">
        <v>0</v>
      </c>
      <c r="AA12" t="s">
        <v>14</v>
      </c>
      <c r="AB12" t="s">
        <v>15</v>
      </c>
      <c r="AC12" t="s">
        <v>163</v>
      </c>
      <c r="AD12" t="s">
        <v>17</v>
      </c>
      <c r="AE12">
        <v>0</v>
      </c>
      <c r="AF12" t="s">
        <v>18</v>
      </c>
    </row>
    <row r="13" spans="1:32" x14ac:dyDescent="0.3">
      <c r="A13" t="str">
        <f t="shared" si="0"/>
        <v>psar_{'C',  [('delta', 0.4,  1)]}_[21,  49]_3</v>
      </c>
      <c r="B13" t="s">
        <v>395</v>
      </c>
      <c r="C13" t="s">
        <v>134</v>
      </c>
      <c r="D13" t="s">
        <v>1</v>
      </c>
      <c r="E13">
        <v>0.4</v>
      </c>
      <c r="F13" t="s">
        <v>27</v>
      </c>
      <c r="G13" t="s">
        <v>33</v>
      </c>
      <c r="H13" t="s">
        <v>4</v>
      </c>
      <c r="I13">
        <v>136</v>
      </c>
      <c r="J13" t="s">
        <v>5</v>
      </c>
      <c r="K13">
        <v>31</v>
      </c>
      <c r="L13" s="3">
        <f t="shared" si="1"/>
        <v>0.22794117647058823</v>
      </c>
      <c r="M13" t="s">
        <v>6</v>
      </c>
      <c r="N13">
        <v>35.86</v>
      </c>
      <c r="O13" t="s">
        <v>7</v>
      </c>
      <c r="P13">
        <v>0.26367647058823501</v>
      </c>
      <c r="Q13" t="s">
        <v>8</v>
      </c>
      <c r="R13">
        <v>8.5035483870967692</v>
      </c>
      <c r="S13" t="s">
        <v>9</v>
      </c>
      <c r="T13">
        <v>-2.16904761904761</v>
      </c>
      <c r="U13" t="s">
        <v>10</v>
      </c>
      <c r="V13">
        <v>0.89258910437067895</v>
      </c>
      <c r="W13" t="s">
        <v>11</v>
      </c>
      <c r="X13" t="s">
        <v>141</v>
      </c>
      <c r="Y13" t="s">
        <v>21</v>
      </c>
      <c r="Z13">
        <v>0</v>
      </c>
      <c r="AA13" t="s">
        <v>14</v>
      </c>
      <c r="AB13" t="s">
        <v>15</v>
      </c>
      <c r="AC13" t="s">
        <v>141</v>
      </c>
      <c r="AD13" t="s">
        <v>21</v>
      </c>
      <c r="AE13">
        <v>0</v>
      </c>
      <c r="AF13" t="s">
        <v>18</v>
      </c>
    </row>
    <row r="14" spans="1:32" x14ac:dyDescent="0.3">
      <c r="A14" t="str">
        <f t="shared" si="0"/>
        <v>psar_{'C',  [('delta', 0.3,  1)]}_[21,  49]_4</v>
      </c>
      <c r="B14" t="s">
        <v>409</v>
      </c>
      <c r="C14" t="s">
        <v>134</v>
      </c>
      <c r="D14" t="s">
        <v>1</v>
      </c>
      <c r="E14">
        <v>0.3</v>
      </c>
      <c r="F14" t="s">
        <v>27</v>
      </c>
      <c r="G14" t="s">
        <v>36</v>
      </c>
      <c r="H14" t="s">
        <v>4</v>
      </c>
      <c r="I14">
        <v>136</v>
      </c>
      <c r="J14" t="s">
        <v>5</v>
      </c>
      <c r="K14">
        <v>24</v>
      </c>
      <c r="L14" s="3">
        <f t="shared" si="1"/>
        <v>0.17647058823529413</v>
      </c>
      <c r="M14" t="s">
        <v>6</v>
      </c>
      <c r="N14">
        <v>34.99</v>
      </c>
      <c r="O14" t="s">
        <v>7</v>
      </c>
      <c r="P14">
        <v>0.25727941176470598</v>
      </c>
      <c r="Q14" t="s">
        <v>8</v>
      </c>
      <c r="R14">
        <v>7.7975000000000003</v>
      </c>
      <c r="S14" t="s">
        <v>9</v>
      </c>
      <c r="T14">
        <v>-1.3584821428571401</v>
      </c>
      <c r="U14" t="s">
        <v>10</v>
      </c>
      <c r="V14">
        <v>0.66897500535968402</v>
      </c>
      <c r="W14" t="s">
        <v>11</v>
      </c>
      <c r="X14" t="s">
        <v>148</v>
      </c>
      <c r="Y14" t="s">
        <v>21</v>
      </c>
      <c r="Z14">
        <v>0</v>
      </c>
      <c r="AA14" t="s">
        <v>14</v>
      </c>
      <c r="AB14" t="s">
        <v>15</v>
      </c>
      <c r="AC14" t="s">
        <v>148</v>
      </c>
      <c r="AD14" t="s">
        <v>21</v>
      </c>
      <c r="AE14">
        <v>0</v>
      </c>
      <c r="AF14" t="s">
        <v>18</v>
      </c>
    </row>
    <row r="15" spans="1:32" x14ac:dyDescent="0.3">
      <c r="A15" t="str">
        <f t="shared" si="0"/>
        <v>rsi_{'C',  [('delta', 0.4,  1)]}_[35,  70]_3</v>
      </c>
      <c r="B15" t="s">
        <v>500</v>
      </c>
      <c r="C15" t="s">
        <v>221</v>
      </c>
      <c r="D15" t="s">
        <v>1</v>
      </c>
      <c r="E15">
        <v>0.4</v>
      </c>
      <c r="F15" t="s">
        <v>37</v>
      </c>
      <c r="G15" t="s">
        <v>42</v>
      </c>
      <c r="H15" t="s">
        <v>4</v>
      </c>
      <c r="I15">
        <v>40</v>
      </c>
      <c r="J15" t="s">
        <v>5</v>
      </c>
      <c r="K15">
        <v>10</v>
      </c>
      <c r="L15" s="3">
        <f t="shared" si="1"/>
        <v>0.25</v>
      </c>
      <c r="M15" t="s">
        <v>6</v>
      </c>
      <c r="N15">
        <v>28.4900043973383</v>
      </c>
      <c r="O15" t="s">
        <v>7</v>
      </c>
      <c r="P15">
        <v>0.71225010993345805</v>
      </c>
      <c r="Q15" t="s">
        <v>8</v>
      </c>
      <c r="R15">
        <v>11.581</v>
      </c>
      <c r="S15" t="s">
        <v>9</v>
      </c>
      <c r="T15">
        <v>-2.9106665200887201</v>
      </c>
      <c r="U15" t="s">
        <v>10</v>
      </c>
      <c r="V15">
        <v>0.54695482591057998</v>
      </c>
      <c r="W15" t="s">
        <v>11</v>
      </c>
      <c r="X15" t="s">
        <v>233</v>
      </c>
      <c r="Y15" t="s">
        <v>17</v>
      </c>
      <c r="Z15">
        <v>0</v>
      </c>
      <c r="AA15" t="s">
        <v>14</v>
      </c>
      <c r="AB15" t="s">
        <v>15</v>
      </c>
      <c r="AC15" t="s">
        <v>234</v>
      </c>
      <c r="AD15" t="s">
        <v>183</v>
      </c>
      <c r="AE15">
        <v>0</v>
      </c>
      <c r="AF15" t="s">
        <v>18</v>
      </c>
    </row>
    <row r="16" spans="1:32" x14ac:dyDescent="0.3">
      <c r="A16" t="str">
        <f t="shared" si="0"/>
        <v>psar_{'C',  [('delta', 0.4,  1)]}_[35,  70]_3</v>
      </c>
      <c r="B16" t="s">
        <v>400</v>
      </c>
      <c r="C16" t="s">
        <v>134</v>
      </c>
      <c r="D16" t="s">
        <v>1</v>
      </c>
      <c r="E16">
        <v>0.4</v>
      </c>
      <c r="F16" t="s">
        <v>37</v>
      </c>
      <c r="G16" t="s">
        <v>42</v>
      </c>
      <c r="H16" t="s">
        <v>4</v>
      </c>
      <c r="I16">
        <v>177</v>
      </c>
      <c r="J16" t="s">
        <v>5</v>
      </c>
      <c r="K16">
        <v>37</v>
      </c>
      <c r="L16" s="3">
        <f t="shared" si="1"/>
        <v>0.20903954802259886</v>
      </c>
      <c r="M16" t="s">
        <v>6</v>
      </c>
      <c r="N16">
        <v>27.156444739148998</v>
      </c>
      <c r="O16" t="s">
        <v>7</v>
      </c>
      <c r="P16">
        <v>0.15342624146411901</v>
      </c>
      <c r="Q16" t="s">
        <v>8</v>
      </c>
      <c r="R16">
        <v>10.2775675675675</v>
      </c>
      <c r="S16" t="s">
        <v>9</v>
      </c>
      <c r="T16">
        <v>-2.5222396804346499</v>
      </c>
      <c r="U16" t="s">
        <v>10</v>
      </c>
      <c r="V16">
        <v>1.21091206090546</v>
      </c>
      <c r="W16" t="s">
        <v>11</v>
      </c>
      <c r="X16" t="s">
        <v>141</v>
      </c>
      <c r="Y16" t="s">
        <v>145</v>
      </c>
    </row>
    <row r="17" spans="1:32" x14ac:dyDescent="0.3">
      <c r="A17" t="str">
        <f t="shared" si="0"/>
        <v>psar_{'C',  [('delta', 0.3,  1)]}_[35,  70]_4</v>
      </c>
      <c r="B17" t="s">
        <v>413</v>
      </c>
      <c r="C17" t="s">
        <v>134</v>
      </c>
      <c r="D17" t="s">
        <v>1</v>
      </c>
      <c r="E17">
        <v>0.3</v>
      </c>
      <c r="F17" t="s">
        <v>37</v>
      </c>
      <c r="G17" t="s">
        <v>44</v>
      </c>
      <c r="H17" t="s">
        <v>4</v>
      </c>
      <c r="I17">
        <v>177</v>
      </c>
      <c r="J17" t="s">
        <v>5</v>
      </c>
      <c r="K17">
        <v>28</v>
      </c>
      <c r="L17" s="3">
        <f t="shared" si="1"/>
        <v>0.15819209039548024</v>
      </c>
      <c r="M17" t="s">
        <v>6</v>
      </c>
      <c r="N17">
        <v>26.854506860614698</v>
      </c>
      <c r="O17" t="s">
        <v>7</v>
      </c>
      <c r="P17">
        <v>0.15172037774358599</v>
      </c>
      <c r="Q17" t="s">
        <v>8</v>
      </c>
      <c r="R17">
        <v>9.5503571428571394</v>
      </c>
      <c r="S17" t="s">
        <v>9</v>
      </c>
      <c r="T17">
        <v>-1.6144663969086199</v>
      </c>
      <c r="U17" t="s">
        <v>10</v>
      </c>
      <c r="V17">
        <v>0.91483629329566996</v>
      </c>
      <c r="W17" t="s">
        <v>11</v>
      </c>
      <c r="X17" t="s">
        <v>151</v>
      </c>
      <c r="Y17" t="s">
        <v>152</v>
      </c>
    </row>
    <row r="18" spans="1:32" x14ac:dyDescent="0.3">
      <c r="A18" t="str">
        <f t="shared" si="0"/>
        <v>psar_{'C',  [('delta', 0.3,  1)]}_[7,  35]_3</v>
      </c>
      <c r="B18" t="s">
        <v>404</v>
      </c>
      <c r="C18" t="s">
        <v>134</v>
      </c>
      <c r="D18" t="s">
        <v>1</v>
      </c>
      <c r="E18">
        <v>0.3</v>
      </c>
      <c r="F18" t="s">
        <v>2</v>
      </c>
      <c r="G18" t="s">
        <v>23</v>
      </c>
      <c r="H18" t="s">
        <v>4</v>
      </c>
      <c r="I18">
        <v>140</v>
      </c>
      <c r="J18" t="s">
        <v>5</v>
      </c>
      <c r="K18">
        <v>25</v>
      </c>
      <c r="L18" s="3">
        <f t="shared" si="1"/>
        <v>0.17857142857142858</v>
      </c>
      <c r="M18" t="s">
        <v>6</v>
      </c>
      <c r="N18">
        <v>26.51</v>
      </c>
      <c r="O18" t="s">
        <v>7</v>
      </c>
      <c r="P18">
        <v>0.189357142857143</v>
      </c>
      <c r="Q18" t="s">
        <v>8</v>
      </c>
      <c r="R18">
        <v>5.6863999999999999</v>
      </c>
      <c r="S18" t="s">
        <v>9</v>
      </c>
      <c r="T18">
        <v>-1.00565217391304</v>
      </c>
      <c r="U18" t="s">
        <v>10</v>
      </c>
      <c r="V18">
        <v>0.60035658218675203</v>
      </c>
      <c r="W18" t="s">
        <v>11</v>
      </c>
      <c r="X18" t="s">
        <v>147</v>
      </c>
      <c r="Y18" t="s">
        <v>53</v>
      </c>
      <c r="Z18">
        <v>0</v>
      </c>
      <c r="AA18" t="s">
        <v>14</v>
      </c>
      <c r="AB18" t="s">
        <v>15</v>
      </c>
      <c r="AC18" t="s">
        <v>147</v>
      </c>
      <c r="AD18" t="s">
        <v>53</v>
      </c>
      <c r="AE18">
        <v>0</v>
      </c>
      <c r="AF18" t="s">
        <v>18</v>
      </c>
    </row>
    <row r="19" spans="1:32" x14ac:dyDescent="0.3">
      <c r="A19" t="str">
        <f t="shared" si="0"/>
        <v>psar_{'C',  [('delta', 0.4,  1)]}_[7,  35]_3</v>
      </c>
      <c r="B19" t="s">
        <v>391</v>
      </c>
      <c r="C19" t="s">
        <v>134</v>
      </c>
      <c r="D19" t="s">
        <v>1</v>
      </c>
      <c r="E19">
        <v>0.4</v>
      </c>
      <c r="F19" t="s">
        <v>2</v>
      </c>
      <c r="G19" t="s">
        <v>23</v>
      </c>
      <c r="H19" t="s">
        <v>4</v>
      </c>
      <c r="I19">
        <v>140</v>
      </c>
      <c r="J19" t="s">
        <v>5</v>
      </c>
      <c r="K19">
        <v>33</v>
      </c>
      <c r="L19" s="3">
        <f t="shared" si="1"/>
        <v>0.23571428571428571</v>
      </c>
      <c r="M19" t="s">
        <v>6</v>
      </c>
      <c r="N19">
        <v>24.79</v>
      </c>
      <c r="O19" t="s">
        <v>7</v>
      </c>
      <c r="P19">
        <v>0.17707142857142899</v>
      </c>
      <c r="Q19" t="s">
        <v>8</v>
      </c>
      <c r="R19">
        <v>6.1024242424242399</v>
      </c>
      <c r="S19" t="s">
        <v>9</v>
      </c>
      <c r="T19">
        <v>-1.6503738317757</v>
      </c>
      <c r="U19" t="s">
        <v>10</v>
      </c>
      <c r="V19">
        <v>0.76408418666446598</v>
      </c>
      <c r="W19" t="s">
        <v>11</v>
      </c>
      <c r="X19" t="s">
        <v>138</v>
      </c>
      <c r="Y19" t="s">
        <v>53</v>
      </c>
      <c r="Z19">
        <v>0</v>
      </c>
      <c r="AA19" t="s">
        <v>14</v>
      </c>
      <c r="AB19" t="s">
        <v>15</v>
      </c>
      <c r="AC19" t="s">
        <v>138</v>
      </c>
      <c r="AD19" t="s">
        <v>53</v>
      </c>
      <c r="AE19">
        <v>0</v>
      </c>
      <c r="AF19" t="s">
        <v>18</v>
      </c>
    </row>
    <row r="20" spans="1:32" x14ac:dyDescent="0.3">
      <c r="A20" t="str">
        <f t="shared" si="0"/>
        <v>rsi_{'C',  [('delta', 0.4,  1)]}_[35,  70]_2</v>
      </c>
      <c r="B20" t="s">
        <v>499</v>
      </c>
      <c r="C20" t="s">
        <v>221</v>
      </c>
      <c r="D20" t="s">
        <v>1</v>
      </c>
      <c r="E20">
        <v>0.4</v>
      </c>
      <c r="F20" t="s">
        <v>37</v>
      </c>
      <c r="G20" t="s">
        <v>40</v>
      </c>
      <c r="H20" t="s">
        <v>4</v>
      </c>
      <c r="I20">
        <v>40</v>
      </c>
      <c r="J20" t="s">
        <v>5</v>
      </c>
      <c r="K20">
        <v>11</v>
      </c>
      <c r="L20" s="3">
        <f t="shared" si="1"/>
        <v>0.27500000000000002</v>
      </c>
      <c r="M20" t="s">
        <v>6</v>
      </c>
      <c r="N20">
        <v>24.120004397338299</v>
      </c>
      <c r="O20" t="s">
        <v>7</v>
      </c>
      <c r="P20">
        <v>0.60300010993345698</v>
      </c>
      <c r="Q20" t="s">
        <v>8</v>
      </c>
      <c r="R20">
        <v>9.9290909090909096</v>
      </c>
      <c r="S20" t="s">
        <v>9</v>
      </c>
      <c r="T20">
        <v>-2.9344826069883299</v>
      </c>
      <c r="U20" t="s">
        <v>10</v>
      </c>
      <c r="V20">
        <v>0.51408048934510797</v>
      </c>
      <c r="W20" t="s">
        <v>11</v>
      </c>
      <c r="X20" t="s">
        <v>233</v>
      </c>
      <c r="Y20" t="s">
        <v>17</v>
      </c>
      <c r="Z20">
        <v>0</v>
      </c>
      <c r="AA20" t="s">
        <v>14</v>
      </c>
      <c r="AB20" t="s">
        <v>15</v>
      </c>
      <c r="AC20" t="s">
        <v>231</v>
      </c>
      <c r="AD20" t="s">
        <v>232</v>
      </c>
      <c r="AE20">
        <v>0</v>
      </c>
      <c r="AF20" t="s">
        <v>18</v>
      </c>
    </row>
    <row r="21" spans="1:32" x14ac:dyDescent="0.3">
      <c r="A21" t="str">
        <f t="shared" si="0"/>
        <v>psar_{'C',  [('delta', 0.2,  1)]}_[21,  49]_4</v>
      </c>
      <c r="B21" t="s">
        <v>422</v>
      </c>
      <c r="C21" t="s">
        <v>134</v>
      </c>
      <c r="D21" t="s">
        <v>1</v>
      </c>
      <c r="E21">
        <v>0.2</v>
      </c>
      <c r="F21" t="s">
        <v>27</v>
      </c>
      <c r="G21" t="s">
        <v>36</v>
      </c>
      <c r="H21" t="s">
        <v>4</v>
      </c>
      <c r="I21">
        <v>136</v>
      </c>
      <c r="J21" t="s">
        <v>5</v>
      </c>
      <c r="K21">
        <v>20</v>
      </c>
      <c r="L21" s="3">
        <f t="shared" si="1"/>
        <v>0.14705882352941177</v>
      </c>
      <c r="M21" t="s">
        <v>6</v>
      </c>
      <c r="N21">
        <v>23.331429968288301</v>
      </c>
      <c r="O21" t="s">
        <v>7</v>
      </c>
      <c r="P21">
        <v>0.17155463211976699</v>
      </c>
      <c r="Q21" t="s">
        <v>8</v>
      </c>
      <c r="R21">
        <v>5.6555</v>
      </c>
      <c r="S21" t="s">
        <v>9</v>
      </c>
      <c r="T21">
        <v>-0.773953189928549</v>
      </c>
      <c r="U21" t="s">
        <v>10</v>
      </c>
      <c r="V21">
        <v>0.44177698503110502</v>
      </c>
      <c r="W21" t="s">
        <v>11</v>
      </c>
      <c r="X21" t="s">
        <v>161</v>
      </c>
      <c r="Y21" t="s">
        <v>158</v>
      </c>
      <c r="Z21">
        <v>0</v>
      </c>
      <c r="AA21" t="s">
        <v>14</v>
      </c>
      <c r="AB21" t="s">
        <v>15</v>
      </c>
      <c r="AC21" t="s">
        <v>161</v>
      </c>
      <c r="AD21" t="s">
        <v>158</v>
      </c>
      <c r="AE21">
        <v>0</v>
      </c>
      <c r="AF21" t="s">
        <v>18</v>
      </c>
    </row>
    <row r="22" spans="1:32" x14ac:dyDescent="0.3">
      <c r="A22" t="str">
        <f t="shared" si="0"/>
        <v>bbands_{'C',  [('delta', 0.4,  1)]}_[7,  35]_4</v>
      </c>
      <c r="B22" t="s">
        <v>344</v>
      </c>
      <c r="C22" t="s">
        <v>113</v>
      </c>
      <c r="D22" t="s">
        <v>1</v>
      </c>
      <c r="E22">
        <v>0.4</v>
      </c>
      <c r="F22" t="s">
        <v>2</v>
      </c>
      <c r="G22" t="s">
        <v>26</v>
      </c>
      <c r="H22" t="s">
        <v>4</v>
      </c>
      <c r="I22">
        <v>191</v>
      </c>
      <c r="J22" t="s">
        <v>5</v>
      </c>
      <c r="K22">
        <v>36</v>
      </c>
      <c r="L22" s="3">
        <f t="shared" si="1"/>
        <v>0.18848167539267016</v>
      </c>
      <c r="M22" t="s">
        <v>6</v>
      </c>
      <c r="N22">
        <v>23.110000000000099</v>
      </c>
      <c r="O22" t="s">
        <v>7</v>
      </c>
      <c r="P22">
        <v>0.120994764397906</v>
      </c>
      <c r="Q22" t="s">
        <v>8</v>
      </c>
      <c r="R22">
        <v>9.6425000000000001</v>
      </c>
      <c r="S22" t="s">
        <v>9</v>
      </c>
      <c r="T22">
        <v>-2.09045161290322</v>
      </c>
      <c r="U22" t="s">
        <v>10</v>
      </c>
      <c r="V22">
        <v>1.1852831089737701</v>
      </c>
      <c r="W22" t="s">
        <v>11</v>
      </c>
      <c r="X22" t="s">
        <v>115</v>
      </c>
      <c r="Y22" t="s">
        <v>53</v>
      </c>
      <c r="Z22">
        <v>0</v>
      </c>
      <c r="AA22" t="s">
        <v>14</v>
      </c>
      <c r="AB22" t="s">
        <v>15</v>
      </c>
      <c r="AC22" t="s">
        <v>114</v>
      </c>
      <c r="AD22" t="s">
        <v>91</v>
      </c>
      <c r="AE22">
        <v>0</v>
      </c>
      <c r="AF22" t="s">
        <v>18</v>
      </c>
    </row>
    <row r="23" spans="1:32" x14ac:dyDescent="0.3">
      <c r="A23" t="str">
        <f t="shared" si="0"/>
        <v>psar_{'C',  [('delta', 0.2,  1)]}_[35,  70]_3</v>
      </c>
      <c r="B23" t="s">
        <v>425</v>
      </c>
      <c r="C23" t="s">
        <v>134</v>
      </c>
      <c r="D23" t="s">
        <v>1</v>
      </c>
      <c r="E23">
        <v>0.2</v>
      </c>
      <c r="F23" t="s">
        <v>37</v>
      </c>
      <c r="G23" t="s">
        <v>42</v>
      </c>
      <c r="H23" t="s">
        <v>4</v>
      </c>
      <c r="I23">
        <v>177</v>
      </c>
      <c r="J23" t="s">
        <v>5</v>
      </c>
      <c r="K23">
        <v>32</v>
      </c>
      <c r="L23" s="3">
        <f t="shared" si="1"/>
        <v>0.1807909604519774</v>
      </c>
      <c r="M23" t="s">
        <v>6</v>
      </c>
      <c r="N23">
        <v>22.144437357472199</v>
      </c>
      <c r="O23" t="s">
        <v>7</v>
      </c>
      <c r="P23">
        <v>0.12510981557893799</v>
      </c>
      <c r="Q23" t="s">
        <v>8</v>
      </c>
      <c r="R23">
        <v>4.9140625</v>
      </c>
      <c r="S23" t="s">
        <v>9</v>
      </c>
      <c r="T23">
        <v>-0.93176250098294999</v>
      </c>
      <c r="U23" t="s">
        <v>10</v>
      </c>
      <c r="V23">
        <v>0.54305028098591901</v>
      </c>
      <c r="W23" t="s">
        <v>11</v>
      </c>
      <c r="X23" t="s">
        <v>163</v>
      </c>
      <c r="Y23" t="s">
        <v>17</v>
      </c>
      <c r="Z23">
        <v>0</v>
      </c>
      <c r="AA23" t="s">
        <v>14</v>
      </c>
      <c r="AB23" t="s">
        <v>15</v>
      </c>
      <c r="AC23" t="s">
        <v>163</v>
      </c>
      <c r="AD23" t="s">
        <v>17</v>
      </c>
      <c r="AE23">
        <v>0</v>
      </c>
      <c r="AF23" t="s">
        <v>18</v>
      </c>
    </row>
    <row r="24" spans="1:32" x14ac:dyDescent="0.3">
      <c r="A24" t="str">
        <f t="shared" si="0"/>
        <v>psar_no_highvol_{'C',  [('delta', 0.3,  1)]}_[21,  49]_4</v>
      </c>
      <c r="B24" t="s">
        <v>460</v>
      </c>
      <c r="C24" t="s">
        <v>175</v>
      </c>
      <c r="D24" t="s">
        <v>1</v>
      </c>
      <c r="E24">
        <v>0.3</v>
      </c>
      <c r="F24" t="s">
        <v>27</v>
      </c>
      <c r="G24" t="s">
        <v>36</v>
      </c>
      <c r="H24" t="s">
        <v>4</v>
      </c>
      <c r="I24">
        <v>98</v>
      </c>
      <c r="J24" t="s">
        <v>5</v>
      </c>
      <c r="K24">
        <v>17</v>
      </c>
      <c r="L24" s="3">
        <f t="shared" si="1"/>
        <v>0.17346938775510204</v>
      </c>
      <c r="M24" t="s">
        <v>6</v>
      </c>
      <c r="N24">
        <v>20.62</v>
      </c>
      <c r="O24" t="s">
        <v>7</v>
      </c>
      <c r="P24">
        <v>0.21040816326530601</v>
      </c>
      <c r="Q24" t="s">
        <v>8</v>
      </c>
      <c r="R24">
        <v>6.98176470588235</v>
      </c>
      <c r="S24" t="s">
        <v>9</v>
      </c>
      <c r="T24">
        <v>-1.21074074074074</v>
      </c>
      <c r="U24" t="s">
        <v>10</v>
      </c>
      <c r="V24">
        <v>0.412953702853946</v>
      </c>
      <c r="W24" t="s">
        <v>11</v>
      </c>
      <c r="X24" t="s">
        <v>201</v>
      </c>
      <c r="Y24" t="s">
        <v>202</v>
      </c>
      <c r="Z24">
        <v>0</v>
      </c>
      <c r="AA24" t="s">
        <v>14</v>
      </c>
      <c r="AB24" t="s">
        <v>15</v>
      </c>
      <c r="AC24" t="s">
        <v>200</v>
      </c>
      <c r="AD24" t="s">
        <v>181</v>
      </c>
      <c r="AE24">
        <v>0</v>
      </c>
      <c r="AF24" t="s">
        <v>18</v>
      </c>
    </row>
    <row r="25" spans="1:32" x14ac:dyDescent="0.3">
      <c r="A25" t="str">
        <f t="shared" si="0"/>
        <v>bbands_{'C',  [('delta', 0.4,  1)]}_[7,  35]_1</v>
      </c>
      <c r="B25" t="s">
        <v>341</v>
      </c>
      <c r="C25" t="s">
        <v>113</v>
      </c>
      <c r="D25" t="s">
        <v>1</v>
      </c>
      <c r="E25">
        <v>0.4</v>
      </c>
      <c r="F25" t="s">
        <v>2</v>
      </c>
      <c r="G25" t="s">
        <v>3</v>
      </c>
      <c r="H25" t="s">
        <v>4</v>
      </c>
      <c r="I25">
        <v>191</v>
      </c>
      <c r="J25" t="s">
        <v>5</v>
      </c>
      <c r="K25">
        <v>64</v>
      </c>
      <c r="L25" s="3">
        <f t="shared" si="1"/>
        <v>0.33507853403141363</v>
      </c>
      <c r="M25" t="s">
        <v>6</v>
      </c>
      <c r="N25">
        <v>20.18</v>
      </c>
      <c r="O25" t="s">
        <v>7</v>
      </c>
      <c r="P25">
        <v>0.10565445026178</v>
      </c>
      <c r="Q25" t="s">
        <v>8</v>
      </c>
      <c r="R25">
        <v>4.5059374999999999</v>
      </c>
      <c r="S25" t="s">
        <v>9</v>
      </c>
      <c r="T25">
        <v>-2.1118110236220402</v>
      </c>
      <c r="U25" t="s">
        <v>10</v>
      </c>
      <c r="V25">
        <v>0.84060087624622404</v>
      </c>
      <c r="W25" t="s">
        <v>11</v>
      </c>
      <c r="X25" t="s">
        <v>12</v>
      </c>
      <c r="Y25" t="s">
        <v>13</v>
      </c>
      <c r="Z25">
        <v>0</v>
      </c>
      <c r="AA25" t="s">
        <v>14</v>
      </c>
      <c r="AB25" t="s">
        <v>15</v>
      </c>
      <c r="AC25" t="s">
        <v>114</v>
      </c>
      <c r="AD25" t="s">
        <v>91</v>
      </c>
      <c r="AE25">
        <v>0</v>
      </c>
      <c r="AF25" t="s">
        <v>18</v>
      </c>
    </row>
    <row r="26" spans="1:32" x14ac:dyDescent="0.3">
      <c r="A26" t="str">
        <f t="shared" si="0"/>
        <v>psar_no_highvol_{'C',  [('delta', 0.2,  1)]}_[35,  70]_3</v>
      </c>
      <c r="B26" t="s">
        <v>476</v>
      </c>
      <c r="C26" t="s">
        <v>175</v>
      </c>
      <c r="D26" t="s">
        <v>1</v>
      </c>
      <c r="E26">
        <v>0.2</v>
      </c>
      <c r="F26" t="s">
        <v>37</v>
      </c>
      <c r="G26" t="s">
        <v>42</v>
      </c>
      <c r="H26" t="s">
        <v>4</v>
      </c>
      <c r="I26">
        <v>130</v>
      </c>
      <c r="J26" t="s">
        <v>5</v>
      </c>
      <c r="K26">
        <v>24</v>
      </c>
      <c r="L26" s="3">
        <f t="shared" si="1"/>
        <v>0.18461538461538463</v>
      </c>
      <c r="M26" t="s">
        <v>6</v>
      </c>
      <c r="N26">
        <v>19.1586304260085</v>
      </c>
      <c r="O26" t="s">
        <v>7</v>
      </c>
      <c r="P26">
        <v>0.14737408020006501</v>
      </c>
      <c r="Q26" t="s">
        <v>8</v>
      </c>
      <c r="R26">
        <v>4.4633333333333303</v>
      </c>
      <c r="S26" t="s">
        <v>9</v>
      </c>
      <c r="T26">
        <v>-0.82982424126406995</v>
      </c>
      <c r="U26" t="s">
        <v>10</v>
      </c>
      <c r="V26">
        <v>0.34643078308422098</v>
      </c>
      <c r="W26" t="s">
        <v>11</v>
      </c>
      <c r="X26" t="s">
        <v>214</v>
      </c>
      <c r="Y26" t="s">
        <v>192</v>
      </c>
      <c r="Z26">
        <v>0</v>
      </c>
      <c r="AA26" t="s">
        <v>14</v>
      </c>
      <c r="AB26" t="s">
        <v>15</v>
      </c>
      <c r="AC26" t="s">
        <v>214</v>
      </c>
      <c r="AD26" t="s">
        <v>192</v>
      </c>
      <c r="AE26">
        <v>0</v>
      </c>
      <c r="AF26" t="s">
        <v>18</v>
      </c>
    </row>
    <row r="27" spans="1:32" x14ac:dyDescent="0.3">
      <c r="A27" t="str">
        <f t="shared" si="0"/>
        <v>psar_no_highvol_{'C',  [('delta', 0.2,  1)]}_[35,  70]_4</v>
      </c>
      <c r="B27" t="s">
        <v>477</v>
      </c>
      <c r="C27" t="s">
        <v>175</v>
      </c>
      <c r="D27" t="s">
        <v>1</v>
      </c>
      <c r="E27">
        <v>0.2</v>
      </c>
      <c r="F27" t="s">
        <v>37</v>
      </c>
      <c r="G27" t="s">
        <v>44</v>
      </c>
      <c r="H27" t="s">
        <v>4</v>
      </c>
      <c r="I27">
        <v>130</v>
      </c>
      <c r="J27" t="s">
        <v>5</v>
      </c>
      <c r="K27">
        <v>20</v>
      </c>
      <c r="L27" s="3">
        <f t="shared" si="1"/>
        <v>0.15384615384615385</v>
      </c>
      <c r="M27" t="s">
        <v>6</v>
      </c>
      <c r="N27">
        <v>18.4286304260085</v>
      </c>
      <c r="O27" t="s">
        <v>7</v>
      </c>
      <c r="P27">
        <v>0.14175869558468099</v>
      </c>
      <c r="Q27" t="s">
        <v>8</v>
      </c>
      <c r="R27">
        <v>5.4915000000000003</v>
      </c>
      <c r="S27" t="s">
        <v>9</v>
      </c>
      <c r="T27">
        <v>-0.83092154158174003</v>
      </c>
      <c r="U27" t="s">
        <v>10</v>
      </c>
      <c r="V27">
        <v>0.37490269716451102</v>
      </c>
      <c r="W27" t="s">
        <v>11</v>
      </c>
      <c r="X27" t="s">
        <v>214</v>
      </c>
      <c r="Y27" t="s">
        <v>192</v>
      </c>
      <c r="Z27">
        <v>0</v>
      </c>
      <c r="AA27" t="s">
        <v>14</v>
      </c>
      <c r="AB27" t="s">
        <v>15</v>
      </c>
      <c r="AC27" t="s">
        <v>214</v>
      </c>
      <c r="AD27" t="s">
        <v>192</v>
      </c>
      <c r="AE27">
        <v>0</v>
      </c>
      <c r="AF27" t="s">
        <v>18</v>
      </c>
    </row>
    <row r="28" spans="1:32" x14ac:dyDescent="0.3">
      <c r="A28" t="str">
        <f t="shared" si="0"/>
        <v>bbands_{'C',  [('delta', 0.4,  1)]}_[21,  49]_4</v>
      </c>
      <c r="B28" t="s">
        <v>348</v>
      </c>
      <c r="C28" t="s">
        <v>113</v>
      </c>
      <c r="D28" t="s">
        <v>1</v>
      </c>
      <c r="E28">
        <v>0.4</v>
      </c>
      <c r="F28" t="s">
        <v>27</v>
      </c>
      <c r="G28" t="s">
        <v>36</v>
      </c>
      <c r="H28" t="s">
        <v>4</v>
      </c>
      <c r="I28">
        <v>200</v>
      </c>
      <c r="J28" t="s">
        <v>5</v>
      </c>
      <c r="K28">
        <v>39</v>
      </c>
      <c r="L28" s="3">
        <f t="shared" si="1"/>
        <v>0.19500000000000001</v>
      </c>
      <c r="M28" t="s">
        <v>6</v>
      </c>
      <c r="N28">
        <v>16.079999999999998</v>
      </c>
      <c r="O28" t="s">
        <v>7</v>
      </c>
      <c r="P28">
        <v>8.0400000000000194E-2</v>
      </c>
      <c r="Q28" t="s">
        <v>8</v>
      </c>
      <c r="R28">
        <v>10.802051282051201</v>
      </c>
      <c r="S28" t="s">
        <v>9</v>
      </c>
      <c r="T28">
        <v>-2.5167701863354002</v>
      </c>
      <c r="U28" t="s">
        <v>10</v>
      </c>
      <c r="V28">
        <v>1.3764113593652301</v>
      </c>
      <c r="W28" t="s">
        <v>11</v>
      </c>
      <c r="X28" t="s">
        <v>34</v>
      </c>
      <c r="Y28" t="s">
        <v>21</v>
      </c>
      <c r="Z28">
        <v>0</v>
      </c>
      <c r="AA28" t="s">
        <v>14</v>
      </c>
      <c r="AB28" t="s">
        <v>15</v>
      </c>
      <c r="AC28" t="s">
        <v>114</v>
      </c>
      <c r="AD28" t="s">
        <v>91</v>
      </c>
      <c r="AE28">
        <v>0</v>
      </c>
      <c r="AF28" t="s">
        <v>18</v>
      </c>
    </row>
    <row r="29" spans="1:32" x14ac:dyDescent="0.3">
      <c r="A29" t="str">
        <f t="shared" si="0"/>
        <v>psar_{'C',  [('delta', 0.4,  1)]}_[35,  70]_2</v>
      </c>
      <c r="B29" t="s">
        <v>399</v>
      </c>
      <c r="C29" t="s">
        <v>134</v>
      </c>
      <c r="D29" t="s">
        <v>1</v>
      </c>
      <c r="E29">
        <v>0.4</v>
      </c>
      <c r="F29" t="s">
        <v>37</v>
      </c>
      <c r="G29" t="s">
        <v>40</v>
      </c>
      <c r="H29" t="s">
        <v>4</v>
      </c>
      <c r="I29">
        <v>177</v>
      </c>
      <c r="J29" t="s">
        <v>5</v>
      </c>
      <c r="K29">
        <v>44</v>
      </c>
      <c r="L29" s="3">
        <f t="shared" si="1"/>
        <v>0.24858757062146894</v>
      </c>
      <c r="M29" t="s">
        <v>6</v>
      </c>
      <c r="N29">
        <v>15.760823022974501</v>
      </c>
      <c r="O29" t="s">
        <v>7</v>
      </c>
      <c r="P29">
        <v>8.9044197869912495E-2</v>
      </c>
      <c r="Q29" t="s">
        <v>8</v>
      </c>
      <c r="R29">
        <v>8.0232813246323893</v>
      </c>
      <c r="S29" t="s">
        <v>9</v>
      </c>
      <c r="T29">
        <v>-2.5358162049687998</v>
      </c>
      <c r="U29" t="s">
        <v>10</v>
      </c>
      <c r="V29">
        <v>1.1259037373509799</v>
      </c>
      <c r="W29" t="s">
        <v>11</v>
      </c>
      <c r="X29" t="s">
        <v>141</v>
      </c>
      <c r="Y29" t="s">
        <v>145</v>
      </c>
    </row>
    <row r="30" spans="1:32" x14ac:dyDescent="0.3">
      <c r="A30" t="str">
        <f t="shared" si="0"/>
        <v>rsi_{'C',  [('delta', 0.4,  1)]}_[35,  70]_4</v>
      </c>
      <c r="B30" t="s">
        <v>501</v>
      </c>
      <c r="C30" t="s">
        <v>221</v>
      </c>
      <c r="D30" t="s">
        <v>1</v>
      </c>
      <c r="E30">
        <v>0.4</v>
      </c>
      <c r="F30" t="s">
        <v>37</v>
      </c>
      <c r="G30" t="s">
        <v>44</v>
      </c>
      <c r="H30" t="s">
        <v>4</v>
      </c>
      <c r="I30">
        <v>40</v>
      </c>
      <c r="J30" t="s">
        <v>5</v>
      </c>
      <c r="K30">
        <v>10</v>
      </c>
      <c r="L30" s="3">
        <f t="shared" si="1"/>
        <v>0.25</v>
      </c>
      <c r="M30" t="s">
        <v>6</v>
      </c>
      <c r="N30">
        <v>15.4100043973383</v>
      </c>
      <c r="O30" t="s">
        <v>7</v>
      </c>
      <c r="P30">
        <v>0.38525010993345798</v>
      </c>
      <c r="Q30" t="s">
        <v>8</v>
      </c>
      <c r="R30">
        <v>10.273</v>
      </c>
      <c r="S30" t="s">
        <v>9</v>
      </c>
      <c r="T30">
        <v>-2.9106665200887201</v>
      </c>
      <c r="U30" t="s">
        <v>10</v>
      </c>
      <c r="V30">
        <v>0.56807322819858996</v>
      </c>
      <c r="W30" t="s">
        <v>11</v>
      </c>
      <c r="X30" t="s">
        <v>235</v>
      </c>
      <c r="Y30" t="s">
        <v>236</v>
      </c>
    </row>
    <row r="31" spans="1:32" x14ac:dyDescent="0.3">
      <c r="A31" t="str">
        <f t="shared" si="0"/>
        <v>rsi_{'C',  [('delta', 0.4,  1)]}_[35,  70]_1</v>
      </c>
      <c r="B31" t="s">
        <v>498</v>
      </c>
      <c r="C31" t="s">
        <v>221</v>
      </c>
      <c r="D31" t="s">
        <v>1</v>
      </c>
      <c r="E31">
        <v>0.4</v>
      </c>
      <c r="F31" t="s">
        <v>37</v>
      </c>
      <c r="G31" t="s">
        <v>38</v>
      </c>
      <c r="H31" t="s">
        <v>4</v>
      </c>
      <c r="I31">
        <v>40</v>
      </c>
      <c r="J31" t="s">
        <v>5</v>
      </c>
      <c r="K31">
        <v>16</v>
      </c>
      <c r="L31" s="3">
        <f t="shared" si="1"/>
        <v>0.4</v>
      </c>
      <c r="M31" t="s">
        <v>6</v>
      </c>
      <c r="N31">
        <v>14.960004397338199</v>
      </c>
      <c r="O31" t="s">
        <v>7</v>
      </c>
      <c r="P31">
        <v>0.374000109933456</v>
      </c>
      <c r="Q31" t="s">
        <v>8</v>
      </c>
      <c r="R31">
        <v>5.2775002748336401</v>
      </c>
      <c r="S31" t="s">
        <v>9</v>
      </c>
      <c r="T31">
        <v>-2.8949999999999898</v>
      </c>
      <c r="U31" t="s">
        <v>10</v>
      </c>
      <c r="V31">
        <v>0.425130036599359</v>
      </c>
      <c r="W31" t="s">
        <v>11</v>
      </c>
      <c r="X31" t="s">
        <v>79</v>
      </c>
      <c r="Y31" t="s">
        <v>53</v>
      </c>
      <c r="Z31">
        <v>0</v>
      </c>
      <c r="AA31" t="s">
        <v>14</v>
      </c>
      <c r="AB31" t="s">
        <v>15</v>
      </c>
      <c r="AC31" t="s">
        <v>231</v>
      </c>
      <c r="AD31" t="s">
        <v>232</v>
      </c>
      <c r="AE31">
        <v>0</v>
      </c>
      <c r="AF31" t="s">
        <v>18</v>
      </c>
    </row>
    <row r="32" spans="1:32" x14ac:dyDescent="0.3">
      <c r="A32" t="str">
        <f t="shared" si="0"/>
        <v>psar_{'C',  [('delta', 0.4,  1)]}_[21,  49]_2</v>
      </c>
      <c r="B32" t="s">
        <v>394</v>
      </c>
      <c r="C32" t="s">
        <v>134</v>
      </c>
      <c r="D32" t="s">
        <v>1</v>
      </c>
      <c r="E32">
        <v>0.4</v>
      </c>
      <c r="F32" t="s">
        <v>27</v>
      </c>
      <c r="G32" t="s">
        <v>30</v>
      </c>
      <c r="H32" t="s">
        <v>4</v>
      </c>
      <c r="I32">
        <v>136</v>
      </c>
      <c r="J32" t="s">
        <v>5</v>
      </c>
      <c r="K32">
        <v>34</v>
      </c>
      <c r="L32" s="3">
        <f t="shared" si="1"/>
        <v>0.25</v>
      </c>
      <c r="M32" t="s">
        <v>6</v>
      </c>
      <c r="N32">
        <v>14.32</v>
      </c>
      <c r="O32" t="s">
        <v>7</v>
      </c>
      <c r="P32">
        <v>0.105294117647059</v>
      </c>
      <c r="Q32" t="s">
        <v>8</v>
      </c>
      <c r="R32">
        <v>6.9347058823529402</v>
      </c>
      <c r="S32" t="s">
        <v>9</v>
      </c>
      <c r="T32">
        <v>-2.1711764705882302</v>
      </c>
      <c r="U32" t="s">
        <v>10</v>
      </c>
      <c r="V32">
        <v>0.81075151919678801</v>
      </c>
      <c r="W32" t="s">
        <v>11</v>
      </c>
      <c r="X32" t="s">
        <v>141</v>
      </c>
      <c r="Y32" t="s">
        <v>21</v>
      </c>
      <c r="Z32">
        <v>0</v>
      </c>
      <c r="AA32" t="s">
        <v>14</v>
      </c>
      <c r="AB32" t="s">
        <v>15</v>
      </c>
      <c r="AC32" t="s">
        <v>141</v>
      </c>
      <c r="AD32" t="s">
        <v>21</v>
      </c>
      <c r="AE32">
        <v>0</v>
      </c>
      <c r="AF32" t="s">
        <v>18</v>
      </c>
    </row>
    <row r="33" spans="1:32" x14ac:dyDescent="0.3">
      <c r="A33" t="str">
        <f t="shared" si="0"/>
        <v>psar_{'C',  [('delta', 0.3,  1)]}_[35,  70]_2</v>
      </c>
      <c r="B33" t="s">
        <v>411</v>
      </c>
      <c r="C33" t="s">
        <v>134</v>
      </c>
      <c r="D33" t="s">
        <v>1</v>
      </c>
      <c r="E33">
        <v>0.3</v>
      </c>
      <c r="F33" t="s">
        <v>37</v>
      </c>
      <c r="G33" t="s">
        <v>40</v>
      </c>
      <c r="H33" t="s">
        <v>4</v>
      </c>
      <c r="I33">
        <v>177</v>
      </c>
      <c r="J33" t="s">
        <v>5</v>
      </c>
      <c r="K33">
        <v>40</v>
      </c>
      <c r="L33" s="3">
        <f t="shared" si="1"/>
        <v>0.22598870056497175</v>
      </c>
      <c r="M33" t="s">
        <v>6</v>
      </c>
      <c r="N33">
        <v>14.1245068606147</v>
      </c>
      <c r="O33" t="s">
        <v>7</v>
      </c>
      <c r="P33">
        <v>7.9799473788783895E-2</v>
      </c>
      <c r="Q33" t="s">
        <v>8</v>
      </c>
      <c r="R33">
        <v>5.9192499999999999</v>
      </c>
      <c r="S33" t="s">
        <v>9</v>
      </c>
      <c r="T33">
        <v>-1.6251495849590101</v>
      </c>
      <c r="U33" t="s">
        <v>10</v>
      </c>
      <c r="V33">
        <v>0.769684983143055</v>
      </c>
      <c r="W33" t="s">
        <v>11</v>
      </c>
      <c r="X33" t="s">
        <v>150</v>
      </c>
      <c r="Y33" t="s">
        <v>53</v>
      </c>
      <c r="Z33">
        <v>0</v>
      </c>
      <c r="AA33" t="s">
        <v>14</v>
      </c>
      <c r="AB33" t="s">
        <v>15</v>
      </c>
      <c r="AC33" t="s">
        <v>150</v>
      </c>
      <c r="AD33" t="s">
        <v>53</v>
      </c>
      <c r="AE33">
        <v>0</v>
      </c>
      <c r="AF33" t="s">
        <v>18</v>
      </c>
    </row>
    <row r="34" spans="1:32" x14ac:dyDescent="0.3">
      <c r="A34" t="str">
        <f t="shared" si="0"/>
        <v>psar_no_highvol_{'C',  [('delta', 0.3,  1)]}_[7,  35]_4</v>
      </c>
      <c r="B34" t="s">
        <v>456</v>
      </c>
      <c r="C34" t="s">
        <v>175</v>
      </c>
      <c r="D34" t="s">
        <v>1</v>
      </c>
      <c r="E34">
        <v>0.3</v>
      </c>
      <c r="F34" t="s">
        <v>2</v>
      </c>
      <c r="G34" t="s">
        <v>26</v>
      </c>
      <c r="H34" t="s">
        <v>4</v>
      </c>
      <c r="I34">
        <v>102</v>
      </c>
      <c r="J34" t="s">
        <v>5</v>
      </c>
      <c r="K34">
        <v>16</v>
      </c>
      <c r="L34" s="3">
        <f t="shared" si="1"/>
        <v>0.15686274509803921</v>
      </c>
      <c r="M34" t="s">
        <v>6</v>
      </c>
      <c r="N34">
        <v>14.079999999999901</v>
      </c>
      <c r="O34" t="s">
        <v>7</v>
      </c>
      <c r="P34">
        <v>0.138039215686274</v>
      </c>
      <c r="Q34" t="s">
        <v>8</v>
      </c>
      <c r="R34">
        <v>6.0343749999999901</v>
      </c>
      <c r="S34" t="s">
        <v>9</v>
      </c>
      <c r="T34">
        <v>-0.95895348837209304</v>
      </c>
      <c r="U34" t="s">
        <v>10</v>
      </c>
      <c r="V34">
        <v>0.36305484369947399</v>
      </c>
      <c r="W34" t="s">
        <v>11</v>
      </c>
      <c r="X34" t="s">
        <v>199</v>
      </c>
      <c r="Y34" t="s">
        <v>160</v>
      </c>
      <c r="Z34">
        <v>0</v>
      </c>
      <c r="AA34" t="s">
        <v>14</v>
      </c>
      <c r="AB34" t="s">
        <v>15</v>
      </c>
      <c r="AC34" t="s">
        <v>199</v>
      </c>
      <c r="AD34" t="s">
        <v>160</v>
      </c>
      <c r="AE34">
        <v>0</v>
      </c>
      <c r="AF34" t="s">
        <v>18</v>
      </c>
    </row>
    <row r="35" spans="1:32" x14ac:dyDescent="0.3">
      <c r="A35" t="str">
        <f t="shared" si="0"/>
        <v>psar_{'C',  [('delta', 0.2,  1)]}_[35,  70]_2</v>
      </c>
      <c r="B35" t="s">
        <v>424</v>
      </c>
      <c r="C35" t="s">
        <v>134</v>
      </c>
      <c r="D35" t="s">
        <v>1</v>
      </c>
      <c r="E35">
        <v>0.2</v>
      </c>
      <c r="F35" t="s">
        <v>37</v>
      </c>
      <c r="G35" t="s">
        <v>40</v>
      </c>
      <c r="H35" t="s">
        <v>4</v>
      </c>
      <c r="I35">
        <v>177</v>
      </c>
      <c r="J35" t="s">
        <v>5</v>
      </c>
      <c r="K35">
        <v>40</v>
      </c>
      <c r="L35" s="3">
        <f t="shared" si="1"/>
        <v>0.22598870056497175</v>
      </c>
      <c r="M35" t="s">
        <v>6</v>
      </c>
      <c r="N35">
        <v>12.4844373574721</v>
      </c>
      <c r="O35" t="s">
        <v>7</v>
      </c>
      <c r="P35">
        <v>7.0533544392498204E-2</v>
      </c>
      <c r="Q35" t="s">
        <v>8</v>
      </c>
      <c r="R35">
        <v>3.5002499999999999</v>
      </c>
      <c r="S35" t="s">
        <v>9</v>
      </c>
      <c r="T35">
        <v>-0.93084352293815897</v>
      </c>
      <c r="U35" t="s">
        <v>10</v>
      </c>
      <c r="V35">
        <v>0.49405747560178598</v>
      </c>
      <c r="W35" t="s">
        <v>11</v>
      </c>
      <c r="X35" t="s">
        <v>163</v>
      </c>
      <c r="Y35" t="s">
        <v>17</v>
      </c>
      <c r="Z35">
        <v>0</v>
      </c>
      <c r="AA35" t="s">
        <v>14</v>
      </c>
      <c r="AB35" t="s">
        <v>15</v>
      </c>
      <c r="AC35" t="s">
        <v>163</v>
      </c>
      <c r="AD35" t="s">
        <v>17</v>
      </c>
      <c r="AE35">
        <v>0</v>
      </c>
      <c r="AF35" t="s">
        <v>18</v>
      </c>
    </row>
    <row r="36" spans="1:32" x14ac:dyDescent="0.3">
      <c r="A36" t="str">
        <f t="shared" si="0"/>
        <v>psar_{'C',  [('delta', 0.3,  1)]}_[21,  49]_3</v>
      </c>
      <c r="B36" t="s">
        <v>408</v>
      </c>
      <c r="C36" t="s">
        <v>134</v>
      </c>
      <c r="D36" t="s">
        <v>1</v>
      </c>
      <c r="E36">
        <v>0.3</v>
      </c>
      <c r="F36" t="s">
        <v>27</v>
      </c>
      <c r="G36" t="s">
        <v>33</v>
      </c>
      <c r="H36" t="s">
        <v>4</v>
      </c>
      <c r="I36">
        <v>136</v>
      </c>
      <c r="J36" t="s">
        <v>5</v>
      </c>
      <c r="K36">
        <v>24</v>
      </c>
      <c r="L36" s="3">
        <f t="shared" si="1"/>
        <v>0.17647058823529413</v>
      </c>
      <c r="M36" t="s">
        <v>6</v>
      </c>
      <c r="N36">
        <v>12.06</v>
      </c>
      <c r="O36" t="s">
        <v>7</v>
      </c>
      <c r="P36">
        <v>8.8676470588235606E-2</v>
      </c>
      <c r="Q36" t="s">
        <v>8</v>
      </c>
      <c r="R36">
        <v>6.8420833333333304</v>
      </c>
      <c r="S36" t="s">
        <v>9</v>
      </c>
      <c r="T36">
        <v>-1.3584821428571401</v>
      </c>
      <c r="U36" t="s">
        <v>10</v>
      </c>
      <c r="V36">
        <v>0.62679949978026905</v>
      </c>
      <c r="W36" t="s">
        <v>11</v>
      </c>
      <c r="X36" t="s">
        <v>148</v>
      </c>
      <c r="Y36" t="s">
        <v>21</v>
      </c>
      <c r="Z36">
        <v>0</v>
      </c>
      <c r="AA36" t="s">
        <v>14</v>
      </c>
      <c r="AB36" t="s">
        <v>15</v>
      </c>
      <c r="AC36" t="s">
        <v>148</v>
      </c>
      <c r="AD36" t="s">
        <v>21</v>
      </c>
      <c r="AE36">
        <v>0</v>
      </c>
      <c r="AF36" t="s">
        <v>18</v>
      </c>
    </row>
    <row r="37" spans="1:32" x14ac:dyDescent="0.3">
      <c r="A37" t="str">
        <f t="shared" si="0"/>
        <v>rsi_{'C',  [('delta', 0.4,  1)]}_[21,  49]_2</v>
      </c>
      <c r="B37" t="s">
        <v>495</v>
      </c>
      <c r="C37" t="s">
        <v>221</v>
      </c>
      <c r="D37" t="s">
        <v>1</v>
      </c>
      <c r="E37">
        <v>0.4</v>
      </c>
      <c r="F37" t="s">
        <v>27</v>
      </c>
      <c r="G37" t="s">
        <v>30</v>
      </c>
      <c r="H37" t="s">
        <v>4</v>
      </c>
      <c r="I37">
        <v>33</v>
      </c>
      <c r="J37" t="s">
        <v>5</v>
      </c>
      <c r="K37">
        <v>10</v>
      </c>
      <c r="L37" s="3">
        <f t="shared" si="1"/>
        <v>0.30303030303030304</v>
      </c>
      <c r="M37" t="s">
        <v>6</v>
      </c>
      <c r="N37">
        <v>10.69</v>
      </c>
      <c r="O37" t="s">
        <v>7</v>
      </c>
      <c r="P37">
        <v>0.32393939393939403</v>
      </c>
      <c r="Q37" t="s">
        <v>8</v>
      </c>
      <c r="R37">
        <v>6.577</v>
      </c>
      <c r="S37" t="s">
        <v>9</v>
      </c>
      <c r="T37">
        <v>-2.3947826086956501</v>
      </c>
      <c r="U37" t="s">
        <v>10</v>
      </c>
      <c r="V37">
        <v>0.32949035778298302</v>
      </c>
      <c r="W37" t="s">
        <v>11</v>
      </c>
      <c r="X37" t="s">
        <v>226</v>
      </c>
      <c r="Y37" t="s">
        <v>75</v>
      </c>
      <c r="Z37">
        <v>0</v>
      </c>
      <c r="AA37" t="s">
        <v>14</v>
      </c>
      <c r="AB37" t="s">
        <v>15</v>
      </c>
      <c r="AC37" t="s">
        <v>227</v>
      </c>
      <c r="AD37" t="s">
        <v>228</v>
      </c>
      <c r="AE37">
        <v>0</v>
      </c>
      <c r="AF37" t="s">
        <v>18</v>
      </c>
    </row>
    <row r="38" spans="1:32" x14ac:dyDescent="0.3">
      <c r="A38" t="str">
        <f t="shared" si="0"/>
        <v>psar_{'C',  [('delta', 0.2,  1)]}_[7,  35]_4</v>
      </c>
      <c r="B38" t="s">
        <v>418</v>
      </c>
      <c r="C38" t="s">
        <v>134</v>
      </c>
      <c r="D38" t="s">
        <v>1</v>
      </c>
      <c r="E38">
        <v>0.2</v>
      </c>
      <c r="F38" t="s">
        <v>2</v>
      </c>
      <c r="G38" t="s">
        <v>26</v>
      </c>
      <c r="H38" t="s">
        <v>4</v>
      </c>
      <c r="I38">
        <v>140</v>
      </c>
      <c r="J38" t="s">
        <v>5</v>
      </c>
      <c r="K38">
        <v>19</v>
      </c>
      <c r="L38" s="3">
        <f t="shared" si="1"/>
        <v>0.1357142857142857</v>
      </c>
      <c r="M38" t="s">
        <v>6</v>
      </c>
      <c r="N38">
        <v>10.29</v>
      </c>
      <c r="O38" t="s">
        <v>7</v>
      </c>
      <c r="P38">
        <v>7.3500000000000301E-2</v>
      </c>
      <c r="Q38" t="s">
        <v>8</v>
      </c>
      <c r="R38">
        <v>4.4147368421052597</v>
      </c>
      <c r="S38" t="s">
        <v>9</v>
      </c>
      <c r="T38">
        <v>-0.60818181818181805</v>
      </c>
      <c r="U38" t="s">
        <v>10</v>
      </c>
      <c r="V38">
        <v>0.40174714399812</v>
      </c>
      <c r="W38" t="s">
        <v>11</v>
      </c>
      <c r="X38" t="s">
        <v>157</v>
      </c>
      <c r="Y38" t="s">
        <v>158</v>
      </c>
      <c r="Z38">
        <v>0</v>
      </c>
      <c r="AA38" t="s">
        <v>14</v>
      </c>
      <c r="AB38" t="s">
        <v>15</v>
      </c>
      <c r="AC38" t="s">
        <v>157</v>
      </c>
      <c r="AD38" t="s">
        <v>158</v>
      </c>
      <c r="AE38">
        <v>0</v>
      </c>
      <c r="AF38" t="s">
        <v>18</v>
      </c>
    </row>
    <row r="39" spans="1:32" x14ac:dyDescent="0.3">
      <c r="A39" t="str">
        <f t="shared" si="0"/>
        <v>psar_no_highvol_{'C',  [('delta', 0.2,  1)]}_[21,  49]_4</v>
      </c>
      <c r="B39" t="s">
        <v>472</v>
      </c>
      <c r="C39" t="s">
        <v>175</v>
      </c>
      <c r="D39" t="s">
        <v>1</v>
      </c>
      <c r="E39">
        <v>0.2</v>
      </c>
      <c r="F39" t="s">
        <v>27</v>
      </c>
      <c r="G39" t="s">
        <v>36</v>
      </c>
      <c r="H39" t="s">
        <v>4</v>
      </c>
      <c r="I39">
        <v>98</v>
      </c>
      <c r="J39" t="s">
        <v>5</v>
      </c>
      <c r="K39">
        <v>14</v>
      </c>
      <c r="L39" s="3">
        <f t="shared" si="1"/>
        <v>0.14285714285714285</v>
      </c>
      <c r="M39" t="s">
        <v>6</v>
      </c>
      <c r="N39">
        <v>8.8600000000000492</v>
      </c>
      <c r="O39" t="s">
        <v>7</v>
      </c>
      <c r="P39">
        <v>9.0408163265306596E-2</v>
      </c>
      <c r="Q39" t="s">
        <v>8</v>
      </c>
      <c r="R39">
        <v>4.7992857142857099</v>
      </c>
      <c r="S39" t="s">
        <v>9</v>
      </c>
      <c r="T39">
        <v>-0.69440476190476197</v>
      </c>
      <c r="U39" t="s">
        <v>10</v>
      </c>
      <c r="V39">
        <v>0.260591847375781</v>
      </c>
      <c r="W39" t="s">
        <v>11</v>
      </c>
      <c r="X39" t="s">
        <v>211</v>
      </c>
      <c r="Y39" t="s">
        <v>212</v>
      </c>
      <c r="Z39">
        <v>0</v>
      </c>
      <c r="AA39" t="s">
        <v>14</v>
      </c>
      <c r="AB39" t="s">
        <v>15</v>
      </c>
      <c r="AC39" t="s">
        <v>211</v>
      </c>
      <c r="AD39" t="s">
        <v>212</v>
      </c>
      <c r="AE39">
        <v>0</v>
      </c>
      <c r="AF39" t="s">
        <v>18</v>
      </c>
    </row>
    <row r="40" spans="1:32" x14ac:dyDescent="0.3">
      <c r="A40" t="str">
        <f t="shared" si="0"/>
        <v>psar_no_highvol_{'C',  [('delta', 0.4,  1)]}_[21,  49]_4</v>
      </c>
      <c r="B40" t="s">
        <v>447</v>
      </c>
      <c r="C40" t="s">
        <v>175</v>
      </c>
      <c r="D40" t="s">
        <v>1</v>
      </c>
      <c r="E40">
        <v>0.4</v>
      </c>
      <c r="F40" t="s">
        <v>27</v>
      </c>
      <c r="G40" t="s">
        <v>36</v>
      </c>
      <c r="H40" t="s">
        <v>4</v>
      </c>
      <c r="I40">
        <v>98</v>
      </c>
      <c r="J40" t="s">
        <v>5</v>
      </c>
      <c r="K40">
        <v>20</v>
      </c>
      <c r="L40" s="3">
        <f t="shared" si="1"/>
        <v>0.20408163265306123</v>
      </c>
      <c r="M40" t="s">
        <v>6</v>
      </c>
      <c r="N40">
        <v>8.44</v>
      </c>
      <c r="O40" t="s">
        <v>7</v>
      </c>
      <c r="P40">
        <v>8.6122448979591898E-2</v>
      </c>
      <c r="Q40" t="s">
        <v>8</v>
      </c>
      <c r="R40">
        <v>7.8120000000000003</v>
      </c>
      <c r="S40" t="s">
        <v>9</v>
      </c>
      <c r="T40">
        <v>-1.8948717948717899</v>
      </c>
      <c r="U40" t="s">
        <v>10</v>
      </c>
      <c r="V40">
        <v>0.58826133959666105</v>
      </c>
      <c r="W40" t="s">
        <v>11</v>
      </c>
      <c r="X40" t="s">
        <v>184</v>
      </c>
      <c r="Y40" t="s">
        <v>185</v>
      </c>
      <c r="Z40">
        <v>0</v>
      </c>
      <c r="AA40" t="s">
        <v>14</v>
      </c>
      <c r="AB40" t="s">
        <v>15</v>
      </c>
      <c r="AC40" t="s">
        <v>184</v>
      </c>
      <c r="AD40" t="s">
        <v>185</v>
      </c>
      <c r="AE40">
        <v>0</v>
      </c>
      <c r="AF40" t="s">
        <v>18</v>
      </c>
    </row>
    <row r="41" spans="1:32" x14ac:dyDescent="0.3">
      <c r="A41" t="str">
        <f t="shared" si="0"/>
        <v>psar_no_highvol_{'C',  [('delta', 0.3,  1)]}_[21,  49]_3</v>
      </c>
      <c r="B41" t="s">
        <v>459</v>
      </c>
      <c r="C41" t="s">
        <v>175</v>
      </c>
      <c r="D41" t="s">
        <v>1</v>
      </c>
      <c r="E41">
        <v>0.3</v>
      </c>
      <c r="F41" t="s">
        <v>27</v>
      </c>
      <c r="G41" t="s">
        <v>33</v>
      </c>
      <c r="H41" t="s">
        <v>4</v>
      </c>
      <c r="I41">
        <v>98</v>
      </c>
      <c r="J41" t="s">
        <v>5</v>
      </c>
      <c r="K41">
        <v>17</v>
      </c>
      <c r="L41" s="3">
        <f t="shared" si="1"/>
        <v>0.17346938775510204</v>
      </c>
      <c r="M41" t="s">
        <v>6</v>
      </c>
      <c r="N41">
        <v>7.9600000000000302</v>
      </c>
      <c r="O41" t="s">
        <v>7</v>
      </c>
      <c r="P41">
        <v>8.1224489795918606E-2</v>
      </c>
      <c r="Q41" t="s">
        <v>8</v>
      </c>
      <c r="R41">
        <v>6.2370588235294102</v>
      </c>
      <c r="S41" t="s">
        <v>9</v>
      </c>
      <c r="T41">
        <v>-1.21074074074074</v>
      </c>
      <c r="U41" t="s">
        <v>10</v>
      </c>
      <c r="V41">
        <v>0.38873580726721801</v>
      </c>
      <c r="W41" t="s">
        <v>11</v>
      </c>
      <c r="X41" t="s">
        <v>198</v>
      </c>
      <c r="Y41" t="s">
        <v>25</v>
      </c>
      <c r="Z41">
        <v>0</v>
      </c>
      <c r="AA41" t="s">
        <v>14</v>
      </c>
      <c r="AB41" t="s">
        <v>15</v>
      </c>
      <c r="AC41" t="s">
        <v>200</v>
      </c>
      <c r="AD41" t="s">
        <v>181</v>
      </c>
      <c r="AE41">
        <v>0</v>
      </c>
      <c r="AF41" t="s">
        <v>18</v>
      </c>
    </row>
    <row r="42" spans="1:32" x14ac:dyDescent="0.3">
      <c r="A42" t="str">
        <f t="shared" si="0"/>
        <v>psar_{'C',  [('delta', 0.4,  1)]}_[35,  70]_1</v>
      </c>
      <c r="B42" t="s">
        <v>397</v>
      </c>
      <c r="C42" t="s">
        <v>134</v>
      </c>
      <c r="D42" t="s">
        <v>1</v>
      </c>
      <c r="E42">
        <v>0.4</v>
      </c>
      <c r="F42" t="s">
        <v>37</v>
      </c>
      <c r="G42" t="s">
        <v>38</v>
      </c>
      <c r="H42" t="s">
        <v>4</v>
      </c>
      <c r="I42">
        <v>177</v>
      </c>
      <c r="J42" t="s">
        <v>5</v>
      </c>
      <c r="K42">
        <v>63</v>
      </c>
      <c r="L42" s="3">
        <f t="shared" si="1"/>
        <v>0.3559322033898305</v>
      </c>
      <c r="M42" t="s">
        <v>6</v>
      </c>
      <c r="N42">
        <v>7.6464447391491603</v>
      </c>
      <c r="O42" t="s">
        <v>7</v>
      </c>
      <c r="P42">
        <v>4.3200252763554603E-2</v>
      </c>
      <c r="Q42" t="s">
        <v>8</v>
      </c>
      <c r="R42">
        <v>4.6889321619660302</v>
      </c>
      <c r="S42" t="s">
        <v>9</v>
      </c>
      <c r="T42">
        <v>-2.5241779075851798</v>
      </c>
      <c r="U42" t="s">
        <v>10</v>
      </c>
      <c r="V42">
        <v>0.94547813972960504</v>
      </c>
      <c r="W42" t="s">
        <v>11</v>
      </c>
      <c r="X42" t="s">
        <v>142</v>
      </c>
      <c r="Y42" t="s">
        <v>143</v>
      </c>
    </row>
    <row r="43" spans="1:32" x14ac:dyDescent="0.3">
      <c r="A43" t="str">
        <f t="shared" si="0"/>
        <v>psar_no_highvol_{'C',  [('delta', 0.4,  1)]}_[21,  49]_3</v>
      </c>
      <c r="B43" t="s">
        <v>446</v>
      </c>
      <c r="C43" t="s">
        <v>175</v>
      </c>
      <c r="D43" t="s">
        <v>1</v>
      </c>
      <c r="E43">
        <v>0.4</v>
      </c>
      <c r="F43" t="s">
        <v>27</v>
      </c>
      <c r="G43" t="s">
        <v>33</v>
      </c>
      <c r="H43" t="s">
        <v>4</v>
      </c>
      <c r="I43">
        <v>98</v>
      </c>
      <c r="J43" t="s">
        <v>5</v>
      </c>
      <c r="K43">
        <v>21</v>
      </c>
      <c r="L43" s="3">
        <f t="shared" si="1"/>
        <v>0.21428571428571427</v>
      </c>
      <c r="M43" t="s">
        <v>6</v>
      </c>
      <c r="N43">
        <v>7.50000000000004</v>
      </c>
      <c r="O43" t="s">
        <v>7</v>
      </c>
      <c r="P43">
        <v>7.6530612244898294E-2</v>
      </c>
      <c r="Q43" t="s">
        <v>8</v>
      </c>
      <c r="R43">
        <v>7.32238095238095</v>
      </c>
      <c r="S43" t="s">
        <v>9</v>
      </c>
      <c r="T43">
        <v>-1.89961038961038</v>
      </c>
      <c r="U43" t="s">
        <v>10</v>
      </c>
      <c r="V43">
        <v>0.53429719602380399</v>
      </c>
      <c r="W43" t="s">
        <v>11</v>
      </c>
      <c r="X43" t="s">
        <v>182</v>
      </c>
      <c r="Y43" t="s">
        <v>183</v>
      </c>
      <c r="Z43">
        <v>0</v>
      </c>
      <c r="AA43" t="s">
        <v>14</v>
      </c>
      <c r="AB43" t="s">
        <v>15</v>
      </c>
      <c r="AC43" t="s">
        <v>180</v>
      </c>
      <c r="AD43" t="s">
        <v>181</v>
      </c>
      <c r="AE43">
        <v>0</v>
      </c>
      <c r="AF43" t="s">
        <v>18</v>
      </c>
    </row>
    <row r="44" spans="1:32" x14ac:dyDescent="0.3">
      <c r="A44" t="str">
        <f t="shared" si="0"/>
        <v>alltime_{'C',  [('delta', 0.2,  1)]}_[21,  49]_4</v>
      </c>
      <c r="B44" t="s">
        <v>322</v>
      </c>
      <c r="C44" t="s">
        <v>0</v>
      </c>
      <c r="D44" t="s">
        <v>1</v>
      </c>
      <c r="E44">
        <v>0.2</v>
      </c>
      <c r="F44" t="s">
        <v>27</v>
      </c>
      <c r="G44" t="s">
        <v>36</v>
      </c>
      <c r="H44" t="s">
        <v>4</v>
      </c>
      <c r="I44">
        <v>3050</v>
      </c>
      <c r="J44" t="s">
        <v>5</v>
      </c>
      <c r="K44">
        <v>373</v>
      </c>
      <c r="L44" s="3">
        <f t="shared" si="1"/>
        <v>0.12229508196721312</v>
      </c>
      <c r="M44" t="s">
        <v>6</v>
      </c>
      <c r="N44">
        <v>6.4766055552984003</v>
      </c>
      <c r="O44" t="s">
        <v>7</v>
      </c>
      <c r="P44">
        <v>2.12347723124537E-3</v>
      </c>
      <c r="Q44" t="s">
        <v>8</v>
      </c>
      <c r="R44">
        <v>5.9310991957104502</v>
      </c>
      <c r="S44" t="s">
        <v>9</v>
      </c>
      <c r="T44">
        <v>-0.823990808533693</v>
      </c>
      <c r="U44" t="s">
        <v>10</v>
      </c>
      <c r="V44">
        <v>5.4258122614666497</v>
      </c>
      <c r="W44" t="s">
        <v>11</v>
      </c>
      <c r="X44" t="s">
        <v>58</v>
      </c>
      <c r="Y44" t="s">
        <v>21</v>
      </c>
      <c r="Z44">
        <v>0</v>
      </c>
      <c r="AA44" t="s">
        <v>14</v>
      </c>
      <c r="AB44" t="s">
        <v>15</v>
      </c>
      <c r="AC44" t="s">
        <v>74</v>
      </c>
      <c r="AD44" t="s">
        <v>75</v>
      </c>
      <c r="AE44">
        <v>0</v>
      </c>
      <c r="AF44" t="s">
        <v>18</v>
      </c>
    </row>
    <row r="45" spans="1:32" x14ac:dyDescent="0.3">
      <c r="A45" t="str">
        <f t="shared" si="0"/>
        <v>psar_no_highvol_{'C',  [('delta', 0.2,  1)]}_[35,  70]_2</v>
      </c>
      <c r="B45" t="s">
        <v>475</v>
      </c>
      <c r="C45" t="s">
        <v>175</v>
      </c>
      <c r="D45" t="s">
        <v>1</v>
      </c>
      <c r="E45">
        <v>0.2</v>
      </c>
      <c r="F45" t="s">
        <v>37</v>
      </c>
      <c r="G45" t="s">
        <v>40</v>
      </c>
      <c r="H45" t="s">
        <v>4</v>
      </c>
      <c r="I45">
        <v>130</v>
      </c>
      <c r="J45" t="s">
        <v>5</v>
      </c>
      <c r="K45">
        <v>29</v>
      </c>
      <c r="L45" s="3">
        <f t="shared" si="1"/>
        <v>0.22307692307692309</v>
      </c>
      <c r="M45" t="s">
        <v>6</v>
      </c>
      <c r="N45">
        <v>6.3286304260085497</v>
      </c>
      <c r="O45" t="s">
        <v>7</v>
      </c>
      <c r="P45">
        <v>4.8681772507758E-2</v>
      </c>
      <c r="Q45" t="s">
        <v>8</v>
      </c>
      <c r="R45">
        <v>3.0937931034482702</v>
      </c>
      <c r="S45" t="s">
        <v>9</v>
      </c>
      <c r="T45">
        <v>-0.82565712449496498</v>
      </c>
      <c r="U45" t="s">
        <v>10</v>
      </c>
      <c r="V45">
        <v>0.29166924703470198</v>
      </c>
      <c r="W45" t="s">
        <v>11</v>
      </c>
      <c r="X45" t="s">
        <v>214</v>
      </c>
      <c r="Y45" t="s">
        <v>192</v>
      </c>
      <c r="Z45">
        <v>0</v>
      </c>
      <c r="AA45" t="s">
        <v>14</v>
      </c>
      <c r="AB45" t="s">
        <v>15</v>
      </c>
      <c r="AC45" t="s">
        <v>214</v>
      </c>
      <c r="AD45" t="s">
        <v>192</v>
      </c>
      <c r="AE45">
        <v>0</v>
      </c>
      <c r="AF45" t="s">
        <v>18</v>
      </c>
    </row>
    <row r="46" spans="1:32" x14ac:dyDescent="0.3">
      <c r="A46" t="str">
        <f t="shared" si="0"/>
        <v>rsi_{'C',  [('delta', 0.3,  1)]}_[35,  70]_3</v>
      </c>
      <c r="B46" t="s">
        <v>513</v>
      </c>
      <c r="C46" t="s">
        <v>221</v>
      </c>
      <c r="D46" t="s">
        <v>1</v>
      </c>
      <c r="E46">
        <v>0.3</v>
      </c>
      <c r="F46" t="s">
        <v>37</v>
      </c>
      <c r="G46" t="s">
        <v>42</v>
      </c>
      <c r="H46" t="s">
        <v>4</v>
      </c>
      <c r="I46">
        <v>40</v>
      </c>
      <c r="J46" t="s">
        <v>5</v>
      </c>
      <c r="K46">
        <v>7</v>
      </c>
      <c r="L46" s="3">
        <f t="shared" si="1"/>
        <v>0.17499999999999999</v>
      </c>
      <c r="M46" t="s">
        <v>6</v>
      </c>
      <c r="N46">
        <v>6.29</v>
      </c>
      <c r="O46" t="s">
        <v>7</v>
      </c>
      <c r="P46">
        <v>0.15725</v>
      </c>
      <c r="Q46" t="s">
        <v>8</v>
      </c>
      <c r="R46">
        <v>9.8028571428571407</v>
      </c>
      <c r="S46" t="s">
        <v>9</v>
      </c>
      <c r="T46">
        <v>-1.88878787878787</v>
      </c>
      <c r="U46" t="s">
        <v>10</v>
      </c>
      <c r="V46">
        <v>0.35115450115784702</v>
      </c>
      <c r="W46" t="s">
        <v>11</v>
      </c>
      <c r="X46" t="s">
        <v>150</v>
      </c>
      <c r="Y46" t="s">
        <v>53</v>
      </c>
      <c r="Z46">
        <v>0</v>
      </c>
      <c r="AA46" t="s">
        <v>14</v>
      </c>
      <c r="AB46" t="s">
        <v>15</v>
      </c>
      <c r="AC46" t="s">
        <v>150</v>
      </c>
      <c r="AD46" t="s">
        <v>53</v>
      </c>
      <c r="AE46">
        <v>0</v>
      </c>
      <c r="AF46" t="s">
        <v>18</v>
      </c>
    </row>
    <row r="47" spans="1:32" x14ac:dyDescent="0.3">
      <c r="A47" t="str">
        <f t="shared" si="0"/>
        <v>psar_{'C',  [('delta', 0.2,  1)]}_[35,  70]_1</v>
      </c>
      <c r="B47" t="s">
        <v>423</v>
      </c>
      <c r="C47" t="s">
        <v>134</v>
      </c>
      <c r="D47" t="s">
        <v>1</v>
      </c>
      <c r="E47">
        <v>0.2</v>
      </c>
      <c r="F47" t="s">
        <v>37</v>
      </c>
      <c r="G47" t="s">
        <v>38</v>
      </c>
      <c r="H47" t="s">
        <v>4</v>
      </c>
      <c r="I47">
        <v>177</v>
      </c>
      <c r="J47" t="s">
        <v>5</v>
      </c>
      <c r="K47">
        <v>60</v>
      </c>
      <c r="L47" s="3">
        <f t="shared" si="1"/>
        <v>0.33898305084745761</v>
      </c>
      <c r="M47" t="s">
        <v>6</v>
      </c>
      <c r="N47">
        <v>5.9744373574721497</v>
      </c>
      <c r="O47" t="s">
        <v>7</v>
      </c>
      <c r="P47">
        <v>3.3753883375548799E-2</v>
      </c>
      <c r="Q47" t="s">
        <v>8</v>
      </c>
      <c r="R47">
        <v>1.9007803639551999</v>
      </c>
      <c r="S47" t="s">
        <v>9</v>
      </c>
      <c r="T47">
        <v>-0.92369559384478905</v>
      </c>
      <c r="U47" t="s">
        <v>10</v>
      </c>
      <c r="V47">
        <v>0.38825787655344401</v>
      </c>
      <c r="W47" t="s">
        <v>11</v>
      </c>
      <c r="X47" t="s">
        <v>162</v>
      </c>
      <c r="Y47" t="s">
        <v>143</v>
      </c>
    </row>
    <row r="48" spans="1:32" x14ac:dyDescent="0.3">
      <c r="A48" t="str">
        <f t="shared" si="0"/>
        <v>rsi_{'C',  [('delta', 0.4,  1)]}_[7,  35]_1</v>
      </c>
      <c r="B48" t="s">
        <v>490</v>
      </c>
      <c r="C48" t="s">
        <v>221</v>
      </c>
      <c r="D48" t="s">
        <v>1</v>
      </c>
      <c r="E48">
        <v>0.4</v>
      </c>
      <c r="F48" t="s">
        <v>2</v>
      </c>
      <c r="G48" t="s">
        <v>3</v>
      </c>
      <c r="H48" t="s">
        <v>4</v>
      </c>
      <c r="I48">
        <v>35</v>
      </c>
      <c r="J48" t="s">
        <v>5</v>
      </c>
      <c r="K48">
        <v>13</v>
      </c>
      <c r="L48" s="3">
        <f t="shared" si="1"/>
        <v>0.37142857142857144</v>
      </c>
      <c r="M48" t="s">
        <v>6</v>
      </c>
      <c r="N48">
        <v>5.9000000000000101</v>
      </c>
      <c r="O48" t="s">
        <v>7</v>
      </c>
      <c r="P48">
        <v>0.16857142857142901</v>
      </c>
      <c r="Q48" t="s">
        <v>8</v>
      </c>
      <c r="R48">
        <v>4.0892307692307703</v>
      </c>
      <c r="S48" t="s">
        <v>9</v>
      </c>
      <c r="T48">
        <v>-2.14818181818181</v>
      </c>
      <c r="U48" t="s">
        <v>10</v>
      </c>
      <c r="V48">
        <v>0.24421676788744201</v>
      </c>
      <c r="W48" t="s">
        <v>11</v>
      </c>
      <c r="X48" t="s">
        <v>222</v>
      </c>
      <c r="Y48" t="s">
        <v>223</v>
      </c>
      <c r="Z48">
        <v>0</v>
      </c>
      <c r="AA48" t="s">
        <v>14</v>
      </c>
      <c r="AB48" t="s">
        <v>15</v>
      </c>
      <c r="AC48" t="s">
        <v>222</v>
      </c>
      <c r="AD48" t="s">
        <v>223</v>
      </c>
      <c r="AE48">
        <v>0</v>
      </c>
      <c r="AF48" t="s">
        <v>18</v>
      </c>
    </row>
    <row r="49" spans="1:32" x14ac:dyDescent="0.3">
      <c r="A49" t="str">
        <f t="shared" si="0"/>
        <v>psar_{'C',  [('delta', 0.1,  1)]}_[21,  49]_4</v>
      </c>
      <c r="B49" t="s">
        <v>434</v>
      </c>
      <c r="C49" t="s">
        <v>134</v>
      </c>
      <c r="D49" t="s">
        <v>1</v>
      </c>
      <c r="E49">
        <v>0.1</v>
      </c>
      <c r="F49" t="s">
        <v>27</v>
      </c>
      <c r="G49" t="s">
        <v>36</v>
      </c>
      <c r="H49" t="s">
        <v>4</v>
      </c>
      <c r="I49">
        <v>136</v>
      </c>
      <c r="J49" t="s">
        <v>5</v>
      </c>
      <c r="K49">
        <v>15</v>
      </c>
      <c r="L49" s="3">
        <f t="shared" si="1"/>
        <v>0.11029411764705882</v>
      </c>
      <c r="M49" t="s">
        <v>6</v>
      </c>
      <c r="N49">
        <v>5.6633621674422203</v>
      </c>
      <c r="O49" t="s">
        <v>7</v>
      </c>
      <c r="P49">
        <v>4.1642368878251602E-2</v>
      </c>
      <c r="Q49" t="s">
        <v>8</v>
      </c>
      <c r="R49">
        <v>2.9313333333333298</v>
      </c>
      <c r="S49" t="s">
        <v>9</v>
      </c>
      <c r="T49">
        <v>-0.31658378374014701</v>
      </c>
      <c r="U49" t="s">
        <v>10</v>
      </c>
      <c r="V49">
        <v>0.21589016207773201</v>
      </c>
      <c r="W49" t="s">
        <v>11</v>
      </c>
      <c r="X49" t="s">
        <v>170</v>
      </c>
      <c r="Y49" t="s">
        <v>158</v>
      </c>
      <c r="Z49">
        <v>0</v>
      </c>
      <c r="AA49" t="s">
        <v>14</v>
      </c>
      <c r="AB49" t="s">
        <v>15</v>
      </c>
      <c r="AC49" t="s">
        <v>170</v>
      </c>
      <c r="AD49" t="s">
        <v>158</v>
      </c>
      <c r="AE49">
        <v>0</v>
      </c>
      <c r="AF49" t="s">
        <v>18</v>
      </c>
    </row>
    <row r="50" spans="1:32" x14ac:dyDescent="0.3">
      <c r="A50" t="str">
        <f t="shared" si="0"/>
        <v>psar_no_highvol_{'C',  [('delta', 0.4,  1)]}_[7,  35]_4</v>
      </c>
      <c r="B50" t="s">
        <v>443</v>
      </c>
      <c r="C50" t="s">
        <v>175</v>
      </c>
      <c r="D50" t="s">
        <v>1</v>
      </c>
      <c r="E50">
        <v>0.4</v>
      </c>
      <c r="F50" t="s">
        <v>2</v>
      </c>
      <c r="G50" t="s">
        <v>26</v>
      </c>
      <c r="H50" t="s">
        <v>4</v>
      </c>
      <c r="I50">
        <v>102</v>
      </c>
      <c r="J50" t="s">
        <v>5</v>
      </c>
      <c r="K50">
        <v>20</v>
      </c>
      <c r="L50" s="3">
        <f t="shared" si="1"/>
        <v>0.19607843137254902</v>
      </c>
      <c r="M50" t="s">
        <v>6</v>
      </c>
      <c r="N50">
        <v>3.8600000000000101</v>
      </c>
      <c r="O50" t="s">
        <v>7</v>
      </c>
      <c r="P50">
        <v>3.7843137254902001E-2</v>
      </c>
      <c r="Q50" t="s">
        <v>8</v>
      </c>
      <c r="R50">
        <v>6.5715000000000003</v>
      </c>
      <c r="S50" t="s">
        <v>9</v>
      </c>
      <c r="T50">
        <v>-1.55573170731707</v>
      </c>
      <c r="U50" t="s">
        <v>10</v>
      </c>
      <c r="V50">
        <v>0.48562425776587298</v>
      </c>
      <c r="W50" t="s">
        <v>11</v>
      </c>
      <c r="X50" t="s">
        <v>177</v>
      </c>
      <c r="Y50" t="s">
        <v>160</v>
      </c>
      <c r="Z50">
        <v>0</v>
      </c>
      <c r="AA50" t="s">
        <v>14</v>
      </c>
      <c r="AB50" t="s">
        <v>15</v>
      </c>
      <c r="AC50" t="s">
        <v>177</v>
      </c>
      <c r="AD50" t="s">
        <v>160</v>
      </c>
      <c r="AE50">
        <v>0</v>
      </c>
      <c r="AF50" t="s">
        <v>18</v>
      </c>
    </row>
    <row r="51" spans="1:32" x14ac:dyDescent="0.3">
      <c r="A51" t="str">
        <f t="shared" si="0"/>
        <v>psar_{'C',  [('delta', 0.1,  1)]}_[7,  35]_4</v>
      </c>
      <c r="B51" t="s">
        <v>430</v>
      </c>
      <c r="C51" t="s">
        <v>134</v>
      </c>
      <c r="D51" t="s">
        <v>1</v>
      </c>
      <c r="E51">
        <v>0.1</v>
      </c>
      <c r="F51" t="s">
        <v>2</v>
      </c>
      <c r="G51" t="s">
        <v>26</v>
      </c>
      <c r="H51" t="s">
        <v>4</v>
      </c>
      <c r="I51">
        <v>140</v>
      </c>
      <c r="J51" t="s">
        <v>5</v>
      </c>
      <c r="K51">
        <v>13</v>
      </c>
      <c r="L51" s="3">
        <f t="shared" si="1"/>
        <v>9.285714285714286E-2</v>
      </c>
      <c r="M51" t="s">
        <v>6</v>
      </c>
      <c r="N51">
        <v>3.1874205325390301</v>
      </c>
      <c r="O51" t="s">
        <v>7</v>
      </c>
      <c r="P51">
        <v>2.2767289518135898E-2</v>
      </c>
      <c r="Q51" t="s">
        <v>8</v>
      </c>
      <c r="R51">
        <v>2.5276923076923001</v>
      </c>
      <c r="S51" t="s">
        <v>9</v>
      </c>
      <c r="T51">
        <v>-0.23364235801150299</v>
      </c>
      <c r="U51" t="s">
        <v>10</v>
      </c>
      <c r="V51">
        <v>0.187864756079379</v>
      </c>
      <c r="W51" t="s">
        <v>11</v>
      </c>
      <c r="X51" t="s">
        <v>168</v>
      </c>
      <c r="Y51" t="s">
        <v>160</v>
      </c>
      <c r="Z51">
        <v>0</v>
      </c>
      <c r="AA51" t="s">
        <v>14</v>
      </c>
      <c r="AB51" t="s">
        <v>15</v>
      </c>
      <c r="AC51" t="s">
        <v>168</v>
      </c>
      <c r="AD51" t="s">
        <v>160</v>
      </c>
      <c r="AE51">
        <v>0</v>
      </c>
      <c r="AF51" t="s">
        <v>18</v>
      </c>
    </row>
    <row r="52" spans="1:32" x14ac:dyDescent="0.3">
      <c r="A52" t="str">
        <f t="shared" si="0"/>
        <v>psar_no_highvol_{'C',  [('delta', 0.3,  1)]}_[7,  35]_3</v>
      </c>
      <c r="B52" t="s">
        <v>455</v>
      </c>
      <c r="C52" t="s">
        <v>175</v>
      </c>
      <c r="D52" t="s">
        <v>1</v>
      </c>
      <c r="E52">
        <v>0.3</v>
      </c>
      <c r="F52" t="s">
        <v>2</v>
      </c>
      <c r="G52" t="s">
        <v>23</v>
      </c>
      <c r="H52" t="s">
        <v>4</v>
      </c>
      <c r="I52">
        <v>102</v>
      </c>
      <c r="J52" t="s">
        <v>5</v>
      </c>
      <c r="K52">
        <v>16</v>
      </c>
      <c r="L52" s="3">
        <f t="shared" si="1"/>
        <v>0.15686274509803921</v>
      </c>
      <c r="M52" t="s">
        <v>6</v>
      </c>
      <c r="N52">
        <v>3.04000000000004</v>
      </c>
      <c r="O52" t="s">
        <v>7</v>
      </c>
      <c r="P52">
        <v>2.9803921568627802E-2</v>
      </c>
      <c r="Q52" t="s">
        <v>8</v>
      </c>
      <c r="R52">
        <v>5.3443750000000003</v>
      </c>
      <c r="S52" t="s">
        <v>9</v>
      </c>
      <c r="T52">
        <v>-0.95895348837209304</v>
      </c>
      <c r="U52" t="s">
        <v>10</v>
      </c>
      <c r="V52">
        <v>0.34831799619818399</v>
      </c>
      <c r="W52" t="s">
        <v>11</v>
      </c>
      <c r="X52" t="s">
        <v>199</v>
      </c>
      <c r="Y52" t="s">
        <v>160</v>
      </c>
      <c r="Z52">
        <v>0</v>
      </c>
      <c r="AA52" t="s">
        <v>14</v>
      </c>
      <c r="AB52" t="s">
        <v>15</v>
      </c>
      <c r="AC52" t="s">
        <v>199</v>
      </c>
      <c r="AD52" t="s">
        <v>160</v>
      </c>
      <c r="AE52">
        <v>0</v>
      </c>
      <c r="AF52" t="s">
        <v>18</v>
      </c>
    </row>
    <row r="53" spans="1:32" x14ac:dyDescent="0.3">
      <c r="A53" t="str">
        <f t="shared" si="0"/>
        <v>psar_{'C',  [('delta', 0.3,  1)]}_[7,  35]_2</v>
      </c>
      <c r="B53" t="s">
        <v>403</v>
      </c>
      <c r="C53" t="s">
        <v>134</v>
      </c>
      <c r="D53" t="s">
        <v>1</v>
      </c>
      <c r="E53">
        <v>0.3</v>
      </c>
      <c r="F53" t="s">
        <v>2</v>
      </c>
      <c r="G53" t="s">
        <v>19</v>
      </c>
      <c r="H53" t="s">
        <v>4</v>
      </c>
      <c r="I53">
        <v>140</v>
      </c>
      <c r="J53" t="s">
        <v>5</v>
      </c>
      <c r="K53">
        <v>29</v>
      </c>
      <c r="L53" s="3">
        <f t="shared" si="1"/>
        <v>0.20714285714285716</v>
      </c>
      <c r="M53" t="s">
        <v>6</v>
      </c>
      <c r="N53">
        <v>2.02000000000008</v>
      </c>
      <c r="O53" t="s">
        <v>7</v>
      </c>
      <c r="P53">
        <v>1.4428571428572E-2</v>
      </c>
      <c r="Q53" t="s">
        <v>8</v>
      </c>
      <c r="R53">
        <v>3.91379310344827</v>
      </c>
      <c r="S53" t="s">
        <v>9</v>
      </c>
      <c r="T53">
        <v>-1.0043243243243201</v>
      </c>
      <c r="U53" t="s">
        <v>10</v>
      </c>
      <c r="V53">
        <v>0.51306556417168803</v>
      </c>
      <c r="W53" t="s">
        <v>11</v>
      </c>
      <c r="X53" t="s">
        <v>147</v>
      </c>
      <c r="Y53" t="s">
        <v>53</v>
      </c>
      <c r="Z53">
        <v>0</v>
      </c>
      <c r="AA53" t="s">
        <v>14</v>
      </c>
      <c r="AB53" t="s">
        <v>15</v>
      </c>
      <c r="AC53" t="s">
        <v>147</v>
      </c>
      <c r="AD53" t="s">
        <v>53</v>
      </c>
      <c r="AE53">
        <v>0</v>
      </c>
      <c r="AF53" t="s">
        <v>18</v>
      </c>
    </row>
    <row r="54" spans="1:32" x14ac:dyDescent="0.3">
      <c r="A54" t="str">
        <f t="shared" si="0"/>
        <v>psar_{'C',  [('delta', 0.1,  1)]}_[7,  35]_1</v>
      </c>
      <c r="B54" t="s">
        <v>427</v>
      </c>
      <c r="C54" t="s">
        <v>134</v>
      </c>
      <c r="D54" t="s">
        <v>1</v>
      </c>
      <c r="E54">
        <v>0.1</v>
      </c>
      <c r="F54" t="s">
        <v>2</v>
      </c>
      <c r="G54" t="s">
        <v>3</v>
      </c>
      <c r="H54" t="s">
        <v>4</v>
      </c>
      <c r="I54">
        <v>140</v>
      </c>
      <c r="J54" t="s">
        <v>5</v>
      </c>
      <c r="K54">
        <v>33</v>
      </c>
      <c r="L54" s="3">
        <f t="shared" si="1"/>
        <v>0.23571428571428571</v>
      </c>
      <c r="M54" t="s">
        <v>6</v>
      </c>
      <c r="N54">
        <v>1.8774205325390301</v>
      </c>
      <c r="O54" t="s">
        <v>7</v>
      </c>
      <c r="P54">
        <v>1.3410146660992999E-2</v>
      </c>
      <c r="Q54" t="s">
        <v>8</v>
      </c>
      <c r="R54">
        <v>0.77909090909090895</v>
      </c>
      <c r="S54" t="s">
        <v>9</v>
      </c>
      <c r="T54">
        <v>-0.22273438754636399</v>
      </c>
      <c r="U54" t="s">
        <v>10</v>
      </c>
      <c r="V54">
        <v>0.112360913427809</v>
      </c>
      <c r="W54" t="s">
        <v>11</v>
      </c>
      <c r="X54" t="s">
        <v>164</v>
      </c>
      <c r="Y54" t="s">
        <v>165</v>
      </c>
      <c r="Z54">
        <v>0</v>
      </c>
      <c r="AA54" t="s">
        <v>14</v>
      </c>
      <c r="AB54" t="s">
        <v>15</v>
      </c>
      <c r="AC54" t="s">
        <v>164</v>
      </c>
      <c r="AD54" t="s">
        <v>165</v>
      </c>
      <c r="AE54">
        <v>0</v>
      </c>
      <c r="AF54" t="s">
        <v>18</v>
      </c>
    </row>
    <row r="55" spans="1:32" x14ac:dyDescent="0.3">
      <c r="A55" t="str">
        <f t="shared" si="0"/>
        <v>psar_no_highvol_{'C',  [('delta', 0.1,  1)]}_[7,  35]_1</v>
      </c>
      <c r="B55" t="s">
        <v>478</v>
      </c>
      <c r="C55" t="s">
        <v>175</v>
      </c>
      <c r="D55" t="s">
        <v>1</v>
      </c>
      <c r="E55">
        <v>0.1</v>
      </c>
      <c r="F55" t="s">
        <v>2</v>
      </c>
      <c r="G55" t="s">
        <v>3</v>
      </c>
      <c r="H55" t="s">
        <v>4</v>
      </c>
      <c r="I55">
        <v>102</v>
      </c>
      <c r="J55" t="s">
        <v>5</v>
      </c>
      <c r="K55">
        <v>25</v>
      </c>
      <c r="L55" s="3">
        <f t="shared" si="1"/>
        <v>0.24509803921568626</v>
      </c>
      <c r="M55" t="s">
        <v>6</v>
      </c>
      <c r="N55">
        <v>1.19087036708427</v>
      </c>
      <c r="O55" t="s">
        <v>7</v>
      </c>
      <c r="P55">
        <v>1.16751996772967E-2</v>
      </c>
      <c r="Q55" t="s">
        <v>8</v>
      </c>
      <c r="R55">
        <v>0.70679999999999998</v>
      </c>
      <c r="S55" t="s">
        <v>9</v>
      </c>
      <c r="T55">
        <v>-0.21401467055734699</v>
      </c>
      <c r="U55" t="s">
        <v>10</v>
      </c>
      <c r="V55">
        <v>7.50944779293264E-2</v>
      </c>
      <c r="W55" t="s">
        <v>11</v>
      </c>
      <c r="X55" t="s">
        <v>164</v>
      </c>
      <c r="Y55" t="s">
        <v>165</v>
      </c>
      <c r="Z55">
        <v>0</v>
      </c>
      <c r="AA55" t="s">
        <v>14</v>
      </c>
      <c r="AB55" t="s">
        <v>15</v>
      </c>
      <c r="AC55" t="s">
        <v>164</v>
      </c>
      <c r="AD55" t="s">
        <v>165</v>
      </c>
      <c r="AE55">
        <v>0</v>
      </c>
      <c r="AF55" t="s">
        <v>18</v>
      </c>
    </row>
    <row r="56" spans="1:32" x14ac:dyDescent="0.3">
      <c r="A56" t="str">
        <f t="shared" si="0"/>
        <v>psar_no_highvol_{'C',  [('delta', 0.1,  1)]}_[35,  70]_2</v>
      </c>
      <c r="B56" t="s">
        <v>487</v>
      </c>
      <c r="C56" t="s">
        <v>175</v>
      </c>
      <c r="D56" t="s">
        <v>1</v>
      </c>
      <c r="E56">
        <v>0.1</v>
      </c>
      <c r="F56" t="s">
        <v>37</v>
      </c>
      <c r="G56" t="s">
        <v>40</v>
      </c>
      <c r="H56" t="s">
        <v>4</v>
      </c>
      <c r="I56">
        <v>130</v>
      </c>
      <c r="J56" t="s">
        <v>5</v>
      </c>
      <c r="K56">
        <v>26</v>
      </c>
      <c r="L56" s="3">
        <f t="shared" si="1"/>
        <v>0.2</v>
      </c>
      <c r="M56" t="s">
        <v>6</v>
      </c>
      <c r="N56">
        <v>0.97263247263443697</v>
      </c>
      <c r="O56" t="s">
        <v>7</v>
      </c>
      <c r="P56">
        <v>7.4817882510341297E-3</v>
      </c>
      <c r="Q56" t="s">
        <v>8</v>
      </c>
      <c r="R56">
        <v>1.505653235964</v>
      </c>
      <c r="S56" t="s">
        <v>9</v>
      </c>
      <c r="T56">
        <v>-0.36706107367720903</v>
      </c>
      <c r="U56" t="s">
        <v>10</v>
      </c>
      <c r="V56">
        <v>0.142292716242295</v>
      </c>
      <c r="W56" t="s">
        <v>11</v>
      </c>
      <c r="X56" t="s">
        <v>169</v>
      </c>
      <c r="Y56" t="s">
        <v>173</v>
      </c>
    </row>
    <row r="57" spans="1:32" x14ac:dyDescent="0.3">
      <c r="A57" t="str">
        <f t="shared" si="0"/>
        <v>psar_no_highvol_{'C',  [('delta', 0.1,  1)]}_[35,  70]_3</v>
      </c>
      <c r="B57" t="s">
        <v>488</v>
      </c>
      <c r="C57" t="s">
        <v>175</v>
      </c>
      <c r="D57" t="s">
        <v>1</v>
      </c>
      <c r="E57">
        <v>0.1</v>
      </c>
      <c r="F57" t="s">
        <v>37</v>
      </c>
      <c r="G57" t="s">
        <v>42</v>
      </c>
      <c r="H57" t="s">
        <v>4</v>
      </c>
      <c r="I57">
        <v>130</v>
      </c>
      <c r="J57" t="s">
        <v>5</v>
      </c>
      <c r="K57">
        <v>20</v>
      </c>
      <c r="L57" s="3">
        <f t="shared" si="1"/>
        <v>0.15384615384615385</v>
      </c>
      <c r="M57" t="s">
        <v>6</v>
      </c>
      <c r="N57">
        <v>0.95263247263443296</v>
      </c>
      <c r="O57" t="s">
        <v>7</v>
      </c>
      <c r="P57">
        <v>7.3279420971879396E-3</v>
      </c>
      <c r="Q57" t="s">
        <v>8</v>
      </c>
      <c r="R57">
        <v>2.0485009572534199</v>
      </c>
      <c r="S57" t="s">
        <v>9</v>
      </c>
      <c r="T57">
        <v>-0.36379442429485398</v>
      </c>
      <c r="U57" t="s">
        <v>10</v>
      </c>
      <c r="V57">
        <v>0.15581851983648601</v>
      </c>
      <c r="W57" t="s">
        <v>11</v>
      </c>
      <c r="X57" t="s">
        <v>169</v>
      </c>
      <c r="Y57" t="s">
        <v>173</v>
      </c>
    </row>
    <row r="58" spans="1:32" x14ac:dyDescent="0.3">
      <c r="A58" t="str">
        <f t="shared" si="0"/>
        <v>psar_{'C',  [('delta', 0.2,  1)]}_[21,  49]_3</v>
      </c>
      <c r="B58" t="s">
        <v>421</v>
      </c>
      <c r="C58" t="s">
        <v>134</v>
      </c>
      <c r="D58" t="s">
        <v>1</v>
      </c>
      <c r="E58">
        <v>0.2</v>
      </c>
      <c r="F58" t="s">
        <v>27</v>
      </c>
      <c r="G58" t="s">
        <v>33</v>
      </c>
      <c r="H58" t="s">
        <v>4</v>
      </c>
      <c r="I58">
        <v>136</v>
      </c>
      <c r="J58" t="s">
        <v>5</v>
      </c>
      <c r="K58">
        <v>21</v>
      </c>
      <c r="L58" s="3">
        <f t="shared" si="1"/>
        <v>0.15441176470588236</v>
      </c>
      <c r="M58" t="s">
        <v>6</v>
      </c>
      <c r="N58">
        <v>0.771429968288318</v>
      </c>
      <c r="O58" t="s">
        <v>7</v>
      </c>
      <c r="P58">
        <v>5.67227917859057E-3</v>
      </c>
      <c r="Q58" t="s">
        <v>8</v>
      </c>
      <c r="R58">
        <v>4.2457142857142802</v>
      </c>
      <c r="S58" t="s">
        <v>9</v>
      </c>
      <c r="T58">
        <v>-0.76859626114531898</v>
      </c>
      <c r="U58" t="s">
        <v>10</v>
      </c>
      <c r="V58">
        <v>0.38141495602300501</v>
      </c>
      <c r="W58" t="s">
        <v>11</v>
      </c>
      <c r="X58" t="s">
        <v>161</v>
      </c>
      <c r="Y58" t="s">
        <v>158</v>
      </c>
      <c r="Z58">
        <v>0</v>
      </c>
      <c r="AA58" t="s">
        <v>14</v>
      </c>
      <c r="AB58" t="s">
        <v>15</v>
      </c>
      <c r="AC58" t="s">
        <v>161</v>
      </c>
      <c r="AD58" t="s">
        <v>158</v>
      </c>
      <c r="AE58">
        <v>0</v>
      </c>
      <c r="AF58" t="s">
        <v>18</v>
      </c>
    </row>
    <row r="59" spans="1:32" x14ac:dyDescent="0.3">
      <c r="A59" t="str">
        <f t="shared" si="0"/>
        <v>psar_{'C',  [('delta', 0.1,  1)]}_[21,  49]_1</v>
      </c>
      <c r="B59" t="s">
        <v>431</v>
      </c>
      <c r="C59" t="s">
        <v>134</v>
      </c>
      <c r="D59" t="s">
        <v>1</v>
      </c>
      <c r="E59">
        <v>0.1</v>
      </c>
      <c r="F59" t="s">
        <v>27</v>
      </c>
      <c r="G59" t="s">
        <v>28</v>
      </c>
      <c r="H59" t="s">
        <v>4</v>
      </c>
      <c r="I59">
        <v>136</v>
      </c>
      <c r="J59" t="s">
        <v>5</v>
      </c>
      <c r="K59">
        <v>37</v>
      </c>
      <c r="L59" s="3">
        <f t="shared" si="1"/>
        <v>0.27205882352941174</v>
      </c>
      <c r="M59" t="s">
        <v>6</v>
      </c>
      <c r="N59">
        <v>0.50336216744221096</v>
      </c>
      <c r="O59" t="s">
        <v>7</v>
      </c>
      <c r="P59">
        <v>3.7011924076633201E-3</v>
      </c>
      <c r="Q59" t="s">
        <v>8</v>
      </c>
      <c r="R59">
        <v>0.84810810810810799</v>
      </c>
      <c r="S59" t="s">
        <v>9</v>
      </c>
      <c r="T59">
        <v>-0.31188523063189699</v>
      </c>
      <c r="U59" t="s">
        <v>10</v>
      </c>
      <c r="V59">
        <v>0.120947646478307</v>
      </c>
      <c r="W59" t="s">
        <v>11</v>
      </c>
      <c r="X59" t="s">
        <v>164</v>
      </c>
      <c r="Y59" t="s">
        <v>165</v>
      </c>
      <c r="Z59">
        <v>0</v>
      </c>
      <c r="AA59" t="s">
        <v>14</v>
      </c>
      <c r="AB59" t="s">
        <v>15</v>
      </c>
      <c r="AC59" t="s">
        <v>164</v>
      </c>
      <c r="AD59" t="s">
        <v>165</v>
      </c>
      <c r="AE59">
        <v>0</v>
      </c>
      <c r="AF59" t="s">
        <v>18</v>
      </c>
    </row>
    <row r="60" spans="1:32" x14ac:dyDescent="0.3">
      <c r="A60" t="str">
        <f t="shared" si="0"/>
        <v>psar_no_highvol_{'C',  [('delta', 0.1,  1)]}_[7,  35]_2</v>
      </c>
      <c r="B60" t="s">
        <v>479</v>
      </c>
      <c r="C60" t="s">
        <v>175</v>
      </c>
      <c r="D60" t="s">
        <v>1</v>
      </c>
      <c r="E60">
        <v>0.1</v>
      </c>
      <c r="F60" t="s">
        <v>2</v>
      </c>
      <c r="G60" t="s">
        <v>19</v>
      </c>
      <c r="H60" t="s">
        <v>4</v>
      </c>
      <c r="I60">
        <v>102</v>
      </c>
      <c r="J60" t="s">
        <v>5</v>
      </c>
      <c r="K60">
        <v>16</v>
      </c>
      <c r="L60" s="3">
        <f t="shared" si="1"/>
        <v>0.15686274509803921</v>
      </c>
      <c r="M60" t="s">
        <v>6</v>
      </c>
      <c r="N60">
        <v>0.110870367084274</v>
      </c>
      <c r="O60" t="s">
        <v>7</v>
      </c>
      <c r="P60">
        <v>1.08696438317916E-3</v>
      </c>
      <c r="Q60" t="s">
        <v>8</v>
      </c>
      <c r="R60">
        <v>1.15625</v>
      </c>
      <c r="S60" t="s">
        <v>9</v>
      </c>
      <c r="T60">
        <v>-0.213827088754834</v>
      </c>
      <c r="U60" t="s">
        <v>10</v>
      </c>
      <c r="V60">
        <v>8.3431404655643804E-2</v>
      </c>
      <c r="W60" t="s">
        <v>11</v>
      </c>
      <c r="X60" t="s">
        <v>164</v>
      </c>
      <c r="Y60" t="s">
        <v>165</v>
      </c>
      <c r="Z60">
        <v>0</v>
      </c>
      <c r="AA60" t="s">
        <v>14</v>
      </c>
      <c r="AB60" t="s">
        <v>15</v>
      </c>
      <c r="AC60" t="s">
        <v>164</v>
      </c>
      <c r="AD60" t="s">
        <v>165</v>
      </c>
      <c r="AE60">
        <v>0</v>
      </c>
      <c r="AF60" t="s">
        <v>18</v>
      </c>
    </row>
    <row r="61" spans="1:32" x14ac:dyDescent="0.3">
      <c r="A61" t="str">
        <f t="shared" si="0"/>
        <v>rsi_{'C',  [('delta', 0.4,  1)]}_[21,  49]_3</v>
      </c>
      <c r="B61" t="s">
        <v>496</v>
      </c>
      <c r="C61" t="s">
        <v>221</v>
      </c>
      <c r="D61" t="s">
        <v>1</v>
      </c>
      <c r="E61">
        <v>0.4</v>
      </c>
      <c r="F61" t="s">
        <v>27</v>
      </c>
      <c r="G61" t="s">
        <v>33</v>
      </c>
      <c r="H61" t="s">
        <v>4</v>
      </c>
      <c r="I61">
        <v>33</v>
      </c>
      <c r="J61" t="s">
        <v>5</v>
      </c>
      <c r="K61">
        <v>9</v>
      </c>
      <c r="L61" s="3">
        <f t="shared" si="1"/>
        <v>0.27272727272727271</v>
      </c>
      <c r="M61" t="s">
        <v>6</v>
      </c>
      <c r="N61" s="1">
        <v>-1.7763568394002501E-15</v>
      </c>
      <c r="O61" t="s">
        <v>7</v>
      </c>
      <c r="P61" s="1">
        <v>-5.38289951333409E-17</v>
      </c>
      <c r="Q61" t="s">
        <v>8</v>
      </c>
      <c r="R61">
        <v>6.36666666666666</v>
      </c>
      <c r="S61" t="s">
        <v>9</v>
      </c>
      <c r="T61">
        <v>-2.38749999999999</v>
      </c>
      <c r="U61" t="s">
        <v>10</v>
      </c>
      <c r="V61">
        <v>0.34836194265427101</v>
      </c>
      <c r="W61" t="s">
        <v>11</v>
      </c>
      <c r="X61" t="s">
        <v>182</v>
      </c>
      <c r="Y61" t="s">
        <v>183</v>
      </c>
      <c r="Z61">
        <v>0</v>
      </c>
      <c r="AA61" t="s">
        <v>14</v>
      </c>
      <c r="AB61" t="s">
        <v>15</v>
      </c>
      <c r="AC61" t="s">
        <v>227</v>
      </c>
      <c r="AD61" t="s">
        <v>228</v>
      </c>
      <c r="AE61">
        <v>0</v>
      </c>
      <c r="AF61" t="s">
        <v>18</v>
      </c>
    </row>
    <row r="62" spans="1:32" x14ac:dyDescent="0.3">
      <c r="A62" t="str">
        <f t="shared" si="0"/>
        <v>psar_no_highvol_{'C',  [('delta', 0.2,  1)]}_[35,  70]_1</v>
      </c>
      <c r="B62" t="s">
        <v>473</v>
      </c>
      <c r="C62" t="s">
        <v>175</v>
      </c>
      <c r="D62" t="s">
        <v>1</v>
      </c>
      <c r="E62">
        <v>0.2</v>
      </c>
      <c r="F62" t="s">
        <v>37</v>
      </c>
      <c r="G62" t="s">
        <v>38</v>
      </c>
      <c r="H62" t="s">
        <v>4</v>
      </c>
      <c r="I62">
        <v>130</v>
      </c>
      <c r="J62" t="s">
        <v>5</v>
      </c>
      <c r="K62">
        <v>42</v>
      </c>
      <c r="L62" s="3">
        <f t="shared" si="1"/>
        <v>0.32307692307692309</v>
      </c>
      <c r="M62" t="s">
        <v>6</v>
      </c>
      <c r="N62">
        <v>-0.131369573991476</v>
      </c>
      <c r="O62" t="s">
        <v>7</v>
      </c>
      <c r="P62">
        <v>-1.01053518454981E-3</v>
      </c>
      <c r="Q62" t="s">
        <v>8</v>
      </c>
      <c r="R62">
        <v>1.72880952380952</v>
      </c>
      <c r="S62" t="s">
        <v>9</v>
      </c>
      <c r="T62">
        <v>-0.82660647243172103</v>
      </c>
      <c r="U62" t="s">
        <v>10</v>
      </c>
      <c r="V62">
        <v>0.23516352522999701</v>
      </c>
      <c r="W62" t="s">
        <v>11</v>
      </c>
      <c r="X62" t="s">
        <v>159</v>
      </c>
      <c r="Y62" t="s">
        <v>173</v>
      </c>
    </row>
    <row r="63" spans="1:32" x14ac:dyDescent="0.3">
      <c r="A63" t="str">
        <f t="shared" si="0"/>
        <v>bbands_{'C',  [('delta', 0.4,  1)]}_[21,  49]_1</v>
      </c>
      <c r="B63" t="s">
        <v>345</v>
      </c>
      <c r="C63" t="s">
        <v>113</v>
      </c>
      <c r="D63" t="s">
        <v>1</v>
      </c>
      <c r="E63">
        <v>0.4</v>
      </c>
      <c r="F63" t="s">
        <v>27</v>
      </c>
      <c r="G63" t="s">
        <v>28</v>
      </c>
      <c r="H63" t="s">
        <v>4</v>
      </c>
      <c r="I63">
        <v>200</v>
      </c>
      <c r="J63" t="s">
        <v>5</v>
      </c>
      <c r="K63">
        <v>67</v>
      </c>
      <c r="L63" s="3">
        <f t="shared" si="1"/>
        <v>0.33500000000000002</v>
      </c>
      <c r="M63" t="s">
        <v>6</v>
      </c>
      <c r="N63">
        <v>-0.37999999999996897</v>
      </c>
      <c r="O63" t="s">
        <v>7</v>
      </c>
      <c r="P63">
        <v>-1.89999999999984E-3</v>
      </c>
      <c r="Q63" t="s">
        <v>8</v>
      </c>
      <c r="R63">
        <v>5.1592537313432798</v>
      </c>
      <c r="S63" t="s">
        <v>9</v>
      </c>
      <c r="T63">
        <v>-2.6018796992481201</v>
      </c>
      <c r="U63" t="s">
        <v>10</v>
      </c>
      <c r="V63">
        <v>0.97159057418518502</v>
      </c>
      <c r="W63" t="s">
        <v>11</v>
      </c>
      <c r="X63" t="s">
        <v>12</v>
      </c>
      <c r="Y63" t="s">
        <v>13</v>
      </c>
      <c r="Z63">
        <v>0</v>
      </c>
      <c r="AA63" t="s">
        <v>14</v>
      </c>
      <c r="AB63" t="s">
        <v>15</v>
      </c>
      <c r="AC63" t="s">
        <v>114</v>
      </c>
      <c r="AD63" t="s">
        <v>91</v>
      </c>
      <c r="AE63">
        <v>0</v>
      </c>
      <c r="AF63" t="s">
        <v>18</v>
      </c>
    </row>
    <row r="64" spans="1:32" x14ac:dyDescent="0.3">
      <c r="A64" t="str">
        <f t="shared" si="0"/>
        <v>psar_{'C',  [('delta', 0.3,  1)]}_[7,  35]_1</v>
      </c>
      <c r="B64" t="s">
        <v>402</v>
      </c>
      <c r="C64" t="s">
        <v>134</v>
      </c>
      <c r="D64" t="s">
        <v>1</v>
      </c>
      <c r="E64">
        <v>0.3</v>
      </c>
      <c r="F64" t="s">
        <v>2</v>
      </c>
      <c r="G64" t="s">
        <v>3</v>
      </c>
      <c r="H64" t="s">
        <v>4</v>
      </c>
      <c r="I64">
        <v>140</v>
      </c>
      <c r="J64" t="s">
        <v>5</v>
      </c>
      <c r="K64">
        <v>41</v>
      </c>
      <c r="L64" s="3">
        <f t="shared" si="1"/>
        <v>0.29285714285714287</v>
      </c>
      <c r="M64" t="s">
        <v>6</v>
      </c>
      <c r="N64">
        <v>-0.399999999999964</v>
      </c>
      <c r="O64" t="s">
        <v>7</v>
      </c>
      <c r="P64">
        <v>-2.8571428571426E-3</v>
      </c>
      <c r="Q64" t="s">
        <v>8</v>
      </c>
      <c r="R64">
        <v>2.3697560975609702</v>
      </c>
      <c r="S64" t="s">
        <v>9</v>
      </c>
      <c r="T64">
        <v>-0.98545454545454503</v>
      </c>
      <c r="U64" t="s">
        <v>10</v>
      </c>
      <c r="V64">
        <v>0.39191411238877299</v>
      </c>
      <c r="W64" t="s">
        <v>11</v>
      </c>
      <c r="X64" t="s">
        <v>146</v>
      </c>
      <c r="Y64" t="s">
        <v>75</v>
      </c>
      <c r="Z64">
        <v>0</v>
      </c>
      <c r="AA64" t="s">
        <v>14</v>
      </c>
      <c r="AB64" t="s">
        <v>15</v>
      </c>
      <c r="AC64" t="s">
        <v>146</v>
      </c>
      <c r="AD64" t="s">
        <v>75</v>
      </c>
      <c r="AE64">
        <v>0</v>
      </c>
      <c r="AF64" t="s">
        <v>18</v>
      </c>
    </row>
    <row r="65" spans="1:32" x14ac:dyDescent="0.3">
      <c r="A65" t="str">
        <f t="shared" si="0"/>
        <v>psar_{'C',  [('delta', 0.1,  1)]}_[7,  35]_2</v>
      </c>
      <c r="B65" t="s">
        <v>428</v>
      </c>
      <c r="C65" t="s">
        <v>134</v>
      </c>
      <c r="D65" t="s">
        <v>1</v>
      </c>
      <c r="E65">
        <v>0.1</v>
      </c>
      <c r="F65" t="s">
        <v>2</v>
      </c>
      <c r="G65" t="s">
        <v>19</v>
      </c>
      <c r="H65" t="s">
        <v>4</v>
      </c>
      <c r="I65">
        <v>140</v>
      </c>
      <c r="J65" t="s">
        <v>5</v>
      </c>
      <c r="K65">
        <v>22</v>
      </c>
      <c r="L65" s="3">
        <f t="shared" si="1"/>
        <v>0.15714285714285714</v>
      </c>
      <c r="M65" t="s">
        <v>6</v>
      </c>
      <c r="N65">
        <v>-0.42257946746096597</v>
      </c>
      <c r="O65" t="s">
        <v>7</v>
      </c>
      <c r="P65">
        <v>-3.0184247675783299E-3</v>
      </c>
      <c r="Q65" t="s">
        <v>8</v>
      </c>
      <c r="R65">
        <v>1.20818181818181</v>
      </c>
      <c r="S65" t="s">
        <v>9</v>
      </c>
      <c r="T65">
        <v>-0.228835419215771</v>
      </c>
      <c r="U65" t="s">
        <v>10</v>
      </c>
      <c r="V65">
        <v>0.12586258943968401</v>
      </c>
      <c r="W65" t="s">
        <v>11</v>
      </c>
      <c r="X65" t="s">
        <v>166</v>
      </c>
      <c r="Y65" t="s">
        <v>53</v>
      </c>
      <c r="Z65">
        <v>0</v>
      </c>
      <c r="AA65" t="s">
        <v>14</v>
      </c>
      <c r="AB65" t="s">
        <v>15</v>
      </c>
      <c r="AC65" t="s">
        <v>166</v>
      </c>
      <c r="AD65" t="s">
        <v>53</v>
      </c>
      <c r="AE65">
        <v>0</v>
      </c>
      <c r="AF65" t="s">
        <v>18</v>
      </c>
    </row>
    <row r="66" spans="1:32" x14ac:dyDescent="0.3">
      <c r="A66" t="str">
        <f t="shared" ref="A66:A129" si="2">_xlfn.TEXTJOIN(", ", FALSE, C66,D66,E66,F66,G66)</f>
        <v>psar_{'C',  [('delta', 0.4,  1)]}_[7,  35]_2</v>
      </c>
      <c r="B66" t="s">
        <v>390</v>
      </c>
      <c r="C66" t="s">
        <v>134</v>
      </c>
      <c r="D66" t="s">
        <v>1</v>
      </c>
      <c r="E66">
        <v>0.4</v>
      </c>
      <c r="F66" t="s">
        <v>2</v>
      </c>
      <c r="G66" t="s">
        <v>19</v>
      </c>
      <c r="H66" t="s">
        <v>4</v>
      </c>
      <c r="I66">
        <v>140</v>
      </c>
      <c r="J66" t="s">
        <v>5</v>
      </c>
      <c r="K66">
        <v>34</v>
      </c>
      <c r="L66" s="3">
        <f t="shared" si="1"/>
        <v>0.24285714285714285</v>
      </c>
      <c r="M66" t="s">
        <v>6</v>
      </c>
      <c r="N66">
        <v>-0.61999999999986999</v>
      </c>
      <c r="O66" t="s">
        <v>7</v>
      </c>
      <c r="P66">
        <v>-4.4285714285705003E-3</v>
      </c>
      <c r="Q66" t="s">
        <v>8</v>
      </c>
      <c r="R66">
        <v>5.11911764705882</v>
      </c>
      <c r="S66" t="s">
        <v>9</v>
      </c>
      <c r="T66">
        <v>-1.6478301886792399</v>
      </c>
      <c r="U66" t="s">
        <v>10</v>
      </c>
      <c r="V66">
        <v>0.70013391887285104</v>
      </c>
      <c r="W66" t="s">
        <v>11</v>
      </c>
      <c r="X66" t="s">
        <v>138</v>
      </c>
      <c r="Y66" t="s">
        <v>53</v>
      </c>
      <c r="Z66">
        <v>0</v>
      </c>
      <c r="AA66" t="s">
        <v>14</v>
      </c>
      <c r="AB66" t="s">
        <v>15</v>
      </c>
      <c r="AC66" t="s">
        <v>138</v>
      </c>
      <c r="AD66" t="s">
        <v>53</v>
      </c>
      <c r="AE66">
        <v>0</v>
      </c>
      <c r="AF66" t="s">
        <v>18</v>
      </c>
    </row>
    <row r="67" spans="1:32" x14ac:dyDescent="0.3">
      <c r="A67" t="str">
        <f t="shared" si="2"/>
        <v>psar_no_highvol_{'C',  [('delta', 0.3,  1)]}_[35,  70]_2</v>
      </c>
      <c r="B67" t="s">
        <v>462</v>
      </c>
      <c r="C67" t="s">
        <v>175</v>
      </c>
      <c r="D67" t="s">
        <v>1</v>
      </c>
      <c r="E67">
        <v>0.3</v>
      </c>
      <c r="F67" t="s">
        <v>37</v>
      </c>
      <c r="G67" t="s">
        <v>40</v>
      </c>
      <c r="H67" t="s">
        <v>4</v>
      </c>
      <c r="I67">
        <v>130</v>
      </c>
      <c r="J67" t="s">
        <v>5</v>
      </c>
      <c r="K67">
        <v>28</v>
      </c>
      <c r="L67" s="3">
        <f t="shared" ref="L67:L130" si="3">K67/I67</f>
        <v>0.2153846153846154</v>
      </c>
      <c r="M67" t="s">
        <v>6</v>
      </c>
      <c r="N67">
        <v>-1.0159345632215999</v>
      </c>
      <c r="O67" t="s">
        <v>7</v>
      </c>
      <c r="P67">
        <v>-7.8148812555508193E-3</v>
      </c>
      <c r="Q67" t="s">
        <v>8</v>
      </c>
      <c r="R67">
        <v>5.2960714285714197</v>
      </c>
      <c r="S67" t="s">
        <v>9</v>
      </c>
      <c r="T67">
        <v>-1.4637836721884401</v>
      </c>
      <c r="U67" t="s">
        <v>10</v>
      </c>
      <c r="V67">
        <v>0.47784067914123401</v>
      </c>
      <c r="W67" t="s">
        <v>11</v>
      </c>
      <c r="X67" t="s">
        <v>204</v>
      </c>
      <c r="Y67" t="s">
        <v>192</v>
      </c>
      <c r="Z67">
        <v>0</v>
      </c>
      <c r="AA67" t="s">
        <v>14</v>
      </c>
      <c r="AB67" t="s">
        <v>15</v>
      </c>
      <c r="AC67" t="s">
        <v>205</v>
      </c>
      <c r="AD67" t="s">
        <v>206</v>
      </c>
      <c r="AE67">
        <v>0</v>
      </c>
      <c r="AF67" t="s">
        <v>18</v>
      </c>
    </row>
    <row r="68" spans="1:32" x14ac:dyDescent="0.3">
      <c r="A68" t="str">
        <f t="shared" si="2"/>
        <v>psar_no_highvol_{'C',  [('delta', 0.1,  1)]}_[21,  49]_1</v>
      </c>
      <c r="B68" t="s">
        <v>482</v>
      </c>
      <c r="C68" t="s">
        <v>175</v>
      </c>
      <c r="D68" t="s">
        <v>1</v>
      </c>
      <c r="E68">
        <v>0.1</v>
      </c>
      <c r="F68" t="s">
        <v>27</v>
      </c>
      <c r="G68" t="s">
        <v>28</v>
      </c>
      <c r="H68" t="s">
        <v>4</v>
      </c>
      <c r="I68">
        <v>98</v>
      </c>
      <c r="J68" t="s">
        <v>5</v>
      </c>
      <c r="K68">
        <v>26</v>
      </c>
      <c r="L68" s="3">
        <f t="shared" si="3"/>
        <v>0.26530612244897961</v>
      </c>
      <c r="M68" t="s">
        <v>6</v>
      </c>
      <c r="N68">
        <v>-1.0399629368721199</v>
      </c>
      <c r="O68" t="s">
        <v>7</v>
      </c>
      <c r="P68">
        <v>-1.06118667027768E-2</v>
      </c>
      <c r="Q68" t="s">
        <v>8</v>
      </c>
      <c r="R68">
        <v>0.74846153846153896</v>
      </c>
      <c r="S68" t="s">
        <v>9</v>
      </c>
      <c r="T68">
        <v>-0.284721707456557</v>
      </c>
      <c r="U68" t="s">
        <v>10</v>
      </c>
      <c r="V68">
        <v>7.9412098546990106E-2</v>
      </c>
      <c r="W68" t="s">
        <v>11</v>
      </c>
      <c r="X68" t="s">
        <v>164</v>
      </c>
      <c r="Y68" t="s">
        <v>165</v>
      </c>
      <c r="Z68">
        <v>0</v>
      </c>
      <c r="AA68" t="s">
        <v>14</v>
      </c>
      <c r="AB68" t="s">
        <v>15</v>
      </c>
      <c r="AC68" t="s">
        <v>164</v>
      </c>
      <c r="AD68" t="s">
        <v>165</v>
      </c>
      <c r="AE68">
        <v>0</v>
      </c>
      <c r="AF68" t="s">
        <v>18</v>
      </c>
    </row>
    <row r="69" spans="1:32" x14ac:dyDescent="0.3">
      <c r="A69" t="str">
        <f t="shared" si="2"/>
        <v>bbands_{'C',  [('delta', 0.3,  1)]}_[7,  35]_1</v>
      </c>
      <c r="B69" t="s">
        <v>353</v>
      </c>
      <c r="C69" t="s">
        <v>113</v>
      </c>
      <c r="D69" t="s">
        <v>1</v>
      </c>
      <c r="E69">
        <v>0.3</v>
      </c>
      <c r="F69" t="s">
        <v>2</v>
      </c>
      <c r="G69" t="s">
        <v>3</v>
      </c>
      <c r="H69" t="s">
        <v>4</v>
      </c>
      <c r="I69">
        <v>191</v>
      </c>
      <c r="J69" t="s">
        <v>5</v>
      </c>
      <c r="K69">
        <v>58</v>
      </c>
      <c r="L69" s="3">
        <f t="shared" si="3"/>
        <v>0.30366492146596857</v>
      </c>
      <c r="M69" t="s">
        <v>6</v>
      </c>
      <c r="N69">
        <v>-1.19999999999999</v>
      </c>
      <c r="O69" t="s">
        <v>7</v>
      </c>
      <c r="P69">
        <v>-6.2827225130889499E-3</v>
      </c>
      <c r="Q69" t="s">
        <v>8</v>
      </c>
      <c r="R69">
        <v>3.28051724137931</v>
      </c>
      <c r="S69" t="s">
        <v>9</v>
      </c>
      <c r="T69">
        <v>-1.43962406015037</v>
      </c>
      <c r="U69" t="s">
        <v>10</v>
      </c>
      <c r="V69">
        <v>0.59020384497636902</v>
      </c>
      <c r="W69" t="s">
        <v>11</v>
      </c>
      <c r="X69" t="s">
        <v>47</v>
      </c>
      <c r="Y69" t="s">
        <v>13</v>
      </c>
      <c r="Z69">
        <v>0</v>
      </c>
      <c r="AA69" t="s">
        <v>14</v>
      </c>
      <c r="AB69" t="s">
        <v>15</v>
      </c>
      <c r="AC69" t="s">
        <v>120</v>
      </c>
      <c r="AD69" t="s">
        <v>91</v>
      </c>
      <c r="AE69">
        <v>0</v>
      </c>
      <c r="AF69" t="s">
        <v>18</v>
      </c>
    </row>
    <row r="70" spans="1:32" x14ac:dyDescent="0.3">
      <c r="A70" t="str">
        <f t="shared" si="2"/>
        <v>psar_no_highvol_{'C',  [('delta', 0.2,  1)]}_[7,  35]_4</v>
      </c>
      <c r="B70" t="s">
        <v>468</v>
      </c>
      <c r="C70" t="s">
        <v>175</v>
      </c>
      <c r="D70" t="s">
        <v>1</v>
      </c>
      <c r="E70">
        <v>0.2</v>
      </c>
      <c r="F70" t="s">
        <v>2</v>
      </c>
      <c r="G70" t="s">
        <v>26</v>
      </c>
      <c r="H70" t="s">
        <v>4</v>
      </c>
      <c r="I70">
        <v>102</v>
      </c>
      <c r="J70" t="s">
        <v>5</v>
      </c>
      <c r="K70">
        <v>12</v>
      </c>
      <c r="L70" s="3">
        <f t="shared" si="3"/>
        <v>0.11764705882352941</v>
      </c>
      <c r="M70" t="s">
        <v>6</v>
      </c>
      <c r="N70">
        <v>-1.2699999999999401</v>
      </c>
      <c r="O70" t="s">
        <v>7</v>
      </c>
      <c r="P70">
        <v>-1.2450980392156299E-2</v>
      </c>
      <c r="Q70" t="s">
        <v>8</v>
      </c>
      <c r="R70">
        <v>4.0999999999999996</v>
      </c>
      <c r="S70" t="s">
        <v>9</v>
      </c>
      <c r="T70">
        <v>-0.56077777777777704</v>
      </c>
      <c r="U70" t="s">
        <v>10</v>
      </c>
      <c r="V70">
        <v>0.23679789745230501</v>
      </c>
      <c r="W70" t="s">
        <v>11</v>
      </c>
      <c r="X70" t="s">
        <v>210</v>
      </c>
      <c r="Y70" t="s">
        <v>160</v>
      </c>
      <c r="Z70">
        <v>0</v>
      </c>
      <c r="AA70" t="s">
        <v>14</v>
      </c>
      <c r="AB70" t="s">
        <v>15</v>
      </c>
      <c r="AC70" t="s">
        <v>210</v>
      </c>
      <c r="AD70" t="s">
        <v>160</v>
      </c>
      <c r="AE70">
        <v>0</v>
      </c>
      <c r="AF70" t="s">
        <v>18</v>
      </c>
    </row>
    <row r="71" spans="1:32" x14ac:dyDescent="0.3">
      <c r="A71" t="str">
        <f t="shared" si="2"/>
        <v>psar_{'C',  [('delta', 0.3,  1)]}_[21,  49]_2</v>
      </c>
      <c r="B71" t="s">
        <v>407</v>
      </c>
      <c r="C71" t="s">
        <v>134</v>
      </c>
      <c r="D71" t="s">
        <v>1</v>
      </c>
      <c r="E71">
        <v>0.3</v>
      </c>
      <c r="F71" t="s">
        <v>27</v>
      </c>
      <c r="G71" t="s">
        <v>30</v>
      </c>
      <c r="H71" t="s">
        <v>4</v>
      </c>
      <c r="I71">
        <v>136</v>
      </c>
      <c r="J71" t="s">
        <v>5</v>
      </c>
      <c r="K71">
        <v>30</v>
      </c>
      <c r="L71" s="3">
        <f t="shared" si="3"/>
        <v>0.22058823529411764</v>
      </c>
      <c r="M71" t="s">
        <v>6</v>
      </c>
      <c r="N71">
        <v>-1.47999999999995</v>
      </c>
      <c r="O71" t="s">
        <v>7</v>
      </c>
      <c r="P71">
        <v>-1.08823529411761E-2</v>
      </c>
      <c r="Q71" t="s">
        <v>8</v>
      </c>
      <c r="R71">
        <v>4.7303333333333297</v>
      </c>
      <c r="S71" t="s">
        <v>9</v>
      </c>
      <c r="T71">
        <v>-1.3527358490565999</v>
      </c>
      <c r="U71" t="s">
        <v>10</v>
      </c>
      <c r="V71">
        <v>0.54446016549867304</v>
      </c>
      <c r="W71" t="s">
        <v>11</v>
      </c>
      <c r="X71" t="s">
        <v>148</v>
      </c>
      <c r="Y71" t="s">
        <v>21</v>
      </c>
      <c r="Z71">
        <v>0</v>
      </c>
      <c r="AA71" t="s">
        <v>14</v>
      </c>
      <c r="AB71" t="s">
        <v>15</v>
      </c>
      <c r="AC71" t="s">
        <v>148</v>
      </c>
      <c r="AD71" t="s">
        <v>21</v>
      </c>
      <c r="AE71">
        <v>0</v>
      </c>
      <c r="AF71" t="s">
        <v>18</v>
      </c>
    </row>
    <row r="72" spans="1:32" x14ac:dyDescent="0.3">
      <c r="A72" t="str">
        <f t="shared" si="2"/>
        <v>psar_{'C',  [('delta', 0.1,  1)]}_[35,  70]_4</v>
      </c>
      <c r="B72" t="s">
        <v>439</v>
      </c>
      <c r="C72" t="s">
        <v>134</v>
      </c>
      <c r="D72" t="s">
        <v>1</v>
      </c>
      <c r="E72">
        <v>0.1</v>
      </c>
      <c r="F72" t="s">
        <v>37</v>
      </c>
      <c r="G72" t="s">
        <v>44</v>
      </c>
      <c r="H72" t="s">
        <v>4</v>
      </c>
      <c r="I72">
        <v>177</v>
      </c>
      <c r="J72" t="s">
        <v>5</v>
      </c>
      <c r="K72">
        <v>20</v>
      </c>
      <c r="L72" s="3">
        <f t="shared" si="3"/>
        <v>0.11299435028248588</v>
      </c>
      <c r="M72" t="s">
        <v>6</v>
      </c>
      <c r="N72">
        <v>-1.59384385375295</v>
      </c>
      <c r="O72" t="s">
        <v>7</v>
      </c>
      <c r="P72">
        <v>-9.0047675353274303E-3</v>
      </c>
      <c r="Q72" t="s">
        <v>8</v>
      </c>
      <c r="R72">
        <v>3.0879838151345398</v>
      </c>
      <c r="S72" t="s">
        <v>9</v>
      </c>
      <c r="T72">
        <v>-0.403525606091998</v>
      </c>
      <c r="U72" t="s">
        <v>10</v>
      </c>
      <c r="V72">
        <v>0.27662385524571098</v>
      </c>
      <c r="W72" t="s">
        <v>11</v>
      </c>
      <c r="X72" t="s">
        <v>170</v>
      </c>
      <c r="Y72" t="s">
        <v>158</v>
      </c>
      <c r="Z72">
        <v>0</v>
      </c>
      <c r="AA72" t="s">
        <v>14</v>
      </c>
      <c r="AB72" t="s">
        <v>15</v>
      </c>
      <c r="AC72" t="s">
        <v>170</v>
      </c>
      <c r="AD72" t="s">
        <v>158</v>
      </c>
      <c r="AE72">
        <v>0</v>
      </c>
      <c r="AF72" t="s">
        <v>18</v>
      </c>
    </row>
    <row r="73" spans="1:32" x14ac:dyDescent="0.3">
      <c r="A73" t="str">
        <f t="shared" si="2"/>
        <v>psar_no_highvol_{'C',  [('delta', 0.2,  1)]}_[21,  49]_3</v>
      </c>
      <c r="B73" t="s">
        <v>471</v>
      </c>
      <c r="C73" t="s">
        <v>175</v>
      </c>
      <c r="D73" t="s">
        <v>1</v>
      </c>
      <c r="E73">
        <v>0.2</v>
      </c>
      <c r="F73" t="s">
        <v>27</v>
      </c>
      <c r="G73" t="s">
        <v>33</v>
      </c>
      <c r="H73" t="s">
        <v>4</v>
      </c>
      <c r="I73">
        <v>98</v>
      </c>
      <c r="J73" t="s">
        <v>5</v>
      </c>
      <c r="K73">
        <v>14</v>
      </c>
      <c r="L73" s="3">
        <f t="shared" si="3"/>
        <v>0.14285714285714285</v>
      </c>
      <c r="M73" t="s">
        <v>6</v>
      </c>
      <c r="N73">
        <v>-1.8499999999999499</v>
      </c>
      <c r="O73" t="s">
        <v>7</v>
      </c>
      <c r="P73">
        <v>-1.8877551020407699E-2</v>
      </c>
      <c r="Q73" t="s">
        <v>8</v>
      </c>
      <c r="R73">
        <v>4.0342857142857103</v>
      </c>
      <c r="S73" t="s">
        <v>9</v>
      </c>
      <c r="T73">
        <v>-0.69440476190476197</v>
      </c>
      <c r="U73" t="s">
        <v>10</v>
      </c>
      <c r="V73">
        <v>0.251592827145592</v>
      </c>
      <c r="W73" t="s">
        <v>11</v>
      </c>
      <c r="X73" t="s">
        <v>211</v>
      </c>
      <c r="Y73" t="s">
        <v>212</v>
      </c>
      <c r="Z73">
        <v>0</v>
      </c>
      <c r="AA73" t="s">
        <v>14</v>
      </c>
      <c r="AB73" t="s">
        <v>15</v>
      </c>
      <c r="AC73" t="s">
        <v>211</v>
      </c>
      <c r="AD73" t="s">
        <v>212</v>
      </c>
      <c r="AE73">
        <v>0</v>
      </c>
      <c r="AF73" t="s">
        <v>18</v>
      </c>
    </row>
    <row r="74" spans="1:32" x14ac:dyDescent="0.3">
      <c r="A74" t="str">
        <f t="shared" si="2"/>
        <v>psar_no_highvol_{'C',  [('delta', 0.1,  1)]}_[35,  70]_1</v>
      </c>
      <c r="B74" t="s">
        <v>486</v>
      </c>
      <c r="C74" t="s">
        <v>175</v>
      </c>
      <c r="D74" t="s">
        <v>1</v>
      </c>
      <c r="E74">
        <v>0.1</v>
      </c>
      <c r="F74" t="s">
        <v>37</v>
      </c>
      <c r="G74" t="s">
        <v>38</v>
      </c>
      <c r="H74" t="s">
        <v>4</v>
      </c>
      <c r="I74">
        <v>130</v>
      </c>
      <c r="J74" t="s">
        <v>5</v>
      </c>
      <c r="K74">
        <v>39</v>
      </c>
      <c r="L74" s="3">
        <f t="shared" si="3"/>
        <v>0.3</v>
      </c>
      <c r="M74" t="s">
        <v>6</v>
      </c>
      <c r="N74">
        <v>-2.19736752736556</v>
      </c>
      <c r="O74" t="s">
        <v>7</v>
      </c>
      <c r="P74">
        <v>-1.69028271335812E-2</v>
      </c>
      <c r="Q74" t="s">
        <v>8</v>
      </c>
      <c r="R74">
        <v>0.78505087525805495</v>
      </c>
      <c r="S74" t="s">
        <v>9</v>
      </c>
      <c r="T74">
        <v>-0.36059727101571099</v>
      </c>
      <c r="U74" t="s">
        <v>10</v>
      </c>
      <c r="V74">
        <v>0.10920185876730799</v>
      </c>
      <c r="W74" t="s">
        <v>11</v>
      </c>
      <c r="X74" t="s">
        <v>217</v>
      </c>
      <c r="Y74" t="s">
        <v>218</v>
      </c>
    </row>
    <row r="75" spans="1:32" x14ac:dyDescent="0.3">
      <c r="A75" t="str">
        <f t="shared" si="2"/>
        <v>psar_{'C',  [('delta', 0.2,  1)]}_[21,  49]_1</v>
      </c>
      <c r="B75" t="s">
        <v>419</v>
      </c>
      <c r="C75" t="s">
        <v>134</v>
      </c>
      <c r="D75" t="s">
        <v>1</v>
      </c>
      <c r="E75">
        <v>0.2</v>
      </c>
      <c r="F75" t="s">
        <v>27</v>
      </c>
      <c r="G75" t="s">
        <v>28</v>
      </c>
      <c r="H75" t="s">
        <v>4</v>
      </c>
      <c r="I75">
        <v>136</v>
      </c>
      <c r="J75" t="s">
        <v>5</v>
      </c>
      <c r="K75">
        <v>41</v>
      </c>
      <c r="L75" s="3">
        <f t="shared" si="3"/>
        <v>0.3014705882352941</v>
      </c>
      <c r="M75" t="s">
        <v>6</v>
      </c>
      <c r="N75">
        <v>-2.6785700317117298</v>
      </c>
      <c r="O75" t="s">
        <v>7</v>
      </c>
      <c r="P75">
        <v>-1.9695367880233301E-2</v>
      </c>
      <c r="Q75" t="s">
        <v>8</v>
      </c>
      <c r="R75">
        <v>1.6824390243902401</v>
      </c>
      <c r="S75" t="s">
        <v>9</v>
      </c>
      <c r="T75">
        <v>-0.75430073717591295</v>
      </c>
      <c r="U75" t="s">
        <v>10</v>
      </c>
      <c r="V75">
        <v>0.25239958834549298</v>
      </c>
      <c r="W75" t="s">
        <v>11</v>
      </c>
      <c r="X75" t="s">
        <v>159</v>
      </c>
      <c r="Y75" t="s">
        <v>160</v>
      </c>
      <c r="Z75">
        <v>0</v>
      </c>
      <c r="AA75" t="s">
        <v>14</v>
      </c>
      <c r="AB75" t="s">
        <v>15</v>
      </c>
      <c r="AC75" t="s">
        <v>159</v>
      </c>
      <c r="AD75" t="s">
        <v>160</v>
      </c>
      <c r="AE75">
        <v>0</v>
      </c>
      <c r="AF75" t="s">
        <v>18</v>
      </c>
    </row>
    <row r="76" spans="1:32" x14ac:dyDescent="0.3">
      <c r="A76" t="str">
        <f t="shared" si="2"/>
        <v>psar_no_highvol_{'C',  [('delta', 0.3,  1)]}_[35,  70]_4</v>
      </c>
      <c r="B76" t="s">
        <v>464</v>
      </c>
      <c r="C76" t="s">
        <v>175</v>
      </c>
      <c r="D76" t="s">
        <v>1</v>
      </c>
      <c r="E76">
        <v>0.3</v>
      </c>
      <c r="F76" t="s">
        <v>37</v>
      </c>
      <c r="G76" t="s">
        <v>44</v>
      </c>
      <c r="H76" t="s">
        <v>4</v>
      </c>
      <c r="I76">
        <v>130</v>
      </c>
      <c r="J76" t="s">
        <v>5</v>
      </c>
      <c r="K76">
        <v>19</v>
      </c>
      <c r="L76" s="3">
        <f t="shared" si="3"/>
        <v>0.14615384615384616</v>
      </c>
      <c r="M76" t="s">
        <v>6</v>
      </c>
      <c r="N76">
        <v>-2.8459345632216202</v>
      </c>
      <c r="O76" t="s">
        <v>7</v>
      </c>
      <c r="P76">
        <v>-2.1891804332474001E-2</v>
      </c>
      <c r="Q76" t="s">
        <v>8</v>
      </c>
      <c r="R76">
        <v>8.3952631578947301</v>
      </c>
      <c r="S76" t="s">
        <v>9</v>
      </c>
      <c r="T76">
        <v>-1.4626660771461399</v>
      </c>
      <c r="U76" t="s">
        <v>10</v>
      </c>
      <c r="V76">
        <v>0.58036509359885202</v>
      </c>
      <c r="W76" t="s">
        <v>11</v>
      </c>
      <c r="X76" t="s">
        <v>151</v>
      </c>
      <c r="Y76" t="s">
        <v>152</v>
      </c>
    </row>
    <row r="77" spans="1:32" x14ac:dyDescent="0.3">
      <c r="A77" t="str">
        <f t="shared" si="2"/>
        <v>psar_no_highvol_{'C',  [('delta', 0.1,  1)]}_[21,  49]_2</v>
      </c>
      <c r="B77" t="s">
        <v>483</v>
      </c>
      <c r="C77" t="s">
        <v>175</v>
      </c>
      <c r="D77" t="s">
        <v>1</v>
      </c>
      <c r="E77">
        <v>0.1</v>
      </c>
      <c r="F77" t="s">
        <v>27</v>
      </c>
      <c r="G77" t="s">
        <v>30</v>
      </c>
      <c r="H77" t="s">
        <v>4</v>
      </c>
      <c r="I77">
        <v>98</v>
      </c>
      <c r="J77" t="s">
        <v>5</v>
      </c>
      <c r="K77">
        <v>15</v>
      </c>
      <c r="L77" s="3">
        <f t="shared" si="3"/>
        <v>0.15306122448979592</v>
      </c>
      <c r="M77" t="s">
        <v>6</v>
      </c>
      <c r="N77">
        <v>-3.1799629368721201</v>
      </c>
      <c r="O77" t="s">
        <v>7</v>
      </c>
      <c r="P77">
        <v>-3.24486013966543E-2</v>
      </c>
      <c r="Q77" t="s">
        <v>8</v>
      </c>
      <c r="R77">
        <v>1.3906666666666601</v>
      </c>
      <c r="S77" t="s">
        <v>9</v>
      </c>
      <c r="T77">
        <v>-0.28963810767315801</v>
      </c>
      <c r="U77" t="s">
        <v>10</v>
      </c>
      <c r="V77">
        <v>0.100038535316249</v>
      </c>
      <c r="W77" t="s">
        <v>11</v>
      </c>
      <c r="X77" t="s">
        <v>169</v>
      </c>
      <c r="Y77" t="s">
        <v>160</v>
      </c>
      <c r="Z77">
        <v>0</v>
      </c>
      <c r="AA77" t="s">
        <v>14</v>
      </c>
      <c r="AB77" t="s">
        <v>15</v>
      </c>
      <c r="AC77" t="s">
        <v>169</v>
      </c>
      <c r="AD77" t="s">
        <v>160</v>
      </c>
      <c r="AE77">
        <v>0</v>
      </c>
      <c r="AF77" t="s">
        <v>18</v>
      </c>
    </row>
    <row r="78" spans="1:32" x14ac:dyDescent="0.3">
      <c r="A78" t="str">
        <f t="shared" si="2"/>
        <v>rsi_{'C',  [('delta', 0.1,  1)]}_[7,  35]_1</v>
      </c>
      <c r="B78" t="s">
        <v>527</v>
      </c>
      <c r="C78" t="s">
        <v>221</v>
      </c>
      <c r="D78" t="s">
        <v>1</v>
      </c>
      <c r="E78">
        <v>0.1</v>
      </c>
      <c r="F78" t="s">
        <v>2</v>
      </c>
      <c r="G78" t="s">
        <v>3</v>
      </c>
      <c r="H78" t="s">
        <v>4</v>
      </c>
      <c r="I78">
        <v>35</v>
      </c>
      <c r="J78" t="s">
        <v>5</v>
      </c>
      <c r="K78">
        <v>6</v>
      </c>
      <c r="L78" s="3">
        <f t="shared" si="3"/>
        <v>0.17142857142857143</v>
      </c>
      <c r="M78" t="s">
        <v>6</v>
      </c>
      <c r="N78">
        <v>-3.22</v>
      </c>
      <c r="O78" t="s">
        <v>7</v>
      </c>
      <c r="P78">
        <v>-9.1999999999999998E-2</v>
      </c>
      <c r="Q78" t="s">
        <v>8</v>
      </c>
      <c r="R78">
        <v>0.59333333333333305</v>
      </c>
      <c r="S78" t="s">
        <v>9</v>
      </c>
      <c r="T78">
        <v>-0.233793103448275</v>
      </c>
      <c r="U78" t="s">
        <v>10</v>
      </c>
      <c r="V78">
        <v>3.0902936111023301E-2</v>
      </c>
      <c r="W78" t="s">
        <v>11</v>
      </c>
      <c r="X78" t="s">
        <v>252</v>
      </c>
      <c r="Y78" t="s">
        <v>223</v>
      </c>
      <c r="Z78">
        <v>0</v>
      </c>
      <c r="AA78" t="s">
        <v>14</v>
      </c>
      <c r="AB78" t="s">
        <v>15</v>
      </c>
      <c r="AC78" t="s">
        <v>253</v>
      </c>
      <c r="AD78" t="s">
        <v>254</v>
      </c>
      <c r="AE78">
        <v>0</v>
      </c>
      <c r="AF78" t="s">
        <v>18</v>
      </c>
    </row>
    <row r="79" spans="1:32" x14ac:dyDescent="0.3">
      <c r="A79" t="str">
        <f t="shared" si="2"/>
        <v>stoch_{'C',  [('delta', 0.2,  1)]}_[35,  70]_1</v>
      </c>
      <c r="B79" t="s">
        <v>571</v>
      </c>
      <c r="C79" t="s">
        <v>262</v>
      </c>
      <c r="D79" t="s">
        <v>1</v>
      </c>
      <c r="E79">
        <v>0.2</v>
      </c>
      <c r="F79" t="s">
        <v>37</v>
      </c>
      <c r="G79" t="s">
        <v>38</v>
      </c>
      <c r="H79" t="s">
        <v>4</v>
      </c>
      <c r="I79">
        <v>291</v>
      </c>
      <c r="J79" t="s">
        <v>5</v>
      </c>
      <c r="K79">
        <v>89</v>
      </c>
      <c r="L79" s="3">
        <f t="shared" si="3"/>
        <v>0.30584192439862545</v>
      </c>
      <c r="M79" t="s">
        <v>6</v>
      </c>
      <c r="N79">
        <v>-3.27044511727967</v>
      </c>
      <c r="O79" t="s">
        <v>7</v>
      </c>
      <c r="P79">
        <v>-1.1238643014706701E-2</v>
      </c>
      <c r="Q79" t="s">
        <v>8</v>
      </c>
      <c r="R79">
        <v>2.3332261226770301</v>
      </c>
      <c r="S79" t="s">
        <v>9</v>
      </c>
      <c r="T79">
        <v>-1.04419589126502</v>
      </c>
      <c r="U79" t="s">
        <v>10</v>
      </c>
      <c r="V79">
        <v>0.580326426206349</v>
      </c>
      <c r="W79" t="s">
        <v>11</v>
      </c>
      <c r="X79" t="s">
        <v>124</v>
      </c>
      <c r="Y79" t="s">
        <v>91</v>
      </c>
      <c r="Z79">
        <v>0</v>
      </c>
      <c r="AA79" t="s">
        <v>14</v>
      </c>
      <c r="AB79" t="s">
        <v>15</v>
      </c>
      <c r="AC79" t="s">
        <v>280</v>
      </c>
      <c r="AD79" t="s">
        <v>91</v>
      </c>
      <c r="AE79">
        <v>0</v>
      </c>
      <c r="AF79" t="s">
        <v>18</v>
      </c>
    </row>
    <row r="80" spans="1:32" x14ac:dyDescent="0.3">
      <c r="A80" t="str">
        <f t="shared" si="2"/>
        <v>psar_{'C',  [('delta', 0.4,  1)]}_[35,  70]_4</v>
      </c>
      <c r="B80" t="s">
        <v>401</v>
      </c>
      <c r="C80" t="s">
        <v>134</v>
      </c>
      <c r="D80" t="s">
        <v>1</v>
      </c>
      <c r="E80">
        <v>0.4</v>
      </c>
      <c r="F80" t="s">
        <v>37</v>
      </c>
      <c r="G80" t="s">
        <v>44</v>
      </c>
      <c r="H80" t="s">
        <v>4</v>
      </c>
      <c r="I80">
        <v>177</v>
      </c>
      <c r="J80" t="s">
        <v>5</v>
      </c>
      <c r="K80">
        <v>36</v>
      </c>
      <c r="L80" s="3">
        <f t="shared" si="3"/>
        <v>0.20338983050847459</v>
      </c>
      <c r="M80" t="s">
        <v>6</v>
      </c>
      <c r="N80">
        <v>-3.4735552608509099</v>
      </c>
      <c r="O80" t="s">
        <v>7</v>
      </c>
      <c r="P80">
        <v>-1.9624605993508001E-2</v>
      </c>
      <c r="Q80" t="s">
        <v>8</v>
      </c>
      <c r="R80">
        <v>9.7547222222222203</v>
      </c>
      <c r="S80" t="s">
        <v>9</v>
      </c>
      <c r="T80">
        <v>-2.5152025195804999</v>
      </c>
      <c r="U80" t="s">
        <v>10</v>
      </c>
      <c r="V80">
        <v>1.28715474362154</v>
      </c>
      <c r="W80" t="s">
        <v>11</v>
      </c>
      <c r="X80" t="s">
        <v>141</v>
      </c>
      <c r="Y80" t="s">
        <v>145</v>
      </c>
    </row>
    <row r="81" spans="1:32" x14ac:dyDescent="0.3">
      <c r="A81" t="str">
        <f t="shared" si="2"/>
        <v>psar_no_highvol_{'C',  [('delta', 0.1,  1)]}_[7,  35]_4</v>
      </c>
      <c r="B81" t="s">
        <v>481</v>
      </c>
      <c r="C81" t="s">
        <v>175</v>
      </c>
      <c r="D81" t="s">
        <v>1</v>
      </c>
      <c r="E81">
        <v>0.1</v>
      </c>
      <c r="F81" t="s">
        <v>2</v>
      </c>
      <c r="G81" t="s">
        <v>26</v>
      </c>
      <c r="H81" t="s">
        <v>4</v>
      </c>
      <c r="I81">
        <v>102</v>
      </c>
      <c r="J81" t="s">
        <v>5</v>
      </c>
      <c r="K81">
        <v>8</v>
      </c>
      <c r="L81" s="3">
        <f t="shared" si="3"/>
        <v>7.8431372549019607E-2</v>
      </c>
      <c r="M81" t="s">
        <v>6</v>
      </c>
      <c r="N81">
        <v>-3.5891296329157201</v>
      </c>
      <c r="O81" t="s">
        <v>7</v>
      </c>
      <c r="P81">
        <v>-3.51875454207424E-2</v>
      </c>
      <c r="Q81" t="s">
        <v>8</v>
      </c>
      <c r="R81">
        <v>2.1187499999999999</v>
      </c>
      <c r="S81" t="s">
        <v>9</v>
      </c>
      <c r="T81">
        <v>-0.21850137907357101</v>
      </c>
      <c r="U81" t="s">
        <v>10</v>
      </c>
      <c r="V81">
        <v>0.109175820784413</v>
      </c>
      <c r="W81" t="s">
        <v>11</v>
      </c>
      <c r="X81" t="s">
        <v>168</v>
      </c>
      <c r="Y81" t="s">
        <v>160</v>
      </c>
      <c r="Z81">
        <v>0</v>
      </c>
      <c r="AA81" t="s">
        <v>14</v>
      </c>
      <c r="AB81" t="s">
        <v>15</v>
      </c>
      <c r="AC81" t="s">
        <v>168</v>
      </c>
      <c r="AD81" t="s">
        <v>160</v>
      </c>
      <c r="AE81">
        <v>0</v>
      </c>
      <c r="AF81" t="s">
        <v>18</v>
      </c>
    </row>
    <row r="82" spans="1:32" x14ac:dyDescent="0.3">
      <c r="A82" t="str">
        <f t="shared" si="2"/>
        <v>psar_{'C',  [('delta', 0.1,  1)]}_[35,  70]_3</v>
      </c>
      <c r="B82" t="s">
        <v>438</v>
      </c>
      <c r="C82" t="s">
        <v>134</v>
      </c>
      <c r="D82" t="s">
        <v>1</v>
      </c>
      <c r="E82">
        <v>0.1</v>
      </c>
      <c r="F82" t="s">
        <v>37</v>
      </c>
      <c r="G82" t="s">
        <v>42</v>
      </c>
      <c r="H82" t="s">
        <v>4</v>
      </c>
      <c r="I82">
        <v>177</v>
      </c>
      <c r="J82" t="s">
        <v>5</v>
      </c>
      <c r="K82">
        <v>26</v>
      </c>
      <c r="L82" s="3">
        <f t="shared" si="3"/>
        <v>0.14689265536723164</v>
      </c>
      <c r="M82" t="s">
        <v>6</v>
      </c>
      <c r="N82">
        <v>-3.6338438537529401</v>
      </c>
      <c r="O82" t="s">
        <v>7</v>
      </c>
      <c r="P82">
        <v>-2.05301912641409E-2</v>
      </c>
      <c r="Q82" t="s">
        <v>8</v>
      </c>
      <c r="R82">
        <v>2.2134498249138099</v>
      </c>
      <c r="S82" t="s">
        <v>9</v>
      </c>
      <c r="T82">
        <v>-0.40518900199676899</v>
      </c>
      <c r="U82" t="s">
        <v>10</v>
      </c>
      <c r="V82">
        <v>0.242343596803415</v>
      </c>
      <c r="W82" t="s">
        <v>11</v>
      </c>
      <c r="X82" t="s">
        <v>170</v>
      </c>
      <c r="Y82" t="s">
        <v>158</v>
      </c>
      <c r="Z82">
        <v>0</v>
      </c>
      <c r="AA82" t="s">
        <v>14</v>
      </c>
      <c r="AB82" t="s">
        <v>15</v>
      </c>
      <c r="AC82" t="s">
        <v>170</v>
      </c>
      <c r="AD82" t="s">
        <v>158</v>
      </c>
      <c r="AE82">
        <v>0</v>
      </c>
      <c r="AF82" t="s">
        <v>18</v>
      </c>
    </row>
    <row r="83" spans="1:32" x14ac:dyDescent="0.3">
      <c r="A83" t="str">
        <f t="shared" si="2"/>
        <v>psar_no_highvol_{'C',  [('delta', 0.1,  1)]}_[7,  35]_3</v>
      </c>
      <c r="B83" t="s">
        <v>480</v>
      </c>
      <c r="C83" t="s">
        <v>175</v>
      </c>
      <c r="D83" t="s">
        <v>1</v>
      </c>
      <c r="E83">
        <v>0.1</v>
      </c>
      <c r="F83" t="s">
        <v>2</v>
      </c>
      <c r="G83" t="s">
        <v>23</v>
      </c>
      <c r="H83" t="s">
        <v>4</v>
      </c>
      <c r="I83">
        <v>102</v>
      </c>
      <c r="J83" t="s">
        <v>5</v>
      </c>
      <c r="K83">
        <v>9</v>
      </c>
      <c r="L83" s="3">
        <f t="shared" si="3"/>
        <v>8.8235294117647065E-2</v>
      </c>
      <c r="M83" t="s">
        <v>6</v>
      </c>
      <c r="N83">
        <v>-3.6891296329157299</v>
      </c>
      <c r="O83" t="s">
        <v>7</v>
      </c>
      <c r="P83">
        <v>-3.6167937577605197E-2</v>
      </c>
      <c r="Q83" t="s">
        <v>8</v>
      </c>
      <c r="R83">
        <v>1.82111111111111</v>
      </c>
      <c r="S83" t="s">
        <v>9</v>
      </c>
      <c r="T83">
        <v>-0.21590461970877101</v>
      </c>
      <c r="U83" t="s">
        <v>10</v>
      </c>
      <c r="V83">
        <v>0.102390879028378</v>
      </c>
      <c r="W83" t="s">
        <v>11</v>
      </c>
      <c r="X83" t="s">
        <v>215</v>
      </c>
      <c r="Y83" t="s">
        <v>216</v>
      </c>
      <c r="Z83">
        <v>0</v>
      </c>
      <c r="AA83" t="s">
        <v>14</v>
      </c>
      <c r="AB83" t="s">
        <v>15</v>
      </c>
      <c r="AC83" t="s">
        <v>215</v>
      </c>
      <c r="AD83" t="s">
        <v>216</v>
      </c>
      <c r="AE83">
        <v>0</v>
      </c>
      <c r="AF83" t="s">
        <v>18</v>
      </c>
    </row>
    <row r="84" spans="1:32" x14ac:dyDescent="0.3">
      <c r="A84" t="str">
        <f t="shared" si="2"/>
        <v>rsi_{'C',  [('delta', 0.3,  1)]}_[35,  70]_4</v>
      </c>
      <c r="B84" t="s">
        <v>514</v>
      </c>
      <c r="C84" t="s">
        <v>221</v>
      </c>
      <c r="D84" t="s">
        <v>1</v>
      </c>
      <c r="E84">
        <v>0.3</v>
      </c>
      <c r="F84" t="s">
        <v>37</v>
      </c>
      <c r="G84" t="s">
        <v>44</v>
      </c>
      <c r="H84" t="s">
        <v>4</v>
      </c>
      <c r="I84">
        <v>40</v>
      </c>
      <c r="J84" t="s">
        <v>5</v>
      </c>
      <c r="K84">
        <v>6</v>
      </c>
      <c r="L84" s="3">
        <f t="shared" si="3"/>
        <v>0.15</v>
      </c>
      <c r="M84" t="s">
        <v>6</v>
      </c>
      <c r="N84">
        <v>-3.8599999999999701</v>
      </c>
      <c r="O84" t="s">
        <v>7</v>
      </c>
      <c r="P84">
        <v>-9.6499999999999295E-2</v>
      </c>
      <c r="Q84" t="s">
        <v>8</v>
      </c>
      <c r="R84">
        <v>9.9933333333333305</v>
      </c>
      <c r="S84" t="s">
        <v>9</v>
      </c>
      <c r="T84">
        <v>-1.8770588235294099</v>
      </c>
      <c r="U84" t="s">
        <v>10</v>
      </c>
      <c r="V84">
        <v>0.37123873266235702</v>
      </c>
      <c r="W84" t="s">
        <v>11</v>
      </c>
      <c r="X84" t="s">
        <v>243</v>
      </c>
      <c r="Y84" t="s">
        <v>17</v>
      </c>
      <c r="Z84">
        <v>0</v>
      </c>
      <c r="AA84" t="s">
        <v>14</v>
      </c>
      <c r="AB84" t="s">
        <v>15</v>
      </c>
      <c r="AC84" t="s">
        <v>243</v>
      </c>
      <c r="AD84" t="s">
        <v>17</v>
      </c>
      <c r="AE84">
        <v>0</v>
      </c>
      <c r="AF84" t="s">
        <v>18</v>
      </c>
    </row>
    <row r="85" spans="1:32" x14ac:dyDescent="0.3">
      <c r="A85" t="str">
        <f t="shared" si="2"/>
        <v>rsi_{'C',  [('delta', 0.4,  1)]}_[21,  49]_1</v>
      </c>
      <c r="B85" t="s">
        <v>494</v>
      </c>
      <c r="C85" t="s">
        <v>221</v>
      </c>
      <c r="D85" t="s">
        <v>1</v>
      </c>
      <c r="E85">
        <v>0.4</v>
      </c>
      <c r="F85" t="s">
        <v>27</v>
      </c>
      <c r="G85" t="s">
        <v>28</v>
      </c>
      <c r="H85" t="s">
        <v>4</v>
      </c>
      <c r="I85">
        <v>33</v>
      </c>
      <c r="J85" t="s">
        <v>5</v>
      </c>
      <c r="K85">
        <v>12</v>
      </c>
      <c r="L85" s="3">
        <f t="shared" si="3"/>
        <v>0.36363636363636365</v>
      </c>
      <c r="M85" t="s">
        <v>6</v>
      </c>
      <c r="N85">
        <v>-4.1399999999999801</v>
      </c>
      <c r="O85" t="s">
        <v>7</v>
      </c>
      <c r="P85">
        <v>-0.12545454545454501</v>
      </c>
      <c r="Q85" t="s">
        <v>8</v>
      </c>
      <c r="R85">
        <v>3.88916666666666</v>
      </c>
      <c r="S85" t="s">
        <v>9</v>
      </c>
      <c r="T85">
        <v>-2.4195238095237999</v>
      </c>
      <c r="U85" t="s">
        <v>10</v>
      </c>
      <c r="V85">
        <v>0.26790385347308798</v>
      </c>
      <c r="W85" t="s">
        <v>11</v>
      </c>
      <c r="X85" t="s">
        <v>224</v>
      </c>
      <c r="Y85" t="s">
        <v>225</v>
      </c>
      <c r="Z85">
        <v>0</v>
      </c>
      <c r="AA85" t="s">
        <v>14</v>
      </c>
      <c r="AB85" t="s">
        <v>15</v>
      </c>
      <c r="AC85" t="s">
        <v>224</v>
      </c>
      <c r="AD85" t="s">
        <v>225</v>
      </c>
      <c r="AE85">
        <v>0</v>
      </c>
      <c r="AF85" t="s">
        <v>18</v>
      </c>
    </row>
    <row r="86" spans="1:32" x14ac:dyDescent="0.3">
      <c r="A86" t="str">
        <f t="shared" si="2"/>
        <v>psar_{'C',  [('delta', 0.3,  1)]}_[35,  70]_3</v>
      </c>
      <c r="B86" t="s">
        <v>412</v>
      </c>
      <c r="C86" t="s">
        <v>134</v>
      </c>
      <c r="D86" t="s">
        <v>1</v>
      </c>
      <c r="E86">
        <v>0.3</v>
      </c>
      <c r="F86" t="s">
        <v>37</v>
      </c>
      <c r="G86" t="s">
        <v>42</v>
      </c>
      <c r="H86" t="s">
        <v>4</v>
      </c>
      <c r="I86">
        <v>177</v>
      </c>
      <c r="J86" t="s">
        <v>5</v>
      </c>
      <c r="K86">
        <v>28</v>
      </c>
      <c r="L86" s="3">
        <f t="shared" si="3"/>
        <v>0.15819209039548024</v>
      </c>
      <c r="M86" t="s">
        <v>6</v>
      </c>
      <c r="N86">
        <v>-4.4254931393852104</v>
      </c>
      <c r="O86" t="s">
        <v>7</v>
      </c>
      <c r="P86">
        <v>-2.5002786098221499E-2</v>
      </c>
      <c r="Q86" t="s">
        <v>8</v>
      </c>
      <c r="R86">
        <v>8.4332142857142802</v>
      </c>
      <c r="S86" t="s">
        <v>9</v>
      </c>
      <c r="T86">
        <v>-1.6144663969086199</v>
      </c>
      <c r="U86" t="s">
        <v>10</v>
      </c>
      <c r="V86">
        <v>0.85347703661037699</v>
      </c>
      <c r="W86" t="s">
        <v>11</v>
      </c>
      <c r="X86" t="s">
        <v>150</v>
      </c>
      <c r="Y86" t="s">
        <v>53</v>
      </c>
      <c r="Z86">
        <v>0</v>
      </c>
      <c r="AA86" t="s">
        <v>14</v>
      </c>
      <c r="AB86" t="s">
        <v>15</v>
      </c>
      <c r="AC86" t="s">
        <v>150</v>
      </c>
      <c r="AD86" t="s">
        <v>53</v>
      </c>
      <c r="AE86">
        <v>0</v>
      </c>
      <c r="AF86" t="s">
        <v>18</v>
      </c>
    </row>
    <row r="87" spans="1:32" x14ac:dyDescent="0.3">
      <c r="A87" t="str">
        <f t="shared" si="2"/>
        <v>psar_no_highvol_{'C',  [('delta', 0.1,  1)]}_[35,  70]_4</v>
      </c>
      <c r="B87" t="s">
        <v>489</v>
      </c>
      <c r="C87" t="s">
        <v>175</v>
      </c>
      <c r="D87" t="s">
        <v>1</v>
      </c>
      <c r="E87">
        <v>0.1</v>
      </c>
      <c r="F87" t="s">
        <v>37</v>
      </c>
      <c r="G87" t="s">
        <v>44</v>
      </c>
      <c r="H87" t="s">
        <v>4</v>
      </c>
      <c r="I87">
        <v>130</v>
      </c>
      <c r="J87" t="s">
        <v>5</v>
      </c>
      <c r="K87">
        <v>14</v>
      </c>
      <c r="L87" s="3">
        <f t="shared" si="3"/>
        <v>0.1076923076923077</v>
      </c>
      <c r="M87" t="s">
        <v>6</v>
      </c>
      <c r="N87">
        <v>-4.54736752736558</v>
      </c>
      <c r="O87" t="s">
        <v>7</v>
      </c>
      <c r="P87">
        <v>-3.4979750210504403E-2</v>
      </c>
      <c r="Q87" t="s">
        <v>8</v>
      </c>
      <c r="R87">
        <v>2.6885714285714202</v>
      </c>
      <c r="S87" t="s">
        <v>9</v>
      </c>
      <c r="T87">
        <v>-0.363684202822117</v>
      </c>
      <c r="U87" t="s">
        <v>10</v>
      </c>
      <c r="V87">
        <v>0.17519052524846901</v>
      </c>
      <c r="W87" t="s">
        <v>11</v>
      </c>
      <c r="X87" t="s">
        <v>219</v>
      </c>
      <c r="Y87" t="s">
        <v>220</v>
      </c>
      <c r="Z87">
        <v>0</v>
      </c>
      <c r="AA87" t="s">
        <v>14</v>
      </c>
      <c r="AB87" t="s">
        <v>15</v>
      </c>
      <c r="AC87" t="s">
        <v>219</v>
      </c>
      <c r="AD87" t="s">
        <v>220</v>
      </c>
      <c r="AE87">
        <v>0</v>
      </c>
      <c r="AF87" t="s">
        <v>18</v>
      </c>
    </row>
    <row r="88" spans="1:32" x14ac:dyDescent="0.3">
      <c r="A88" t="str">
        <f t="shared" si="2"/>
        <v>rsi_{'C',  [('delta', 0.3,  1)]}_[35,  70]_2</v>
      </c>
      <c r="B88" t="s">
        <v>512</v>
      </c>
      <c r="C88" t="s">
        <v>221</v>
      </c>
      <c r="D88" t="s">
        <v>1</v>
      </c>
      <c r="E88">
        <v>0.3</v>
      </c>
      <c r="F88" t="s">
        <v>37</v>
      </c>
      <c r="G88" t="s">
        <v>40</v>
      </c>
      <c r="H88" t="s">
        <v>4</v>
      </c>
      <c r="I88">
        <v>40</v>
      </c>
      <c r="J88" t="s">
        <v>5</v>
      </c>
      <c r="K88">
        <v>8</v>
      </c>
      <c r="L88" s="3">
        <f t="shared" si="3"/>
        <v>0.2</v>
      </c>
      <c r="M88" t="s">
        <v>6</v>
      </c>
      <c r="N88">
        <v>-4.5699999999999896</v>
      </c>
      <c r="O88" t="s">
        <v>7</v>
      </c>
      <c r="P88">
        <v>-0.11424999999999901</v>
      </c>
      <c r="Q88" t="s">
        <v>8</v>
      </c>
      <c r="R88">
        <v>7.0175000000000001</v>
      </c>
      <c r="S88" t="s">
        <v>9</v>
      </c>
      <c r="T88">
        <v>-1.8971875</v>
      </c>
      <c r="U88" t="s">
        <v>10</v>
      </c>
      <c r="V88">
        <v>0.314173430938612</v>
      </c>
      <c r="W88" t="s">
        <v>11</v>
      </c>
      <c r="X88" t="s">
        <v>150</v>
      </c>
      <c r="Y88" t="s">
        <v>53</v>
      </c>
      <c r="Z88">
        <v>0</v>
      </c>
      <c r="AA88" t="s">
        <v>14</v>
      </c>
      <c r="AB88" t="s">
        <v>15</v>
      </c>
      <c r="AC88" t="s">
        <v>150</v>
      </c>
      <c r="AD88" t="s">
        <v>53</v>
      </c>
      <c r="AE88">
        <v>0</v>
      </c>
      <c r="AF88" t="s">
        <v>18</v>
      </c>
    </row>
    <row r="89" spans="1:32" x14ac:dyDescent="0.3">
      <c r="A89" t="str">
        <f t="shared" si="2"/>
        <v>rsi_{'C',  [('delta', 0.4,  1)]}_[21,  49]_4</v>
      </c>
      <c r="B89" t="s">
        <v>497</v>
      </c>
      <c r="C89" t="s">
        <v>221</v>
      </c>
      <c r="D89" t="s">
        <v>1</v>
      </c>
      <c r="E89">
        <v>0.4</v>
      </c>
      <c r="F89" t="s">
        <v>27</v>
      </c>
      <c r="G89" t="s">
        <v>36</v>
      </c>
      <c r="H89" t="s">
        <v>4</v>
      </c>
      <c r="I89">
        <v>33</v>
      </c>
      <c r="J89" t="s">
        <v>5</v>
      </c>
      <c r="K89">
        <v>9</v>
      </c>
      <c r="L89" s="3">
        <f t="shared" si="3"/>
        <v>0.27272727272727271</v>
      </c>
      <c r="M89" t="s">
        <v>6</v>
      </c>
      <c r="N89">
        <v>-4.62</v>
      </c>
      <c r="O89" t="s">
        <v>7</v>
      </c>
      <c r="P89">
        <v>-0.14000000000000001</v>
      </c>
      <c r="Q89" t="s">
        <v>8</v>
      </c>
      <c r="R89">
        <v>5.8533333333333299</v>
      </c>
      <c r="S89" t="s">
        <v>9</v>
      </c>
      <c r="T89">
        <v>-2.38749999999999</v>
      </c>
      <c r="U89" t="s">
        <v>10</v>
      </c>
      <c r="V89">
        <v>0.35233990995769998</v>
      </c>
      <c r="W89" t="s">
        <v>11</v>
      </c>
      <c r="X89" t="s">
        <v>229</v>
      </c>
      <c r="Y89" t="s">
        <v>230</v>
      </c>
      <c r="Z89">
        <v>0</v>
      </c>
      <c r="AA89" t="s">
        <v>14</v>
      </c>
      <c r="AB89" t="s">
        <v>15</v>
      </c>
      <c r="AC89" t="s">
        <v>227</v>
      </c>
      <c r="AD89" t="s">
        <v>228</v>
      </c>
      <c r="AE89">
        <v>0</v>
      </c>
      <c r="AF89" t="s">
        <v>18</v>
      </c>
    </row>
    <row r="90" spans="1:32" x14ac:dyDescent="0.3">
      <c r="A90" t="str">
        <f t="shared" si="2"/>
        <v>psar_{'C',  [('delta', 0.4,  1)]}_[21,  49]_1</v>
      </c>
      <c r="B90" t="s">
        <v>393</v>
      </c>
      <c r="C90" t="s">
        <v>134</v>
      </c>
      <c r="D90" t="s">
        <v>1</v>
      </c>
      <c r="E90">
        <v>0.4</v>
      </c>
      <c r="F90" t="s">
        <v>27</v>
      </c>
      <c r="G90" t="s">
        <v>28</v>
      </c>
      <c r="H90" t="s">
        <v>4</v>
      </c>
      <c r="I90">
        <v>136</v>
      </c>
      <c r="J90" t="s">
        <v>5</v>
      </c>
      <c r="K90">
        <v>47</v>
      </c>
      <c r="L90" s="3">
        <f t="shared" si="3"/>
        <v>0.34558823529411764</v>
      </c>
      <c r="M90" t="s">
        <v>6</v>
      </c>
      <c r="N90">
        <v>-4.6999999999999398</v>
      </c>
      <c r="O90" t="s">
        <v>7</v>
      </c>
      <c r="P90">
        <v>-3.4558823529411302E-2</v>
      </c>
      <c r="Q90" t="s">
        <v>8</v>
      </c>
      <c r="R90">
        <v>3.9831914893617002</v>
      </c>
      <c r="S90" t="s">
        <v>9</v>
      </c>
      <c r="T90">
        <v>-2.1562921348314599</v>
      </c>
      <c r="U90" t="s">
        <v>10</v>
      </c>
      <c r="V90">
        <v>0.63472063875290397</v>
      </c>
      <c r="W90" t="s">
        <v>11</v>
      </c>
      <c r="X90" t="s">
        <v>139</v>
      </c>
      <c r="Y90" t="s">
        <v>140</v>
      </c>
      <c r="Z90">
        <v>0</v>
      </c>
      <c r="AA90" t="s">
        <v>14</v>
      </c>
      <c r="AB90" t="s">
        <v>15</v>
      </c>
      <c r="AC90" t="s">
        <v>139</v>
      </c>
      <c r="AD90" t="s">
        <v>140</v>
      </c>
      <c r="AE90">
        <v>0</v>
      </c>
      <c r="AF90" t="s">
        <v>18</v>
      </c>
    </row>
    <row r="91" spans="1:32" x14ac:dyDescent="0.3">
      <c r="A91" t="str">
        <f t="shared" si="2"/>
        <v>rsi_{'C',  [('delta', 0.1,  1)]}_[7,  35]_2</v>
      </c>
      <c r="B91" t="s">
        <v>528</v>
      </c>
      <c r="C91" t="s">
        <v>221</v>
      </c>
      <c r="D91" t="s">
        <v>1</v>
      </c>
      <c r="E91">
        <v>0.1</v>
      </c>
      <c r="F91" t="s">
        <v>2</v>
      </c>
      <c r="G91" t="s">
        <v>19</v>
      </c>
      <c r="H91" t="s">
        <v>4</v>
      </c>
      <c r="I91">
        <v>35</v>
      </c>
      <c r="J91" t="s">
        <v>5</v>
      </c>
      <c r="K91">
        <v>3</v>
      </c>
      <c r="L91" s="3">
        <f t="shared" si="3"/>
        <v>8.5714285714285715E-2</v>
      </c>
      <c r="M91" t="s">
        <v>6</v>
      </c>
      <c r="N91">
        <v>-4.75999999999999</v>
      </c>
      <c r="O91" t="s">
        <v>7</v>
      </c>
      <c r="P91">
        <v>-0.13599999999999901</v>
      </c>
      <c r="Q91" t="s">
        <v>8</v>
      </c>
      <c r="R91">
        <v>1.05</v>
      </c>
      <c r="S91" t="s">
        <v>9</v>
      </c>
      <c r="T91">
        <v>-0.2471875</v>
      </c>
      <c r="U91" t="s">
        <v>10</v>
      </c>
      <c r="V91">
        <v>4.0358356256629001E-2</v>
      </c>
      <c r="W91" t="s">
        <v>11</v>
      </c>
      <c r="X91" t="s">
        <v>166</v>
      </c>
      <c r="Y91" t="s">
        <v>53</v>
      </c>
      <c r="Z91">
        <v>0</v>
      </c>
      <c r="AA91" t="s">
        <v>14</v>
      </c>
      <c r="AB91" t="s">
        <v>15</v>
      </c>
      <c r="AC91" t="s">
        <v>166</v>
      </c>
      <c r="AD91" t="s">
        <v>53</v>
      </c>
      <c r="AE91">
        <v>0</v>
      </c>
      <c r="AF91" t="s">
        <v>18</v>
      </c>
    </row>
    <row r="92" spans="1:32" x14ac:dyDescent="0.3">
      <c r="A92" t="str">
        <f t="shared" si="2"/>
        <v>psar_{'C',  [('delta', 0.2,  1)]}_[21,  49]_2</v>
      </c>
      <c r="B92" t="s">
        <v>420</v>
      </c>
      <c r="C92" t="s">
        <v>134</v>
      </c>
      <c r="D92" t="s">
        <v>1</v>
      </c>
      <c r="E92">
        <v>0.2</v>
      </c>
      <c r="F92" t="s">
        <v>27</v>
      </c>
      <c r="G92" t="s">
        <v>30</v>
      </c>
      <c r="H92" t="s">
        <v>4</v>
      </c>
      <c r="I92">
        <v>136</v>
      </c>
      <c r="J92" t="s">
        <v>5</v>
      </c>
      <c r="K92">
        <v>27</v>
      </c>
      <c r="L92" s="3">
        <f t="shared" si="3"/>
        <v>0.19852941176470587</v>
      </c>
      <c r="M92" t="s">
        <v>6</v>
      </c>
      <c r="N92">
        <v>-4.7785700317117099</v>
      </c>
      <c r="O92" t="s">
        <v>7</v>
      </c>
      <c r="P92">
        <v>-3.5136544350821398E-2</v>
      </c>
      <c r="Q92" t="s">
        <v>8</v>
      </c>
      <c r="R92">
        <v>2.8981481481481399</v>
      </c>
      <c r="S92" t="s">
        <v>9</v>
      </c>
      <c r="T92">
        <v>-0.76173000029093296</v>
      </c>
      <c r="U92" t="s">
        <v>10</v>
      </c>
      <c r="V92">
        <v>0.32533459576101897</v>
      </c>
      <c r="W92" t="s">
        <v>11</v>
      </c>
      <c r="X92" t="s">
        <v>161</v>
      </c>
      <c r="Y92" t="s">
        <v>158</v>
      </c>
      <c r="Z92">
        <v>0</v>
      </c>
      <c r="AA92" t="s">
        <v>14</v>
      </c>
      <c r="AB92" t="s">
        <v>15</v>
      </c>
      <c r="AC92" t="s">
        <v>161</v>
      </c>
      <c r="AD92" t="s">
        <v>158</v>
      </c>
      <c r="AE92">
        <v>0</v>
      </c>
      <c r="AF92" t="s">
        <v>18</v>
      </c>
    </row>
    <row r="93" spans="1:32" x14ac:dyDescent="0.3">
      <c r="A93" t="str">
        <f t="shared" si="2"/>
        <v>psar_{'C',  [('delta', 0.3,  1)]}_[21,  49]_1</v>
      </c>
      <c r="B93" t="s">
        <v>406</v>
      </c>
      <c r="C93" t="s">
        <v>134</v>
      </c>
      <c r="D93" t="s">
        <v>1</v>
      </c>
      <c r="E93">
        <v>0.3</v>
      </c>
      <c r="F93" t="s">
        <v>27</v>
      </c>
      <c r="G93" t="s">
        <v>28</v>
      </c>
      <c r="H93" t="s">
        <v>4</v>
      </c>
      <c r="I93">
        <v>136</v>
      </c>
      <c r="J93" t="s">
        <v>5</v>
      </c>
      <c r="K93">
        <v>44</v>
      </c>
      <c r="L93" s="3">
        <f t="shared" si="3"/>
        <v>0.3235294117647059</v>
      </c>
      <c r="M93" t="s">
        <v>6</v>
      </c>
      <c r="N93">
        <v>-4.9699999999999598</v>
      </c>
      <c r="O93" t="s">
        <v>7</v>
      </c>
      <c r="P93">
        <v>-3.6544117647058498E-2</v>
      </c>
      <c r="Q93" t="s">
        <v>8</v>
      </c>
      <c r="R93">
        <v>2.6770454545454498</v>
      </c>
      <c r="S93" t="s">
        <v>9</v>
      </c>
      <c r="T93">
        <v>-1.3343478260869499</v>
      </c>
      <c r="U93" t="s">
        <v>10</v>
      </c>
      <c r="V93">
        <v>0.43219673574733197</v>
      </c>
      <c r="W93" t="s">
        <v>11</v>
      </c>
      <c r="X93" t="s">
        <v>146</v>
      </c>
      <c r="Y93" t="s">
        <v>75</v>
      </c>
      <c r="Z93">
        <v>0</v>
      </c>
      <c r="AA93" t="s">
        <v>14</v>
      </c>
      <c r="AB93" t="s">
        <v>15</v>
      </c>
      <c r="AC93" t="s">
        <v>146</v>
      </c>
      <c r="AD93" t="s">
        <v>75</v>
      </c>
      <c r="AE93">
        <v>0</v>
      </c>
      <c r="AF93" t="s">
        <v>18</v>
      </c>
    </row>
    <row r="94" spans="1:32" x14ac:dyDescent="0.3">
      <c r="A94" t="str">
        <f t="shared" si="2"/>
        <v>rsi_{'C',  [('delta', 0.2,  1)]}_[7,  35]_1</v>
      </c>
      <c r="B94" t="s">
        <v>515</v>
      </c>
      <c r="C94" t="s">
        <v>221</v>
      </c>
      <c r="D94" t="s">
        <v>1</v>
      </c>
      <c r="E94">
        <v>0.2</v>
      </c>
      <c r="F94" t="s">
        <v>2</v>
      </c>
      <c r="G94" t="s">
        <v>3</v>
      </c>
      <c r="H94" t="s">
        <v>4</v>
      </c>
      <c r="I94">
        <v>35</v>
      </c>
      <c r="J94" t="s">
        <v>5</v>
      </c>
      <c r="K94">
        <v>8</v>
      </c>
      <c r="L94" s="3">
        <f t="shared" si="3"/>
        <v>0.22857142857142856</v>
      </c>
      <c r="M94" t="s">
        <v>6</v>
      </c>
      <c r="N94">
        <v>-5.24</v>
      </c>
      <c r="O94" t="s">
        <v>7</v>
      </c>
      <c r="P94">
        <v>-0.14971428571428499</v>
      </c>
      <c r="Q94" t="s">
        <v>8</v>
      </c>
      <c r="R94">
        <v>1.63</v>
      </c>
      <c r="S94" t="s">
        <v>9</v>
      </c>
      <c r="T94">
        <v>-0.67703703703703699</v>
      </c>
      <c r="U94" t="s">
        <v>10</v>
      </c>
      <c r="V94">
        <v>8.8235203730204395E-2</v>
      </c>
      <c r="W94" t="s">
        <v>11</v>
      </c>
      <c r="X94" t="s">
        <v>244</v>
      </c>
      <c r="Y94" t="s">
        <v>245</v>
      </c>
      <c r="Z94">
        <v>0</v>
      </c>
      <c r="AA94" t="s">
        <v>14</v>
      </c>
      <c r="AB94" t="s">
        <v>15</v>
      </c>
      <c r="AC94" t="s">
        <v>244</v>
      </c>
      <c r="AD94" t="s">
        <v>245</v>
      </c>
      <c r="AE94">
        <v>0</v>
      </c>
      <c r="AF94" t="s">
        <v>18</v>
      </c>
    </row>
    <row r="95" spans="1:32" x14ac:dyDescent="0.3">
      <c r="A95" t="str">
        <f t="shared" si="2"/>
        <v>psar_{'C',  [('delta', 0.1,  1)]}_[7,  35]_3</v>
      </c>
      <c r="B95" t="s">
        <v>429</v>
      </c>
      <c r="C95" t="s">
        <v>134</v>
      </c>
      <c r="D95" t="s">
        <v>1</v>
      </c>
      <c r="E95">
        <v>0.1</v>
      </c>
      <c r="F95" t="s">
        <v>2</v>
      </c>
      <c r="G95" t="s">
        <v>23</v>
      </c>
      <c r="H95" t="s">
        <v>4</v>
      </c>
      <c r="I95">
        <v>140</v>
      </c>
      <c r="J95" t="s">
        <v>5</v>
      </c>
      <c r="K95">
        <v>14</v>
      </c>
      <c r="L95" s="3">
        <f t="shared" si="3"/>
        <v>0.1</v>
      </c>
      <c r="M95" t="s">
        <v>6</v>
      </c>
      <c r="N95">
        <v>-5.4225794674609604</v>
      </c>
      <c r="O95" t="s">
        <v>7</v>
      </c>
      <c r="P95">
        <v>-3.8732710481863997E-2</v>
      </c>
      <c r="Q95" t="s">
        <v>8</v>
      </c>
      <c r="R95">
        <v>1.6992857142857101</v>
      </c>
      <c r="S95" t="s">
        <v>9</v>
      </c>
      <c r="T95">
        <v>-0.23184586878937199</v>
      </c>
      <c r="U95" t="s">
        <v>10</v>
      </c>
      <c r="V95">
        <v>0.15258442387231699</v>
      </c>
      <c r="W95" t="s">
        <v>11</v>
      </c>
      <c r="X95" t="s">
        <v>167</v>
      </c>
      <c r="Y95" t="s">
        <v>158</v>
      </c>
      <c r="Z95">
        <v>0</v>
      </c>
      <c r="AA95" t="s">
        <v>14</v>
      </c>
      <c r="AB95" t="s">
        <v>15</v>
      </c>
      <c r="AC95" t="s">
        <v>167</v>
      </c>
      <c r="AD95" t="s">
        <v>158</v>
      </c>
      <c r="AE95">
        <v>0</v>
      </c>
      <c r="AF95" t="s">
        <v>18</v>
      </c>
    </row>
    <row r="96" spans="1:32" x14ac:dyDescent="0.3">
      <c r="A96" t="str">
        <f t="shared" si="2"/>
        <v>psar_{'C',  [('delta', 0.2,  1)]}_[7,  35]_3</v>
      </c>
      <c r="B96" t="s">
        <v>417</v>
      </c>
      <c r="C96" t="s">
        <v>134</v>
      </c>
      <c r="D96" t="s">
        <v>1</v>
      </c>
      <c r="E96">
        <v>0.2</v>
      </c>
      <c r="F96" t="s">
        <v>2</v>
      </c>
      <c r="G96" t="s">
        <v>23</v>
      </c>
      <c r="H96" t="s">
        <v>4</v>
      </c>
      <c r="I96">
        <v>140</v>
      </c>
      <c r="J96" t="s">
        <v>5</v>
      </c>
      <c r="K96">
        <v>19</v>
      </c>
      <c r="L96" s="3">
        <f t="shared" si="3"/>
        <v>0.1357142857142857</v>
      </c>
      <c r="M96" t="s">
        <v>6</v>
      </c>
      <c r="N96">
        <v>-5.4899999999999398</v>
      </c>
      <c r="O96" t="s">
        <v>7</v>
      </c>
      <c r="P96">
        <v>-3.9214285714285299E-2</v>
      </c>
      <c r="Q96" t="s">
        <v>8</v>
      </c>
      <c r="R96">
        <v>3.5842105263157902</v>
      </c>
      <c r="S96" t="s">
        <v>9</v>
      </c>
      <c r="T96">
        <v>-0.60818181818181805</v>
      </c>
      <c r="U96" t="s">
        <v>10</v>
      </c>
      <c r="V96">
        <v>0.37267418935116597</v>
      </c>
      <c r="W96" t="s">
        <v>11</v>
      </c>
      <c r="X96" t="s">
        <v>157</v>
      </c>
      <c r="Y96" t="s">
        <v>158</v>
      </c>
      <c r="Z96">
        <v>0</v>
      </c>
      <c r="AA96" t="s">
        <v>14</v>
      </c>
      <c r="AB96" t="s">
        <v>15</v>
      </c>
      <c r="AC96" t="s">
        <v>157</v>
      </c>
      <c r="AD96" t="s">
        <v>158</v>
      </c>
      <c r="AE96">
        <v>0</v>
      </c>
      <c r="AF96" t="s">
        <v>18</v>
      </c>
    </row>
    <row r="97" spans="1:32" x14ac:dyDescent="0.3">
      <c r="A97" t="str">
        <f t="shared" si="2"/>
        <v>rsi_{'C',  [('delta', 0.3,  1)]}_[35,  70]_1</v>
      </c>
      <c r="B97" t="s">
        <v>511</v>
      </c>
      <c r="C97" t="s">
        <v>221</v>
      </c>
      <c r="D97" t="s">
        <v>1</v>
      </c>
      <c r="E97">
        <v>0.3</v>
      </c>
      <c r="F97" t="s">
        <v>37</v>
      </c>
      <c r="G97" t="s">
        <v>38</v>
      </c>
      <c r="H97" t="s">
        <v>4</v>
      </c>
      <c r="I97">
        <v>40</v>
      </c>
      <c r="J97" t="s">
        <v>5</v>
      </c>
      <c r="K97">
        <v>12</v>
      </c>
      <c r="L97" s="3">
        <f t="shared" si="3"/>
        <v>0.3</v>
      </c>
      <c r="M97" t="s">
        <v>6</v>
      </c>
      <c r="N97">
        <v>-5.5399999999999903</v>
      </c>
      <c r="O97" t="s">
        <v>7</v>
      </c>
      <c r="P97">
        <v>-0.13849999999999901</v>
      </c>
      <c r="Q97" t="s">
        <v>8</v>
      </c>
      <c r="R97">
        <v>3.74416666666666</v>
      </c>
      <c r="S97" t="s">
        <v>9</v>
      </c>
      <c r="T97">
        <v>-1.8025</v>
      </c>
      <c r="U97" t="s">
        <v>10</v>
      </c>
      <c r="V97">
        <v>0.25226483633874902</v>
      </c>
      <c r="W97" t="s">
        <v>11</v>
      </c>
      <c r="X97" t="s">
        <v>240</v>
      </c>
      <c r="Y97" t="s">
        <v>241</v>
      </c>
      <c r="Z97">
        <v>0</v>
      </c>
      <c r="AA97" t="s">
        <v>14</v>
      </c>
      <c r="AB97" t="s">
        <v>15</v>
      </c>
      <c r="AC97" t="s">
        <v>242</v>
      </c>
      <c r="AD97" t="s">
        <v>232</v>
      </c>
      <c r="AE97">
        <v>0</v>
      </c>
      <c r="AF97" t="s">
        <v>18</v>
      </c>
    </row>
    <row r="98" spans="1:32" x14ac:dyDescent="0.3">
      <c r="A98" t="str">
        <f t="shared" si="2"/>
        <v>rsi_{'C',  [('delta', 0.4,  1)]}_[7,  35]_2</v>
      </c>
      <c r="B98" t="s">
        <v>491</v>
      </c>
      <c r="C98" t="s">
        <v>221</v>
      </c>
      <c r="D98" t="s">
        <v>1</v>
      </c>
      <c r="E98">
        <v>0.4</v>
      </c>
      <c r="F98" t="s">
        <v>2</v>
      </c>
      <c r="G98" t="s">
        <v>19</v>
      </c>
      <c r="H98" t="s">
        <v>4</v>
      </c>
      <c r="I98">
        <v>35</v>
      </c>
      <c r="J98" t="s">
        <v>5</v>
      </c>
      <c r="K98">
        <v>10</v>
      </c>
      <c r="L98" s="3">
        <f t="shared" si="3"/>
        <v>0.2857142857142857</v>
      </c>
      <c r="M98" t="s">
        <v>6</v>
      </c>
      <c r="N98">
        <v>-6.06</v>
      </c>
      <c r="O98" t="s">
        <v>7</v>
      </c>
      <c r="P98">
        <v>-0.17314285714285699</v>
      </c>
      <c r="Q98" t="s">
        <v>8</v>
      </c>
      <c r="R98">
        <v>4.7709999999999901</v>
      </c>
      <c r="S98" t="s">
        <v>9</v>
      </c>
      <c r="T98">
        <v>-2.1507999999999901</v>
      </c>
      <c r="U98" t="s">
        <v>10</v>
      </c>
      <c r="V98">
        <v>0.30456221952666801</v>
      </c>
      <c r="W98" t="s">
        <v>11</v>
      </c>
      <c r="X98" t="s">
        <v>138</v>
      </c>
      <c r="Y98" t="s">
        <v>53</v>
      </c>
      <c r="Z98">
        <v>0</v>
      </c>
      <c r="AA98" t="s">
        <v>14</v>
      </c>
      <c r="AB98" t="s">
        <v>15</v>
      </c>
      <c r="AC98" t="s">
        <v>138</v>
      </c>
      <c r="AD98" t="s">
        <v>53</v>
      </c>
      <c r="AE98">
        <v>0</v>
      </c>
      <c r="AF98" t="s">
        <v>18</v>
      </c>
    </row>
    <row r="99" spans="1:32" x14ac:dyDescent="0.3">
      <c r="A99" t="str">
        <f t="shared" si="2"/>
        <v>psar_{'C',  [('delta', 0.1,  1)]}_[35,  70]_2</v>
      </c>
      <c r="B99" t="s">
        <v>436</v>
      </c>
      <c r="C99" t="s">
        <v>134</v>
      </c>
      <c r="D99" t="s">
        <v>1</v>
      </c>
      <c r="E99">
        <v>0.1</v>
      </c>
      <c r="F99" t="s">
        <v>37</v>
      </c>
      <c r="G99" t="s">
        <v>40</v>
      </c>
      <c r="H99" t="s">
        <v>4</v>
      </c>
      <c r="I99">
        <v>177</v>
      </c>
      <c r="J99" t="s">
        <v>5</v>
      </c>
      <c r="K99">
        <v>33</v>
      </c>
      <c r="L99" s="3">
        <f t="shared" si="3"/>
        <v>0.1864406779661017</v>
      </c>
      <c r="M99" t="s">
        <v>6</v>
      </c>
      <c r="N99">
        <v>-6.1438438537529496</v>
      </c>
      <c r="O99" t="s">
        <v>7</v>
      </c>
      <c r="P99">
        <v>-3.4710982224592901E-2</v>
      </c>
      <c r="Q99" t="s">
        <v>8</v>
      </c>
      <c r="R99">
        <v>1.6041412253865099</v>
      </c>
      <c r="S99" t="s">
        <v>9</v>
      </c>
      <c r="T99">
        <v>-0.41028127980213802</v>
      </c>
      <c r="U99" t="s">
        <v>10</v>
      </c>
      <c r="V99">
        <v>0.221815490742306</v>
      </c>
      <c r="W99" t="s">
        <v>11</v>
      </c>
      <c r="X99" t="s">
        <v>169</v>
      </c>
      <c r="Y99" t="s">
        <v>173</v>
      </c>
    </row>
    <row r="100" spans="1:32" x14ac:dyDescent="0.3">
      <c r="A100" t="str">
        <f t="shared" si="2"/>
        <v>psar_{'C',  [('delta', 0.1,  1)]}_[21,  49]_2</v>
      </c>
      <c r="B100" t="s">
        <v>432</v>
      </c>
      <c r="C100" t="s">
        <v>134</v>
      </c>
      <c r="D100" t="s">
        <v>1</v>
      </c>
      <c r="E100">
        <v>0.1</v>
      </c>
      <c r="F100" t="s">
        <v>27</v>
      </c>
      <c r="G100" t="s">
        <v>30</v>
      </c>
      <c r="H100" t="s">
        <v>4</v>
      </c>
      <c r="I100">
        <v>136</v>
      </c>
      <c r="J100" t="s">
        <v>5</v>
      </c>
      <c r="K100">
        <v>22</v>
      </c>
      <c r="L100" s="3">
        <f t="shared" si="3"/>
        <v>0.16176470588235295</v>
      </c>
      <c r="M100" t="s">
        <v>6</v>
      </c>
      <c r="N100">
        <v>-6.19663783255778</v>
      </c>
      <c r="O100" t="s">
        <v>7</v>
      </c>
      <c r="P100">
        <v>-4.55635134746896E-2</v>
      </c>
      <c r="Q100" t="s">
        <v>8</v>
      </c>
      <c r="R100">
        <v>1.37090909090909</v>
      </c>
      <c r="S100" t="s">
        <v>9</v>
      </c>
      <c r="T100">
        <v>-0.318917875724191</v>
      </c>
      <c r="U100" t="s">
        <v>10</v>
      </c>
      <c r="V100">
        <v>0.147198356156757</v>
      </c>
      <c r="W100" t="s">
        <v>11</v>
      </c>
      <c r="X100" t="s">
        <v>169</v>
      </c>
      <c r="Y100" t="s">
        <v>160</v>
      </c>
      <c r="Z100">
        <v>0</v>
      </c>
      <c r="AA100" t="s">
        <v>14</v>
      </c>
      <c r="AB100" t="s">
        <v>15</v>
      </c>
      <c r="AC100" t="s">
        <v>169</v>
      </c>
      <c r="AD100" t="s">
        <v>160</v>
      </c>
      <c r="AE100">
        <v>0</v>
      </c>
      <c r="AF100" t="s">
        <v>18</v>
      </c>
    </row>
    <row r="101" spans="1:32" x14ac:dyDescent="0.3">
      <c r="A101" t="str">
        <f t="shared" si="2"/>
        <v>rsi_{'C',  [('delta', 0.1,  1)]}_[21,  49]_1</v>
      </c>
      <c r="B101" t="s">
        <v>531</v>
      </c>
      <c r="C101" t="s">
        <v>221</v>
      </c>
      <c r="D101" t="s">
        <v>1</v>
      </c>
      <c r="E101">
        <v>0.1</v>
      </c>
      <c r="F101" t="s">
        <v>27</v>
      </c>
      <c r="G101" t="s">
        <v>28</v>
      </c>
      <c r="H101" t="s">
        <v>4</v>
      </c>
      <c r="I101">
        <v>33</v>
      </c>
      <c r="J101" t="s">
        <v>5</v>
      </c>
      <c r="K101">
        <v>4</v>
      </c>
      <c r="L101" s="3">
        <f t="shared" si="3"/>
        <v>0.12121212121212122</v>
      </c>
      <c r="M101" t="s">
        <v>6</v>
      </c>
      <c r="N101">
        <v>-6.3</v>
      </c>
      <c r="O101" t="s">
        <v>7</v>
      </c>
      <c r="P101">
        <v>-0.19090909090909</v>
      </c>
      <c r="Q101" t="s">
        <v>8</v>
      </c>
      <c r="R101">
        <v>0.54499999999999904</v>
      </c>
      <c r="S101" t="s">
        <v>9</v>
      </c>
      <c r="T101">
        <v>-0.29241379310344801</v>
      </c>
      <c r="U101" t="s">
        <v>10</v>
      </c>
      <c r="V101">
        <v>3.0383983986140901E-2</v>
      </c>
      <c r="W101" t="s">
        <v>11</v>
      </c>
      <c r="X101" t="s">
        <v>252</v>
      </c>
      <c r="Y101" t="s">
        <v>245</v>
      </c>
      <c r="Z101">
        <v>0</v>
      </c>
      <c r="AA101" t="s">
        <v>14</v>
      </c>
      <c r="AB101" t="s">
        <v>15</v>
      </c>
      <c r="AC101" t="s">
        <v>253</v>
      </c>
      <c r="AD101" t="s">
        <v>254</v>
      </c>
      <c r="AE101">
        <v>0</v>
      </c>
      <c r="AF101" t="s">
        <v>18</v>
      </c>
    </row>
    <row r="102" spans="1:32" x14ac:dyDescent="0.3">
      <c r="A102" t="str">
        <f t="shared" si="2"/>
        <v>psar_no_highvol_{'C',  [('delta', 0.2,  1)]}_[21,  49]_1</v>
      </c>
      <c r="B102" t="s">
        <v>469</v>
      </c>
      <c r="C102" t="s">
        <v>175</v>
      </c>
      <c r="D102" t="s">
        <v>1</v>
      </c>
      <c r="E102">
        <v>0.2</v>
      </c>
      <c r="F102" t="s">
        <v>27</v>
      </c>
      <c r="G102" t="s">
        <v>28</v>
      </c>
      <c r="H102" t="s">
        <v>4</v>
      </c>
      <c r="I102">
        <v>98</v>
      </c>
      <c r="J102" t="s">
        <v>5</v>
      </c>
      <c r="K102">
        <v>28</v>
      </c>
      <c r="L102" s="3">
        <f t="shared" si="3"/>
        <v>0.2857142857142857</v>
      </c>
      <c r="M102" t="s">
        <v>6</v>
      </c>
      <c r="N102">
        <v>-6.37</v>
      </c>
      <c r="O102" t="s">
        <v>7</v>
      </c>
      <c r="P102">
        <v>-6.5000000000000002E-2</v>
      </c>
      <c r="Q102" t="s">
        <v>8</v>
      </c>
      <c r="R102">
        <v>1.48</v>
      </c>
      <c r="S102" t="s">
        <v>9</v>
      </c>
      <c r="T102">
        <v>-0.68300000000000005</v>
      </c>
      <c r="U102" t="s">
        <v>10</v>
      </c>
      <c r="V102">
        <v>0.15948519067477299</v>
      </c>
      <c r="W102" t="s">
        <v>11</v>
      </c>
      <c r="X102" t="s">
        <v>159</v>
      </c>
      <c r="Y102" t="s">
        <v>160</v>
      </c>
      <c r="Z102">
        <v>0</v>
      </c>
      <c r="AA102" t="s">
        <v>14</v>
      </c>
      <c r="AB102" t="s">
        <v>15</v>
      </c>
      <c r="AC102" t="s">
        <v>159</v>
      </c>
      <c r="AD102" t="s">
        <v>160</v>
      </c>
      <c r="AE102">
        <v>0</v>
      </c>
      <c r="AF102" t="s">
        <v>18</v>
      </c>
    </row>
    <row r="103" spans="1:32" x14ac:dyDescent="0.3">
      <c r="A103" t="str">
        <f t="shared" si="2"/>
        <v>rsi_{'C',  [('delta', 0.3,  1)]}_[7,  35]_1</v>
      </c>
      <c r="B103" t="s">
        <v>503</v>
      </c>
      <c r="C103" t="s">
        <v>221</v>
      </c>
      <c r="D103" t="s">
        <v>1</v>
      </c>
      <c r="E103">
        <v>0.3</v>
      </c>
      <c r="F103" t="s">
        <v>2</v>
      </c>
      <c r="G103" t="s">
        <v>3</v>
      </c>
      <c r="H103" t="s">
        <v>4</v>
      </c>
      <c r="I103">
        <v>35</v>
      </c>
      <c r="J103" t="s">
        <v>5</v>
      </c>
      <c r="K103">
        <v>9</v>
      </c>
      <c r="L103" s="3">
        <f t="shared" si="3"/>
        <v>0.25714285714285712</v>
      </c>
      <c r="M103" t="s">
        <v>6</v>
      </c>
      <c r="N103">
        <v>-6.4099999999999904</v>
      </c>
      <c r="O103" t="s">
        <v>7</v>
      </c>
      <c r="P103">
        <v>-0.183142857142857</v>
      </c>
      <c r="Q103" t="s">
        <v>8</v>
      </c>
      <c r="R103">
        <v>2.81</v>
      </c>
      <c r="S103" t="s">
        <v>9</v>
      </c>
      <c r="T103">
        <v>-1.21923076923076</v>
      </c>
      <c r="U103" t="s">
        <v>10</v>
      </c>
      <c r="V103">
        <v>0.15010292203757</v>
      </c>
      <c r="W103" t="s">
        <v>11</v>
      </c>
      <c r="X103" t="s">
        <v>128</v>
      </c>
      <c r="Y103" t="s">
        <v>223</v>
      </c>
      <c r="Z103">
        <v>0</v>
      </c>
      <c r="AA103" t="s">
        <v>14</v>
      </c>
      <c r="AB103" t="s">
        <v>15</v>
      </c>
      <c r="AC103" t="s">
        <v>128</v>
      </c>
      <c r="AD103" t="s">
        <v>223</v>
      </c>
      <c r="AE103">
        <v>0</v>
      </c>
      <c r="AF103" t="s">
        <v>18</v>
      </c>
    </row>
    <row r="104" spans="1:32" x14ac:dyDescent="0.3">
      <c r="A104" t="str">
        <f t="shared" si="2"/>
        <v>rsi_{'C',  [('delta', 0.1,  1)]}_[7,  35]_3</v>
      </c>
      <c r="B104" t="s">
        <v>529</v>
      </c>
      <c r="C104" t="s">
        <v>221</v>
      </c>
      <c r="D104" t="s">
        <v>1</v>
      </c>
      <c r="E104">
        <v>0.1</v>
      </c>
      <c r="F104" t="s">
        <v>2</v>
      </c>
      <c r="G104" t="s">
        <v>23</v>
      </c>
      <c r="H104" t="s">
        <v>4</v>
      </c>
      <c r="I104">
        <v>35</v>
      </c>
      <c r="J104" t="s">
        <v>5</v>
      </c>
      <c r="K104">
        <v>1</v>
      </c>
      <c r="L104" s="3">
        <f t="shared" si="3"/>
        <v>2.8571428571428571E-2</v>
      </c>
      <c r="M104" t="s">
        <v>6</v>
      </c>
      <c r="N104">
        <v>-6.44</v>
      </c>
      <c r="O104" t="s">
        <v>7</v>
      </c>
      <c r="P104">
        <v>-0.184</v>
      </c>
      <c r="Q104" t="s">
        <v>8</v>
      </c>
      <c r="R104">
        <v>1.87</v>
      </c>
      <c r="S104" t="s">
        <v>9</v>
      </c>
      <c r="T104">
        <v>-0.244411764705882</v>
      </c>
      <c r="U104" t="s">
        <v>10</v>
      </c>
      <c r="V104">
        <v>4.2253462572071403E-2</v>
      </c>
      <c r="W104" t="s">
        <v>11</v>
      </c>
      <c r="X104" t="s">
        <v>255</v>
      </c>
      <c r="Y104" t="s">
        <v>247</v>
      </c>
      <c r="Z104">
        <v>0</v>
      </c>
      <c r="AA104" t="s">
        <v>14</v>
      </c>
      <c r="AB104" t="s">
        <v>15</v>
      </c>
      <c r="AC104" t="s">
        <v>255</v>
      </c>
      <c r="AD104" t="s">
        <v>247</v>
      </c>
      <c r="AE104">
        <v>0</v>
      </c>
      <c r="AF104" t="s">
        <v>18</v>
      </c>
    </row>
    <row r="105" spans="1:32" x14ac:dyDescent="0.3">
      <c r="A105" t="str">
        <f t="shared" si="2"/>
        <v>psar_no_highvol_{'C',  [('delta', 0.1,  1)]}_[21,  49]_4</v>
      </c>
      <c r="B105" t="s">
        <v>485</v>
      </c>
      <c r="C105" t="s">
        <v>175</v>
      </c>
      <c r="D105" t="s">
        <v>1</v>
      </c>
      <c r="E105">
        <v>0.1</v>
      </c>
      <c r="F105" t="s">
        <v>27</v>
      </c>
      <c r="G105" t="s">
        <v>36</v>
      </c>
      <c r="H105" t="s">
        <v>4</v>
      </c>
      <c r="I105">
        <v>98</v>
      </c>
      <c r="J105" t="s">
        <v>5</v>
      </c>
      <c r="K105">
        <v>9</v>
      </c>
      <c r="L105" s="3">
        <f t="shared" si="3"/>
        <v>9.1836734693877556E-2</v>
      </c>
      <c r="M105" t="s">
        <v>6</v>
      </c>
      <c r="N105">
        <v>-6.5299629368721304</v>
      </c>
      <c r="O105" t="s">
        <v>7</v>
      </c>
      <c r="P105">
        <v>-6.6632274866042104E-2</v>
      </c>
      <c r="Q105" t="s">
        <v>8</v>
      </c>
      <c r="R105">
        <v>2.1333333333333302</v>
      </c>
      <c r="S105" t="s">
        <v>9</v>
      </c>
      <c r="T105">
        <v>-0.289100707155866</v>
      </c>
      <c r="U105" t="s">
        <v>10</v>
      </c>
      <c r="V105">
        <v>0.113228246976744</v>
      </c>
      <c r="W105" t="s">
        <v>11</v>
      </c>
      <c r="X105" t="s">
        <v>169</v>
      </c>
      <c r="Y105" t="s">
        <v>160</v>
      </c>
      <c r="Z105">
        <v>0</v>
      </c>
      <c r="AA105" t="s">
        <v>14</v>
      </c>
      <c r="AB105" t="s">
        <v>15</v>
      </c>
      <c r="AC105" t="s">
        <v>169</v>
      </c>
      <c r="AD105" t="s">
        <v>160</v>
      </c>
      <c r="AE105">
        <v>0</v>
      </c>
      <c r="AF105" t="s">
        <v>18</v>
      </c>
    </row>
    <row r="106" spans="1:32" x14ac:dyDescent="0.3">
      <c r="A106" t="str">
        <f t="shared" si="2"/>
        <v>rsi_{'C',  [('delta', 0.1,  1)]}_[21,  49]_2</v>
      </c>
      <c r="B106" t="s">
        <v>532</v>
      </c>
      <c r="C106" t="s">
        <v>221</v>
      </c>
      <c r="D106" t="s">
        <v>1</v>
      </c>
      <c r="E106">
        <v>0.1</v>
      </c>
      <c r="F106" t="s">
        <v>27</v>
      </c>
      <c r="G106" t="s">
        <v>30</v>
      </c>
      <c r="H106" t="s">
        <v>4</v>
      </c>
      <c r="I106">
        <v>33</v>
      </c>
      <c r="J106" t="s">
        <v>5</v>
      </c>
      <c r="K106">
        <v>2</v>
      </c>
      <c r="L106" s="3">
        <f t="shared" si="3"/>
        <v>6.0606060606060608E-2</v>
      </c>
      <c r="M106" t="s">
        <v>6</v>
      </c>
      <c r="N106">
        <v>-6.8999999999999897</v>
      </c>
      <c r="O106" t="s">
        <v>7</v>
      </c>
      <c r="P106">
        <v>-0.20909090909090899</v>
      </c>
      <c r="Q106" t="s">
        <v>8</v>
      </c>
      <c r="R106">
        <v>1.0549999999999999</v>
      </c>
      <c r="S106" t="s">
        <v>9</v>
      </c>
      <c r="T106">
        <v>-0.29064516129032197</v>
      </c>
      <c r="U106" t="s">
        <v>10</v>
      </c>
      <c r="V106">
        <v>3.48830173806133E-2</v>
      </c>
      <c r="W106" t="s">
        <v>11</v>
      </c>
      <c r="X106" t="s">
        <v>252</v>
      </c>
      <c r="Y106" t="s">
        <v>245</v>
      </c>
      <c r="Z106">
        <v>0</v>
      </c>
      <c r="AA106" t="s">
        <v>14</v>
      </c>
      <c r="AB106" t="s">
        <v>15</v>
      </c>
      <c r="AC106" t="s">
        <v>253</v>
      </c>
      <c r="AD106" t="s">
        <v>254</v>
      </c>
      <c r="AE106">
        <v>0</v>
      </c>
      <c r="AF106" t="s">
        <v>18</v>
      </c>
    </row>
    <row r="107" spans="1:32" x14ac:dyDescent="0.3">
      <c r="A107" t="str">
        <f t="shared" si="2"/>
        <v>psar_{'C',  [('delta', 0.1,  1)]}_[35,  70]_1</v>
      </c>
      <c r="B107" t="s">
        <v>435</v>
      </c>
      <c r="C107" t="s">
        <v>134</v>
      </c>
      <c r="D107" t="s">
        <v>1</v>
      </c>
      <c r="E107">
        <v>0.1</v>
      </c>
      <c r="F107" t="s">
        <v>37</v>
      </c>
      <c r="G107" t="s">
        <v>38</v>
      </c>
      <c r="H107" t="s">
        <v>4</v>
      </c>
      <c r="I107">
        <v>177</v>
      </c>
      <c r="J107" t="s">
        <v>5</v>
      </c>
      <c r="K107">
        <v>51</v>
      </c>
      <c r="L107" s="3">
        <f t="shared" si="3"/>
        <v>0.28813559322033899</v>
      </c>
      <c r="M107" t="s">
        <v>6</v>
      </c>
      <c r="N107">
        <v>-6.92590083526476</v>
      </c>
      <c r="O107" t="s">
        <v>7</v>
      </c>
      <c r="P107">
        <v>-3.9129383250083402E-2</v>
      </c>
      <c r="Q107" t="s">
        <v>8</v>
      </c>
      <c r="R107">
        <v>0.86829791096431297</v>
      </c>
      <c r="S107" t="s">
        <v>9</v>
      </c>
      <c r="T107">
        <v>-0.40642138328924399</v>
      </c>
      <c r="U107" t="s">
        <v>10</v>
      </c>
      <c r="V107">
        <v>0.17579198801284199</v>
      </c>
      <c r="W107" t="s">
        <v>11</v>
      </c>
      <c r="X107" t="s">
        <v>171</v>
      </c>
      <c r="Y107" t="s">
        <v>172</v>
      </c>
      <c r="Z107">
        <v>0</v>
      </c>
      <c r="AA107" t="s">
        <v>14</v>
      </c>
      <c r="AB107" t="s">
        <v>15</v>
      </c>
      <c r="AC107" t="s">
        <v>171</v>
      </c>
      <c r="AD107" t="s">
        <v>172</v>
      </c>
      <c r="AE107">
        <v>0</v>
      </c>
      <c r="AF107" t="s">
        <v>18</v>
      </c>
    </row>
    <row r="108" spans="1:32" x14ac:dyDescent="0.3">
      <c r="A108" t="str">
        <f t="shared" si="2"/>
        <v>psar_no_highvol_{'C',  [('delta', 0.4,  1)]}_[21,  49]_2</v>
      </c>
      <c r="B108" t="s">
        <v>445</v>
      </c>
      <c r="C108" t="s">
        <v>175</v>
      </c>
      <c r="D108" t="s">
        <v>1</v>
      </c>
      <c r="E108">
        <v>0.4</v>
      </c>
      <c r="F108" t="s">
        <v>27</v>
      </c>
      <c r="G108" t="s">
        <v>30</v>
      </c>
      <c r="H108" t="s">
        <v>4</v>
      </c>
      <c r="I108">
        <v>98</v>
      </c>
      <c r="J108" t="s">
        <v>5</v>
      </c>
      <c r="K108">
        <v>22</v>
      </c>
      <c r="L108" s="3">
        <f t="shared" si="3"/>
        <v>0.22448979591836735</v>
      </c>
      <c r="M108" t="s">
        <v>6</v>
      </c>
      <c r="N108">
        <v>-7.0999999999999597</v>
      </c>
      <c r="O108" t="s">
        <v>7</v>
      </c>
      <c r="P108">
        <v>-7.2448979591836299E-2</v>
      </c>
      <c r="Q108" t="s">
        <v>8</v>
      </c>
      <c r="R108">
        <v>6.2359090909090904</v>
      </c>
      <c r="S108" t="s">
        <v>9</v>
      </c>
      <c r="T108">
        <v>-1.8985526315789401</v>
      </c>
      <c r="U108" t="s">
        <v>10</v>
      </c>
      <c r="V108">
        <v>0.49577177303620701</v>
      </c>
      <c r="W108" t="s">
        <v>11</v>
      </c>
      <c r="X108" t="s">
        <v>178</v>
      </c>
      <c r="Y108" t="s">
        <v>179</v>
      </c>
      <c r="Z108">
        <v>0</v>
      </c>
      <c r="AA108" t="s">
        <v>14</v>
      </c>
      <c r="AB108" t="s">
        <v>15</v>
      </c>
      <c r="AC108" t="s">
        <v>180</v>
      </c>
      <c r="AD108" t="s">
        <v>181</v>
      </c>
      <c r="AE108">
        <v>0</v>
      </c>
      <c r="AF108" t="s">
        <v>18</v>
      </c>
    </row>
    <row r="109" spans="1:32" x14ac:dyDescent="0.3">
      <c r="A109" t="str">
        <f t="shared" si="2"/>
        <v>psar_no_highvol_{'C',  [('delta', 0.1,  1)]}_[21,  49]_3</v>
      </c>
      <c r="B109" t="s">
        <v>484</v>
      </c>
      <c r="C109" t="s">
        <v>175</v>
      </c>
      <c r="D109" t="s">
        <v>1</v>
      </c>
      <c r="E109">
        <v>0.1</v>
      </c>
      <c r="F109" t="s">
        <v>27</v>
      </c>
      <c r="G109" t="s">
        <v>33</v>
      </c>
      <c r="H109" t="s">
        <v>4</v>
      </c>
      <c r="I109">
        <v>98</v>
      </c>
      <c r="J109" t="s">
        <v>5</v>
      </c>
      <c r="K109">
        <v>10</v>
      </c>
      <c r="L109" s="3">
        <f t="shared" si="3"/>
        <v>0.10204081632653061</v>
      </c>
      <c r="M109" t="s">
        <v>6</v>
      </c>
      <c r="N109">
        <v>-7.5399629368721302</v>
      </c>
      <c r="O109" t="s">
        <v>7</v>
      </c>
      <c r="P109">
        <v>-7.6938397315021695E-2</v>
      </c>
      <c r="Q109" t="s">
        <v>8</v>
      </c>
      <c r="R109">
        <v>1.782</v>
      </c>
      <c r="S109" t="s">
        <v>9</v>
      </c>
      <c r="T109">
        <v>-0.28818139700991002</v>
      </c>
      <c r="U109" t="s">
        <v>10</v>
      </c>
      <c r="V109">
        <v>0.10644259005557601</v>
      </c>
      <c r="W109" t="s">
        <v>11</v>
      </c>
      <c r="X109" t="s">
        <v>169</v>
      </c>
      <c r="Y109" t="s">
        <v>160</v>
      </c>
      <c r="Z109">
        <v>0</v>
      </c>
      <c r="AA109" t="s">
        <v>14</v>
      </c>
      <c r="AB109" t="s">
        <v>15</v>
      </c>
      <c r="AC109" t="s">
        <v>169</v>
      </c>
      <c r="AD109" t="s">
        <v>160</v>
      </c>
      <c r="AE109">
        <v>0</v>
      </c>
      <c r="AF109" t="s">
        <v>18</v>
      </c>
    </row>
    <row r="110" spans="1:32" x14ac:dyDescent="0.3">
      <c r="A110" t="str">
        <f t="shared" si="2"/>
        <v>psar_{'C',  [('delta', 0.1,  1)]}_[21,  49]_3</v>
      </c>
      <c r="B110" t="s">
        <v>433</v>
      </c>
      <c r="C110" t="s">
        <v>134</v>
      </c>
      <c r="D110" t="s">
        <v>1</v>
      </c>
      <c r="E110">
        <v>0.1</v>
      </c>
      <c r="F110" t="s">
        <v>27</v>
      </c>
      <c r="G110" t="s">
        <v>33</v>
      </c>
      <c r="H110" t="s">
        <v>4</v>
      </c>
      <c r="I110">
        <v>136</v>
      </c>
      <c r="J110" t="s">
        <v>5</v>
      </c>
      <c r="K110">
        <v>16</v>
      </c>
      <c r="L110" s="3">
        <f t="shared" si="3"/>
        <v>0.11764705882352941</v>
      </c>
      <c r="M110" t="s">
        <v>6</v>
      </c>
      <c r="N110">
        <v>-8.0666378325577703</v>
      </c>
      <c r="O110" t="s">
        <v>7</v>
      </c>
      <c r="P110">
        <v>-5.9313513474689501E-2</v>
      </c>
      <c r="Q110" t="s">
        <v>8</v>
      </c>
      <c r="R110">
        <v>1.8668750000000001</v>
      </c>
      <c r="S110" t="s">
        <v>9</v>
      </c>
      <c r="T110">
        <v>-0.31613864860464802</v>
      </c>
      <c r="U110" t="s">
        <v>10</v>
      </c>
      <c r="V110">
        <v>0.16533395991116301</v>
      </c>
      <c r="W110" t="s">
        <v>11</v>
      </c>
      <c r="X110" t="s">
        <v>170</v>
      </c>
      <c r="Y110" t="s">
        <v>158</v>
      </c>
      <c r="Z110">
        <v>0</v>
      </c>
      <c r="AA110" t="s">
        <v>14</v>
      </c>
      <c r="AB110" t="s">
        <v>15</v>
      </c>
      <c r="AC110" t="s">
        <v>170</v>
      </c>
      <c r="AD110" t="s">
        <v>158</v>
      </c>
      <c r="AE110">
        <v>0</v>
      </c>
      <c r="AF110" t="s">
        <v>18</v>
      </c>
    </row>
    <row r="111" spans="1:32" x14ac:dyDescent="0.3">
      <c r="A111" t="str">
        <f t="shared" si="2"/>
        <v>rsi_{'C',  [('delta', 0.1,  1)]}_[35,  70]_1</v>
      </c>
      <c r="B111" t="s">
        <v>535</v>
      </c>
      <c r="C111" t="s">
        <v>221</v>
      </c>
      <c r="D111" t="s">
        <v>1</v>
      </c>
      <c r="E111">
        <v>0.1</v>
      </c>
      <c r="F111" t="s">
        <v>37</v>
      </c>
      <c r="G111" t="s">
        <v>38</v>
      </c>
      <c r="H111" t="s">
        <v>4</v>
      </c>
      <c r="I111">
        <v>40</v>
      </c>
      <c r="J111" t="s">
        <v>5</v>
      </c>
      <c r="K111">
        <v>6</v>
      </c>
      <c r="L111" s="3">
        <f t="shared" si="3"/>
        <v>0.15</v>
      </c>
      <c r="M111" t="s">
        <v>6</v>
      </c>
      <c r="N111">
        <v>-8.84</v>
      </c>
      <c r="O111" t="s">
        <v>7</v>
      </c>
      <c r="P111">
        <v>-0.221</v>
      </c>
      <c r="Q111" t="s">
        <v>8</v>
      </c>
      <c r="R111">
        <v>0.71499999999999997</v>
      </c>
      <c r="S111" t="s">
        <v>9</v>
      </c>
      <c r="T111">
        <v>-0.38617647058823501</v>
      </c>
      <c r="U111" t="s">
        <v>10</v>
      </c>
      <c r="V111">
        <v>4.5053462045820301E-2</v>
      </c>
      <c r="W111" t="s">
        <v>11</v>
      </c>
      <c r="X111" t="s">
        <v>259</v>
      </c>
      <c r="Y111" t="s">
        <v>53</v>
      </c>
      <c r="Z111">
        <v>0</v>
      </c>
      <c r="AA111" t="s">
        <v>14</v>
      </c>
      <c r="AB111" t="s">
        <v>15</v>
      </c>
      <c r="AC111" t="s">
        <v>260</v>
      </c>
      <c r="AD111" t="s">
        <v>251</v>
      </c>
      <c r="AE111">
        <v>0</v>
      </c>
      <c r="AF111" t="s">
        <v>18</v>
      </c>
    </row>
    <row r="112" spans="1:32" x14ac:dyDescent="0.3">
      <c r="A112" t="str">
        <f t="shared" si="2"/>
        <v>rsi_{'C',  [('delta', 0.1,  1)]}_[7,  35]_4</v>
      </c>
      <c r="B112" t="s">
        <v>530</v>
      </c>
      <c r="C112" t="s">
        <v>221</v>
      </c>
      <c r="D112" t="s">
        <v>1</v>
      </c>
      <c r="E112">
        <v>0.1</v>
      </c>
      <c r="F112" t="s">
        <v>2</v>
      </c>
      <c r="G112" t="s">
        <v>26</v>
      </c>
      <c r="H112" t="s">
        <v>4</v>
      </c>
      <c r="I112">
        <v>35</v>
      </c>
      <c r="J112" t="s">
        <v>5</v>
      </c>
      <c r="K112">
        <v>0</v>
      </c>
      <c r="L112" s="3">
        <f t="shared" si="3"/>
        <v>0</v>
      </c>
      <c r="M112" t="s">
        <v>6</v>
      </c>
      <c r="N112">
        <v>-8.85</v>
      </c>
      <c r="O112" t="s">
        <v>7</v>
      </c>
      <c r="P112">
        <v>-0.252857142857142</v>
      </c>
      <c r="Q112" t="s">
        <v>8</v>
      </c>
      <c r="R112" t="s">
        <v>248</v>
      </c>
      <c r="S112" t="s">
        <v>9</v>
      </c>
      <c r="T112">
        <v>-0.252857142857142</v>
      </c>
      <c r="U112" t="s">
        <v>10</v>
      </c>
      <c r="V112">
        <v>4.6893149417890898E-2</v>
      </c>
      <c r="W112" t="s">
        <v>11</v>
      </c>
      <c r="X112" t="s">
        <v>256</v>
      </c>
      <c r="Y112" t="s">
        <v>216</v>
      </c>
      <c r="Z112">
        <v>0</v>
      </c>
      <c r="AA112" t="s">
        <v>14</v>
      </c>
      <c r="AB112" t="s">
        <v>15</v>
      </c>
      <c r="AC112" t="s">
        <v>256</v>
      </c>
      <c r="AD112" t="s">
        <v>216</v>
      </c>
      <c r="AE112">
        <v>0</v>
      </c>
      <c r="AF112" t="s">
        <v>18</v>
      </c>
    </row>
    <row r="113" spans="1:32" x14ac:dyDescent="0.3">
      <c r="A113" t="str">
        <f t="shared" si="2"/>
        <v>rsi_{'C',  [('delta', 0.2,  1)]}_[35,  70]_4</v>
      </c>
      <c r="B113" t="s">
        <v>526</v>
      </c>
      <c r="C113" t="s">
        <v>221</v>
      </c>
      <c r="D113" t="s">
        <v>1</v>
      </c>
      <c r="E113">
        <v>0.2</v>
      </c>
      <c r="F113" t="s">
        <v>37</v>
      </c>
      <c r="G113" t="s">
        <v>44</v>
      </c>
      <c r="H113" t="s">
        <v>4</v>
      </c>
      <c r="I113">
        <v>40</v>
      </c>
      <c r="J113" t="s">
        <v>5</v>
      </c>
      <c r="K113">
        <v>4</v>
      </c>
      <c r="L113" s="3">
        <f t="shared" si="3"/>
        <v>0.1</v>
      </c>
      <c r="M113" t="s">
        <v>6</v>
      </c>
      <c r="N113">
        <v>-9.0399999999999903</v>
      </c>
      <c r="O113" t="s">
        <v>7</v>
      </c>
      <c r="P113">
        <v>-0.22599999999999901</v>
      </c>
      <c r="Q113" t="s">
        <v>8</v>
      </c>
      <c r="R113">
        <v>7.0525000000000002</v>
      </c>
      <c r="S113" t="s">
        <v>9</v>
      </c>
      <c r="T113">
        <v>-1.0347222222222201</v>
      </c>
      <c r="U113" t="s">
        <v>10</v>
      </c>
      <c r="V113">
        <v>0.22278781171040399</v>
      </c>
      <c r="W113" t="s">
        <v>11</v>
      </c>
      <c r="X113" t="s">
        <v>163</v>
      </c>
      <c r="Y113" t="s">
        <v>17</v>
      </c>
      <c r="Z113">
        <v>0</v>
      </c>
      <c r="AA113" t="s">
        <v>14</v>
      </c>
      <c r="AB113" t="s">
        <v>15</v>
      </c>
      <c r="AC113" t="s">
        <v>163</v>
      </c>
      <c r="AD113" t="s">
        <v>17</v>
      </c>
      <c r="AE113">
        <v>0</v>
      </c>
      <c r="AF113" t="s">
        <v>18</v>
      </c>
    </row>
    <row r="114" spans="1:32" x14ac:dyDescent="0.3">
      <c r="A114" t="str">
        <f t="shared" si="2"/>
        <v>psar_{'C',  [('delta', 0.2,  1)]}_[7,  35]_1</v>
      </c>
      <c r="B114" t="s">
        <v>415</v>
      </c>
      <c r="C114" t="s">
        <v>134</v>
      </c>
      <c r="D114" t="s">
        <v>1</v>
      </c>
      <c r="E114">
        <v>0.2</v>
      </c>
      <c r="F114" t="s">
        <v>2</v>
      </c>
      <c r="G114" t="s">
        <v>3</v>
      </c>
      <c r="H114" t="s">
        <v>4</v>
      </c>
      <c r="I114">
        <v>140</v>
      </c>
      <c r="J114" t="s">
        <v>5</v>
      </c>
      <c r="K114">
        <v>36</v>
      </c>
      <c r="L114" s="3">
        <f t="shared" si="3"/>
        <v>0.25714285714285712</v>
      </c>
      <c r="M114" t="s">
        <v>6</v>
      </c>
      <c r="N114">
        <v>-9.21999999999999</v>
      </c>
      <c r="O114" t="s">
        <v>7</v>
      </c>
      <c r="P114">
        <v>-6.5857142857142795E-2</v>
      </c>
      <c r="Q114" t="s">
        <v>8</v>
      </c>
      <c r="R114">
        <v>1.4350000000000001</v>
      </c>
      <c r="S114" t="s">
        <v>9</v>
      </c>
      <c r="T114">
        <v>-0.58538461538461495</v>
      </c>
      <c r="U114" t="s">
        <v>10</v>
      </c>
      <c r="V114">
        <v>0.230514398785164</v>
      </c>
      <c r="W114" t="s">
        <v>11</v>
      </c>
      <c r="X114" t="s">
        <v>155</v>
      </c>
      <c r="Y114" t="s">
        <v>75</v>
      </c>
      <c r="Z114">
        <v>0</v>
      </c>
      <c r="AA114" t="s">
        <v>14</v>
      </c>
      <c r="AB114" t="s">
        <v>15</v>
      </c>
      <c r="AC114" t="s">
        <v>155</v>
      </c>
      <c r="AD114" t="s">
        <v>75</v>
      </c>
      <c r="AE114">
        <v>0</v>
      </c>
      <c r="AF114" t="s">
        <v>18</v>
      </c>
    </row>
    <row r="115" spans="1:32" x14ac:dyDescent="0.3">
      <c r="A115" t="str">
        <f t="shared" si="2"/>
        <v>rsi_{'C',  [('delta', 0.1,  1)]}_[21,  49]_3</v>
      </c>
      <c r="B115" t="s">
        <v>533</v>
      </c>
      <c r="C115" t="s">
        <v>221</v>
      </c>
      <c r="D115" t="s">
        <v>1</v>
      </c>
      <c r="E115">
        <v>0.1</v>
      </c>
      <c r="F115" t="s">
        <v>27</v>
      </c>
      <c r="G115" t="s">
        <v>33</v>
      </c>
      <c r="H115" t="s">
        <v>4</v>
      </c>
      <c r="I115">
        <v>33</v>
      </c>
      <c r="J115" t="s">
        <v>5</v>
      </c>
      <c r="K115">
        <v>0</v>
      </c>
      <c r="L115" s="3">
        <f t="shared" si="3"/>
        <v>0</v>
      </c>
      <c r="M115" t="s">
        <v>6</v>
      </c>
      <c r="N115">
        <v>-9.56</v>
      </c>
      <c r="O115" t="s">
        <v>7</v>
      </c>
      <c r="P115">
        <v>-0.28969696969696901</v>
      </c>
      <c r="Q115" t="s">
        <v>8</v>
      </c>
      <c r="R115" t="s">
        <v>248</v>
      </c>
      <c r="S115" t="s">
        <v>9</v>
      </c>
      <c r="T115">
        <v>-0.28969696969696901</v>
      </c>
      <c r="U115" t="s">
        <v>10</v>
      </c>
      <c r="V115">
        <v>3.7991081234143499E-2</v>
      </c>
      <c r="W115" t="s">
        <v>11</v>
      </c>
      <c r="X115" t="s">
        <v>257</v>
      </c>
      <c r="Y115" t="s">
        <v>258</v>
      </c>
      <c r="Z115">
        <v>0</v>
      </c>
      <c r="AA115" t="s">
        <v>14</v>
      </c>
      <c r="AB115" t="s">
        <v>15</v>
      </c>
      <c r="AC115" t="s">
        <v>257</v>
      </c>
      <c r="AD115" t="s">
        <v>258</v>
      </c>
      <c r="AE115">
        <v>0</v>
      </c>
      <c r="AF115" t="s">
        <v>18</v>
      </c>
    </row>
    <row r="116" spans="1:32" x14ac:dyDescent="0.3">
      <c r="A116" t="str">
        <f t="shared" si="2"/>
        <v>rsi_{'C',  [('delta', 0.1,  1)]}_[21,  49]_4</v>
      </c>
      <c r="B116" t="s">
        <v>534</v>
      </c>
      <c r="C116" t="s">
        <v>221</v>
      </c>
      <c r="D116" t="s">
        <v>1</v>
      </c>
      <c r="E116">
        <v>0.1</v>
      </c>
      <c r="F116" t="s">
        <v>27</v>
      </c>
      <c r="G116" t="s">
        <v>36</v>
      </c>
      <c r="H116" t="s">
        <v>4</v>
      </c>
      <c r="I116">
        <v>33</v>
      </c>
      <c r="J116" t="s">
        <v>5</v>
      </c>
      <c r="K116">
        <v>0</v>
      </c>
      <c r="L116" s="3">
        <f t="shared" si="3"/>
        <v>0</v>
      </c>
      <c r="M116" t="s">
        <v>6</v>
      </c>
      <c r="N116">
        <v>-9.56</v>
      </c>
      <c r="O116" t="s">
        <v>7</v>
      </c>
      <c r="P116">
        <v>-0.28969696969696901</v>
      </c>
      <c r="Q116" t="s">
        <v>8</v>
      </c>
      <c r="R116" t="s">
        <v>248</v>
      </c>
      <c r="S116" t="s">
        <v>9</v>
      </c>
      <c r="T116">
        <v>-0.28969696969696901</v>
      </c>
      <c r="U116" t="s">
        <v>10</v>
      </c>
      <c r="V116">
        <v>3.7991081234143499E-2</v>
      </c>
      <c r="W116" t="s">
        <v>11</v>
      </c>
      <c r="X116" t="s">
        <v>257</v>
      </c>
      <c r="Y116" t="s">
        <v>258</v>
      </c>
      <c r="Z116">
        <v>0</v>
      </c>
      <c r="AA116" t="s">
        <v>14</v>
      </c>
      <c r="AB116" t="s">
        <v>15</v>
      </c>
      <c r="AC116" t="s">
        <v>257</v>
      </c>
      <c r="AD116" t="s">
        <v>258</v>
      </c>
      <c r="AE116">
        <v>0</v>
      </c>
      <c r="AF116" t="s">
        <v>18</v>
      </c>
    </row>
    <row r="117" spans="1:32" x14ac:dyDescent="0.3">
      <c r="A117" t="str">
        <f t="shared" si="2"/>
        <v>psar_no_highvol_{'C',  [('delta', 0.2,  1)]}_[7,  35]_3</v>
      </c>
      <c r="B117" t="s">
        <v>467</v>
      </c>
      <c r="C117" t="s">
        <v>175</v>
      </c>
      <c r="D117" t="s">
        <v>1</v>
      </c>
      <c r="E117">
        <v>0.2</v>
      </c>
      <c r="F117" t="s">
        <v>2</v>
      </c>
      <c r="G117" t="s">
        <v>23</v>
      </c>
      <c r="H117" t="s">
        <v>4</v>
      </c>
      <c r="I117">
        <v>102</v>
      </c>
      <c r="J117" t="s">
        <v>5</v>
      </c>
      <c r="K117">
        <v>12</v>
      </c>
      <c r="L117" s="3">
        <f t="shared" si="3"/>
        <v>0.11764705882352941</v>
      </c>
      <c r="M117" t="s">
        <v>6</v>
      </c>
      <c r="N117">
        <v>-9.6799999999999393</v>
      </c>
      <c r="O117" t="s">
        <v>7</v>
      </c>
      <c r="P117">
        <v>-9.4901960784313205E-2</v>
      </c>
      <c r="Q117" t="s">
        <v>8</v>
      </c>
      <c r="R117">
        <v>3.39916666666667</v>
      </c>
      <c r="S117" t="s">
        <v>9</v>
      </c>
      <c r="T117">
        <v>-0.56077777777777704</v>
      </c>
      <c r="U117" t="s">
        <v>10</v>
      </c>
      <c r="V117">
        <v>0.22673828638691099</v>
      </c>
      <c r="W117" t="s">
        <v>11</v>
      </c>
      <c r="X117" t="s">
        <v>210</v>
      </c>
      <c r="Y117" t="s">
        <v>160</v>
      </c>
      <c r="Z117">
        <v>0</v>
      </c>
      <c r="AA117" t="s">
        <v>14</v>
      </c>
      <c r="AB117" t="s">
        <v>15</v>
      </c>
      <c r="AC117" t="s">
        <v>210</v>
      </c>
      <c r="AD117" t="s">
        <v>160</v>
      </c>
      <c r="AE117">
        <v>0</v>
      </c>
      <c r="AF117" t="s">
        <v>18</v>
      </c>
    </row>
    <row r="118" spans="1:32" x14ac:dyDescent="0.3">
      <c r="A118" t="str">
        <f t="shared" si="2"/>
        <v>rsi_{'C',  [('delta', 0.2,  1)]}_[35,  70]_1</v>
      </c>
      <c r="B118" t="s">
        <v>523</v>
      </c>
      <c r="C118" t="s">
        <v>221</v>
      </c>
      <c r="D118" t="s">
        <v>1</v>
      </c>
      <c r="E118">
        <v>0.2</v>
      </c>
      <c r="F118" t="s">
        <v>37</v>
      </c>
      <c r="G118" t="s">
        <v>38</v>
      </c>
      <c r="H118" t="s">
        <v>4</v>
      </c>
      <c r="I118">
        <v>40</v>
      </c>
      <c r="J118" t="s">
        <v>5</v>
      </c>
      <c r="K118">
        <v>10</v>
      </c>
      <c r="L118" s="3">
        <f t="shared" si="3"/>
        <v>0.25</v>
      </c>
      <c r="M118" t="s">
        <v>6</v>
      </c>
      <c r="N118">
        <v>-9.7599999999999891</v>
      </c>
      <c r="O118" t="s">
        <v>7</v>
      </c>
      <c r="P118">
        <v>-0.243999999999999</v>
      </c>
      <c r="Q118" t="s">
        <v>8</v>
      </c>
      <c r="R118">
        <v>2.0299999999999998</v>
      </c>
      <c r="S118" t="s">
        <v>9</v>
      </c>
      <c r="T118">
        <v>-1.002</v>
      </c>
      <c r="U118" t="s">
        <v>10</v>
      </c>
      <c r="V118">
        <v>0.144760941453312</v>
      </c>
      <c r="W118" t="s">
        <v>11</v>
      </c>
      <c r="X118" t="s">
        <v>249</v>
      </c>
      <c r="Y118" t="s">
        <v>103</v>
      </c>
      <c r="Z118">
        <v>0</v>
      </c>
      <c r="AA118" t="s">
        <v>14</v>
      </c>
      <c r="AB118" t="s">
        <v>15</v>
      </c>
      <c r="AC118" t="s">
        <v>250</v>
      </c>
      <c r="AD118" t="s">
        <v>251</v>
      </c>
      <c r="AE118">
        <v>0</v>
      </c>
      <c r="AF118" t="s">
        <v>18</v>
      </c>
    </row>
    <row r="119" spans="1:32" x14ac:dyDescent="0.3">
      <c r="A119" t="str">
        <f t="shared" si="2"/>
        <v>psar_{'C',  [('delta', 0.4,  1)]}_[7,  35]_1</v>
      </c>
      <c r="B119" t="s">
        <v>389</v>
      </c>
      <c r="C119" t="s">
        <v>134</v>
      </c>
      <c r="D119" t="s">
        <v>1</v>
      </c>
      <c r="E119">
        <v>0.4</v>
      </c>
      <c r="F119" t="s">
        <v>2</v>
      </c>
      <c r="G119" t="s">
        <v>3</v>
      </c>
      <c r="H119" t="s">
        <v>4</v>
      </c>
      <c r="I119">
        <v>140</v>
      </c>
      <c r="J119" t="s">
        <v>5</v>
      </c>
      <c r="K119">
        <v>44</v>
      </c>
      <c r="L119" s="3">
        <f t="shared" si="3"/>
        <v>0.31428571428571428</v>
      </c>
      <c r="M119" t="s">
        <v>6</v>
      </c>
      <c r="N119">
        <v>-9.8899999999999295</v>
      </c>
      <c r="O119" t="s">
        <v>7</v>
      </c>
      <c r="P119">
        <v>-7.0642857142856605E-2</v>
      </c>
      <c r="Q119" t="s">
        <v>8</v>
      </c>
      <c r="R119">
        <v>3.3061363636363601</v>
      </c>
      <c r="S119" t="s">
        <v>9</v>
      </c>
      <c r="T119">
        <v>-1.6183333333333301</v>
      </c>
      <c r="U119" t="s">
        <v>10</v>
      </c>
      <c r="V119">
        <v>0.55119990689405596</v>
      </c>
      <c r="W119" t="s">
        <v>11</v>
      </c>
      <c r="X119" t="s">
        <v>135</v>
      </c>
      <c r="Y119" t="s">
        <v>75</v>
      </c>
      <c r="Z119">
        <v>0</v>
      </c>
      <c r="AA119" t="s">
        <v>14</v>
      </c>
      <c r="AB119" t="s">
        <v>15</v>
      </c>
      <c r="AC119" t="s">
        <v>136</v>
      </c>
      <c r="AD119" t="s">
        <v>137</v>
      </c>
      <c r="AE119">
        <v>0</v>
      </c>
      <c r="AF119" t="s">
        <v>18</v>
      </c>
    </row>
    <row r="120" spans="1:32" x14ac:dyDescent="0.3">
      <c r="A120" t="str">
        <f t="shared" si="2"/>
        <v>psar_no_highvol_{'C',  [('delta', 0.2,  1)]}_[7,  35]_1</v>
      </c>
      <c r="B120" t="s">
        <v>465</v>
      </c>
      <c r="C120" t="s">
        <v>175</v>
      </c>
      <c r="D120" t="s">
        <v>1</v>
      </c>
      <c r="E120">
        <v>0.2</v>
      </c>
      <c r="F120" t="s">
        <v>2</v>
      </c>
      <c r="G120" t="s">
        <v>3</v>
      </c>
      <c r="H120" t="s">
        <v>4</v>
      </c>
      <c r="I120">
        <v>102</v>
      </c>
      <c r="J120" t="s">
        <v>5</v>
      </c>
      <c r="K120">
        <v>25</v>
      </c>
      <c r="L120" s="3">
        <f t="shared" si="3"/>
        <v>0.24509803921568626</v>
      </c>
      <c r="M120" t="s">
        <v>6</v>
      </c>
      <c r="N120">
        <v>-10.24</v>
      </c>
      <c r="O120" t="s">
        <v>7</v>
      </c>
      <c r="P120">
        <v>-0.100392156862745</v>
      </c>
      <c r="Q120" t="s">
        <v>8</v>
      </c>
      <c r="R120">
        <v>1.2484</v>
      </c>
      <c r="S120" t="s">
        <v>9</v>
      </c>
      <c r="T120">
        <v>-0.53831168831168796</v>
      </c>
      <c r="U120" t="s">
        <v>10</v>
      </c>
      <c r="V120">
        <v>0.13763004028606601</v>
      </c>
      <c r="W120" t="s">
        <v>11</v>
      </c>
      <c r="X120" t="s">
        <v>207</v>
      </c>
      <c r="Y120" t="s">
        <v>208</v>
      </c>
      <c r="Z120">
        <v>0</v>
      </c>
      <c r="AA120" t="s">
        <v>14</v>
      </c>
      <c r="AB120" t="s">
        <v>15</v>
      </c>
      <c r="AC120" t="s">
        <v>207</v>
      </c>
      <c r="AD120" t="s">
        <v>208</v>
      </c>
      <c r="AE120">
        <v>0</v>
      </c>
      <c r="AF120" t="s">
        <v>18</v>
      </c>
    </row>
    <row r="121" spans="1:32" x14ac:dyDescent="0.3">
      <c r="A121" t="str">
        <f t="shared" si="2"/>
        <v>psar_no_highvol_{'C',  [('delta', 0.4,  1)]}_[7,  35]_3</v>
      </c>
      <c r="B121" t="s">
        <v>442</v>
      </c>
      <c r="C121" t="s">
        <v>175</v>
      </c>
      <c r="D121" t="s">
        <v>1</v>
      </c>
      <c r="E121">
        <v>0.4</v>
      </c>
      <c r="F121" t="s">
        <v>2</v>
      </c>
      <c r="G121" t="s">
        <v>23</v>
      </c>
      <c r="H121" t="s">
        <v>4</v>
      </c>
      <c r="I121">
        <v>102</v>
      </c>
      <c r="J121" t="s">
        <v>5</v>
      </c>
      <c r="K121">
        <v>20</v>
      </c>
      <c r="L121" s="3">
        <f t="shared" si="3"/>
        <v>0.19607843137254902</v>
      </c>
      <c r="M121" t="s">
        <v>6</v>
      </c>
      <c r="N121">
        <v>-10.4199999999999</v>
      </c>
      <c r="O121" t="s">
        <v>7</v>
      </c>
      <c r="P121">
        <v>-0.102156862745097</v>
      </c>
      <c r="Q121" t="s">
        <v>8</v>
      </c>
      <c r="R121">
        <v>5.8574999999999999</v>
      </c>
      <c r="S121" t="s">
        <v>9</v>
      </c>
      <c r="T121">
        <v>-1.55573170731707</v>
      </c>
      <c r="U121" t="s">
        <v>10</v>
      </c>
      <c r="V121">
        <v>0.45818800349431699</v>
      </c>
      <c r="W121" t="s">
        <v>11</v>
      </c>
      <c r="X121" t="s">
        <v>177</v>
      </c>
      <c r="Y121" t="s">
        <v>160</v>
      </c>
      <c r="Z121">
        <v>0</v>
      </c>
      <c r="AA121" t="s">
        <v>14</v>
      </c>
      <c r="AB121" t="s">
        <v>15</v>
      </c>
      <c r="AC121" t="s">
        <v>177</v>
      </c>
      <c r="AD121" t="s">
        <v>160</v>
      </c>
      <c r="AE121">
        <v>0</v>
      </c>
      <c r="AF121" t="s">
        <v>18</v>
      </c>
    </row>
    <row r="122" spans="1:32" x14ac:dyDescent="0.3">
      <c r="A122" t="str">
        <f t="shared" si="2"/>
        <v>rsi_{'C',  [('delta', 0.2,  1)]}_[35,  70]_3</v>
      </c>
      <c r="B122" t="s">
        <v>525</v>
      </c>
      <c r="C122" t="s">
        <v>221</v>
      </c>
      <c r="D122" t="s">
        <v>1</v>
      </c>
      <c r="E122">
        <v>0.2</v>
      </c>
      <c r="F122" t="s">
        <v>37</v>
      </c>
      <c r="G122" t="s">
        <v>42</v>
      </c>
      <c r="H122" t="s">
        <v>4</v>
      </c>
      <c r="I122">
        <v>40</v>
      </c>
      <c r="J122" t="s">
        <v>5</v>
      </c>
      <c r="K122">
        <v>5</v>
      </c>
      <c r="L122" s="3">
        <f t="shared" si="3"/>
        <v>0.125</v>
      </c>
      <c r="M122" t="s">
        <v>6</v>
      </c>
      <c r="N122">
        <v>-10.7699999999999</v>
      </c>
      <c r="O122" t="s">
        <v>7</v>
      </c>
      <c r="P122">
        <v>-0.26924999999999899</v>
      </c>
      <c r="Q122" t="s">
        <v>8</v>
      </c>
      <c r="R122">
        <v>5.0819999999999999</v>
      </c>
      <c r="S122" t="s">
        <v>9</v>
      </c>
      <c r="T122">
        <v>-1.03371428571428</v>
      </c>
      <c r="U122" t="s">
        <v>10</v>
      </c>
      <c r="V122">
        <v>0.18696178774837799</v>
      </c>
      <c r="W122" t="s">
        <v>11</v>
      </c>
      <c r="X122" t="s">
        <v>163</v>
      </c>
      <c r="Y122" t="s">
        <v>17</v>
      </c>
      <c r="Z122">
        <v>0</v>
      </c>
      <c r="AA122" t="s">
        <v>14</v>
      </c>
      <c r="AB122" t="s">
        <v>15</v>
      </c>
      <c r="AC122" t="s">
        <v>163</v>
      </c>
      <c r="AD122" t="s">
        <v>17</v>
      </c>
      <c r="AE122">
        <v>0</v>
      </c>
      <c r="AF122" t="s">
        <v>18</v>
      </c>
    </row>
    <row r="123" spans="1:32" x14ac:dyDescent="0.3">
      <c r="A123" t="str">
        <f t="shared" si="2"/>
        <v>psar_no_highvol_{'C',  [('delta', 0.3,  1)]}_[7,  35]_2</v>
      </c>
      <c r="B123" t="s">
        <v>454</v>
      </c>
      <c r="C123" t="s">
        <v>175</v>
      </c>
      <c r="D123" t="s">
        <v>1</v>
      </c>
      <c r="E123">
        <v>0.3</v>
      </c>
      <c r="F123" t="s">
        <v>2</v>
      </c>
      <c r="G123" t="s">
        <v>19</v>
      </c>
      <c r="H123" t="s">
        <v>4</v>
      </c>
      <c r="I123">
        <v>102</v>
      </c>
      <c r="J123" t="s">
        <v>5</v>
      </c>
      <c r="K123">
        <v>18</v>
      </c>
      <c r="L123" s="3">
        <f t="shared" si="3"/>
        <v>0.17647058823529413</v>
      </c>
      <c r="M123" t="s">
        <v>6</v>
      </c>
      <c r="N123">
        <v>-11.0899999999999</v>
      </c>
      <c r="O123" t="s">
        <v>7</v>
      </c>
      <c r="P123">
        <v>-0.108725490196077</v>
      </c>
      <c r="Q123" t="s">
        <v>8</v>
      </c>
      <c r="R123">
        <v>3.86944444444444</v>
      </c>
      <c r="S123" t="s">
        <v>9</v>
      </c>
      <c r="T123">
        <v>-0.96119047619047604</v>
      </c>
      <c r="U123" t="s">
        <v>10</v>
      </c>
      <c r="V123">
        <v>0.31504679083262299</v>
      </c>
      <c r="W123" t="s">
        <v>11</v>
      </c>
      <c r="X123" t="s">
        <v>198</v>
      </c>
      <c r="Y123" t="s">
        <v>25</v>
      </c>
      <c r="Z123">
        <v>0</v>
      </c>
      <c r="AA123" t="s">
        <v>14</v>
      </c>
      <c r="AB123" t="s">
        <v>15</v>
      </c>
      <c r="AC123" t="s">
        <v>198</v>
      </c>
      <c r="AD123" t="s">
        <v>25</v>
      </c>
      <c r="AE123">
        <v>0</v>
      </c>
      <c r="AF123" t="s">
        <v>18</v>
      </c>
    </row>
    <row r="124" spans="1:32" x14ac:dyDescent="0.3">
      <c r="A124" t="str">
        <f t="shared" si="2"/>
        <v>psar_no_highvol_{'C',  [('delta', 0.4,  1)]}_[35,  70]_2</v>
      </c>
      <c r="B124" t="s">
        <v>450</v>
      </c>
      <c r="C124" t="s">
        <v>175</v>
      </c>
      <c r="D124" t="s">
        <v>1</v>
      </c>
      <c r="E124">
        <v>0.4</v>
      </c>
      <c r="F124" t="s">
        <v>37</v>
      </c>
      <c r="G124" t="s">
        <v>40</v>
      </c>
      <c r="H124" t="s">
        <v>4</v>
      </c>
      <c r="I124">
        <v>130</v>
      </c>
      <c r="J124" t="s">
        <v>5</v>
      </c>
      <c r="K124">
        <v>30</v>
      </c>
      <c r="L124" s="3">
        <f t="shared" si="3"/>
        <v>0.23076923076923078</v>
      </c>
      <c r="M124" t="s">
        <v>6</v>
      </c>
      <c r="N124">
        <v>-11.3128955123144</v>
      </c>
      <c r="O124" t="s">
        <v>7</v>
      </c>
      <c r="P124">
        <v>-8.7022273171649595E-2</v>
      </c>
      <c r="Q124" t="s">
        <v>8</v>
      </c>
      <c r="R124">
        <v>7.17447927612751</v>
      </c>
      <c r="S124" t="s">
        <v>9</v>
      </c>
      <c r="T124">
        <v>-2.2654727379613901</v>
      </c>
      <c r="U124" t="s">
        <v>10</v>
      </c>
      <c r="V124">
        <v>0.696505081623219</v>
      </c>
      <c r="W124" t="s">
        <v>11</v>
      </c>
      <c r="X124" t="s">
        <v>191</v>
      </c>
      <c r="Y124" t="s">
        <v>192</v>
      </c>
      <c r="Z124">
        <v>0</v>
      </c>
      <c r="AA124" t="s">
        <v>14</v>
      </c>
      <c r="AB124" t="s">
        <v>15</v>
      </c>
      <c r="AC124" t="s">
        <v>193</v>
      </c>
      <c r="AD124" t="s">
        <v>194</v>
      </c>
      <c r="AE124">
        <v>0</v>
      </c>
      <c r="AF124" t="s">
        <v>18</v>
      </c>
    </row>
    <row r="125" spans="1:32" x14ac:dyDescent="0.3">
      <c r="A125" t="str">
        <f t="shared" si="2"/>
        <v>rsi_{'C',  [('delta', 0.1,  1)]}_[35,  70]_2</v>
      </c>
      <c r="B125" t="s">
        <v>536</v>
      </c>
      <c r="C125" t="s">
        <v>221</v>
      </c>
      <c r="D125" t="s">
        <v>1</v>
      </c>
      <c r="E125">
        <v>0.1</v>
      </c>
      <c r="F125" t="s">
        <v>37</v>
      </c>
      <c r="G125" t="s">
        <v>40</v>
      </c>
      <c r="H125" t="s">
        <v>4</v>
      </c>
      <c r="I125">
        <v>40</v>
      </c>
      <c r="J125" t="s">
        <v>5</v>
      </c>
      <c r="K125">
        <v>2</v>
      </c>
      <c r="L125" s="3">
        <f t="shared" si="3"/>
        <v>0.05</v>
      </c>
      <c r="M125" t="s">
        <v>6</v>
      </c>
      <c r="N125">
        <v>-11.91</v>
      </c>
      <c r="O125" t="s">
        <v>7</v>
      </c>
      <c r="P125">
        <v>-0.29775000000000001</v>
      </c>
      <c r="Q125" t="s">
        <v>8</v>
      </c>
      <c r="R125">
        <v>1.3199999999999901</v>
      </c>
      <c r="S125" t="s">
        <v>9</v>
      </c>
      <c r="T125">
        <v>-0.38289473684210501</v>
      </c>
      <c r="U125" t="s">
        <v>10</v>
      </c>
      <c r="V125">
        <v>5.0874882648634698E-2</v>
      </c>
      <c r="W125" t="s">
        <v>11</v>
      </c>
      <c r="X125" t="s">
        <v>261</v>
      </c>
      <c r="Y125" t="s">
        <v>216</v>
      </c>
      <c r="Z125">
        <v>0</v>
      </c>
      <c r="AA125" t="s">
        <v>14</v>
      </c>
      <c r="AB125" t="s">
        <v>15</v>
      </c>
      <c r="AC125" t="s">
        <v>260</v>
      </c>
      <c r="AD125" t="s">
        <v>251</v>
      </c>
      <c r="AE125">
        <v>0</v>
      </c>
      <c r="AF125" t="s">
        <v>18</v>
      </c>
    </row>
    <row r="126" spans="1:32" x14ac:dyDescent="0.3">
      <c r="A126" t="str">
        <f t="shared" si="2"/>
        <v>rsi_{'C',  [('delta', 0.1,  1)]}_[35,  70]_4</v>
      </c>
      <c r="B126" t="s">
        <v>538</v>
      </c>
      <c r="C126" t="s">
        <v>221</v>
      </c>
      <c r="D126" t="s">
        <v>1</v>
      </c>
      <c r="E126">
        <v>0.1</v>
      </c>
      <c r="F126" t="s">
        <v>37</v>
      </c>
      <c r="G126" t="s">
        <v>44</v>
      </c>
      <c r="H126" t="s">
        <v>4</v>
      </c>
      <c r="I126">
        <v>40</v>
      </c>
      <c r="J126" t="s">
        <v>5</v>
      </c>
      <c r="K126">
        <v>1</v>
      </c>
      <c r="L126" s="3">
        <f t="shared" si="3"/>
        <v>2.5000000000000001E-2</v>
      </c>
      <c r="M126" t="s">
        <v>6</v>
      </c>
      <c r="N126">
        <v>-12.58</v>
      </c>
      <c r="O126" t="s">
        <v>7</v>
      </c>
      <c r="P126">
        <v>-0.3145</v>
      </c>
      <c r="Q126" t="s">
        <v>8</v>
      </c>
      <c r="R126">
        <v>2.4</v>
      </c>
      <c r="S126" t="s">
        <v>9</v>
      </c>
      <c r="T126">
        <v>-0.38410256410256399</v>
      </c>
      <c r="U126" t="s">
        <v>10</v>
      </c>
      <c r="V126">
        <v>5.3849105475443498E-2</v>
      </c>
      <c r="W126" t="s">
        <v>11</v>
      </c>
      <c r="X126" t="s">
        <v>261</v>
      </c>
      <c r="Y126" t="s">
        <v>216</v>
      </c>
      <c r="Z126">
        <v>0</v>
      </c>
      <c r="AA126" t="s">
        <v>14</v>
      </c>
      <c r="AB126" t="s">
        <v>15</v>
      </c>
      <c r="AC126" t="s">
        <v>260</v>
      </c>
      <c r="AD126" t="s">
        <v>251</v>
      </c>
      <c r="AE126">
        <v>0</v>
      </c>
      <c r="AF126" t="s">
        <v>18</v>
      </c>
    </row>
    <row r="127" spans="1:32" x14ac:dyDescent="0.3">
      <c r="A127" t="str">
        <f t="shared" si="2"/>
        <v>psar_no_highvol_{'C',  [('delta', 0.2,  1)]}_[21,  49]_2</v>
      </c>
      <c r="B127" t="s">
        <v>470</v>
      </c>
      <c r="C127" t="s">
        <v>175</v>
      </c>
      <c r="D127" t="s">
        <v>1</v>
      </c>
      <c r="E127">
        <v>0.2</v>
      </c>
      <c r="F127" t="s">
        <v>27</v>
      </c>
      <c r="G127" t="s">
        <v>30</v>
      </c>
      <c r="H127" t="s">
        <v>4</v>
      </c>
      <c r="I127">
        <v>98</v>
      </c>
      <c r="J127" t="s">
        <v>5</v>
      </c>
      <c r="K127">
        <v>17</v>
      </c>
      <c r="L127" s="3">
        <f t="shared" si="3"/>
        <v>0.17346938775510204</v>
      </c>
      <c r="M127" t="s">
        <v>6</v>
      </c>
      <c r="N127">
        <v>-12.649999999999901</v>
      </c>
      <c r="O127" t="s">
        <v>7</v>
      </c>
      <c r="P127">
        <v>-0.129081632653061</v>
      </c>
      <c r="Q127" t="s">
        <v>8</v>
      </c>
      <c r="R127">
        <v>2.5488235294117598</v>
      </c>
      <c r="S127" t="s">
        <v>9</v>
      </c>
      <c r="T127">
        <v>-0.69111111111111101</v>
      </c>
      <c r="U127" t="s">
        <v>10</v>
      </c>
      <c r="V127">
        <v>0.19908490537693599</v>
      </c>
      <c r="W127" t="s">
        <v>11</v>
      </c>
      <c r="X127" t="s">
        <v>159</v>
      </c>
      <c r="Y127" t="s">
        <v>160</v>
      </c>
      <c r="Z127">
        <v>0</v>
      </c>
      <c r="AA127" t="s">
        <v>14</v>
      </c>
      <c r="AB127" t="s">
        <v>15</v>
      </c>
      <c r="AC127" t="s">
        <v>159</v>
      </c>
      <c r="AD127" t="s">
        <v>160</v>
      </c>
      <c r="AE127">
        <v>0</v>
      </c>
      <c r="AF127" t="s">
        <v>18</v>
      </c>
    </row>
    <row r="128" spans="1:32" x14ac:dyDescent="0.3">
      <c r="A128" t="str">
        <f t="shared" si="2"/>
        <v>psar_no_highvol_{'C',  [('delta', 0.3,  1)]}_[21,  49]_2</v>
      </c>
      <c r="B128" t="s">
        <v>458</v>
      </c>
      <c r="C128" t="s">
        <v>175</v>
      </c>
      <c r="D128" t="s">
        <v>1</v>
      </c>
      <c r="E128">
        <v>0.3</v>
      </c>
      <c r="F128" t="s">
        <v>27</v>
      </c>
      <c r="G128" t="s">
        <v>30</v>
      </c>
      <c r="H128" t="s">
        <v>4</v>
      </c>
      <c r="I128">
        <v>98</v>
      </c>
      <c r="J128" t="s">
        <v>5</v>
      </c>
      <c r="K128">
        <v>19</v>
      </c>
      <c r="L128" s="3">
        <f t="shared" si="3"/>
        <v>0.19387755102040816</v>
      </c>
      <c r="M128" t="s">
        <v>6</v>
      </c>
      <c r="N128">
        <v>-13.1899999999999</v>
      </c>
      <c r="O128" t="s">
        <v>7</v>
      </c>
      <c r="P128">
        <v>-0.13459183673469299</v>
      </c>
      <c r="Q128" t="s">
        <v>8</v>
      </c>
      <c r="R128">
        <v>4.3468421052631498</v>
      </c>
      <c r="S128" t="s">
        <v>9</v>
      </c>
      <c r="T128">
        <v>-1.2124050632911301</v>
      </c>
      <c r="U128" t="s">
        <v>10</v>
      </c>
      <c r="V128">
        <v>0.33976538439854997</v>
      </c>
      <c r="W128" t="s">
        <v>11</v>
      </c>
      <c r="X128" t="s">
        <v>198</v>
      </c>
      <c r="Y128" t="s">
        <v>25</v>
      </c>
      <c r="Z128">
        <v>0</v>
      </c>
      <c r="AA128" t="s">
        <v>14</v>
      </c>
      <c r="AB128" t="s">
        <v>15</v>
      </c>
      <c r="AC128" t="s">
        <v>200</v>
      </c>
      <c r="AD128" t="s">
        <v>181</v>
      </c>
      <c r="AE128">
        <v>0</v>
      </c>
      <c r="AF128" t="s">
        <v>18</v>
      </c>
    </row>
    <row r="129" spans="1:32" x14ac:dyDescent="0.3">
      <c r="A129" t="str">
        <f t="shared" si="2"/>
        <v>rsi_{'C',  [('delta', 0.2,  1)]}_[7,  35]_2</v>
      </c>
      <c r="B129" t="s">
        <v>516</v>
      </c>
      <c r="C129" t="s">
        <v>221</v>
      </c>
      <c r="D129" t="s">
        <v>1</v>
      </c>
      <c r="E129">
        <v>0.2</v>
      </c>
      <c r="F129" t="s">
        <v>2</v>
      </c>
      <c r="G129" t="s">
        <v>19</v>
      </c>
      <c r="H129" t="s">
        <v>4</v>
      </c>
      <c r="I129">
        <v>35</v>
      </c>
      <c r="J129" t="s">
        <v>5</v>
      </c>
      <c r="K129">
        <v>3</v>
      </c>
      <c r="L129" s="3">
        <f t="shared" si="3"/>
        <v>8.5714285714285715E-2</v>
      </c>
      <c r="M129" t="s">
        <v>6</v>
      </c>
      <c r="N129">
        <v>-13.219999999999899</v>
      </c>
      <c r="O129" t="s">
        <v>7</v>
      </c>
      <c r="P129">
        <v>-0.377714285714285</v>
      </c>
      <c r="Q129" t="s">
        <v>8</v>
      </c>
      <c r="R129">
        <v>3.0433333333333299</v>
      </c>
      <c r="S129" t="s">
        <v>9</v>
      </c>
      <c r="T129">
        <v>-0.69843749999999905</v>
      </c>
      <c r="U129" t="s">
        <v>10</v>
      </c>
      <c r="V129">
        <v>0.10949276341781999</v>
      </c>
      <c r="W129" t="s">
        <v>11</v>
      </c>
      <c r="X129" t="s">
        <v>156</v>
      </c>
      <c r="Y129" t="s">
        <v>53</v>
      </c>
      <c r="Z129">
        <v>0</v>
      </c>
      <c r="AA129" t="s">
        <v>14</v>
      </c>
      <c r="AB129" t="s">
        <v>15</v>
      </c>
      <c r="AC129" t="s">
        <v>156</v>
      </c>
      <c r="AD129" t="s">
        <v>53</v>
      </c>
      <c r="AE129">
        <v>0</v>
      </c>
      <c r="AF129" t="s">
        <v>18</v>
      </c>
    </row>
    <row r="130" spans="1:32" x14ac:dyDescent="0.3">
      <c r="A130" t="str">
        <f t="shared" ref="A130:A193" si="4">_xlfn.TEXTJOIN(", ", FALSE, C130,D130,E130,F130,G130)</f>
        <v>stoch_{'C',  [('delta', 0.1,  1)]}_[7,  35]_3</v>
      </c>
      <c r="B130" t="s">
        <v>577</v>
      </c>
      <c r="C130" t="s">
        <v>262</v>
      </c>
      <c r="D130" t="s">
        <v>1</v>
      </c>
      <c r="E130">
        <v>0.1</v>
      </c>
      <c r="F130" t="s">
        <v>2</v>
      </c>
      <c r="G130" t="s">
        <v>23</v>
      </c>
      <c r="H130" t="s">
        <v>4</v>
      </c>
      <c r="I130">
        <v>224</v>
      </c>
      <c r="J130" t="s">
        <v>5</v>
      </c>
      <c r="K130">
        <v>19</v>
      </c>
      <c r="L130" s="3">
        <f t="shared" si="3"/>
        <v>8.4821428571428575E-2</v>
      </c>
      <c r="M130" t="s">
        <v>6</v>
      </c>
      <c r="N130">
        <v>-13.4299999999999</v>
      </c>
      <c r="O130" t="s">
        <v>7</v>
      </c>
      <c r="P130">
        <v>-5.9955357142857102E-2</v>
      </c>
      <c r="Q130" t="s">
        <v>8</v>
      </c>
      <c r="R130">
        <v>2.5352631578947298</v>
      </c>
      <c r="S130" t="s">
        <v>9</v>
      </c>
      <c r="T130">
        <v>-0.30048780487804799</v>
      </c>
      <c r="U130" t="s">
        <v>10</v>
      </c>
      <c r="V130">
        <v>0.24873127032954001</v>
      </c>
      <c r="W130" t="s">
        <v>11</v>
      </c>
      <c r="X130" t="s">
        <v>101</v>
      </c>
      <c r="Y130" t="s">
        <v>25</v>
      </c>
      <c r="Z130">
        <v>0</v>
      </c>
      <c r="AA130" t="s">
        <v>14</v>
      </c>
      <c r="AB130" t="s">
        <v>15</v>
      </c>
      <c r="AC130" t="s">
        <v>285</v>
      </c>
      <c r="AD130" t="s">
        <v>91</v>
      </c>
      <c r="AE130">
        <v>0</v>
      </c>
      <c r="AF130" t="s">
        <v>18</v>
      </c>
    </row>
    <row r="131" spans="1:32" x14ac:dyDescent="0.3">
      <c r="A131" t="str">
        <f t="shared" si="4"/>
        <v>stoch_{'C',  [('delta', 0.1,  1)]}_[7,  35]_4</v>
      </c>
      <c r="B131" t="s">
        <v>578</v>
      </c>
      <c r="C131" t="s">
        <v>262</v>
      </c>
      <c r="D131" t="s">
        <v>1</v>
      </c>
      <c r="E131">
        <v>0.1</v>
      </c>
      <c r="F131" t="s">
        <v>2</v>
      </c>
      <c r="G131" t="s">
        <v>26</v>
      </c>
      <c r="H131" t="s">
        <v>4</v>
      </c>
      <c r="I131">
        <v>224</v>
      </c>
      <c r="J131" t="s">
        <v>5</v>
      </c>
      <c r="K131">
        <v>17</v>
      </c>
      <c r="L131" s="3">
        <f t="shared" ref="L131:L194" si="5">K131/I131</f>
        <v>7.5892857142857137E-2</v>
      </c>
      <c r="M131" t="s">
        <v>6</v>
      </c>
      <c r="N131">
        <v>-13.4299999999999</v>
      </c>
      <c r="O131" t="s">
        <v>7</v>
      </c>
      <c r="P131">
        <v>-5.9955357142857102E-2</v>
      </c>
      <c r="Q131" t="s">
        <v>8</v>
      </c>
      <c r="R131">
        <v>2.8729411764705799</v>
      </c>
      <c r="S131" t="s">
        <v>9</v>
      </c>
      <c r="T131">
        <v>-0.30082125603864701</v>
      </c>
      <c r="U131" t="s">
        <v>10</v>
      </c>
      <c r="V131">
        <v>0.25519868199293999</v>
      </c>
      <c r="W131" t="s">
        <v>11</v>
      </c>
      <c r="X131" t="s">
        <v>101</v>
      </c>
      <c r="Y131" t="s">
        <v>25</v>
      </c>
      <c r="Z131">
        <v>0</v>
      </c>
      <c r="AA131" t="s">
        <v>14</v>
      </c>
      <c r="AB131" t="s">
        <v>15</v>
      </c>
      <c r="AC131" t="s">
        <v>285</v>
      </c>
      <c r="AD131" t="s">
        <v>91</v>
      </c>
      <c r="AE131">
        <v>0</v>
      </c>
      <c r="AF131" t="s">
        <v>18</v>
      </c>
    </row>
    <row r="132" spans="1:32" x14ac:dyDescent="0.3">
      <c r="A132" t="str">
        <f t="shared" si="4"/>
        <v>rsi_{'C',  [('delta', 0.1,  1)]}_[35,  70]_3</v>
      </c>
      <c r="B132" t="s">
        <v>537</v>
      </c>
      <c r="C132" t="s">
        <v>221</v>
      </c>
      <c r="D132" t="s">
        <v>1</v>
      </c>
      <c r="E132">
        <v>0.1</v>
      </c>
      <c r="F132" t="s">
        <v>37</v>
      </c>
      <c r="G132" t="s">
        <v>42</v>
      </c>
      <c r="H132" t="s">
        <v>4</v>
      </c>
      <c r="I132">
        <v>40</v>
      </c>
      <c r="J132" t="s">
        <v>5</v>
      </c>
      <c r="K132">
        <v>1</v>
      </c>
      <c r="L132" s="3">
        <f t="shared" si="5"/>
        <v>2.5000000000000001E-2</v>
      </c>
      <c r="M132" t="s">
        <v>6</v>
      </c>
      <c r="N132">
        <v>-13.47</v>
      </c>
      <c r="O132" t="s">
        <v>7</v>
      </c>
      <c r="P132">
        <v>-0.33674999999999999</v>
      </c>
      <c r="Q132" t="s">
        <v>8</v>
      </c>
      <c r="R132">
        <v>1.51</v>
      </c>
      <c r="S132" t="s">
        <v>9</v>
      </c>
      <c r="T132">
        <v>-0.38410256410256399</v>
      </c>
      <c r="U132" t="s">
        <v>10</v>
      </c>
      <c r="V132">
        <v>5.3083396324889301E-2</v>
      </c>
      <c r="W132" t="s">
        <v>11</v>
      </c>
      <c r="X132" t="s">
        <v>261</v>
      </c>
      <c r="Y132" t="s">
        <v>216</v>
      </c>
      <c r="Z132">
        <v>0</v>
      </c>
      <c r="AA132" t="s">
        <v>14</v>
      </c>
      <c r="AB132" t="s">
        <v>15</v>
      </c>
      <c r="AC132" t="s">
        <v>260</v>
      </c>
      <c r="AD132" t="s">
        <v>251</v>
      </c>
      <c r="AE132">
        <v>0</v>
      </c>
      <c r="AF132" t="s">
        <v>18</v>
      </c>
    </row>
    <row r="133" spans="1:32" x14ac:dyDescent="0.3">
      <c r="A133" t="str">
        <f t="shared" si="4"/>
        <v>bbands_{'C',  [('delta', 0.1,  1)]}_[7,  35]_1</v>
      </c>
      <c r="B133" t="s">
        <v>377</v>
      </c>
      <c r="C133" t="s">
        <v>113</v>
      </c>
      <c r="D133" t="s">
        <v>1</v>
      </c>
      <c r="E133">
        <v>0.1</v>
      </c>
      <c r="F133" t="s">
        <v>2</v>
      </c>
      <c r="G133" t="s">
        <v>3</v>
      </c>
      <c r="H133" t="s">
        <v>4</v>
      </c>
      <c r="I133">
        <v>191</v>
      </c>
      <c r="J133" t="s">
        <v>5</v>
      </c>
      <c r="K133">
        <v>46</v>
      </c>
      <c r="L133" s="3">
        <f t="shared" si="5"/>
        <v>0.24083769633507854</v>
      </c>
      <c r="M133" t="s">
        <v>6</v>
      </c>
      <c r="N133">
        <v>-13.989999999999901</v>
      </c>
      <c r="O133" t="s">
        <v>7</v>
      </c>
      <c r="P133">
        <v>-7.3246073298429207E-2</v>
      </c>
      <c r="Q133" t="s">
        <v>8</v>
      </c>
      <c r="R133">
        <v>0.98826086956521697</v>
      </c>
      <c r="S133" t="s">
        <v>9</v>
      </c>
      <c r="T133">
        <v>-0.40999999999999898</v>
      </c>
      <c r="U133" t="s">
        <v>10</v>
      </c>
      <c r="V133">
        <v>0.168204055681341</v>
      </c>
      <c r="W133" t="s">
        <v>11</v>
      </c>
      <c r="X133" t="s">
        <v>89</v>
      </c>
      <c r="Y133" t="s">
        <v>13</v>
      </c>
      <c r="Z133">
        <v>0</v>
      </c>
      <c r="AA133" t="s">
        <v>14</v>
      </c>
      <c r="AB133" t="s">
        <v>15</v>
      </c>
      <c r="AC133" t="s">
        <v>127</v>
      </c>
      <c r="AD133" t="s">
        <v>91</v>
      </c>
      <c r="AE133">
        <v>0</v>
      </c>
      <c r="AF133" t="s">
        <v>18</v>
      </c>
    </row>
    <row r="134" spans="1:32" x14ac:dyDescent="0.3">
      <c r="A134" t="str">
        <f t="shared" si="4"/>
        <v>rsi_{'C',  [('delta', 0.2,  1)]}_[35,  70]_2</v>
      </c>
      <c r="B134" t="s">
        <v>524</v>
      </c>
      <c r="C134" t="s">
        <v>221</v>
      </c>
      <c r="D134" t="s">
        <v>1</v>
      </c>
      <c r="E134">
        <v>0.2</v>
      </c>
      <c r="F134" t="s">
        <v>37</v>
      </c>
      <c r="G134" t="s">
        <v>40</v>
      </c>
      <c r="H134" t="s">
        <v>4</v>
      </c>
      <c r="I134">
        <v>40</v>
      </c>
      <c r="J134" t="s">
        <v>5</v>
      </c>
      <c r="K134">
        <v>6</v>
      </c>
      <c r="L134" s="3">
        <f t="shared" si="5"/>
        <v>0.15</v>
      </c>
      <c r="M134" t="s">
        <v>6</v>
      </c>
      <c r="N134">
        <v>-14.12</v>
      </c>
      <c r="O134" t="s">
        <v>7</v>
      </c>
      <c r="P134">
        <v>-0.35299999999999998</v>
      </c>
      <c r="Q134" t="s">
        <v>8</v>
      </c>
      <c r="R134">
        <v>3.4566666666666599</v>
      </c>
      <c r="S134" t="s">
        <v>9</v>
      </c>
      <c r="T134">
        <v>-1.02529411764705</v>
      </c>
      <c r="U134" t="s">
        <v>10</v>
      </c>
      <c r="V134">
        <v>0.17888213512322601</v>
      </c>
      <c r="W134" t="s">
        <v>11</v>
      </c>
      <c r="X134" t="s">
        <v>163</v>
      </c>
      <c r="Y134" t="s">
        <v>17</v>
      </c>
      <c r="Z134">
        <v>0</v>
      </c>
      <c r="AA134" t="s">
        <v>14</v>
      </c>
      <c r="AB134" t="s">
        <v>15</v>
      </c>
      <c r="AC134" t="s">
        <v>163</v>
      </c>
      <c r="AD134" t="s">
        <v>17</v>
      </c>
      <c r="AE134">
        <v>0</v>
      </c>
      <c r="AF134" t="s">
        <v>18</v>
      </c>
    </row>
    <row r="135" spans="1:32" x14ac:dyDescent="0.3">
      <c r="A135" t="str">
        <f t="shared" si="4"/>
        <v>stoch_{'C',  [('delta', 0.2,  1)]}_[35,  70]_3</v>
      </c>
      <c r="B135" t="s">
        <v>573</v>
      </c>
      <c r="C135" t="s">
        <v>262</v>
      </c>
      <c r="D135" t="s">
        <v>1</v>
      </c>
      <c r="E135">
        <v>0.2</v>
      </c>
      <c r="F135" t="s">
        <v>37</v>
      </c>
      <c r="G135" t="s">
        <v>42</v>
      </c>
      <c r="H135" t="s">
        <v>4</v>
      </c>
      <c r="I135">
        <v>291</v>
      </c>
      <c r="J135" t="s">
        <v>5</v>
      </c>
      <c r="K135">
        <v>46</v>
      </c>
      <c r="L135" s="3">
        <f t="shared" si="5"/>
        <v>0.15807560137457044</v>
      </c>
      <c r="M135" t="s">
        <v>6</v>
      </c>
      <c r="N135">
        <v>-14.3420238413742</v>
      </c>
      <c r="O135" t="s">
        <v>7</v>
      </c>
      <c r="P135">
        <v>-4.9285305296818502E-2</v>
      </c>
      <c r="Q135" t="s">
        <v>8</v>
      </c>
      <c r="R135">
        <v>5.2864249172643696</v>
      </c>
      <c r="S135" t="s">
        <v>9</v>
      </c>
      <c r="T135">
        <v>-1.05109212259402</v>
      </c>
      <c r="U135" t="s">
        <v>10</v>
      </c>
      <c r="V135">
        <v>0.81388986726993495</v>
      </c>
      <c r="W135" t="s">
        <v>11</v>
      </c>
      <c r="X135" t="s">
        <v>281</v>
      </c>
      <c r="Y135" t="s">
        <v>17</v>
      </c>
      <c r="Z135">
        <v>0</v>
      </c>
      <c r="AA135" t="s">
        <v>14</v>
      </c>
      <c r="AB135" t="s">
        <v>15</v>
      </c>
      <c r="AC135" t="s">
        <v>282</v>
      </c>
      <c r="AD135" t="s">
        <v>53</v>
      </c>
      <c r="AE135">
        <v>0</v>
      </c>
      <c r="AF135" t="s">
        <v>18</v>
      </c>
    </row>
    <row r="136" spans="1:32" x14ac:dyDescent="0.3">
      <c r="A136" t="str">
        <f t="shared" si="4"/>
        <v>rsi_{'C',  [('delta', 0.3,  1)]}_[7,  35]_2</v>
      </c>
      <c r="B136" t="s">
        <v>504</v>
      </c>
      <c r="C136" t="s">
        <v>221</v>
      </c>
      <c r="D136" t="s">
        <v>1</v>
      </c>
      <c r="E136">
        <v>0.3</v>
      </c>
      <c r="F136" t="s">
        <v>2</v>
      </c>
      <c r="G136" t="s">
        <v>19</v>
      </c>
      <c r="H136" t="s">
        <v>4</v>
      </c>
      <c r="I136">
        <v>35</v>
      </c>
      <c r="J136" t="s">
        <v>5</v>
      </c>
      <c r="K136">
        <v>5</v>
      </c>
      <c r="L136" s="3">
        <f t="shared" si="5"/>
        <v>0.14285714285714285</v>
      </c>
      <c r="M136" t="s">
        <v>6</v>
      </c>
      <c r="N136">
        <v>-15.01</v>
      </c>
      <c r="O136" t="s">
        <v>7</v>
      </c>
      <c r="P136">
        <v>-0.42885714285714299</v>
      </c>
      <c r="Q136" t="s">
        <v>8</v>
      </c>
      <c r="R136">
        <v>4.3399999999999901</v>
      </c>
      <c r="S136" t="s">
        <v>9</v>
      </c>
      <c r="T136">
        <v>-1.22366666666666</v>
      </c>
      <c r="U136" t="s">
        <v>10</v>
      </c>
      <c r="V136">
        <v>0.20913089808735699</v>
      </c>
      <c r="W136" t="s">
        <v>11</v>
      </c>
      <c r="X136" t="s">
        <v>147</v>
      </c>
      <c r="Y136" t="s">
        <v>53</v>
      </c>
      <c r="Z136">
        <v>0</v>
      </c>
      <c r="AA136" t="s">
        <v>14</v>
      </c>
      <c r="AB136" t="s">
        <v>15</v>
      </c>
      <c r="AC136" t="s">
        <v>147</v>
      </c>
      <c r="AD136" t="s">
        <v>53</v>
      </c>
      <c r="AE136">
        <v>0</v>
      </c>
      <c r="AF136" t="s">
        <v>18</v>
      </c>
    </row>
    <row r="137" spans="1:32" x14ac:dyDescent="0.3">
      <c r="A137" t="str">
        <f t="shared" si="4"/>
        <v>psar_no_highvol_{'C',  [('delta', 0.3,  1)]}_[7,  35]_1</v>
      </c>
      <c r="B137" t="s">
        <v>453</v>
      </c>
      <c r="C137" t="s">
        <v>175</v>
      </c>
      <c r="D137" t="s">
        <v>1</v>
      </c>
      <c r="E137">
        <v>0.3</v>
      </c>
      <c r="F137" t="s">
        <v>2</v>
      </c>
      <c r="G137" t="s">
        <v>3</v>
      </c>
      <c r="H137" t="s">
        <v>4</v>
      </c>
      <c r="I137">
        <v>102</v>
      </c>
      <c r="J137" t="s">
        <v>5</v>
      </c>
      <c r="K137">
        <v>27</v>
      </c>
      <c r="L137" s="3">
        <f t="shared" si="5"/>
        <v>0.26470588235294118</v>
      </c>
      <c r="M137" t="s">
        <v>6</v>
      </c>
      <c r="N137">
        <v>-15.059999999999899</v>
      </c>
      <c r="O137" t="s">
        <v>7</v>
      </c>
      <c r="P137">
        <v>-0.14764705882352899</v>
      </c>
      <c r="Q137" t="s">
        <v>8</v>
      </c>
      <c r="R137">
        <v>2.0696296296296302</v>
      </c>
      <c r="S137" t="s">
        <v>9</v>
      </c>
      <c r="T137">
        <v>-0.94586666666666597</v>
      </c>
      <c r="U137" t="s">
        <v>10</v>
      </c>
      <c r="V137">
        <v>0.240506371555327</v>
      </c>
      <c r="W137" t="s">
        <v>11</v>
      </c>
      <c r="X137" t="s">
        <v>196</v>
      </c>
      <c r="Y137" t="s">
        <v>197</v>
      </c>
      <c r="Z137">
        <v>0</v>
      </c>
      <c r="AA137" t="s">
        <v>14</v>
      </c>
      <c r="AB137" t="s">
        <v>15</v>
      </c>
      <c r="AC137" t="s">
        <v>196</v>
      </c>
      <c r="AD137" t="s">
        <v>197</v>
      </c>
      <c r="AE137">
        <v>0</v>
      </c>
      <c r="AF137" t="s">
        <v>18</v>
      </c>
    </row>
    <row r="138" spans="1:32" x14ac:dyDescent="0.3">
      <c r="A138" t="str">
        <f t="shared" si="4"/>
        <v>rsi_{'C',  [('delta', 0.2,  1)]}_[21,  49]_1</v>
      </c>
      <c r="B138" t="s">
        <v>519</v>
      </c>
      <c r="C138" t="s">
        <v>221</v>
      </c>
      <c r="D138" t="s">
        <v>1</v>
      </c>
      <c r="E138">
        <v>0.2</v>
      </c>
      <c r="F138" t="s">
        <v>27</v>
      </c>
      <c r="G138" t="s">
        <v>28</v>
      </c>
      <c r="H138" t="s">
        <v>4</v>
      </c>
      <c r="I138">
        <v>33</v>
      </c>
      <c r="J138" t="s">
        <v>5</v>
      </c>
      <c r="K138">
        <v>5</v>
      </c>
      <c r="L138" s="3">
        <f t="shared" si="5"/>
        <v>0.15151515151515152</v>
      </c>
      <c r="M138" t="s">
        <v>6</v>
      </c>
      <c r="N138">
        <v>-15.319999999999901</v>
      </c>
      <c r="O138" t="s">
        <v>7</v>
      </c>
      <c r="P138">
        <v>-0.46424242424242401</v>
      </c>
      <c r="Q138" t="s">
        <v>8</v>
      </c>
      <c r="R138">
        <v>1.20799999999999</v>
      </c>
      <c r="S138" t="s">
        <v>9</v>
      </c>
      <c r="T138">
        <v>-0.76285714285714201</v>
      </c>
      <c r="U138" t="s">
        <v>10</v>
      </c>
      <c r="V138">
        <v>8.2950766448892599E-2</v>
      </c>
      <c r="W138" t="s">
        <v>11</v>
      </c>
      <c r="X138" t="s">
        <v>244</v>
      </c>
      <c r="Y138" t="s">
        <v>245</v>
      </c>
      <c r="Z138">
        <v>0</v>
      </c>
      <c r="AA138" t="s">
        <v>14</v>
      </c>
      <c r="AB138" t="s">
        <v>15</v>
      </c>
      <c r="AC138" t="s">
        <v>244</v>
      </c>
      <c r="AD138" t="s">
        <v>245</v>
      </c>
      <c r="AE138">
        <v>0</v>
      </c>
      <c r="AF138" t="s">
        <v>18</v>
      </c>
    </row>
    <row r="139" spans="1:32" x14ac:dyDescent="0.3">
      <c r="A139" t="str">
        <f t="shared" si="4"/>
        <v>psar_no_highvol_{'C',  [('delta', 0.3,  1)]}_[21,  49]_1</v>
      </c>
      <c r="B139" t="s">
        <v>457</v>
      </c>
      <c r="C139" t="s">
        <v>175</v>
      </c>
      <c r="D139" t="s">
        <v>1</v>
      </c>
      <c r="E139">
        <v>0.3</v>
      </c>
      <c r="F139" t="s">
        <v>27</v>
      </c>
      <c r="G139" t="s">
        <v>28</v>
      </c>
      <c r="H139" t="s">
        <v>4</v>
      </c>
      <c r="I139">
        <v>98</v>
      </c>
      <c r="J139" t="s">
        <v>5</v>
      </c>
      <c r="K139">
        <v>29</v>
      </c>
      <c r="L139" s="3">
        <f t="shared" si="5"/>
        <v>0.29591836734693877</v>
      </c>
      <c r="M139" t="s">
        <v>6</v>
      </c>
      <c r="N139">
        <v>-15.5099999999999</v>
      </c>
      <c r="O139" t="s">
        <v>7</v>
      </c>
      <c r="P139">
        <v>-0.15826530612244799</v>
      </c>
      <c r="Q139" t="s">
        <v>8</v>
      </c>
      <c r="R139">
        <v>2.32620689655172</v>
      </c>
      <c r="S139" t="s">
        <v>9</v>
      </c>
      <c r="T139">
        <v>-1.20246376811594</v>
      </c>
      <c r="U139" t="s">
        <v>10</v>
      </c>
      <c r="V139">
        <v>0.27069801589398601</v>
      </c>
      <c r="W139" t="s">
        <v>11</v>
      </c>
      <c r="X139" t="s">
        <v>196</v>
      </c>
      <c r="Y139" t="s">
        <v>197</v>
      </c>
      <c r="Z139">
        <v>0</v>
      </c>
      <c r="AA139" t="s">
        <v>14</v>
      </c>
      <c r="AB139" t="s">
        <v>15</v>
      </c>
      <c r="AC139" t="s">
        <v>196</v>
      </c>
      <c r="AD139" t="s">
        <v>197</v>
      </c>
      <c r="AE139">
        <v>0</v>
      </c>
      <c r="AF139" t="s">
        <v>18</v>
      </c>
    </row>
    <row r="140" spans="1:32" x14ac:dyDescent="0.3">
      <c r="A140" t="str">
        <f t="shared" si="4"/>
        <v>rsi_{'C',  [('delta', 0.2,  1)]}_[21,  49]_2</v>
      </c>
      <c r="B140" t="s">
        <v>520</v>
      </c>
      <c r="C140" t="s">
        <v>221</v>
      </c>
      <c r="D140" t="s">
        <v>1</v>
      </c>
      <c r="E140">
        <v>0.2</v>
      </c>
      <c r="F140" t="s">
        <v>27</v>
      </c>
      <c r="G140" t="s">
        <v>30</v>
      </c>
      <c r="H140" t="s">
        <v>4</v>
      </c>
      <c r="I140">
        <v>33</v>
      </c>
      <c r="J140" t="s">
        <v>5</v>
      </c>
      <c r="K140">
        <v>2</v>
      </c>
      <c r="L140" s="3">
        <f t="shared" si="5"/>
        <v>6.0606060606060608E-2</v>
      </c>
      <c r="M140" t="s">
        <v>6</v>
      </c>
      <c r="N140">
        <v>-16.249999999999901</v>
      </c>
      <c r="O140" t="s">
        <v>7</v>
      </c>
      <c r="P140">
        <v>-0.49242424242424099</v>
      </c>
      <c r="Q140" t="s">
        <v>8</v>
      </c>
      <c r="R140">
        <v>3.37</v>
      </c>
      <c r="S140" t="s">
        <v>9</v>
      </c>
      <c r="T140">
        <v>-0.74161290322580598</v>
      </c>
      <c r="U140" t="s">
        <v>10</v>
      </c>
      <c r="V140">
        <v>9.5442884416986506E-2</v>
      </c>
      <c r="W140" t="s">
        <v>11</v>
      </c>
      <c r="X140" t="s">
        <v>244</v>
      </c>
      <c r="Y140" t="s">
        <v>245</v>
      </c>
      <c r="Z140">
        <v>0</v>
      </c>
      <c r="AA140" t="s">
        <v>14</v>
      </c>
      <c r="AB140" t="s">
        <v>15</v>
      </c>
      <c r="AC140" t="s">
        <v>244</v>
      </c>
      <c r="AD140" t="s">
        <v>245</v>
      </c>
      <c r="AE140">
        <v>0</v>
      </c>
      <c r="AF140" t="s">
        <v>18</v>
      </c>
    </row>
    <row r="141" spans="1:32" x14ac:dyDescent="0.3">
      <c r="A141" t="str">
        <f t="shared" si="4"/>
        <v>stoch_{'C',  [('delta', 0.4,  1)]}_[35,  70]_1</v>
      </c>
      <c r="B141" t="s">
        <v>547</v>
      </c>
      <c r="C141" t="s">
        <v>262</v>
      </c>
      <c r="D141" t="s">
        <v>1</v>
      </c>
      <c r="E141">
        <v>0.4</v>
      </c>
      <c r="F141" t="s">
        <v>37</v>
      </c>
      <c r="G141" t="s">
        <v>38</v>
      </c>
      <c r="H141" t="s">
        <v>4</v>
      </c>
      <c r="I141">
        <v>291</v>
      </c>
      <c r="J141" t="s">
        <v>5</v>
      </c>
      <c r="K141">
        <v>100</v>
      </c>
      <c r="L141" s="3">
        <f t="shared" si="5"/>
        <v>0.3436426116838488</v>
      </c>
      <c r="M141" t="s">
        <v>6</v>
      </c>
      <c r="N141">
        <v>-16.2835883973551</v>
      </c>
      <c r="O141" t="s">
        <v>7</v>
      </c>
      <c r="P141">
        <v>-5.5957348444519397E-2</v>
      </c>
      <c r="Q141" t="s">
        <v>8</v>
      </c>
      <c r="R141">
        <v>5.2145821826998802</v>
      </c>
      <c r="S141" t="s">
        <v>9</v>
      </c>
      <c r="T141">
        <v>-2.8154021291483899</v>
      </c>
      <c r="U141" t="s">
        <v>10</v>
      </c>
      <c r="V141">
        <v>1.4639238843715301</v>
      </c>
      <c r="W141" t="s">
        <v>11</v>
      </c>
      <c r="X141" t="s">
        <v>116</v>
      </c>
      <c r="Y141" t="s">
        <v>91</v>
      </c>
      <c r="Z141">
        <v>0</v>
      </c>
      <c r="AA141" t="s">
        <v>14</v>
      </c>
      <c r="AB141" t="s">
        <v>15</v>
      </c>
      <c r="AC141" t="s">
        <v>270</v>
      </c>
      <c r="AD141" t="s">
        <v>91</v>
      </c>
      <c r="AE141">
        <v>0</v>
      </c>
      <c r="AF141" t="s">
        <v>18</v>
      </c>
    </row>
    <row r="142" spans="1:32" x14ac:dyDescent="0.3">
      <c r="A142" t="str">
        <f t="shared" si="4"/>
        <v>stoch_{'C',  [('delta', 0.2,  1)]}_[35,  70]_2</v>
      </c>
      <c r="B142" t="s">
        <v>572</v>
      </c>
      <c r="C142" t="s">
        <v>262</v>
      </c>
      <c r="D142" t="s">
        <v>1</v>
      </c>
      <c r="E142">
        <v>0.2</v>
      </c>
      <c r="F142" t="s">
        <v>37</v>
      </c>
      <c r="G142" t="s">
        <v>40</v>
      </c>
      <c r="H142" t="s">
        <v>4</v>
      </c>
      <c r="I142">
        <v>291</v>
      </c>
      <c r="J142" t="s">
        <v>5</v>
      </c>
      <c r="K142">
        <v>63</v>
      </c>
      <c r="L142" s="3">
        <f t="shared" si="5"/>
        <v>0.21649484536082475</v>
      </c>
      <c r="M142" t="s">
        <v>6</v>
      </c>
      <c r="N142">
        <v>-16.530445117279601</v>
      </c>
      <c r="O142" t="s">
        <v>7</v>
      </c>
      <c r="P142">
        <v>-5.68056533239851E-2</v>
      </c>
      <c r="Q142" t="s">
        <v>8</v>
      </c>
      <c r="R142">
        <v>3.56789087171834</v>
      </c>
      <c r="S142" t="s">
        <v>9</v>
      </c>
      <c r="T142">
        <v>-1.0583665352435701</v>
      </c>
      <c r="U142" t="s">
        <v>10</v>
      </c>
      <c r="V142">
        <v>0.71292712058740404</v>
      </c>
      <c r="W142" t="s">
        <v>11</v>
      </c>
      <c r="X142" t="s">
        <v>163</v>
      </c>
      <c r="Y142" t="s">
        <v>17</v>
      </c>
      <c r="Z142">
        <v>0</v>
      </c>
      <c r="AA142" t="s">
        <v>14</v>
      </c>
      <c r="AB142" t="s">
        <v>15</v>
      </c>
      <c r="AC142" t="s">
        <v>280</v>
      </c>
      <c r="AD142" t="s">
        <v>91</v>
      </c>
      <c r="AE142">
        <v>0</v>
      </c>
      <c r="AF142" t="s">
        <v>18</v>
      </c>
    </row>
    <row r="143" spans="1:32" x14ac:dyDescent="0.3">
      <c r="A143" t="str">
        <f t="shared" si="4"/>
        <v>bbands_{'C',  [('delta', 0.1,  1)]}_[21,  49]_4</v>
      </c>
      <c r="B143" t="s">
        <v>384</v>
      </c>
      <c r="C143" t="s">
        <v>113</v>
      </c>
      <c r="D143" t="s">
        <v>1</v>
      </c>
      <c r="E143">
        <v>0.1</v>
      </c>
      <c r="F143" t="s">
        <v>27</v>
      </c>
      <c r="G143" t="s">
        <v>36</v>
      </c>
      <c r="H143" t="s">
        <v>4</v>
      </c>
      <c r="I143">
        <v>200</v>
      </c>
      <c r="J143" t="s">
        <v>5</v>
      </c>
      <c r="K143">
        <v>18</v>
      </c>
      <c r="L143" s="3">
        <f t="shared" si="5"/>
        <v>0.09</v>
      </c>
      <c r="M143" t="s">
        <v>6</v>
      </c>
      <c r="N143">
        <v>-16.54</v>
      </c>
      <c r="O143" t="s">
        <v>7</v>
      </c>
      <c r="P143">
        <v>-8.2699999999999996E-2</v>
      </c>
      <c r="Q143" t="s">
        <v>8</v>
      </c>
      <c r="R143">
        <v>3.6744444444444402</v>
      </c>
      <c r="S143" t="s">
        <v>9</v>
      </c>
      <c r="T143">
        <v>-0.45428571428571402</v>
      </c>
      <c r="U143" t="s">
        <v>10</v>
      </c>
      <c r="V143">
        <v>0.30272329213493698</v>
      </c>
      <c r="W143" t="s">
        <v>11</v>
      </c>
      <c r="X143" t="s">
        <v>130</v>
      </c>
      <c r="Y143" t="s">
        <v>131</v>
      </c>
      <c r="Z143">
        <v>0</v>
      </c>
      <c r="AA143" t="s">
        <v>14</v>
      </c>
      <c r="AB143" t="s">
        <v>15</v>
      </c>
      <c r="AC143" t="s">
        <v>127</v>
      </c>
      <c r="AD143" t="s">
        <v>91</v>
      </c>
      <c r="AE143">
        <v>0</v>
      </c>
      <c r="AF143" t="s">
        <v>18</v>
      </c>
    </row>
    <row r="144" spans="1:32" x14ac:dyDescent="0.3">
      <c r="A144" t="str">
        <f t="shared" si="4"/>
        <v>psar_no_highvol_{'C',  [('delta', 0.2,  1)]}_[7,  35]_2</v>
      </c>
      <c r="B144" t="s">
        <v>466</v>
      </c>
      <c r="C144" t="s">
        <v>175</v>
      </c>
      <c r="D144" t="s">
        <v>1</v>
      </c>
      <c r="E144">
        <v>0.2</v>
      </c>
      <c r="F144" t="s">
        <v>2</v>
      </c>
      <c r="G144" t="s">
        <v>19</v>
      </c>
      <c r="H144" t="s">
        <v>4</v>
      </c>
      <c r="I144">
        <v>102</v>
      </c>
      <c r="J144" t="s">
        <v>5</v>
      </c>
      <c r="K144">
        <v>15</v>
      </c>
      <c r="L144" s="3">
        <f t="shared" si="5"/>
        <v>0.14705882352941177</v>
      </c>
      <c r="M144" t="s">
        <v>6</v>
      </c>
      <c r="N144">
        <v>-16.649999999999899</v>
      </c>
      <c r="O144" t="s">
        <v>7</v>
      </c>
      <c r="P144">
        <v>-0.16323529411764601</v>
      </c>
      <c r="Q144" t="s">
        <v>8</v>
      </c>
      <c r="R144">
        <v>2.13133333333333</v>
      </c>
      <c r="S144" t="s">
        <v>9</v>
      </c>
      <c r="T144">
        <v>-0.55885057471264299</v>
      </c>
      <c r="U144" t="s">
        <v>10</v>
      </c>
      <c r="V144">
        <v>0.176961258402246</v>
      </c>
      <c r="W144" t="s">
        <v>11</v>
      </c>
      <c r="X144" t="s">
        <v>209</v>
      </c>
      <c r="Y144" t="s">
        <v>206</v>
      </c>
      <c r="Z144">
        <v>0</v>
      </c>
      <c r="AA144" t="s">
        <v>14</v>
      </c>
      <c r="AB144" t="s">
        <v>15</v>
      </c>
      <c r="AC144" t="s">
        <v>209</v>
      </c>
      <c r="AD144" t="s">
        <v>206</v>
      </c>
      <c r="AE144">
        <v>0</v>
      </c>
      <c r="AF144" t="s">
        <v>18</v>
      </c>
    </row>
    <row r="145" spans="1:32" x14ac:dyDescent="0.3">
      <c r="A145" t="str">
        <f t="shared" si="4"/>
        <v>bbands_{'C',  [('delta', 0.1,  1)]}_[35,  70]_2</v>
      </c>
      <c r="B145" t="s">
        <v>386</v>
      </c>
      <c r="C145" t="s">
        <v>113</v>
      </c>
      <c r="D145" t="s">
        <v>1</v>
      </c>
      <c r="E145">
        <v>0.1</v>
      </c>
      <c r="F145" t="s">
        <v>37</v>
      </c>
      <c r="G145" t="s">
        <v>40</v>
      </c>
      <c r="H145" t="s">
        <v>4</v>
      </c>
      <c r="I145">
        <v>247</v>
      </c>
      <c r="J145" t="s">
        <v>5</v>
      </c>
      <c r="K145">
        <v>39</v>
      </c>
      <c r="L145" s="3">
        <f t="shared" si="5"/>
        <v>0.15789473684210525</v>
      </c>
      <c r="M145" t="s">
        <v>6</v>
      </c>
      <c r="N145">
        <v>-17.29</v>
      </c>
      <c r="O145" t="s">
        <v>7</v>
      </c>
      <c r="P145">
        <v>-7.0000000000000007E-2</v>
      </c>
      <c r="Q145" t="s">
        <v>8</v>
      </c>
      <c r="R145">
        <v>2.2269230769230699</v>
      </c>
      <c r="S145" t="s">
        <v>9</v>
      </c>
      <c r="T145">
        <v>-0.50067307692307605</v>
      </c>
      <c r="U145" t="s">
        <v>10</v>
      </c>
      <c r="V145">
        <v>0.32513856193473001</v>
      </c>
      <c r="W145" t="s">
        <v>11</v>
      </c>
      <c r="X145" t="s">
        <v>108</v>
      </c>
      <c r="Y145" t="s">
        <v>53</v>
      </c>
      <c r="Z145">
        <v>0</v>
      </c>
      <c r="AA145" t="s">
        <v>14</v>
      </c>
      <c r="AB145" t="s">
        <v>15</v>
      </c>
      <c r="AC145" t="s">
        <v>133</v>
      </c>
      <c r="AD145" t="s">
        <v>91</v>
      </c>
      <c r="AE145">
        <v>0</v>
      </c>
      <c r="AF145" t="s">
        <v>18</v>
      </c>
    </row>
    <row r="146" spans="1:32" x14ac:dyDescent="0.3">
      <c r="A146" t="str">
        <f t="shared" si="4"/>
        <v>psar_{'C',  [('delta', 0.2,  1)]}_[7,  35]_2</v>
      </c>
      <c r="B146" t="s">
        <v>416</v>
      </c>
      <c r="C146" t="s">
        <v>134</v>
      </c>
      <c r="D146" t="s">
        <v>1</v>
      </c>
      <c r="E146">
        <v>0.2</v>
      </c>
      <c r="F146" t="s">
        <v>2</v>
      </c>
      <c r="G146" t="s">
        <v>19</v>
      </c>
      <c r="H146" t="s">
        <v>4</v>
      </c>
      <c r="I146">
        <v>140</v>
      </c>
      <c r="J146" t="s">
        <v>5</v>
      </c>
      <c r="K146">
        <v>23</v>
      </c>
      <c r="L146" s="3">
        <f t="shared" si="5"/>
        <v>0.16428571428571428</v>
      </c>
      <c r="M146" t="s">
        <v>6</v>
      </c>
      <c r="N146">
        <v>-17.939999999999898</v>
      </c>
      <c r="O146" t="s">
        <v>7</v>
      </c>
      <c r="P146">
        <v>-0.128142857142856</v>
      </c>
      <c r="Q146" t="s">
        <v>8</v>
      </c>
      <c r="R146">
        <v>2.2934782608695601</v>
      </c>
      <c r="S146" t="s">
        <v>9</v>
      </c>
      <c r="T146">
        <v>-0.60418803418803402</v>
      </c>
      <c r="U146" t="s">
        <v>10</v>
      </c>
      <c r="V146">
        <v>0.28187977418404903</v>
      </c>
      <c r="W146" t="s">
        <v>11</v>
      </c>
      <c r="X146" t="s">
        <v>156</v>
      </c>
      <c r="Y146" t="s">
        <v>53</v>
      </c>
      <c r="Z146">
        <v>0</v>
      </c>
      <c r="AA146" t="s">
        <v>14</v>
      </c>
      <c r="AB146" t="s">
        <v>15</v>
      </c>
      <c r="AC146" t="s">
        <v>156</v>
      </c>
      <c r="AD146" t="s">
        <v>53</v>
      </c>
      <c r="AE146">
        <v>0</v>
      </c>
      <c r="AF146" t="s">
        <v>18</v>
      </c>
    </row>
    <row r="147" spans="1:32" x14ac:dyDescent="0.3">
      <c r="A147" t="str">
        <f t="shared" si="4"/>
        <v>rsi_{'C',  [('delta', 0.4,  1)]}_[7,  35]_3</v>
      </c>
      <c r="B147" t="s">
        <v>492</v>
      </c>
      <c r="C147" t="s">
        <v>221</v>
      </c>
      <c r="D147" t="s">
        <v>1</v>
      </c>
      <c r="E147">
        <v>0.4</v>
      </c>
      <c r="F147" t="s">
        <v>2</v>
      </c>
      <c r="G147" t="s">
        <v>23</v>
      </c>
      <c r="H147" t="s">
        <v>4</v>
      </c>
      <c r="I147">
        <v>35</v>
      </c>
      <c r="J147" t="s">
        <v>5</v>
      </c>
      <c r="K147">
        <v>9</v>
      </c>
      <c r="L147" s="3">
        <f t="shared" si="5"/>
        <v>0.25714285714285712</v>
      </c>
      <c r="M147" t="s">
        <v>6</v>
      </c>
      <c r="N147">
        <v>-18.34</v>
      </c>
      <c r="O147" t="s">
        <v>7</v>
      </c>
      <c r="P147">
        <v>-0.52400000000000102</v>
      </c>
      <c r="Q147" t="s">
        <v>8</v>
      </c>
      <c r="R147">
        <v>4.3366666666666598</v>
      </c>
      <c r="S147" t="s">
        <v>9</v>
      </c>
      <c r="T147">
        <v>-2.20653846153846</v>
      </c>
      <c r="U147" t="s">
        <v>10</v>
      </c>
      <c r="V147">
        <v>0.32124832481112903</v>
      </c>
      <c r="W147" t="s">
        <v>11</v>
      </c>
      <c r="X147" t="s">
        <v>138</v>
      </c>
      <c r="Y147" t="s">
        <v>53</v>
      </c>
      <c r="Z147">
        <v>0</v>
      </c>
      <c r="AA147" t="s">
        <v>14</v>
      </c>
      <c r="AB147" t="s">
        <v>15</v>
      </c>
      <c r="AC147" t="s">
        <v>138</v>
      </c>
      <c r="AD147" t="s">
        <v>53</v>
      </c>
      <c r="AE147">
        <v>0</v>
      </c>
      <c r="AF147" t="s">
        <v>18</v>
      </c>
    </row>
    <row r="148" spans="1:32" x14ac:dyDescent="0.3">
      <c r="A148" t="str">
        <f t="shared" si="4"/>
        <v>rsi_{'C',  [('delta', 0.4,  1)]}_[7,  35]_4</v>
      </c>
      <c r="B148" t="s">
        <v>493</v>
      </c>
      <c r="C148" t="s">
        <v>221</v>
      </c>
      <c r="D148" t="s">
        <v>1</v>
      </c>
      <c r="E148">
        <v>0.4</v>
      </c>
      <c r="F148" t="s">
        <v>2</v>
      </c>
      <c r="G148" t="s">
        <v>26</v>
      </c>
      <c r="H148" t="s">
        <v>4</v>
      </c>
      <c r="I148">
        <v>35</v>
      </c>
      <c r="J148" t="s">
        <v>5</v>
      </c>
      <c r="K148">
        <v>9</v>
      </c>
      <c r="L148" s="3">
        <f t="shared" si="5"/>
        <v>0.25714285714285712</v>
      </c>
      <c r="M148" t="s">
        <v>6</v>
      </c>
      <c r="N148">
        <v>-18.34</v>
      </c>
      <c r="O148" t="s">
        <v>7</v>
      </c>
      <c r="P148">
        <v>-0.52400000000000102</v>
      </c>
      <c r="Q148" t="s">
        <v>8</v>
      </c>
      <c r="R148">
        <v>4.3366666666666598</v>
      </c>
      <c r="S148" t="s">
        <v>9</v>
      </c>
      <c r="T148">
        <v>-2.20653846153846</v>
      </c>
      <c r="U148" t="s">
        <v>10</v>
      </c>
      <c r="V148">
        <v>0.32124832481112903</v>
      </c>
      <c r="W148" t="s">
        <v>11</v>
      </c>
      <c r="X148" t="s">
        <v>138</v>
      </c>
      <c r="Y148" t="s">
        <v>53</v>
      </c>
      <c r="Z148">
        <v>0</v>
      </c>
      <c r="AA148" t="s">
        <v>14</v>
      </c>
      <c r="AB148" t="s">
        <v>15</v>
      </c>
      <c r="AC148" t="s">
        <v>138</v>
      </c>
      <c r="AD148" t="s">
        <v>53</v>
      </c>
      <c r="AE148">
        <v>0</v>
      </c>
      <c r="AF148" t="s">
        <v>18</v>
      </c>
    </row>
    <row r="149" spans="1:32" x14ac:dyDescent="0.3">
      <c r="A149" t="str">
        <f t="shared" si="4"/>
        <v>rsi_{'C',  [('delta', 0.2,  1)]}_[21,  49]_3</v>
      </c>
      <c r="B149" t="s">
        <v>521</v>
      </c>
      <c r="C149" t="s">
        <v>221</v>
      </c>
      <c r="D149" t="s">
        <v>1</v>
      </c>
      <c r="E149">
        <v>0.2</v>
      </c>
      <c r="F149" t="s">
        <v>27</v>
      </c>
      <c r="G149" t="s">
        <v>33</v>
      </c>
      <c r="H149" t="s">
        <v>4</v>
      </c>
      <c r="I149">
        <v>33</v>
      </c>
      <c r="J149" t="s">
        <v>5</v>
      </c>
      <c r="K149">
        <v>1</v>
      </c>
      <c r="L149" s="3">
        <f t="shared" si="5"/>
        <v>3.0303030303030304E-2</v>
      </c>
      <c r="M149" t="s">
        <v>6</v>
      </c>
      <c r="N149">
        <v>-18.8599999999999</v>
      </c>
      <c r="O149" t="s">
        <v>7</v>
      </c>
      <c r="P149">
        <v>-0.57151515151515098</v>
      </c>
      <c r="Q149" t="s">
        <v>8</v>
      </c>
      <c r="R149">
        <v>5.45</v>
      </c>
      <c r="S149" t="s">
        <v>9</v>
      </c>
      <c r="T149">
        <v>-0.75968749999999896</v>
      </c>
      <c r="U149" t="s">
        <v>10</v>
      </c>
      <c r="V149">
        <v>0.10391273581995</v>
      </c>
      <c r="W149" t="s">
        <v>11</v>
      </c>
      <c r="X149" t="s">
        <v>211</v>
      </c>
      <c r="Y149" t="s">
        <v>212</v>
      </c>
      <c r="Z149">
        <v>0</v>
      </c>
      <c r="AA149" t="s">
        <v>14</v>
      </c>
      <c r="AB149" t="s">
        <v>15</v>
      </c>
      <c r="AC149" t="s">
        <v>211</v>
      </c>
      <c r="AD149" t="s">
        <v>212</v>
      </c>
      <c r="AE149">
        <v>0</v>
      </c>
      <c r="AF149" t="s">
        <v>18</v>
      </c>
    </row>
    <row r="150" spans="1:32" x14ac:dyDescent="0.3">
      <c r="A150" t="str">
        <f t="shared" si="4"/>
        <v>bbands_{'C',  [('delta', 0.1,  1)]}_[21,  49]_3</v>
      </c>
      <c r="B150" t="s">
        <v>383</v>
      </c>
      <c r="C150" t="s">
        <v>113</v>
      </c>
      <c r="D150" t="s">
        <v>1</v>
      </c>
      <c r="E150">
        <v>0.1</v>
      </c>
      <c r="F150" t="s">
        <v>27</v>
      </c>
      <c r="G150" t="s">
        <v>33</v>
      </c>
      <c r="H150" t="s">
        <v>4</v>
      </c>
      <c r="I150">
        <v>200</v>
      </c>
      <c r="J150" t="s">
        <v>5</v>
      </c>
      <c r="K150">
        <v>22</v>
      </c>
      <c r="L150" s="3">
        <f t="shared" si="5"/>
        <v>0.11</v>
      </c>
      <c r="M150" t="s">
        <v>6</v>
      </c>
      <c r="N150">
        <v>-19.48</v>
      </c>
      <c r="O150" t="s">
        <v>7</v>
      </c>
      <c r="P150">
        <v>-9.7400000000000098E-2</v>
      </c>
      <c r="Q150" t="s">
        <v>8</v>
      </c>
      <c r="R150">
        <v>2.7790909090909</v>
      </c>
      <c r="S150" t="s">
        <v>9</v>
      </c>
      <c r="T150">
        <v>-0.45292134831460601</v>
      </c>
      <c r="U150" t="s">
        <v>10</v>
      </c>
      <c r="V150">
        <v>0.26851849238911601</v>
      </c>
      <c r="W150" t="s">
        <v>11</v>
      </c>
      <c r="X150" t="s">
        <v>130</v>
      </c>
      <c r="Y150" t="s">
        <v>131</v>
      </c>
      <c r="Z150">
        <v>0</v>
      </c>
      <c r="AA150" t="s">
        <v>14</v>
      </c>
      <c r="AB150" t="s">
        <v>15</v>
      </c>
      <c r="AC150" t="s">
        <v>127</v>
      </c>
      <c r="AD150" t="s">
        <v>91</v>
      </c>
      <c r="AE150">
        <v>0</v>
      </c>
      <c r="AF150" t="s">
        <v>18</v>
      </c>
    </row>
    <row r="151" spans="1:32" x14ac:dyDescent="0.3">
      <c r="A151" t="str">
        <f t="shared" si="4"/>
        <v>rsi_{'C',  [('delta', 0.2,  1)]}_[7,  35]_3</v>
      </c>
      <c r="B151" t="s">
        <v>517</v>
      </c>
      <c r="C151" t="s">
        <v>221</v>
      </c>
      <c r="D151" t="s">
        <v>1</v>
      </c>
      <c r="E151">
        <v>0.2</v>
      </c>
      <c r="F151" t="s">
        <v>2</v>
      </c>
      <c r="G151" t="s">
        <v>23</v>
      </c>
      <c r="H151" t="s">
        <v>4</v>
      </c>
      <c r="I151">
        <v>35</v>
      </c>
      <c r="J151" t="s">
        <v>5</v>
      </c>
      <c r="K151">
        <v>2</v>
      </c>
      <c r="L151" s="3">
        <f t="shared" si="5"/>
        <v>5.7142857142857141E-2</v>
      </c>
      <c r="M151" t="s">
        <v>6</v>
      </c>
      <c r="N151">
        <v>-19.489999999999899</v>
      </c>
      <c r="O151" t="s">
        <v>7</v>
      </c>
      <c r="P151">
        <v>-0.55685714285714205</v>
      </c>
      <c r="Q151" t="s">
        <v>8</v>
      </c>
      <c r="R151">
        <v>1.8599999999999901</v>
      </c>
      <c r="S151" t="s">
        <v>9</v>
      </c>
      <c r="T151">
        <v>-0.70333333333333203</v>
      </c>
      <c r="U151" t="s">
        <v>10</v>
      </c>
      <c r="V151">
        <v>0.118403205765524</v>
      </c>
      <c r="W151" t="s">
        <v>11</v>
      </c>
      <c r="X151" t="s">
        <v>156</v>
      </c>
      <c r="Y151" t="s">
        <v>53</v>
      </c>
      <c r="Z151">
        <v>0</v>
      </c>
      <c r="AA151" t="s">
        <v>14</v>
      </c>
      <c r="AB151" t="s">
        <v>15</v>
      </c>
      <c r="AC151" t="s">
        <v>156</v>
      </c>
      <c r="AD151" t="s">
        <v>53</v>
      </c>
      <c r="AE151">
        <v>0</v>
      </c>
      <c r="AF151" t="s">
        <v>18</v>
      </c>
    </row>
    <row r="152" spans="1:32" x14ac:dyDescent="0.3">
      <c r="A152" t="str">
        <f t="shared" si="4"/>
        <v>rsi_{'C',  [('delta', 0.3,  1)]}_[21,  49]_1</v>
      </c>
      <c r="B152" t="s">
        <v>507</v>
      </c>
      <c r="C152" t="s">
        <v>221</v>
      </c>
      <c r="D152" t="s">
        <v>1</v>
      </c>
      <c r="E152">
        <v>0.3</v>
      </c>
      <c r="F152" t="s">
        <v>27</v>
      </c>
      <c r="G152" t="s">
        <v>28</v>
      </c>
      <c r="H152" t="s">
        <v>4</v>
      </c>
      <c r="I152">
        <v>33</v>
      </c>
      <c r="J152" t="s">
        <v>5</v>
      </c>
      <c r="K152">
        <v>7</v>
      </c>
      <c r="L152" s="3">
        <f t="shared" si="5"/>
        <v>0.21212121212121213</v>
      </c>
      <c r="M152" t="s">
        <v>6</v>
      </c>
      <c r="N152">
        <v>-19.8</v>
      </c>
      <c r="O152" t="s">
        <v>7</v>
      </c>
      <c r="P152">
        <v>-0.6</v>
      </c>
      <c r="Q152" t="s">
        <v>8</v>
      </c>
      <c r="R152">
        <v>2.4928571428571402</v>
      </c>
      <c r="S152" t="s">
        <v>9</v>
      </c>
      <c r="T152">
        <v>-1.4326923076922999</v>
      </c>
      <c r="U152" t="s">
        <v>10</v>
      </c>
      <c r="V152">
        <v>0.151345281741117</v>
      </c>
      <c r="W152" t="s">
        <v>11</v>
      </c>
      <c r="X152" t="s">
        <v>238</v>
      </c>
      <c r="Y152" t="s">
        <v>239</v>
      </c>
      <c r="Z152">
        <v>0</v>
      </c>
      <c r="AA152" t="s">
        <v>14</v>
      </c>
      <c r="AB152" t="s">
        <v>15</v>
      </c>
      <c r="AC152" t="s">
        <v>238</v>
      </c>
      <c r="AD152" t="s">
        <v>239</v>
      </c>
      <c r="AE152">
        <v>0</v>
      </c>
      <c r="AF152" t="s">
        <v>18</v>
      </c>
    </row>
    <row r="153" spans="1:32" x14ac:dyDescent="0.3">
      <c r="A153" t="str">
        <f t="shared" si="4"/>
        <v>bbands_{'C',  [('delta', 0.1,  1)]}_[7,  35]_2</v>
      </c>
      <c r="B153" t="s">
        <v>378</v>
      </c>
      <c r="C153" t="s">
        <v>113</v>
      </c>
      <c r="D153" t="s">
        <v>1</v>
      </c>
      <c r="E153">
        <v>0.1</v>
      </c>
      <c r="F153" t="s">
        <v>2</v>
      </c>
      <c r="G153" t="s">
        <v>19</v>
      </c>
      <c r="H153" t="s">
        <v>4</v>
      </c>
      <c r="I153">
        <v>191</v>
      </c>
      <c r="J153" t="s">
        <v>5</v>
      </c>
      <c r="K153">
        <v>27</v>
      </c>
      <c r="L153" s="3">
        <f t="shared" si="5"/>
        <v>0.14136125654450263</v>
      </c>
      <c r="M153" t="s">
        <v>6</v>
      </c>
      <c r="N153">
        <v>-20.3399999999999</v>
      </c>
      <c r="O153" t="s">
        <v>7</v>
      </c>
      <c r="P153">
        <v>-0.106492146596858</v>
      </c>
      <c r="Q153" t="s">
        <v>8</v>
      </c>
      <c r="R153">
        <v>1.71629629629629</v>
      </c>
      <c r="S153" t="s">
        <v>9</v>
      </c>
      <c r="T153">
        <v>-0.40658536585365801</v>
      </c>
      <c r="U153" t="s">
        <v>10</v>
      </c>
      <c r="V153">
        <v>0.20707214443385699</v>
      </c>
      <c r="W153" t="s">
        <v>11</v>
      </c>
      <c r="X153" t="s">
        <v>101</v>
      </c>
      <c r="Y153" t="s">
        <v>25</v>
      </c>
      <c r="Z153">
        <v>0</v>
      </c>
      <c r="AA153" t="s">
        <v>14</v>
      </c>
      <c r="AB153" t="s">
        <v>15</v>
      </c>
      <c r="AC153" t="s">
        <v>127</v>
      </c>
      <c r="AD153" t="s">
        <v>91</v>
      </c>
      <c r="AE153">
        <v>0</v>
      </c>
      <c r="AF153" t="s">
        <v>18</v>
      </c>
    </row>
    <row r="154" spans="1:32" x14ac:dyDescent="0.3">
      <c r="A154" t="str">
        <f t="shared" si="4"/>
        <v>bbands_{'C',  [('delta', 0.4,  1)]}_[7,  35]_3</v>
      </c>
      <c r="B154" t="s">
        <v>343</v>
      </c>
      <c r="C154" t="s">
        <v>113</v>
      </c>
      <c r="D154" t="s">
        <v>1</v>
      </c>
      <c r="E154">
        <v>0.4</v>
      </c>
      <c r="F154" t="s">
        <v>2</v>
      </c>
      <c r="G154" t="s">
        <v>23</v>
      </c>
      <c r="H154" t="s">
        <v>4</v>
      </c>
      <c r="I154">
        <v>191</v>
      </c>
      <c r="J154" t="s">
        <v>5</v>
      </c>
      <c r="K154">
        <v>37</v>
      </c>
      <c r="L154" s="3">
        <f t="shared" si="5"/>
        <v>0.193717277486911</v>
      </c>
      <c r="M154" t="s">
        <v>6</v>
      </c>
      <c r="N154">
        <v>-20.619999999999798</v>
      </c>
      <c r="O154" t="s">
        <v>7</v>
      </c>
      <c r="P154">
        <v>-0.107958115183245</v>
      </c>
      <c r="Q154" t="s">
        <v>8</v>
      </c>
      <c r="R154">
        <v>8.1097297297297306</v>
      </c>
      <c r="S154" t="s">
        <v>9</v>
      </c>
      <c r="T154">
        <v>-2.0823376623376602</v>
      </c>
      <c r="U154" t="s">
        <v>10</v>
      </c>
      <c r="V154">
        <v>1.1063224984848801</v>
      </c>
      <c r="W154" t="s">
        <v>11</v>
      </c>
      <c r="X154" t="s">
        <v>115</v>
      </c>
      <c r="Y154" t="s">
        <v>53</v>
      </c>
      <c r="Z154">
        <v>0</v>
      </c>
      <c r="AA154" t="s">
        <v>14</v>
      </c>
      <c r="AB154" t="s">
        <v>15</v>
      </c>
      <c r="AC154" t="s">
        <v>114</v>
      </c>
      <c r="AD154" t="s">
        <v>91</v>
      </c>
      <c r="AE154">
        <v>0</v>
      </c>
      <c r="AF154" t="s">
        <v>18</v>
      </c>
    </row>
    <row r="155" spans="1:32" x14ac:dyDescent="0.3">
      <c r="A155" t="str">
        <f t="shared" si="4"/>
        <v>bbands_{'C',  [('delta', 0.1,  1)]}_[35,  70]_1</v>
      </c>
      <c r="B155" t="s">
        <v>385</v>
      </c>
      <c r="C155" t="s">
        <v>113</v>
      </c>
      <c r="D155" t="s">
        <v>1</v>
      </c>
      <c r="E155">
        <v>0.1</v>
      </c>
      <c r="F155" t="s">
        <v>37</v>
      </c>
      <c r="G155" t="s">
        <v>38</v>
      </c>
      <c r="H155" t="s">
        <v>4</v>
      </c>
      <c r="I155">
        <v>247</v>
      </c>
      <c r="J155" t="s">
        <v>5</v>
      </c>
      <c r="K155">
        <v>61</v>
      </c>
      <c r="L155" s="3">
        <f t="shared" si="5"/>
        <v>0.24696356275303644</v>
      </c>
      <c r="M155" t="s">
        <v>6</v>
      </c>
      <c r="N155">
        <v>-21.44</v>
      </c>
      <c r="O155" t="s">
        <v>7</v>
      </c>
      <c r="P155">
        <v>-8.6801619433198404E-2</v>
      </c>
      <c r="Q155" t="s">
        <v>8</v>
      </c>
      <c r="R155">
        <v>1.16573770491803</v>
      </c>
      <c r="S155" t="s">
        <v>9</v>
      </c>
      <c r="T155">
        <v>-0.49758064516129002</v>
      </c>
      <c r="U155" t="s">
        <v>10</v>
      </c>
      <c r="V155">
        <v>0.242030578966136</v>
      </c>
      <c r="W155" t="s">
        <v>11</v>
      </c>
      <c r="X155" t="s">
        <v>132</v>
      </c>
      <c r="Y155" t="s">
        <v>13</v>
      </c>
      <c r="Z155">
        <v>0</v>
      </c>
      <c r="AA155" t="s">
        <v>14</v>
      </c>
      <c r="AB155" t="s">
        <v>15</v>
      </c>
      <c r="AC155" t="s">
        <v>133</v>
      </c>
      <c r="AD155" t="s">
        <v>91</v>
      </c>
      <c r="AE155">
        <v>0</v>
      </c>
      <c r="AF155" t="s">
        <v>18</v>
      </c>
    </row>
    <row r="156" spans="1:32" x14ac:dyDescent="0.3">
      <c r="A156" t="str">
        <f t="shared" si="4"/>
        <v>psar_no_highvol_{'C',  [('delta', 0.3,  1)]}_[35,  70]_3</v>
      </c>
      <c r="B156" t="s">
        <v>463</v>
      </c>
      <c r="C156" t="s">
        <v>175</v>
      </c>
      <c r="D156" t="s">
        <v>1</v>
      </c>
      <c r="E156">
        <v>0.3</v>
      </c>
      <c r="F156" t="s">
        <v>37</v>
      </c>
      <c r="G156" t="s">
        <v>42</v>
      </c>
      <c r="H156" t="s">
        <v>4</v>
      </c>
      <c r="I156">
        <v>130</v>
      </c>
      <c r="J156" t="s">
        <v>5</v>
      </c>
      <c r="K156">
        <v>19</v>
      </c>
      <c r="L156" s="3">
        <f t="shared" si="5"/>
        <v>0.14615384615384616</v>
      </c>
      <c r="M156" t="s">
        <v>6</v>
      </c>
      <c r="N156">
        <v>-21.7059345632216</v>
      </c>
      <c r="O156" t="s">
        <v>7</v>
      </c>
      <c r="P156">
        <v>-0.166968727409397</v>
      </c>
      <c r="Q156" t="s">
        <v>8</v>
      </c>
      <c r="R156">
        <v>7.4026315789473598</v>
      </c>
      <c r="S156" t="s">
        <v>9</v>
      </c>
      <c r="T156">
        <v>-1.4626660771461399</v>
      </c>
      <c r="U156" t="s">
        <v>10</v>
      </c>
      <c r="V156">
        <v>0.54274229620584102</v>
      </c>
      <c r="W156" t="s">
        <v>11</v>
      </c>
      <c r="X156" t="s">
        <v>204</v>
      </c>
      <c r="Y156" t="s">
        <v>192</v>
      </c>
      <c r="Z156">
        <v>0</v>
      </c>
      <c r="AA156" t="s">
        <v>14</v>
      </c>
      <c r="AB156" t="s">
        <v>15</v>
      </c>
      <c r="AC156" t="s">
        <v>205</v>
      </c>
      <c r="AD156" t="s">
        <v>206</v>
      </c>
      <c r="AE156">
        <v>0</v>
      </c>
      <c r="AF156" t="s">
        <v>18</v>
      </c>
    </row>
    <row r="157" spans="1:32" x14ac:dyDescent="0.3">
      <c r="A157" t="str">
        <f t="shared" si="4"/>
        <v>psar_no_highvol_{'C',  [('delta', 0.4,  1)]}_[35,  70]_1</v>
      </c>
      <c r="B157" t="s">
        <v>448</v>
      </c>
      <c r="C157" t="s">
        <v>175</v>
      </c>
      <c r="D157" t="s">
        <v>1</v>
      </c>
      <c r="E157">
        <v>0.4</v>
      </c>
      <c r="F157" t="s">
        <v>37</v>
      </c>
      <c r="G157" t="s">
        <v>38</v>
      </c>
      <c r="H157" t="s">
        <v>4</v>
      </c>
      <c r="I157">
        <v>130</v>
      </c>
      <c r="J157" t="s">
        <v>5</v>
      </c>
      <c r="K157">
        <v>41</v>
      </c>
      <c r="L157" s="3">
        <f t="shared" si="5"/>
        <v>0.31538461538461537</v>
      </c>
      <c r="M157" t="s">
        <v>6</v>
      </c>
      <c r="N157">
        <v>-21.8972737961398</v>
      </c>
      <c r="O157" t="s">
        <v>7</v>
      </c>
      <c r="P157">
        <v>-0.168440567662614</v>
      </c>
      <c r="Q157" t="s">
        <v>8</v>
      </c>
      <c r="R157">
        <v>4.3810421025331703</v>
      </c>
      <c r="S157" t="s">
        <v>9</v>
      </c>
      <c r="T157">
        <v>-2.2642696629213401</v>
      </c>
      <c r="U157" t="s">
        <v>10</v>
      </c>
      <c r="V157">
        <v>0.58090461391322601</v>
      </c>
      <c r="W157" t="s">
        <v>11</v>
      </c>
      <c r="X157" t="s">
        <v>186</v>
      </c>
      <c r="Y157" t="s">
        <v>187</v>
      </c>
    </row>
    <row r="158" spans="1:32" x14ac:dyDescent="0.3">
      <c r="A158" t="str">
        <f t="shared" si="4"/>
        <v>bbands_{'C',  [('delta', 0.4,  1)]}_[7,  35]_2</v>
      </c>
      <c r="B158" t="s">
        <v>342</v>
      </c>
      <c r="C158" t="s">
        <v>113</v>
      </c>
      <c r="D158" t="s">
        <v>1</v>
      </c>
      <c r="E158">
        <v>0.4</v>
      </c>
      <c r="F158" t="s">
        <v>2</v>
      </c>
      <c r="G158" t="s">
        <v>19</v>
      </c>
      <c r="H158" t="s">
        <v>4</v>
      </c>
      <c r="I158">
        <v>191</v>
      </c>
      <c r="J158" t="s">
        <v>5</v>
      </c>
      <c r="K158">
        <v>43</v>
      </c>
      <c r="L158" s="3">
        <f t="shared" si="5"/>
        <v>0.22513089005235601</v>
      </c>
      <c r="M158" t="s">
        <v>6</v>
      </c>
      <c r="N158">
        <v>-21.909999999999801</v>
      </c>
      <c r="O158" t="s">
        <v>7</v>
      </c>
      <c r="P158">
        <v>-0.114712041884816</v>
      </c>
      <c r="Q158" t="s">
        <v>8</v>
      </c>
      <c r="R158">
        <v>6.7</v>
      </c>
      <c r="S158" t="s">
        <v>9</v>
      </c>
      <c r="T158">
        <v>-2.0946621621621602</v>
      </c>
      <c r="U158" t="s">
        <v>10</v>
      </c>
      <c r="V158">
        <v>1.0192201322524801</v>
      </c>
      <c r="W158" t="s">
        <v>11</v>
      </c>
      <c r="X158" t="s">
        <v>12</v>
      </c>
      <c r="Y158" t="s">
        <v>13</v>
      </c>
      <c r="Z158">
        <v>0</v>
      </c>
      <c r="AA158" t="s">
        <v>14</v>
      </c>
      <c r="AB158" t="s">
        <v>15</v>
      </c>
      <c r="AC158" t="s">
        <v>114</v>
      </c>
      <c r="AD158" t="s">
        <v>91</v>
      </c>
      <c r="AE158">
        <v>0</v>
      </c>
      <c r="AF158" t="s">
        <v>18</v>
      </c>
    </row>
    <row r="159" spans="1:32" x14ac:dyDescent="0.3">
      <c r="A159" t="str">
        <f t="shared" si="4"/>
        <v>bbands_{'C',  [('delta', 0.1,  1)]}_[35,  70]_4</v>
      </c>
      <c r="B159" t="s">
        <v>388</v>
      </c>
      <c r="C159" t="s">
        <v>113</v>
      </c>
      <c r="D159" t="s">
        <v>1</v>
      </c>
      <c r="E159">
        <v>0.1</v>
      </c>
      <c r="F159" t="s">
        <v>37</v>
      </c>
      <c r="G159" t="s">
        <v>44</v>
      </c>
      <c r="H159" t="s">
        <v>4</v>
      </c>
      <c r="I159">
        <v>247</v>
      </c>
      <c r="J159" t="s">
        <v>5</v>
      </c>
      <c r="K159">
        <v>23</v>
      </c>
      <c r="L159" s="3">
        <f t="shared" si="5"/>
        <v>9.3117408906882596E-2</v>
      </c>
      <c r="M159" t="s">
        <v>6</v>
      </c>
      <c r="N159">
        <v>-21.95</v>
      </c>
      <c r="O159" t="s">
        <v>7</v>
      </c>
      <c r="P159">
        <v>-8.8866396761133601E-2</v>
      </c>
      <c r="Q159" t="s">
        <v>8</v>
      </c>
      <c r="R159">
        <v>3.9286956521739098</v>
      </c>
      <c r="S159" t="s">
        <v>9</v>
      </c>
      <c r="T159">
        <v>-0.50138392857142799</v>
      </c>
      <c r="U159" t="s">
        <v>10</v>
      </c>
      <c r="V159">
        <v>0.41075809717202399</v>
      </c>
      <c r="W159" t="s">
        <v>11</v>
      </c>
      <c r="X159" t="s">
        <v>110</v>
      </c>
      <c r="Y159" t="s">
        <v>17</v>
      </c>
      <c r="Z159">
        <v>0</v>
      </c>
      <c r="AA159" t="s">
        <v>14</v>
      </c>
      <c r="AB159" t="s">
        <v>15</v>
      </c>
      <c r="AC159" t="s">
        <v>110</v>
      </c>
      <c r="AD159" t="s">
        <v>17</v>
      </c>
      <c r="AE159">
        <v>0</v>
      </c>
      <c r="AF159" t="s">
        <v>18</v>
      </c>
    </row>
    <row r="160" spans="1:32" x14ac:dyDescent="0.3">
      <c r="A160" t="str">
        <f t="shared" si="4"/>
        <v>stoch_{'C',  [('delta', 0.1,  1)]}_[35,  70]_2</v>
      </c>
      <c r="B160" t="s">
        <v>584</v>
      </c>
      <c r="C160" t="s">
        <v>262</v>
      </c>
      <c r="D160" t="s">
        <v>1</v>
      </c>
      <c r="E160">
        <v>0.1</v>
      </c>
      <c r="F160" t="s">
        <v>37</v>
      </c>
      <c r="G160" t="s">
        <v>40</v>
      </c>
      <c r="H160" t="s">
        <v>4</v>
      </c>
      <c r="I160">
        <v>291</v>
      </c>
      <c r="J160" t="s">
        <v>5</v>
      </c>
      <c r="K160">
        <v>54</v>
      </c>
      <c r="L160" s="3">
        <f t="shared" si="5"/>
        <v>0.18556701030927836</v>
      </c>
      <c r="M160" t="s">
        <v>6</v>
      </c>
      <c r="N160">
        <v>-22.10266549168</v>
      </c>
      <c r="O160" t="s">
        <v>7</v>
      </c>
      <c r="P160">
        <v>-7.5954176947354096E-2</v>
      </c>
      <c r="Q160" t="s">
        <v>8</v>
      </c>
      <c r="R160">
        <v>1.5142592592592501</v>
      </c>
      <c r="S160" t="s">
        <v>9</v>
      </c>
      <c r="T160">
        <v>-0.43828128899442997</v>
      </c>
      <c r="U160" t="s">
        <v>10</v>
      </c>
      <c r="V160">
        <v>0.28580597860234602</v>
      </c>
      <c r="W160" t="s">
        <v>11</v>
      </c>
      <c r="X160" t="s">
        <v>289</v>
      </c>
      <c r="Y160" t="s">
        <v>25</v>
      </c>
      <c r="Z160">
        <v>0</v>
      </c>
      <c r="AA160" t="s">
        <v>14</v>
      </c>
      <c r="AB160" t="s">
        <v>15</v>
      </c>
      <c r="AC160" t="s">
        <v>288</v>
      </c>
      <c r="AD160" t="s">
        <v>91</v>
      </c>
      <c r="AE160">
        <v>0</v>
      </c>
      <c r="AF160" t="s">
        <v>18</v>
      </c>
    </row>
    <row r="161" spans="1:32" x14ac:dyDescent="0.3">
      <c r="A161" t="str">
        <f t="shared" si="4"/>
        <v>stoch_{'C',  [('delta', 0.1,  1)]}_[21,  49]_3</v>
      </c>
      <c r="B161" t="s">
        <v>581</v>
      </c>
      <c r="C161" t="s">
        <v>262</v>
      </c>
      <c r="D161" t="s">
        <v>1</v>
      </c>
      <c r="E161">
        <v>0.1</v>
      </c>
      <c r="F161" t="s">
        <v>27</v>
      </c>
      <c r="G161" t="s">
        <v>33</v>
      </c>
      <c r="H161" t="s">
        <v>4</v>
      </c>
      <c r="I161">
        <v>230</v>
      </c>
      <c r="J161" t="s">
        <v>5</v>
      </c>
      <c r="K161">
        <v>25</v>
      </c>
      <c r="L161" s="3">
        <f t="shared" si="5"/>
        <v>0.10869565217391304</v>
      </c>
      <c r="M161" t="s">
        <v>6</v>
      </c>
      <c r="N161">
        <v>-22.594523539483699</v>
      </c>
      <c r="O161" t="s">
        <v>7</v>
      </c>
      <c r="P161">
        <v>-9.8237058867320398E-2</v>
      </c>
      <c r="Q161" t="s">
        <v>8</v>
      </c>
      <c r="R161">
        <v>2.0107999999999899</v>
      </c>
      <c r="S161" t="s">
        <v>9</v>
      </c>
      <c r="T161">
        <v>-0.35543670019260298</v>
      </c>
      <c r="U161" t="s">
        <v>10</v>
      </c>
      <c r="V161">
        <v>0.25059720183480499</v>
      </c>
      <c r="W161" t="s">
        <v>11</v>
      </c>
      <c r="X161" t="s">
        <v>101</v>
      </c>
      <c r="Y161" t="s">
        <v>25</v>
      </c>
      <c r="Z161">
        <v>0</v>
      </c>
      <c r="AA161" t="s">
        <v>14</v>
      </c>
      <c r="AB161" t="s">
        <v>15</v>
      </c>
      <c r="AC161" t="s">
        <v>285</v>
      </c>
      <c r="AD161" t="s">
        <v>91</v>
      </c>
      <c r="AE161">
        <v>0</v>
      </c>
      <c r="AF161" t="s">
        <v>18</v>
      </c>
    </row>
    <row r="162" spans="1:32" x14ac:dyDescent="0.3">
      <c r="A162" t="str">
        <f t="shared" si="4"/>
        <v>psar_no_highvol_{'C',  [('delta', 0.4,  1)]}_[21,  49]_1</v>
      </c>
      <c r="B162" t="s">
        <v>444</v>
      </c>
      <c r="C162" t="s">
        <v>175</v>
      </c>
      <c r="D162" t="s">
        <v>1</v>
      </c>
      <c r="E162">
        <v>0.4</v>
      </c>
      <c r="F162" t="s">
        <v>27</v>
      </c>
      <c r="G162" t="s">
        <v>28</v>
      </c>
      <c r="H162" t="s">
        <v>4</v>
      </c>
      <c r="I162">
        <v>98</v>
      </c>
      <c r="J162" t="s">
        <v>5</v>
      </c>
      <c r="K162">
        <v>30</v>
      </c>
      <c r="L162" s="3">
        <f t="shared" si="5"/>
        <v>0.30612244897959184</v>
      </c>
      <c r="M162" t="s">
        <v>6</v>
      </c>
      <c r="N162">
        <v>-22.6799999999999</v>
      </c>
      <c r="O162" t="s">
        <v>7</v>
      </c>
      <c r="P162">
        <v>-0.23142857142857001</v>
      </c>
      <c r="Q162" t="s">
        <v>8</v>
      </c>
      <c r="R162">
        <v>3.5563333333333298</v>
      </c>
      <c r="S162" t="s">
        <v>9</v>
      </c>
      <c r="T162">
        <v>-1.9024999999999901</v>
      </c>
      <c r="U162" t="s">
        <v>10</v>
      </c>
      <c r="V162">
        <v>0.39755093164647498</v>
      </c>
      <c r="W162" t="s">
        <v>11</v>
      </c>
      <c r="X162" t="s">
        <v>157</v>
      </c>
      <c r="Y162" t="s">
        <v>160</v>
      </c>
      <c r="Z162">
        <v>0</v>
      </c>
      <c r="AA162" t="s">
        <v>14</v>
      </c>
      <c r="AB162" t="s">
        <v>15</v>
      </c>
      <c r="AC162" t="s">
        <v>157</v>
      </c>
      <c r="AD162" t="s">
        <v>160</v>
      </c>
      <c r="AE162">
        <v>0</v>
      </c>
      <c r="AF162" t="s">
        <v>18</v>
      </c>
    </row>
    <row r="163" spans="1:32" x14ac:dyDescent="0.3">
      <c r="A163" t="str">
        <f t="shared" si="4"/>
        <v>rsi_{'C',  [('delta', 0.3,  1)]}_[21,  49]_2</v>
      </c>
      <c r="B163" t="s">
        <v>508</v>
      </c>
      <c r="C163" t="s">
        <v>221</v>
      </c>
      <c r="D163" t="s">
        <v>1</v>
      </c>
      <c r="E163">
        <v>0.3</v>
      </c>
      <c r="F163" t="s">
        <v>27</v>
      </c>
      <c r="G163" t="s">
        <v>30</v>
      </c>
      <c r="H163" t="s">
        <v>4</v>
      </c>
      <c r="I163">
        <v>33</v>
      </c>
      <c r="J163" t="s">
        <v>5</v>
      </c>
      <c r="K163">
        <v>4</v>
      </c>
      <c r="L163" s="3">
        <f t="shared" si="5"/>
        <v>0.12121212121212122</v>
      </c>
      <c r="M163" t="s">
        <v>6</v>
      </c>
      <c r="N163">
        <v>-22.68</v>
      </c>
      <c r="O163" t="s">
        <v>7</v>
      </c>
      <c r="P163">
        <v>-0.68727272727272704</v>
      </c>
      <c r="Q163" t="s">
        <v>8</v>
      </c>
      <c r="R163">
        <v>4.4849999999999897</v>
      </c>
      <c r="S163" t="s">
        <v>9</v>
      </c>
      <c r="T163">
        <v>-1.40068965517241</v>
      </c>
      <c r="U163" t="s">
        <v>10</v>
      </c>
      <c r="V163">
        <v>0.18841677175350499</v>
      </c>
      <c r="W163" t="s">
        <v>11</v>
      </c>
      <c r="X163" t="s">
        <v>135</v>
      </c>
      <c r="Y163" t="s">
        <v>75</v>
      </c>
      <c r="Z163">
        <v>0</v>
      </c>
      <c r="AA163" t="s">
        <v>14</v>
      </c>
      <c r="AB163" t="s">
        <v>15</v>
      </c>
      <c r="AC163" t="s">
        <v>135</v>
      </c>
      <c r="AD163" t="s">
        <v>75</v>
      </c>
      <c r="AE163">
        <v>0</v>
      </c>
      <c r="AF163" t="s">
        <v>18</v>
      </c>
    </row>
    <row r="164" spans="1:32" x14ac:dyDescent="0.3">
      <c r="A164" t="str">
        <f t="shared" si="4"/>
        <v>stoch_{'C',  [('delta', 0.1,  1)]}_[21,  49]_4</v>
      </c>
      <c r="B164" t="s">
        <v>582</v>
      </c>
      <c r="C164" t="s">
        <v>262</v>
      </c>
      <c r="D164" t="s">
        <v>1</v>
      </c>
      <c r="E164">
        <v>0.1</v>
      </c>
      <c r="F164" t="s">
        <v>27</v>
      </c>
      <c r="G164" t="s">
        <v>36</v>
      </c>
      <c r="H164" t="s">
        <v>4</v>
      </c>
      <c r="I164">
        <v>230</v>
      </c>
      <c r="J164" t="s">
        <v>5</v>
      </c>
      <c r="K164">
        <v>21</v>
      </c>
      <c r="L164" s="3">
        <f t="shared" si="5"/>
        <v>9.1304347826086957E-2</v>
      </c>
      <c r="M164" t="s">
        <v>6</v>
      </c>
      <c r="N164">
        <v>-22.834523539483701</v>
      </c>
      <c r="O164" t="s">
        <v>7</v>
      </c>
      <c r="P164">
        <v>-9.9280537128190002E-2</v>
      </c>
      <c r="Q164" t="s">
        <v>8</v>
      </c>
      <c r="R164">
        <v>2.4357142857142802</v>
      </c>
      <c r="S164" t="s">
        <v>9</v>
      </c>
      <c r="T164">
        <v>-0.35399293559561501</v>
      </c>
      <c r="U164" t="s">
        <v>10</v>
      </c>
      <c r="V164">
        <v>0.26237301546556802</v>
      </c>
      <c r="W164" t="s">
        <v>11</v>
      </c>
      <c r="X164" t="s">
        <v>101</v>
      </c>
      <c r="Y164" t="s">
        <v>25</v>
      </c>
      <c r="Z164">
        <v>0</v>
      </c>
      <c r="AA164" t="s">
        <v>14</v>
      </c>
      <c r="AB164" t="s">
        <v>15</v>
      </c>
      <c r="AC164" t="s">
        <v>285</v>
      </c>
      <c r="AD164" t="s">
        <v>91</v>
      </c>
      <c r="AE164">
        <v>0</v>
      </c>
      <c r="AF164" t="s">
        <v>18</v>
      </c>
    </row>
    <row r="165" spans="1:32" x14ac:dyDescent="0.3">
      <c r="A165" t="str">
        <f t="shared" si="4"/>
        <v>stoch_{'C',  [('delta', 0.1,  1)]}_[35,  70]_1</v>
      </c>
      <c r="B165" t="s">
        <v>583</v>
      </c>
      <c r="C165" t="s">
        <v>262</v>
      </c>
      <c r="D165" t="s">
        <v>1</v>
      </c>
      <c r="E165">
        <v>0.1</v>
      </c>
      <c r="F165" t="s">
        <v>37</v>
      </c>
      <c r="G165" t="s">
        <v>38</v>
      </c>
      <c r="H165" t="s">
        <v>4</v>
      </c>
      <c r="I165">
        <v>291</v>
      </c>
      <c r="J165" t="s">
        <v>5</v>
      </c>
      <c r="K165">
        <v>74</v>
      </c>
      <c r="L165" s="3">
        <f t="shared" si="5"/>
        <v>0.25429553264604809</v>
      </c>
      <c r="M165" t="s">
        <v>6</v>
      </c>
      <c r="N165">
        <v>-22.964722473191799</v>
      </c>
      <c r="O165" t="s">
        <v>7</v>
      </c>
      <c r="P165">
        <v>-7.8916572072824306E-2</v>
      </c>
      <c r="Q165" t="s">
        <v>8</v>
      </c>
      <c r="R165">
        <v>0.98279098677601295</v>
      </c>
      <c r="S165" t="s">
        <v>9</v>
      </c>
      <c r="T165">
        <v>-0.440973527624962</v>
      </c>
      <c r="U165" t="s">
        <v>10</v>
      </c>
      <c r="V165">
        <v>0.240707790217497</v>
      </c>
      <c r="W165" t="s">
        <v>11</v>
      </c>
      <c r="X165" t="s">
        <v>286</v>
      </c>
      <c r="Y165" t="s">
        <v>287</v>
      </c>
      <c r="Z165">
        <v>0</v>
      </c>
      <c r="AA165" t="s">
        <v>14</v>
      </c>
      <c r="AB165" t="s">
        <v>15</v>
      </c>
      <c r="AC165" t="s">
        <v>288</v>
      </c>
      <c r="AD165" t="s">
        <v>91</v>
      </c>
      <c r="AE165">
        <v>0</v>
      </c>
      <c r="AF165" t="s">
        <v>18</v>
      </c>
    </row>
    <row r="166" spans="1:32" x14ac:dyDescent="0.3">
      <c r="A166" t="str">
        <f t="shared" si="4"/>
        <v>stoch_{'C',  [('delta', 0.1,  1)]}_[7,  35]_1</v>
      </c>
      <c r="B166" t="s">
        <v>575</v>
      </c>
      <c r="C166" t="s">
        <v>262</v>
      </c>
      <c r="D166" t="s">
        <v>1</v>
      </c>
      <c r="E166">
        <v>0.1</v>
      </c>
      <c r="F166" t="s">
        <v>2</v>
      </c>
      <c r="G166" t="s">
        <v>3</v>
      </c>
      <c r="H166" t="s">
        <v>4</v>
      </c>
      <c r="I166">
        <v>224</v>
      </c>
      <c r="J166" t="s">
        <v>5</v>
      </c>
      <c r="K166">
        <v>40</v>
      </c>
      <c r="L166" s="3">
        <f t="shared" si="5"/>
        <v>0.17857142857142858</v>
      </c>
      <c r="M166" t="s">
        <v>6</v>
      </c>
      <c r="N166">
        <v>-22.979999999999901</v>
      </c>
      <c r="O166" t="s">
        <v>7</v>
      </c>
      <c r="P166">
        <v>-0.10258928571428499</v>
      </c>
      <c r="Q166" t="s">
        <v>8</v>
      </c>
      <c r="R166">
        <v>0.78274999999999995</v>
      </c>
      <c r="S166" t="s">
        <v>9</v>
      </c>
      <c r="T166">
        <v>-0.29505434782608703</v>
      </c>
      <c r="U166" t="s">
        <v>10</v>
      </c>
      <c r="V166">
        <v>0.14827790297884</v>
      </c>
      <c r="W166" t="s">
        <v>11</v>
      </c>
      <c r="X166" t="s">
        <v>283</v>
      </c>
      <c r="Y166" t="s">
        <v>284</v>
      </c>
      <c r="Z166">
        <v>0</v>
      </c>
      <c r="AA166" t="s">
        <v>14</v>
      </c>
      <c r="AB166" t="s">
        <v>15</v>
      </c>
      <c r="AC166" t="s">
        <v>285</v>
      </c>
      <c r="AD166" t="s">
        <v>91</v>
      </c>
      <c r="AE166">
        <v>0</v>
      </c>
      <c r="AF166" t="s">
        <v>18</v>
      </c>
    </row>
    <row r="167" spans="1:32" x14ac:dyDescent="0.3">
      <c r="A167" t="str">
        <f t="shared" si="4"/>
        <v>stoch_{'C',  [('delta', 0.1,  1)]}_[21,  49]_1</v>
      </c>
      <c r="B167" t="s">
        <v>579</v>
      </c>
      <c r="C167" t="s">
        <v>262</v>
      </c>
      <c r="D167" t="s">
        <v>1</v>
      </c>
      <c r="E167">
        <v>0.1</v>
      </c>
      <c r="F167" t="s">
        <v>27</v>
      </c>
      <c r="G167" t="s">
        <v>28</v>
      </c>
      <c r="H167" t="s">
        <v>4</v>
      </c>
      <c r="I167">
        <v>230</v>
      </c>
      <c r="J167" t="s">
        <v>5</v>
      </c>
      <c r="K167">
        <v>49</v>
      </c>
      <c r="L167" s="3">
        <f t="shared" si="5"/>
        <v>0.21304347826086956</v>
      </c>
      <c r="M167" t="s">
        <v>6</v>
      </c>
      <c r="N167">
        <v>-23.3945235394837</v>
      </c>
      <c r="O167" t="s">
        <v>7</v>
      </c>
      <c r="P167">
        <v>-0.101715319736885</v>
      </c>
      <c r="Q167" t="s">
        <v>8</v>
      </c>
      <c r="R167">
        <v>0.83938775510204</v>
      </c>
      <c r="S167" t="s">
        <v>9</v>
      </c>
      <c r="T167">
        <v>-0.35648908032863902</v>
      </c>
      <c r="U167" t="s">
        <v>10</v>
      </c>
      <c r="V167">
        <v>0.18034635626881901</v>
      </c>
      <c r="W167" t="s">
        <v>11</v>
      </c>
      <c r="X167" t="s">
        <v>283</v>
      </c>
      <c r="Y167" t="s">
        <v>284</v>
      </c>
      <c r="Z167">
        <v>0</v>
      </c>
      <c r="AA167" t="s">
        <v>14</v>
      </c>
      <c r="AB167" t="s">
        <v>15</v>
      </c>
      <c r="AC167" t="s">
        <v>285</v>
      </c>
      <c r="AD167" t="s">
        <v>91</v>
      </c>
      <c r="AE167">
        <v>0</v>
      </c>
      <c r="AF167" t="s">
        <v>18</v>
      </c>
    </row>
    <row r="168" spans="1:32" x14ac:dyDescent="0.3">
      <c r="A168" t="str">
        <f t="shared" si="4"/>
        <v>rsi_{'C',  [('delta', 0.2,  1)]}_[7,  35]_4</v>
      </c>
      <c r="B168" t="s">
        <v>518</v>
      </c>
      <c r="C168" t="s">
        <v>221</v>
      </c>
      <c r="D168" t="s">
        <v>1</v>
      </c>
      <c r="E168">
        <v>0.2</v>
      </c>
      <c r="F168" t="s">
        <v>2</v>
      </c>
      <c r="G168" t="s">
        <v>26</v>
      </c>
      <c r="H168" t="s">
        <v>4</v>
      </c>
      <c r="I168">
        <v>35</v>
      </c>
      <c r="J168" t="s">
        <v>5</v>
      </c>
      <c r="K168">
        <v>1</v>
      </c>
      <c r="L168" s="3">
        <f t="shared" si="5"/>
        <v>2.8571428571428571E-2</v>
      </c>
      <c r="M168" t="s">
        <v>6</v>
      </c>
      <c r="N168">
        <v>-23.46</v>
      </c>
      <c r="O168" t="s">
        <v>7</v>
      </c>
      <c r="P168">
        <v>-0.67028571428571404</v>
      </c>
      <c r="Q168" t="s">
        <v>8</v>
      </c>
      <c r="R168">
        <v>6.9999999999995399E-2</v>
      </c>
      <c r="S168" t="s">
        <v>9</v>
      </c>
      <c r="T168">
        <v>-0.69205882352941095</v>
      </c>
      <c r="U168" t="s">
        <v>10</v>
      </c>
      <c r="V168">
        <v>0.124347626341597</v>
      </c>
      <c r="W168" t="s">
        <v>11</v>
      </c>
      <c r="X168" t="s">
        <v>246</v>
      </c>
      <c r="Y168" t="s">
        <v>247</v>
      </c>
      <c r="Z168">
        <v>0</v>
      </c>
      <c r="AA168" t="s">
        <v>14</v>
      </c>
      <c r="AB168" t="s">
        <v>15</v>
      </c>
      <c r="AC168" t="s">
        <v>246</v>
      </c>
      <c r="AD168" t="s">
        <v>247</v>
      </c>
      <c r="AE168">
        <v>0</v>
      </c>
      <c r="AF168" t="s">
        <v>18</v>
      </c>
    </row>
    <row r="169" spans="1:32" x14ac:dyDescent="0.3">
      <c r="A169" t="str">
        <f t="shared" si="4"/>
        <v>bbands_{'C',  [('delta', 0.1,  1)]}_[21,  49]_2</v>
      </c>
      <c r="B169" t="s">
        <v>382</v>
      </c>
      <c r="C169" t="s">
        <v>113</v>
      </c>
      <c r="D169" t="s">
        <v>1</v>
      </c>
      <c r="E169">
        <v>0.1</v>
      </c>
      <c r="F169" t="s">
        <v>27</v>
      </c>
      <c r="G169" t="s">
        <v>30</v>
      </c>
      <c r="H169" t="s">
        <v>4</v>
      </c>
      <c r="I169">
        <v>200</v>
      </c>
      <c r="J169" t="s">
        <v>5</v>
      </c>
      <c r="K169">
        <v>28</v>
      </c>
      <c r="L169" s="3">
        <f t="shared" si="5"/>
        <v>0.14000000000000001</v>
      </c>
      <c r="M169" t="s">
        <v>6</v>
      </c>
      <c r="N169">
        <v>-23.59</v>
      </c>
      <c r="O169" t="s">
        <v>7</v>
      </c>
      <c r="P169">
        <v>-0.11795</v>
      </c>
      <c r="Q169" t="s">
        <v>8</v>
      </c>
      <c r="R169">
        <v>1.9224999999999901</v>
      </c>
      <c r="S169" t="s">
        <v>9</v>
      </c>
      <c r="T169">
        <v>-0.45011627906976698</v>
      </c>
      <c r="U169" t="s">
        <v>10</v>
      </c>
      <c r="V169">
        <v>0.228891202393429</v>
      </c>
      <c r="W169" t="s">
        <v>11</v>
      </c>
      <c r="X169" t="s">
        <v>101</v>
      </c>
      <c r="Y169" t="s">
        <v>25</v>
      </c>
      <c r="Z169">
        <v>0</v>
      </c>
      <c r="AA169" t="s">
        <v>14</v>
      </c>
      <c r="AB169" t="s">
        <v>15</v>
      </c>
      <c r="AC169" t="s">
        <v>127</v>
      </c>
      <c r="AD169" t="s">
        <v>91</v>
      </c>
      <c r="AE169">
        <v>0</v>
      </c>
      <c r="AF169" t="s">
        <v>18</v>
      </c>
    </row>
    <row r="170" spans="1:32" x14ac:dyDescent="0.3">
      <c r="A170" t="str">
        <f t="shared" si="4"/>
        <v>stoch_{'C',  [('delta', 0.1,  1)]}_[21,  49]_2</v>
      </c>
      <c r="B170" t="s">
        <v>580</v>
      </c>
      <c r="C170" t="s">
        <v>262</v>
      </c>
      <c r="D170" t="s">
        <v>1</v>
      </c>
      <c r="E170">
        <v>0.1</v>
      </c>
      <c r="F170" t="s">
        <v>27</v>
      </c>
      <c r="G170" t="s">
        <v>30</v>
      </c>
      <c r="H170" t="s">
        <v>4</v>
      </c>
      <c r="I170">
        <v>230</v>
      </c>
      <c r="J170" t="s">
        <v>5</v>
      </c>
      <c r="K170">
        <v>34</v>
      </c>
      <c r="L170" s="3">
        <f t="shared" si="5"/>
        <v>0.14782608695652175</v>
      </c>
      <c r="M170" t="s">
        <v>6</v>
      </c>
      <c r="N170">
        <v>-23.764523539483601</v>
      </c>
      <c r="O170" t="s">
        <v>7</v>
      </c>
      <c r="P170">
        <v>-0.103324015389059</v>
      </c>
      <c r="Q170" t="s">
        <v>8</v>
      </c>
      <c r="R170">
        <v>1.35029411764705</v>
      </c>
      <c r="S170" t="s">
        <v>9</v>
      </c>
      <c r="T170">
        <v>-0.355482262956549</v>
      </c>
      <c r="U170" t="s">
        <v>10</v>
      </c>
      <c r="V170">
        <v>0.22896463677609999</v>
      </c>
      <c r="W170" t="s">
        <v>11</v>
      </c>
      <c r="X170" t="s">
        <v>101</v>
      </c>
      <c r="Y170" t="s">
        <v>25</v>
      </c>
      <c r="Z170">
        <v>0</v>
      </c>
      <c r="AA170" t="s">
        <v>14</v>
      </c>
      <c r="AB170" t="s">
        <v>15</v>
      </c>
      <c r="AC170" t="s">
        <v>285</v>
      </c>
      <c r="AD170" t="s">
        <v>91</v>
      </c>
      <c r="AE170">
        <v>0</v>
      </c>
      <c r="AF170" t="s">
        <v>18</v>
      </c>
    </row>
    <row r="171" spans="1:32" x14ac:dyDescent="0.3">
      <c r="A171" t="str">
        <f t="shared" si="4"/>
        <v>bbands_{'C',  [('delta', 0.1,  1)]}_[21,  49]_1</v>
      </c>
      <c r="B171" t="s">
        <v>381</v>
      </c>
      <c r="C171" t="s">
        <v>113</v>
      </c>
      <c r="D171" t="s">
        <v>1</v>
      </c>
      <c r="E171">
        <v>0.1</v>
      </c>
      <c r="F171" t="s">
        <v>27</v>
      </c>
      <c r="G171" t="s">
        <v>28</v>
      </c>
      <c r="H171" t="s">
        <v>4</v>
      </c>
      <c r="I171">
        <v>200</v>
      </c>
      <c r="J171" t="s">
        <v>5</v>
      </c>
      <c r="K171">
        <v>45</v>
      </c>
      <c r="L171" s="3">
        <f t="shared" si="5"/>
        <v>0.22500000000000001</v>
      </c>
      <c r="M171" t="s">
        <v>6</v>
      </c>
      <c r="N171">
        <v>-23.91</v>
      </c>
      <c r="O171" t="s">
        <v>7</v>
      </c>
      <c r="P171">
        <v>-0.11955</v>
      </c>
      <c r="Q171" t="s">
        <v>8</v>
      </c>
      <c r="R171">
        <v>1.0188888888888801</v>
      </c>
      <c r="S171" t="s">
        <v>9</v>
      </c>
      <c r="T171">
        <v>-0.45006451612903198</v>
      </c>
      <c r="U171" t="s">
        <v>10</v>
      </c>
      <c r="V171">
        <v>0.178765041145692</v>
      </c>
      <c r="W171" t="s">
        <v>11</v>
      </c>
      <c r="X171" t="s">
        <v>89</v>
      </c>
      <c r="Y171" t="s">
        <v>13</v>
      </c>
      <c r="Z171">
        <v>0</v>
      </c>
      <c r="AA171" t="s">
        <v>14</v>
      </c>
      <c r="AB171" t="s">
        <v>15</v>
      </c>
      <c r="AC171" t="s">
        <v>127</v>
      </c>
      <c r="AD171" t="s">
        <v>91</v>
      </c>
      <c r="AE171">
        <v>0</v>
      </c>
      <c r="AF171" t="s">
        <v>18</v>
      </c>
    </row>
    <row r="172" spans="1:32" x14ac:dyDescent="0.3">
      <c r="A172" t="str">
        <f t="shared" si="4"/>
        <v>stoch_{'C',  [('delta', 0.1,  1)]}_[35,  70]_4</v>
      </c>
      <c r="B172" t="s">
        <v>586</v>
      </c>
      <c r="C172" t="s">
        <v>262</v>
      </c>
      <c r="D172" t="s">
        <v>1</v>
      </c>
      <c r="E172">
        <v>0.1</v>
      </c>
      <c r="F172" t="s">
        <v>37</v>
      </c>
      <c r="G172" t="s">
        <v>44</v>
      </c>
      <c r="H172" t="s">
        <v>4</v>
      </c>
      <c r="I172">
        <v>291</v>
      </c>
      <c r="J172" t="s">
        <v>5</v>
      </c>
      <c r="K172">
        <v>32</v>
      </c>
      <c r="L172" s="3">
        <f t="shared" si="5"/>
        <v>0.10996563573883161</v>
      </c>
      <c r="M172" t="s">
        <v>6</v>
      </c>
      <c r="N172">
        <v>-24.092665491679998</v>
      </c>
      <c r="O172" t="s">
        <v>7</v>
      </c>
      <c r="P172">
        <v>-8.2792664919862799E-2</v>
      </c>
      <c r="Q172" t="s">
        <v>8</v>
      </c>
      <c r="R172">
        <v>2.7328125000000001</v>
      </c>
      <c r="S172" t="s">
        <v>9</v>
      </c>
      <c r="T172">
        <v>-0.43066666213003901</v>
      </c>
      <c r="U172" t="s">
        <v>10</v>
      </c>
      <c r="V172">
        <v>0.34139244626800103</v>
      </c>
      <c r="W172" t="s">
        <v>11</v>
      </c>
      <c r="X172" t="s">
        <v>108</v>
      </c>
      <c r="Y172" t="s">
        <v>53</v>
      </c>
      <c r="Z172">
        <v>0</v>
      </c>
      <c r="AA172" t="s">
        <v>14</v>
      </c>
      <c r="AB172" t="s">
        <v>15</v>
      </c>
      <c r="AC172" t="s">
        <v>290</v>
      </c>
      <c r="AD172" t="s">
        <v>53</v>
      </c>
      <c r="AE172">
        <v>0</v>
      </c>
      <c r="AF172" t="s">
        <v>18</v>
      </c>
    </row>
    <row r="173" spans="1:32" x14ac:dyDescent="0.3">
      <c r="A173" t="str">
        <f t="shared" si="4"/>
        <v>psar_no_highvol_{'C',  [('delta', 0.3,  1)]}_[35,  70]_1</v>
      </c>
      <c r="B173" t="s">
        <v>461</v>
      </c>
      <c r="C173" t="s">
        <v>175</v>
      </c>
      <c r="D173" t="s">
        <v>1</v>
      </c>
      <c r="E173">
        <v>0.3</v>
      </c>
      <c r="F173" t="s">
        <v>37</v>
      </c>
      <c r="G173" t="s">
        <v>38</v>
      </c>
      <c r="H173" t="s">
        <v>4</v>
      </c>
      <c r="I173">
        <v>130</v>
      </c>
      <c r="J173" t="s">
        <v>5</v>
      </c>
      <c r="K173">
        <v>40</v>
      </c>
      <c r="L173" s="3">
        <f t="shared" si="5"/>
        <v>0.30769230769230771</v>
      </c>
      <c r="M173" t="s">
        <v>6</v>
      </c>
      <c r="N173">
        <v>-24.555934563221602</v>
      </c>
      <c r="O173" t="s">
        <v>7</v>
      </c>
      <c r="P173">
        <v>-0.18889180433247399</v>
      </c>
      <c r="Q173" t="s">
        <v>8</v>
      </c>
      <c r="R173">
        <v>2.7052499999999902</v>
      </c>
      <c r="S173" t="s">
        <v>9</v>
      </c>
      <c r="T173">
        <v>-1.47517705070246</v>
      </c>
      <c r="U173" t="s">
        <v>10</v>
      </c>
      <c r="V173">
        <v>0.38413150124541001</v>
      </c>
      <c r="W173" t="s">
        <v>11</v>
      </c>
      <c r="X173" t="s">
        <v>203</v>
      </c>
      <c r="Y173" t="s">
        <v>173</v>
      </c>
    </row>
    <row r="174" spans="1:32" x14ac:dyDescent="0.3">
      <c r="A174" t="str">
        <f t="shared" si="4"/>
        <v>stoch_{'C',  [('delta', 0.2,  1)]}_[21,  49]_3</v>
      </c>
      <c r="B174" t="s">
        <v>569</v>
      </c>
      <c r="C174" t="s">
        <v>262</v>
      </c>
      <c r="D174" t="s">
        <v>1</v>
      </c>
      <c r="E174">
        <v>0.2</v>
      </c>
      <c r="F174" t="s">
        <v>27</v>
      </c>
      <c r="G174" t="s">
        <v>33</v>
      </c>
      <c r="H174" t="s">
        <v>4</v>
      </c>
      <c r="I174">
        <v>230</v>
      </c>
      <c r="J174" t="s">
        <v>5</v>
      </c>
      <c r="K174">
        <v>32</v>
      </c>
      <c r="L174" s="3">
        <f t="shared" si="5"/>
        <v>0.1391304347826087</v>
      </c>
      <c r="M174" t="s">
        <v>6</v>
      </c>
      <c r="N174">
        <v>-24.689999999999898</v>
      </c>
      <c r="O174" t="s">
        <v>7</v>
      </c>
      <c r="P174">
        <v>-0.10734782608695601</v>
      </c>
      <c r="Q174" t="s">
        <v>8</v>
      </c>
      <c r="R174">
        <v>4.59375</v>
      </c>
      <c r="S174" t="s">
        <v>9</v>
      </c>
      <c r="T174">
        <v>-0.86712121212121196</v>
      </c>
      <c r="U174" t="s">
        <v>10</v>
      </c>
      <c r="V174">
        <v>0.61493339440836503</v>
      </c>
      <c r="W174" t="s">
        <v>11</v>
      </c>
      <c r="X174" t="s">
        <v>279</v>
      </c>
      <c r="Y174" t="s">
        <v>25</v>
      </c>
      <c r="Z174">
        <v>0</v>
      </c>
      <c r="AA174" t="s">
        <v>14</v>
      </c>
      <c r="AB174" t="s">
        <v>15</v>
      </c>
      <c r="AC174" t="s">
        <v>278</v>
      </c>
      <c r="AD174" t="s">
        <v>91</v>
      </c>
      <c r="AE174">
        <v>0</v>
      </c>
      <c r="AF174" t="s">
        <v>18</v>
      </c>
    </row>
    <row r="175" spans="1:32" x14ac:dyDescent="0.3">
      <c r="A175" t="str">
        <f t="shared" si="4"/>
        <v>bbands_{'C',  [('delta', 0.1,  1)]}_[35,  70]_3</v>
      </c>
      <c r="B175" t="s">
        <v>387</v>
      </c>
      <c r="C175" t="s">
        <v>113</v>
      </c>
      <c r="D175" t="s">
        <v>1</v>
      </c>
      <c r="E175">
        <v>0.1</v>
      </c>
      <c r="F175" t="s">
        <v>37</v>
      </c>
      <c r="G175" t="s">
        <v>42</v>
      </c>
      <c r="H175" t="s">
        <v>4</v>
      </c>
      <c r="I175">
        <v>247</v>
      </c>
      <c r="J175" t="s">
        <v>5</v>
      </c>
      <c r="K175">
        <v>28</v>
      </c>
      <c r="L175" s="3">
        <f t="shared" si="5"/>
        <v>0.11336032388663968</v>
      </c>
      <c r="M175" t="s">
        <v>6</v>
      </c>
      <c r="N175">
        <v>-24.96</v>
      </c>
      <c r="O175" t="s">
        <v>7</v>
      </c>
      <c r="P175">
        <v>-0.10105263157894701</v>
      </c>
      <c r="Q175" t="s">
        <v>8</v>
      </c>
      <c r="R175">
        <v>3.0371428571428498</v>
      </c>
      <c r="S175" t="s">
        <v>9</v>
      </c>
      <c r="T175">
        <v>-0.50228310502283102</v>
      </c>
      <c r="U175" t="s">
        <v>10</v>
      </c>
      <c r="V175">
        <v>0.37993700833029698</v>
      </c>
      <c r="W175" t="s">
        <v>11</v>
      </c>
      <c r="X175" t="s">
        <v>110</v>
      </c>
      <c r="Y175" t="s">
        <v>17</v>
      </c>
      <c r="Z175">
        <v>0</v>
      </c>
      <c r="AA175" t="s">
        <v>14</v>
      </c>
      <c r="AB175" t="s">
        <v>15</v>
      </c>
      <c r="AC175" t="s">
        <v>110</v>
      </c>
      <c r="AD175" t="s">
        <v>17</v>
      </c>
      <c r="AE175">
        <v>0</v>
      </c>
      <c r="AF175" t="s">
        <v>18</v>
      </c>
    </row>
    <row r="176" spans="1:32" x14ac:dyDescent="0.3">
      <c r="A176" t="str">
        <f t="shared" si="4"/>
        <v>rsi_{'C',  [('delta', 0.3,  1)]}_[7,  35]_3</v>
      </c>
      <c r="B176" t="s">
        <v>505</v>
      </c>
      <c r="C176" t="s">
        <v>221</v>
      </c>
      <c r="D176" t="s">
        <v>1</v>
      </c>
      <c r="E176">
        <v>0.3</v>
      </c>
      <c r="F176" t="s">
        <v>2</v>
      </c>
      <c r="G176" t="s">
        <v>23</v>
      </c>
      <c r="H176" t="s">
        <v>4</v>
      </c>
      <c r="I176">
        <v>35</v>
      </c>
      <c r="J176" t="s">
        <v>5</v>
      </c>
      <c r="K176">
        <v>4</v>
      </c>
      <c r="L176" s="3">
        <f t="shared" si="5"/>
        <v>0.11428571428571428</v>
      </c>
      <c r="M176" t="s">
        <v>6</v>
      </c>
      <c r="N176">
        <v>-24.96</v>
      </c>
      <c r="O176" t="s">
        <v>7</v>
      </c>
      <c r="P176">
        <v>-0.71314285714285697</v>
      </c>
      <c r="Q176" t="s">
        <v>8</v>
      </c>
      <c r="R176">
        <v>3.6074999999999902</v>
      </c>
      <c r="S176" t="s">
        <v>9</v>
      </c>
      <c r="T176">
        <v>-1.27064516129032</v>
      </c>
      <c r="U176" t="s">
        <v>10</v>
      </c>
      <c r="V176">
        <v>0.219926626584308</v>
      </c>
      <c r="W176" t="s">
        <v>11</v>
      </c>
      <c r="X176" t="s">
        <v>147</v>
      </c>
      <c r="Y176" t="s">
        <v>53</v>
      </c>
      <c r="Z176">
        <v>0</v>
      </c>
      <c r="AA176" t="s">
        <v>14</v>
      </c>
      <c r="AB176" t="s">
        <v>15</v>
      </c>
      <c r="AC176" t="s">
        <v>147</v>
      </c>
      <c r="AD176" t="s">
        <v>53</v>
      </c>
      <c r="AE176">
        <v>0</v>
      </c>
      <c r="AF176" t="s">
        <v>18</v>
      </c>
    </row>
    <row r="177" spans="1:32" x14ac:dyDescent="0.3">
      <c r="A177" t="str">
        <f t="shared" si="4"/>
        <v>bbands_{'C',  [('delta', 0.3,  1)]}_[21,  49]_1</v>
      </c>
      <c r="B177" t="s">
        <v>357</v>
      </c>
      <c r="C177" t="s">
        <v>113</v>
      </c>
      <c r="D177" t="s">
        <v>1</v>
      </c>
      <c r="E177">
        <v>0.3</v>
      </c>
      <c r="F177" t="s">
        <v>27</v>
      </c>
      <c r="G177" t="s">
        <v>28</v>
      </c>
      <c r="H177" t="s">
        <v>4</v>
      </c>
      <c r="I177">
        <v>200</v>
      </c>
      <c r="J177" t="s">
        <v>5</v>
      </c>
      <c r="K177">
        <v>60</v>
      </c>
      <c r="L177" s="3">
        <f t="shared" si="5"/>
        <v>0.3</v>
      </c>
      <c r="M177" t="s">
        <v>6</v>
      </c>
      <c r="N177">
        <v>-25</v>
      </c>
      <c r="O177" t="s">
        <v>7</v>
      </c>
      <c r="P177">
        <v>-0.125</v>
      </c>
      <c r="Q177" t="s">
        <v>8</v>
      </c>
      <c r="R177">
        <v>3.5178333333333298</v>
      </c>
      <c r="S177" t="s">
        <v>9</v>
      </c>
      <c r="T177">
        <v>-1.6862142857142799</v>
      </c>
      <c r="U177" t="s">
        <v>10</v>
      </c>
      <c r="V177">
        <v>0.65597764837523698</v>
      </c>
      <c r="W177" t="s">
        <v>11</v>
      </c>
      <c r="X177" t="s">
        <v>47</v>
      </c>
      <c r="Y177" t="s">
        <v>13</v>
      </c>
      <c r="Z177">
        <v>0</v>
      </c>
      <c r="AA177" t="s">
        <v>14</v>
      </c>
      <c r="AB177" t="s">
        <v>15</v>
      </c>
      <c r="AC177" t="s">
        <v>120</v>
      </c>
      <c r="AD177" t="s">
        <v>91</v>
      </c>
      <c r="AE177">
        <v>0</v>
      </c>
      <c r="AF177" t="s">
        <v>18</v>
      </c>
    </row>
    <row r="178" spans="1:32" x14ac:dyDescent="0.3">
      <c r="A178" t="str">
        <f t="shared" si="4"/>
        <v>psar_{'C',  [('delta', 0.3,  1)]}_[35,  70]_1</v>
      </c>
      <c r="B178" t="s">
        <v>410</v>
      </c>
      <c r="C178" t="s">
        <v>134</v>
      </c>
      <c r="D178" t="s">
        <v>1</v>
      </c>
      <c r="E178">
        <v>0.3</v>
      </c>
      <c r="F178" t="s">
        <v>37</v>
      </c>
      <c r="G178" t="s">
        <v>38</v>
      </c>
      <c r="H178" t="s">
        <v>4</v>
      </c>
      <c r="I178">
        <v>177</v>
      </c>
      <c r="J178" t="s">
        <v>5</v>
      </c>
      <c r="K178">
        <v>57</v>
      </c>
      <c r="L178" s="3">
        <f t="shared" si="5"/>
        <v>0.32203389830508472</v>
      </c>
      <c r="M178" t="s">
        <v>6</v>
      </c>
      <c r="N178">
        <v>-25.025493139385201</v>
      </c>
      <c r="O178" t="s">
        <v>7</v>
      </c>
      <c r="P178">
        <v>-0.14138696688918201</v>
      </c>
      <c r="Q178" t="s">
        <v>8</v>
      </c>
      <c r="R178">
        <v>2.9936842105263102</v>
      </c>
      <c r="S178" t="s">
        <v>9</v>
      </c>
      <c r="T178">
        <v>-1.6305457761615401</v>
      </c>
      <c r="U178" t="s">
        <v>10</v>
      </c>
      <c r="V178">
        <v>0.62560301295933995</v>
      </c>
      <c r="W178" t="s">
        <v>11</v>
      </c>
      <c r="X178" t="s">
        <v>149</v>
      </c>
      <c r="Y178" t="s">
        <v>143</v>
      </c>
    </row>
    <row r="179" spans="1:32" x14ac:dyDescent="0.3">
      <c r="A179" t="str">
        <f t="shared" si="4"/>
        <v>bbands_{'C',  [('delta', 0.1,  1)]}_[7,  35]_3</v>
      </c>
      <c r="B179" t="s">
        <v>379</v>
      </c>
      <c r="C179" t="s">
        <v>113</v>
      </c>
      <c r="D179" t="s">
        <v>1</v>
      </c>
      <c r="E179">
        <v>0.1</v>
      </c>
      <c r="F179" t="s">
        <v>2</v>
      </c>
      <c r="G179" t="s">
        <v>23</v>
      </c>
      <c r="H179" t="s">
        <v>4</v>
      </c>
      <c r="I179">
        <v>191</v>
      </c>
      <c r="J179" t="s">
        <v>5</v>
      </c>
      <c r="K179">
        <v>20</v>
      </c>
      <c r="L179" s="3">
        <f t="shared" si="5"/>
        <v>0.10471204188481675</v>
      </c>
      <c r="M179" t="s">
        <v>6</v>
      </c>
      <c r="N179">
        <v>-25.1099999999999</v>
      </c>
      <c r="O179" t="s">
        <v>7</v>
      </c>
      <c r="P179">
        <v>-0.13146596858638701</v>
      </c>
      <c r="Q179" t="s">
        <v>8</v>
      </c>
      <c r="R179">
        <v>2.2639999999999998</v>
      </c>
      <c r="S179" t="s">
        <v>9</v>
      </c>
      <c r="T179">
        <v>-0.41163742690058402</v>
      </c>
      <c r="U179" t="s">
        <v>10</v>
      </c>
      <c r="V179">
        <v>0.229326546288903</v>
      </c>
      <c r="W179" t="s">
        <v>11</v>
      </c>
      <c r="X179" t="s">
        <v>128</v>
      </c>
      <c r="Y179" t="s">
        <v>129</v>
      </c>
      <c r="Z179">
        <v>0</v>
      </c>
      <c r="AA179" t="s">
        <v>14</v>
      </c>
      <c r="AB179" t="s">
        <v>15</v>
      </c>
      <c r="AC179" t="s">
        <v>127</v>
      </c>
      <c r="AD179" t="s">
        <v>91</v>
      </c>
      <c r="AE179">
        <v>0</v>
      </c>
      <c r="AF179" t="s">
        <v>18</v>
      </c>
    </row>
    <row r="180" spans="1:32" x14ac:dyDescent="0.3">
      <c r="A180" t="str">
        <f t="shared" si="4"/>
        <v>bbands_{'C',  [('delta', 0.2,  1)]}_[21,  49]_3</v>
      </c>
      <c r="B180" t="s">
        <v>371</v>
      </c>
      <c r="C180" t="s">
        <v>113</v>
      </c>
      <c r="D180" t="s">
        <v>1</v>
      </c>
      <c r="E180">
        <v>0.2</v>
      </c>
      <c r="F180" t="s">
        <v>27</v>
      </c>
      <c r="G180" t="s">
        <v>33</v>
      </c>
      <c r="H180" t="s">
        <v>4</v>
      </c>
      <c r="I180">
        <v>200</v>
      </c>
      <c r="J180" t="s">
        <v>5</v>
      </c>
      <c r="K180">
        <v>26</v>
      </c>
      <c r="L180" s="3">
        <f t="shared" si="5"/>
        <v>0.13</v>
      </c>
      <c r="M180" t="s">
        <v>6</v>
      </c>
      <c r="N180">
        <v>-25.16</v>
      </c>
      <c r="O180" t="s">
        <v>7</v>
      </c>
      <c r="P180">
        <v>-0.1258</v>
      </c>
      <c r="Q180" t="s">
        <v>8</v>
      </c>
      <c r="R180">
        <v>6.0073076923076902</v>
      </c>
      <c r="S180" t="s">
        <v>9</v>
      </c>
      <c r="T180">
        <v>-1.04224137931034</v>
      </c>
      <c r="U180" t="s">
        <v>10</v>
      </c>
      <c r="V180">
        <v>0.61260588639503</v>
      </c>
      <c r="W180" t="s">
        <v>11</v>
      </c>
      <c r="X180" t="s">
        <v>58</v>
      </c>
      <c r="Y180" t="s">
        <v>21</v>
      </c>
      <c r="Z180">
        <v>0</v>
      </c>
      <c r="AA180" t="s">
        <v>14</v>
      </c>
      <c r="AB180" t="s">
        <v>15</v>
      </c>
      <c r="AC180" t="s">
        <v>123</v>
      </c>
      <c r="AD180" t="s">
        <v>91</v>
      </c>
      <c r="AE180">
        <v>0</v>
      </c>
      <c r="AF180" t="s">
        <v>18</v>
      </c>
    </row>
    <row r="181" spans="1:32" x14ac:dyDescent="0.3">
      <c r="A181" t="str">
        <f t="shared" si="4"/>
        <v>rsi_{'C',  [('delta', 0.2,  1)]}_[21,  49]_4</v>
      </c>
      <c r="B181" t="s">
        <v>522</v>
      </c>
      <c r="C181" t="s">
        <v>221</v>
      </c>
      <c r="D181" t="s">
        <v>1</v>
      </c>
      <c r="E181">
        <v>0.2</v>
      </c>
      <c r="F181" t="s">
        <v>27</v>
      </c>
      <c r="G181" t="s">
        <v>36</v>
      </c>
      <c r="H181" t="s">
        <v>4</v>
      </c>
      <c r="I181">
        <v>33</v>
      </c>
      <c r="J181" t="s">
        <v>5</v>
      </c>
      <c r="K181">
        <v>0</v>
      </c>
      <c r="L181" s="3">
        <f t="shared" si="5"/>
        <v>0</v>
      </c>
      <c r="M181" t="s">
        <v>6</v>
      </c>
      <c r="N181">
        <v>-25.3799999999999</v>
      </c>
      <c r="O181" t="s">
        <v>7</v>
      </c>
      <c r="P181">
        <v>-0.76909090909090805</v>
      </c>
      <c r="Q181" t="s">
        <v>8</v>
      </c>
      <c r="R181" t="s">
        <v>248</v>
      </c>
      <c r="S181" t="s">
        <v>9</v>
      </c>
      <c r="T181">
        <v>-0.76909090909090805</v>
      </c>
      <c r="U181" t="s">
        <v>10</v>
      </c>
      <c r="V181">
        <v>0.111547169472446</v>
      </c>
      <c r="W181" t="s">
        <v>11</v>
      </c>
      <c r="X181" t="s">
        <v>211</v>
      </c>
      <c r="Y181" t="s">
        <v>212</v>
      </c>
      <c r="Z181">
        <v>0</v>
      </c>
      <c r="AA181" t="s">
        <v>14</v>
      </c>
      <c r="AB181" t="s">
        <v>15</v>
      </c>
      <c r="AC181" t="s">
        <v>211</v>
      </c>
      <c r="AD181" t="s">
        <v>212</v>
      </c>
      <c r="AE181">
        <v>0</v>
      </c>
      <c r="AF181" t="s">
        <v>18</v>
      </c>
    </row>
    <row r="182" spans="1:32" x14ac:dyDescent="0.3">
      <c r="A182" t="str">
        <f t="shared" si="4"/>
        <v>psar_no_highvol_{'C',  [('delta', 0.4,  1)]}_[7,  35]_2</v>
      </c>
      <c r="B182" t="s">
        <v>441</v>
      </c>
      <c r="C182" t="s">
        <v>175</v>
      </c>
      <c r="D182" t="s">
        <v>1</v>
      </c>
      <c r="E182">
        <v>0.4</v>
      </c>
      <c r="F182" t="s">
        <v>2</v>
      </c>
      <c r="G182" t="s">
        <v>19</v>
      </c>
      <c r="H182" t="s">
        <v>4</v>
      </c>
      <c r="I182">
        <v>102</v>
      </c>
      <c r="J182" t="s">
        <v>5</v>
      </c>
      <c r="K182">
        <v>20</v>
      </c>
      <c r="L182" s="3">
        <f t="shared" si="5"/>
        <v>0.19607843137254902</v>
      </c>
      <c r="M182" t="s">
        <v>6</v>
      </c>
      <c r="N182">
        <v>-25.399999999999899</v>
      </c>
      <c r="O182" t="s">
        <v>7</v>
      </c>
      <c r="P182">
        <v>-0.24901960784313601</v>
      </c>
      <c r="Q182" t="s">
        <v>8</v>
      </c>
      <c r="R182">
        <v>5.1085000000000003</v>
      </c>
      <c r="S182" t="s">
        <v>9</v>
      </c>
      <c r="T182">
        <v>-1.55573170731707</v>
      </c>
      <c r="U182" t="s">
        <v>10</v>
      </c>
      <c r="V182">
        <v>0.44402445055815598</v>
      </c>
      <c r="W182" t="s">
        <v>11</v>
      </c>
      <c r="X182" t="s">
        <v>177</v>
      </c>
      <c r="Y182" t="s">
        <v>160</v>
      </c>
      <c r="Z182">
        <v>0</v>
      </c>
      <c r="AA182" t="s">
        <v>14</v>
      </c>
      <c r="AB182" t="s">
        <v>15</v>
      </c>
      <c r="AC182" t="s">
        <v>177</v>
      </c>
      <c r="AD182" t="s">
        <v>160</v>
      </c>
      <c r="AE182">
        <v>0</v>
      </c>
      <c r="AF182" t="s">
        <v>18</v>
      </c>
    </row>
    <row r="183" spans="1:32" x14ac:dyDescent="0.3">
      <c r="A183" t="str">
        <f t="shared" si="4"/>
        <v>alltime_{'C',  [('delta', 0.2,  1)]}_[35,  70]_3</v>
      </c>
      <c r="B183" t="s">
        <v>325</v>
      </c>
      <c r="C183" t="s">
        <v>0</v>
      </c>
      <c r="D183" t="s">
        <v>1</v>
      </c>
      <c r="E183">
        <v>0.2</v>
      </c>
      <c r="F183" t="s">
        <v>37</v>
      </c>
      <c r="G183" t="s">
        <v>42</v>
      </c>
      <c r="H183" t="s">
        <v>4</v>
      </c>
      <c r="I183">
        <v>3810</v>
      </c>
      <c r="J183" t="s">
        <v>5</v>
      </c>
      <c r="K183">
        <v>590</v>
      </c>
      <c r="L183" s="3">
        <f t="shared" si="5"/>
        <v>0.15485564304461943</v>
      </c>
      <c r="M183" t="s">
        <v>6</v>
      </c>
      <c r="N183">
        <v>-25.735939800492002</v>
      </c>
      <c r="O183" t="s">
        <v>7</v>
      </c>
      <c r="P183">
        <v>-6.7548398426488104E-3</v>
      </c>
      <c r="Q183" t="s">
        <v>8</v>
      </c>
      <c r="R183">
        <v>5.3979656330299903</v>
      </c>
      <c r="S183" t="s">
        <v>9</v>
      </c>
      <c r="T183">
        <v>-0.99706076499632901</v>
      </c>
      <c r="U183" t="s">
        <v>10</v>
      </c>
      <c r="V183">
        <v>6.0887564899201898</v>
      </c>
      <c r="W183" t="s">
        <v>11</v>
      </c>
      <c r="X183" t="s">
        <v>58</v>
      </c>
      <c r="Y183" t="s">
        <v>21</v>
      </c>
      <c r="Z183">
        <v>0</v>
      </c>
      <c r="AA183" t="s">
        <v>14</v>
      </c>
      <c r="AB183" t="s">
        <v>15</v>
      </c>
      <c r="AC183" t="s">
        <v>81</v>
      </c>
      <c r="AD183" t="s">
        <v>21</v>
      </c>
      <c r="AE183">
        <v>0</v>
      </c>
      <c r="AF183" t="s">
        <v>18</v>
      </c>
    </row>
    <row r="184" spans="1:32" x14ac:dyDescent="0.3">
      <c r="A184" t="str">
        <f t="shared" si="4"/>
        <v>psar_no_highvol_{'C',  [('delta', 0.4,  1)]}_[35,  70]_3</v>
      </c>
      <c r="B184" t="s">
        <v>451</v>
      </c>
      <c r="C184" t="s">
        <v>175</v>
      </c>
      <c r="D184" t="s">
        <v>1</v>
      </c>
      <c r="E184">
        <v>0.4</v>
      </c>
      <c r="F184" t="s">
        <v>37</v>
      </c>
      <c r="G184" t="s">
        <v>42</v>
      </c>
      <c r="H184" t="s">
        <v>4</v>
      </c>
      <c r="I184">
        <v>130</v>
      </c>
      <c r="J184" t="s">
        <v>5</v>
      </c>
      <c r="K184">
        <v>24</v>
      </c>
      <c r="L184" s="3">
        <f t="shared" si="5"/>
        <v>0.18461538461538463</v>
      </c>
      <c r="M184" t="s">
        <v>6</v>
      </c>
      <c r="N184">
        <v>-25.8972737961398</v>
      </c>
      <c r="O184" t="s">
        <v>7</v>
      </c>
      <c r="P184">
        <v>-0.199209798431845</v>
      </c>
      <c r="Q184" t="s">
        <v>8</v>
      </c>
      <c r="R184">
        <v>8.9212499999999899</v>
      </c>
      <c r="S184" t="s">
        <v>9</v>
      </c>
      <c r="T184">
        <v>-2.2642195641145202</v>
      </c>
      <c r="U184" t="s">
        <v>10</v>
      </c>
      <c r="V184">
        <v>0.77866313043042301</v>
      </c>
      <c r="W184" t="s">
        <v>11</v>
      </c>
      <c r="X184" t="s">
        <v>195</v>
      </c>
      <c r="Y184" t="s">
        <v>152</v>
      </c>
    </row>
    <row r="185" spans="1:32" x14ac:dyDescent="0.3">
      <c r="A185" t="str">
        <f t="shared" si="4"/>
        <v>rsi_{'C',  [('delta', 0.3,  1)]}_[21,  49]_3</v>
      </c>
      <c r="B185" t="s">
        <v>509</v>
      </c>
      <c r="C185" t="s">
        <v>221</v>
      </c>
      <c r="D185" t="s">
        <v>1</v>
      </c>
      <c r="E185">
        <v>0.3</v>
      </c>
      <c r="F185" t="s">
        <v>27</v>
      </c>
      <c r="G185" t="s">
        <v>33</v>
      </c>
      <c r="H185" t="s">
        <v>4</v>
      </c>
      <c r="I185">
        <v>33</v>
      </c>
      <c r="J185" t="s">
        <v>5</v>
      </c>
      <c r="K185">
        <v>3</v>
      </c>
      <c r="L185" s="3">
        <f t="shared" si="5"/>
        <v>9.0909090909090912E-2</v>
      </c>
      <c r="M185" t="s">
        <v>6</v>
      </c>
      <c r="N185">
        <v>-26.04</v>
      </c>
      <c r="O185" t="s">
        <v>7</v>
      </c>
      <c r="P185">
        <v>-0.78909090909090895</v>
      </c>
      <c r="Q185" t="s">
        <v>8</v>
      </c>
      <c r="R185">
        <v>5.3999999999999897</v>
      </c>
      <c r="S185" t="s">
        <v>9</v>
      </c>
      <c r="T185">
        <v>-1.4079999999999899</v>
      </c>
      <c r="U185" t="s">
        <v>10</v>
      </c>
      <c r="V185">
        <v>0.19733826260732801</v>
      </c>
      <c r="W185" t="s">
        <v>11</v>
      </c>
      <c r="X185" t="s">
        <v>135</v>
      </c>
      <c r="Y185" t="s">
        <v>75</v>
      </c>
      <c r="Z185">
        <v>0</v>
      </c>
      <c r="AA185" t="s">
        <v>14</v>
      </c>
      <c r="AB185" t="s">
        <v>15</v>
      </c>
      <c r="AC185" t="s">
        <v>135</v>
      </c>
      <c r="AD185" t="s">
        <v>75</v>
      </c>
      <c r="AE185">
        <v>0</v>
      </c>
      <c r="AF185" t="s">
        <v>18</v>
      </c>
    </row>
    <row r="186" spans="1:32" x14ac:dyDescent="0.3">
      <c r="A186" t="str">
        <f t="shared" si="4"/>
        <v>bbands_{'C',  [('delta', 0.3,  1)]}_[21,  49]_4</v>
      </c>
      <c r="B186" t="s">
        <v>360</v>
      </c>
      <c r="C186" t="s">
        <v>113</v>
      </c>
      <c r="D186" t="s">
        <v>1</v>
      </c>
      <c r="E186">
        <v>0.3</v>
      </c>
      <c r="F186" t="s">
        <v>27</v>
      </c>
      <c r="G186" t="s">
        <v>36</v>
      </c>
      <c r="H186" t="s">
        <v>4</v>
      </c>
      <c r="I186">
        <v>200</v>
      </c>
      <c r="J186" t="s">
        <v>5</v>
      </c>
      <c r="K186">
        <v>27</v>
      </c>
      <c r="L186" s="3">
        <f t="shared" si="5"/>
        <v>0.13500000000000001</v>
      </c>
      <c r="M186" t="s">
        <v>6</v>
      </c>
      <c r="N186">
        <v>-26.9201566998271</v>
      </c>
      <c r="O186" t="s">
        <v>7</v>
      </c>
      <c r="P186">
        <v>-0.13460078349913501</v>
      </c>
      <c r="Q186" t="s">
        <v>8</v>
      </c>
      <c r="R186">
        <v>9.9140682703767702</v>
      </c>
      <c r="S186" t="s">
        <v>9</v>
      </c>
      <c r="T186">
        <v>-1.7028901734104001</v>
      </c>
      <c r="U186" t="s">
        <v>10</v>
      </c>
      <c r="V186">
        <v>0.99337551936177104</v>
      </c>
      <c r="W186" t="s">
        <v>11</v>
      </c>
      <c r="X186" t="s">
        <v>60</v>
      </c>
      <c r="Y186" t="s">
        <v>21</v>
      </c>
      <c r="Z186">
        <v>0</v>
      </c>
      <c r="AA186" t="s">
        <v>14</v>
      </c>
      <c r="AB186" t="s">
        <v>15</v>
      </c>
      <c r="AC186" t="s">
        <v>60</v>
      </c>
      <c r="AD186" t="s">
        <v>21</v>
      </c>
      <c r="AE186">
        <v>0</v>
      </c>
      <c r="AF186" t="s">
        <v>18</v>
      </c>
    </row>
    <row r="187" spans="1:32" x14ac:dyDescent="0.3">
      <c r="A187" t="str">
        <f t="shared" si="4"/>
        <v>bbands_{'C',  [('delta', 0.3,  1)]}_[35,  70]_4</v>
      </c>
      <c r="B187" t="s">
        <v>364</v>
      </c>
      <c r="C187" t="s">
        <v>113</v>
      </c>
      <c r="D187" t="s">
        <v>1</v>
      </c>
      <c r="E187">
        <v>0.3</v>
      </c>
      <c r="F187" t="s">
        <v>37</v>
      </c>
      <c r="G187" t="s">
        <v>44</v>
      </c>
      <c r="H187" t="s">
        <v>4</v>
      </c>
      <c r="I187">
        <v>247</v>
      </c>
      <c r="J187" t="s">
        <v>5</v>
      </c>
      <c r="K187">
        <v>36</v>
      </c>
      <c r="L187" s="3">
        <f t="shared" si="5"/>
        <v>0.145748987854251</v>
      </c>
      <c r="M187" t="s">
        <v>6</v>
      </c>
      <c r="N187">
        <v>-27.098596887182101</v>
      </c>
      <c r="O187" t="s">
        <v>7</v>
      </c>
      <c r="P187">
        <v>-0.109710918571587</v>
      </c>
      <c r="Q187" t="s">
        <v>8</v>
      </c>
      <c r="R187">
        <v>10.7942861778187</v>
      </c>
      <c r="S187" t="s">
        <v>9</v>
      </c>
      <c r="T187">
        <v>-1.9701085274343999</v>
      </c>
      <c r="U187" t="s">
        <v>10</v>
      </c>
      <c r="V187">
        <v>1.34256985510033</v>
      </c>
      <c r="W187" t="s">
        <v>11</v>
      </c>
      <c r="X187" t="s">
        <v>60</v>
      </c>
      <c r="Y187" t="s">
        <v>21</v>
      </c>
      <c r="Z187">
        <v>0</v>
      </c>
      <c r="AA187" t="s">
        <v>14</v>
      </c>
      <c r="AB187" t="s">
        <v>15</v>
      </c>
      <c r="AC187" t="s">
        <v>122</v>
      </c>
      <c r="AD187" t="s">
        <v>21</v>
      </c>
      <c r="AE187">
        <v>0</v>
      </c>
      <c r="AF187" t="s">
        <v>18</v>
      </c>
    </row>
    <row r="188" spans="1:32" x14ac:dyDescent="0.3">
      <c r="A188" t="str">
        <f t="shared" si="4"/>
        <v>stoch_{'C',  [('delta', 0.2,  1)]}_[21,  49]_2</v>
      </c>
      <c r="B188" t="s">
        <v>568</v>
      </c>
      <c r="C188" t="s">
        <v>262</v>
      </c>
      <c r="D188" t="s">
        <v>1</v>
      </c>
      <c r="E188">
        <v>0.2</v>
      </c>
      <c r="F188" t="s">
        <v>27</v>
      </c>
      <c r="G188" t="s">
        <v>30</v>
      </c>
      <c r="H188" t="s">
        <v>4</v>
      </c>
      <c r="I188">
        <v>230</v>
      </c>
      <c r="J188" t="s">
        <v>5</v>
      </c>
      <c r="K188">
        <v>43</v>
      </c>
      <c r="L188" s="3">
        <f t="shared" si="5"/>
        <v>0.18695652173913044</v>
      </c>
      <c r="M188" t="s">
        <v>6</v>
      </c>
      <c r="N188">
        <v>-27.39</v>
      </c>
      <c r="O188" t="s">
        <v>7</v>
      </c>
      <c r="P188">
        <v>-0.11908695652173901</v>
      </c>
      <c r="Q188" t="s">
        <v>8</v>
      </c>
      <c r="R188">
        <v>3.1316279069767399</v>
      </c>
      <c r="S188" t="s">
        <v>9</v>
      </c>
      <c r="T188">
        <v>-0.86657754010695198</v>
      </c>
      <c r="U188" t="s">
        <v>10</v>
      </c>
      <c r="V188">
        <v>0.54193750336959301</v>
      </c>
      <c r="W188" t="s">
        <v>11</v>
      </c>
      <c r="X188" t="s">
        <v>277</v>
      </c>
      <c r="Y188" t="s">
        <v>91</v>
      </c>
      <c r="Z188">
        <v>0</v>
      </c>
      <c r="AA188" t="s">
        <v>14</v>
      </c>
      <c r="AB188" t="s">
        <v>15</v>
      </c>
      <c r="AC188" t="s">
        <v>278</v>
      </c>
      <c r="AD188" t="s">
        <v>91</v>
      </c>
      <c r="AE188">
        <v>0</v>
      </c>
      <c r="AF188" t="s">
        <v>18</v>
      </c>
    </row>
    <row r="189" spans="1:32" x14ac:dyDescent="0.3">
      <c r="A189" t="str">
        <f t="shared" si="4"/>
        <v>bbands_{'C',  [('delta', 0.4,  1)]}_[35,  70]_4</v>
      </c>
      <c r="B189" t="s">
        <v>352</v>
      </c>
      <c r="C189" t="s">
        <v>113</v>
      </c>
      <c r="D189" t="s">
        <v>1</v>
      </c>
      <c r="E189">
        <v>0.4</v>
      </c>
      <c r="F189" t="s">
        <v>37</v>
      </c>
      <c r="G189" t="s">
        <v>44</v>
      </c>
      <c r="H189" t="s">
        <v>4</v>
      </c>
      <c r="I189">
        <v>247</v>
      </c>
      <c r="J189" t="s">
        <v>5</v>
      </c>
      <c r="K189">
        <v>49</v>
      </c>
      <c r="L189" s="3">
        <f t="shared" si="5"/>
        <v>0.19838056680161945</v>
      </c>
      <c r="M189" t="s">
        <v>6</v>
      </c>
      <c r="N189">
        <v>-27.520118623910498</v>
      </c>
      <c r="O189" t="s">
        <v>7</v>
      </c>
      <c r="P189">
        <v>-0.11141748430733001</v>
      </c>
      <c r="Q189" t="s">
        <v>8</v>
      </c>
      <c r="R189">
        <v>11.3406234088683</v>
      </c>
      <c r="S189" t="s">
        <v>9</v>
      </c>
      <c r="T189">
        <v>-2.9455084124164501</v>
      </c>
      <c r="U189" t="s">
        <v>10</v>
      </c>
      <c r="V189">
        <v>1.8474053178693399</v>
      </c>
      <c r="W189" t="s">
        <v>11</v>
      </c>
      <c r="X189" t="s">
        <v>34</v>
      </c>
      <c r="Y189" t="s">
        <v>21</v>
      </c>
      <c r="Z189">
        <v>0</v>
      </c>
      <c r="AA189" t="s">
        <v>14</v>
      </c>
      <c r="AB189" t="s">
        <v>15</v>
      </c>
      <c r="AC189" t="s">
        <v>119</v>
      </c>
      <c r="AD189" t="s">
        <v>21</v>
      </c>
      <c r="AE189">
        <v>0</v>
      </c>
      <c r="AF189" t="s">
        <v>18</v>
      </c>
    </row>
    <row r="190" spans="1:32" x14ac:dyDescent="0.3">
      <c r="A190" t="str">
        <f t="shared" si="4"/>
        <v>bbands_{'C',  [('delta', 0.2,  1)]}_[35,  70]_1</v>
      </c>
      <c r="B190" t="s">
        <v>373</v>
      </c>
      <c r="C190" t="s">
        <v>113</v>
      </c>
      <c r="D190" t="s">
        <v>1</v>
      </c>
      <c r="E190">
        <v>0.2</v>
      </c>
      <c r="F190" t="s">
        <v>37</v>
      </c>
      <c r="G190" t="s">
        <v>38</v>
      </c>
      <c r="H190" t="s">
        <v>4</v>
      </c>
      <c r="I190">
        <v>247</v>
      </c>
      <c r="J190" t="s">
        <v>5</v>
      </c>
      <c r="K190">
        <v>71</v>
      </c>
      <c r="L190" s="3">
        <f t="shared" si="5"/>
        <v>0.2874493927125506</v>
      </c>
      <c r="M190" t="s">
        <v>6</v>
      </c>
      <c r="N190">
        <v>-27.634657900157102</v>
      </c>
      <c r="O190" t="s">
        <v>7</v>
      </c>
      <c r="P190">
        <v>-0.11188120607351</v>
      </c>
      <c r="Q190" t="s">
        <v>8</v>
      </c>
      <c r="R190">
        <v>2.4786667901386301</v>
      </c>
      <c r="S190" t="s">
        <v>9</v>
      </c>
      <c r="T190">
        <v>-1.15693181818181</v>
      </c>
      <c r="U190" t="s">
        <v>10</v>
      </c>
      <c r="V190">
        <v>0.55306642916011595</v>
      </c>
      <c r="W190" t="s">
        <v>11</v>
      </c>
      <c r="X190" t="s">
        <v>124</v>
      </c>
      <c r="Y190" t="s">
        <v>91</v>
      </c>
      <c r="Z190">
        <v>0</v>
      </c>
      <c r="AA190" t="s">
        <v>14</v>
      </c>
      <c r="AB190" t="s">
        <v>15</v>
      </c>
      <c r="AC190" t="s">
        <v>125</v>
      </c>
      <c r="AD190" t="s">
        <v>91</v>
      </c>
      <c r="AE190">
        <v>0</v>
      </c>
      <c r="AF190" t="s">
        <v>18</v>
      </c>
    </row>
    <row r="191" spans="1:32" x14ac:dyDescent="0.3">
      <c r="A191" t="str">
        <f t="shared" si="4"/>
        <v>stoch_{'C',  [('delta', 0.1,  1)]}_[7,  35]_2</v>
      </c>
      <c r="B191" t="s">
        <v>576</v>
      </c>
      <c r="C191" t="s">
        <v>262</v>
      </c>
      <c r="D191" t="s">
        <v>1</v>
      </c>
      <c r="E191">
        <v>0.1</v>
      </c>
      <c r="F191" t="s">
        <v>2</v>
      </c>
      <c r="G191" t="s">
        <v>19</v>
      </c>
      <c r="H191" t="s">
        <v>4</v>
      </c>
      <c r="I191">
        <v>224</v>
      </c>
      <c r="J191" t="s">
        <v>5</v>
      </c>
      <c r="K191">
        <v>21</v>
      </c>
      <c r="L191" s="3">
        <f t="shared" si="5"/>
        <v>9.375E-2</v>
      </c>
      <c r="M191" t="s">
        <v>6</v>
      </c>
      <c r="N191">
        <v>-27.7899999999999</v>
      </c>
      <c r="O191" t="s">
        <v>7</v>
      </c>
      <c r="P191">
        <v>-0.12406249999999901</v>
      </c>
      <c r="Q191" t="s">
        <v>8</v>
      </c>
      <c r="R191">
        <v>1.5742857142857101</v>
      </c>
      <c r="S191" t="s">
        <v>9</v>
      </c>
      <c r="T191">
        <v>-0.29975369458127998</v>
      </c>
      <c r="U191" t="s">
        <v>10</v>
      </c>
      <c r="V191">
        <v>0.197722290540573</v>
      </c>
      <c r="W191" t="s">
        <v>11</v>
      </c>
      <c r="X191" t="s">
        <v>101</v>
      </c>
      <c r="Y191" t="s">
        <v>25</v>
      </c>
      <c r="Z191">
        <v>0</v>
      </c>
      <c r="AA191" t="s">
        <v>14</v>
      </c>
      <c r="AB191" t="s">
        <v>15</v>
      </c>
      <c r="AC191" t="s">
        <v>285</v>
      </c>
      <c r="AD191" t="s">
        <v>91</v>
      </c>
      <c r="AE191">
        <v>0</v>
      </c>
      <c r="AF191" t="s">
        <v>18</v>
      </c>
    </row>
    <row r="192" spans="1:32" x14ac:dyDescent="0.3">
      <c r="A192" t="str">
        <f t="shared" si="4"/>
        <v>bbands_{'C',  [('delta', 0.2,  1)]}_[21,  49]_4</v>
      </c>
      <c r="B192" t="s">
        <v>372</v>
      </c>
      <c r="C192" t="s">
        <v>113</v>
      </c>
      <c r="D192" t="s">
        <v>1</v>
      </c>
      <c r="E192">
        <v>0.2</v>
      </c>
      <c r="F192" t="s">
        <v>27</v>
      </c>
      <c r="G192" t="s">
        <v>36</v>
      </c>
      <c r="H192" t="s">
        <v>4</v>
      </c>
      <c r="I192">
        <v>200</v>
      </c>
      <c r="J192" t="s">
        <v>5</v>
      </c>
      <c r="K192">
        <v>21</v>
      </c>
      <c r="L192" s="3">
        <f t="shared" si="5"/>
        <v>0.105</v>
      </c>
      <c r="M192" t="s">
        <v>6</v>
      </c>
      <c r="N192">
        <v>-27.799999999999901</v>
      </c>
      <c r="O192" t="s">
        <v>7</v>
      </c>
      <c r="P192">
        <v>-0.13899999999999901</v>
      </c>
      <c r="Q192" t="s">
        <v>8</v>
      </c>
      <c r="R192">
        <v>7.5671428571428496</v>
      </c>
      <c r="S192" t="s">
        <v>9</v>
      </c>
      <c r="T192">
        <v>-1.04307262569832</v>
      </c>
      <c r="U192" t="s">
        <v>10</v>
      </c>
      <c r="V192">
        <v>0.66609461242670198</v>
      </c>
      <c r="W192" t="s">
        <v>11</v>
      </c>
      <c r="X192" t="s">
        <v>58</v>
      </c>
      <c r="Y192" t="s">
        <v>21</v>
      </c>
      <c r="Z192">
        <v>0</v>
      </c>
      <c r="AA192" t="s">
        <v>14</v>
      </c>
      <c r="AB192" t="s">
        <v>15</v>
      </c>
      <c r="AC192" t="s">
        <v>123</v>
      </c>
      <c r="AD192" t="s">
        <v>91</v>
      </c>
      <c r="AE192">
        <v>0</v>
      </c>
      <c r="AF192" t="s">
        <v>18</v>
      </c>
    </row>
    <row r="193" spans="1:32" x14ac:dyDescent="0.3">
      <c r="A193" t="str">
        <f t="shared" si="4"/>
        <v>stoch_{'C',  [('delta', 0.2,  1)]}_[35,  70]_4</v>
      </c>
      <c r="B193" t="s">
        <v>574</v>
      </c>
      <c r="C193" t="s">
        <v>262</v>
      </c>
      <c r="D193" t="s">
        <v>1</v>
      </c>
      <c r="E193">
        <v>0.2</v>
      </c>
      <c r="F193" t="s">
        <v>37</v>
      </c>
      <c r="G193" t="s">
        <v>44</v>
      </c>
      <c r="H193" t="s">
        <v>4</v>
      </c>
      <c r="I193">
        <v>291</v>
      </c>
      <c r="J193" t="s">
        <v>5</v>
      </c>
      <c r="K193">
        <v>35</v>
      </c>
      <c r="L193" s="3">
        <f t="shared" si="5"/>
        <v>0.12027491408934708</v>
      </c>
      <c r="M193" t="s">
        <v>6</v>
      </c>
      <c r="N193">
        <v>-28.007570035535501</v>
      </c>
      <c r="O193" t="s">
        <v>7</v>
      </c>
      <c r="P193">
        <v>-9.6245945139297198E-2</v>
      </c>
      <c r="Q193" t="s">
        <v>8</v>
      </c>
      <c r="R193">
        <v>6.8508571428571399</v>
      </c>
      <c r="S193" t="s">
        <v>9</v>
      </c>
      <c r="T193">
        <v>-1.0460451954512999</v>
      </c>
      <c r="U193" t="s">
        <v>10</v>
      </c>
      <c r="V193">
        <v>0.89338596361298706</v>
      </c>
      <c r="W193" t="s">
        <v>11</v>
      </c>
      <c r="X193" t="s">
        <v>281</v>
      </c>
      <c r="Y193" t="s">
        <v>17</v>
      </c>
      <c r="Z193">
        <v>0</v>
      </c>
      <c r="AA193" t="s">
        <v>14</v>
      </c>
      <c r="AB193" t="s">
        <v>15</v>
      </c>
      <c r="AC193" t="s">
        <v>282</v>
      </c>
      <c r="AD193" t="s">
        <v>53</v>
      </c>
      <c r="AE193">
        <v>0</v>
      </c>
      <c r="AF193" t="s">
        <v>18</v>
      </c>
    </row>
    <row r="194" spans="1:32" x14ac:dyDescent="0.3">
      <c r="A194" t="str">
        <f t="shared" ref="A194:A257" si="6">_xlfn.TEXTJOIN(", ", FALSE, C194,D194,E194,F194,G194)</f>
        <v>psar_no_highvol_{'C',  [('delta', 0.4,  1)]}_[7,  35]_1</v>
      </c>
      <c r="B194" t="s">
        <v>440</v>
      </c>
      <c r="C194" t="s">
        <v>175</v>
      </c>
      <c r="D194" t="s">
        <v>1</v>
      </c>
      <c r="E194">
        <v>0.4</v>
      </c>
      <c r="F194" t="s">
        <v>2</v>
      </c>
      <c r="G194" t="s">
        <v>3</v>
      </c>
      <c r="H194" t="s">
        <v>4</v>
      </c>
      <c r="I194">
        <v>102</v>
      </c>
      <c r="J194" t="s">
        <v>5</v>
      </c>
      <c r="K194">
        <v>28</v>
      </c>
      <c r="L194" s="3">
        <f t="shared" si="5"/>
        <v>0.27450980392156865</v>
      </c>
      <c r="M194" t="s">
        <v>6</v>
      </c>
      <c r="N194">
        <v>-28.369999999999902</v>
      </c>
      <c r="O194" t="s">
        <v>7</v>
      </c>
      <c r="P194">
        <v>-0.27813725490196001</v>
      </c>
      <c r="Q194" t="s">
        <v>8</v>
      </c>
      <c r="R194">
        <v>2.9578571428571401</v>
      </c>
      <c r="S194" t="s">
        <v>9</v>
      </c>
      <c r="T194">
        <v>-1.50256756756756</v>
      </c>
      <c r="U194" t="s">
        <v>10</v>
      </c>
      <c r="V194">
        <v>0.34208898684522698</v>
      </c>
      <c r="W194" t="s">
        <v>11</v>
      </c>
      <c r="X194" t="s">
        <v>176</v>
      </c>
      <c r="Y194" t="s">
        <v>137</v>
      </c>
      <c r="Z194">
        <v>0</v>
      </c>
      <c r="AA194" t="s">
        <v>14</v>
      </c>
      <c r="AB194" t="s">
        <v>15</v>
      </c>
      <c r="AC194" t="s">
        <v>136</v>
      </c>
      <c r="AD194" t="s">
        <v>137</v>
      </c>
      <c r="AE194">
        <v>0</v>
      </c>
      <c r="AF194" t="s">
        <v>18</v>
      </c>
    </row>
    <row r="195" spans="1:32" x14ac:dyDescent="0.3">
      <c r="A195" t="str">
        <f t="shared" si="6"/>
        <v>rsi_{'C',  [('delta', 0.3,  1)]}_[7,  35]_4</v>
      </c>
      <c r="B195" t="s">
        <v>506</v>
      </c>
      <c r="C195" t="s">
        <v>221</v>
      </c>
      <c r="D195" t="s">
        <v>1</v>
      </c>
      <c r="E195">
        <v>0.3</v>
      </c>
      <c r="F195" t="s">
        <v>2</v>
      </c>
      <c r="G195" t="s">
        <v>26</v>
      </c>
      <c r="H195" t="s">
        <v>4</v>
      </c>
      <c r="I195">
        <v>35</v>
      </c>
      <c r="J195" t="s">
        <v>5</v>
      </c>
      <c r="K195">
        <v>4</v>
      </c>
      <c r="L195" s="3">
        <f t="shared" ref="L195:L258" si="7">K195/I195</f>
        <v>0.11428571428571428</v>
      </c>
      <c r="M195" t="s">
        <v>6</v>
      </c>
      <c r="N195">
        <v>-28.43</v>
      </c>
      <c r="O195" t="s">
        <v>7</v>
      </c>
      <c r="P195">
        <v>-0.81228571428571394</v>
      </c>
      <c r="Q195" t="s">
        <v>8</v>
      </c>
      <c r="R195">
        <v>2.73999999999999</v>
      </c>
      <c r="S195" t="s">
        <v>9</v>
      </c>
      <c r="T195">
        <v>-1.27064516129032</v>
      </c>
      <c r="U195" t="s">
        <v>10</v>
      </c>
      <c r="V195">
        <v>0.224807662296831</v>
      </c>
      <c r="W195" t="s">
        <v>11</v>
      </c>
      <c r="X195" t="s">
        <v>147</v>
      </c>
      <c r="Y195" t="s">
        <v>53</v>
      </c>
      <c r="Z195">
        <v>0</v>
      </c>
      <c r="AA195" t="s">
        <v>14</v>
      </c>
      <c r="AB195" t="s">
        <v>15</v>
      </c>
      <c r="AC195" t="s">
        <v>147</v>
      </c>
      <c r="AD195" t="s">
        <v>53</v>
      </c>
      <c r="AE195">
        <v>0</v>
      </c>
      <c r="AF195" t="s">
        <v>18</v>
      </c>
    </row>
    <row r="196" spans="1:32" x14ac:dyDescent="0.3">
      <c r="A196" t="str">
        <f t="shared" si="6"/>
        <v>bbands_{'C',  [('delta', 0.4,  1)]}_[21,  49]_3</v>
      </c>
      <c r="B196" t="s">
        <v>347</v>
      </c>
      <c r="C196" t="s">
        <v>113</v>
      </c>
      <c r="D196" t="s">
        <v>1</v>
      </c>
      <c r="E196">
        <v>0.4</v>
      </c>
      <c r="F196" t="s">
        <v>27</v>
      </c>
      <c r="G196" t="s">
        <v>33</v>
      </c>
      <c r="H196" t="s">
        <v>4</v>
      </c>
      <c r="I196">
        <v>200</v>
      </c>
      <c r="J196" t="s">
        <v>5</v>
      </c>
      <c r="K196">
        <v>39</v>
      </c>
      <c r="L196" s="3">
        <f t="shared" si="7"/>
        <v>0.19500000000000001</v>
      </c>
      <c r="M196" t="s">
        <v>6</v>
      </c>
      <c r="N196">
        <v>-28.729999999999801</v>
      </c>
      <c r="O196" t="s">
        <v>7</v>
      </c>
      <c r="P196">
        <v>-0.143649999999999</v>
      </c>
      <c r="Q196" t="s">
        <v>8</v>
      </c>
      <c r="R196">
        <v>9.6530769230769202</v>
      </c>
      <c r="S196" t="s">
        <v>9</v>
      </c>
      <c r="T196">
        <v>-2.5167701863354002</v>
      </c>
      <c r="U196" t="s">
        <v>10</v>
      </c>
      <c r="V196">
        <v>1.3255361803233101</v>
      </c>
      <c r="W196" t="s">
        <v>11</v>
      </c>
      <c r="X196" t="s">
        <v>34</v>
      </c>
      <c r="Y196" t="s">
        <v>21</v>
      </c>
      <c r="Z196">
        <v>0</v>
      </c>
      <c r="AA196" t="s">
        <v>14</v>
      </c>
      <c r="AB196" t="s">
        <v>15</v>
      </c>
      <c r="AC196" t="s">
        <v>114</v>
      </c>
      <c r="AD196" t="s">
        <v>91</v>
      </c>
      <c r="AE196">
        <v>0</v>
      </c>
      <c r="AF196" t="s">
        <v>18</v>
      </c>
    </row>
    <row r="197" spans="1:32" x14ac:dyDescent="0.3">
      <c r="A197" t="str">
        <f t="shared" si="6"/>
        <v>stoch_{'C',  [('delta', 0.2,  1)]}_[7,  35]_3</v>
      </c>
      <c r="B197" t="s">
        <v>565</v>
      </c>
      <c r="C197" t="s">
        <v>262</v>
      </c>
      <c r="D197" t="s">
        <v>1</v>
      </c>
      <c r="E197">
        <v>0.2</v>
      </c>
      <c r="F197" t="s">
        <v>2</v>
      </c>
      <c r="G197" t="s">
        <v>23</v>
      </c>
      <c r="H197" t="s">
        <v>4</v>
      </c>
      <c r="I197">
        <v>224</v>
      </c>
      <c r="J197" t="s">
        <v>5</v>
      </c>
      <c r="K197">
        <v>29</v>
      </c>
      <c r="L197" s="3">
        <f t="shared" si="7"/>
        <v>0.12946428571428573</v>
      </c>
      <c r="M197" t="s">
        <v>6</v>
      </c>
      <c r="N197">
        <v>-29.389999999999901</v>
      </c>
      <c r="O197" t="s">
        <v>7</v>
      </c>
      <c r="P197">
        <v>-0.131205357142857</v>
      </c>
      <c r="Q197" t="s">
        <v>8</v>
      </c>
      <c r="R197">
        <v>4.0517241379310303</v>
      </c>
      <c r="S197" t="s">
        <v>9</v>
      </c>
      <c r="T197">
        <v>-0.75328205128205095</v>
      </c>
      <c r="U197" t="s">
        <v>10</v>
      </c>
      <c r="V197">
        <v>0.52204960393656497</v>
      </c>
      <c r="W197" t="s">
        <v>11</v>
      </c>
      <c r="X197" t="s">
        <v>279</v>
      </c>
      <c r="Y197" t="s">
        <v>25</v>
      </c>
      <c r="Z197">
        <v>0</v>
      </c>
      <c r="AA197" t="s">
        <v>14</v>
      </c>
      <c r="AB197" t="s">
        <v>15</v>
      </c>
      <c r="AC197" t="s">
        <v>278</v>
      </c>
      <c r="AD197" t="s">
        <v>91</v>
      </c>
      <c r="AE197">
        <v>0</v>
      </c>
      <c r="AF197" t="s">
        <v>18</v>
      </c>
    </row>
    <row r="198" spans="1:32" x14ac:dyDescent="0.3">
      <c r="A198" t="str">
        <f t="shared" si="6"/>
        <v>stoch_{'C',  [('delta', 0.1,  1)]}_[35,  70]_3</v>
      </c>
      <c r="B198" t="s">
        <v>585</v>
      </c>
      <c r="C198" t="s">
        <v>262</v>
      </c>
      <c r="D198" t="s">
        <v>1</v>
      </c>
      <c r="E198">
        <v>0.1</v>
      </c>
      <c r="F198" t="s">
        <v>37</v>
      </c>
      <c r="G198" t="s">
        <v>42</v>
      </c>
      <c r="H198" t="s">
        <v>4</v>
      </c>
      <c r="I198">
        <v>291</v>
      </c>
      <c r="J198" t="s">
        <v>5</v>
      </c>
      <c r="K198">
        <v>36</v>
      </c>
      <c r="L198" s="3">
        <f t="shared" si="7"/>
        <v>0.12371134020618557</v>
      </c>
      <c r="M198" t="s">
        <v>6</v>
      </c>
      <c r="N198">
        <v>-29.76266549168</v>
      </c>
      <c r="O198" t="s">
        <v>7</v>
      </c>
      <c r="P198">
        <v>-0.102277201002336</v>
      </c>
      <c r="Q198" t="s">
        <v>8</v>
      </c>
      <c r="R198">
        <v>2.2355555555555502</v>
      </c>
      <c r="S198" t="s">
        <v>9</v>
      </c>
      <c r="T198">
        <v>-0.43232417839874498</v>
      </c>
      <c r="U198" t="s">
        <v>10</v>
      </c>
      <c r="V198">
        <v>0.327543592629848</v>
      </c>
      <c r="W198" t="s">
        <v>11</v>
      </c>
      <c r="X198" t="s">
        <v>108</v>
      </c>
      <c r="Y198" t="s">
        <v>53</v>
      </c>
      <c r="Z198">
        <v>0</v>
      </c>
      <c r="AA198" t="s">
        <v>14</v>
      </c>
      <c r="AB198" t="s">
        <v>15</v>
      </c>
      <c r="AC198" t="s">
        <v>290</v>
      </c>
      <c r="AD198" t="s">
        <v>53</v>
      </c>
      <c r="AE198">
        <v>0</v>
      </c>
      <c r="AF198" t="s">
        <v>18</v>
      </c>
    </row>
    <row r="199" spans="1:32" x14ac:dyDescent="0.3">
      <c r="A199" t="str">
        <f t="shared" si="6"/>
        <v>stoch_{'C',  [('delta', 0.3,  1)]}_[35,  70]_1</v>
      </c>
      <c r="B199" t="s">
        <v>559</v>
      </c>
      <c r="C199" t="s">
        <v>262</v>
      </c>
      <c r="D199" t="s">
        <v>1</v>
      </c>
      <c r="E199">
        <v>0.3</v>
      </c>
      <c r="F199" t="s">
        <v>37</v>
      </c>
      <c r="G199" t="s">
        <v>38</v>
      </c>
      <c r="H199" t="s">
        <v>4</v>
      </c>
      <c r="I199">
        <v>291</v>
      </c>
      <c r="J199" t="s">
        <v>5</v>
      </c>
      <c r="K199">
        <v>91</v>
      </c>
      <c r="L199" s="3">
        <f t="shared" si="7"/>
        <v>0.3127147766323024</v>
      </c>
      <c r="M199" t="s">
        <v>6</v>
      </c>
      <c r="N199">
        <v>-30.411592961345001</v>
      </c>
      <c r="O199" t="s">
        <v>7</v>
      </c>
      <c r="P199">
        <v>-0.104507192307027</v>
      </c>
      <c r="Q199" t="s">
        <v>8</v>
      </c>
      <c r="R199">
        <v>3.6596869661819702</v>
      </c>
      <c r="S199" t="s">
        <v>9</v>
      </c>
      <c r="T199">
        <v>-1.81721553441952</v>
      </c>
      <c r="U199" t="s">
        <v>10</v>
      </c>
      <c r="V199">
        <v>0.962212687408045</v>
      </c>
      <c r="W199" t="s">
        <v>11</v>
      </c>
      <c r="X199" t="s">
        <v>274</v>
      </c>
      <c r="Y199" t="s">
        <v>91</v>
      </c>
      <c r="Z199">
        <v>0</v>
      </c>
      <c r="AA199" t="s">
        <v>14</v>
      </c>
      <c r="AB199" t="s">
        <v>15</v>
      </c>
      <c r="AC199" t="s">
        <v>275</v>
      </c>
      <c r="AD199" t="s">
        <v>91</v>
      </c>
      <c r="AE199">
        <v>0</v>
      </c>
      <c r="AF199" t="s">
        <v>18</v>
      </c>
    </row>
    <row r="200" spans="1:32" x14ac:dyDescent="0.3">
      <c r="A200" t="str">
        <f t="shared" si="6"/>
        <v>bbands_{'C',  [('delta', 0.1,  1)]}_[7,  35]_4</v>
      </c>
      <c r="B200" t="s">
        <v>380</v>
      </c>
      <c r="C200" t="s">
        <v>113</v>
      </c>
      <c r="D200" t="s">
        <v>1</v>
      </c>
      <c r="E200">
        <v>0.1</v>
      </c>
      <c r="F200" t="s">
        <v>2</v>
      </c>
      <c r="G200" t="s">
        <v>26</v>
      </c>
      <c r="H200" t="s">
        <v>4</v>
      </c>
      <c r="I200">
        <v>191</v>
      </c>
      <c r="J200" t="s">
        <v>5</v>
      </c>
      <c r="K200">
        <v>16</v>
      </c>
      <c r="L200" s="3">
        <f t="shared" si="7"/>
        <v>8.3769633507853408E-2</v>
      </c>
      <c r="M200" t="s">
        <v>6</v>
      </c>
      <c r="N200">
        <v>-31.169999999999899</v>
      </c>
      <c r="O200" t="s">
        <v>7</v>
      </c>
      <c r="P200">
        <v>-0.16319371727748599</v>
      </c>
      <c r="Q200" t="s">
        <v>8</v>
      </c>
      <c r="R200">
        <v>2.5881249999999998</v>
      </c>
      <c r="S200" t="s">
        <v>9</v>
      </c>
      <c r="T200">
        <v>-0.41474285714285603</v>
      </c>
      <c r="U200" t="s">
        <v>10</v>
      </c>
      <c r="V200">
        <v>0.24735764684384601</v>
      </c>
      <c r="W200" t="s">
        <v>11</v>
      </c>
      <c r="X200" t="s">
        <v>128</v>
      </c>
      <c r="Y200" t="s">
        <v>129</v>
      </c>
      <c r="Z200">
        <v>0</v>
      </c>
      <c r="AA200" t="s">
        <v>14</v>
      </c>
      <c r="AB200" t="s">
        <v>15</v>
      </c>
      <c r="AC200" t="s">
        <v>127</v>
      </c>
      <c r="AD200" t="s">
        <v>91</v>
      </c>
      <c r="AE200">
        <v>0</v>
      </c>
      <c r="AF200" t="s">
        <v>18</v>
      </c>
    </row>
    <row r="201" spans="1:32" x14ac:dyDescent="0.3">
      <c r="A201" t="str">
        <f t="shared" si="6"/>
        <v>bbands_{'C',  [('delta', 0.2,  1)]}_[21,  49]_1</v>
      </c>
      <c r="B201" t="s">
        <v>369</v>
      </c>
      <c r="C201" t="s">
        <v>113</v>
      </c>
      <c r="D201" t="s">
        <v>1</v>
      </c>
      <c r="E201">
        <v>0.2</v>
      </c>
      <c r="F201" t="s">
        <v>27</v>
      </c>
      <c r="G201" t="s">
        <v>28</v>
      </c>
      <c r="H201" t="s">
        <v>4</v>
      </c>
      <c r="I201">
        <v>200</v>
      </c>
      <c r="J201" t="s">
        <v>5</v>
      </c>
      <c r="K201">
        <v>51</v>
      </c>
      <c r="L201" s="3">
        <f t="shared" si="7"/>
        <v>0.255</v>
      </c>
      <c r="M201" t="s">
        <v>6</v>
      </c>
      <c r="N201">
        <v>-32.11</v>
      </c>
      <c r="O201" t="s">
        <v>7</v>
      </c>
      <c r="P201">
        <v>-0.16055</v>
      </c>
      <c r="Q201" t="s">
        <v>8</v>
      </c>
      <c r="R201">
        <v>2.3566666666666598</v>
      </c>
      <c r="S201" t="s">
        <v>9</v>
      </c>
      <c r="T201">
        <v>-1.02214765100671</v>
      </c>
      <c r="U201" t="s">
        <v>10</v>
      </c>
      <c r="V201">
        <v>0.41706954530943702</v>
      </c>
      <c r="W201" t="s">
        <v>11</v>
      </c>
      <c r="X201" t="s">
        <v>66</v>
      </c>
      <c r="Y201" t="s">
        <v>13</v>
      </c>
      <c r="Z201">
        <v>0</v>
      </c>
      <c r="AA201" t="s">
        <v>14</v>
      </c>
      <c r="AB201" t="s">
        <v>15</v>
      </c>
      <c r="AC201" t="s">
        <v>123</v>
      </c>
      <c r="AD201" t="s">
        <v>91</v>
      </c>
      <c r="AE201">
        <v>0</v>
      </c>
      <c r="AF201" t="s">
        <v>18</v>
      </c>
    </row>
    <row r="202" spans="1:32" x14ac:dyDescent="0.3">
      <c r="A202" t="str">
        <f t="shared" si="6"/>
        <v>stoch_{'C',  [('delta', 0.2,  1)]}_[21,  49]_1</v>
      </c>
      <c r="B202" t="s">
        <v>567</v>
      </c>
      <c r="C202" t="s">
        <v>262</v>
      </c>
      <c r="D202" t="s">
        <v>1</v>
      </c>
      <c r="E202">
        <v>0.2</v>
      </c>
      <c r="F202" t="s">
        <v>27</v>
      </c>
      <c r="G202" t="s">
        <v>28</v>
      </c>
      <c r="H202" t="s">
        <v>4</v>
      </c>
      <c r="I202">
        <v>230</v>
      </c>
      <c r="J202" t="s">
        <v>5</v>
      </c>
      <c r="K202">
        <v>56</v>
      </c>
      <c r="L202" s="3">
        <f t="shared" si="7"/>
        <v>0.24347826086956523</v>
      </c>
      <c r="M202" t="s">
        <v>6</v>
      </c>
      <c r="N202">
        <v>-32.64</v>
      </c>
      <c r="O202" t="s">
        <v>7</v>
      </c>
      <c r="P202">
        <v>-0.14191304347826</v>
      </c>
      <c r="Q202" t="s">
        <v>8</v>
      </c>
      <c r="R202">
        <v>2.0791071428571399</v>
      </c>
      <c r="S202" t="s">
        <v>9</v>
      </c>
      <c r="T202">
        <v>-0.85672413793103397</v>
      </c>
      <c r="U202" t="s">
        <v>10</v>
      </c>
      <c r="V202">
        <v>0.42894979231977498</v>
      </c>
      <c r="W202" t="s">
        <v>11</v>
      </c>
      <c r="X202" t="s">
        <v>277</v>
      </c>
      <c r="Y202" t="s">
        <v>91</v>
      </c>
      <c r="Z202">
        <v>0</v>
      </c>
      <c r="AA202" t="s">
        <v>14</v>
      </c>
      <c r="AB202" t="s">
        <v>15</v>
      </c>
      <c r="AC202" t="s">
        <v>278</v>
      </c>
      <c r="AD202" t="s">
        <v>91</v>
      </c>
      <c r="AE202">
        <v>0</v>
      </c>
      <c r="AF202" t="s">
        <v>18</v>
      </c>
    </row>
    <row r="203" spans="1:32" x14ac:dyDescent="0.3">
      <c r="A203" t="str">
        <f t="shared" si="6"/>
        <v>bbands_{'C',  [('delta', 0.3,  1)]}_[7,  35]_4</v>
      </c>
      <c r="B203" t="s">
        <v>356</v>
      </c>
      <c r="C203" t="s">
        <v>113</v>
      </c>
      <c r="D203" t="s">
        <v>1</v>
      </c>
      <c r="E203">
        <v>0.3</v>
      </c>
      <c r="F203" t="s">
        <v>2</v>
      </c>
      <c r="G203" t="s">
        <v>26</v>
      </c>
      <c r="H203" t="s">
        <v>4</v>
      </c>
      <c r="I203">
        <v>191</v>
      </c>
      <c r="J203" t="s">
        <v>5</v>
      </c>
      <c r="K203">
        <v>26</v>
      </c>
      <c r="L203" s="3">
        <f t="shared" si="7"/>
        <v>0.13612565445026178</v>
      </c>
      <c r="M203" t="s">
        <v>6</v>
      </c>
      <c r="N203">
        <v>-34.6099999999998</v>
      </c>
      <c r="O203" t="s">
        <v>7</v>
      </c>
      <c r="P203">
        <v>-0.18120418848167399</v>
      </c>
      <c r="Q203" t="s">
        <v>8</v>
      </c>
      <c r="R203">
        <v>7.8257692307692297</v>
      </c>
      <c r="S203" t="s">
        <v>9</v>
      </c>
      <c r="T203">
        <v>-1.44290909090909</v>
      </c>
      <c r="U203" t="s">
        <v>10</v>
      </c>
      <c r="V203">
        <v>0.83294537438940297</v>
      </c>
      <c r="W203" t="s">
        <v>11</v>
      </c>
      <c r="X203" t="s">
        <v>52</v>
      </c>
      <c r="Y203" t="s">
        <v>53</v>
      </c>
      <c r="Z203">
        <v>0</v>
      </c>
      <c r="AA203" t="s">
        <v>14</v>
      </c>
      <c r="AB203" t="s">
        <v>15</v>
      </c>
      <c r="AC203" t="s">
        <v>120</v>
      </c>
      <c r="AD203" t="s">
        <v>91</v>
      </c>
      <c r="AE203">
        <v>0</v>
      </c>
      <c r="AF203" t="s">
        <v>18</v>
      </c>
    </row>
    <row r="204" spans="1:32" x14ac:dyDescent="0.3">
      <c r="A204" t="str">
        <f t="shared" si="6"/>
        <v>stoch_{'C',  [('delta', 0.3,  1)]}_[35,  70]_3</v>
      </c>
      <c r="B204" t="s">
        <v>561</v>
      </c>
      <c r="C204" t="s">
        <v>262</v>
      </c>
      <c r="D204" t="s">
        <v>1</v>
      </c>
      <c r="E204">
        <v>0.3</v>
      </c>
      <c r="F204" t="s">
        <v>37</v>
      </c>
      <c r="G204" t="s">
        <v>42</v>
      </c>
      <c r="H204" t="s">
        <v>4</v>
      </c>
      <c r="I204">
        <v>291</v>
      </c>
      <c r="J204" t="s">
        <v>5</v>
      </c>
      <c r="K204">
        <v>47</v>
      </c>
      <c r="L204" s="3">
        <f t="shared" si="7"/>
        <v>0.16151202749140894</v>
      </c>
      <c r="M204" t="s">
        <v>6</v>
      </c>
      <c r="N204">
        <v>-34.823106883904401</v>
      </c>
      <c r="O204" t="s">
        <v>7</v>
      </c>
      <c r="P204">
        <v>-0.11966703396530699</v>
      </c>
      <c r="Q204" t="s">
        <v>8</v>
      </c>
      <c r="R204">
        <v>8.5844680851063799</v>
      </c>
      <c r="S204" t="s">
        <v>9</v>
      </c>
      <c r="T204">
        <v>-1.7962832249340299</v>
      </c>
      <c r="U204" t="s">
        <v>10</v>
      </c>
      <c r="V204">
        <v>1.24943784531381</v>
      </c>
      <c r="W204" t="s">
        <v>11</v>
      </c>
      <c r="X204" t="s">
        <v>58</v>
      </c>
      <c r="Y204" t="s">
        <v>21</v>
      </c>
      <c r="Z204">
        <v>0</v>
      </c>
      <c r="AA204" t="s">
        <v>14</v>
      </c>
      <c r="AB204" t="s">
        <v>15</v>
      </c>
      <c r="AC204" t="s">
        <v>275</v>
      </c>
      <c r="AD204" t="s">
        <v>91</v>
      </c>
      <c r="AE204">
        <v>0</v>
      </c>
      <c r="AF204" t="s">
        <v>18</v>
      </c>
    </row>
    <row r="205" spans="1:32" x14ac:dyDescent="0.3">
      <c r="A205" t="str">
        <f t="shared" si="6"/>
        <v>stoch_{'C',  [('delta', 0.2,  1)]}_[21,  49]_4</v>
      </c>
      <c r="B205" t="s">
        <v>570</v>
      </c>
      <c r="C205" t="s">
        <v>262</v>
      </c>
      <c r="D205" t="s">
        <v>1</v>
      </c>
      <c r="E205">
        <v>0.2</v>
      </c>
      <c r="F205" t="s">
        <v>27</v>
      </c>
      <c r="G205" t="s">
        <v>36</v>
      </c>
      <c r="H205" t="s">
        <v>4</v>
      </c>
      <c r="I205">
        <v>230</v>
      </c>
      <c r="J205" t="s">
        <v>5</v>
      </c>
      <c r="K205">
        <v>25</v>
      </c>
      <c r="L205" s="3">
        <f t="shared" si="7"/>
        <v>0.10869565217391304</v>
      </c>
      <c r="M205" t="s">
        <v>6</v>
      </c>
      <c r="N205">
        <v>-34.869999999999898</v>
      </c>
      <c r="O205" t="s">
        <v>7</v>
      </c>
      <c r="P205">
        <v>-0.151608695652173</v>
      </c>
      <c r="Q205" t="s">
        <v>8</v>
      </c>
      <c r="R205">
        <v>5.6955999999999998</v>
      </c>
      <c r="S205" t="s">
        <v>9</v>
      </c>
      <c r="T205">
        <v>-0.86468292682926795</v>
      </c>
      <c r="U205" t="s">
        <v>10</v>
      </c>
      <c r="V205">
        <v>0.66163862825178898</v>
      </c>
      <c r="W205" t="s">
        <v>11</v>
      </c>
      <c r="X205" t="s">
        <v>279</v>
      </c>
      <c r="Y205" t="s">
        <v>25</v>
      </c>
      <c r="Z205">
        <v>0</v>
      </c>
      <c r="AA205" t="s">
        <v>14</v>
      </c>
      <c r="AB205" t="s">
        <v>15</v>
      </c>
      <c r="AC205" t="s">
        <v>278</v>
      </c>
      <c r="AD205" t="s">
        <v>91</v>
      </c>
      <c r="AE205">
        <v>0</v>
      </c>
      <c r="AF205" t="s">
        <v>18</v>
      </c>
    </row>
    <row r="206" spans="1:32" x14ac:dyDescent="0.3">
      <c r="A206" t="str">
        <f t="shared" si="6"/>
        <v>bbands_{'C',  [('delta', 0.2,  1)]}_[35,  70]_4</v>
      </c>
      <c r="B206" t="s">
        <v>376</v>
      </c>
      <c r="C206" t="s">
        <v>113</v>
      </c>
      <c r="D206" t="s">
        <v>1</v>
      </c>
      <c r="E206">
        <v>0.2</v>
      </c>
      <c r="F206" t="s">
        <v>37</v>
      </c>
      <c r="G206" t="s">
        <v>44</v>
      </c>
      <c r="H206" t="s">
        <v>4</v>
      </c>
      <c r="I206">
        <v>247</v>
      </c>
      <c r="J206" t="s">
        <v>5</v>
      </c>
      <c r="K206">
        <v>28</v>
      </c>
      <c r="L206" s="3">
        <f t="shared" si="7"/>
        <v>0.11336032388663968</v>
      </c>
      <c r="M206" t="s">
        <v>6</v>
      </c>
      <c r="N206">
        <v>-34.874657900157104</v>
      </c>
      <c r="O206" t="s">
        <v>7</v>
      </c>
      <c r="P206">
        <v>-0.14119294696419801</v>
      </c>
      <c r="Q206" t="s">
        <v>8</v>
      </c>
      <c r="R206">
        <v>7.8828571428571399</v>
      </c>
      <c r="S206" t="s">
        <v>9</v>
      </c>
      <c r="T206">
        <v>-1.1670988945212599</v>
      </c>
      <c r="U206" t="s">
        <v>10</v>
      </c>
      <c r="V206">
        <v>0.87229968318877904</v>
      </c>
      <c r="W206" t="s">
        <v>11</v>
      </c>
      <c r="X206" t="s">
        <v>58</v>
      </c>
      <c r="Y206" t="s">
        <v>21</v>
      </c>
      <c r="Z206">
        <v>0</v>
      </c>
      <c r="AA206" t="s">
        <v>14</v>
      </c>
      <c r="AB206" t="s">
        <v>15</v>
      </c>
      <c r="AC206" t="s">
        <v>126</v>
      </c>
      <c r="AD206" t="s">
        <v>21</v>
      </c>
      <c r="AE206">
        <v>0</v>
      </c>
      <c r="AF206" t="s">
        <v>18</v>
      </c>
    </row>
    <row r="207" spans="1:32" x14ac:dyDescent="0.3">
      <c r="A207" t="str">
        <f t="shared" si="6"/>
        <v>bbands_{'C',  [('delta', 0.2,  1)]}_[7,  35]_3</v>
      </c>
      <c r="B207" t="s">
        <v>367</v>
      </c>
      <c r="C207" t="s">
        <v>113</v>
      </c>
      <c r="D207" t="s">
        <v>1</v>
      </c>
      <c r="E207">
        <v>0.2</v>
      </c>
      <c r="F207" t="s">
        <v>2</v>
      </c>
      <c r="G207" t="s">
        <v>23</v>
      </c>
      <c r="H207" t="s">
        <v>4</v>
      </c>
      <c r="I207">
        <v>191</v>
      </c>
      <c r="J207" t="s">
        <v>5</v>
      </c>
      <c r="K207">
        <v>24</v>
      </c>
      <c r="L207" s="3">
        <f t="shared" si="7"/>
        <v>0.1256544502617801</v>
      </c>
      <c r="M207" t="s">
        <v>6</v>
      </c>
      <c r="N207">
        <v>-36.019999999999897</v>
      </c>
      <c r="O207" t="s">
        <v>7</v>
      </c>
      <c r="P207">
        <v>-0.188586387434554</v>
      </c>
      <c r="Q207" t="s">
        <v>8</v>
      </c>
      <c r="R207">
        <v>4.8520833333333302</v>
      </c>
      <c r="S207" t="s">
        <v>9</v>
      </c>
      <c r="T207">
        <v>-0.91299401197604702</v>
      </c>
      <c r="U207" t="s">
        <v>10</v>
      </c>
      <c r="V207">
        <v>0.52146200417107902</v>
      </c>
      <c r="W207" t="s">
        <v>11</v>
      </c>
      <c r="X207" t="s">
        <v>70</v>
      </c>
      <c r="Y207" t="s">
        <v>53</v>
      </c>
      <c r="Z207">
        <v>0</v>
      </c>
      <c r="AA207" t="s">
        <v>14</v>
      </c>
      <c r="AB207" t="s">
        <v>15</v>
      </c>
      <c r="AC207" t="s">
        <v>123</v>
      </c>
      <c r="AD207" t="s">
        <v>91</v>
      </c>
      <c r="AE207">
        <v>0</v>
      </c>
      <c r="AF207" t="s">
        <v>18</v>
      </c>
    </row>
    <row r="208" spans="1:32" x14ac:dyDescent="0.3">
      <c r="A208" t="str">
        <f t="shared" si="6"/>
        <v>rsi_{'C',  [('delta', 0.3,  1)]}_[21,  49]_4</v>
      </c>
      <c r="B208" t="s">
        <v>510</v>
      </c>
      <c r="C208" t="s">
        <v>221</v>
      </c>
      <c r="D208" t="s">
        <v>1</v>
      </c>
      <c r="E208">
        <v>0.3</v>
      </c>
      <c r="F208" t="s">
        <v>27</v>
      </c>
      <c r="G208" t="s">
        <v>36</v>
      </c>
      <c r="H208" t="s">
        <v>4</v>
      </c>
      <c r="I208">
        <v>33</v>
      </c>
      <c r="J208" t="s">
        <v>5</v>
      </c>
      <c r="K208">
        <v>2</v>
      </c>
      <c r="L208" s="3">
        <f t="shared" si="7"/>
        <v>6.0606060606060608E-2</v>
      </c>
      <c r="M208" t="s">
        <v>6</v>
      </c>
      <c r="N208">
        <v>-36.279999999999902</v>
      </c>
      <c r="O208" t="s">
        <v>7</v>
      </c>
      <c r="P208">
        <v>-1.09939393939393</v>
      </c>
      <c r="Q208" t="s">
        <v>8</v>
      </c>
      <c r="R208">
        <v>3.7249999999999899</v>
      </c>
      <c r="S208" t="s">
        <v>9</v>
      </c>
      <c r="T208">
        <v>-1.4106451612903199</v>
      </c>
      <c r="U208" t="s">
        <v>10</v>
      </c>
      <c r="V208">
        <v>0.20593209182930899</v>
      </c>
      <c r="W208" t="s">
        <v>11</v>
      </c>
      <c r="X208" t="s">
        <v>135</v>
      </c>
      <c r="Y208" t="s">
        <v>75</v>
      </c>
      <c r="Z208">
        <v>0</v>
      </c>
      <c r="AA208" t="s">
        <v>14</v>
      </c>
      <c r="AB208" t="s">
        <v>15</v>
      </c>
      <c r="AC208" t="s">
        <v>135</v>
      </c>
      <c r="AD208" t="s">
        <v>75</v>
      </c>
      <c r="AE208">
        <v>0</v>
      </c>
      <c r="AF208" t="s">
        <v>18</v>
      </c>
    </row>
    <row r="209" spans="1:32" x14ac:dyDescent="0.3">
      <c r="A209" t="str">
        <f t="shared" si="6"/>
        <v>bbands_{'C',  [('delta', 0.2,  1)]}_[7,  35]_1</v>
      </c>
      <c r="B209" t="s">
        <v>365</v>
      </c>
      <c r="C209" t="s">
        <v>113</v>
      </c>
      <c r="D209" t="s">
        <v>1</v>
      </c>
      <c r="E209">
        <v>0.2</v>
      </c>
      <c r="F209" t="s">
        <v>2</v>
      </c>
      <c r="G209" t="s">
        <v>3</v>
      </c>
      <c r="H209" t="s">
        <v>4</v>
      </c>
      <c r="I209">
        <v>191</v>
      </c>
      <c r="J209" t="s">
        <v>5</v>
      </c>
      <c r="K209">
        <v>47</v>
      </c>
      <c r="L209" s="3">
        <f t="shared" si="7"/>
        <v>0.24607329842931938</v>
      </c>
      <c r="M209" t="s">
        <v>6</v>
      </c>
      <c r="N209">
        <v>-36.68</v>
      </c>
      <c r="O209" t="s">
        <v>7</v>
      </c>
      <c r="P209">
        <v>-0.19204188481675399</v>
      </c>
      <c r="Q209" t="s">
        <v>8</v>
      </c>
      <c r="R209">
        <v>2.04234042553191</v>
      </c>
      <c r="S209" t="s">
        <v>9</v>
      </c>
      <c r="T209">
        <v>-0.92131944444444402</v>
      </c>
      <c r="U209" t="s">
        <v>10</v>
      </c>
      <c r="V209">
        <v>0.37569113286394001</v>
      </c>
      <c r="W209" t="s">
        <v>11</v>
      </c>
      <c r="X209" t="s">
        <v>66</v>
      </c>
      <c r="Y209" t="s">
        <v>13</v>
      </c>
      <c r="Z209">
        <v>0</v>
      </c>
      <c r="AA209" t="s">
        <v>14</v>
      </c>
      <c r="AB209" t="s">
        <v>15</v>
      </c>
      <c r="AC209" t="s">
        <v>123</v>
      </c>
      <c r="AD209" t="s">
        <v>91</v>
      </c>
      <c r="AE209">
        <v>0</v>
      </c>
      <c r="AF209" t="s">
        <v>18</v>
      </c>
    </row>
    <row r="210" spans="1:32" x14ac:dyDescent="0.3">
      <c r="A210" t="str">
        <f t="shared" si="6"/>
        <v>bbands_{'C',  [('delta', 0.2,  1)]}_[35,  70]_3</v>
      </c>
      <c r="B210" t="s">
        <v>375</v>
      </c>
      <c r="C210" t="s">
        <v>113</v>
      </c>
      <c r="D210" t="s">
        <v>1</v>
      </c>
      <c r="E210">
        <v>0.2</v>
      </c>
      <c r="F210" t="s">
        <v>37</v>
      </c>
      <c r="G210" t="s">
        <v>42</v>
      </c>
      <c r="H210" t="s">
        <v>4</v>
      </c>
      <c r="I210">
        <v>247</v>
      </c>
      <c r="J210" t="s">
        <v>5</v>
      </c>
      <c r="K210">
        <v>34</v>
      </c>
      <c r="L210" s="3">
        <f t="shared" si="7"/>
        <v>0.13765182186234817</v>
      </c>
      <c r="M210" t="s">
        <v>6</v>
      </c>
      <c r="N210">
        <v>-37.664657900157103</v>
      </c>
      <c r="O210" t="s">
        <v>7</v>
      </c>
      <c r="P210">
        <v>-0.152488493522903</v>
      </c>
      <c r="Q210" t="s">
        <v>8</v>
      </c>
      <c r="R210">
        <v>6.20705882352941</v>
      </c>
      <c r="S210" t="s">
        <v>9</v>
      </c>
      <c r="T210">
        <v>-1.1676275018786699</v>
      </c>
      <c r="U210" t="s">
        <v>10</v>
      </c>
      <c r="V210">
        <v>0.82180256636619098</v>
      </c>
      <c r="W210" t="s">
        <v>11</v>
      </c>
      <c r="X210" t="s">
        <v>58</v>
      </c>
      <c r="Y210" t="s">
        <v>21</v>
      </c>
      <c r="Z210">
        <v>0</v>
      </c>
      <c r="AA210" t="s">
        <v>14</v>
      </c>
      <c r="AB210" t="s">
        <v>15</v>
      </c>
      <c r="AC210" t="s">
        <v>126</v>
      </c>
      <c r="AD210" t="s">
        <v>21</v>
      </c>
      <c r="AE210">
        <v>0</v>
      </c>
      <c r="AF210" t="s">
        <v>18</v>
      </c>
    </row>
    <row r="211" spans="1:32" x14ac:dyDescent="0.3">
      <c r="A211" t="str">
        <f t="shared" si="6"/>
        <v>alltime_{'C',  [('delta', 0.3,  1)]}_[7,  35]_3</v>
      </c>
      <c r="B211" t="s">
        <v>305</v>
      </c>
      <c r="C211" t="s">
        <v>0</v>
      </c>
      <c r="D211" t="s">
        <v>1</v>
      </c>
      <c r="E211">
        <v>0.3</v>
      </c>
      <c r="F211" t="s">
        <v>2</v>
      </c>
      <c r="G211" t="s">
        <v>23</v>
      </c>
      <c r="H211" t="s">
        <v>4</v>
      </c>
      <c r="I211">
        <v>3073</v>
      </c>
      <c r="J211" t="s">
        <v>5</v>
      </c>
      <c r="K211">
        <v>544</v>
      </c>
      <c r="L211" s="3">
        <f t="shared" si="7"/>
        <v>0.17702570777741622</v>
      </c>
      <c r="M211" t="s">
        <v>6</v>
      </c>
      <c r="N211">
        <v>-39.349999999999604</v>
      </c>
      <c r="O211" t="s">
        <v>7</v>
      </c>
      <c r="P211">
        <v>-1.28050764725023E-2</v>
      </c>
      <c r="Q211" t="s">
        <v>8</v>
      </c>
      <c r="R211">
        <v>5.3422058823529399</v>
      </c>
      <c r="S211" t="s">
        <v>9</v>
      </c>
      <c r="T211">
        <v>-1.1646935547647299</v>
      </c>
      <c r="U211" t="s">
        <v>10</v>
      </c>
      <c r="V211">
        <v>6.9986275470816199</v>
      </c>
      <c r="W211" t="s">
        <v>11</v>
      </c>
      <c r="X211" t="s">
        <v>52</v>
      </c>
      <c r="Y211" t="s">
        <v>53</v>
      </c>
      <c r="Z211">
        <v>0</v>
      </c>
      <c r="AA211" t="s">
        <v>14</v>
      </c>
      <c r="AB211" t="s">
        <v>15</v>
      </c>
      <c r="AC211" t="s">
        <v>54</v>
      </c>
      <c r="AD211" t="s">
        <v>25</v>
      </c>
      <c r="AE211">
        <v>0</v>
      </c>
      <c r="AF211" t="s">
        <v>18</v>
      </c>
    </row>
    <row r="212" spans="1:32" x14ac:dyDescent="0.3">
      <c r="A212" t="str">
        <f t="shared" si="6"/>
        <v>bbands_{'C',  [('delta', 0.2,  1)]}_[35,  70]_2</v>
      </c>
      <c r="B212" t="s">
        <v>374</v>
      </c>
      <c r="C212" t="s">
        <v>113</v>
      </c>
      <c r="D212" t="s">
        <v>1</v>
      </c>
      <c r="E212">
        <v>0.2</v>
      </c>
      <c r="F212" t="s">
        <v>37</v>
      </c>
      <c r="G212" t="s">
        <v>40</v>
      </c>
      <c r="H212" t="s">
        <v>4</v>
      </c>
      <c r="I212">
        <v>247</v>
      </c>
      <c r="J212" t="s">
        <v>5</v>
      </c>
      <c r="K212">
        <v>45</v>
      </c>
      <c r="L212" s="3">
        <f t="shared" si="7"/>
        <v>0.18218623481781376</v>
      </c>
      <c r="M212" t="s">
        <v>6</v>
      </c>
      <c r="N212">
        <v>-39.424657900157101</v>
      </c>
      <c r="O212" t="s">
        <v>7</v>
      </c>
      <c r="P212">
        <v>-0.15961399959577699</v>
      </c>
      <c r="Q212" t="s">
        <v>8</v>
      </c>
      <c r="R212">
        <v>4.3555555555555499</v>
      </c>
      <c r="S212" t="s">
        <v>9</v>
      </c>
      <c r="T212">
        <v>-1.1654686034661199</v>
      </c>
      <c r="U212" t="s">
        <v>10</v>
      </c>
      <c r="V212">
        <v>0.69784164421361305</v>
      </c>
      <c r="W212" t="s">
        <v>11</v>
      </c>
      <c r="X212" t="s">
        <v>79</v>
      </c>
      <c r="Y212" t="s">
        <v>53</v>
      </c>
      <c r="Z212">
        <v>0</v>
      </c>
      <c r="AA212" t="s">
        <v>14</v>
      </c>
      <c r="AB212" t="s">
        <v>15</v>
      </c>
      <c r="AC212" t="s">
        <v>125</v>
      </c>
      <c r="AD212" t="s">
        <v>91</v>
      </c>
      <c r="AE212">
        <v>0</v>
      </c>
      <c r="AF212" t="s">
        <v>18</v>
      </c>
    </row>
    <row r="213" spans="1:32" x14ac:dyDescent="0.3">
      <c r="A213" t="str">
        <f t="shared" si="6"/>
        <v>stoch_{'C',  [('delta', 0.2,  1)]}_[7,  35]_4</v>
      </c>
      <c r="B213" t="s">
        <v>566</v>
      </c>
      <c r="C213" t="s">
        <v>262</v>
      </c>
      <c r="D213" t="s">
        <v>1</v>
      </c>
      <c r="E213">
        <v>0.2</v>
      </c>
      <c r="F213" t="s">
        <v>2</v>
      </c>
      <c r="G213" t="s">
        <v>26</v>
      </c>
      <c r="H213" t="s">
        <v>4</v>
      </c>
      <c r="I213">
        <v>224</v>
      </c>
      <c r="J213" t="s">
        <v>5</v>
      </c>
      <c r="K213">
        <v>26</v>
      </c>
      <c r="L213" s="3">
        <f t="shared" si="7"/>
        <v>0.11607142857142858</v>
      </c>
      <c r="M213" t="s">
        <v>6</v>
      </c>
      <c r="N213">
        <v>-40.469999999999899</v>
      </c>
      <c r="O213" t="s">
        <v>7</v>
      </c>
      <c r="P213">
        <v>-0.18066964285714199</v>
      </c>
      <c r="Q213" t="s">
        <v>8</v>
      </c>
      <c r="R213">
        <v>4.1473076923076899</v>
      </c>
      <c r="S213" t="s">
        <v>9</v>
      </c>
      <c r="T213">
        <v>-0.74898989898989898</v>
      </c>
      <c r="U213" t="s">
        <v>10</v>
      </c>
      <c r="V213">
        <v>0.53528634264698705</v>
      </c>
      <c r="W213" t="s">
        <v>11</v>
      </c>
      <c r="X213" t="s">
        <v>279</v>
      </c>
      <c r="Y213" t="s">
        <v>25</v>
      </c>
      <c r="Z213">
        <v>0</v>
      </c>
      <c r="AA213" t="s">
        <v>14</v>
      </c>
      <c r="AB213" t="s">
        <v>15</v>
      </c>
      <c r="AC213" t="s">
        <v>278</v>
      </c>
      <c r="AD213" t="s">
        <v>91</v>
      </c>
      <c r="AE213">
        <v>0</v>
      </c>
      <c r="AF213" t="s">
        <v>18</v>
      </c>
    </row>
    <row r="214" spans="1:32" x14ac:dyDescent="0.3">
      <c r="A214" t="str">
        <f t="shared" si="6"/>
        <v>bbands_{'C',  [('delta', 0.3,  1)]}_[7,  35]_3</v>
      </c>
      <c r="B214" t="s">
        <v>355</v>
      </c>
      <c r="C214" t="s">
        <v>113</v>
      </c>
      <c r="D214" t="s">
        <v>1</v>
      </c>
      <c r="E214">
        <v>0.3</v>
      </c>
      <c r="F214" t="s">
        <v>2</v>
      </c>
      <c r="G214" t="s">
        <v>23</v>
      </c>
      <c r="H214" t="s">
        <v>4</v>
      </c>
      <c r="I214">
        <v>191</v>
      </c>
      <c r="J214" t="s">
        <v>5</v>
      </c>
      <c r="K214">
        <v>28</v>
      </c>
      <c r="L214" s="3">
        <f t="shared" si="7"/>
        <v>0.14659685863874344</v>
      </c>
      <c r="M214" t="s">
        <v>6</v>
      </c>
      <c r="N214">
        <v>-43.279999999999802</v>
      </c>
      <c r="O214" t="s">
        <v>7</v>
      </c>
      <c r="P214">
        <v>-0.22659685863874199</v>
      </c>
      <c r="Q214" t="s">
        <v>8</v>
      </c>
      <c r="R214">
        <v>6.8724999999999996</v>
      </c>
      <c r="S214" t="s">
        <v>9</v>
      </c>
      <c r="T214">
        <v>-1.4460736196319</v>
      </c>
      <c r="U214" t="s">
        <v>10</v>
      </c>
      <c r="V214">
        <v>0.813592128143801</v>
      </c>
      <c r="W214" t="s">
        <v>11</v>
      </c>
      <c r="X214" t="s">
        <v>52</v>
      </c>
      <c r="Y214" t="s">
        <v>53</v>
      </c>
      <c r="Z214">
        <v>0</v>
      </c>
      <c r="AA214" t="s">
        <v>14</v>
      </c>
      <c r="AB214" t="s">
        <v>15</v>
      </c>
      <c r="AC214" t="s">
        <v>120</v>
      </c>
      <c r="AD214" t="s">
        <v>91</v>
      </c>
      <c r="AE214">
        <v>0</v>
      </c>
      <c r="AF214" t="s">
        <v>18</v>
      </c>
    </row>
    <row r="215" spans="1:32" x14ac:dyDescent="0.3">
      <c r="A215" t="str">
        <f t="shared" si="6"/>
        <v>bbands_{'C',  [('delta', 0.4,  1)]}_[21,  49]_2</v>
      </c>
      <c r="B215" t="s">
        <v>346</v>
      </c>
      <c r="C215" t="s">
        <v>113</v>
      </c>
      <c r="D215" t="s">
        <v>1</v>
      </c>
      <c r="E215">
        <v>0.4</v>
      </c>
      <c r="F215" t="s">
        <v>27</v>
      </c>
      <c r="G215" t="s">
        <v>30</v>
      </c>
      <c r="H215" t="s">
        <v>4</v>
      </c>
      <c r="I215">
        <v>200</v>
      </c>
      <c r="J215" t="s">
        <v>5</v>
      </c>
      <c r="K215">
        <v>45</v>
      </c>
      <c r="L215" s="3">
        <f t="shared" si="7"/>
        <v>0.22500000000000001</v>
      </c>
      <c r="M215" t="s">
        <v>6</v>
      </c>
      <c r="N215">
        <v>-44.309999999999903</v>
      </c>
      <c r="O215" t="s">
        <v>7</v>
      </c>
      <c r="P215">
        <v>-0.221549999999999</v>
      </c>
      <c r="Q215" t="s">
        <v>8</v>
      </c>
      <c r="R215">
        <v>7.7875555555555502</v>
      </c>
      <c r="S215" t="s">
        <v>9</v>
      </c>
      <c r="T215">
        <v>-2.5467741935483801</v>
      </c>
      <c r="U215" t="s">
        <v>10</v>
      </c>
      <c r="V215">
        <v>1.18933163448913</v>
      </c>
      <c r="W215" t="s">
        <v>11</v>
      </c>
      <c r="X215" t="s">
        <v>12</v>
      </c>
      <c r="Y215" t="s">
        <v>13</v>
      </c>
      <c r="Z215">
        <v>0</v>
      </c>
      <c r="AA215" t="s">
        <v>14</v>
      </c>
      <c r="AB215" t="s">
        <v>15</v>
      </c>
      <c r="AC215" t="s">
        <v>114</v>
      </c>
      <c r="AD215" t="s">
        <v>91</v>
      </c>
      <c r="AE215">
        <v>0</v>
      </c>
      <c r="AF215" t="s">
        <v>18</v>
      </c>
    </row>
    <row r="216" spans="1:32" x14ac:dyDescent="0.3">
      <c r="A216" t="str">
        <f t="shared" si="6"/>
        <v>bbands_{'C',  [('delta', 0.2,  1)]}_[21,  49]_2</v>
      </c>
      <c r="B216" t="s">
        <v>370</v>
      </c>
      <c r="C216" t="s">
        <v>113</v>
      </c>
      <c r="D216" t="s">
        <v>1</v>
      </c>
      <c r="E216">
        <v>0.2</v>
      </c>
      <c r="F216" t="s">
        <v>27</v>
      </c>
      <c r="G216" t="s">
        <v>30</v>
      </c>
      <c r="H216" t="s">
        <v>4</v>
      </c>
      <c r="I216">
        <v>200</v>
      </c>
      <c r="J216" t="s">
        <v>5</v>
      </c>
      <c r="K216">
        <v>31</v>
      </c>
      <c r="L216" s="3">
        <f t="shared" si="7"/>
        <v>0.155</v>
      </c>
      <c r="M216" t="s">
        <v>6</v>
      </c>
      <c r="N216">
        <v>-45.78</v>
      </c>
      <c r="O216" t="s">
        <v>7</v>
      </c>
      <c r="P216">
        <v>-0.22889999999999999</v>
      </c>
      <c r="Q216" t="s">
        <v>8</v>
      </c>
      <c r="R216">
        <v>4.1154838709677399</v>
      </c>
      <c r="S216" t="s">
        <v>9</v>
      </c>
      <c r="T216">
        <v>-1.0257988165680401</v>
      </c>
      <c r="U216" t="s">
        <v>10</v>
      </c>
      <c r="V216">
        <v>0.50801221486334402</v>
      </c>
      <c r="W216" t="s">
        <v>11</v>
      </c>
      <c r="X216" t="s">
        <v>66</v>
      </c>
      <c r="Y216" t="s">
        <v>13</v>
      </c>
      <c r="Z216">
        <v>0</v>
      </c>
      <c r="AA216" t="s">
        <v>14</v>
      </c>
      <c r="AB216" t="s">
        <v>15</v>
      </c>
      <c r="AC216" t="s">
        <v>123</v>
      </c>
      <c r="AD216" t="s">
        <v>91</v>
      </c>
      <c r="AE216">
        <v>0</v>
      </c>
      <c r="AF216" t="s">
        <v>18</v>
      </c>
    </row>
    <row r="217" spans="1:32" x14ac:dyDescent="0.3">
      <c r="A217" t="str">
        <f t="shared" si="6"/>
        <v>bbands_{'C',  [('delta', 0.3,  1)]}_[21,  49]_2</v>
      </c>
      <c r="B217" t="s">
        <v>358</v>
      </c>
      <c r="C217" t="s">
        <v>113</v>
      </c>
      <c r="D217" t="s">
        <v>1</v>
      </c>
      <c r="E217">
        <v>0.3</v>
      </c>
      <c r="F217" t="s">
        <v>27</v>
      </c>
      <c r="G217" t="s">
        <v>30</v>
      </c>
      <c r="H217" t="s">
        <v>4</v>
      </c>
      <c r="I217">
        <v>200</v>
      </c>
      <c r="J217" t="s">
        <v>5</v>
      </c>
      <c r="K217">
        <v>36</v>
      </c>
      <c r="L217" s="3">
        <f t="shared" si="7"/>
        <v>0.18</v>
      </c>
      <c r="M217" t="s">
        <v>6</v>
      </c>
      <c r="N217">
        <v>-45.85</v>
      </c>
      <c r="O217" t="s">
        <v>7</v>
      </c>
      <c r="P217">
        <v>-0.22925000000000001</v>
      </c>
      <c r="Q217" t="s">
        <v>8</v>
      </c>
      <c r="R217">
        <v>6.5172222222222196</v>
      </c>
      <c r="S217" t="s">
        <v>9</v>
      </c>
      <c r="T217">
        <v>-1.7101829268292601</v>
      </c>
      <c r="U217" t="s">
        <v>10</v>
      </c>
      <c r="V217">
        <v>0.82816431199038498</v>
      </c>
      <c r="W217" t="s">
        <v>11</v>
      </c>
      <c r="X217" t="s">
        <v>47</v>
      </c>
      <c r="Y217" t="s">
        <v>13</v>
      </c>
      <c r="Z217">
        <v>0</v>
      </c>
      <c r="AA217" t="s">
        <v>14</v>
      </c>
      <c r="AB217" t="s">
        <v>15</v>
      </c>
      <c r="AC217" t="s">
        <v>120</v>
      </c>
      <c r="AD217" t="s">
        <v>91</v>
      </c>
      <c r="AE217">
        <v>0</v>
      </c>
      <c r="AF217" t="s">
        <v>18</v>
      </c>
    </row>
    <row r="218" spans="1:32" x14ac:dyDescent="0.3">
      <c r="A218" t="str">
        <f t="shared" si="6"/>
        <v>bbands_{'C',  [('delta', 0.2,  1)]}_[7,  35]_2</v>
      </c>
      <c r="B218" t="s">
        <v>366</v>
      </c>
      <c r="C218" t="s">
        <v>113</v>
      </c>
      <c r="D218" t="s">
        <v>1</v>
      </c>
      <c r="E218">
        <v>0.2</v>
      </c>
      <c r="F218" t="s">
        <v>2</v>
      </c>
      <c r="G218" t="s">
        <v>19</v>
      </c>
      <c r="H218" t="s">
        <v>4</v>
      </c>
      <c r="I218">
        <v>191</v>
      </c>
      <c r="J218" t="s">
        <v>5</v>
      </c>
      <c r="K218">
        <v>28</v>
      </c>
      <c r="L218" s="3">
        <f t="shared" si="7"/>
        <v>0.14659685863874344</v>
      </c>
      <c r="M218" t="s">
        <v>6</v>
      </c>
      <c r="N218">
        <v>-46.449999999999903</v>
      </c>
      <c r="O218" t="s">
        <v>7</v>
      </c>
      <c r="P218">
        <v>-0.24319371727748601</v>
      </c>
      <c r="Q218" t="s">
        <v>8</v>
      </c>
      <c r="R218">
        <v>3.64928571428571</v>
      </c>
      <c r="S218" t="s">
        <v>9</v>
      </c>
      <c r="T218">
        <v>-0.91184049079754503</v>
      </c>
      <c r="U218" t="s">
        <v>10</v>
      </c>
      <c r="V218">
        <v>0.45904997651752499</v>
      </c>
      <c r="W218" t="s">
        <v>11</v>
      </c>
      <c r="X218" t="s">
        <v>66</v>
      </c>
      <c r="Y218" t="s">
        <v>13</v>
      </c>
      <c r="Z218">
        <v>0</v>
      </c>
      <c r="AA218" t="s">
        <v>14</v>
      </c>
      <c r="AB218" t="s">
        <v>15</v>
      </c>
      <c r="AC218" t="s">
        <v>123</v>
      </c>
      <c r="AD218" t="s">
        <v>91</v>
      </c>
      <c r="AE218">
        <v>0</v>
      </c>
      <c r="AF218" t="s">
        <v>18</v>
      </c>
    </row>
    <row r="219" spans="1:32" x14ac:dyDescent="0.3">
      <c r="A219" t="str">
        <f t="shared" si="6"/>
        <v>stoch_{'C',  [('delta', 0.2,  1)]}_[7,  35]_2</v>
      </c>
      <c r="B219" t="s">
        <v>564</v>
      </c>
      <c r="C219" t="s">
        <v>262</v>
      </c>
      <c r="D219" t="s">
        <v>1</v>
      </c>
      <c r="E219">
        <v>0.2</v>
      </c>
      <c r="F219" t="s">
        <v>2</v>
      </c>
      <c r="G219" t="s">
        <v>19</v>
      </c>
      <c r="H219" t="s">
        <v>4</v>
      </c>
      <c r="I219">
        <v>224</v>
      </c>
      <c r="J219" t="s">
        <v>5</v>
      </c>
      <c r="K219">
        <v>34</v>
      </c>
      <c r="L219" s="3">
        <f t="shared" si="7"/>
        <v>0.15178571428571427</v>
      </c>
      <c r="M219" t="s">
        <v>6</v>
      </c>
      <c r="N219">
        <v>-46.809999999999903</v>
      </c>
      <c r="O219" t="s">
        <v>7</v>
      </c>
      <c r="P219">
        <v>-0.208973214285714</v>
      </c>
      <c r="Q219" t="s">
        <v>8</v>
      </c>
      <c r="R219">
        <v>2.8188235294117598</v>
      </c>
      <c r="S219" t="s">
        <v>9</v>
      </c>
      <c r="T219">
        <v>-0.75078947368421001</v>
      </c>
      <c r="U219" t="s">
        <v>10</v>
      </c>
      <c r="V219">
        <v>0.431479858001034</v>
      </c>
      <c r="W219" t="s">
        <v>11</v>
      </c>
      <c r="X219" t="s">
        <v>277</v>
      </c>
      <c r="Y219" t="s">
        <v>91</v>
      </c>
      <c r="Z219">
        <v>0</v>
      </c>
      <c r="AA219" t="s">
        <v>14</v>
      </c>
      <c r="AB219" t="s">
        <v>15</v>
      </c>
      <c r="AC219" t="s">
        <v>278</v>
      </c>
      <c r="AD219" t="s">
        <v>91</v>
      </c>
      <c r="AE219">
        <v>0</v>
      </c>
      <c r="AF219" t="s">
        <v>18</v>
      </c>
    </row>
    <row r="220" spans="1:32" x14ac:dyDescent="0.3">
      <c r="A220" t="str">
        <f t="shared" si="6"/>
        <v>bbands_{'C',  [('delta', 0.4,  1)]}_[35,  70]_1</v>
      </c>
      <c r="B220" t="s">
        <v>349</v>
      </c>
      <c r="C220" t="s">
        <v>113</v>
      </c>
      <c r="D220" t="s">
        <v>1</v>
      </c>
      <c r="E220">
        <v>0.4</v>
      </c>
      <c r="F220" t="s">
        <v>37</v>
      </c>
      <c r="G220" t="s">
        <v>38</v>
      </c>
      <c r="H220" t="s">
        <v>4</v>
      </c>
      <c r="I220">
        <v>247</v>
      </c>
      <c r="J220" t="s">
        <v>5</v>
      </c>
      <c r="K220">
        <v>79</v>
      </c>
      <c r="L220" s="3">
        <f t="shared" si="7"/>
        <v>0.31983805668016196</v>
      </c>
      <c r="M220" t="s">
        <v>6</v>
      </c>
      <c r="N220">
        <v>-47.270118623910697</v>
      </c>
      <c r="O220" t="s">
        <v>7</v>
      </c>
      <c r="P220">
        <v>-0.191376998477371</v>
      </c>
      <c r="Q220" t="s">
        <v>8</v>
      </c>
      <c r="R220">
        <v>5.8311461649942604</v>
      </c>
      <c r="S220" t="s">
        <v>9</v>
      </c>
      <c r="T220">
        <v>-3.0233968193955798</v>
      </c>
      <c r="U220" t="s">
        <v>10</v>
      </c>
      <c r="V220">
        <v>1.36130961949372</v>
      </c>
      <c r="W220" t="s">
        <v>11</v>
      </c>
      <c r="X220" t="s">
        <v>116</v>
      </c>
      <c r="Y220" t="s">
        <v>91</v>
      </c>
      <c r="Z220">
        <v>0</v>
      </c>
      <c r="AA220" t="s">
        <v>14</v>
      </c>
      <c r="AB220" t="s">
        <v>15</v>
      </c>
      <c r="AC220" t="s">
        <v>117</v>
      </c>
      <c r="AD220" t="s">
        <v>91</v>
      </c>
      <c r="AE220">
        <v>0</v>
      </c>
      <c r="AF220" t="s">
        <v>18</v>
      </c>
    </row>
    <row r="221" spans="1:32" x14ac:dyDescent="0.3">
      <c r="A221" t="str">
        <f t="shared" si="6"/>
        <v>alltime_{'C',  [('delta', 0.2,  1)]}_[21,  49]_3</v>
      </c>
      <c r="B221" t="s">
        <v>321</v>
      </c>
      <c r="C221" t="s">
        <v>0</v>
      </c>
      <c r="D221" t="s">
        <v>1</v>
      </c>
      <c r="E221">
        <v>0.2</v>
      </c>
      <c r="F221" t="s">
        <v>27</v>
      </c>
      <c r="G221" t="s">
        <v>33</v>
      </c>
      <c r="H221" t="s">
        <v>4</v>
      </c>
      <c r="I221">
        <v>3050</v>
      </c>
      <c r="J221" t="s">
        <v>5</v>
      </c>
      <c r="K221">
        <v>443</v>
      </c>
      <c r="L221" s="3">
        <f t="shared" si="7"/>
        <v>0.14524590163934425</v>
      </c>
      <c r="M221" t="s">
        <v>6</v>
      </c>
      <c r="N221">
        <v>-48.0633944447003</v>
      </c>
      <c r="O221" t="s">
        <v>7</v>
      </c>
      <c r="P221">
        <v>-1.5758489981868899E-2</v>
      </c>
      <c r="Q221" t="s">
        <v>8</v>
      </c>
      <c r="R221">
        <v>4.7387358916478499</v>
      </c>
      <c r="S221" t="s">
        <v>9</v>
      </c>
      <c r="T221">
        <v>-0.82367602395270201</v>
      </c>
      <c r="U221" t="s">
        <v>10</v>
      </c>
      <c r="V221">
        <v>4.7648381683225596</v>
      </c>
      <c r="W221" t="s">
        <v>11</v>
      </c>
      <c r="X221" t="s">
        <v>58</v>
      </c>
      <c r="Y221" t="s">
        <v>21</v>
      </c>
      <c r="Z221">
        <v>0</v>
      </c>
      <c r="AA221" t="s">
        <v>14</v>
      </c>
      <c r="AB221" t="s">
        <v>15</v>
      </c>
      <c r="AC221" t="s">
        <v>74</v>
      </c>
      <c r="AD221" t="s">
        <v>75</v>
      </c>
      <c r="AE221">
        <v>0</v>
      </c>
      <c r="AF221" t="s">
        <v>18</v>
      </c>
    </row>
    <row r="222" spans="1:32" x14ac:dyDescent="0.3">
      <c r="A222" t="str">
        <f t="shared" si="6"/>
        <v>bbands_{'C',  [('delta', 0.4,  1)]}_[35,  70]_3</v>
      </c>
      <c r="B222" t="s">
        <v>351</v>
      </c>
      <c r="C222" t="s">
        <v>113</v>
      </c>
      <c r="D222" t="s">
        <v>1</v>
      </c>
      <c r="E222">
        <v>0.4</v>
      </c>
      <c r="F222" t="s">
        <v>37</v>
      </c>
      <c r="G222" t="s">
        <v>42</v>
      </c>
      <c r="H222" t="s">
        <v>4</v>
      </c>
      <c r="I222">
        <v>247</v>
      </c>
      <c r="J222" t="s">
        <v>5</v>
      </c>
      <c r="K222">
        <v>49</v>
      </c>
      <c r="L222" s="3">
        <f t="shared" si="7"/>
        <v>0.19838056680161945</v>
      </c>
      <c r="M222" t="s">
        <v>6</v>
      </c>
      <c r="N222">
        <v>-48.243412867815302</v>
      </c>
      <c r="O222" t="s">
        <v>7</v>
      </c>
      <c r="P222">
        <v>-0.195317461003301</v>
      </c>
      <c r="Q222" t="s">
        <v>8</v>
      </c>
      <c r="R222">
        <v>10.9176990365437</v>
      </c>
      <c r="S222" t="s">
        <v>9</v>
      </c>
      <c r="T222">
        <v>-2.9455084124164501</v>
      </c>
      <c r="U222" t="s">
        <v>10</v>
      </c>
      <c r="V222">
        <v>1.7917372955650199</v>
      </c>
      <c r="W222" t="s">
        <v>11</v>
      </c>
      <c r="X222" t="s">
        <v>34</v>
      </c>
      <c r="Y222" t="s">
        <v>21</v>
      </c>
      <c r="Z222">
        <v>0</v>
      </c>
      <c r="AA222" t="s">
        <v>14</v>
      </c>
      <c r="AB222" t="s">
        <v>15</v>
      </c>
      <c r="AC222" t="s">
        <v>119</v>
      </c>
      <c r="AD222" t="s">
        <v>21</v>
      </c>
      <c r="AE222">
        <v>0</v>
      </c>
      <c r="AF222" t="s">
        <v>18</v>
      </c>
    </row>
    <row r="223" spans="1:32" x14ac:dyDescent="0.3">
      <c r="A223" t="str">
        <f t="shared" si="6"/>
        <v>bbands_{'C',  [('delta', 0.2,  1)]}_[7,  35]_4</v>
      </c>
      <c r="B223" t="s">
        <v>368</v>
      </c>
      <c r="C223" t="s">
        <v>113</v>
      </c>
      <c r="D223" t="s">
        <v>1</v>
      </c>
      <c r="E223">
        <v>0.2</v>
      </c>
      <c r="F223" t="s">
        <v>2</v>
      </c>
      <c r="G223" t="s">
        <v>26</v>
      </c>
      <c r="H223" t="s">
        <v>4</v>
      </c>
      <c r="I223">
        <v>191</v>
      </c>
      <c r="J223" t="s">
        <v>5</v>
      </c>
      <c r="K223">
        <v>19</v>
      </c>
      <c r="L223" s="3">
        <f t="shared" si="7"/>
        <v>9.947643979057591E-2</v>
      </c>
      <c r="M223" t="s">
        <v>6</v>
      </c>
      <c r="N223">
        <v>-49.709999999999901</v>
      </c>
      <c r="O223" t="s">
        <v>7</v>
      </c>
      <c r="P223">
        <v>-0.26026178010471102</v>
      </c>
      <c r="Q223" t="s">
        <v>8</v>
      </c>
      <c r="R223">
        <v>5.6531578947368404</v>
      </c>
      <c r="S223" t="s">
        <v>9</v>
      </c>
      <c r="T223">
        <v>-0.91348837209302203</v>
      </c>
      <c r="U223" t="s">
        <v>10</v>
      </c>
      <c r="V223">
        <v>0.55407174803660197</v>
      </c>
      <c r="W223" t="s">
        <v>11</v>
      </c>
      <c r="X223" t="s">
        <v>70</v>
      </c>
      <c r="Y223" t="s">
        <v>53</v>
      </c>
      <c r="Z223">
        <v>0</v>
      </c>
      <c r="AA223" t="s">
        <v>14</v>
      </c>
      <c r="AB223" t="s">
        <v>15</v>
      </c>
      <c r="AC223" t="s">
        <v>123</v>
      </c>
      <c r="AD223" t="s">
        <v>91</v>
      </c>
      <c r="AE223">
        <v>0</v>
      </c>
      <c r="AF223" t="s">
        <v>18</v>
      </c>
    </row>
    <row r="224" spans="1:32" x14ac:dyDescent="0.3">
      <c r="A224" t="str">
        <f t="shared" si="6"/>
        <v>stoch_{'C',  [('delta', 0.2,  1)]}_[7,  35]_1</v>
      </c>
      <c r="B224" t="s">
        <v>563</v>
      </c>
      <c r="C224" t="s">
        <v>262</v>
      </c>
      <c r="D224" t="s">
        <v>1</v>
      </c>
      <c r="E224">
        <v>0.2</v>
      </c>
      <c r="F224" t="s">
        <v>2</v>
      </c>
      <c r="G224" t="s">
        <v>3</v>
      </c>
      <c r="H224" t="s">
        <v>4</v>
      </c>
      <c r="I224">
        <v>224</v>
      </c>
      <c r="J224" t="s">
        <v>5</v>
      </c>
      <c r="K224">
        <v>49</v>
      </c>
      <c r="L224" s="3">
        <f t="shared" si="7"/>
        <v>0.21875</v>
      </c>
      <c r="M224" t="s">
        <v>6</v>
      </c>
      <c r="N224">
        <v>-50.05</v>
      </c>
      <c r="O224" t="s">
        <v>7</v>
      </c>
      <c r="P224">
        <v>-0.22343750000000001</v>
      </c>
      <c r="Q224" t="s">
        <v>8</v>
      </c>
      <c r="R224">
        <v>1.6771428571428499</v>
      </c>
      <c r="S224" t="s">
        <v>9</v>
      </c>
      <c r="T224">
        <v>-0.75559999999999905</v>
      </c>
      <c r="U224" t="s">
        <v>10</v>
      </c>
      <c r="V224">
        <v>0.34151302316230397</v>
      </c>
      <c r="W224" t="s">
        <v>11</v>
      </c>
      <c r="X224" t="s">
        <v>277</v>
      </c>
      <c r="Y224" t="s">
        <v>91</v>
      </c>
      <c r="Z224">
        <v>0</v>
      </c>
      <c r="AA224" t="s">
        <v>14</v>
      </c>
      <c r="AB224" t="s">
        <v>15</v>
      </c>
      <c r="AC224" t="s">
        <v>278</v>
      </c>
      <c r="AD224" t="s">
        <v>91</v>
      </c>
      <c r="AE224">
        <v>0</v>
      </c>
      <c r="AF224" t="s">
        <v>18</v>
      </c>
    </row>
    <row r="225" spans="1:32" x14ac:dyDescent="0.3">
      <c r="A225" t="str">
        <f t="shared" si="6"/>
        <v>psar_no_highvol_{'C',  [('delta', 0.4,  1)]}_[35,  70]_4</v>
      </c>
      <c r="B225" t="s">
        <v>452</v>
      </c>
      <c r="C225" t="s">
        <v>175</v>
      </c>
      <c r="D225" t="s">
        <v>1</v>
      </c>
      <c r="E225">
        <v>0.4</v>
      </c>
      <c r="F225" t="s">
        <v>37</v>
      </c>
      <c r="G225" t="s">
        <v>44</v>
      </c>
      <c r="H225" t="s">
        <v>4</v>
      </c>
      <c r="I225">
        <v>130</v>
      </c>
      <c r="J225" t="s">
        <v>5</v>
      </c>
      <c r="K225">
        <v>23</v>
      </c>
      <c r="L225" s="3">
        <f t="shared" si="7"/>
        <v>0.17692307692307693</v>
      </c>
      <c r="M225" t="s">
        <v>6</v>
      </c>
      <c r="N225">
        <v>-52.0372737961399</v>
      </c>
      <c r="O225" t="s">
        <v>7</v>
      </c>
      <c r="P225">
        <v>-0.40028672150876798</v>
      </c>
      <c r="Q225" t="s">
        <v>8</v>
      </c>
      <c r="R225">
        <v>8.2391304347826004</v>
      </c>
      <c r="S225" t="s">
        <v>9</v>
      </c>
      <c r="T225">
        <v>-2.25735769902934</v>
      </c>
      <c r="U225" t="s">
        <v>10</v>
      </c>
      <c r="V225">
        <v>0.85951961917354602</v>
      </c>
      <c r="W225" t="s">
        <v>11</v>
      </c>
      <c r="X225" t="s">
        <v>195</v>
      </c>
      <c r="Y225" t="s">
        <v>152</v>
      </c>
    </row>
    <row r="226" spans="1:32" x14ac:dyDescent="0.3">
      <c r="A226" t="str">
        <f t="shared" si="6"/>
        <v>bbands_{'C',  [('delta', 0.3,  1)]}_[7,  35]_2</v>
      </c>
      <c r="B226" t="s">
        <v>354</v>
      </c>
      <c r="C226" t="s">
        <v>113</v>
      </c>
      <c r="D226" t="s">
        <v>1</v>
      </c>
      <c r="E226">
        <v>0.3</v>
      </c>
      <c r="F226" t="s">
        <v>2</v>
      </c>
      <c r="G226" t="s">
        <v>19</v>
      </c>
      <c r="H226" t="s">
        <v>4</v>
      </c>
      <c r="I226">
        <v>191</v>
      </c>
      <c r="J226" t="s">
        <v>5</v>
      </c>
      <c r="K226">
        <v>33</v>
      </c>
      <c r="L226" s="3">
        <f t="shared" si="7"/>
        <v>0.17277486910994763</v>
      </c>
      <c r="M226" t="s">
        <v>6</v>
      </c>
      <c r="N226">
        <v>-52.229999999999798</v>
      </c>
      <c r="O226" t="s">
        <v>7</v>
      </c>
      <c r="P226">
        <v>-0.27345549738219799</v>
      </c>
      <c r="Q226" t="s">
        <v>8</v>
      </c>
      <c r="R226">
        <v>5.3109090909090897</v>
      </c>
      <c r="S226" t="s">
        <v>9</v>
      </c>
      <c r="T226">
        <v>-1.43981012658227</v>
      </c>
      <c r="U226" t="s">
        <v>10</v>
      </c>
      <c r="V226">
        <v>0.71782779805258801</v>
      </c>
      <c r="W226" t="s">
        <v>11</v>
      </c>
      <c r="X226" t="s">
        <v>47</v>
      </c>
      <c r="Y226" t="s">
        <v>13</v>
      </c>
      <c r="Z226">
        <v>0</v>
      </c>
      <c r="AA226" t="s">
        <v>14</v>
      </c>
      <c r="AB226" t="s">
        <v>15</v>
      </c>
      <c r="AC226" t="s">
        <v>120</v>
      </c>
      <c r="AD226" t="s">
        <v>91</v>
      </c>
      <c r="AE226">
        <v>0</v>
      </c>
      <c r="AF226" t="s">
        <v>18</v>
      </c>
    </row>
    <row r="227" spans="1:32" x14ac:dyDescent="0.3">
      <c r="A227" t="str">
        <f t="shared" si="6"/>
        <v>stoch_{'C',  [('delta', 0.4,  1)]}_[35,  70]_3</v>
      </c>
      <c r="B227" t="s">
        <v>549</v>
      </c>
      <c r="C227" t="s">
        <v>262</v>
      </c>
      <c r="D227" t="s">
        <v>1</v>
      </c>
      <c r="E227">
        <v>0.4</v>
      </c>
      <c r="F227" t="s">
        <v>37</v>
      </c>
      <c r="G227" t="s">
        <v>42</v>
      </c>
      <c r="H227" t="s">
        <v>4</v>
      </c>
      <c r="I227">
        <v>291</v>
      </c>
      <c r="J227" t="s">
        <v>5</v>
      </c>
      <c r="K227">
        <v>56</v>
      </c>
      <c r="L227" s="3">
        <f t="shared" si="7"/>
        <v>0.19243986254295534</v>
      </c>
      <c r="M227" t="s">
        <v>6</v>
      </c>
      <c r="N227">
        <v>-53.059079029921598</v>
      </c>
      <c r="O227" t="s">
        <v>7</v>
      </c>
      <c r="P227">
        <v>-0.18233360491382</v>
      </c>
      <c r="Q227" t="s">
        <v>8</v>
      </c>
      <c r="R227">
        <v>10.826655772144299</v>
      </c>
      <c r="S227" t="s">
        <v>9</v>
      </c>
      <c r="T227">
        <v>-2.80575235008512</v>
      </c>
      <c r="U227" t="s">
        <v>10</v>
      </c>
      <c r="V227">
        <v>1.9086786054918701</v>
      </c>
      <c r="W227" t="s">
        <v>11</v>
      </c>
      <c r="X227" t="s">
        <v>31</v>
      </c>
      <c r="Y227" t="s">
        <v>21</v>
      </c>
      <c r="Z227">
        <v>0</v>
      </c>
      <c r="AA227" t="s">
        <v>14</v>
      </c>
      <c r="AB227" t="s">
        <v>15</v>
      </c>
      <c r="AC227" t="s">
        <v>271</v>
      </c>
      <c r="AD227" t="s">
        <v>53</v>
      </c>
      <c r="AE227">
        <v>0</v>
      </c>
      <c r="AF227" t="s">
        <v>18</v>
      </c>
    </row>
    <row r="228" spans="1:32" x14ac:dyDescent="0.3">
      <c r="A228" t="str">
        <f t="shared" si="6"/>
        <v>alltime_{'C',  [('delta', 0.4,  1)]}_[35,  70]_3</v>
      </c>
      <c r="B228" t="s">
        <v>301</v>
      </c>
      <c r="C228" t="s">
        <v>0</v>
      </c>
      <c r="D228" t="s">
        <v>1</v>
      </c>
      <c r="E228">
        <v>0.4</v>
      </c>
      <c r="F228" t="s">
        <v>37</v>
      </c>
      <c r="G228" t="s">
        <v>42</v>
      </c>
      <c r="H228" t="s">
        <v>4</v>
      </c>
      <c r="I228">
        <v>3810</v>
      </c>
      <c r="J228" t="s">
        <v>5</v>
      </c>
      <c r="K228">
        <v>731</v>
      </c>
      <c r="L228" s="3">
        <f t="shared" si="7"/>
        <v>0.19186351706036744</v>
      </c>
      <c r="M228" t="s">
        <v>6</v>
      </c>
      <c r="N228">
        <v>-53.442885402261297</v>
      </c>
      <c r="O228" t="s">
        <v>7</v>
      </c>
      <c r="P228">
        <v>-1.4027004042588199E-2</v>
      </c>
      <c r="Q228" t="s">
        <v>8</v>
      </c>
      <c r="R228">
        <v>10.8599879060724</v>
      </c>
      <c r="S228" t="s">
        <v>9</v>
      </c>
      <c r="T228">
        <v>-2.5956784815658298</v>
      </c>
      <c r="U228" t="s">
        <v>10</v>
      </c>
      <c r="V228">
        <v>15.7362339658915</v>
      </c>
      <c r="W228" t="s">
        <v>11</v>
      </c>
      <c r="X228" t="s">
        <v>34</v>
      </c>
      <c r="Y228" t="s">
        <v>21</v>
      </c>
      <c r="Z228">
        <v>0</v>
      </c>
      <c r="AA228" t="s">
        <v>14</v>
      </c>
      <c r="AB228" t="s">
        <v>15</v>
      </c>
      <c r="AC228" t="s">
        <v>43</v>
      </c>
      <c r="AD228" t="s">
        <v>21</v>
      </c>
      <c r="AE228">
        <v>0</v>
      </c>
      <c r="AF228" t="s">
        <v>18</v>
      </c>
    </row>
    <row r="229" spans="1:32" x14ac:dyDescent="0.3">
      <c r="A229" t="str">
        <f t="shared" si="6"/>
        <v>bbands_{'C',  [('delta', 0.3,  1)]}_[35,  70]_2</v>
      </c>
      <c r="B229" t="s">
        <v>362</v>
      </c>
      <c r="C229" t="s">
        <v>113</v>
      </c>
      <c r="D229" t="s">
        <v>1</v>
      </c>
      <c r="E229">
        <v>0.3</v>
      </c>
      <c r="F229" t="s">
        <v>37</v>
      </c>
      <c r="G229" t="s">
        <v>40</v>
      </c>
      <c r="H229" t="s">
        <v>4</v>
      </c>
      <c r="I229">
        <v>247</v>
      </c>
      <c r="J229" t="s">
        <v>5</v>
      </c>
      <c r="K229">
        <v>48</v>
      </c>
      <c r="L229" s="3">
        <f t="shared" si="7"/>
        <v>0.19433198380566802</v>
      </c>
      <c r="M229" t="s">
        <v>6</v>
      </c>
      <c r="N229">
        <v>-55.896020341205897</v>
      </c>
      <c r="O229" t="s">
        <v>7</v>
      </c>
      <c r="P229">
        <v>-0.22629967749476099</v>
      </c>
      <c r="Q229" t="s">
        <v>8</v>
      </c>
      <c r="R229">
        <v>7.1403516447385904</v>
      </c>
      <c r="S229" t="s">
        <v>9</v>
      </c>
      <c r="T229">
        <v>-2.0031803984354699</v>
      </c>
      <c r="U229" t="s">
        <v>10</v>
      </c>
      <c r="V229">
        <v>1.1159509309242399</v>
      </c>
      <c r="W229" t="s">
        <v>11</v>
      </c>
      <c r="X229" t="s">
        <v>20</v>
      </c>
      <c r="Y229" t="s">
        <v>21</v>
      </c>
      <c r="Z229">
        <v>0</v>
      </c>
      <c r="AA229" t="s">
        <v>14</v>
      </c>
      <c r="AB229" t="s">
        <v>15</v>
      </c>
      <c r="AC229" t="s">
        <v>121</v>
      </c>
      <c r="AD229" t="s">
        <v>91</v>
      </c>
      <c r="AE229">
        <v>0</v>
      </c>
      <c r="AF229" t="s">
        <v>18</v>
      </c>
    </row>
    <row r="230" spans="1:32" x14ac:dyDescent="0.3">
      <c r="A230" t="str">
        <f t="shared" si="6"/>
        <v>stoch_{'C',  [('delta', 0.3,  1)]}_[35,  70]_4</v>
      </c>
      <c r="B230" t="s">
        <v>562</v>
      </c>
      <c r="C230" t="s">
        <v>262</v>
      </c>
      <c r="D230" t="s">
        <v>1</v>
      </c>
      <c r="E230">
        <v>0.3</v>
      </c>
      <c r="F230" t="s">
        <v>37</v>
      </c>
      <c r="G230" t="s">
        <v>44</v>
      </c>
      <c r="H230" t="s">
        <v>4</v>
      </c>
      <c r="I230">
        <v>291</v>
      </c>
      <c r="J230" t="s">
        <v>5</v>
      </c>
      <c r="K230">
        <v>41</v>
      </c>
      <c r="L230" s="3">
        <f t="shared" si="7"/>
        <v>0.14089347079037801</v>
      </c>
      <c r="M230" t="s">
        <v>6</v>
      </c>
      <c r="N230">
        <v>-56.003106883904401</v>
      </c>
      <c r="O230" t="s">
        <v>7</v>
      </c>
      <c r="P230">
        <v>-0.192450539119946</v>
      </c>
      <c r="Q230" t="s">
        <v>8</v>
      </c>
      <c r="R230">
        <v>9.5414634146341406</v>
      </c>
      <c r="S230" t="s">
        <v>9</v>
      </c>
      <c r="T230">
        <v>-1.7888124275356101</v>
      </c>
      <c r="U230" t="s">
        <v>10</v>
      </c>
      <c r="V230">
        <v>1.38904294476207</v>
      </c>
      <c r="W230" t="s">
        <v>11</v>
      </c>
      <c r="X230" t="s">
        <v>58</v>
      </c>
      <c r="Y230" t="s">
        <v>21</v>
      </c>
      <c r="Z230">
        <v>0</v>
      </c>
      <c r="AA230" t="s">
        <v>14</v>
      </c>
      <c r="AB230" t="s">
        <v>15</v>
      </c>
      <c r="AC230" t="s">
        <v>276</v>
      </c>
      <c r="AD230" t="s">
        <v>53</v>
      </c>
      <c r="AE230">
        <v>0</v>
      </c>
      <c r="AF230" t="s">
        <v>18</v>
      </c>
    </row>
    <row r="231" spans="1:32" x14ac:dyDescent="0.3">
      <c r="A231" t="str">
        <f t="shared" si="6"/>
        <v>stoch_{'C',  [('delta', 0.3,  1)]}_[7,  35]_2</v>
      </c>
      <c r="B231" t="s">
        <v>552</v>
      </c>
      <c r="C231" t="s">
        <v>262</v>
      </c>
      <c r="D231" t="s">
        <v>1</v>
      </c>
      <c r="E231">
        <v>0.3</v>
      </c>
      <c r="F231" t="s">
        <v>2</v>
      </c>
      <c r="G231" t="s">
        <v>19</v>
      </c>
      <c r="H231" t="s">
        <v>4</v>
      </c>
      <c r="I231">
        <v>224</v>
      </c>
      <c r="J231" t="s">
        <v>5</v>
      </c>
      <c r="K231">
        <v>38</v>
      </c>
      <c r="L231" s="3">
        <f t="shared" si="7"/>
        <v>0.16964285714285715</v>
      </c>
      <c r="M231" t="s">
        <v>6</v>
      </c>
      <c r="N231">
        <v>-59.1099999999999</v>
      </c>
      <c r="O231" t="s">
        <v>7</v>
      </c>
      <c r="P231">
        <v>-0.26388392857142801</v>
      </c>
      <c r="Q231" t="s">
        <v>8</v>
      </c>
      <c r="R231">
        <v>4.74236842105263</v>
      </c>
      <c r="S231" t="s">
        <v>9</v>
      </c>
      <c r="T231">
        <v>-1.28666666666666</v>
      </c>
      <c r="U231" t="s">
        <v>10</v>
      </c>
      <c r="V231">
        <v>0.74216394844067102</v>
      </c>
      <c r="W231" t="s">
        <v>11</v>
      </c>
      <c r="X231" t="s">
        <v>147</v>
      </c>
      <c r="Y231" t="s">
        <v>53</v>
      </c>
      <c r="Z231">
        <v>0</v>
      </c>
      <c r="AA231" t="s">
        <v>14</v>
      </c>
      <c r="AB231" t="s">
        <v>15</v>
      </c>
      <c r="AC231" t="s">
        <v>273</v>
      </c>
      <c r="AD231" t="s">
        <v>91</v>
      </c>
      <c r="AE231">
        <v>0</v>
      </c>
      <c r="AF231" t="s">
        <v>18</v>
      </c>
    </row>
    <row r="232" spans="1:32" x14ac:dyDescent="0.3">
      <c r="A232" t="str">
        <f t="shared" si="6"/>
        <v>stoch_{'C',  [('delta', 0.3,  1)]}_[35,  70]_2</v>
      </c>
      <c r="B232" t="s">
        <v>560</v>
      </c>
      <c r="C232" t="s">
        <v>262</v>
      </c>
      <c r="D232" t="s">
        <v>1</v>
      </c>
      <c r="E232">
        <v>0.3</v>
      </c>
      <c r="F232" t="s">
        <v>37</v>
      </c>
      <c r="G232" t="s">
        <v>40</v>
      </c>
      <c r="H232" t="s">
        <v>4</v>
      </c>
      <c r="I232">
        <v>291</v>
      </c>
      <c r="J232" t="s">
        <v>5</v>
      </c>
      <c r="K232">
        <v>60</v>
      </c>
      <c r="L232" s="3">
        <f t="shared" si="7"/>
        <v>0.20618556701030927</v>
      </c>
      <c r="M232" t="s">
        <v>6</v>
      </c>
      <c r="N232">
        <v>-59.563106883904403</v>
      </c>
      <c r="O232" t="s">
        <v>7</v>
      </c>
      <c r="P232">
        <v>-0.20468421609589099</v>
      </c>
      <c r="Q232" t="s">
        <v>8</v>
      </c>
      <c r="R232">
        <v>5.9911666666666603</v>
      </c>
      <c r="S232" t="s">
        <v>9</v>
      </c>
      <c r="T232">
        <v>-1.81399613369655</v>
      </c>
      <c r="U232" t="s">
        <v>10</v>
      </c>
      <c r="V232">
        <v>1.1569655634715099</v>
      </c>
      <c r="W232" t="s">
        <v>11</v>
      </c>
      <c r="X232" t="s">
        <v>58</v>
      </c>
      <c r="Y232" t="s">
        <v>21</v>
      </c>
      <c r="Z232">
        <v>0</v>
      </c>
      <c r="AA232" t="s">
        <v>14</v>
      </c>
      <c r="AB232" t="s">
        <v>15</v>
      </c>
      <c r="AC232" t="s">
        <v>275</v>
      </c>
      <c r="AD232" t="s">
        <v>91</v>
      </c>
      <c r="AE232">
        <v>0</v>
      </c>
      <c r="AF232" t="s">
        <v>18</v>
      </c>
    </row>
    <row r="233" spans="1:32" x14ac:dyDescent="0.3">
      <c r="A233" t="str">
        <f t="shared" si="6"/>
        <v>bbands_{'C',  [('delta', 0.3,  1)]}_[35,  70]_1</v>
      </c>
      <c r="B233" t="s">
        <v>361</v>
      </c>
      <c r="C233" t="s">
        <v>113</v>
      </c>
      <c r="D233" t="s">
        <v>1</v>
      </c>
      <c r="E233">
        <v>0.3</v>
      </c>
      <c r="F233" t="s">
        <v>37</v>
      </c>
      <c r="G233" t="s">
        <v>38</v>
      </c>
      <c r="H233" t="s">
        <v>4</v>
      </c>
      <c r="I233">
        <v>247</v>
      </c>
      <c r="J233" t="s">
        <v>5</v>
      </c>
      <c r="K233">
        <v>75</v>
      </c>
      <c r="L233" s="3">
        <f t="shared" si="7"/>
        <v>0.30364372469635625</v>
      </c>
      <c r="M233" t="s">
        <v>6</v>
      </c>
      <c r="N233">
        <v>-59.760896426789301</v>
      </c>
      <c r="O233" t="s">
        <v>7</v>
      </c>
      <c r="P233">
        <v>-0.24194694909631201</v>
      </c>
      <c r="Q233" t="s">
        <v>8</v>
      </c>
      <c r="R233">
        <v>3.7702933714915798</v>
      </c>
      <c r="S233" t="s">
        <v>9</v>
      </c>
      <c r="T233">
        <v>-1.9914703447015001</v>
      </c>
      <c r="U233" t="s">
        <v>10</v>
      </c>
      <c r="V233">
        <v>0.91109421573127702</v>
      </c>
      <c r="W233" t="s">
        <v>11</v>
      </c>
      <c r="X233" t="s">
        <v>62</v>
      </c>
      <c r="Y233" t="s">
        <v>13</v>
      </c>
      <c r="Z233">
        <v>0</v>
      </c>
      <c r="AA233" t="s">
        <v>14</v>
      </c>
      <c r="AB233" t="s">
        <v>15</v>
      </c>
      <c r="AC233" t="s">
        <v>121</v>
      </c>
      <c r="AD233" t="s">
        <v>91</v>
      </c>
      <c r="AE233">
        <v>0</v>
      </c>
      <c r="AF233" t="s">
        <v>18</v>
      </c>
    </row>
    <row r="234" spans="1:32" x14ac:dyDescent="0.3">
      <c r="A234" t="str">
        <f t="shared" si="6"/>
        <v>bbands_{'C',  [('delta', 0.3,  1)]}_[21,  49]_3</v>
      </c>
      <c r="B234" t="s">
        <v>359</v>
      </c>
      <c r="C234" t="s">
        <v>113</v>
      </c>
      <c r="D234" t="s">
        <v>1</v>
      </c>
      <c r="E234">
        <v>0.3</v>
      </c>
      <c r="F234" t="s">
        <v>27</v>
      </c>
      <c r="G234" t="s">
        <v>33</v>
      </c>
      <c r="H234" t="s">
        <v>4</v>
      </c>
      <c r="I234">
        <v>200</v>
      </c>
      <c r="J234" t="s">
        <v>5</v>
      </c>
      <c r="K234">
        <v>28</v>
      </c>
      <c r="L234" s="3">
        <f t="shared" si="7"/>
        <v>0.14000000000000001</v>
      </c>
      <c r="M234" t="s">
        <v>6</v>
      </c>
      <c r="N234">
        <v>-60.309999999999903</v>
      </c>
      <c r="O234" t="s">
        <v>7</v>
      </c>
      <c r="P234">
        <v>-0.30154999999999899</v>
      </c>
      <c r="Q234" t="s">
        <v>8</v>
      </c>
      <c r="R234">
        <v>8.3321428571428502</v>
      </c>
      <c r="S234" t="s">
        <v>9</v>
      </c>
      <c r="T234">
        <v>-1.7070348837209199</v>
      </c>
      <c r="U234" t="s">
        <v>10</v>
      </c>
      <c r="V234">
        <v>0.97276033109641702</v>
      </c>
      <c r="W234" t="s">
        <v>11</v>
      </c>
      <c r="X234" t="s">
        <v>60</v>
      </c>
      <c r="Y234" t="s">
        <v>21</v>
      </c>
      <c r="Z234">
        <v>0</v>
      </c>
      <c r="AA234" t="s">
        <v>14</v>
      </c>
      <c r="AB234" t="s">
        <v>15</v>
      </c>
      <c r="AC234" t="s">
        <v>60</v>
      </c>
      <c r="AD234" t="s">
        <v>21</v>
      </c>
      <c r="AE234">
        <v>0</v>
      </c>
      <c r="AF234" t="s">
        <v>18</v>
      </c>
    </row>
    <row r="235" spans="1:32" x14ac:dyDescent="0.3">
      <c r="A235" t="str">
        <f t="shared" si="6"/>
        <v>stoch_{'C',  [('delta', 0.3,  1)]}_[21,  49]_1</v>
      </c>
      <c r="B235" t="s">
        <v>555</v>
      </c>
      <c r="C235" t="s">
        <v>262</v>
      </c>
      <c r="D235" t="s">
        <v>1</v>
      </c>
      <c r="E235">
        <v>0.3</v>
      </c>
      <c r="F235" t="s">
        <v>27</v>
      </c>
      <c r="G235" t="s">
        <v>28</v>
      </c>
      <c r="H235" t="s">
        <v>4</v>
      </c>
      <c r="I235">
        <v>230</v>
      </c>
      <c r="J235" t="s">
        <v>5</v>
      </c>
      <c r="K235">
        <v>61</v>
      </c>
      <c r="L235" s="3">
        <f t="shared" si="7"/>
        <v>0.26521739130434785</v>
      </c>
      <c r="M235" t="s">
        <v>6</v>
      </c>
      <c r="N235">
        <v>-64.010000000000005</v>
      </c>
      <c r="O235" t="s">
        <v>7</v>
      </c>
      <c r="P235">
        <v>-0.27830434782608698</v>
      </c>
      <c r="Q235" t="s">
        <v>8</v>
      </c>
      <c r="R235">
        <v>3.1595081967213101</v>
      </c>
      <c r="S235" t="s">
        <v>9</v>
      </c>
      <c r="T235">
        <v>-1.5191715976331299</v>
      </c>
      <c r="U235" t="s">
        <v>10</v>
      </c>
      <c r="V235">
        <v>0.74082545621795803</v>
      </c>
      <c r="W235" t="s">
        <v>11</v>
      </c>
      <c r="X235" t="s">
        <v>186</v>
      </c>
      <c r="Y235" t="s">
        <v>91</v>
      </c>
      <c r="Z235">
        <v>0</v>
      </c>
      <c r="AA235" t="s">
        <v>14</v>
      </c>
      <c r="AB235" t="s">
        <v>15</v>
      </c>
      <c r="AC235" t="s">
        <v>273</v>
      </c>
      <c r="AD235" t="s">
        <v>91</v>
      </c>
      <c r="AE235">
        <v>0</v>
      </c>
      <c r="AF235" t="s">
        <v>18</v>
      </c>
    </row>
    <row r="236" spans="1:32" x14ac:dyDescent="0.3">
      <c r="A236" t="str">
        <f t="shared" si="6"/>
        <v>stoch_{'C',  [('delta', 0.3,  1)]}_[21,  49]_2</v>
      </c>
      <c r="B236" t="s">
        <v>556</v>
      </c>
      <c r="C236" t="s">
        <v>262</v>
      </c>
      <c r="D236" t="s">
        <v>1</v>
      </c>
      <c r="E236">
        <v>0.3</v>
      </c>
      <c r="F236" t="s">
        <v>27</v>
      </c>
      <c r="G236" t="s">
        <v>30</v>
      </c>
      <c r="H236" t="s">
        <v>4</v>
      </c>
      <c r="I236">
        <v>230</v>
      </c>
      <c r="J236" t="s">
        <v>5</v>
      </c>
      <c r="K236">
        <v>43</v>
      </c>
      <c r="L236" s="3">
        <f t="shared" si="7"/>
        <v>0.18695652173913044</v>
      </c>
      <c r="M236" t="s">
        <v>6</v>
      </c>
      <c r="N236">
        <v>-67.729999999999905</v>
      </c>
      <c r="O236" t="s">
        <v>7</v>
      </c>
      <c r="P236">
        <v>-0.29447826086956502</v>
      </c>
      <c r="Q236" t="s">
        <v>8</v>
      </c>
      <c r="R236">
        <v>5.0246511627906898</v>
      </c>
      <c r="S236" t="s">
        <v>9</v>
      </c>
      <c r="T236">
        <v>-1.5175935828877001</v>
      </c>
      <c r="U236" t="s">
        <v>10</v>
      </c>
      <c r="V236">
        <v>0.88916990410830199</v>
      </c>
      <c r="W236" t="s">
        <v>11</v>
      </c>
      <c r="X236" t="s">
        <v>58</v>
      </c>
      <c r="Y236" t="s">
        <v>21</v>
      </c>
      <c r="Z236">
        <v>0</v>
      </c>
      <c r="AA236" t="s">
        <v>14</v>
      </c>
      <c r="AB236" t="s">
        <v>15</v>
      </c>
      <c r="AC236" t="s">
        <v>273</v>
      </c>
      <c r="AD236" t="s">
        <v>91</v>
      </c>
      <c r="AE236">
        <v>0</v>
      </c>
      <c r="AF236" t="s">
        <v>18</v>
      </c>
    </row>
    <row r="237" spans="1:32" x14ac:dyDescent="0.3">
      <c r="A237" t="str">
        <f t="shared" si="6"/>
        <v>alltime_{'C',  [('delta', 0.1,  1)]}_[7,  35]_4</v>
      </c>
      <c r="B237" t="s">
        <v>332</v>
      </c>
      <c r="C237" t="s">
        <v>0</v>
      </c>
      <c r="D237" t="s">
        <v>1</v>
      </c>
      <c r="E237">
        <v>0.1</v>
      </c>
      <c r="F237" t="s">
        <v>2</v>
      </c>
      <c r="G237" t="s">
        <v>26</v>
      </c>
      <c r="H237" t="s">
        <v>4</v>
      </c>
      <c r="I237">
        <v>3073</v>
      </c>
      <c r="J237" t="s">
        <v>5</v>
      </c>
      <c r="K237">
        <v>295</v>
      </c>
      <c r="L237" s="3">
        <f t="shared" si="7"/>
        <v>9.5997396680767982E-2</v>
      </c>
      <c r="M237" t="s">
        <v>6</v>
      </c>
      <c r="N237">
        <v>-67.754827592099502</v>
      </c>
      <c r="O237" t="s">
        <v>7</v>
      </c>
      <c r="P237">
        <v>-2.2048430716595999E-2</v>
      </c>
      <c r="Q237" t="s">
        <v>8</v>
      </c>
      <c r="R237">
        <v>2.4337288135593198</v>
      </c>
      <c r="S237" t="s">
        <v>9</v>
      </c>
      <c r="T237">
        <v>-0.28283111144424</v>
      </c>
      <c r="U237" t="s">
        <v>10</v>
      </c>
      <c r="V237">
        <v>1.9094687471864</v>
      </c>
      <c r="W237" t="s">
        <v>11</v>
      </c>
      <c r="X237" t="s">
        <v>95</v>
      </c>
      <c r="Y237" t="s">
        <v>50</v>
      </c>
      <c r="Z237">
        <v>0</v>
      </c>
      <c r="AA237" t="s">
        <v>14</v>
      </c>
      <c r="AB237" t="s">
        <v>15</v>
      </c>
      <c r="AC237" t="s">
        <v>97</v>
      </c>
      <c r="AD237" t="s">
        <v>98</v>
      </c>
      <c r="AE237">
        <v>0</v>
      </c>
      <c r="AF237" t="s">
        <v>18</v>
      </c>
    </row>
    <row r="238" spans="1:32" x14ac:dyDescent="0.3">
      <c r="A238" t="str">
        <f t="shared" si="6"/>
        <v>alltime_{'C',  [('delta', 0.2,  1)]}_[7,  35]_4</v>
      </c>
      <c r="B238" t="s">
        <v>318</v>
      </c>
      <c r="C238" t="s">
        <v>0</v>
      </c>
      <c r="D238" t="s">
        <v>1</v>
      </c>
      <c r="E238">
        <v>0.2</v>
      </c>
      <c r="F238" t="s">
        <v>2</v>
      </c>
      <c r="G238" t="s">
        <v>26</v>
      </c>
      <c r="H238" t="s">
        <v>4</v>
      </c>
      <c r="I238">
        <v>3073</v>
      </c>
      <c r="J238" t="s">
        <v>5</v>
      </c>
      <c r="K238">
        <v>384</v>
      </c>
      <c r="L238" s="3">
        <f t="shared" si="7"/>
        <v>0.12495932313699967</v>
      </c>
      <c r="M238" t="s">
        <v>6</v>
      </c>
      <c r="N238">
        <v>-71.573174439349302</v>
      </c>
      <c r="O238" t="s">
        <v>7</v>
      </c>
      <c r="P238">
        <v>-2.32909776893424E-2</v>
      </c>
      <c r="Q238" t="s">
        <v>8</v>
      </c>
      <c r="R238">
        <v>4.5350520833333299</v>
      </c>
      <c r="S238" t="s">
        <v>9</v>
      </c>
      <c r="T238">
        <v>-0.67424067476361005</v>
      </c>
      <c r="U238" t="s">
        <v>10</v>
      </c>
      <c r="V238">
        <v>4.5066165622092598</v>
      </c>
      <c r="W238" t="s">
        <v>11</v>
      </c>
      <c r="X238" t="s">
        <v>70</v>
      </c>
      <c r="Y238" t="s">
        <v>53</v>
      </c>
      <c r="Z238">
        <v>0</v>
      </c>
      <c r="AA238" t="s">
        <v>14</v>
      </c>
      <c r="AB238" t="s">
        <v>15</v>
      </c>
      <c r="AC238" t="s">
        <v>71</v>
      </c>
      <c r="AD238" t="s">
        <v>25</v>
      </c>
      <c r="AE238">
        <v>0</v>
      </c>
      <c r="AF238" t="s">
        <v>18</v>
      </c>
    </row>
    <row r="239" spans="1:32" x14ac:dyDescent="0.3">
      <c r="A239" t="str">
        <f t="shared" si="6"/>
        <v>stoch_{'C',  [('delta', 0.3,  1)]}_[7,  35]_3</v>
      </c>
      <c r="B239" t="s">
        <v>553</v>
      </c>
      <c r="C239" t="s">
        <v>262</v>
      </c>
      <c r="D239" t="s">
        <v>1</v>
      </c>
      <c r="E239">
        <v>0.3</v>
      </c>
      <c r="F239" t="s">
        <v>2</v>
      </c>
      <c r="G239" t="s">
        <v>23</v>
      </c>
      <c r="H239" t="s">
        <v>4</v>
      </c>
      <c r="I239">
        <v>224</v>
      </c>
      <c r="J239" t="s">
        <v>5</v>
      </c>
      <c r="K239">
        <v>32</v>
      </c>
      <c r="L239" s="3">
        <f t="shared" si="7"/>
        <v>0.14285714285714285</v>
      </c>
      <c r="M239" t="s">
        <v>6</v>
      </c>
      <c r="N239">
        <v>-72.129999999999896</v>
      </c>
      <c r="O239" t="s">
        <v>7</v>
      </c>
      <c r="P239">
        <v>-0.32200892857142799</v>
      </c>
      <c r="Q239" t="s">
        <v>8</v>
      </c>
      <c r="R239">
        <v>5.4743750000000002</v>
      </c>
      <c r="S239" t="s">
        <v>9</v>
      </c>
      <c r="T239">
        <v>-1.28807291666666</v>
      </c>
      <c r="U239" t="s">
        <v>10</v>
      </c>
      <c r="V239">
        <v>0.80495224055357495</v>
      </c>
      <c r="W239" t="s">
        <v>11</v>
      </c>
      <c r="X239" t="s">
        <v>147</v>
      </c>
      <c r="Y239" t="s">
        <v>53</v>
      </c>
      <c r="Z239">
        <v>0</v>
      </c>
      <c r="AA239" t="s">
        <v>14</v>
      </c>
      <c r="AB239" t="s">
        <v>15</v>
      </c>
      <c r="AC239" t="s">
        <v>273</v>
      </c>
      <c r="AD239" t="s">
        <v>91</v>
      </c>
      <c r="AE239">
        <v>0</v>
      </c>
      <c r="AF239" t="s">
        <v>18</v>
      </c>
    </row>
    <row r="240" spans="1:32" x14ac:dyDescent="0.3">
      <c r="A240" t="str">
        <f t="shared" si="6"/>
        <v>stoch_{'C',  [('delta', 0.3,  1)]}_[7,  35]_1</v>
      </c>
      <c r="B240" t="s">
        <v>551</v>
      </c>
      <c r="C240" t="s">
        <v>262</v>
      </c>
      <c r="D240" t="s">
        <v>1</v>
      </c>
      <c r="E240">
        <v>0.3</v>
      </c>
      <c r="F240" t="s">
        <v>2</v>
      </c>
      <c r="G240" t="s">
        <v>3</v>
      </c>
      <c r="H240" t="s">
        <v>4</v>
      </c>
      <c r="I240">
        <v>224</v>
      </c>
      <c r="J240" t="s">
        <v>5</v>
      </c>
      <c r="K240">
        <v>53</v>
      </c>
      <c r="L240" s="3">
        <f t="shared" si="7"/>
        <v>0.23660714285714285</v>
      </c>
      <c r="M240" t="s">
        <v>6</v>
      </c>
      <c r="N240">
        <v>-76.509999999999906</v>
      </c>
      <c r="O240" t="s">
        <v>7</v>
      </c>
      <c r="P240">
        <v>-0.34156249999999899</v>
      </c>
      <c r="Q240" t="s">
        <v>8</v>
      </c>
      <c r="R240">
        <v>2.7366037735848998</v>
      </c>
      <c r="S240" t="s">
        <v>9</v>
      </c>
      <c r="T240">
        <v>-1.2956140350877099</v>
      </c>
      <c r="U240" t="s">
        <v>10</v>
      </c>
      <c r="V240">
        <v>0.55649719660693397</v>
      </c>
      <c r="W240" t="s">
        <v>11</v>
      </c>
      <c r="X240" t="s">
        <v>186</v>
      </c>
      <c r="Y240" t="s">
        <v>91</v>
      </c>
      <c r="Z240">
        <v>0</v>
      </c>
      <c r="AA240" t="s">
        <v>14</v>
      </c>
      <c r="AB240" t="s">
        <v>15</v>
      </c>
      <c r="AC240" t="s">
        <v>273</v>
      </c>
      <c r="AD240" t="s">
        <v>91</v>
      </c>
      <c r="AE240">
        <v>0</v>
      </c>
      <c r="AF240" t="s">
        <v>18</v>
      </c>
    </row>
    <row r="241" spans="1:32" x14ac:dyDescent="0.3">
      <c r="A241" t="str">
        <f t="shared" si="6"/>
        <v>alltime_{'C',  [('delta', 0.4,  1)]}_[7,  35]_2</v>
      </c>
      <c r="B241" t="s">
        <v>292</v>
      </c>
      <c r="C241" t="s">
        <v>0</v>
      </c>
      <c r="D241" t="s">
        <v>1</v>
      </c>
      <c r="E241">
        <v>0.4</v>
      </c>
      <c r="F241" t="s">
        <v>2</v>
      </c>
      <c r="G241" t="s">
        <v>19</v>
      </c>
      <c r="H241" t="s">
        <v>4</v>
      </c>
      <c r="I241">
        <v>3073</v>
      </c>
      <c r="J241" t="s">
        <v>5</v>
      </c>
      <c r="K241">
        <v>713</v>
      </c>
      <c r="L241" s="3">
        <f t="shared" si="7"/>
        <v>0.23202082655385617</v>
      </c>
      <c r="M241" t="s">
        <v>6</v>
      </c>
      <c r="N241">
        <v>-80.219999999998393</v>
      </c>
      <c r="O241" t="s">
        <v>7</v>
      </c>
      <c r="P241">
        <v>-2.6104783599088299E-2</v>
      </c>
      <c r="Q241" t="s">
        <v>8</v>
      </c>
      <c r="R241">
        <v>5.7563394109396899</v>
      </c>
      <c r="S241" t="s">
        <v>9</v>
      </c>
      <c r="T241">
        <v>-1.7730889830508501</v>
      </c>
      <c r="U241" t="s">
        <v>10</v>
      </c>
      <c r="V241">
        <v>9.0575118580186107</v>
      </c>
      <c r="W241" t="s">
        <v>11</v>
      </c>
      <c r="X241" t="s">
        <v>20</v>
      </c>
      <c r="Y241" t="s">
        <v>21</v>
      </c>
      <c r="Z241">
        <v>0</v>
      </c>
      <c r="AA241" t="s">
        <v>14</v>
      </c>
      <c r="AB241" t="s">
        <v>15</v>
      </c>
      <c r="AC241" t="s">
        <v>22</v>
      </c>
      <c r="AD241" t="s">
        <v>21</v>
      </c>
      <c r="AE241">
        <v>0</v>
      </c>
      <c r="AF241" t="s">
        <v>18</v>
      </c>
    </row>
    <row r="242" spans="1:32" x14ac:dyDescent="0.3">
      <c r="A242" t="str">
        <f t="shared" si="6"/>
        <v>stoch_{'C',  [('delta', 0.3,  1)]}_[21,  49]_3</v>
      </c>
      <c r="B242" t="s">
        <v>557</v>
      </c>
      <c r="C242" t="s">
        <v>262</v>
      </c>
      <c r="D242" t="s">
        <v>1</v>
      </c>
      <c r="E242">
        <v>0.3</v>
      </c>
      <c r="F242" t="s">
        <v>27</v>
      </c>
      <c r="G242" t="s">
        <v>33</v>
      </c>
      <c r="H242" t="s">
        <v>4</v>
      </c>
      <c r="I242">
        <v>230</v>
      </c>
      <c r="J242" t="s">
        <v>5</v>
      </c>
      <c r="K242">
        <v>30</v>
      </c>
      <c r="L242" s="3">
        <f t="shared" si="7"/>
        <v>0.13043478260869565</v>
      </c>
      <c r="M242" t="s">
        <v>6</v>
      </c>
      <c r="N242">
        <v>-80.73</v>
      </c>
      <c r="O242" t="s">
        <v>7</v>
      </c>
      <c r="P242">
        <v>-0.35099999999999998</v>
      </c>
      <c r="Q242" t="s">
        <v>8</v>
      </c>
      <c r="R242">
        <v>7.3703333333333303</v>
      </c>
      <c r="S242" t="s">
        <v>9</v>
      </c>
      <c r="T242">
        <v>-1.5092000000000001</v>
      </c>
      <c r="U242" t="s">
        <v>10</v>
      </c>
      <c r="V242">
        <v>0.98297620349705905</v>
      </c>
      <c r="W242" t="s">
        <v>11</v>
      </c>
      <c r="X242" t="s">
        <v>58</v>
      </c>
      <c r="Y242" t="s">
        <v>21</v>
      </c>
      <c r="Z242">
        <v>0</v>
      </c>
      <c r="AA242" t="s">
        <v>14</v>
      </c>
      <c r="AB242" t="s">
        <v>15</v>
      </c>
      <c r="AC242" t="s">
        <v>273</v>
      </c>
      <c r="AD242" t="s">
        <v>91</v>
      </c>
      <c r="AE242">
        <v>0</v>
      </c>
      <c r="AF242" t="s">
        <v>18</v>
      </c>
    </row>
    <row r="243" spans="1:32" x14ac:dyDescent="0.3">
      <c r="A243" t="str">
        <f t="shared" si="6"/>
        <v>bbands_{'C',  [('delta', 0.4,  1)]}_[35,  70]_2</v>
      </c>
      <c r="B243" t="s">
        <v>350</v>
      </c>
      <c r="C243" t="s">
        <v>113</v>
      </c>
      <c r="D243" t="s">
        <v>1</v>
      </c>
      <c r="E243">
        <v>0.4</v>
      </c>
      <c r="F243" t="s">
        <v>37</v>
      </c>
      <c r="G243" t="s">
        <v>40</v>
      </c>
      <c r="H243" t="s">
        <v>4</v>
      </c>
      <c r="I243">
        <v>247</v>
      </c>
      <c r="J243" t="s">
        <v>5</v>
      </c>
      <c r="K243">
        <v>53</v>
      </c>
      <c r="L243" s="3">
        <f t="shared" si="7"/>
        <v>0.2145748987854251</v>
      </c>
      <c r="M243" t="s">
        <v>6</v>
      </c>
      <c r="N243">
        <v>-82.560118623910597</v>
      </c>
      <c r="O243" t="s">
        <v>7</v>
      </c>
      <c r="P243">
        <v>-0.33425149240449598</v>
      </c>
      <c r="Q243" t="s">
        <v>8</v>
      </c>
      <c r="R243">
        <v>9.318312208199</v>
      </c>
      <c r="S243" t="s">
        <v>9</v>
      </c>
      <c r="T243">
        <v>-2.9712920910229701</v>
      </c>
      <c r="U243" t="s">
        <v>10</v>
      </c>
      <c r="V243">
        <v>1.6429691678423199</v>
      </c>
      <c r="W243" t="s">
        <v>11</v>
      </c>
      <c r="X243" t="s">
        <v>118</v>
      </c>
      <c r="Y243" t="s">
        <v>21</v>
      </c>
      <c r="Z243">
        <v>0</v>
      </c>
      <c r="AA243" t="s">
        <v>14</v>
      </c>
      <c r="AB243" t="s">
        <v>15</v>
      </c>
      <c r="AC243" t="s">
        <v>117</v>
      </c>
      <c r="AD243" t="s">
        <v>91</v>
      </c>
      <c r="AE243">
        <v>0</v>
      </c>
      <c r="AF243" t="s">
        <v>18</v>
      </c>
    </row>
    <row r="244" spans="1:32" x14ac:dyDescent="0.3">
      <c r="A244" t="str">
        <f t="shared" si="6"/>
        <v>alltime_{'C',  [('delta', 0.1,  1)]}_[35,  70]_4</v>
      </c>
      <c r="B244" t="s">
        <v>340</v>
      </c>
      <c r="C244" t="s">
        <v>0</v>
      </c>
      <c r="D244" t="s">
        <v>1</v>
      </c>
      <c r="E244">
        <v>0.1</v>
      </c>
      <c r="F244" t="s">
        <v>37</v>
      </c>
      <c r="G244" t="s">
        <v>44</v>
      </c>
      <c r="H244" t="s">
        <v>4</v>
      </c>
      <c r="I244">
        <v>3810</v>
      </c>
      <c r="J244" t="s">
        <v>5</v>
      </c>
      <c r="K244">
        <v>429</v>
      </c>
      <c r="L244" s="3">
        <f t="shared" si="7"/>
        <v>0.1125984251968504</v>
      </c>
      <c r="M244" t="s">
        <v>6</v>
      </c>
      <c r="N244">
        <v>-83.099128923092096</v>
      </c>
      <c r="O244" t="s">
        <v>7</v>
      </c>
      <c r="P244">
        <v>-2.1810794992937501E-2</v>
      </c>
      <c r="Q244" t="s">
        <v>8</v>
      </c>
      <c r="R244">
        <v>3.2694529566165298</v>
      </c>
      <c r="S244" t="s">
        <v>9</v>
      </c>
      <c r="T244">
        <v>-0.439424562943387</v>
      </c>
      <c r="U244" t="s">
        <v>10</v>
      </c>
      <c r="V244">
        <v>2.8980301355696998</v>
      </c>
      <c r="W244" t="s">
        <v>11</v>
      </c>
      <c r="X244" t="s">
        <v>110</v>
      </c>
      <c r="Y244" t="s">
        <v>17</v>
      </c>
      <c r="Z244">
        <v>0</v>
      </c>
      <c r="AA244" t="s">
        <v>14</v>
      </c>
      <c r="AB244" t="s">
        <v>15</v>
      </c>
      <c r="AC244" t="s">
        <v>111</v>
      </c>
      <c r="AD244" t="s">
        <v>112</v>
      </c>
      <c r="AE244">
        <v>0</v>
      </c>
      <c r="AF244" t="s">
        <v>18</v>
      </c>
    </row>
    <row r="245" spans="1:32" x14ac:dyDescent="0.3">
      <c r="A245" t="str">
        <f t="shared" si="6"/>
        <v>stoch_{'C',  [('delta', 0.4,  1)]}_[35,  70]_2</v>
      </c>
      <c r="B245" t="s">
        <v>548</v>
      </c>
      <c r="C245" t="s">
        <v>262</v>
      </c>
      <c r="D245" t="s">
        <v>1</v>
      </c>
      <c r="E245">
        <v>0.4</v>
      </c>
      <c r="F245" t="s">
        <v>37</v>
      </c>
      <c r="G245" t="s">
        <v>40</v>
      </c>
      <c r="H245" t="s">
        <v>4</v>
      </c>
      <c r="I245">
        <v>291</v>
      </c>
      <c r="J245" t="s">
        <v>5</v>
      </c>
      <c r="K245">
        <v>64</v>
      </c>
      <c r="L245" s="3">
        <f t="shared" si="7"/>
        <v>0.21993127147766323</v>
      </c>
      <c r="M245" t="s">
        <v>6</v>
      </c>
      <c r="N245">
        <v>-86.965424229925304</v>
      </c>
      <c r="O245" t="s">
        <v>7</v>
      </c>
      <c r="P245">
        <v>-0.29885025508565399</v>
      </c>
      <c r="Q245" t="s">
        <v>8</v>
      </c>
      <c r="R245">
        <v>8.68478715687624</v>
      </c>
      <c r="S245" t="s">
        <v>9</v>
      </c>
      <c r="T245">
        <v>-2.8316819483260098</v>
      </c>
      <c r="U245" t="s">
        <v>10</v>
      </c>
      <c r="V245">
        <v>1.74791082256973</v>
      </c>
      <c r="W245" t="s">
        <v>11</v>
      </c>
      <c r="X245" t="s">
        <v>31</v>
      </c>
      <c r="Y245" t="s">
        <v>21</v>
      </c>
      <c r="Z245">
        <v>0</v>
      </c>
      <c r="AA245" t="s">
        <v>14</v>
      </c>
      <c r="AB245" t="s">
        <v>15</v>
      </c>
      <c r="AC245" t="s">
        <v>271</v>
      </c>
      <c r="AD245" t="s">
        <v>53</v>
      </c>
      <c r="AE245">
        <v>0</v>
      </c>
      <c r="AF245" t="s">
        <v>18</v>
      </c>
    </row>
    <row r="246" spans="1:32" x14ac:dyDescent="0.3">
      <c r="A246" t="str">
        <f t="shared" si="6"/>
        <v>bbands_{'C',  [('delta', 0.3,  1)]}_[35,  70]_3</v>
      </c>
      <c r="B246" t="s">
        <v>363</v>
      </c>
      <c r="C246" t="s">
        <v>113</v>
      </c>
      <c r="D246" t="s">
        <v>1</v>
      </c>
      <c r="E246">
        <v>0.3</v>
      </c>
      <c r="F246" t="s">
        <v>37</v>
      </c>
      <c r="G246" t="s">
        <v>42</v>
      </c>
      <c r="H246" t="s">
        <v>4</v>
      </c>
      <c r="I246">
        <v>247</v>
      </c>
      <c r="J246" t="s">
        <v>5</v>
      </c>
      <c r="K246">
        <v>36</v>
      </c>
      <c r="L246" s="3">
        <f t="shared" si="7"/>
        <v>0.145748987854251</v>
      </c>
      <c r="M246" t="s">
        <v>6</v>
      </c>
      <c r="N246">
        <v>-88.149255043466297</v>
      </c>
      <c r="O246" t="s">
        <v>7</v>
      </c>
      <c r="P246">
        <v>-0.35687957507476198</v>
      </c>
      <c r="Q246" t="s">
        <v>8</v>
      </c>
      <c r="R246">
        <v>9.0984345623664407</v>
      </c>
      <c r="S246" t="s">
        <v>9</v>
      </c>
      <c r="T246">
        <v>-1.9701085274343999</v>
      </c>
      <c r="U246" t="s">
        <v>10</v>
      </c>
      <c r="V246">
        <v>1.2807891338614601</v>
      </c>
      <c r="W246" t="s">
        <v>11</v>
      </c>
      <c r="X246" t="s">
        <v>60</v>
      </c>
      <c r="Y246" t="s">
        <v>21</v>
      </c>
      <c r="Z246">
        <v>0</v>
      </c>
      <c r="AA246" t="s">
        <v>14</v>
      </c>
      <c r="AB246" t="s">
        <v>15</v>
      </c>
      <c r="AC246" t="s">
        <v>122</v>
      </c>
      <c r="AD246" t="s">
        <v>21</v>
      </c>
      <c r="AE246">
        <v>0</v>
      </c>
      <c r="AF246" t="s">
        <v>18</v>
      </c>
    </row>
    <row r="247" spans="1:32" x14ac:dyDescent="0.3">
      <c r="A247" t="str">
        <f t="shared" si="6"/>
        <v>alltime_{'C',  [('delta', 0.1,  1)]}_[7,  35]_3</v>
      </c>
      <c r="B247" t="s">
        <v>331</v>
      </c>
      <c r="C247" t="s">
        <v>0</v>
      </c>
      <c r="D247" t="s">
        <v>1</v>
      </c>
      <c r="E247">
        <v>0.1</v>
      </c>
      <c r="F247" t="s">
        <v>2</v>
      </c>
      <c r="G247" t="s">
        <v>23</v>
      </c>
      <c r="H247" t="s">
        <v>4</v>
      </c>
      <c r="I247">
        <v>3073</v>
      </c>
      <c r="J247" t="s">
        <v>5</v>
      </c>
      <c r="K247">
        <v>349</v>
      </c>
      <c r="L247" s="3">
        <f t="shared" si="7"/>
        <v>0.11356980149690855</v>
      </c>
      <c r="M247" t="s">
        <v>6</v>
      </c>
      <c r="N247">
        <v>-89.344827592099406</v>
      </c>
      <c r="O247" t="s">
        <v>7</v>
      </c>
      <c r="P247">
        <v>-2.9074138494012101E-2</v>
      </c>
      <c r="Q247" t="s">
        <v>8</v>
      </c>
      <c r="R247">
        <v>1.9466475644699099</v>
      </c>
      <c r="S247" t="s">
        <v>9</v>
      </c>
      <c r="T247">
        <v>-0.28220441541560198</v>
      </c>
      <c r="U247" t="s">
        <v>10</v>
      </c>
      <c r="V247">
        <v>1.70088704219553</v>
      </c>
      <c r="W247" t="s">
        <v>11</v>
      </c>
      <c r="X247" t="s">
        <v>95</v>
      </c>
      <c r="Y247" t="s">
        <v>50</v>
      </c>
      <c r="Z247">
        <v>0</v>
      </c>
      <c r="AA247" t="s">
        <v>14</v>
      </c>
      <c r="AB247" t="s">
        <v>15</v>
      </c>
      <c r="AC247" t="s">
        <v>96</v>
      </c>
      <c r="AD247" t="s">
        <v>25</v>
      </c>
      <c r="AE247">
        <v>0</v>
      </c>
      <c r="AF247" t="s">
        <v>18</v>
      </c>
    </row>
    <row r="248" spans="1:32" x14ac:dyDescent="0.3">
      <c r="A248" t="str">
        <f t="shared" si="6"/>
        <v>stoch_{'C',  [('delta', 0.3,  1)]}_[7,  35]_4</v>
      </c>
      <c r="B248" t="s">
        <v>554</v>
      </c>
      <c r="C248" t="s">
        <v>262</v>
      </c>
      <c r="D248" t="s">
        <v>1</v>
      </c>
      <c r="E248">
        <v>0.3</v>
      </c>
      <c r="F248" t="s">
        <v>2</v>
      </c>
      <c r="G248" t="s">
        <v>26</v>
      </c>
      <c r="H248" t="s">
        <v>4</v>
      </c>
      <c r="I248">
        <v>224</v>
      </c>
      <c r="J248" t="s">
        <v>5</v>
      </c>
      <c r="K248">
        <v>29</v>
      </c>
      <c r="L248" s="3">
        <f t="shared" si="7"/>
        <v>0.12946428571428573</v>
      </c>
      <c r="M248" t="s">
        <v>6</v>
      </c>
      <c r="N248">
        <v>-90.019999999999797</v>
      </c>
      <c r="O248" t="s">
        <v>7</v>
      </c>
      <c r="P248">
        <v>-0.40187499999999898</v>
      </c>
      <c r="Q248" t="s">
        <v>8</v>
      </c>
      <c r="R248">
        <v>5.5231034482758599</v>
      </c>
      <c r="S248" t="s">
        <v>9</v>
      </c>
      <c r="T248">
        <v>-1.28302564102564</v>
      </c>
      <c r="U248" t="s">
        <v>10</v>
      </c>
      <c r="V248">
        <v>0.82959138169133595</v>
      </c>
      <c r="W248" t="s">
        <v>11</v>
      </c>
      <c r="X248" t="s">
        <v>147</v>
      </c>
      <c r="Y248" t="s">
        <v>53</v>
      </c>
      <c r="Z248">
        <v>0</v>
      </c>
      <c r="AA248" t="s">
        <v>14</v>
      </c>
      <c r="AB248" t="s">
        <v>15</v>
      </c>
      <c r="AC248" t="s">
        <v>273</v>
      </c>
      <c r="AD248" t="s">
        <v>91</v>
      </c>
      <c r="AE248">
        <v>0</v>
      </c>
      <c r="AF248" t="s">
        <v>18</v>
      </c>
    </row>
    <row r="249" spans="1:32" x14ac:dyDescent="0.3">
      <c r="A249" t="str">
        <f t="shared" si="6"/>
        <v>alltime_{'C',  [('delta', 0.1,  1)]}_[7,  35]_1</v>
      </c>
      <c r="B249" t="s">
        <v>329</v>
      </c>
      <c r="C249" t="s">
        <v>0</v>
      </c>
      <c r="D249" t="s">
        <v>1</v>
      </c>
      <c r="E249">
        <v>0.1</v>
      </c>
      <c r="F249" t="s">
        <v>2</v>
      </c>
      <c r="G249" t="s">
        <v>3</v>
      </c>
      <c r="H249" t="s">
        <v>4</v>
      </c>
      <c r="I249">
        <v>3073</v>
      </c>
      <c r="J249" t="s">
        <v>5</v>
      </c>
      <c r="K249">
        <v>703</v>
      </c>
      <c r="L249" s="3">
        <f t="shared" si="7"/>
        <v>0.22876667751383015</v>
      </c>
      <c r="M249" t="s">
        <v>6</v>
      </c>
      <c r="N249">
        <v>-90.253327632767693</v>
      </c>
      <c r="O249" t="s">
        <v>7</v>
      </c>
      <c r="P249">
        <v>-2.9369777947532601E-2</v>
      </c>
      <c r="Q249" t="s">
        <v>8</v>
      </c>
      <c r="R249">
        <v>0.80807351328112698</v>
      </c>
      <c r="S249" t="s">
        <v>9</v>
      </c>
      <c r="T249">
        <v>-0.27777595251873399</v>
      </c>
      <c r="U249" t="s">
        <v>10</v>
      </c>
      <c r="V249">
        <v>1.02307461550632</v>
      </c>
      <c r="W249" t="s">
        <v>11</v>
      </c>
      <c r="X249" t="s">
        <v>89</v>
      </c>
      <c r="Y249" t="s">
        <v>13</v>
      </c>
      <c r="Z249">
        <v>0</v>
      </c>
      <c r="AA249" t="s">
        <v>14</v>
      </c>
      <c r="AB249" t="s">
        <v>15</v>
      </c>
      <c r="AC249" t="s">
        <v>90</v>
      </c>
      <c r="AD249" t="s">
        <v>91</v>
      </c>
      <c r="AE249">
        <v>0</v>
      </c>
      <c r="AF249" t="s">
        <v>18</v>
      </c>
    </row>
    <row r="250" spans="1:32" x14ac:dyDescent="0.3">
      <c r="A250" t="str">
        <f t="shared" si="6"/>
        <v>stoch_{'C',  [('delta', 0.4,  1)]}_[35,  70]_4</v>
      </c>
      <c r="B250" t="s">
        <v>550</v>
      </c>
      <c r="C250" t="s">
        <v>262</v>
      </c>
      <c r="D250" t="s">
        <v>1</v>
      </c>
      <c r="E250">
        <v>0.4</v>
      </c>
      <c r="F250" t="s">
        <v>37</v>
      </c>
      <c r="G250" t="s">
        <v>44</v>
      </c>
      <c r="H250" t="s">
        <v>4</v>
      </c>
      <c r="I250">
        <v>291</v>
      </c>
      <c r="J250" t="s">
        <v>5</v>
      </c>
      <c r="K250">
        <v>55</v>
      </c>
      <c r="L250" s="3">
        <f t="shared" si="7"/>
        <v>0.18900343642611683</v>
      </c>
      <c r="M250" t="s">
        <v>6</v>
      </c>
      <c r="N250">
        <v>-95.596111328310698</v>
      </c>
      <c r="O250" t="s">
        <v>7</v>
      </c>
      <c r="P250">
        <v>-0.32850897363680598</v>
      </c>
      <c r="Q250" t="s">
        <v>8</v>
      </c>
      <c r="R250">
        <v>10.2875580171217</v>
      </c>
      <c r="S250" t="s">
        <v>9</v>
      </c>
      <c r="T250">
        <v>-2.8025923825000199</v>
      </c>
      <c r="U250" t="s">
        <v>10</v>
      </c>
      <c r="V250">
        <v>1.9884384944378199</v>
      </c>
      <c r="W250" t="s">
        <v>11</v>
      </c>
      <c r="X250" t="s">
        <v>31</v>
      </c>
      <c r="Y250" t="s">
        <v>21</v>
      </c>
      <c r="Z250">
        <v>0</v>
      </c>
      <c r="AA250" t="s">
        <v>14</v>
      </c>
      <c r="AB250" t="s">
        <v>15</v>
      </c>
      <c r="AC250" t="s">
        <v>272</v>
      </c>
      <c r="AD250" t="s">
        <v>17</v>
      </c>
      <c r="AE250">
        <v>0</v>
      </c>
      <c r="AF250" t="s">
        <v>18</v>
      </c>
    </row>
    <row r="251" spans="1:32" x14ac:dyDescent="0.3">
      <c r="A251" t="str">
        <f t="shared" si="6"/>
        <v>stoch_{'C',  [('delta', 0.3,  1)]}_[21,  49]_4</v>
      </c>
      <c r="B251" t="s">
        <v>558</v>
      </c>
      <c r="C251" t="s">
        <v>262</v>
      </c>
      <c r="D251" t="s">
        <v>1</v>
      </c>
      <c r="E251">
        <v>0.3</v>
      </c>
      <c r="F251" t="s">
        <v>27</v>
      </c>
      <c r="G251" t="s">
        <v>36</v>
      </c>
      <c r="H251" t="s">
        <v>4</v>
      </c>
      <c r="I251">
        <v>230</v>
      </c>
      <c r="J251" t="s">
        <v>5</v>
      </c>
      <c r="K251">
        <v>25</v>
      </c>
      <c r="L251" s="3">
        <f t="shared" si="7"/>
        <v>0.10869565217391304</v>
      </c>
      <c r="M251" t="s">
        <v>6</v>
      </c>
      <c r="N251">
        <v>-97</v>
      </c>
      <c r="O251" t="s">
        <v>7</v>
      </c>
      <c r="P251">
        <v>-0.42173913043478201</v>
      </c>
      <c r="Q251" t="s">
        <v>8</v>
      </c>
      <c r="R251">
        <v>8.4803999999999995</v>
      </c>
      <c r="S251" t="s">
        <v>9</v>
      </c>
      <c r="T251">
        <v>-1.5073658536585299</v>
      </c>
      <c r="U251" t="s">
        <v>10</v>
      </c>
      <c r="V251">
        <v>1.04035334599181</v>
      </c>
      <c r="W251" t="s">
        <v>11</v>
      </c>
      <c r="X251" t="s">
        <v>58</v>
      </c>
      <c r="Y251" t="s">
        <v>21</v>
      </c>
      <c r="Z251">
        <v>0</v>
      </c>
      <c r="AA251" t="s">
        <v>14</v>
      </c>
      <c r="AB251" t="s">
        <v>15</v>
      </c>
      <c r="AC251" t="s">
        <v>273</v>
      </c>
      <c r="AD251" t="s">
        <v>91</v>
      </c>
      <c r="AE251">
        <v>0</v>
      </c>
      <c r="AF251" t="s">
        <v>18</v>
      </c>
    </row>
    <row r="252" spans="1:32" x14ac:dyDescent="0.3">
      <c r="A252" t="str">
        <f t="shared" si="6"/>
        <v>stoch_{'C',  [('delta', 0.4,  1)]}_[21,  49]_1</v>
      </c>
      <c r="B252" t="s">
        <v>543</v>
      </c>
      <c r="C252" t="s">
        <v>262</v>
      </c>
      <c r="D252" t="s">
        <v>1</v>
      </c>
      <c r="E252">
        <v>0.4</v>
      </c>
      <c r="F252" t="s">
        <v>27</v>
      </c>
      <c r="G252" t="s">
        <v>28</v>
      </c>
      <c r="H252" t="s">
        <v>4</v>
      </c>
      <c r="I252">
        <v>230</v>
      </c>
      <c r="J252" t="s">
        <v>5</v>
      </c>
      <c r="K252">
        <v>64</v>
      </c>
      <c r="L252" s="3">
        <f t="shared" si="7"/>
        <v>0.27826086956521739</v>
      </c>
      <c r="M252" t="s">
        <v>6</v>
      </c>
      <c r="N252">
        <v>-98.410000000000096</v>
      </c>
      <c r="O252" t="s">
        <v>7</v>
      </c>
      <c r="P252">
        <v>-0.427869565217391</v>
      </c>
      <c r="Q252" t="s">
        <v>8</v>
      </c>
      <c r="R252">
        <v>4.5151562500000004</v>
      </c>
      <c r="S252" t="s">
        <v>9</v>
      </c>
      <c r="T252">
        <v>-2.3336144578313198</v>
      </c>
      <c r="U252" t="s">
        <v>10</v>
      </c>
      <c r="V252">
        <v>1.08495374889394</v>
      </c>
      <c r="W252" t="s">
        <v>11</v>
      </c>
      <c r="X252" t="s">
        <v>263</v>
      </c>
      <c r="Y252" t="s">
        <v>91</v>
      </c>
      <c r="Z252">
        <v>0</v>
      </c>
      <c r="AA252" t="s">
        <v>14</v>
      </c>
      <c r="AB252" t="s">
        <v>15</v>
      </c>
      <c r="AC252" t="s">
        <v>264</v>
      </c>
      <c r="AD252" t="s">
        <v>91</v>
      </c>
      <c r="AE252">
        <v>0</v>
      </c>
      <c r="AF252" t="s">
        <v>18</v>
      </c>
    </row>
    <row r="253" spans="1:32" x14ac:dyDescent="0.3">
      <c r="A253" t="str">
        <f t="shared" si="6"/>
        <v>stoch_{'C',  [('delta', 0.4,  1)]}_[7,  35]_2</v>
      </c>
      <c r="B253" t="s">
        <v>540</v>
      </c>
      <c r="C253" t="s">
        <v>262</v>
      </c>
      <c r="D253" t="s">
        <v>1</v>
      </c>
      <c r="E253">
        <v>0.4</v>
      </c>
      <c r="F253" t="s">
        <v>2</v>
      </c>
      <c r="G253" t="s">
        <v>19</v>
      </c>
      <c r="H253" t="s">
        <v>4</v>
      </c>
      <c r="I253">
        <v>224</v>
      </c>
      <c r="J253" t="s">
        <v>5</v>
      </c>
      <c r="K253">
        <v>41</v>
      </c>
      <c r="L253" s="3">
        <f t="shared" si="7"/>
        <v>0.18303571428571427</v>
      </c>
      <c r="M253" t="s">
        <v>6</v>
      </c>
      <c r="N253">
        <v>-100.55999999999899</v>
      </c>
      <c r="O253" t="s">
        <v>7</v>
      </c>
      <c r="P253">
        <v>-0.44892857142857101</v>
      </c>
      <c r="Q253" t="s">
        <v>8</v>
      </c>
      <c r="R253">
        <v>6.4909756097560898</v>
      </c>
      <c r="S253" t="s">
        <v>9</v>
      </c>
      <c r="T253">
        <v>-2.0037704918032699</v>
      </c>
      <c r="U253" t="s">
        <v>10</v>
      </c>
      <c r="V253">
        <v>1.03760339930278</v>
      </c>
      <c r="W253" t="s">
        <v>11</v>
      </c>
      <c r="X253" t="s">
        <v>138</v>
      </c>
      <c r="Y253" t="s">
        <v>53</v>
      </c>
      <c r="Z253">
        <v>0</v>
      </c>
      <c r="AA253" t="s">
        <v>14</v>
      </c>
      <c r="AB253" t="s">
        <v>15</v>
      </c>
      <c r="AC253" t="s">
        <v>265</v>
      </c>
      <c r="AD253" t="s">
        <v>266</v>
      </c>
      <c r="AE253">
        <v>0</v>
      </c>
      <c r="AF253" t="s">
        <v>18</v>
      </c>
    </row>
    <row r="254" spans="1:32" x14ac:dyDescent="0.3">
      <c r="A254" t="str">
        <f t="shared" si="6"/>
        <v>alltime_{'C',  [('delta', 0.3,  1)]}_[35,  70]_4</v>
      </c>
      <c r="B254" t="s">
        <v>314</v>
      </c>
      <c r="C254" t="s">
        <v>0</v>
      </c>
      <c r="D254" t="s">
        <v>1</v>
      </c>
      <c r="E254">
        <v>0.3</v>
      </c>
      <c r="F254" t="s">
        <v>37</v>
      </c>
      <c r="G254" t="s">
        <v>44</v>
      </c>
      <c r="H254" t="s">
        <v>4</v>
      </c>
      <c r="I254">
        <v>3810</v>
      </c>
      <c r="J254" t="s">
        <v>5</v>
      </c>
      <c r="K254">
        <v>553</v>
      </c>
      <c r="L254" s="3">
        <f t="shared" si="7"/>
        <v>0.14514435695538058</v>
      </c>
      <c r="M254" t="s">
        <v>6</v>
      </c>
      <c r="N254">
        <v>-108.03405637219799</v>
      </c>
      <c r="O254" t="s">
        <v>7</v>
      </c>
      <c r="P254">
        <v>-2.8355395373280301E-2</v>
      </c>
      <c r="Q254" t="s">
        <v>8</v>
      </c>
      <c r="R254">
        <v>9.8793244499612705</v>
      </c>
      <c r="S254" t="s">
        <v>9</v>
      </c>
      <c r="T254">
        <v>-1.7105620132639701</v>
      </c>
      <c r="U254" t="s">
        <v>10</v>
      </c>
      <c r="V254">
        <v>11.7926441087172</v>
      </c>
      <c r="W254" t="s">
        <v>11</v>
      </c>
      <c r="X254" t="s">
        <v>60</v>
      </c>
      <c r="Y254" t="s">
        <v>21</v>
      </c>
      <c r="Z254">
        <v>0</v>
      </c>
      <c r="AA254" t="s">
        <v>14</v>
      </c>
      <c r="AB254" t="s">
        <v>15</v>
      </c>
      <c r="AC254" t="s">
        <v>65</v>
      </c>
      <c r="AD254" t="s">
        <v>21</v>
      </c>
      <c r="AE254">
        <v>0</v>
      </c>
      <c r="AF254" t="s">
        <v>18</v>
      </c>
    </row>
    <row r="255" spans="1:32" x14ac:dyDescent="0.3">
      <c r="A255" t="str">
        <f t="shared" si="6"/>
        <v>alltime_{'C',  [('delta', 0.1,  1)]}_[7,  35]_2</v>
      </c>
      <c r="B255" t="s">
        <v>330</v>
      </c>
      <c r="C255" t="s">
        <v>0</v>
      </c>
      <c r="D255" t="s">
        <v>1</v>
      </c>
      <c r="E255">
        <v>0.1</v>
      </c>
      <c r="F255" t="s">
        <v>2</v>
      </c>
      <c r="G255" t="s">
        <v>19</v>
      </c>
      <c r="H255" t="s">
        <v>4</v>
      </c>
      <c r="I255">
        <v>3073</v>
      </c>
      <c r="J255" t="s">
        <v>5</v>
      </c>
      <c r="K255">
        <v>459</v>
      </c>
      <c r="L255" s="3">
        <f t="shared" si="7"/>
        <v>0.14936544093719492</v>
      </c>
      <c r="M255" t="s">
        <v>6</v>
      </c>
      <c r="N255">
        <v>-113.17482759209901</v>
      </c>
      <c r="O255" t="s">
        <v>7</v>
      </c>
      <c r="P255">
        <v>-3.68287756563941E-2</v>
      </c>
      <c r="Q255" t="s">
        <v>8</v>
      </c>
      <c r="R255">
        <v>1.3546840958605599</v>
      </c>
      <c r="S255" t="s">
        <v>9</v>
      </c>
      <c r="T255">
        <v>-0.28116864100692401</v>
      </c>
      <c r="U255" t="s">
        <v>10</v>
      </c>
      <c r="V255">
        <v>1.4330946423603701</v>
      </c>
      <c r="W255" t="s">
        <v>11</v>
      </c>
      <c r="X255" t="s">
        <v>92</v>
      </c>
      <c r="Y255" t="s">
        <v>93</v>
      </c>
      <c r="Z255">
        <v>0</v>
      </c>
      <c r="AA255" t="s">
        <v>14</v>
      </c>
      <c r="AB255" t="s">
        <v>15</v>
      </c>
      <c r="AC255" t="s">
        <v>94</v>
      </c>
      <c r="AD255" t="s">
        <v>25</v>
      </c>
      <c r="AE255">
        <v>0</v>
      </c>
      <c r="AF255" t="s">
        <v>18</v>
      </c>
    </row>
    <row r="256" spans="1:32" x14ac:dyDescent="0.3">
      <c r="A256" t="str">
        <f t="shared" si="6"/>
        <v>alltime_{'C',  [('delta', 0.1,  1)]}_[21,  49]_3</v>
      </c>
      <c r="B256" t="s">
        <v>335</v>
      </c>
      <c r="C256" t="s">
        <v>0</v>
      </c>
      <c r="D256" t="s">
        <v>1</v>
      </c>
      <c r="E256">
        <v>0.1</v>
      </c>
      <c r="F256" t="s">
        <v>27</v>
      </c>
      <c r="G256" t="s">
        <v>33</v>
      </c>
      <c r="H256" t="s">
        <v>4</v>
      </c>
      <c r="I256">
        <v>3050</v>
      </c>
      <c r="J256" t="s">
        <v>5</v>
      </c>
      <c r="K256">
        <v>386</v>
      </c>
      <c r="L256" s="3">
        <f t="shared" si="7"/>
        <v>0.12655737704918033</v>
      </c>
      <c r="M256" t="s">
        <v>6</v>
      </c>
      <c r="N256">
        <v>-113.327926176243</v>
      </c>
      <c r="O256" t="s">
        <v>7</v>
      </c>
      <c r="P256">
        <v>-3.7156697106965002E-2</v>
      </c>
      <c r="Q256" t="s">
        <v>8</v>
      </c>
      <c r="R256">
        <v>2.12262228886358</v>
      </c>
      <c r="S256" t="s">
        <v>9</v>
      </c>
      <c r="T256">
        <v>-0.35009764627537099</v>
      </c>
      <c r="U256" t="s">
        <v>10</v>
      </c>
      <c r="V256">
        <v>1.8746095892764201</v>
      </c>
      <c r="W256" t="s">
        <v>11</v>
      </c>
      <c r="X256" t="s">
        <v>95</v>
      </c>
      <c r="Y256" t="s">
        <v>50</v>
      </c>
      <c r="Z256">
        <v>0</v>
      </c>
      <c r="AA256" t="s">
        <v>14</v>
      </c>
      <c r="AB256" t="s">
        <v>15</v>
      </c>
      <c r="AC256" t="s">
        <v>102</v>
      </c>
      <c r="AD256" t="s">
        <v>103</v>
      </c>
      <c r="AE256">
        <v>0</v>
      </c>
      <c r="AF256" t="s">
        <v>18</v>
      </c>
    </row>
    <row r="257" spans="1:32" x14ac:dyDescent="0.3">
      <c r="A257" t="str">
        <f t="shared" si="6"/>
        <v>alltime_{'C',  [('delta', 0.2,  1)]}_[7,  35]_3</v>
      </c>
      <c r="B257" t="s">
        <v>317</v>
      </c>
      <c r="C257" t="s">
        <v>0</v>
      </c>
      <c r="D257" t="s">
        <v>1</v>
      </c>
      <c r="E257">
        <v>0.2</v>
      </c>
      <c r="F257" t="s">
        <v>2</v>
      </c>
      <c r="G257" t="s">
        <v>23</v>
      </c>
      <c r="H257" t="s">
        <v>4</v>
      </c>
      <c r="I257">
        <v>3073</v>
      </c>
      <c r="J257" t="s">
        <v>5</v>
      </c>
      <c r="K257">
        <v>438</v>
      </c>
      <c r="L257" s="3">
        <f t="shared" si="7"/>
        <v>0.14253172795314026</v>
      </c>
      <c r="M257" t="s">
        <v>6</v>
      </c>
      <c r="N257">
        <v>-114.653174439349</v>
      </c>
      <c r="O257" t="s">
        <v>7</v>
      </c>
      <c r="P257">
        <v>-3.73098517537747E-2</v>
      </c>
      <c r="Q257" t="s">
        <v>8</v>
      </c>
      <c r="R257">
        <v>3.7969406392694101</v>
      </c>
      <c r="S257" t="s">
        <v>9</v>
      </c>
      <c r="T257">
        <v>-0.67465395614396495</v>
      </c>
      <c r="U257" t="s">
        <v>10</v>
      </c>
      <c r="V257">
        <v>4.0285952444764401</v>
      </c>
      <c r="W257" t="s">
        <v>11</v>
      </c>
      <c r="X257" t="s">
        <v>70</v>
      </c>
      <c r="Y257" t="s">
        <v>53</v>
      </c>
      <c r="Z257">
        <v>0</v>
      </c>
      <c r="AA257" t="s">
        <v>14</v>
      </c>
      <c r="AB257" t="s">
        <v>15</v>
      </c>
      <c r="AC257" t="s">
        <v>71</v>
      </c>
      <c r="AD257" t="s">
        <v>25</v>
      </c>
      <c r="AE257">
        <v>0</v>
      </c>
      <c r="AF257" t="s">
        <v>18</v>
      </c>
    </row>
    <row r="258" spans="1:32" x14ac:dyDescent="0.3">
      <c r="A258" t="str">
        <f t="shared" ref="A258:A321" si="8">_xlfn.TEXTJOIN(", ", FALSE, C258,D258,E258,F258,G258)</f>
        <v>alltime_{'C',  [('delta', 0.1,  1)]}_[21,  49]_4</v>
      </c>
      <c r="B258" t="s">
        <v>336</v>
      </c>
      <c r="C258" t="s">
        <v>0</v>
      </c>
      <c r="D258" t="s">
        <v>1</v>
      </c>
      <c r="E258">
        <v>0.1</v>
      </c>
      <c r="F258" t="s">
        <v>27</v>
      </c>
      <c r="G258" t="s">
        <v>36</v>
      </c>
      <c r="H258" t="s">
        <v>4</v>
      </c>
      <c r="I258">
        <v>3050</v>
      </c>
      <c r="J258" t="s">
        <v>5</v>
      </c>
      <c r="K258">
        <v>308</v>
      </c>
      <c r="L258" s="3">
        <f t="shared" si="7"/>
        <v>0.10098360655737705</v>
      </c>
      <c r="M258" t="s">
        <v>6</v>
      </c>
      <c r="N258">
        <v>-114.76792617624299</v>
      </c>
      <c r="O258" t="s">
        <v>7</v>
      </c>
      <c r="P258">
        <v>-3.7628828254506003E-2</v>
      </c>
      <c r="Q258" t="s">
        <v>8</v>
      </c>
      <c r="R258">
        <v>2.7437171056961902</v>
      </c>
      <c r="S258" t="s">
        <v>9</v>
      </c>
      <c r="T258">
        <v>-0.35004842987989399</v>
      </c>
      <c r="U258" t="s">
        <v>10</v>
      </c>
      <c r="V258">
        <v>2.1096494237103798</v>
      </c>
      <c r="W258" t="s">
        <v>11</v>
      </c>
      <c r="X258" t="s">
        <v>95</v>
      </c>
      <c r="Y258" t="s">
        <v>50</v>
      </c>
      <c r="Z258">
        <v>0</v>
      </c>
      <c r="AA258" t="s">
        <v>14</v>
      </c>
      <c r="AB258" t="s">
        <v>15</v>
      </c>
      <c r="AC258" t="s">
        <v>104</v>
      </c>
      <c r="AD258" t="s">
        <v>105</v>
      </c>
      <c r="AE258">
        <v>0</v>
      </c>
      <c r="AF258" t="s">
        <v>18</v>
      </c>
    </row>
    <row r="259" spans="1:32" x14ac:dyDescent="0.3">
      <c r="A259" t="str">
        <f t="shared" si="8"/>
        <v>alltime_{'C',  [('delta', 0.3,  1)]}_[21,  49]_4</v>
      </c>
      <c r="B259" t="s">
        <v>310</v>
      </c>
      <c r="C259" t="s">
        <v>0</v>
      </c>
      <c r="D259" t="s">
        <v>1</v>
      </c>
      <c r="E259">
        <v>0.3</v>
      </c>
      <c r="F259" t="s">
        <v>27</v>
      </c>
      <c r="G259" t="s">
        <v>36</v>
      </c>
      <c r="H259" t="s">
        <v>4</v>
      </c>
      <c r="I259">
        <v>3050</v>
      </c>
      <c r="J259" t="s">
        <v>5</v>
      </c>
      <c r="K259">
        <v>461</v>
      </c>
      <c r="L259" s="3">
        <f t="shared" ref="L259:L289" si="9">K259/I259</f>
        <v>0.15114754098360655</v>
      </c>
      <c r="M259" t="s">
        <v>6</v>
      </c>
      <c r="N259">
        <v>-118.59015669982701</v>
      </c>
      <c r="O259" t="s">
        <v>7</v>
      </c>
      <c r="P259">
        <v>-3.8882018590107502E-2</v>
      </c>
      <c r="Q259" t="s">
        <v>8</v>
      </c>
      <c r="R259">
        <v>7.8584595299352999</v>
      </c>
      <c r="S259" t="s">
        <v>9</v>
      </c>
      <c r="T259">
        <v>-1.44509076863653</v>
      </c>
      <c r="U259" t="s">
        <v>10</v>
      </c>
      <c r="V259">
        <v>9.2004055941214595</v>
      </c>
      <c r="W259" t="s">
        <v>11</v>
      </c>
      <c r="X259" t="s">
        <v>60</v>
      </c>
      <c r="Y259" t="s">
        <v>21</v>
      </c>
      <c r="Z259">
        <v>0</v>
      </c>
      <c r="AA259" t="s">
        <v>14</v>
      </c>
      <c r="AB259" t="s">
        <v>15</v>
      </c>
      <c r="AC259" t="s">
        <v>61</v>
      </c>
      <c r="AD259" t="s">
        <v>21</v>
      </c>
      <c r="AE259">
        <v>0</v>
      </c>
      <c r="AF259" t="s">
        <v>18</v>
      </c>
    </row>
    <row r="260" spans="1:32" x14ac:dyDescent="0.3">
      <c r="A260" t="str">
        <f t="shared" si="8"/>
        <v>stoch_{'C',  [('delta', 0.4,  1)]}_[7,  35]_1</v>
      </c>
      <c r="B260" t="s">
        <v>539</v>
      </c>
      <c r="C260" t="s">
        <v>262</v>
      </c>
      <c r="D260" t="s">
        <v>1</v>
      </c>
      <c r="E260">
        <v>0.4</v>
      </c>
      <c r="F260" t="s">
        <v>2</v>
      </c>
      <c r="G260" t="s">
        <v>3</v>
      </c>
      <c r="H260" t="s">
        <v>4</v>
      </c>
      <c r="I260">
        <v>224</v>
      </c>
      <c r="J260" t="s">
        <v>5</v>
      </c>
      <c r="K260">
        <v>55</v>
      </c>
      <c r="L260" s="3">
        <f t="shared" si="9"/>
        <v>0.24553571428571427</v>
      </c>
      <c r="M260" t="s">
        <v>6</v>
      </c>
      <c r="N260">
        <v>-121.62</v>
      </c>
      <c r="O260" t="s">
        <v>7</v>
      </c>
      <c r="P260">
        <v>-0.54294642857142805</v>
      </c>
      <c r="Q260" t="s">
        <v>8</v>
      </c>
      <c r="R260">
        <v>3.9710909090909001</v>
      </c>
      <c r="S260" t="s">
        <v>9</v>
      </c>
      <c r="T260">
        <v>-2.0120118343195199</v>
      </c>
      <c r="U260" t="s">
        <v>10</v>
      </c>
      <c r="V260">
        <v>0.82609698778185803</v>
      </c>
      <c r="W260" t="s">
        <v>11</v>
      </c>
      <c r="X260" t="s">
        <v>263</v>
      </c>
      <c r="Y260" t="s">
        <v>91</v>
      </c>
      <c r="Z260">
        <v>0</v>
      </c>
      <c r="AA260" t="s">
        <v>14</v>
      </c>
      <c r="AB260" t="s">
        <v>15</v>
      </c>
      <c r="AC260" t="s">
        <v>264</v>
      </c>
      <c r="AD260" t="s">
        <v>91</v>
      </c>
      <c r="AE260">
        <v>0</v>
      </c>
      <c r="AF260" t="s">
        <v>18</v>
      </c>
    </row>
    <row r="261" spans="1:32" x14ac:dyDescent="0.3">
      <c r="A261" t="str">
        <f t="shared" si="8"/>
        <v>stoch_{'C',  [('delta', 0.4,  1)]}_[7,  35]_4</v>
      </c>
      <c r="B261" t="s">
        <v>542</v>
      </c>
      <c r="C261" t="s">
        <v>262</v>
      </c>
      <c r="D261" t="s">
        <v>1</v>
      </c>
      <c r="E261">
        <v>0.4</v>
      </c>
      <c r="F261" t="s">
        <v>2</v>
      </c>
      <c r="G261" t="s">
        <v>26</v>
      </c>
      <c r="H261" t="s">
        <v>4</v>
      </c>
      <c r="I261">
        <v>224</v>
      </c>
      <c r="J261" t="s">
        <v>5</v>
      </c>
      <c r="K261">
        <v>36</v>
      </c>
      <c r="L261" s="3">
        <f t="shared" si="9"/>
        <v>0.16071428571428573</v>
      </c>
      <c r="M261" t="s">
        <v>6</v>
      </c>
      <c r="N261">
        <v>-126.24999999999901</v>
      </c>
      <c r="O261" t="s">
        <v>7</v>
      </c>
      <c r="P261">
        <v>-0.56361607142856995</v>
      </c>
      <c r="Q261" t="s">
        <v>8</v>
      </c>
      <c r="R261">
        <v>6.9372222222222204</v>
      </c>
      <c r="S261" t="s">
        <v>9</v>
      </c>
      <c r="T261">
        <v>-1.99994680851063</v>
      </c>
      <c r="U261" t="s">
        <v>10</v>
      </c>
      <c r="V261">
        <v>1.1478550200386599</v>
      </c>
      <c r="W261" t="s">
        <v>11</v>
      </c>
      <c r="X261" t="s">
        <v>267</v>
      </c>
      <c r="Y261" t="s">
        <v>53</v>
      </c>
      <c r="Z261">
        <v>0</v>
      </c>
      <c r="AA261" t="s">
        <v>14</v>
      </c>
      <c r="AB261" t="s">
        <v>15</v>
      </c>
      <c r="AC261" t="s">
        <v>268</v>
      </c>
      <c r="AD261" t="s">
        <v>53</v>
      </c>
      <c r="AE261">
        <v>0</v>
      </c>
      <c r="AF261" t="s">
        <v>18</v>
      </c>
    </row>
    <row r="262" spans="1:32" x14ac:dyDescent="0.3">
      <c r="A262" t="str">
        <f t="shared" si="8"/>
        <v>alltime_{'C',  [('delta', 0.2,  1)]}_[21,  49]_2</v>
      </c>
      <c r="B262" t="s">
        <v>320</v>
      </c>
      <c r="C262" t="s">
        <v>0</v>
      </c>
      <c r="D262" t="s">
        <v>1</v>
      </c>
      <c r="E262">
        <v>0.2</v>
      </c>
      <c r="F262" t="s">
        <v>27</v>
      </c>
      <c r="G262" t="s">
        <v>30</v>
      </c>
      <c r="H262" t="s">
        <v>4</v>
      </c>
      <c r="I262">
        <v>3050</v>
      </c>
      <c r="J262" t="s">
        <v>5</v>
      </c>
      <c r="K262">
        <v>582</v>
      </c>
      <c r="L262" s="3">
        <f t="shared" si="9"/>
        <v>0.19081967213114753</v>
      </c>
      <c r="M262" t="s">
        <v>6</v>
      </c>
      <c r="N262">
        <v>-126.2733944447</v>
      </c>
      <c r="O262" t="s">
        <v>7</v>
      </c>
      <c r="P262">
        <v>-4.14011129326885E-2</v>
      </c>
      <c r="Q262" t="s">
        <v>8</v>
      </c>
      <c r="R262">
        <v>3.2730756013745701</v>
      </c>
      <c r="S262" t="s">
        <v>9</v>
      </c>
      <c r="T262">
        <v>-0.82301596209266303</v>
      </c>
      <c r="U262" t="s">
        <v>10</v>
      </c>
      <c r="V262">
        <v>3.8729437386605601</v>
      </c>
      <c r="W262" t="s">
        <v>11</v>
      </c>
      <c r="X262" t="s">
        <v>68</v>
      </c>
      <c r="Y262" t="s">
        <v>50</v>
      </c>
      <c r="Z262">
        <v>0</v>
      </c>
      <c r="AA262" t="s">
        <v>14</v>
      </c>
      <c r="AB262" t="s">
        <v>15</v>
      </c>
      <c r="AC262" t="s">
        <v>73</v>
      </c>
      <c r="AD262" t="s">
        <v>17</v>
      </c>
      <c r="AE262">
        <v>0</v>
      </c>
      <c r="AF262" t="s">
        <v>18</v>
      </c>
    </row>
    <row r="263" spans="1:32" x14ac:dyDescent="0.3">
      <c r="A263" t="str">
        <f t="shared" si="8"/>
        <v>stoch_{'C',  [('delta', 0.4,  1)]}_[21,  49]_2</v>
      </c>
      <c r="B263" t="s">
        <v>544</v>
      </c>
      <c r="C263" t="s">
        <v>262</v>
      </c>
      <c r="D263" t="s">
        <v>1</v>
      </c>
      <c r="E263">
        <v>0.4</v>
      </c>
      <c r="F263" t="s">
        <v>27</v>
      </c>
      <c r="G263" t="s">
        <v>30</v>
      </c>
      <c r="H263" t="s">
        <v>4</v>
      </c>
      <c r="I263">
        <v>230</v>
      </c>
      <c r="J263" t="s">
        <v>5</v>
      </c>
      <c r="K263">
        <v>42</v>
      </c>
      <c r="L263" s="3">
        <f t="shared" si="9"/>
        <v>0.18260869565217391</v>
      </c>
      <c r="M263" t="s">
        <v>6</v>
      </c>
      <c r="N263">
        <v>-127.99</v>
      </c>
      <c r="O263" t="s">
        <v>7</v>
      </c>
      <c r="P263">
        <v>-0.55647826086956498</v>
      </c>
      <c r="Q263" t="s">
        <v>8</v>
      </c>
      <c r="R263">
        <v>7.4823809523809501</v>
      </c>
      <c r="S263" t="s">
        <v>9</v>
      </c>
      <c r="T263">
        <v>-2.3523936170212698</v>
      </c>
      <c r="U263" t="s">
        <v>10</v>
      </c>
      <c r="V263">
        <v>1.29772598758614</v>
      </c>
      <c r="W263" t="s">
        <v>11</v>
      </c>
      <c r="X263" t="s">
        <v>31</v>
      </c>
      <c r="Y263" t="s">
        <v>21</v>
      </c>
      <c r="Z263">
        <v>0</v>
      </c>
      <c r="AA263" t="s">
        <v>14</v>
      </c>
      <c r="AB263" t="s">
        <v>15</v>
      </c>
      <c r="AC263" t="s">
        <v>31</v>
      </c>
      <c r="AD263" t="s">
        <v>21</v>
      </c>
      <c r="AE263">
        <v>0</v>
      </c>
      <c r="AF263" t="s">
        <v>18</v>
      </c>
    </row>
    <row r="264" spans="1:32" x14ac:dyDescent="0.3">
      <c r="A264" t="str">
        <f t="shared" si="8"/>
        <v>stoch_{'C',  [('delta', 0.4,  1)]}_[7,  35]_3</v>
      </c>
      <c r="B264" t="s">
        <v>541</v>
      </c>
      <c r="C264" t="s">
        <v>262</v>
      </c>
      <c r="D264" t="s">
        <v>1</v>
      </c>
      <c r="E264">
        <v>0.4</v>
      </c>
      <c r="F264" t="s">
        <v>2</v>
      </c>
      <c r="G264" t="s">
        <v>23</v>
      </c>
      <c r="H264" t="s">
        <v>4</v>
      </c>
      <c r="I264">
        <v>224</v>
      </c>
      <c r="J264" t="s">
        <v>5</v>
      </c>
      <c r="K264">
        <v>37</v>
      </c>
      <c r="L264" s="3">
        <f t="shared" si="9"/>
        <v>0.16517857142857142</v>
      </c>
      <c r="M264" t="s">
        <v>6</v>
      </c>
      <c r="N264">
        <v>-130.41999999999899</v>
      </c>
      <c r="O264" t="s">
        <v>7</v>
      </c>
      <c r="P264">
        <v>-0.58223214285714098</v>
      </c>
      <c r="Q264" t="s">
        <v>8</v>
      </c>
      <c r="R264">
        <v>6.5981081081081099</v>
      </c>
      <c r="S264" t="s">
        <v>9</v>
      </c>
      <c r="T264">
        <v>-2.0029411764705798</v>
      </c>
      <c r="U264" t="s">
        <v>10</v>
      </c>
      <c r="V264">
        <v>1.0898647769570999</v>
      </c>
      <c r="W264" t="s">
        <v>11</v>
      </c>
      <c r="X264" t="s">
        <v>138</v>
      </c>
      <c r="Y264" t="s">
        <v>53</v>
      </c>
      <c r="Z264">
        <v>0</v>
      </c>
      <c r="AA264" t="s">
        <v>14</v>
      </c>
      <c r="AB264" t="s">
        <v>15</v>
      </c>
      <c r="AC264" t="s">
        <v>265</v>
      </c>
      <c r="AD264" t="s">
        <v>266</v>
      </c>
      <c r="AE264">
        <v>0</v>
      </c>
      <c r="AF264" t="s">
        <v>18</v>
      </c>
    </row>
    <row r="265" spans="1:32" x14ac:dyDescent="0.3">
      <c r="A265" t="str">
        <f t="shared" si="8"/>
        <v>stoch_{'C',  [('delta', 0.4,  1)]}_[21,  49]_4</v>
      </c>
      <c r="B265" t="s">
        <v>546</v>
      </c>
      <c r="C265" t="s">
        <v>262</v>
      </c>
      <c r="D265" t="s">
        <v>1</v>
      </c>
      <c r="E265">
        <v>0.4</v>
      </c>
      <c r="F265" t="s">
        <v>27</v>
      </c>
      <c r="G265" t="s">
        <v>36</v>
      </c>
      <c r="H265" t="s">
        <v>4</v>
      </c>
      <c r="I265">
        <v>230</v>
      </c>
      <c r="J265" t="s">
        <v>5</v>
      </c>
      <c r="K265">
        <v>34</v>
      </c>
      <c r="L265" s="3">
        <f t="shared" si="9"/>
        <v>0.14782608695652175</v>
      </c>
      <c r="M265" t="s">
        <v>6</v>
      </c>
      <c r="N265">
        <v>-138.26</v>
      </c>
      <c r="O265" t="s">
        <v>7</v>
      </c>
      <c r="P265">
        <v>-0.60113043478260897</v>
      </c>
      <c r="Q265" t="s">
        <v>8</v>
      </c>
      <c r="R265">
        <v>9.38794117647058</v>
      </c>
      <c r="S265" t="s">
        <v>9</v>
      </c>
      <c r="T265">
        <v>-2.33392857142857</v>
      </c>
      <c r="U265" t="s">
        <v>10</v>
      </c>
      <c r="V265">
        <v>1.4610243194447301</v>
      </c>
      <c r="W265" t="s">
        <v>11</v>
      </c>
      <c r="X265" t="s">
        <v>31</v>
      </c>
      <c r="Y265" t="s">
        <v>21</v>
      </c>
      <c r="Z265">
        <v>0</v>
      </c>
      <c r="AA265" t="s">
        <v>14</v>
      </c>
      <c r="AB265" t="s">
        <v>15</v>
      </c>
      <c r="AC265" t="s">
        <v>269</v>
      </c>
      <c r="AD265" t="s">
        <v>230</v>
      </c>
      <c r="AE265">
        <v>0</v>
      </c>
      <c r="AF265" t="s">
        <v>18</v>
      </c>
    </row>
    <row r="266" spans="1:32" x14ac:dyDescent="0.3">
      <c r="A266" t="str">
        <f t="shared" si="8"/>
        <v>stoch_{'C',  [('delta', 0.4,  1)]}_[21,  49]_3</v>
      </c>
      <c r="B266" t="s">
        <v>545</v>
      </c>
      <c r="C266" t="s">
        <v>262</v>
      </c>
      <c r="D266" t="s">
        <v>1</v>
      </c>
      <c r="E266">
        <v>0.4</v>
      </c>
      <c r="F266" t="s">
        <v>27</v>
      </c>
      <c r="G266" t="s">
        <v>33</v>
      </c>
      <c r="H266" t="s">
        <v>4</v>
      </c>
      <c r="I266">
        <v>230</v>
      </c>
      <c r="J266" t="s">
        <v>5</v>
      </c>
      <c r="K266">
        <v>35</v>
      </c>
      <c r="L266" s="3">
        <f t="shared" si="9"/>
        <v>0.15217391304347827</v>
      </c>
      <c r="M266" t="s">
        <v>6</v>
      </c>
      <c r="N266">
        <v>-139.259999999999</v>
      </c>
      <c r="O266" t="s">
        <v>7</v>
      </c>
      <c r="P266">
        <v>-0.60547826086956502</v>
      </c>
      <c r="Q266" t="s">
        <v>8</v>
      </c>
      <c r="R266">
        <v>9.0322857142857096</v>
      </c>
      <c r="S266" t="s">
        <v>9</v>
      </c>
      <c r="T266">
        <v>-2.3353333333333302</v>
      </c>
      <c r="U266" t="s">
        <v>10</v>
      </c>
      <c r="V266">
        <v>1.4041128432968699</v>
      </c>
      <c r="W266" t="s">
        <v>11</v>
      </c>
      <c r="X266" t="s">
        <v>31</v>
      </c>
      <c r="Y266" t="s">
        <v>21</v>
      </c>
      <c r="Z266">
        <v>0</v>
      </c>
      <c r="AA266" t="s">
        <v>14</v>
      </c>
      <c r="AB266" t="s">
        <v>15</v>
      </c>
      <c r="AC266" t="s">
        <v>31</v>
      </c>
      <c r="AD266" t="s">
        <v>21</v>
      </c>
      <c r="AE266">
        <v>0</v>
      </c>
      <c r="AF266" t="s">
        <v>18</v>
      </c>
    </row>
    <row r="267" spans="1:32" x14ac:dyDescent="0.3">
      <c r="A267" t="str">
        <f t="shared" si="8"/>
        <v>alltime_{'C',  [('delta', 0.3,  1)]}_[35,  70]_3</v>
      </c>
      <c r="B267" t="s">
        <v>313</v>
      </c>
      <c r="C267" t="s">
        <v>0</v>
      </c>
      <c r="D267" t="s">
        <v>1</v>
      </c>
      <c r="E267">
        <v>0.3</v>
      </c>
      <c r="F267" t="s">
        <v>37</v>
      </c>
      <c r="G267" t="s">
        <v>42</v>
      </c>
      <c r="H267" t="s">
        <v>4</v>
      </c>
      <c r="I267">
        <v>3810</v>
      </c>
      <c r="J267" t="s">
        <v>5</v>
      </c>
      <c r="K267">
        <v>618</v>
      </c>
      <c r="L267" s="3">
        <f t="shared" si="9"/>
        <v>0.16220472440944883</v>
      </c>
      <c r="M267" t="s">
        <v>6</v>
      </c>
      <c r="N267">
        <v>-139.76471452848199</v>
      </c>
      <c r="O267" t="s">
        <v>7</v>
      </c>
      <c r="P267">
        <v>-3.6683652107213201E-2</v>
      </c>
      <c r="Q267" t="s">
        <v>8</v>
      </c>
      <c r="R267">
        <v>8.6306080302140593</v>
      </c>
      <c r="S267" t="s">
        <v>9</v>
      </c>
      <c r="T267">
        <v>-1.71474952293257</v>
      </c>
      <c r="U267" t="s">
        <v>10</v>
      </c>
      <c r="V267">
        <v>10.6748303314358</v>
      </c>
      <c r="W267" t="s">
        <v>11</v>
      </c>
      <c r="X267" t="s">
        <v>60</v>
      </c>
      <c r="Y267" t="s">
        <v>21</v>
      </c>
      <c r="Z267">
        <v>0</v>
      </c>
      <c r="AA267" t="s">
        <v>14</v>
      </c>
      <c r="AB267" t="s">
        <v>15</v>
      </c>
      <c r="AC267" t="s">
        <v>65</v>
      </c>
      <c r="AD267" t="s">
        <v>21</v>
      </c>
      <c r="AE267">
        <v>0</v>
      </c>
      <c r="AF267" t="s">
        <v>18</v>
      </c>
    </row>
    <row r="268" spans="1:32" x14ac:dyDescent="0.3">
      <c r="A268" t="str">
        <f t="shared" si="8"/>
        <v>alltime_{'C',  [('delta', 0.2,  1)]}_[35,  70]_2</v>
      </c>
      <c r="B268" t="s">
        <v>324</v>
      </c>
      <c r="C268" t="s">
        <v>0</v>
      </c>
      <c r="D268" t="s">
        <v>1</v>
      </c>
      <c r="E268">
        <v>0.2</v>
      </c>
      <c r="F268" t="s">
        <v>37</v>
      </c>
      <c r="G268" t="s">
        <v>40</v>
      </c>
      <c r="H268" t="s">
        <v>4</v>
      </c>
      <c r="I268">
        <v>3810</v>
      </c>
      <c r="J268" t="s">
        <v>5</v>
      </c>
      <c r="K268">
        <v>763</v>
      </c>
      <c r="L268" s="3">
        <f t="shared" si="9"/>
        <v>0.20026246719160104</v>
      </c>
      <c r="M268" t="s">
        <v>6</v>
      </c>
      <c r="N268">
        <v>-141.12291850838301</v>
      </c>
      <c r="O268" t="s">
        <v>7</v>
      </c>
      <c r="P268">
        <v>-3.7040136091439198E-2</v>
      </c>
      <c r="Q268" t="s">
        <v>8</v>
      </c>
      <c r="R268">
        <v>3.7912862408243901</v>
      </c>
      <c r="S268" t="s">
        <v>9</v>
      </c>
      <c r="T268">
        <v>-0.99569226132503896</v>
      </c>
      <c r="U268" t="s">
        <v>10</v>
      </c>
      <c r="V268">
        <v>5.0605851157265898</v>
      </c>
      <c r="W268" t="s">
        <v>11</v>
      </c>
      <c r="X268" t="s">
        <v>79</v>
      </c>
      <c r="Y268" t="s">
        <v>53</v>
      </c>
      <c r="Z268">
        <v>0</v>
      </c>
      <c r="AA268" t="s">
        <v>14</v>
      </c>
      <c r="AB268" t="s">
        <v>15</v>
      </c>
      <c r="AC268" t="s">
        <v>80</v>
      </c>
      <c r="AD268" t="s">
        <v>21</v>
      </c>
      <c r="AE268">
        <v>0</v>
      </c>
      <c r="AF268" t="s">
        <v>18</v>
      </c>
    </row>
    <row r="269" spans="1:32" x14ac:dyDescent="0.3">
      <c r="A269" t="str">
        <f t="shared" si="8"/>
        <v>alltime_{'C',  [('delta', 0.1,  1)]}_[21,  49]_2</v>
      </c>
      <c r="B269" t="s">
        <v>334</v>
      </c>
      <c r="C269" t="s">
        <v>0</v>
      </c>
      <c r="D269" t="s">
        <v>1</v>
      </c>
      <c r="E269">
        <v>0.1</v>
      </c>
      <c r="F269" t="s">
        <v>27</v>
      </c>
      <c r="G269" t="s">
        <v>30</v>
      </c>
      <c r="H269" t="s">
        <v>4</v>
      </c>
      <c r="I269">
        <v>3050</v>
      </c>
      <c r="J269" t="s">
        <v>5</v>
      </c>
      <c r="K269">
        <v>497</v>
      </c>
      <c r="L269" s="3">
        <f t="shared" si="9"/>
        <v>0.16295081967213115</v>
      </c>
      <c r="M269" t="s">
        <v>6</v>
      </c>
      <c r="N269">
        <v>-142.769597884278</v>
      </c>
      <c r="O269" t="s">
        <v>7</v>
      </c>
      <c r="P269">
        <v>-4.6809704224353599E-2</v>
      </c>
      <c r="Q269" t="s">
        <v>8</v>
      </c>
      <c r="R269">
        <v>1.5096354377355199</v>
      </c>
      <c r="S269" t="s">
        <v>9</v>
      </c>
      <c r="T269">
        <v>-0.34980744631368399</v>
      </c>
      <c r="U269" t="s">
        <v>10</v>
      </c>
      <c r="V269">
        <v>1.59246337511156</v>
      </c>
      <c r="W269" t="s">
        <v>11</v>
      </c>
      <c r="X269" t="s">
        <v>101</v>
      </c>
      <c r="Y269" t="s">
        <v>25</v>
      </c>
      <c r="Z269">
        <v>0</v>
      </c>
      <c r="AA269" t="s">
        <v>14</v>
      </c>
      <c r="AB269" t="s">
        <v>15</v>
      </c>
      <c r="AC269" t="s">
        <v>102</v>
      </c>
      <c r="AD269" t="s">
        <v>103</v>
      </c>
      <c r="AE269">
        <v>0</v>
      </c>
      <c r="AF269" t="s">
        <v>18</v>
      </c>
    </row>
    <row r="270" spans="1:32" x14ac:dyDescent="0.3">
      <c r="A270" t="str">
        <f t="shared" si="8"/>
        <v>alltime_{'C',  [('delta', 0.2,  1)]}_[7,  35]_1</v>
      </c>
      <c r="B270" t="s">
        <v>315</v>
      </c>
      <c r="C270" t="s">
        <v>0</v>
      </c>
      <c r="D270" t="s">
        <v>1</v>
      </c>
      <c r="E270">
        <v>0.2</v>
      </c>
      <c r="F270" t="s">
        <v>2</v>
      </c>
      <c r="G270" t="s">
        <v>3</v>
      </c>
      <c r="H270" t="s">
        <v>4</v>
      </c>
      <c r="I270">
        <v>3073</v>
      </c>
      <c r="J270" t="s">
        <v>5</v>
      </c>
      <c r="K270">
        <v>811</v>
      </c>
      <c r="L270" s="3">
        <f t="shared" si="9"/>
        <v>0.26391148714611129</v>
      </c>
      <c r="M270" t="s">
        <v>6</v>
      </c>
      <c r="N270">
        <v>-158.90317443935001</v>
      </c>
      <c r="O270" t="s">
        <v>7</v>
      </c>
      <c r="P270">
        <v>-5.1709461255890099E-2</v>
      </c>
      <c r="Q270" t="s">
        <v>8</v>
      </c>
      <c r="R270">
        <v>1.6698027127003601</v>
      </c>
      <c r="S270" t="s">
        <v>9</v>
      </c>
      <c r="T270">
        <v>-0.66892713282022398</v>
      </c>
      <c r="U270" t="s">
        <v>10</v>
      </c>
      <c r="V270">
        <v>2.4304895255748802</v>
      </c>
      <c r="W270" t="s">
        <v>11</v>
      </c>
      <c r="X270" t="s">
        <v>66</v>
      </c>
      <c r="Y270" t="s">
        <v>13</v>
      </c>
      <c r="Z270">
        <v>0</v>
      </c>
      <c r="AA270" t="s">
        <v>14</v>
      </c>
      <c r="AB270" t="s">
        <v>15</v>
      </c>
      <c r="AC270" t="s">
        <v>67</v>
      </c>
      <c r="AD270" t="s">
        <v>17</v>
      </c>
      <c r="AE270">
        <v>0</v>
      </c>
      <c r="AF270" t="s">
        <v>18</v>
      </c>
    </row>
    <row r="271" spans="1:32" x14ac:dyDescent="0.3">
      <c r="A271" t="str">
        <f t="shared" si="8"/>
        <v>alltime_{'C',  [('delta', 0.1,  1)]}_[21,  49]_1</v>
      </c>
      <c r="B271" t="s">
        <v>333</v>
      </c>
      <c r="C271" t="s">
        <v>0</v>
      </c>
      <c r="D271" t="s">
        <v>1</v>
      </c>
      <c r="E271">
        <v>0.1</v>
      </c>
      <c r="F271" t="s">
        <v>27</v>
      </c>
      <c r="G271" t="s">
        <v>28</v>
      </c>
      <c r="H271" t="s">
        <v>4</v>
      </c>
      <c r="I271">
        <v>3050</v>
      </c>
      <c r="J271" t="s">
        <v>5</v>
      </c>
      <c r="K271">
        <v>735</v>
      </c>
      <c r="L271" s="3">
        <f t="shared" si="9"/>
        <v>0.24098360655737705</v>
      </c>
      <c r="M271" t="s">
        <v>6</v>
      </c>
      <c r="N271">
        <v>-159.70930189878999</v>
      </c>
      <c r="O271" t="s">
        <v>7</v>
      </c>
      <c r="P271">
        <v>-5.2363705540587002E-2</v>
      </c>
      <c r="Q271" t="s">
        <v>8</v>
      </c>
      <c r="R271">
        <v>0.87952919283175102</v>
      </c>
      <c r="S271" t="s">
        <v>9</v>
      </c>
      <c r="T271">
        <v>-0.34823466895469901</v>
      </c>
      <c r="U271" t="s">
        <v>10</v>
      </c>
      <c r="V271">
        <v>1.15744839384304</v>
      </c>
      <c r="W271" t="s">
        <v>11</v>
      </c>
      <c r="X271" t="s">
        <v>89</v>
      </c>
      <c r="Y271" t="s">
        <v>13</v>
      </c>
      <c r="Z271">
        <v>0</v>
      </c>
      <c r="AA271" t="s">
        <v>14</v>
      </c>
      <c r="AB271" t="s">
        <v>15</v>
      </c>
      <c r="AC271" t="s">
        <v>99</v>
      </c>
      <c r="AD271" t="s">
        <v>100</v>
      </c>
      <c r="AE271">
        <v>0</v>
      </c>
      <c r="AF271" t="s">
        <v>18</v>
      </c>
    </row>
    <row r="272" spans="1:32" x14ac:dyDescent="0.3">
      <c r="A272" t="str">
        <f t="shared" si="8"/>
        <v>alltime_{'C',  [('delta', 0.1,  1)]}_[35,  70]_3</v>
      </c>
      <c r="B272" t="s">
        <v>339</v>
      </c>
      <c r="C272" t="s">
        <v>0</v>
      </c>
      <c r="D272" t="s">
        <v>1</v>
      </c>
      <c r="E272">
        <v>0.1</v>
      </c>
      <c r="F272" t="s">
        <v>37</v>
      </c>
      <c r="G272" t="s">
        <v>42</v>
      </c>
      <c r="H272" t="s">
        <v>4</v>
      </c>
      <c r="I272">
        <v>3810</v>
      </c>
      <c r="J272" t="s">
        <v>5</v>
      </c>
      <c r="K272">
        <v>522</v>
      </c>
      <c r="L272" s="3">
        <f t="shared" si="9"/>
        <v>0.13700787401574804</v>
      </c>
      <c r="M272" t="s">
        <v>6</v>
      </c>
      <c r="N272">
        <v>-166.32288905414799</v>
      </c>
      <c r="O272" t="s">
        <v>7</v>
      </c>
      <c r="P272">
        <v>-4.3654301589015197E-2</v>
      </c>
      <c r="Q272" t="s">
        <v>8</v>
      </c>
      <c r="R272">
        <v>2.4565030590836301</v>
      </c>
      <c r="S272" t="s">
        <v>9</v>
      </c>
      <c r="T272">
        <v>-0.44057709425055003</v>
      </c>
      <c r="U272" t="s">
        <v>10</v>
      </c>
      <c r="V272">
        <v>2.5431080367973302</v>
      </c>
      <c r="W272" t="s">
        <v>11</v>
      </c>
      <c r="X272" t="s">
        <v>110</v>
      </c>
      <c r="Y272" t="s">
        <v>17</v>
      </c>
      <c r="Z272">
        <v>0</v>
      </c>
      <c r="AA272" t="s">
        <v>14</v>
      </c>
      <c r="AB272" t="s">
        <v>15</v>
      </c>
      <c r="AC272" t="s">
        <v>109</v>
      </c>
      <c r="AD272" t="s">
        <v>25</v>
      </c>
      <c r="AE272">
        <v>0</v>
      </c>
      <c r="AF272" t="s">
        <v>18</v>
      </c>
    </row>
    <row r="273" spans="1:32" x14ac:dyDescent="0.3">
      <c r="A273" t="str">
        <f t="shared" si="8"/>
        <v>alltime_{'C',  [('delta', 0.3,  1)]}_[7,  35]_2</v>
      </c>
      <c r="B273" t="s">
        <v>304</v>
      </c>
      <c r="C273" t="s">
        <v>0</v>
      </c>
      <c r="D273" t="s">
        <v>1</v>
      </c>
      <c r="E273">
        <v>0.3</v>
      </c>
      <c r="F273" t="s">
        <v>2</v>
      </c>
      <c r="G273" t="s">
        <v>19</v>
      </c>
      <c r="H273" t="s">
        <v>4</v>
      </c>
      <c r="I273">
        <v>3073</v>
      </c>
      <c r="J273" t="s">
        <v>5</v>
      </c>
      <c r="K273">
        <v>620</v>
      </c>
      <c r="L273" s="3">
        <f t="shared" si="9"/>
        <v>0.20175724048161406</v>
      </c>
      <c r="M273" t="s">
        <v>6</v>
      </c>
      <c r="N273">
        <v>-172.33999999999801</v>
      </c>
      <c r="O273" t="s">
        <v>7</v>
      </c>
      <c r="P273">
        <v>-5.6082004555808203E-2</v>
      </c>
      <c r="Q273" t="s">
        <v>8</v>
      </c>
      <c r="R273">
        <v>4.3301612903225797</v>
      </c>
      <c r="S273" t="s">
        <v>9</v>
      </c>
      <c r="T273">
        <v>-1.1647125968202201</v>
      </c>
      <c r="U273" t="s">
        <v>10</v>
      </c>
      <c r="V273">
        <v>5.9702679357700701</v>
      </c>
      <c r="W273" t="s">
        <v>11</v>
      </c>
      <c r="X273" t="s">
        <v>49</v>
      </c>
      <c r="Y273" t="s">
        <v>50</v>
      </c>
      <c r="Z273">
        <v>0</v>
      </c>
      <c r="AA273" t="s">
        <v>14</v>
      </c>
      <c r="AB273" t="s">
        <v>15</v>
      </c>
      <c r="AC273" t="s">
        <v>51</v>
      </c>
      <c r="AD273" t="s">
        <v>25</v>
      </c>
      <c r="AE273">
        <v>0</v>
      </c>
      <c r="AF273" t="s">
        <v>18</v>
      </c>
    </row>
    <row r="274" spans="1:32" x14ac:dyDescent="0.3">
      <c r="A274" t="str">
        <f t="shared" si="8"/>
        <v>alltime_{'C',  [('delta', 0.3,  1)]}_[21,  49]_3</v>
      </c>
      <c r="B274" t="s">
        <v>309</v>
      </c>
      <c r="C274" t="s">
        <v>0</v>
      </c>
      <c r="D274" t="s">
        <v>1</v>
      </c>
      <c r="E274">
        <v>0.3</v>
      </c>
      <c r="F274" t="s">
        <v>27</v>
      </c>
      <c r="G274" t="s">
        <v>33</v>
      </c>
      <c r="H274" t="s">
        <v>4</v>
      </c>
      <c r="I274">
        <v>3050</v>
      </c>
      <c r="J274" t="s">
        <v>5</v>
      </c>
      <c r="K274">
        <v>504</v>
      </c>
      <c r="L274" s="3">
        <f t="shared" si="9"/>
        <v>0.16524590163934427</v>
      </c>
      <c r="M274" t="s">
        <v>6</v>
      </c>
      <c r="N274">
        <v>-177.77</v>
      </c>
      <c r="O274" t="s">
        <v>7</v>
      </c>
      <c r="P274">
        <v>-5.8285245901639401E-2</v>
      </c>
      <c r="Q274" t="s">
        <v>8</v>
      </c>
      <c r="R274">
        <v>6.9419444444444398</v>
      </c>
      <c r="S274" t="s">
        <v>9</v>
      </c>
      <c r="T274">
        <v>-1.44403377847604</v>
      </c>
      <c r="U274" t="s">
        <v>10</v>
      </c>
      <c r="V274">
        <v>8.3814922005994106</v>
      </c>
      <c r="W274" t="s">
        <v>11</v>
      </c>
      <c r="X274" t="s">
        <v>60</v>
      </c>
      <c r="Y274" t="s">
        <v>21</v>
      </c>
      <c r="Z274">
        <v>0</v>
      </c>
      <c r="AA274" t="s">
        <v>14</v>
      </c>
      <c r="AB274" t="s">
        <v>15</v>
      </c>
      <c r="AC274" t="s">
        <v>61</v>
      </c>
      <c r="AD274" t="s">
        <v>21</v>
      </c>
      <c r="AE274">
        <v>0</v>
      </c>
      <c r="AF274" t="s">
        <v>18</v>
      </c>
    </row>
    <row r="275" spans="1:32" x14ac:dyDescent="0.3">
      <c r="A275" t="str">
        <f t="shared" si="8"/>
        <v>alltime_{'C',  [('delta', 0.4,  1)]}_[35,  70]_2</v>
      </c>
      <c r="B275" t="s">
        <v>300</v>
      </c>
      <c r="C275" t="s">
        <v>0</v>
      </c>
      <c r="D275" t="s">
        <v>1</v>
      </c>
      <c r="E275">
        <v>0.4</v>
      </c>
      <c r="F275" t="s">
        <v>37</v>
      </c>
      <c r="G275" t="s">
        <v>40</v>
      </c>
      <c r="H275" t="s">
        <v>4</v>
      </c>
      <c r="I275">
        <v>3810</v>
      </c>
      <c r="J275" t="s">
        <v>5</v>
      </c>
      <c r="K275">
        <v>840</v>
      </c>
      <c r="L275" s="3">
        <f t="shared" si="9"/>
        <v>0.22047244094488189</v>
      </c>
      <c r="M275" t="s">
        <v>6</v>
      </c>
      <c r="N275">
        <v>-192.89126639307599</v>
      </c>
      <c r="O275" t="s">
        <v>7</v>
      </c>
      <c r="P275">
        <v>-5.0627628974560801E-2</v>
      </c>
      <c r="Q275" t="s">
        <v>8</v>
      </c>
      <c r="R275">
        <v>8.9946430554021592</v>
      </c>
      <c r="S275" t="s">
        <v>9</v>
      </c>
      <c r="T275">
        <v>-2.60888600435384</v>
      </c>
      <c r="U275" t="s">
        <v>10</v>
      </c>
      <c r="V275">
        <v>13.5039285281524</v>
      </c>
      <c r="W275" t="s">
        <v>11</v>
      </c>
      <c r="X275" t="s">
        <v>31</v>
      </c>
      <c r="Y275" t="s">
        <v>21</v>
      </c>
      <c r="Z275">
        <v>0</v>
      </c>
      <c r="AA275" t="s">
        <v>14</v>
      </c>
      <c r="AB275" t="s">
        <v>15</v>
      </c>
      <c r="AC275" t="s">
        <v>41</v>
      </c>
      <c r="AD275" t="s">
        <v>21</v>
      </c>
      <c r="AE275">
        <v>0</v>
      </c>
      <c r="AF275" t="s">
        <v>18</v>
      </c>
    </row>
    <row r="276" spans="1:32" x14ac:dyDescent="0.3">
      <c r="A276" t="str">
        <f t="shared" si="8"/>
        <v>alltime_{'C',  [('delta', 0.3,  1)]}_[7,  35]_1</v>
      </c>
      <c r="B276" t="s">
        <v>303</v>
      </c>
      <c r="C276" t="s">
        <v>0</v>
      </c>
      <c r="D276" t="s">
        <v>1</v>
      </c>
      <c r="E276">
        <v>0.3</v>
      </c>
      <c r="F276" t="s">
        <v>2</v>
      </c>
      <c r="G276" t="s">
        <v>3</v>
      </c>
      <c r="H276" t="s">
        <v>4</v>
      </c>
      <c r="I276">
        <v>3073</v>
      </c>
      <c r="J276" t="s">
        <v>5</v>
      </c>
      <c r="K276">
        <v>887</v>
      </c>
      <c r="L276" s="3">
        <f t="shared" si="9"/>
        <v>0.28864301985030916</v>
      </c>
      <c r="M276" t="s">
        <v>6</v>
      </c>
      <c r="N276">
        <v>-192.92999999999901</v>
      </c>
      <c r="O276" t="s">
        <v>7</v>
      </c>
      <c r="P276">
        <v>-6.27822974292222E-2</v>
      </c>
      <c r="Q276" t="s">
        <v>8</v>
      </c>
      <c r="R276">
        <v>2.6356257046223202</v>
      </c>
      <c r="S276" t="s">
        <v>9</v>
      </c>
      <c r="T276">
        <v>-1.1576989935955999</v>
      </c>
      <c r="U276" t="s">
        <v>10</v>
      </c>
      <c r="V276">
        <v>4.2828599011055299</v>
      </c>
      <c r="W276" t="s">
        <v>11</v>
      </c>
      <c r="X276" t="s">
        <v>47</v>
      </c>
      <c r="Y276" t="s">
        <v>13</v>
      </c>
      <c r="Z276">
        <v>0</v>
      </c>
      <c r="AA276" t="s">
        <v>14</v>
      </c>
      <c r="AB276" t="s">
        <v>15</v>
      </c>
      <c r="AC276" t="s">
        <v>48</v>
      </c>
      <c r="AD276" t="s">
        <v>17</v>
      </c>
      <c r="AE276">
        <v>0</v>
      </c>
      <c r="AF276" t="s">
        <v>18</v>
      </c>
    </row>
    <row r="277" spans="1:32" x14ac:dyDescent="0.3">
      <c r="A277" t="str">
        <f t="shared" si="8"/>
        <v>alltime_{'C',  [('delta', 0.2,  1)]}_[7,  35]_2</v>
      </c>
      <c r="B277" t="s">
        <v>316</v>
      </c>
      <c r="C277" t="s">
        <v>0</v>
      </c>
      <c r="D277" t="s">
        <v>1</v>
      </c>
      <c r="E277">
        <v>0.2</v>
      </c>
      <c r="F277" t="s">
        <v>2</v>
      </c>
      <c r="G277" t="s">
        <v>19</v>
      </c>
      <c r="H277" t="s">
        <v>4</v>
      </c>
      <c r="I277">
        <v>3073</v>
      </c>
      <c r="J277" t="s">
        <v>5</v>
      </c>
      <c r="K277">
        <v>546</v>
      </c>
      <c r="L277" s="3">
        <f t="shared" si="9"/>
        <v>0.1776765375854214</v>
      </c>
      <c r="M277" t="s">
        <v>6</v>
      </c>
      <c r="N277">
        <v>-198.58317443934899</v>
      </c>
      <c r="O277" t="s">
        <v>7</v>
      </c>
      <c r="P277">
        <v>-6.4621924646713194E-2</v>
      </c>
      <c r="Q277" t="s">
        <v>8</v>
      </c>
      <c r="R277">
        <v>2.7575641025640998</v>
      </c>
      <c r="S277" t="s">
        <v>9</v>
      </c>
      <c r="T277">
        <v>-0.67440173108007395</v>
      </c>
      <c r="U277" t="s">
        <v>10</v>
      </c>
      <c r="V277">
        <v>3.3000739320379799</v>
      </c>
      <c r="W277" t="s">
        <v>11</v>
      </c>
      <c r="X277" t="s">
        <v>68</v>
      </c>
      <c r="Y277" t="s">
        <v>50</v>
      </c>
      <c r="Z277">
        <v>0</v>
      </c>
      <c r="AA277" t="s">
        <v>14</v>
      </c>
      <c r="AB277" t="s">
        <v>15</v>
      </c>
      <c r="AC277" t="s">
        <v>69</v>
      </c>
      <c r="AD277" t="s">
        <v>25</v>
      </c>
      <c r="AE277">
        <v>0</v>
      </c>
      <c r="AF277" t="s">
        <v>18</v>
      </c>
    </row>
    <row r="278" spans="1:32" x14ac:dyDescent="0.3">
      <c r="A278" t="str">
        <f t="shared" si="8"/>
        <v>alltime_{'C',  [('delta', 0.1,  1)]}_[35,  70]_2</v>
      </c>
      <c r="B278" t="s">
        <v>338</v>
      </c>
      <c r="C278" t="s">
        <v>0</v>
      </c>
      <c r="D278" t="s">
        <v>1</v>
      </c>
      <c r="E278">
        <v>0.1</v>
      </c>
      <c r="F278" t="s">
        <v>37</v>
      </c>
      <c r="G278" t="s">
        <v>40</v>
      </c>
      <c r="H278" t="s">
        <v>4</v>
      </c>
      <c r="I278">
        <v>3810</v>
      </c>
      <c r="J278" t="s">
        <v>5</v>
      </c>
      <c r="K278">
        <v>676</v>
      </c>
      <c r="L278" s="3">
        <f t="shared" si="9"/>
        <v>0.17742782152230971</v>
      </c>
      <c r="M278" t="s">
        <v>6</v>
      </c>
      <c r="N278">
        <v>-209.850388656419</v>
      </c>
      <c r="O278" t="s">
        <v>7</v>
      </c>
      <c r="P278">
        <v>-5.5078842167039101E-2</v>
      </c>
      <c r="Q278" t="s">
        <v>8</v>
      </c>
      <c r="R278">
        <v>1.7379022936603801</v>
      </c>
      <c r="S278" t="s">
        <v>9</v>
      </c>
      <c r="T278">
        <v>-0.44182269916108602</v>
      </c>
      <c r="U278" t="s">
        <v>10</v>
      </c>
      <c r="V278">
        <v>2.1664530066815502</v>
      </c>
      <c r="W278" t="s">
        <v>11</v>
      </c>
      <c r="X278" t="s">
        <v>108</v>
      </c>
      <c r="Y278" t="s">
        <v>53</v>
      </c>
      <c r="Z278">
        <v>0</v>
      </c>
      <c r="AA278" t="s">
        <v>14</v>
      </c>
      <c r="AB278" t="s">
        <v>15</v>
      </c>
      <c r="AC278" t="s">
        <v>109</v>
      </c>
      <c r="AD278" t="s">
        <v>25</v>
      </c>
      <c r="AE278">
        <v>0</v>
      </c>
      <c r="AF278" t="s">
        <v>18</v>
      </c>
    </row>
    <row r="279" spans="1:32" x14ac:dyDescent="0.3">
      <c r="A279" t="str">
        <f t="shared" si="8"/>
        <v>alltime_{'C',  [('delta', 0.2,  1)]}_[21,  49]_1</v>
      </c>
      <c r="B279" t="s">
        <v>319</v>
      </c>
      <c r="C279" t="s">
        <v>0</v>
      </c>
      <c r="D279" t="s">
        <v>1</v>
      </c>
      <c r="E279">
        <v>0.2</v>
      </c>
      <c r="F279" t="s">
        <v>27</v>
      </c>
      <c r="G279" t="s">
        <v>28</v>
      </c>
      <c r="H279" t="s">
        <v>4</v>
      </c>
      <c r="I279">
        <v>3050</v>
      </c>
      <c r="J279" t="s">
        <v>5</v>
      </c>
      <c r="K279">
        <v>833</v>
      </c>
      <c r="L279" s="3">
        <f t="shared" si="9"/>
        <v>0.27311475409836067</v>
      </c>
      <c r="M279" t="s">
        <v>6</v>
      </c>
      <c r="N279">
        <v>-239.11339444469999</v>
      </c>
      <c r="O279" t="s">
        <v>7</v>
      </c>
      <c r="P279">
        <v>-7.8397834244163994E-2</v>
      </c>
      <c r="Q279" t="s">
        <v>8</v>
      </c>
      <c r="R279">
        <v>1.8932172869147601</v>
      </c>
      <c r="S279" t="s">
        <v>9</v>
      </c>
      <c r="T279">
        <v>-0.81919864431425204</v>
      </c>
      <c r="U279" t="s">
        <v>10</v>
      </c>
      <c r="V279">
        <v>2.8404373363361701</v>
      </c>
      <c r="W279" t="s">
        <v>11</v>
      </c>
      <c r="X279" t="s">
        <v>66</v>
      </c>
      <c r="Y279" t="s">
        <v>13</v>
      </c>
      <c r="Z279">
        <v>0</v>
      </c>
      <c r="AA279" t="s">
        <v>14</v>
      </c>
      <c r="AB279" t="s">
        <v>15</v>
      </c>
      <c r="AC279" t="s">
        <v>72</v>
      </c>
      <c r="AD279" t="s">
        <v>17</v>
      </c>
      <c r="AE279">
        <v>0</v>
      </c>
      <c r="AF279" t="s">
        <v>18</v>
      </c>
    </row>
    <row r="280" spans="1:32" x14ac:dyDescent="0.3">
      <c r="A280" t="str">
        <f t="shared" si="8"/>
        <v>alltime_{'C',  [('delta', 0.4,  1)]}_[21,  49]_3</v>
      </c>
      <c r="B280" t="s">
        <v>297</v>
      </c>
      <c r="C280" t="s">
        <v>0</v>
      </c>
      <c r="D280" t="s">
        <v>1</v>
      </c>
      <c r="E280">
        <v>0.4</v>
      </c>
      <c r="F280" t="s">
        <v>27</v>
      </c>
      <c r="G280" t="s">
        <v>33</v>
      </c>
      <c r="H280" t="s">
        <v>4</v>
      </c>
      <c r="I280">
        <v>3050</v>
      </c>
      <c r="J280" t="s">
        <v>5</v>
      </c>
      <c r="K280">
        <v>600</v>
      </c>
      <c r="L280" s="3">
        <f t="shared" si="9"/>
        <v>0.19672131147540983</v>
      </c>
      <c r="M280" t="s">
        <v>6</v>
      </c>
      <c r="N280">
        <v>-249.11</v>
      </c>
      <c r="O280" t="s">
        <v>7</v>
      </c>
      <c r="P280">
        <v>-8.1675409836065693E-2</v>
      </c>
      <c r="Q280" t="s">
        <v>8</v>
      </c>
      <c r="R280">
        <v>8.5353333333333303</v>
      </c>
      <c r="S280" t="s">
        <v>9</v>
      </c>
      <c r="T280">
        <v>-2.1919632653061201</v>
      </c>
      <c r="U280" t="s">
        <v>10</v>
      </c>
      <c r="V280">
        <v>12.2925489889343</v>
      </c>
      <c r="W280" t="s">
        <v>11</v>
      </c>
      <c r="X280" t="s">
        <v>34</v>
      </c>
      <c r="Y280" t="s">
        <v>21</v>
      </c>
      <c r="Z280">
        <v>0</v>
      </c>
      <c r="AA280" t="s">
        <v>14</v>
      </c>
      <c r="AB280" t="s">
        <v>15</v>
      </c>
      <c r="AC280" t="s">
        <v>35</v>
      </c>
      <c r="AD280" t="s">
        <v>21</v>
      </c>
      <c r="AE280">
        <v>0</v>
      </c>
      <c r="AF280" t="s">
        <v>18</v>
      </c>
    </row>
    <row r="281" spans="1:32" x14ac:dyDescent="0.3">
      <c r="A281" t="str">
        <f t="shared" si="8"/>
        <v>alltime_{'C',  [('delta', 0.1,  1)]}_[35,  70]_1</v>
      </c>
      <c r="B281" t="s">
        <v>337</v>
      </c>
      <c r="C281" t="s">
        <v>0</v>
      </c>
      <c r="D281" t="s">
        <v>1</v>
      </c>
      <c r="E281">
        <v>0.1</v>
      </c>
      <c r="F281" t="s">
        <v>37</v>
      </c>
      <c r="G281" t="s">
        <v>38</v>
      </c>
      <c r="H281" t="s">
        <v>4</v>
      </c>
      <c r="I281">
        <v>3810</v>
      </c>
      <c r="J281" t="s">
        <v>5</v>
      </c>
      <c r="K281">
        <v>1009</v>
      </c>
      <c r="L281" s="3">
        <f t="shared" si="9"/>
        <v>0.26482939632545932</v>
      </c>
      <c r="M281" t="s">
        <v>6</v>
      </c>
      <c r="N281">
        <v>-259.184599191649</v>
      </c>
      <c r="O281" t="s">
        <v>7</v>
      </c>
      <c r="P281">
        <v>-6.8027453856075906E-2</v>
      </c>
      <c r="Q281" t="s">
        <v>8</v>
      </c>
      <c r="R281">
        <v>0.97192311116303398</v>
      </c>
      <c r="S281" t="s">
        <v>9</v>
      </c>
      <c r="T281">
        <v>-0.44264727538562998</v>
      </c>
      <c r="U281" t="s">
        <v>10</v>
      </c>
      <c r="V281">
        <v>1.6036005157262001</v>
      </c>
      <c r="W281" t="s">
        <v>11</v>
      </c>
      <c r="X281" t="s">
        <v>106</v>
      </c>
      <c r="Y281" t="s">
        <v>21</v>
      </c>
      <c r="Z281">
        <v>0</v>
      </c>
      <c r="AA281" t="s">
        <v>14</v>
      </c>
      <c r="AB281" t="s">
        <v>15</v>
      </c>
      <c r="AC281" t="s">
        <v>107</v>
      </c>
      <c r="AD281" t="s">
        <v>75</v>
      </c>
      <c r="AE281">
        <v>0</v>
      </c>
      <c r="AF281" t="s">
        <v>18</v>
      </c>
    </row>
    <row r="282" spans="1:32" x14ac:dyDescent="0.3">
      <c r="A282" t="str">
        <f t="shared" si="8"/>
        <v>alltime_{'C',  [('delta', 0.3,  1)]}_[21,  49]_2</v>
      </c>
      <c r="B282" t="s">
        <v>308</v>
      </c>
      <c r="C282" t="s">
        <v>0</v>
      </c>
      <c r="D282" t="s">
        <v>1</v>
      </c>
      <c r="E282">
        <v>0.3</v>
      </c>
      <c r="F282" t="s">
        <v>27</v>
      </c>
      <c r="G282" t="s">
        <v>30</v>
      </c>
      <c r="H282" t="s">
        <v>4</v>
      </c>
      <c r="I282">
        <v>3050</v>
      </c>
      <c r="J282" t="s">
        <v>5</v>
      </c>
      <c r="K282">
        <v>615</v>
      </c>
      <c r="L282" s="3">
        <f t="shared" si="9"/>
        <v>0.20163934426229507</v>
      </c>
      <c r="M282" t="s">
        <v>6</v>
      </c>
      <c r="N282">
        <v>-274.45</v>
      </c>
      <c r="O282" t="s">
        <v>7</v>
      </c>
      <c r="P282">
        <v>-8.9983606557376999E-2</v>
      </c>
      <c r="Q282" t="s">
        <v>8</v>
      </c>
      <c r="R282">
        <v>5.2660813008130001</v>
      </c>
      <c r="S282" t="s">
        <v>9</v>
      </c>
      <c r="T282">
        <v>-1.44274743326488</v>
      </c>
      <c r="U282" t="s">
        <v>10</v>
      </c>
      <c r="V282">
        <v>6.9142337445748101</v>
      </c>
      <c r="W282" t="s">
        <v>11</v>
      </c>
      <c r="X282" t="s">
        <v>58</v>
      </c>
      <c r="Y282" t="s">
        <v>21</v>
      </c>
      <c r="Z282">
        <v>0</v>
      </c>
      <c r="AA282" t="s">
        <v>14</v>
      </c>
      <c r="AB282" t="s">
        <v>15</v>
      </c>
      <c r="AC282" t="s">
        <v>59</v>
      </c>
      <c r="AD282" t="s">
        <v>21</v>
      </c>
      <c r="AE282">
        <v>0</v>
      </c>
      <c r="AF282" t="s">
        <v>18</v>
      </c>
    </row>
    <row r="283" spans="1:32" x14ac:dyDescent="0.3">
      <c r="A283" t="str">
        <f t="shared" si="8"/>
        <v>alltime_{'C',  [('delta', 0.3,  1)]}_[35,  70]_2</v>
      </c>
      <c r="B283" t="s">
        <v>312</v>
      </c>
      <c r="C283" t="s">
        <v>0</v>
      </c>
      <c r="D283" t="s">
        <v>1</v>
      </c>
      <c r="E283">
        <v>0.3</v>
      </c>
      <c r="F283" t="s">
        <v>37</v>
      </c>
      <c r="G283" t="s">
        <v>40</v>
      </c>
      <c r="H283" t="s">
        <v>4</v>
      </c>
      <c r="I283">
        <v>3810</v>
      </c>
      <c r="J283" t="s">
        <v>5</v>
      </c>
      <c r="K283">
        <v>784</v>
      </c>
      <c r="L283" s="3">
        <f t="shared" si="9"/>
        <v>0.20577427821522309</v>
      </c>
      <c r="M283" t="s">
        <v>6</v>
      </c>
      <c r="N283">
        <v>-281.49247524978301</v>
      </c>
      <c r="O283" t="s">
        <v>7</v>
      </c>
      <c r="P283">
        <v>-7.3882539435638606E-2</v>
      </c>
      <c r="Q283" t="s">
        <v>8</v>
      </c>
      <c r="R283">
        <v>6.2657824659315198</v>
      </c>
      <c r="S283" t="s">
        <v>9</v>
      </c>
      <c r="T283">
        <v>-1.71641306296764</v>
      </c>
      <c r="U283" t="s">
        <v>10</v>
      </c>
      <c r="V283">
        <v>8.8008338648531392</v>
      </c>
      <c r="W283" t="s">
        <v>11</v>
      </c>
      <c r="X283" t="s">
        <v>20</v>
      </c>
      <c r="Y283" t="s">
        <v>21</v>
      </c>
      <c r="Z283">
        <v>0</v>
      </c>
      <c r="AA283" t="s">
        <v>14</v>
      </c>
      <c r="AB283" t="s">
        <v>15</v>
      </c>
      <c r="AC283" t="s">
        <v>64</v>
      </c>
      <c r="AD283" t="s">
        <v>21</v>
      </c>
      <c r="AE283">
        <v>0</v>
      </c>
      <c r="AF283" t="s">
        <v>18</v>
      </c>
    </row>
    <row r="284" spans="1:32" x14ac:dyDescent="0.3">
      <c r="A284" t="str">
        <f t="shared" si="8"/>
        <v>alltime_{'C',  [('delta', 0.2,  1)]}_[35,  70]_1</v>
      </c>
      <c r="B284" t="s">
        <v>323</v>
      </c>
      <c r="C284" t="s">
        <v>0</v>
      </c>
      <c r="D284" t="s">
        <v>1</v>
      </c>
      <c r="E284">
        <v>0.2</v>
      </c>
      <c r="F284" t="s">
        <v>37</v>
      </c>
      <c r="G284" t="s">
        <v>38</v>
      </c>
      <c r="H284" t="s">
        <v>4</v>
      </c>
      <c r="I284">
        <v>3810</v>
      </c>
      <c r="J284" t="s">
        <v>5</v>
      </c>
      <c r="K284">
        <v>1105</v>
      </c>
      <c r="L284" s="3">
        <f t="shared" si="9"/>
        <v>0.29002624671916011</v>
      </c>
      <c r="M284" t="s">
        <v>6</v>
      </c>
      <c r="N284">
        <v>-294.65727782414098</v>
      </c>
      <c r="O284" t="s">
        <v>7</v>
      </c>
      <c r="P284">
        <v>-7.7337868195312701E-2</v>
      </c>
      <c r="Q284" t="s">
        <v>8</v>
      </c>
      <c r="R284">
        <v>2.1571554978704102</v>
      </c>
      <c r="S284" t="s">
        <v>9</v>
      </c>
      <c r="T284">
        <v>-0.99013460368611605</v>
      </c>
      <c r="U284" t="s">
        <v>10</v>
      </c>
      <c r="V284">
        <v>3.7507861831063201</v>
      </c>
      <c r="W284" t="s">
        <v>11</v>
      </c>
      <c r="X284" t="s">
        <v>76</v>
      </c>
      <c r="Y284" t="s">
        <v>77</v>
      </c>
      <c r="Z284">
        <v>0</v>
      </c>
      <c r="AA284" t="s">
        <v>14</v>
      </c>
      <c r="AB284" t="s">
        <v>15</v>
      </c>
      <c r="AC284" t="s">
        <v>78</v>
      </c>
      <c r="AD284" t="s">
        <v>17</v>
      </c>
      <c r="AE284">
        <v>0</v>
      </c>
      <c r="AF284" t="s">
        <v>18</v>
      </c>
    </row>
    <row r="285" spans="1:32" x14ac:dyDescent="0.3">
      <c r="A285" t="str">
        <f t="shared" si="8"/>
        <v>alltime_{'C',  [('delta', 0.4,  1)]}_[21,  49]_2</v>
      </c>
      <c r="B285" t="s">
        <v>296</v>
      </c>
      <c r="C285" t="s">
        <v>0</v>
      </c>
      <c r="D285" t="s">
        <v>1</v>
      </c>
      <c r="E285">
        <v>0.4</v>
      </c>
      <c r="F285" t="s">
        <v>27</v>
      </c>
      <c r="G285" t="s">
        <v>30</v>
      </c>
      <c r="H285" t="s">
        <v>4</v>
      </c>
      <c r="I285">
        <v>3050</v>
      </c>
      <c r="J285" t="s">
        <v>5</v>
      </c>
      <c r="K285">
        <v>676</v>
      </c>
      <c r="L285" s="3">
        <f t="shared" si="9"/>
        <v>0.22163934426229509</v>
      </c>
      <c r="M285" t="s">
        <v>6</v>
      </c>
      <c r="N285">
        <v>-298.09803497846798</v>
      </c>
      <c r="O285" t="s">
        <v>7</v>
      </c>
      <c r="P285">
        <v>-9.7737060648678098E-2</v>
      </c>
      <c r="Q285" t="s">
        <v>8</v>
      </c>
      <c r="R285">
        <v>7.2966449186708999</v>
      </c>
      <c r="S285" t="s">
        <v>9</v>
      </c>
      <c r="T285">
        <v>-2.2032982308340299</v>
      </c>
      <c r="U285" t="s">
        <v>10</v>
      </c>
      <c r="V285">
        <v>10.541153436524199</v>
      </c>
      <c r="W285" t="s">
        <v>11</v>
      </c>
      <c r="X285" t="s">
        <v>31</v>
      </c>
      <c r="Y285" t="s">
        <v>21</v>
      </c>
      <c r="Z285">
        <v>0</v>
      </c>
      <c r="AA285" t="s">
        <v>14</v>
      </c>
      <c r="AB285" t="s">
        <v>15</v>
      </c>
      <c r="AC285" t="s">
        <v>32</v>
      </c>
      <c r="AD285" t="s">
        <v>21</v>
      </c>
      <c r="AE285">
        <v>0</v>
      </c>
      <c r="AF285" t="s">
        <v>18</v>
      </c>
    </row>
    <row r="286" spans="1:32" x14ac:dyDescent="0.3">
      <c r="A286" t="str">
        <f t="shared" si="8"/>
        <v>alltime_{'C',  [('delta', 0.4,  1)]}_[35,  70]_1</v>
      </c>
      <c r="B286" t="s">
        <v>299</v>
      </c>
      <c r="C286" t="s">
        <v>0</v>
      </c>
      <c r="D286" t="s">
        <v>1</v>
      </c>
      <c r="E286">
        <v>0.4</v>
      </c>
      <c r="F286" t="s">
        <v>37</v>
      </c>
      <c r="G286" t="s">
        <v>38</v>
      </c>
      <c r="H286" t="s">
        <v>4</v>
      </c>
      <c r="I286">
        <v>3810</v>
      </c>
      <c r="J286" t="s">
        <v>5</v>
      </c>
      <c r="K286">
        <v>1221</v>
      </c>
      <c r="L286" s="3">
        <f t="shared" si="9"/>
        <v>0.32047244094488186</v>
      </c>
      <c r="M286" t="s">
        <v>6</v>
      </c>
      <c r="N286">
        <v>-341.45105412001999</v>
      </c>
      <c r="O286" t="s">
        <v>7</v>
      </c>
      <c r="P286">
        <v>-8.9619699244099807E-2</v>
      </c>
      <c r="Q286" t="s">
        <v>8</v>
      </c>
      <c r="R286">
        <v>5.2215155888550902</v>
      </c>
      <c r="S286" t="s">
        <v>9</v>
      </c>
      <c r="T286">
        <v>-2.5944077203986402</v>
      </c>
      <c r="U286" t="s">
        <v>10</v>
      </c>
      <c r="V286">
        <v>10.05171410004</v>
      </c>
      <c r="W286" t="s">
        <v>11</v>
      </c>
      <c r="X286" t="s">
        <v>31</v>
      </c>
      <c r="Y286" t="s">
        <v>21</v>
      </c>
      <c r="Z286">
        <v>0</v>
      </c>
      <c r="AA286" t="s">
        <v>14</v>
      </c>
      <c r="AB286" t="s">
        <v>15</v>
      </c>
      <c r="AC286" t="s">
        <v>39</v>
      </c>
      <c r="AD286" t="s">
        <v>21</v>
      </c>
      <c r="AE286">
        <v>0</v>
      </c>
      <c r="AF286" t="s">
        <v>18</v>
      </c>
    </row>
    <row r="287" spans="1:32" x14ac:dyDescent="0.3">
      <c r="A287" t="str">
        <f t="shared" si="8"/>
        <v>alltime_{'C',  [('delta', 0.3,  1)]}_[21,  49]_1</v>
      </c>
      <c r="B287" t="s">
        <v>307</v>
      </c>
      <c r="C287" t="s">
        <v>0</v>
      </c>
      <c r="D287" t="s">
        <v>1</v>
      </c>
      <c r="E287">
        <v>0.3</v>
      </c>
      <c r="F287" t="s">
        <v>27</v>
      </c>
      <c r="G287" t="s">
        <v>28</v>
      </c>
      <c r="H287" t="s">
        <v>4</v>
      </c>
      <c r="I287">
        <v>3050</v>
      </c>
      <c r="J287" t="s">
        <v>5</v>
      </c>
      <c r="K287">
        <v>891</v>
      </c>
      <c r="L287" s="3">
        <f t="shared" si="9"/>
        <v>0.29213114754098363</v>
      </c>
      <c r="M287" t="s">
        <v>6</v>
      </c>
      <c r="N287">
        <v>-409.54</v>
      </c>
      <c r="O287" t="s">
        <v>7</v>
      </c>
      <c r="P287">
        <v>-0.13427540983606501</v>
      </c>
      <c r="Q287" t="s">
        <v>8</v>
      </c>
      <c r="R287">
        <v>3.0228395061728399</v>
      </c>
      <c r="S287" t="s">
        <v>9</v>
      </c>
      <c r="T287">
        <v>-1.43718851320055</v>
      </c>
      <c r="U287" t="s">
        <v>10</v>
      </c>
      <c r="V287">
        <v>5.1054394366152502</v>
      </c>
      <c r="W287" t="s">
        <v>11</v>
      </c>
      <c r="X287" t="s">
        <v>47</v>
      </c>
      <c r="Y287" t="s">
        <v>13</v>
      </c>
      <c r="Z287">
        <v>0</v>
      </c>
      <c r="AA287" t="s">
        <v>14</v>
      </c>
      <c r="AB287" t="s">
        <v>15</v>
      </c>
      <c r="AC287" t="s">
        <v>57</v>
      </c>
      <c r="AD287" t="s">
        <v>17</v>
      </c>
      <c r="AE287">
        <v>0</v>
      </c>
      <c r="AF287" t="s">
        <v>18</v>
      </c>
    </row>
    <row r="288" spans="1:32" x14ac:dyDescent="0.3">
      <c r="A288" t="str">
        <f t="shared" si="8"/>
        <v>alltime_{'C',  [('delta', 0.4,  1)]}_[21,  49]_1</v>
      </c>
      <c r="B288" t="s">
        <v>295</v>
      </c>
      <c r="C288" t="s">
        <v>0</v>
      </c>
      <c r="D288" t="s">
        <v>1</v>
      </c>
      <c r="E288">
        <v>0.4</v>
      </c>
      <c r="F288" t="s">
        <v>27</v>
      </c>
      <c r="G288" t="s">
        <v>28</v>
      </c>
      <c r="H288" t="s">
        <v>4</v>
      </c>
      <c r="I288">
        <v>3050</v>
      </c>
      <c r="J288" t="s">
        <v>5</v>
      </c>
      <c r="K288">
        <v>951</v>
      </c>
      <c r="L288" s="3">
        <f t="shared" si="9"/>
        <v>0.31180327868852459</v>
      </c>
      <c r="M288" t="s">
        <v>6</v>
      </c>
      <c r="N288">
        <v>-448.19</v>
      </c>
      <c r="O288" t="s">
        <v>7</v>
      </c>
      <c r="P288">
        <v>-0.14694754098360599</v>
      </c>
      <c r="Q288" t="s">
        <v>8</v>
      </c>
      <c r="R288">
        <v>4.3903890641430099</v>
      </c>
      <c r="S288" t="s">
        <v>9</v>
      </c>
      <c r="T288">
        <v>-2.2026917579799798</v>
      </c>
      <c r="U288" t="s">
        <v>10</v>
      </c>
      <c r="V288">
        <v>7.8132028708082704</v>
      </c>
      <c r="W288" t="s">
        <v>11</v>
      </c>
      <c r="X288" t="s">
        <v>12</v>
      </c>
      <c r="Y288" t="s">
        <v>13</v>
      </c>
      <c r="Z288">
        <v>0</v>
      </c>
      <c r="AA288" t="s">
        <v>14</v>
      </c>
      <c r="AB288" t="s">
        <v>15</v>
      </c>
      <c r="AC288" t="s">
        <v>29</v>
      </c>
      <c r="AD288" t="s">
        <v>17</v>
      </c>
      <c r="AE288">
        <v>0</v>
      </c>
      <c r="AF288" t="s">
        <v>18</v>
      </c>
    </row>
    <row r="289" spans="1:32" x14ac:dyDescent="0.3">
      <c r="A289" t="str">
        <f t="shared" si="8"/>
        <v>alltime_{'C',  [('delta', 0.3,  1)]}_[35,  70]_1</v>
      </c>
      <c r="B289" t="s">
        <v>311</v>
      </c>
      <c r="C289" t="s">
        <v>0</v>
      </c>
      <c r="D289" t="s">
        <v>1</v>
      </c>
      <c r="E289">
        <v>0.3</v>
      </c>
      <c r="F289" t="s">
        <v>37</v>
      </c>
      <c r="G289" t="s">
        <v>38</v>
      </c>
      <c r="H289" t="s">
        <v>4</v>
      </c>
      <c r="I289">
        <v>3810</v>
      </c>
      <c r="J289" t="s">
        <v>5</v>
      </c>
      <c r="K289">
        <v>1155</v>
      </c>
      <c r="L289" s="3">
        <f t="shared" si="9"/>
        <v>0.30314960629921262</v>
      </c>
      <c r="M289" t="s">
        <v>6</v>
      </c>
      <c r="N289">
        <v>-463.81894801863399</v>
      </c>
      <c r="O289" t="s">
        <v>7</v>
      </c>
      <c r="P289">
        <v>-0.121737256697804</v>
      </c>
      <c r="Q289" t="s">
        <v>8</v>
      </c>
      <c r="R289">
        <v>3.52297199694108</v>
      </c>
      <c r="S289" t="s">
        <v>9</v>
      </c>
      <c r="T289">
        <v>-1.70728873991923</v>
      </c>
      <c r="U289" t="s">
        <v>10</v>
      </c>
      <c r="V289">
        <v>6.5127787034468501</v>
      </c>
      <c r="W289" t="s">
        <v>11</v>
      </c>
      <c r="X289" t="s">
        <v>62</v>
      </c>
      <c r="Y289" t="s">
        <v>13</v>
      </c>
      <c r="Z289">
        <v>0</v>
      </c>
      <c r="AA289" t="s">
        <v>14</v>
      </c>
      <c r="AB289" t="s">
        <v>15</v>
      </c>
      <c r="AC289" t="s">
        <v>63</v>
      </c>
      <c r="AD289" t="s">
        <v>21</v>
      </c>
      <c r="AE289">
        <v>0</v>
      </c>
      <c r="AF289" t="s">
        <v>18</v>
      </c>
    </row>
    <row r="290" spans="1:32" x14ac:dyDescent="0.3">
      <c r="A290" t="str">
        <f t="shared" si="8"/>
        <v xml:space="preserve">2010-09-10   2010-11-11, , , , </v>
      </c>
      <c r="B290" t="s">
        <v>327</v>
      </c>
      <c r="C290" t="s">
        <v>84</v>
      </c>
    </row>
    <row r="291" spans="1:32" x14ac:dyDescent="0.3">
      <c r="A291" t="str">
        <f t="shared" si="8"/>
        <v>Name,  drawdown_date,  dtype,  datetime64[ns]),  'net_liq_mdd'</v>
      </c>
      <c r="B291" t="s">
        <v>328</v>
      </c>
      <c r="C291" t="s">
        <v>85</v>
      </c>
      <c r="D291" t="s">
        <v>86</v>
      </c>
      <c r="E291" t="s">
        <v>87</v>
      </c>
      <c r="F291" t="s">
        <v>88</v>
      </c>
      <c r="G291" t="s">
        <v>15</v>
      </c>
      <c r="H291" t="s">
        <v>81</v>
      </c>
      <c r="I291" t="s">
        <v>21</v>
      </c>
      <c r="J291">
        <v>0</v>
      </c>
      <c r="K291" t="s">
        <v>18</v>
      </c>
    </row>
    <row r="292" spans="1:32" x14ac:dyDescent="0.3">
      <c r="A292" t="str">
        <f t="shared" si="8"/>
        <v xml:space="preserve">2011-10-07   2011-11-10, , , , </v>
      </c>
      <c r="B292" t="s">
        <v>398</v>
      </c>
      <c r="C292" t="s">
        <v>144</v>
      </c>
    </row>
    <row r="293" spans="1:32" x14ac:dyDescent="0.3">
      <c r="A293" t="str">
        <f t="shared" si="8"/>
        <v>Name,  drawdown_date,  dtype,  datetime64[ns]),  'net_liq_mdd'</v>
      </c>
      <c r="B293" t="s">
        <v>328</v>
      </c>
      <c r="C293" t="s">
        <v>85</v>
      </c>
      <c r="D293" t="s">
        <v>86</v>
      </c>
      <c r="E293" t="s">
        <v>87</v>
      </c>
      <c r="F293" t="s">
        <v>88</v>
      </c>
      <c r="G293" t="s">
        <v>15</v>
      </c>
      <c r="H293" t="s">
        <v>142</v>
      </c>
      <c r="I293" t="s">
        <v>21</v>
      </c>
      <c r="J293">
        <v>0</v>
      </c>
      <c r="K293" t="s">
        <v>18</v>
      </c>
    </row>
    <row r="294" spans="1:32" x14ac:dyDescent="0.3">
      <c r="A294" t="str">
        <f t="shared" si="8"/>
        <v xml:space="preserve">2011-10-07   2011-11-10, , , , </v>
      </c>
      <c r="B294" t="s">
        <v>398</v>
      </c>
      <c r="C294" t="s">
        <v>144</v>
      </c>
    </row>
    <row r="295" spans="1:32" x14ac:dyDescent="0.3">
      <c r="A295" t="str">
        <f t="shared" si="8"/>
        <v>Name,  drawdown_date,  dtype,  datetime64[ns]),  'net_liq_mdd'</v>
      </c>
      <c r="B295" t="s">
        <v>328</v>
      </c>
      <c r="C295" t="s">
        <v>85</v>
      </c>
      <c r="D295" t="s">
        <v>86</v>
      </c>
      <c r="E295" t="s">
        <v>87</v>
      </c>
      <c r="F295" t="s">
        <v>88</v>
      </c>
      <c r="G295" t="s">
        <v>15</v>
      </c>
      <c r="H295" t="s">
        <v>141</v>
      </c>
      <c r="I295" t="s">
        <v>21</v>
      </c>
      <c r="J295">
        <v>0</v>
      </c>
      <c r="K295" t="s">
        <v>18</v>
      </c>
    </row>
    <row r="296" spans="1:32" x14ac:dyDescent="0.3">
      <c r="A296" t="str">
        <f t="shared" si="8"/>
        <v xml:space="preserve">2011-10-07   2011-11-10, , , , </v>
      </c>
      <c r="B296" t="s">
        <v>398</v>
      </c>
      <c r="C296" t="s">
        <v>144</v>
      </c>
    </row>
    <row r="297" spans="1:32" x14ac:dyDescent="0.3">
      <c r="A297" t="str">
        <f t="shared" si="8"/>
        <v>Name,  drawdown_date,  dtype,  datetime64[ns]),  'net_liq_mdd'</v>
      </c>
      <c r="B297" t="s">
        <v>328</v>
      </c>
      <c r="C297" t="s">
        <v>85</v>
      </c>
      <c r="D297" t="s">
        <v>86</v>
      </c>
      <c r="E297" t="s">
        <v>87</v>
      </c>
      <c r="F297" t="s">
        <v>88</v>
      </c>
      <c r="G297" t="s">
        <v>15</v>
      </c>
      <c r="H297" t="s">
        <v>141</v>
      </c>
      <c r="I297" t="s">
        <v>21</v>
      </c>
      <c r="J297">
        <v>0</v>
      </c>
      <c r="K297" t="s">
        <v>18</v>
      </c>
    </row>
    <row r="298" spans="1:32" x14ac:dyDescent="0.3">
      <c r="A298" t="str">
        <f t="shared" si="8"/>
        <v xml:space="preserve">2011-10-07   2011-11-10, , , , </v>
      </c>
      <c r="B298" t="s">
        <v>398</v>
      </c>
      <c r="C298" t="s">
        <v>144</v>
      </c>
    </row>
    <row r="299" spans="1:32" x14ac:dyDescent="0.3">
      <c r="A299" t="str">
        <f t="shared" si="8"/>
        <v>Name,  drawdown_date,  dtype,  datetime64[ns]),  'net_liq_mdd'</v>
      </c>
      <c r="B299" t="s">
        <v>328</v>
      </c>
      <c r="C299" t="s">
        <v>85</v>
      </c>
      <c r="D299" t="s">
        <v>86</v>
      </c>
      <c r="E299" t="s">
        <v>87</v>
      </c>
      <c r="F299" t="s">
        <v>88</v>
      </c>
      <c r="G299" t="s">
        <v>15</v>
      </c>
      <c r="H299" t="s">
        <v>141</v>
      </c>
      <c r="I299" t="s">
        <v>21</v>
      </c>
      <c r="J299">
        <v>0</v>
      </c>
      <c r="K299" t="s">
        <v>18</v>
      </c>
    </row>
    <row r="300" spans="1:32" x14ac:dyDescent="0.3">
      <c r="A300" t="str">
        <f t="shared" si="8"/>
        <v xml:space="preserve">2011-10-07   2011-11-10, , , , </v>
      </c>
      <c r="B300" t="s">
        <v>398</v>
      </c>
      <c r="C300" t="s">
        <v>144</v>
      </c>
    </row>
    <row r="301" spans="1:32" x14ac:dyDescent="0.3">
      <c r="A301" t="str">
        <f t="shared" si="8"/>
        <v>Name,  drawdown_date,  dtype,  datetime64[ns]),  'net_liq_mdd'</v>
      </c>
      <c r="B301" t="s">
        <v>328</v>
      </c>
      <c r="C301" t="s">
        <v>85</v>
      </c>
      <c r="D301" t="s">
        <v>86</v>
      </c>
      <c r="E301" t="s">
        <v>87</v>
      </c>
      <c r="F301" t="s">
        <v>88</v>
      </c>
      <c r="G301" t="s">
        <v>15</v>
      </c>
      <c r="H301" t="s">
        <v>149</v>
      </c>
      <c r="I301" t="s">
        <v>21</v>
      </c>
      <c r="J301">
        <v>0</v>
      </c>
      <c r="K301" t="s">
        <v>18</v>
      </c>
    </row>
    <row r="302" spans="1:32" x14ac:dyDescent="0.3">
      <c r="A302" t="str">
        <f t="shared" si="8"/>
        <v xml:space="preserve">2010-09-06   2010-11-11, , , , </v>
      </c>
      <c r="B302" t="s">
        <v>414</v>
      </c>
      <c r="C302" t="s">
        <v>153</v>
      </c>
    </row>
    <row r="303" spans="1:32" x14ac:dyDescent="0.3">
      <c r="A303" t="str">
        <f t="shared" si="8"/>
        <v>Name,  drawdown_date,  dtype,  datetime64[ns]),  'net_liq_mdd'</v>
      </c>
      <c r="B303" t="s">
        <v>328</v>
      </c>
      <c r="C303" t="s">
        <v>85</v>
      </c>
      <c r="D303" t="s">
        <v>86</v>
      </c>
      <c r="E303" t="s">
        <v>87</v>
      </c>
      <c r="F303" t="s">
        <v>88</v>
      </c>
      <c r="G303" t="s">
        <v>15</v>
      </c>
      <c r="H303" t="s">
        <v>151</v>
      </c>
      <c r="I303" t="s">
        <v>154</v>
      </c>
      <c r="J303">
        <v>0</v>
      </c>
      <c r="K303" t="s">
        <v>18</v>
      </c>
    </row>
    <row r="304" spans="1:32" x14ac:dyDescent="0.3">
      <c r="A304" t="str">
        <f t="shared" si="8"/>
        <v xml:space="preserve">2011-10-07   2011-11-10, , , , </v>
      </c>
      <c r="B304" t="s">
        <v>398</v>
      </c>
      <c r="C304" t="s">
        <v>144</v>
      </c>
    </row>
    <row r="305" spans="1:11" x14ac:dyDescent="0.3">
      <c r="A305" t="str">
        <f t="shared" si="8"/>
        <v>Name,  drawdown_date,  dtype,  datetime64[ns]),  'net_liq_mdd'</v>
      </c>
      <c r="B305" t="s">
        <v>328</v>
      </c>
      <c r="C305" t="s">
        <v>85</v>
      </c>
      <c r="D305" t="s">
        <v>86</v>
      </c>
      <c r="E305" t="s">
        <v>87</v>
      </c>
      <c r="F305" t="s">
        <v>88</v>
      </c>
      <c r="G305" t="s">
        <v>15</v>
      </c>
      <c r="H305" t="s">
        <v>162</v>
      </c>
      <c r="I305" t="s">
        <v>21</v>
      </c>
      <c r="J305">
        <v>0</v>
      </c>
      <c r="K305" t="s">
        <v>18</v>
      </c>
    </row>
    <row r="306" spans="1:11" x14ac:dyDescent="0.3">
      <c r="A306" t="str">
        <f t="shared" si="8"/>
        <v xml:space="preserve">2021-05-07   2021-05-11, , , , </v>
      </c>
      <c r="B306" t="s">
        <v>437</v>
      </c>
      <c r="C306" t="s">
        <v>174</v>
      </c>
    </row>
    <row r="307" spans="1:11" x14ac:dyDescent="0.3">
      <c r="A307" t="str">
        <f t="shared" si="8"/>
        <v>Name,  drawdown_date,  dtype,  datetime64[ns]),  'net_liq_mdd'</v>
      </c>
      <c r="B307" t="s">
        <v>328</v>
      </c>
      <c r="C307" t="s">
        <v>85</v>
      </c>
      <c r="D307" t="s">
        <v>86</v>
      </c>
      <c r="E307" t="s">
        <v>87</v>
      </c>
      <c r="F307" t="s">
        <v>88</v>
      </c>
      <c r="G307" t="s">
        <v>15</v>
      </c>
      <c r="H307" t="s">
        <v>169</v>
      </c>
      <c r="I307" t="s">
        <v>160</v>
      </c>
      <c r="J307">
        <v>0</v>
      </c>
      <c r="K307" t="s">
        <v>18</v>
      </c>
    </row>
    <row r="308" spans="1:11" x14ac:dyDescent="0.3">
      <c r="A308" t="str">
        <f t="shared" si="8"/>
        <v xml:space="preserve">2018-03-09   2018-03-23, , , , </v>
      </c>
      <c r="B308" t="s">
        <v>449</v>
      </c>
      <c r="C308" t="s">
        <v>188</v>
      </c>
    </row>
    <row r="309" spans="1:11" x14ac:dyDescent="0.3">
      <c r="A309" t="str">
        <f t="shared" si="8"/>
        <v>Name,  drawdown_date,  dtype,  datetime64[ns]),  'net_liq_mdd'</v>
      </c>
      <c r="B309" t="s">
        <v>328</v>
      </c>
      <c r="C309" t="s">
        <v>85</v>
      </c>
      <c r="D309" t="s">
        <v>86</v>
      </c>
      <c r="E309" t="s">
        <v>87</v>
      </c>
      <c r="F309" t="s">
        <v>88</v>
      </c>
      <c r="G309" t="s">
        <v>15</v>
      </c>
      <c r="H309" t="s">
        <v>189</v>
      </c>
      <c r="I309" t="s">
        <v>190</v>
      </c>
      <c r="J309">
        <v>0</v>
      </c>
      <c r="K309" t="s">
        <v>18</v>
      </c>
    </row>
    <row r="310" spans="1:11" x14ac:dyDescent="0.3">
      <c r="A310" t="str">
        <f t="shared" si="8"/>
        <v xml:space="preserve">2010-09-06   2010-11-11, , , , </v>
      </c>
      <c r="B310" t="s">
        <v>414</v>
      </c>
      <c r="C310" t="s">
        <v>153</v>
      </c>
    </row>
    <row r="311" spans="1:11" x14ac:dyDescent="0.3">
      <c r="A311" t="str">
        <f t="shared" si="8"/>
        <v>Name,  drawdown_date,  dtype,  datetime64[ns]),  'net_liq_mdd'</v>
      </c>
      <c r="B311" t="s">
        <v>328</v>
      </c>
      <c r="C311" t="s">
        <v>85</v>
      </c>
      <c r="D311" t="s">
        <v>86</v>
      </c>
      <c r="E311" t="s">
        <v>87</v>
      </c>
      <c r="F311" t="s">
        <v>88</v>
      </c>
      <c r="G311" t="s">
        <v>15</v>
      </c>
      <c r="H311" t="s">
        <v>195</v>
      </c>
      <c r="I311" t="s">
        <v>154</v>
      </c>
      <c r="J311">
        <v>0</v>
      </c>
      <c r="K311" t="s">
        <v>18</v>
      </c>
    </row>
    <row r="312" spans="1:11" x14ac:dyDescent="0.3">
      <c r="A312" t="str">
        <f t="shared" si="8"/>
        <v xml:space="preserve">2010-09-06   2010-11-11, , , , </v>
      </c>
      <c r="B312" t="s">
        <v>414</v>
      </c>
      <c r="C312" t="s">
        <v>153</v>
      </c>
    </row>
    <row r="313" spans="1:11" x14ac:dyDescent="0.3">
      <c r="A313" t="str">
        <f t="shared" si="8"/>
        <v>Name,  drawdown_date,  dtype,  datetime64[ns]),  'net_liq_mdd'</v>
      </c>
      <c r="B313" t="s">
        <v>328</v>
      </c>
      <c r="C313" t="s">
        <v>85</v>
      </c>
      <c r="D313" t="s">
        <v>86</v>
      </c>
      <c r="E313" t="s">
        <v>87</v>
      </c>
      <c r="F313" t="s">
        <v>88</v>
      </c>
      <c r="G313" t="s">
        <v>15</v>
      </c>
      <c r="H313" t="s">
        <v>195</v>
      </c>
      <c r="I313" t="s">
        <v>154</v>
      </c>
      <c r="J313">
        <v>0</v>
      </c>
      <c r="K313" t="s">
        <v>18</v>
      </c>
    </row>
    <row r="314" spans="1:11" x14ac:dyDescent="0.3">
      <c r="A314" t="str">
        <f t="shared" si="8"/>
        <v xml:space="preserve">2021-05-07   2021-05-11, , , , </v>
      </c>
      <c r="B314" t="s">
        <v>437</v>
      </c>
      <c r="C314" t="s">
        <v>174</v>
      </c>
    </row>
    <row r="315" spans="1:11" x14ac:dyDescent="0.3">
      <c r="A315" t="str">
        <f t="shared" si="8"/>
        <v>Name,  drawdown_date,  dtype,  datetime64[ns]),  'net_liq_mdd'</v>
      </c>
      <c r="B315" t="s">
        <v>328</v>
      </c>
      <c r="C315" t="s">
        <v>85</v>
      </c>
      <c r="D315" t="s">
        <v>86</v>
      </c>
      <c r="E315" t="s">
        <v>87</v>
      </c>
      <c r="F315" t="s">
        <v>88</v>
      </c>
      <c r="G315" t="s">
        <v>15</v>
      </c>
      <c r="H315" t="s">
        <v>203</v>
      </c>
      <c r="I315" t="s">
        <v>160</v>
      </c>
      <c r="J315">
        <v>0</v>
      </c>
      <c r="K315" t="s">
        <v>18</v>
      </c>
    </row>
    <row r="316" spans="1:11" x14ac:dyDescent="0.3">
      <c r="A316" t="str">
        <f t="shared" si="8"/>
        <v xml:space="preserve">2010-09-06   2010-11-11, , , , </v>
      </c>
      <c r="B316" t="s">
        <v>414</v>
      </c>
      <c r="C316" t="s">
        <v>153</v>
      </c>
    </row>
    <row r="317" spans="1:11" x14ac:dyDescent="0.3">
      <c r="A317" t="str">
        <f t="shared" si="8"/>
        <v>Name,  drawdown_date,  dtype,  datetime64[ns]),  'net_liq_mdd'</v>
      </c>
      <c r="B317" t="s">
        <v>328</v>
      </c>
      <c r="C317" t="s">
        <v>85</v>
      </c>
      <c r="D317" t="s">
        <v>86</v>
      </c>
      <c r="E317" t="s">
        <v>87</v>
      </c>
      <c r="F317" t="s">
        <v>88</v>
      </c>
      <c r="G317" t="s">
        <v>15</v>
      </c>
      <c r="H317" t="s">
        <v>151</v>
      </c>
      <c r="I317" t="s">
        <v>154</v>
      </c>
      <c r="J317">
        <v>0</v>
      </c>
      <c r="K317" t="s">
        <v>18</v>
      </c>
    </row>
    <row r="318" spans="1:11" x14ac:dyDescent="0.3">
      <c r="A318" t="str">
        <f t="shared" si="8"/>
        <v xml:space="preserve">2021-05-07   2021-05-12, , , , </v>
      </c>
      <c r="B318" t="s">
        <v>474</v>
      </c>
      <c r="C318" t="s">
        <v>213</v>
      </c>
    </row>
    <row r="319" spans="1:11" x14ac:dyDescent="0.3">
      <c r="A319" t="str">
        <f t="shared" si="8"/>
        <v>Name,  drawdown_date,  dtype,  datetime64[ns]),  'net_liq_mdd'</v>
      </c>
      <c r="B319" t="s">
        <v>328</v>
      </c>
      <c r="C319" t="s">
        <v>85</v>
      </c>
      <c r="D319" t="s">
        <v>86</v>
      </c>
      <c r="E319" t="s">
        <v>87</v>
      </c>
      <c r="F319" t="s">
        <v>88</v>
      </c>
      <c r="G319" t="s">
        <v>15</v>
      </c>
      <c r="H319" t="s">
        <v>159</v>
      </c>
      <c r="I319" t="s">
        <v>160</v>
      </c>
      <c r="J319">
        <v>0</v>
      </c>
      <c r="K319" t="s">
        <v>18</v>
      </c>
    </row>
    <row r="320" spans="1:11" x14ac:dyDescent="0.3">
      <c r="A320" t="str">
        <f t="shared" si="8"/>
        <v xml:space="preserve">2021-05-07   2021-05-11, , , , </v>
      </c>
      <c r="B320" t="s">
        <v>437</v>
      </c>
      <c r="C320" t="s">
        <v>174</v>
      </c>
    </row>
    <row r="321" spans="1:11" x14ac:dyDescent="0.3">
      <c r="A321" t="str">
        <f t="shared" si="8"/>
        <v>Name,  drawdown_date,  dtype,  datetime64[ns]),  'net_liq_mdd'</v>
      </c>
      <c r="B321" t="s">
        <v>328</v>
      </c>
      <c r="C321" t="s">
        <v>85</v>
      </c>
      <c r="D321" t="s">
        <v>86</v>
      </c>
      <c r="E321" t="s">
        <v>87</v>
      </c>
      <c r="F321" t="s">
        <v>88</v>
      </c>
      <c r="G321" t="s">
        <v>15</v>
      </c>
      <c r="H321" t="s">
        <v>217</v>
      </c>
      <c r="I321" t="s">
        <v>160</v>
      </c>
      <c r="J321">
        <v>0</v>
      </c>
      <c r="K321" t="s">
        <v>18</v>
      </c>
    </row>
    <row r="322" spans="1:11" x14ac:dyDescent="0.3">
      <c r="A322" t="str">
        <f t="shared" ref="A322:A327" si="10">_xlfn.TEXTJOIN(", ", FALSE, C322,D322,E322,F322,G322)</f>
        <v xml:space="preserve">2021-05-07   2021-05-11, , , , </v>
      </c>
      <c r="B322" t="s">
        <v>437</v>
      </c>
      <c r="C322" t="s">
        <v>174</v>
      </c>
    </row>
    <row r="323" spans="1:11" x14ac:dyDescent="0.3">
      <c r="A323" t="str">
        <f t="shared" si="10"/>
        <v>Name,  drawdown_date,  dtype,  datetime64[ns]),  'net_liq_mdd'</v>
      </c>
      <c r="B323" t="s">
        <v>328</v>
      </c>
      <c r="C323" t="s">
        <v>85</v>
      </c>
      <c r="D323" t="s">
        <v>86</v>
      </c>
      <c r="E323" t="s">
        <v>87</v>
      </c>
      <c r="F323" t="s">
        <v>88</v>
      </c>
      <c r="G323" t="s">
        <v>15</v>
      </c>
      <c r="H323" t="s">
        <v>169</v>
      </c>
      <c r="I323" t="s">
        <v>160</v>
      </c>
      <c r="J323">
        <v>0</v>
      </c>
      <c r="K323" t="s">
        <v>18</v>
      </c>
    </row>
    <row r="324" spans="1:11" x14ac:dyDescent="0.3">
      <c r="A324" t="str">
        <f t="shared" si="10"/>
        <v xml:space="preserve">2021-05-07   2021-05-11, , , , </v>
      </c>
      <c r="B324" t="s">
        <v>437</v>
      </c>
      <c r="C324" t="s">
        <v>174</v>
      </c>
    </row>
    <row r="325" spans="1:11" x14ac:dyDescent="0.3">
      <c r="A325" t="str">
        <f t="shared" si="10"/>
        <v>Name,  drawdown_date,  dtype,  datetime64[ns]),  'net_liq_mdd'</v>
      </c>
      <c r="B325" t="s">
        <v>328</v>
      </c>
      <c r="C325" t="s">
        <v>85</v>
      </c>
      <c r="D325" t="s">
        <v>86</v>
      </c>
      <c r="E325" t="s">
        <v>87</v>
      </c>
      <c r="F325" t="s">
        <v>88</v>
      </c>
      <c r="G325" t="s">
        <v>15</v>
      </c>
      <c r="H325" t="s">
        <v>169</v>
      </c>
      <c r="I325" t="s">
        <v>160</v>
      </c>
      <c r="J325">
        <v>0</v>
      </c>
      <c r="K325" t="s">
        <v>18</v>
      </c>
    </row>
    <row r="326" spans="1:11" x14ac:dyDescent="0.3">
      <c r="A326" t="str">
        <f t="shared" si="10"/>
        <v xml:space="preserve">2022-10-04   2022-12-02, , , , </v>
      </c>
      <c r="B326" t="s">
        <v>502</v>
      </c>
      <c r="C326" t="s">
        <v>237</v>
      </c>
    </row>
    <row r="327" spans="1:11" x14ac:dyDescent="0.3">
      <c r="A327" t="str">
        <f t="shared" si="10"/>
        <v>Name,  drawdown_date,  dtype,  datetime64[ns]),  'net_liq_mdd'</v>
      </c>
      <c r="B327" t="s">
        <v>328</v>
      </c>
      <c r="C327" t="s">
        <v>85</v>
      </c>
      <c r="D327" t="s">
        <v>86</v>
      </c>
      <c r="E327" t="s">
        <v>87</v>
      </c>
      <c r="F327" t="s">
        <v>88</v>
      </c>
      <c r="G327" t="s">
        <v>15</v>
      </c>
      <c r="H327" t="s">
        <v>234</v>
      </c>
      <c r="I327" t="s">
        <v>183</v>
      </c>
      <c r="J327">
        <v>0</v>
      </c>
      <c r="K327" t="s">
        <v>18</v>
      </c>
    </row>
  </sheetData>
  <autoFilter ref="A2:AF327" xr:uid="{551A8C7C-34D3-438A-AF96-0DE40FD81354}">
    <sortState xmlns:xlrd2="http://schemas.microsoft.com/office/spreadsheetml/2017/richdata2" ref="A3:AF327">
      <sortCondition descending="1" ref="N2:N327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066A-32FE-40AF-9D24-54E597527C21}">
  <sheetPr>
    <tabColor rgb="FFFF0000"/>
  </sheetPr>
  <dimension ref="A2:AE60"/>
  <sheetViews>
    <sheetView zoomScale="85" zoomScaleNormal="85" workbookViewId="0">
      <selection activeCell="H18" sqref="H18"/>
    </sheetView>
  </sheetViews>
  <sheetFormatPr defaultRowHeight="16.5" x14ac:dyDescent="0.3"/>
  <cols>
    <col min="1" max="1" width="43.625" customWidth="1"/>
    <col min="11" max="11" width="9" style="3"/>
  </cols>
  <sheetData>
    <row r="2" spans="1:31" x14ac:dyDescent="0.3">
      <c r="A2" t="s">
        <v>294</v>
      </c>
      <c r="B2" t="s">
        <v>0</v>
      </c>
      <c r="C2" t="s">
        <v>1</v>
      </c>
      <c r="D2">
        <v>0.4</v>
      </c>
      <c r="E2" t="s">
        <v>2</v>
      </c>
      <c r="F2" t="s">
        <v>26</v>
      </c>
      <c r="G2" t="s">
        <v>4</v>
      </c>
      <c r="H2">
        <v>3073</v>
      </c>
      <c r="I2" t="s">
        <v>5</v>
      </c>
      <c r="J2">
        <v>653</v>
      </c>
      <c r="K2" s="3">
        <f>J2/H2</f>
        <v>0.21249593231369998</v>
      </c>
      <c r="L2" t="s">
        <v>6</v>
      </c>
      <c r="M2">
        <v>485.78</v>
      </c>
      <c r="N2" t="s">
        <v>7</v>
      </c>
      <c r="O2">
        <v>0.15808005206638401</v>
      </c>
      <c r="P2" t="s">
        <v>8</v>
      </c>
      <c r="Q2">
        <v>7.2976875957120804</v>
      </c>
      <c r="R2" t="s">
        <v>9</v>
      </c>
      <c r="S2">
        <v>-1.76843388429752</v>
      </c>
      <c r="T2" t="s">
        <v>10</v>
      </c>
      <c r="U2">
        <v>11.2588976347509</v>
      </c>
      <c r="V2" t="s">
        <v>11</v>
      </c>
      <c r="W2" t="s">
        <v>20</v>
      </c>
      <c r="X2" t="s">
        <v>21</v>
      </c>
      <c r="Y2">
        <v>0</v>
      </c>
      <c r="Z2" t="s">
        <v>14</v>
      </c>
      <c r="AA2" t="s">
        <v>15</v>
      </c>
      <c r="AB2" t="s">
        <v>24</v>
      </c>
      <c r="AC2" t="s">
        <v>25</v>
      </c>
      <c r="AD2">
        <v>0</v>
      </c>
      <c r="AE2" t="s">
        <v>18</v>
      </c>
    </row>
    <row r="3" spans="1:31" x14ac:dyDescent="0.3">
      <c r="A3" t="s">
        <v>306</v>
      </c>
      <c r="B3" t="s">
        <v>0</v>
      </c>
      <c r="C3" t="s">
        <v>1</v>
      </c>
      <c r="D3">
        <v>0.3</v>
      </c>
      <c r="E3" t="s">
        <v>2</v>
      </c>
      <c r="F3" t="s">
        <v>26</v>
      </c>
      <c r="G3" t="s">
        <v>4</v>
      </c>
      <c r="H3">
        <v>3073</v>
      </c>
      <c r="I3" t="s">
        <v>5</v>
      </c>
      <c r="J3">
        <v>518</v>
      </c>
      <c r="K3" s="3">
        <f t="shared" ref="K3:K60" si="0">J3/H3</f>
        <v>0.16856492027334852</v>
      </c>
      <c r="L3" t="s">
        <v>6</v>
      </c>
      <c r="M3">
        <v>156.82999999999899</v>
      </c>
      <c r="N3" t="s">
        <v>7</v>
      </c>
      <c r="O3">
        <v>5.10348193947281E-2</v>
      </c>
      <c r="P3" t="s">
        <v>8</v>
      </c>
      <c r="Q3">
        <v>6.0409073359073302</v>
      </c>
      <c r="R3" t="s">
        <v>9</v>
      </c>
      <c r="S3">
        <v>-1.1633502935420701</v>
      </c>
      <c r="T3" t="s">
        <v>10</v>
      </c>
      <c r="U3">
        <v>7.6369804404683697</v>
      </c>
      <c r="V3" t="s">
        <v>11</v>
      </c>
      <c r="W3" t="s">
        <v>52</v>
      </c>
      <c r="X3" t="s">
        <v>53</v>
      </c>
      <c r="Y3">
        <v>0</v>
      </c>
      <c r="Z3" t="s">
        <v>14</v>
      </c>
      <c r="AA3" t="s">
        <v>15</v>
      </c>
      <c r="AB3" t="s">
        <v>55</v>
      </c>
      <c r="AC3" t="s">
        <v>56</v>
      </c>
      <c r="AD3">
        <v>0</v>
      </c>
      <c r="AE3" t="s">
        <v>18</v>
      </c>
    </row>
    <row r="4" spans="1:31" x14ac:dyDescent="0.3">
      <c r="A4" t="s">
        <v>293</v>
      </c>
      <c r="B4" t="s">
        <v>0</v>
      </c>
      <c r="C4" t="s">
        <v>1</v>
      </c>
      <c r="D4">
        <v>0.4</v>
      </c>
      <c r="E4" t="s">
        <v>2</v>
      </c>
      <c r="F4" t="s">
        <v>23</v>
      </c>
      <c r="G4" t="s">
        <v>4</v>
      </c>
      <c r="H4">
        <v>3073</v>
      </c>
      <c r="I4" t="s">
        <v>5</v>
      </c>
      <c r="J4">
        <v>665</v>
      </c>
      <c r="K4" s="3">
        <f t="shared" si="0"/>
        <v>0.21640091116173121</v>
      </c>
      <c r="L4" t="s">
        <v>6</v>
      </c>
      <c r="M4">
        <v>152.14000000000101</v>
      </c>
      <c r="N4" t="s">
        <v>7</v>
      </c>
      <c r="O4">
        <v>4.9508623494956501E-2</v>
      </c>
      <c r="P4" t="s">
        <v>8</v>
      </c>
      <c r="Q4">
        <v>6.6283007518796904</v>
      </c>
      <c r="R4" t="s">
        <v>9</v>
      </c>
      <c r="S4">
        <v>-1.76730897009967</v>
      </c>
      <c r="T4" t="s">
        <v>10</v>
      </c>
      <c r="U4">
        <v>10.3563681817761</v>
      </c>
      <c r="V4" t="s">
        <v>11</v>
      </c>
      <c r="W4" t="s">
        <v>20</v>
      </c>
      <c r="X4" t="s">
        <v>21</v>
      </c>
      <c r="Y4">
        <v>0</v>
      </c>
      <c r="Z4" t="s">
        <v>14</v>
      </c>
      <c r="AA4" t="s">
        <v>15</v>
      </c>
      <c r="AB4" t="s">
        <v>24</v>
      </c>
      <c r="AC4" t="s">
        <v>25</v>
      </c>
      <c r="AD4">
        <v>0</v>
      </c>
      <c r="AE4" t="s">
        <v>18</v>
      </c>
    </row>
    <row r="5" spans="1:31" x14ac:dyDescent="0.3">
      <c r="A5" t="s">
        <v>302</v>
      </c>
      <c r="B5" t="s">
        <v>0</v>
      </c>
      <c r="C5" t="s">
        <v>1</v>
      </c>
      <c r="D5">
        <v>0.4</v>
      </c>
      <c r="E5" t="s">
        <v>37</v>
      </c>
      <c r="F5" t="s">
        <v>44</v>
      </c>
      <c r="G5" t="s">
        <v>4</v>
      </c>
      <c r="H5">
        <v>3810</v>
      </c>
      <c r="I5" t="s">
        <v>5</v>
      </c>
      <c r="J5">
        <v>719</v>
      </c>
      <c r="K5" s="3">
        <f t="shared" si="0"/>
        <v>0.18871391076115485</v>
      </c>
      <c r="L5" t="s">
        <v>6</v>
      </c>
      <c r="M5">
        <v>110.740544467425</v>
      </c>
      <c r="N5" t="s">
        <v>7</v>
      </c>
      <c r="O5">
        <v>2.90657597027363E-2</v>
      </c>
      <c r="P5" t="s">
        <v>8</v>
      </c>
      <c r="Q5">
        <v>11.3040953952832</v>
      </c>
      <c r="R5" t="s">
        <v>9</v>
      </c>
      <c r="S5">
        <v>-2.5936279665937301</v>
      </c>
      <c r="T5" t="s">
        <v>10</v>
      </c>
      <c r="U5">
        <v>17.251104226937102</v>
      </c>
      <c r="V5" t="s">
        <v>11</v>
      </c>
      <c r="W5" t="s">
        <v>34</v>
      </c>
      <c r="X5" t="s">
        <v>21</v>
      </c>
      <c r="Y5">
        <v>0</v>
      </c>
      <c r="Z5" t="s">
        <v>14</v>
      </c>
      <c r="AA5" t="s">
        <v>15</v>
      </c>
      <c r="AB5" t="s">
        <v>45</v>
      </c>
      <c r="AC5" t="s">
        <v>46</v>
      </c>
      <c r="AD5">
        <v>0</v>
      </c>
      <c r="AE5" t="s">
        <v>18</v>
      </c>
    </row>
    <row r="6" spans="1:31" x14ac:dyDescent="0.3">
      <c r="A6" t="s">
        <v>326</v>
      </c>
      <c r="B6" t="s">
        <v>0</v>
      </c>
      <c r="C6" t="s">
        <v>1</v>
      </c>
      <c r="D6">
        <v>0.2</v>
      </c>
      <c r="E6" t="s">
        <v>37</v>
      </c>
      <c r="F6" t="s">
        <v>44</v>
      </c>
      <c r="G6" t="s">
        <v>4</v>
      </c>
      <c r="H6">
        <v>3810</v>
      </c>
      <c r="I6" t="s">
        <v>5</v>
      </c>
      <c r="J6">
        <v>483</v>
      </c>
      <c r="K6" s="3">
        <f t="shared" si="0"/>
        <v>0.12677165354330708</v>
      </c>
      <c r="L6" t="s">
        <v>6</v>
      </c>
      <c r="M6">
        <v>83.365597257601806</v>
      </c>
      <c r="N6" t="s">
        <v>7</v>
      </c>
      <c r="O6">
        <v>2.1880734188346899E-2</v>
      </c>
      <c r="P6" t="s">
        <v>8</v>
      </c>
      <c r="Q6">
        <v>7.0375231936557396</v>
      </c>
      <c r="R6" t="s">
        <v>9</v>
      </c>
      <c r="S6">
        <v>-0.99662101150529703</v>
      </c>
      <c r="T6" t="s">
        <v>10</v>
      </c>
      <c r="U6">
        <v>7.0581227535760203</v>
      </c>
      <c r="V6" t="s">
        <v>11</v>
      </c>
      <c r="W6" t="s">
        <v>82</v>
      </c>
      <c r="X6" t="s">
        <v>83</v>
      </c>
    </row>
    <row r="7" spans="1:31" x14ac:dyDescent="0.3">
      <c r="A7" t="s">
        <v>298</v>
      </c>
      <c r="B7" t="s">
        <v>0</v>
      </c>
      <c r="C7" t="s">
        <v>1</v>
      </c>
      <c r="D7">
        <v>0.4</v>
      </c>
      <c r="E7" t="s">
        <v>27</v>
      </c>
      <c r="F7" t="s">
        <v>36</v>
      </c>
      <c r="G7" t="s">
        <v>4</v>
      </c>
      <c r="H7">
        <v>3050</v>
      </c>
      <c r="I7" t="s">
        <v>5</v>
      </c>
      <c r="J7">
        <v>588</v>
      </c>
      <c r="K7" s="3">
        <f t="shared" si="0"/>
        <v>0.19278688524590165</v>
      </c>
      <c r="L7" t="s">
        <v>6</v>
      </c>
      <c r="M7">
        <v>81.049999999999699</v>
      </c>
      <c r="N7" t="s">
        <v>7</v>
      </c>
      <c r="O7">
        <v>2.6573770491803098E-2</v>
      </c>
      <c r="P7" t="s">
        <v>8</v>
      </c>
      <c r="Q7">
        <v>9.31335034013604</v>
      </c>
      <c r="R7" t="s">
        <v>9</v>
      </c>
      <c r="S7">
        <v>-2.1913891145410198</v>
      </c>
      <c r="T7" t="s">
        <v>10</v>
      </c>
      <c r="U7">
        <v>13.249429268788401</v>
      </c>
      <c r="V7" t="s">
        <v>11</v>
      </c>
      <c r="W7" t="s">
        <v>34</v>
      </c>
      <c r="X7" t="s">
        <v>21</v>
      </c>
      <c r="Y7">
        <v>0</v>
      </c>
      <c r="Z7" t="s">
        <v>14</v>
      </c>
      <c r="AA7" t="s">
        <v>15</v>
      </c>
      <c r="AB7" t="s">
        <v>35</v>
      </c>
      <c r="AC7" t="s">
        <v>21</v>
      </c>
      <c r="AD7">
        <v>0</v>
      </c>
      <c r="AE7" t="s">
        <v>18</v>
      </c>
    </row>
    <row r="8" spans="1:31" s="5" customFormat="1" x14ac:dyDescent="0.3">
      <c r="A8" s="5" t="s">
        <v>396</v>
      </c>
      <c r="B8" s="5" t="s">
        <v>134</v>
      </c>
      <c r="C8" s="5" t="s">
        <v>1</v>
      </c>
      <c r="D8" s="5">
        <v>0.4</v>
      </c>
      <c r="E8" s="5" t="s">
        <v>27</v>
      </c>
      <c r="F8" s="5" t="s">
        <v>36</v>
      </c>
      <c r="G8" s="5" t="s">
        <v>4</v>
      </c>
      <c r="H8" s="5">
        <v>136</v>
      </c>
      <c r="I8" s="5" t="s">
        <v>5</v>
      </c>
      <c r="J8" s="5">
        <v>30</v>
      </c>
      <c r="K8" s="9">
        <f t="shared" si="0"/>
        <v>0.22058823529411764</v>
      </c>
      <c r="L8" s="5" t="s">
        <v>6</v>
      </c>
      <c r="M8" s="5">
        <v>47.42</v>
      </c>
      <c r="N8" s="5" t="s">
        <v>7</v>
      </c>
      <c r="O8" s="5">
        <v>0.34867647058823498</v>
      </c>
      <c r="P8" s="5" t="s">
        <v>8</v>
      </c>
      <c r="Q8" s="5">
        <v>9.2233333333333292</v>
      </c>
      <c r="R8" s="5" t="s">
        <v>9</v>
      </c>
      <c r="S8" s="5">
        <v>-2.1630188679245199</v>
      </c>
      <c r="T8" s="5" t="s">
        <v>10</v>
      </c>
      <c r="U8" s="5">
        <v>0.93939441976492599</v>
      </c>
      <c r="V8" s="5" t="s">
        <v>11</v>
      </c>
      <c r="W8" s="5" t="s">
        <v>141</v>
      </c>
      <c r="X8" s="5" t="s">
        <v>21</v>
      </c>
      <c r="Y8" s="5">
        <v>0</v>
      </c>
      <c r="Z8" s="5" t="s">
        <v>14</v>
      </c>
      <c r="AA8" s="5" t="s">
        <v>15</v>
      </c>
      <c r="AB8" s="5" t="s">
        <v>141</v>
      </c>
      <c r="AC8" s="5" t="s">
        <v>21</v>
      </c>
      <c r="AD8" s="5">
        <v>0</v>
      </c>
      <c r="AE8" s="5" t="s">
        <v>18</v>
      </c>
    </row>
    <row r="9" spans="1:31" s="5" customFormat="1" x14ac:dyDescent="0.3">
      <c r="A9" s="5" t="s">
        <v>392</v>
      </c>
      <c r="B9" s="5" t="s">
        <v>134</v>
      </c>
      <c r="C9" s="5" t="s">
        <v>1</v>
      </c>
      <c r="D9" s="5">
        <v>0.4</v>
      </c>
      <c r="E9" s="5" t="s">
        <v>2</v>
      </c>
      <c r="F9" s="5" t="s">
        <v>26</v>
      </c>
      <c r="G9" s="5" t="s">
        <v>4</v>
      </c>
      <c r="H9" s="5">
        <v>140</v>
      </c>
      <c r="I9" s="5" t="s">
        <v>5</v>
      </c>
      <c r="J9" s="5">
        <v>33</v>
      </c>
      <c r="K9" s="9">
        <f t="shared" si="0"/>
        <v>0.23571428571428571</v>
      </c>
      <c r="L9" s="5" t="s">
        <v>6</v>
      </c>
      <c r="M9" s="5">
        <v>40.840000000000003</v>
      </c>
      <c r="N9" s="5" t="s">
        <v>7</v>
      </c>
      <c r="O9" s="5">
        <v>0.29171428571428598</v>
      </c>
      <c r="P9" s="5" t="s">
        <v>8</v>
      </c>
      <c r="Q9" s="5">
        <v>6.5887878787878797</v>
      </c>
      <c r="R9" s="5" t="s">
        <v>9</v>
      </c>
      <c r="S9" s="5">
        <v>-1.6503738317757</v>
      </c>
      <c r="T9" s="5" t="s">
        <v>10</v>
      </c>
      <c r="U9" s="5">
        <v>0.78753994410588402</v>
      </c>
      <c r="V9" s="5" t="s">
        <v>11</v>
      </c>
      <c r="W9" s="5" t="s">
        <v>138</v>
      </c>
      <c r="X9" s="5" t="s">
        <v>53</v>
      </c>
      <c r="Y9" s="5">
        <v>0</v>
      </c>
      <c r="Z9" s="5" t="s">
        <v>14</v>
      </c>
      <c r="AA9" s="5" t="s">
        <v>15</v>
      </c>
      <c r="AB9" s="5" t="s">
        <v>138</v>
      </c>
      <c r="AC9" s="5" t="s">
        <v>53</v>
      </c>
      <c r="AD9" s="5">
        <v>0</v>
      </c>
      <c r="AE9" s="5" t="s">
        <v>18</v>
      </c>
    </row>
    <row r="10" spans="1:31" s="5" customFormat="1" x14ac:dyDescent="0.3">
      <c r="A10" s="5" t="s">
        <v>405</v>
      </c>
      <c r="B10" s="5" t="s">
        <v>134</v>
      </c>
      <c r="C10" s="5" t="s">
        <v>1</v>
      </c>
      <c r="D10" s="5">
        <v>0.3</v>
      </c>
      <c r="E10" s="5" t="s">
        <v>2</v>
      </c>
      <c r="F10" s="5" t="s">
        <v>26</v>
      </c>
      <c r="G10" s="5" t="s">
        <v>4</v>
      </c>
      <c r="H10" s="5">
        <v>140</v>
      </c>
      <c r="I10" s="5" t="s">
        <v>5</v>
      </c>
      <c r="J10" s="5">
        <v>25</v>
      </c>
      <c r="K10" s="9">
        <f t="shared" si="0"/>
        <v>0.17857142857142858</v>
      </c>
      <c r="L10" s="5" t="s">
        <v>6</v>
      </c>
      <c r="M10" s="5">
        <v>39.75</v>
      </c>
      <c r="N10" s="5" t="s">
        <v>7</v>
      </c>
      <c r="O10" s="5">
        <v>0.28392857142857097</v>
      </c>
      <c r="P10" s="5" t="s">
        <v>8</v>
      </c>
      <c r="Q10" s="5">
        <v>6.2160000000000002</v>
      </c>
      <c r="R10" s="5" t="s">
        <v>9</v>
      </c>
      <c r="S10" s="5">
        <v>-1.00565217391304</v>
      </c>
      <c r="T10" s="5" t="s">
        <v>10</v>
      </c>
      <c r="U10" s="5">
        <v>0.61283544744293905</v>
      </c>
      <c r="V10" s="5" t="s">
        <v>11</v>
      </c>
      <c r="W10" s="5" t="s">
        <v>147</v>
      </c>
      <c r="X10" s="5" t="s">
        <v>53</v>
      </c>
      <c r="Y10" s="5">
        <v>0</v>
      </c>
      <c r="Z10" s="5" t="s">
        <v>14</v>
      </c>
      <c r="AA10" s="5" t="s">
        <v>15</v>
      </c>
      <c r="AB10" s="5" t="s">
        <v>147</v>
      </c>
      <c r="AC10" s="5" t="s">
        <v>53</v>
      </c>
      <c r="AD10" s="5">
        <v>0</v>
      </c>
      <c r="AE10" s="5" t="s">
        <v>18</v>
      </c>
    </row>
    <row r="11" spans="1:31" s="5" customFormat="1" x14ac:dyDescent="0.3">
      <c r="A11" s="5" t="s">
        <v>426</v>
      </c>
      <c r="B11" s="5" t="s">
        <v>134</v>
      </c>
      <c r="C11" s="5" t="s">
        <v>1</v>
      </c>
      <c r="D11" s="5">
        <v>0.2</v>
      </c>
      <c r="E11" s="5" t="s">
        <v>37</v>
      </c>
      <c r="F11" s="5" t="s">
        <v>44</v>
      </c>
      <c r="G11" s="5" t="s">
        <v>4</v>
      </c>
      <c r="H11" s="5">
        <v>177</v>
      </c>
      <c r="I11" s="5" t="s">
        <v>5</v>
      </c>
      <c r="J11" s="5">
        <v>27</v>
      </c>
      <c r="K11" s="9">
        <f t="shared" si="0"/>
        <v>0.15254237288135594</v>
      </c>
      <c r="L11" s="5" t="s">
        <v>6</v>
      </c>
      <c r="M11" s="5">
        <v>38.894437357472199</v>
      </c>
      <c r="N11" s="5" t="s">
        <v>7</v>
      </c>
      <c r="O11" s="5">
        <v>0.21974258394051999</v>
      </c>
      <c r="P11" s="5" t="s">
        <v>8</v>
      </c>
      <c r="Q11" s="5">
        <v>6.6233333333333304</v>
      </c>
      <c r="R11" s="5" t="s">
        <v>9</v>
      </c>
      <c r="S11" s="5">
        <v>-0.93290375095018496</v>
      </c>
      <c r="T11" s="5" t="s">
        <v>10</v>
      </c>
      <c r="U11" s="5">
        <v>0.61137086470401203</v>
      </c>
      <c r="V11" s="5" t="s">
        <v>11</v>
      </c>
      <c r="W11" s="5" t="s">
        <v>163</v>
      </c>
      <c r="X11" s="5" t="s">
        <v>17</v>
      </c>
      <c r="Y11" s="5">
        <v>0</v>
      </c>
      <c r="Z11" s="5" t="s">
        <v>14</v>
      </c>
      <c r="AA11" s="5" t="s">
        <v>15</v>
      </c>
      <c r="AB11" s="5" t="s">
        <v>163</v>
      </c>
      <c r="AC11" s="5" t="s">
        <v>17</v>
      </c>
      <c r="AD11" s="5">
        <v>0</v>
      </c>
      <c r="AE11" s="5" t="s">
        <v>18</v>
      </c>
    </row>
    <row r="12" spans="1:31" s="5" customFormat="1" x14ac:dyDescent="0.3">
      <c r="A12" s="5" t="s">
        <v>395</v>
      </c>
      <c r="B12" s="5" t="s">
        <v>134</v>
      </c>
      <c r="C12" s="5" t="s">
        <v>1</v>
      </c>
      <c r="D12" s="5">
        <v>0.4</v>
      </c>
      <c r="E12" s="5" t="s">
        <v>27</v>
      </c>
      <c r="F12" s="5" t="s">
        <v>33</v>
      </c>
      <c r="G12" s="5" t="s">
        <v>4</v>
      </c>
      <c r="H12" s="5">
        <v>136</v>
      </c>
      <c r="I12" s="5" t="s">
        <v>5</v>
      </c>
      <c r="J12" s="5">
        <v>31</v>
      </c>
      <c r="K12" s="9">
        <f t="shared" si="0"/>
        <v>0.22794117647058823</v>
      </c>
      <c r="L12" s="5" t="s">
        <v>6</v>
      </c>
      <c r="M12" s="5">
        <v>35.86</v>
      </c>
      <c r="N12" s="5" t="s">
        <v>7</v>
      </c>
      <c r="O12" s="5">
        <v>0.26367647058823501</v>
      </c>
      <c r="P12" s="5" t="s">
        <v>8</v>
      </c>
      <c r="Q12" s="5">
        <v>8.5035483870967692</v>
      </c>
      <c r="R12" s="5" t="s">
        <v>9</v>
      </c>
      <c r="S12" s="5">
        <v>-2.16904761904761</v>
      </c>
      <c r="T12" s="5" t="s">
        <v>10</v>
      </c>
      <c r="U12" s="5">
        <v>0.89258910437067895</v>
      </c>
      <c r="V12" s="5" t="s">
        <v>11</v>
      </c>
      <c r="W12" s="5" t="s">
        <v>141</v>
      </c>
      <c r="X12" s="5" t="s">
        <v>21</v>
      </c>
      <c r="Y12" s="5">
        <v>0</v>
      </c>
      <c r="Z12" s="5" t="s">
        <v>14</v>
      </c>
      <c r="AA12" s="5" t="s">
        <v>15</v>
      </c>
      <c r="AB12" s="5" t="s">
        <v>141</v>
      </c>
      <c r="AC12" s="5" t="s">
        <v>21</v>
      </c>
      <c r="AD12" s="5">
        <v>0</v>
      </c>
      <c r="AE12" s="5" t="s">
        <v>18</v>
      </c>
    </row>
    <row r="13" spans="1:31" s="5" customFormat="1" x14ac:dyDescent="0.3">
      <c r="A13" s="5" t="s">
        <v>409</v>
      </c>
      <c r="B13" s="5" t="s">
        <v>134</v>
      </c>
      <c r="C13" s="5" t="s">
        <v>1</v>
      </c>
      <c r="D13" s="5">
        <v>0.3</v>
      </c>
      <c r="E13" s="5" t="s">
        <v>27</v>
      </c>
      <c r="F13" s="5" t="s">
        <v>36</v>
      </c>
      <c r="G13" s="5" t="s">
        <v>4</v>
      </c>
      <c r="H13" s="5">
        <v>136</v>
      </c>
      <c r="I13" s="5" t="s">
        <v>5</v>
      </c>
      <c r="J13" s="5">
        <v>24</v>
      </c>
      <c r="K13" s="9">
        <f t="shared" si="0"/>
        <v>0.17647058823529413</v>
      </c>
      <c r="L13" s="5" t="s">
        <v>6</v>
      </c>
      <c r="M13" s="5">
        <v>34.99</v>
      </c>
      <c r="N13" s="5" t="s">
        <v>7</v>
      </c>
      <c r="O13" s="5">
        <v>0.25727941176470598</v>
      </c>
      <c r="P13" s="5" t="s">
        <v>8</v>
      </c>
      <c r="Q13" s="5">
        <v>7.7975000000000003</v>
      </c>
      <c r="R13" s="5" t="s">
        <v>9</v>
      </c>
      <c r="S13" s="5">
        <v>-1.3584821428571401</v>
      </c>
      <c r="T13" s="5" t="s">
        <v>10</v>
      </c>
      <c r="U13" s="5">
        <v>0.66897500535968402</v>
      </c>
      <c r="V13" s="5" t="s">
        <v>11</v>
      </c>
      <c r="W13" s="5" t="s">
        <v>148</v>
      </c>
      <c r="X13" s="5" t="s">
        <v>21</v>
      </c>
      <c r="Y13" s="5">
        <v>0</v>
      </c>
      <c r="Z13" s="5" t="s">
        <v>14</v>
      </c>
      <c r="AA13" s="5" t="s">
        <v>15</v>
      </c>
      <c r="AB13" s="5" t="s">
        <v>148</v>
      </c>
      <c r="AC13" s="5" t="s">
        <v>21</v>
      </c>
      <c r="AD13" s="5">
        <v>0</v>
      </c>
      <c r="AE13" s="5" t="s">
        <v>18</v>
      </c>
    </row>
    <row r="14" spans="1:31" s="5" customFormat="1" x14ac:dyDescent="0.3">
      <c r="A14" s="5" t="s">
        <v>500</v>
      </c>
      <c r="B14" s="5" t="s">
        <v>221</v>
      </c>
      <c r="C14" s="5" t="s">
        <v>1</v>
      </c>
      <c r="D14" s="5">
        <v>0.4</v>
      </c>
      <c r="E14" s="5" t="s">
        <v>37</v>
      </c>
      <c r="F14" s="5" t="s">
        <v>42</v>
      </c>
      <c r="G14" s="5" t="s">
        <v>4</v>
      </c>
      <c r="H14" s="5">
        <v>40</v>
      </c>
      <c r="I14" s="5" t="s">
        <v>5</v>
      </c>
      <c r="J14" s="5">
        <v>10</v>
      </c>
      <c r="K14" s="9">
        <f t="shared" si="0"/>
        <v>0.25</v>
      </c>
      <c r="L14" s="5" t="s">
        <v>6</v>
      </c>
      <c r="M14" s="5">
        <v>28.4900043973383</v>
      </c>
      <c r="N14" s="5" t="s">
        <v>7</v>
      </c>
      <c r="O14" s="5">
        <v>0.71225010993345805</v>
      </c>
      <c r="P14" s="5" t="s">
        <v>8</v>
      </c>
      <c r="Q14" s="5">
        <v>11.581</v>
      </c>
      <c r="R14" s="5" t="s">
        <v>9</v>
      </c>
      <c r="S14" s="5">
        <v>-2.9106665200887201</v>
      </c>
      <c r="T14" s="5" t="s">
        <v>10</v>
      </c>
      <c r="U14" s="5">
        <v>0.54695482591057998</v>
      </c>
      <c r="V14" s="5" t="s">
        <v>11</v>
      </c>
      <c r="W14" s="5" t="s">
        <v>233</v>
      </c>
      <c r="X14" s="5" t="s">
        <v>17</v>
      </c>
      <c r="Y14" s="5">
        <v>0</v>
      </c>
      <c r="Z14" s="5" t="s">
        <v>14</v>
      </c>
      <c r="AA14" s="5" t="s">
        <v>15</v>
      </c>
      <c r="AB14" s="5" t="s">
        <v>234</v>
      </c>
      <c r="AC14" s="5" t="s">
        <v>183</v>
      </c>
      <c r="AD14" s="5">
        <v>0</v>
      </c>
      <c r="AE14" s="5" t="s">
        <v>18</v>
      </c>
    </row>
    <row r="15" spans="1:31" s="5" customFormat="1" x14ac:dyDescent="0.3">
      <c r="A15" s="5" t="s">
        <v>400</v>
      </c>
      <c r="B15" s="5" t="s">
        <v>134</v>
      </c>
      <c r="C15" s="5" t="s">
        <v>1</v>
      </c>
      <c r="D15" s="5">
        <v>0.4</v>
      </c>
      <c r="E15" s="5" t="s">
        <v>37</v>
      </c>
      <c r="F15" s="5" t="s">
        <v>42</v>
      </c>
      <c r="G15" s="5" t="s">
        <v>4</v>
      </c>
      <c r="H15" s="5">
        <v>177</v>
      </c>
      <c r="I15" s="5" t="s">
        <v>5</v>
      </c>
      <c r="J15" s="5">
        <v>37</v>
      </c>
      <c r="K15" s="9">
        <f t="shared" si="0"/>
        <v>0.20903954802259886</v>
      </c>
      <c r="L15" s="5" t="s">
        <v>6</v>
      </c>
      <c r="M15" s="5">
        <v>27.156444739148998</v>
      </c>
      <c r="N15" s="5" t="s">
        <v>7</v>
      </c>
      <c r="O15" s="5">
        <v>0.15342624146411901</v>
      </c>
      <c r="P15" s="5" t="s">
        <v>8</v>
      </c>
      <c r="Q15" s="5">
        <v>10.2775675675675</v>
      </c>
      <c r="R15" s="5" t="s">
        <v>9</v>
      </c>
      <c r="S15" s="5">
        <v>-2.5222396804346499</v>
      </c>
      <c r="T15" s="5" t="s">
        <v>10</v>
      </c>
      <c r="U15" s="5">
        <v>1.21091206090546</v>
      </c>
      <c r="V15" s="5" t="s">
        <v>11</v>
      </c>
      <c r="W15" s="5" t="s">
        <v>141</v>
      </c>
      <c r="X15" s="5" t="s">
        <v>145</v>
      </c>
    </row>
    <row r="16" spans="1:31" s="5" customFormat="1" x14ac:dyDescent="0.3">
      <c r="A16" s="5" t="s">
        <v>413</v>
      </c>
      <c r="B16" s="5" t="s">
        <v>134</v>
      </c>
      <c r="C16" s="5" t="s">
        <v>1</v>
      </c>
      <c r="D16" s="5">
        <v>0.3</v>
      </c>
      <c r="E16" s="5" t="s">
        <v>37</v>
      </c>
      <c r="F16" s="5" t="s">
        <v>44</v>
      </c>
      <c r="G16" s="5" t="s">
        <v>4</v>
      </c>
      <c r="H16" s="5">
        <v>177</v>
      </c>
      <c r="I16" s="5" t="s">
        <v>5</v>
      </c>
      <c r="J16" s="5">
        <v>28</v>
      </c>
      <c r="K16" s="9">
        <f t="shared" si="0"/>
        <v>0.15819209039548024</v>
      </c>
      <c r="L16" s="5" t="s">
        <v>6</v>
      </c>
      <c r="M16" s="5">
        <v>26.854506860614698</v>
      </c>
      <c r="N16" s="5" t="s">
        <v>7</v>
      </c>
      <c r="O16" s="5">
        <v>0.15172037774358599</v>
      </c>
      <c r="P16" s="5" t="s">
        <v>8</v>
      </c>
      <c r="Q16" s="5">
        <v>9.5503571428571394</v>
      </c>
      <c r="R16" s="5" t="s">
        <v>9</v>
      </c>
      <c r="S16" s="5">
        <v>-1.6144663969086199</v>
      </c>
      <c r="T16" s="5" t="s">
        <v>10</v>
      </c>
      <c r="U16" s="5">
        <v>0.91483629329566996</v>
      </c>
      <c r="V16" s="5" t="s">
        <v>11</v>
      </c>
      <c r="W16" s="5" t="s">
        <v>151</v>
      </c>
      <c r="X16" s="5" t="s">
        <v>152</v>
      </c>
    </row>
    <row r="17" spans="1:31" s="5" customFormat="1" x14ac:dyDescent="0.3">
      <c r="A17" s="5" t="s">
        <v>404</v>
      </c>
      <c r="B17" s="5" t="s">
        <v>134</v>
      </c>
      <c r="C17" s="5" t="s">
        <v>1</v>
      </c>
      <c r="D17" s="5">
        <v>0.3</v>
      </c>
      <c r="E17" s="5" t="s">
        <v>2</v>
      </c>
      <c r="F17" s="5" t="s">
        <v>23</v>
      </c>
      <c r="G17" s="5" t="s">
        <v>4</v>
      </c>
      <c r="H17" s="5">
        <v>140</v>
      </c>
      <c r="I17" s="5" t="s">
        <v>5</v>
      </c>
      <c r="J17" s="5">
        <v>25</v>
      </c>
      <c r="K17" s="9">
        <f t="shared" si="0"/>
        <v>0.17857142857142858</v>
      </c>
      <c r="L17" s="5" t="s">
        <v>6</v>
      </c>
      <c r="M17" s="5">
        <v>26.51</v>
      </c>
      <c r="N17" s="5" t="s">
        <v>7</v>
      </c>
      <c r="O17" s="5">
        <v>0.189357142857143</v>
      </c>
      <c r="P17" s="5" t="s">
        <v>8</v>
      </c>
      <c r="Q17" s="5">
        <v>5.6863999999999999</v>
      </c>
      <c r="R17" s="5" t="s">
        <v>9</v>
      </c>
      <c r="S17" s="5">
        <v>-1.00565217391304</v>
      </c>
      <c r="T17" s="5" t="s">
        <v>10</v>
      </c>
      <c r="U17" s="5">
        <v>0.60035658218675203</v>
      </c>
      <c r="V17" s="5" t="s">
        <v>11</v>
      </c>
      <c r="W17" s="5" t="s">
        <v>147</v>
      </c>
      <c r="X17" s="5" t="s">
        <v>53</v>
      </c>
      <c r="Y17" s="5">
        <v>0</v>
      </c>
      <c r="Z17" s="5" t="s">
        <v>14</v>
      </c>
      <c r="AA17" s="5" t="s">
        <v>15</v>
      </c>
      <c r="AB17" s="5" t="s">
        <v>147</v>
      </c>
      <c r="AC17" s="5" t="s">
        <v>53</v>
      </c>
      <c r="AD17" s="5">
        <v>0</v>
      </c>
      <c r="AE17" s="5" t="s">
        <v>18</v>
      </c>
    </row>
    <row r="18" spans="1:31" s="5" customFormat="1" x14ac:dyDescent="0.3">
      <c r="A18" s="5" t="s">
        <v>391</v>
      </c>
      <c r="B18" s="5" t="s">
        <v>134</v>
      </c>
      <c r="C18" s="5" t="s">
        <v>1</v>
      </c>
      <c r="D18" s="5">
        <v>0.4</v>
      </c>
      <c r="E18" s="5" t="s">
        <v>2</v>
      </c>
      <c r="F18" s="5" t="s">
        <v>23</v>
      </c>
      <c r="G18" s="5" t="s">
        <v>4</v>
      </c>
      <c r="H18" s="5">
        <v>140</v>
      </c>
      <c r="I18" s="5" t="s">
        <v>5</v>
      </c>
      <c r="J18" s="5">
        <v>33</v>
      </c>
      <c r="K18" s="9">
        <f t="shared" si="0"/>
        <v>0.23571428571428571</v>
      </c>
      <c r="L18" s="5" t="s">
        <v>6</v>
      </c>
      <c r="M18" s="5">
        <v>24.79</v>
      </c>
      <c r="N18" s="5" t="s">
        <v>7</v>
      </c>
      <c r="O18" s="5">
        <v>0.17707142857142899</v>
      </c>
      <c r="P18" s="5" t="s">
        <v>8</v>
      </c>
      <c r="Q18" s="5">
        <v>6.1024242424242399</v>
      </c>
      <c r="R18" s="5" t="s">
        <v>9</v>
      </c>
      <c r="S18" s="5">
        <v>-1.6503738317757</v>
      </c>
      <c r="T18" s="5" t="s">
        <v>10</v>
      </c>
      <c r="U18" s="5">
        <v>0.76408418666446598</v>
      </c>
      <c r="V18" s="5" t="s">
        <v>11</v>
      </c>
      <c r="W18" s="5" t="s">
        <v>138</v>
      </c>
      <c r="X18" s="5" t="s">
        <v>53</v>
      </c>
      <c r="Y18" s="5">
        <v>0</v>
      </c>
      <c r="Z18" s="5" t="s">
        <v>14</v>
      </c>
      <c r="AA18" s="5" t="s">
        <v>15</v>
      </c>
      <c r="AB18" s="5" t="s">
        <v>138</v>
      </c>
      <c r="AC18" s="5" t="s">
        <v>53</v>
      </c>
      <c r="AD18" s="5">
        <v>0</v>
      </c>
      <c r="AE18" s="5" t="s">
        <v>18</v>
      </c>
    </row>
    <row r="19" spans="1:31" s="5" customFormat="1" x14ac:dyDescent="0.3">
      <c r="A19" s="5" t="s">
        <v>499</v>
      </c>
      <c r="B19" s="5" t="s">
        <v>221</v>
      </c>
      <c r="C19" s="5" t="s">
        <v>1</v>
      </c>
      <c r="D19" s="5">
        <v>0.4</v>
      </c>
      <c r="E19" s="5" t="s">
        <v>37</v>
      </c>
      <c r="F19" s="5" t="s">
        <v>40</v>
      </c>
      <c r="G19" s="5" t="s">
        <v>4</v>
      </c>
      <c r="H19" s="5">
        <v>40</v>
      </c>
      <c r="I19" s="5" t="s">
        <v>5</v>
      </c>
      <c r="J19" s="5">
        <v>11</v>
      </c>
      <c r="K19" s="9">
        <f t="shared" si="0"/>
        <v>0.27500000000000002</v>
      </c>
      <c r="L19" s="5" t="s">
        <v>6</v>
      </c>
      <c r="M19" s="5">
        <v>24.120004397338299</v>
      </c>
      <c r="N19" s="5" t="s">
        <v>7</v>
      </c>
      <c r="O19" s="5">
        <v>0.60300010993345698</v>
      </c>
      <c r="P19" s="5" t="s">
        <v>8</v>
      </c>
      <c r="Q19" s="5">
        <v>9.9290909090909096</v>
      </c>
      <c r="R19" s="5" t="s">
        <v>9</v>
      </c>
      <c r="S19" s="5">
        <v>-2.9344826069883299</v>
      </c>
      <c r="T19" s="5" t="s">
        <v>10</v>
      </c>
      <c r="U19" s="5">
        <v>0.51408048934510797</v>
      </c>
      <c r="V19" s="5" t="s">
        <v>11</v>
      </c>
      <c r="W19" s="5" t="s">
        <v>233</v>
      </c>
      <c r="X19" s="5" t="s">
        <v>17</v>
      </c>
      <c r="Y19" s="5">
        <v>0</v>
      </c>
      <c r="Z19" s="5" t="s">
        <v>14</v>
      </c>
      <c r="AA19" s="5" t="s">
        <v>15</v>
      </c>
      <c r="AB19" s="5" t="s">
        <v>231</v>
      </c>
      <c r="AC19" s="5" t="s">
        <v>232</v>
      </c>
      <c r="AD19" s="5">
        <v>0</v>
      </c>
      <c r="AE19" s="5" t="s">
        <v>18</v>
      </c>
    </row>
    <row r="20" spans="1:31" s="5" customFormat="1" x14ac:dyDescent="0.3">
      <c r="A20" s="5" t="s">
        <v>422</v>
      </c>
      <c r="B20" s="5" t="s">
        <v>134</v>
      </c>
      <c r="C20" s="5" t="s">
        <v>1</v>
      </c>
      <c r="D20" s="5">
        <v>0.2</v>
      </c>
      <c r="E20" s="5" t="s">
        <v>27</v>
      </c>
      <c r="F20" s="5" t="s">
        <v>36</v>
      </c>
      <c r="G20" s="5" t="s">
        <v>4</v>
      </c>
      <c r="H20" s="5">
        <v>136</v>
      </c>
      <c r="I20" s="5" t="s">
        <v>5</v>
      </c>
      <c r="J20" s="5">
        <v>20</v>
      </c>
      <c r="K20" s="9">
        <f t="shared" si="0"/>
        <v>0.14705882352941177</v>
      </c>
      <c r="L20" s="5" t="s">
        <v>6</v>
      </c>
      <c r="M20" s="5">
        <v>23.331429968288301</v>
      </c>
      <c r="N20" s="5" t="s">
        <v>7</v>
      </c>
      <c r="O20" s="5">
        <v>0.17155463211976699</v>
      </c>
      <c r="P20" s="5" t="s">
        <v>8</v>
      </c>
      <c r="Q20" s="5">
        <v>5.6555</v>
      </c>
      <c r="R20" s="5" t="s">
        <v>9</v>
      </c>
      <c r="S20" s="5">
        <v>-0.773953189928549</v>
      </c>
      <c r="T20" s="5" t="s">
        <v>10</v>
      </c>
      <c r="U20" s="5">
        <v>0.44177698503110502</v>
      </c>
      <c r="V20" s="5" t="s">
        <v>11</v>
      </c>
      <c r="W20" s="5" t="s">
        <v>161</v>
      </c>
      <c r="X20" s="5" t="s">
        <v>158</v>
      </c>
      <c r="Y20" s="5">
        <v>0</v>
      </c>
      <c r="Z20" s="5" t="s">
        <v>14</v>
      </c>
      <c r="AA20" s="5" t="s">
        <v>15</v>
      </c>
      <c r="AB20" s="5" t="s">
        <v>161</v>
      </c>
      <c r="AC20" s="5" t="s">
        <v>158</v>
      </c>
      <c r="AD20" s="5">
        <v>0</v>
      </c>
      <c r="AE20" s="5" t="s">
        <v>18</v>
      </c>
    </row>
    <row r="21" spans="1:31" x14ac:dyDescent="0.3">
      <c r="A21" t="s">
        <v>344</v>
      </c>
      <c r="B21" t="s">
        <v>113</v>
      </c>
      <c r="C21" t="s">
        <v>1</v>
      </c>
      <c r="D21">
        <v>0.4</v>
      </c>
      <c r="E21" t="s">
        <v>2</v>
      </c>
      <c r="F21" t="s">
        <v>26</v>
      </c>
      <c r="G21" t="s">
        <v>4</v>
      </c>
      <c r="H21">
        <v>191</v>
      </c>
      <c r="I21" t="s">
        <v>5</v>
      </c>
      <c r="J21">
        <v>36</v>
      </c>
      <c r="K21" s="3">
        <f t="shared" si="0"/>
        <v>0.18848167539267016</v>
      </c>
      <c r="L21" t="s">
        <v>6</v>
      </c>
      <c r="M21">
        <v>23.110000000000099</v>
      </c>
      <c r="N21" t="s">
        <v>7</v>
      </c>
      <c r="O21">
        <v>0.120994764397906</v>
      </c>
      <c r="P21" t="s">
        <v>8</v>
      </c>
      <c r="Q21">
        <v>9.6425000000000001</v>
      </c>
      <c r="R21" t="s">
        <v>9</v>
      </c>
      <c r="S21">
        <v>-2.09045161290322</v>
      </c>
      <c r="T21" t="s">
        <v>10</v>
      </c>
      <c r="U21">
        <v>1.1852831089737701</v>
      </c>
      <c r="V21" t="s">
        <v>11</v>
      </c>
      <c r="W21" t="s">
        <v>115</v>
      </c>
      <c r="X21" t="s">
        <v>53</v>
      </c>
      <c r="Y21">
        <v>0</v>
      </c>
      <c r="Z21" t="s">
        <v>14</v>
      </c>
      <c r="AA21" t="s">
        <v>15</v>
      </c>
      <c r="AB21" t="s">
        <v>114</v>
      </c>
      <c r="AC21" t="s">
        <v>91</v>
      </c>
      <c r="AD21">
        <v>0</v>
      </c>
      <c r="AE21" t="s">
        <v>18</v>
      </c>
    </row>
    <row r="22" spans="1:31" x14ac:dyDescent="0.3">
      <c r="A22" t="s">
        <v>425</v>
      </c>
      <c r="B22" t="s">
        <v>134</v>
      </c>
      <c r="C22" t="s">
        <v>1</v>
      </c>
      <c r="D22">
        <v>0.2</v>
      </c>
      <c r="E22" t="s">
        <v>37</v>
      </c>
      <c r="F22" t="s">
        <v>42</v>
      </c>
      <c r="G22" t="s">
        <v>4</v>
      </c>
      <c r="H22">
        <v>177</v>
      </c>
      <c r="I22" t="s">
        <v>5</v>
      </c>
      <c r="J22">
        <v>32</v>
      </c>
      <c r="K22" s="3">
        <f t="shared" si="0"/>
        <v>0.1807909604519774</v>
      </c>
      <c r="L22" t="s">
        <v>6</v>
      </c>
      <c r="M22">
        <v>22.144437357472199</v>
      </c>
      <c r="N22" t="s">
        <v>7</v>
      </c>
      <c r="O22">
        <v>0.12510981557893799</v>
      </c>
      <c r="P22" t="s">
        <v>8</v>
      </c>
      <c r="Q22">
        <v>4.9140625</v>
      </c>
      <c r="R22" t="s">
        <v>9</v>
      </c>
      <c r="S22">
        <v>-0.93176250098294999</v>
      </c>
      <c r="T22" t="s">
        <v>10</v>
      </c>
      <c r="U22">
        <v>0.54305028098591901</v>
      </c>
      <c r="V22" t="s">
        <v>11</v>
      </c>
      <c r="W22" t="s">
        <v>163</v>
      </c>
      <c r="X22" t="s">
        <v>17</v>
      </c>
      <c r="Y22">
        <v>0</v>
      </c>
      <c r="Z22" t="s">
        <v>14</v>
      </c>
      <c r="AA22" t="s">
        <v>15</v>
      </c>
      <c r="AB22" t="s">
        <v>163</v>
      </c>
      <c r="AC22" t="s">
        <v>17</v>
      </c>
      <c r="AD22">
        <v>0</v>
      </c>
      <c r="AE22" t="s">
        <v>18</v>
      </c>
    </row>
    <row r="23" spans="1:31" x14ac:dyDescent="0.3">
      <c r="A23" t="s">
        <v>460</v>
      </c>
      <c r="B23" t="s">
        <v>175</v>
      </c>
      <c r="C23" t="s">
        <v>1</v>
      </c>
      <c r="D23">
        <v>0.3</v>
      </c>
      <c r="E23" t="s">
        <v>27</v>
      </c>
      <c r="F23" t="s">
        <v>36</v>
      </c>
      <c r="G23" t="s">
        <v>4</v>
      </c>
      <c r="H23">
        <v>98</v>
      </c>
      <c r="I23" t="s">
        <v>5</v>
      </c>
      <c r="J23">
        <v>17</v>
      </c>
      <c r="K23" s="3">
        <f t="shared" si="0"/>
        <v>0.17346938775510204</v>
      </c>
      <c r="L23" t="s">
        <v>6</v>
      </c>
      <c r="M23">
        <v>20.62</v>
      </c>
      <c r="N23" t="s">
        <v>7</v>
      </c>
      <c r="O23">
        <v>0.21040816326530601</v>
      </c>
      <c r="P23" t="s">
        <v>8</v>
      </c>
      <c r="Q23">
        <v>6.98176470588235</v>
      </c>
      <c r="R23" t="s">
        <v>9</v>
      </c>
      <c r="S23">
        <v>-1.21074074074074</v>
      </c>
      <c r="T23" t="s">
        <v>10</v>
      </c>
      <c r="U23">
        <v>0.412953702853946</v>
      </c>
      <c r="V23" t="s">
        <v>11</v>
      </c>
      <c r="W23" t="s">
        <v>201</v>
      </c>
      <c r="X23" t="s">
        <v>202</v>
      </c>
      <c r="Y23">
        <v>0</v>
      </c>
      <c r="Z23" t="s">
        <v>14</v>
      </c>
      <c r="AA23" t="s">
        <v>15</v>
      </c>
      <c r="AB23" t="s">
        <v>200</v>
      </c>
      <c r="AC23" t="s">
        <v>181</v>
      </c>
      <c r="AD23">
        <v>0</v>
      </c>
      <c r="AE23" t="s">
        <v>18</v>
      </c>
    </row>
    <row r="24" spans="1:31" x14ac:dyDescent="0.3">
      <c r="A24" t="s">
        <v>341</v>
      </c>
      <c r="B24" t="s">
        <v>113</v>
      </c>
      <c r="C24" t="s">
        <v>1</v>
      </c>
      <c r="D24">
        <v>0.4</v>
      </c>
      <c r="E24" t="s">
        <v>2</v>
      </c>
      <c r="F24" t="s">
        <v>3</v>
      </c>
      <c r="G24" t="s">
        <v>4</v>
      </c>
      <c r="H24">
        <v>191</v>
      </c>
      <c r="I24" t="s">
        <v>5</v>
      </c>
      <c r="J24">
        <v>64</v>
      </c>
      <c r="K24" s="3">
        <f t="shared" si="0"/>
        <v>0.33507853403141363</v>
      </c>
      <c r="L24" t="s">
        <v>6</v>
      </c>
      <c r="M24">
        <v>20.18</v>
      </c>
      <c r="N24" t="s">
        <v>7</v>
      </c>
      <c r="O24">
        <v>0.10565445026178</v>
      </c>
      <c r="P24" t="s">
        <v>8</v>
      </c>
      <c r="Q24">
        <v>4.5059374999999999</v>
      </c>
      <c r="R24" t="s">
        <v>9</v>
      </c>
      <c r="S24">
        <v>-2.1118110236220402</v>
      </c>
      <c r="T24" t="s">
        <v>10</v>
      </c>
      <c r="U24">
        <v>0.84060087624622404</v>
      </c>
      <c r="V24" t="s">
        <v>11</v>
      </c>
      <c r="W24" t="s">
        <v>12</v>
      </c>
      <c r="X24" t="s">
        <v>13</v>
      </c>
      <c r="Y24">
        <v>0</v>
      </c>
      <c r="Z24" t="s">
        <v>14</v>
      </c>
      <c r="AA24" t="s">
        <v>15</v>
      </c>
      <c r="AB24" t="s">
        <v>114</v>
      </c>
      <c r="AC24" t="s">
        <v>91</v>
      </c>
      <c r="AD24">
        <v>0</v>
      </c>
      <c r="AE24" t="s">
        <v>18</v>
      </c>
    </row>
    <row r="25" spans="1:31" x14ac:dyDescent="0.3">
      <c r="A25" t="s">
        <v>476</v>
      </c>
      <c r="B25" t="s">
        <v>175</v>
      </c>
      <c r="C25" t="s">
        <v>1</v>
      </c>
      <c r="D25">
        <v>0.2</v>
      </c>
      <c r="E25" t="s">
        <v>37</v>
      </c>
      <c r="F25" t="s">
        <v>42</v>
      </c>
      <c r="G25" t="s">
        <v>4</v>
      </c>
      <c r="H25">
        <v>130</v>
      </c>
      <c r="I25" t="s">
        <v>5</v>
      </c>
      <c r="J25">
        <v>24</v>
      </c>
      <c r="K25" s="3">
        <f t="shared" si="0"/>
        <v>0.18461538461538463</v>
      </c>
      <c r="L25" t="s">
        <v>6</v>
      </c>
      <c r="M25">
        <v>19.1586304260085</v>
      </c>
      <c r="N25" t="s">
        <v>7</v>
      </c>
      <c r="O25">
        <v>0.14737408020006501</v>
      </c>
      <c r="P25" t="s">
        <v>8</v>
      </c>
      <c r="Q25">
        <v>4.4633333333333303</v>
      </c>
      <c r="R25" t="s">
        <v>9</v>
      </c>
      <c r="S25">
        <v>-0.82982424126406995</v>
      </c>
      <c r="T25" t="s">
        <v>10</v>
      </c>
      <c r="U25">
        <v>0.34643078308422098</v>
      </c>
      <c r="V25" t="s">
        <v>11</v>
      </c>
      <c r="W25" t="s">
        <v>214</v>
      </c>
      <c r="X25" t="s">
        <v>192</v>
      </c>
      <c r="Y25">
        <v>0</v>
      </c>
      <c r="Z25" t="s">
        <v>14</v>
      </c>
      <c r="AA25" t="s">
        <v>15</v>
      </c>
      <c r="AB25" t="s">
        <v>214</v>
      </c>
      <c r="AC25" t="s">
        <v>192</v>
      </c>
      <c r="AD25">
        <v>0</v>
      </c>
      <c r="AE25" t="s">
        <v>18</v>
      </c>
    </row>
    <row r="26" spans="1:31" x14ac:dyDescent="0.3">
      <c r="A26" t="s">
        <v>477</v>
      </c>
      <c r="B26" t="s">
        <v>175</v>
      </c>
      <c r="C26" t="s">
        <v>1</v>
      </c>
      <c r="D26">
        <v>0.2</v>
      </c>
      <c r="E26" t="s">
        <v>37</v>
      </c>
      <c r="F26" t="s">
        <v>44</v>
      </c>
      <c r="G26" t="s">
        <v>4</v>
      </c>
      <c r="H26">
        <v>130</v>
      </c>
      <c r="I26" t="s">
        <v>5</v>
      </c>
      <c r="J26">
        <v>20</v>
      </c>
      <c r="K26" s="3">
        <f t="shared" si="0"/>
        <v>0.15384615384615385</v>
      </c>
      <c r="L26" t="s">
        <v>6</v>
      </c>
      <c r="M26">
        <v>18.4286304260085</v>
      </c>
      <c r="N26" t="s">
        <v>7</v>
      </c>
      <c r="O26">
        <v>0.14175869558468099</v>
      </c>
      <c r="P26" t="s">
        <v>8</v>
      </c>
      <c r="Q26">
        <v>5.4915000000000003</v>
      </c>
      <c r="R26" t="s">
        <v>9</v>
      </c>
      <c r="S26">
        <v>-0.83092154158174003</v>
      </c>
      <c r="T26" t="s">
        <v>10</v>
      </c>
      <c r="U26">
        <v>0.37490269716451102</v>
      </c>
      <c r="V26" t="s">
        <v>11</v>
      </c>
      <c r="W26" t="s">
        <v>214</v>
      </c>
      <c r="X26" t="s">
        <v>192</v>
      </c>
      <c r="Y26">
        <v>0</v>
      </c>
      <c r="Z26" t="s">
        <v>14</v>
      </c>
      <c r="AA26" t="s">
        <v>15</v>
      </c>
      <c r="AB26" t="s">
        <v>214</v>
      </c>
      <c r="AC26" t="s">
        <v>192</v>
      </c>
      <c r="AD26">
        <v>0</v>
      </c>
      <c r="AE26" t="s">
        <v>18</v>
      </c>
    </row>
    <row r="27" spans="1:31" x14ac:dyDescent="0.3">
      <c r="A27" t="s">
        <v>348</v>
      </c>
      <c r="B27" t="s">
        <v>113</v>
      </c>
      <c r="C27" t="s">
        <v>1</v>
      </c>
      <c r="D27">
        <v>0.4</v>
      </c>
      <c r="E27" t="s">
        <v>27</v>
      </c>
      <c r="F27" t="s">
        <v>36</v>
      </c>
      <c r="G27" t="s">
        <v>4</v>
      </c>
      <c r="H27">
        <v>200</v>
      </c>
      <c r="I27" t="s">
        <v>5</v>
      </c>
      <c r="J27">
        <v>39</v>
      </c>
      <c r="K27" s="3">
        <f t="shared" si="0"/>
        <v>0.19500000000000001</v>
      </c>
      <c r="L27" t="s">
        <v>6</v>
      </c>
      <c r="M27">
        <v>16.079999999999998</v>
      </c>
      <c r="N27" t="s">
        <v>7</v>
      </c>
      <c r="O27">
        <v>8.0400000000000194E-2</v>
      </c>
      <c r="P27" t="s">
        <v>8</v>
      </c>
      <c r="Q27">
        <v>10.802051282051201</v>
      </c>
      <c r="R27" t="s">
        <v>9</v>
      </c>
      <c r="S27">
        <v>-2.5167701863354002</v>
      </c>
      <c r="T27" t="s">
        <v>10</v>
      </c>
      <c r="U27">
        <v>1.3764113593652301</v>
      </c>
      <c r="V27" t="s">
        <v>11</v>
      </c>
      <c r="W27" t="s">
        <v>34</v>
      </c>
      <c r="X27" t="s">
        <v>21</v>
      </c>
      <c r="Y27">
        <v>0</v>
      </c>
      <c r="Z27" t="s">
        <v>14</v>
      </c>
      <c r="AA27" t="s">
        <v>15</v>
      </c>
      <c r="AB27" t="s">
        <v>114</v>
      </c>
      <c r="AC27" t="s">
        <v>91</v>
      </c>
      <c r="AD27">
        <v>0</v>
      </c>
      <c r="AE27" t="s">
        <v>18</v>
      </c>
    </row>
    <row r="28" spans="1:31" x14ac:dyDescent="0.3">
      <c r="A28" t="s">
        <v>399</v>
      </c>
      <c r="B28" t="s">
        <v>134</v>
      </c>
      <c r="C28" t="s">
        <v>1</v>
      </c>
      <c r="D28">
        <v>0.4</v>
      </c>
      <c r="E28" t="s">
        <v>37</v>
      </c>
      <c r="F28" t="s">
        <v>40</v>
      </c>
      <c r="G28" t="s">
        <v>4</v>
      </c>
      <c r="H28">
        <v>177</v>
      </c>
      <c r="I28" t="s">
        <v>5</v>
      </c>
      <c r="J28">
        <v>44</v>
      </c>
      <c r="K28" s="3">
        <f t="shared" si="0"/>
        <v>0.24858757062146894</v>
      </c>
      <c r="L28" t="s">
        <v>6</v>
      </c>
      <c r="M28">
        <v>15.760823022974501</v>
      </c>
      <c r="N28" t="s">
        <v>7</v>
      </c>
      <c r="O28">
        <v>8.9044197869912495E-2</v>
      </c>
      <c r="P28" t="s">
        <v>8</v>
      </c>
      <c r="Q28">
        <v>8.0232813246323893</v>
      </c>
      <c r="R28" t="s">
        <v>9</v>
      </c>
      <c r="S28">
        <v>-2.5358162049687998</v>
      </c>
      <c r="T28" t="s">
        <v>10</v>
      </c>
      <c r="U28">
        <v>1.1259037373509799</v>
      </c>
      <c r="V28" t="s">
        <v>11</v>
      </c>
      <c r="W28" t="s">
        <v>141</v>
      </c>
      <c r="X28" t="s">
        <v>145</v>
      </c>
    </row>
    <row r="29" spans="1:31" x14ac:dyDescent="0.3">
      <c r="A29" t="s">
        <v>501</v>
      </c>
      <c r="B29" t="s">
        <v>221</v>
      </c>
      <c r="C29" t="s">
        <v>1</v>
      </c>
      <c r="D29">
        <v>0.4</v>
      </c>
      <c r="E29" t="s">
        <v>37</v>
      </c>
      <c r="F29" t="s">
        <v>44</v>
      </c>
      <c r="G29" t="s">
        <v>4</v>
      </c>
      <c r="H29">
        <v>40</v>
      </c>
      <c r="I29" t="s">
        <v>5</v>
      </c>
      <c r="J29">
        <v>10</v>
      </c>
      <c r="K29" s="3">
        <f t="shared" si="0"/>
        <v>0.25</v>
      </c>
      <c r="L29" t="s">
        <v>6</v>
      </c>
      <c r="M29">
        <v>15.4100043973383</v>
      </c>
      <c r="N29" t="s">
        <v>7</v>
      </c>
      <c r="O29">
        <v>0.38525010993345798</v>
      </c>
      <c r="P29" t="s">
        <v>8</v>
      </c>
      <c r="Q29">
        <v>10.273</v>
      </c>
      <c r="R29" t="s">
        <v>9</v>
      </c>
      <c r="S29">
        <v>-2.9106665200887201</v>
      </c>
      <c r="T29" t="s">
        <v>10</v>
      </c>
      <c r="U29">
        <v>0.56807322819858996</v>
      </c>
      <c r="V29" t="s">
        <v>11</v>
      </c>
      <c r="W29" t="s">
        <v>235</v>
      </c>
      <c r="X29" t="s">
        <v>236</v>
      </c>
    </row>
    <row r="30" spans="1:31" x14ac:dyDescent="0.3">
      <c r="A30" t="s">
        <v>498</v>
      </c>
      <c r="B30" t="s">
        <v>221</v>
      </c>
      <c r="C30" t="s">
        <v>1</v>
      </c>
      <c r="D30">
        <v>0.4</v>
      </c>
      <c r="E30" t="s">
        <v>37</v>
      </c>
      <c r="F30" t="s">
        <v>38</v>
      </c>
      <c r="G30" t="s">
        <v>4</v>
      </c>
      <c r="H30">
        <v>40</v>
      </c>
      <c r="I30" t="s">
        <v>5</v>
      </c>
      <c r="J30">
        <v>16</v>
      </c>
      <c r="K30" s="3">
        <f t="shared" si="0"/>
        <v>0.4</v>
      </c>
      <c r="L30" t="s">
        <v>6</v>
      </c>
      <c r="M30">
        <v>14.960004397338199</v>
      </c>
      <c r="N30" t="s">
        <v>7</v>
      </c>
      <c r="O30">
        <v>0.374000109933456</v>
      </c>
      <c r="P30" t="s">
        <v>8</v>
      </c>
      <c r="Q30">
        <v>5.2775002748336401</v>
      </c>
      <c r="R30" t="s">
        <v>9</v>
      </c>
      <c r="S30">
        <v>-2.8949999999999898</v>
      </c>
      <c r="T30" t="s">
        <v>10</v>
      </c>
      <c r="U30">
        <v>0.425130036599359</v>
      </c>
      <c r="V30" t="s">
        <v>11</v>
      </c>
      <c r="W30" t="s">
        <v>79</v>
      </c>
      <c r="X30" t="s">
        <v>53</v>
      </c>
      <c r="Y30">
        <v>0</v>
      </c>
      <c r="Z30" t="s">
        <v>14</v>
      </c>
      <c r="AA30" t="s">
        <v>15</v>
      </c>
      <c r="AB30" t="s">
        <v>231</v>
      </c>
      <c r="AC30" t="s">
        <v>232</v>
      </c>
      <c r="AD30">
        <v>0</v>
      </c>
      <c r="AE30" t="s">
        <v>18</v>
      </c>
    </row>
    <row r="31" spans="1:31" x14ac:dyDescent="0.3">
      <c r="A31" t="s">
        <v>394</v>
      </c>
      <c r="B31" t="s">
        <v>134</v>
      </c>
      <c r="C31" t="s">
        <v>1</v>
      </c>
      <c r="D31">
        <v>0.4</v>
      </c>
      <c r="E31" t="s">
        <v>27</v>
      </c>
      <c r="F31" t="s">
        <v>30</v>
      </c>
      <c r="G31" t="s">
        <v>4</v>
      </c>
      <c r="H31">
        <v>136</v>
      </c>
      <c r="I31" t="s">
        <v>5</v>
      </c>
      <c r="J31">
        <v>34</v>
      </c>
      <c r="K31" s="3">
        <f t="shared" si="0"/>
        <v>0.25</v>
      </c>
      <c r="L31" t="s">
        <v>6</v>
      </c>
      <c r="M31">
        <v>14.32</v>
      </c>
      <c r="N31" t="s">
        <v>7</v>
      </c>
      <c r="O31">
        <v>0.105294117647059</v>
      </c>
      <c r="P31" t="s">
        <v>8</v>
      </c>
      <c r="Q31">
        <v>6.9347058823529402</v>
      </c>
      <c r="R31" t="s">
        <v>9</v>
      </c>
      <c r="S31">
        <v>-2.1711764705882302</v>
      </c>
      <c r="T31" t="s">
        <v>10</v>
      </c>
      <c r="U31">
        <v>0.81075151919678801</v>
      </c>
      <c r="V31" t="s">
        <v>11</v>
      </c>
      <c r="W31" t="s">
        <v>141</v>
      </c>
      <c r="X31" t="s">
        <v>21</v>
      </c>
      <c r="Y31">
        <v>0</v>
      </c>
      <c r="Z31" t="s">
        <v>14</v>
      </c>
      <c r="AA31" t="s">
        <v>15</v>
      </c>
      <c r="AB31" t="s">
        <v>141</v>
      </c>
      <c r="AC31" t="s">
        <v>21</v>
      </c>
      <c r="AD31">
        <v>0</v>
      </c>
      <c r="AE31" t="s">
        <v>18</v>
      </c>
    </row>
    <row r="32" spans="1:31" x14ac:dyDescent="0.3">
      <c r="A32" t="s">
        <v>411</v>
      </c>
      <c r="B32" t="s">
        <v>134</v>
      </c>
      <c r="C32" t="s">
        <v>1</v>
      </c>
      <c r="D32">
        <v>0.3</v>
      </c>
      <c r="E32" t="s">
        <v>37</v>
      </c>
      <c r="F32" t="s">
        <v>40</v>
      </c>
      <c r="G32" t="s">
        <v>4</v>
      </c>
      <c r="H32">
        <v>177</v>
      </c>
      <c r="I32" t="s">
        <v>5</v>
      </c>
      <c r="J32">
        <v>40</v>
      </c>
      <c r="K32" s="3">
        <f t="shared" si="0"/>
        <v>0.22598870056497175</v>
      </c>
      <c r="L32" t="s">
        <v>6</v>
      </c>
      <c r="M32">
        <v>14.1245068606147</v>
      </c>
      <c r="N32" t="s">
        <v>7</v>
      </c>
      <c r="O32">
        <v>7.9799473788783895E-2</v>
      </c>
      <c r="P32" t="s">
        <v>8</v>
      </c>
      <c r="Q32">
        <v>5.9192499999999999</v>
      </c>
      <c r="R32" t="s">
        <v>9</v>
      </c>
      <c r="S32">
        <v>-1.6251495849590101</v>
      </c>
      <c r="T32" t="s">
        <v>10</v>
      </c>
      <c r="U32">
        <v>0.769684983143055</v>
      </c>
      <c r="V32" t="s">
        <v>11</v>
      </c>
      <c r="W32" t="s">
        <v>150</v>
      </c>
      <c r="X32" t="s">
        <v>53</v>
      </c>
      <c r="Y32">
        <v>0</v>
      </c>
      <c r="Z32" t="s">
        <v>14</v>
      </c>
      <c r="AA32" t="s">
        <v>15</v>
      </c>
      <c r="AB32" t="s">
        <v>150</v>
      </c>
      <c r="AC32" t="s">
        <v>53</v>
      </c>
      <c r="AD32">
        <v>0</v>
      </c>
      <c r="AE32" t="s">
        <v>18</v>
      </c>
    </row>
    <row r="33" spans="1:31" x14ac:dyDescent="0.3">
      <c r="A33" t="s">
        <v>456</v>
      </c>
      <c r="B33" t="s">
        <v>175</v>
      </c>
      <c r="C33" t="s">
        <v>1</v>
      </c>
      <c r="D33">
        <v>0.3</v>
      </c>
      <c r="E33" t="s">
        <v>2</v>
      </c>
      <c r="F33" t="s">
        <v>26</v>
      </c>
      <c r="G33" t="s">
        <v>4</v>
      </c>
      <c r="H33">
        <v>102</v>
      </c>
      <c r="I33" t="s">
        <v>5</v>
      </c>
      <c r="J33">
        <v>16</v>
      </c>
      <c r="K33" s="3">
        <f t="shared" si="0"/>
        <v>0.15686274509803921</v>
      </c>
      <c r="L33" t="s">
        <v>6</v>
      </c>
      <c r="M33">
        <v>14.079999999999901</v>
      </c>
      <c r="N33" t="s">
        <v>7</v>
      </c>
      <c r="O33">
        <v>0.138039215686274</v>
      </c>
      <c r="P33" t="s">
        <v>8</v>
      </c>
      <c r="Q33">
        <v>6.0343749999999901</v>
      </c>
      <c r="R33" t="s">
        <v>9</v>
      </c>
      <c r="S33">
        <v>-0.95895348837209304</v>
      </c>
      <c r="T33" t="s">
        <v>10</v>
      </c>
      <c r="U33">
        <v>0.36305484369947399</v>
      </c>
      <c r="V33" t="s">
        <v>11</v>
      </c>
      <c r="W33" t="s">
        <v>199</v>
      </c>
      <c r="X33" t="s">
        <v>160</v>
      </c>
      <c r="Y33">
        <v>0</v>
      </c>
      <c r="Z33" t="s">
        <v>14</v>
      </c>
      <c r="AA33" t="s">
        <v>15</v>
      </c>
      <c r="AB33" t="s">
        <v>199</v>
      </c>
      <c r="AC33" t="s">
        <v>160</v>
      </c>
      <c r="AD33">
        <v>0</v>
      </c>
      <c r="AE33" t="s">
        <v>18</v>
      </c>
    </row>
    <row r="34" spans="1:31" x14ac:dyDescent="0.3">
      <c r="A34" t="s">
        <v>424</v>
      </c>
      <c r="B34" t="s">
        <v>134</v>
      </c>
      <c r="C34" t="s">
        <v>1</v>
      </c>
      <c r="D34">
        <v>0.2</v>
      </c>
      <c r="E34" t="s">
        <v>37</v>
      </c>
      <c r="F34" t="s">
        <v>40</v>
      </c>
      <c r="G34" t="s">
        <v>4</v>
      </c>
      <c r="H34">
        <v>177</v>
      </c>
      <c r="I34" t="s">
        <v>5</v>
      </c>
      <c r="J34">
        <v>40</v>
      </c>
      <c r="K34" s="3">
        <f t="shared" si="0"/>
        <v>0.22598870056497175</v>
      </c>
      <c r="L34" t="s">
        <v>6</v>
      </c>
      <c r="M34">
        <v>12.4844373574721</v>
      </c>
      <c r="N34" t="s">
        <v>7</v>
      </c>
      <c r="O34">
        <v>7.0533544392498204E-2</v>
      </c>
      <c r="P34" t="s">
        <v>8</v>
      </c>
      <c r="Q34">
        <v>3.5002499999999999</v>
      </c>
      <c r="R34" t="s">
        <v>9</v>
      </c>
      <c r="S34">
        <v>-0.93084352293815897</v>
      </c>
      <c r="T34" t="s">
        <v>10</v>
      </c>
      <c r="U34">
        <v>0.49405747560178598</v>
      </c>
      <c r="V34" t="s">
        <v>11</v>
      </c>
      <c r="W34" t="s">
        <v>163</v>
      </c>
      <c r="X34" t="s">
        <v>17</v>
      </c>
      <c r="Y34">
        <v>0</v>
      </c>
      <c r="Z34" t="s">
        <v>14</v>
      </c>
      <c r="AA34" t="s">
        <v>15</v>
      </c>
      <c r="AB34" t="s">
        <v>163</v>
      </c>
      <c r="AC34" t="s">
        <v>17</v>
      </c>
      <c r="AD34">
        <v>0</v>
      </c>
      <c r="AE34" t="s">
        <v>18</v>
      </c>
    </row>
    <row r="35" spans="1:31" x14ac:dyDescent="0.3">
      <c r="A35" t="s">
        <v>408</v>
      </c>
      <c r="B35" t="s">
        <v>134</v>
      </c>
      <c r="C35" t="s">
        <v>1</v>
      </c>
      <c r="D35">
        <v>0.3</v>
      </c>
      <c r="E35" t="s">
        <v>27</v>
      </c>
      <c r="F35" t="s">
        <v>33</v>
      </c>
      <c r="G35" t="s">
        <v>4</v>
      </c>
      <c r="H35">
        <v>136</v>
      </c>
      <c r="I35" t="s">
        <v>5</v>
      </c>
      <c r="J35">
        <v>24</v>
      </c>
      <c r="K35" s="3">
        <f t="shared" si="0"/>
        <v>0.17647058823529413</v>
      </c>
      <c r="L35" t="s">
        <v>6</v>
      </c>
      <c r="M35">
        <v>12.06</v>
      </c>
      <c r="N35" t="s">
        <v>7</v>
      </c>
      <c r="O35">
        <v>8.8676470588235606E-2</v>
      </c>
      <c r="P35" t="s">
        <v>8</v>
      </c>
      <c r="Q35">
        <v>6.8420833333333304</v>
      </c>
      <c r="R35" t="s">
        <v>9</v>
      </c>
      <c r="S35">
        <v>-1.3584821428571401</v>
      </c>
      <c r="T35" t="s">
        <v>10</v>
      </c>
      <c r="U35">
        <v>0.62679949978026905</v>
      </c>
      <c r="V35" t="s">
        <v>11</v>
      </c>
      <c r="W35" t="s">
        <v>148</v>
      </c>
      <c r="X35" t="s">
        <v>21</v>
      </c>
      <c r="Y35">
        <v>0</v>
      </c>
      <c r="Z35" t="s">
        <v>14</v>
      </c>
      <c r="AA35" t="s">
        <v>15</v>
      </c>
      <c r="AB35" t="s">
        <v>148</v>
      </c>
      <c r="AC35" t="s">
        <v>21</v>
      </c>
      <c r="AD35">
        <v>0</v>
      </c>
      <c r="AE35" t="s">
        <v>18</v>
      </c>
    </row>
    <row r="36" spans="1:31" x14ac:dyDescent="0.3">
      <c r="A36" t="s">
        <v>495</v>
      </c>
      <c r="B36" t="s">
        <v>221</v>
      </c>
      <c r="C36" t="s">
        <v>1</v>
      </c>
      <c r="D36">
        <v>0.4</v>
      </c>
      <c r="E36" t="s">
        <v>27</v>
      </c>
      <c r="F36" t="s">
        <v>30</v>
      </c>
      <c r="G36" t="s">
        <v>4</v>
      </c>
      <c r="H36">
        <v>33</v>
      </c>
      <c r="I36" t="s">
        <v>5</v>
      </c>
      <c r="J36">
        <v>10</v>
      </c>
      <c r="K36" s="3">
        <f t="shared" si="0"/>
        <v>0.30303030303030304</v>
      </c>
      <c r="L36" t="s">
        <v>6</v>
      </c>
      <c r="M36">
        <v>10.69</v>
      </c>
      <c r="N36" t="s">
        <v>7</v>
      </c>
      <c r="O36">
        <v>0.32393939393939403</v>
      </c>
      <c r="P36" t="s">
        <v>8</v>
      </c>
      <c r="Q36">
        <v>6.577</v>
      </c>
      <c r="R36" t="s">
        <v>9</v>
      </c>
      <c r="S36">
        <v>-2.3947826086956501</v>
      </c>
      <c r="T36" t="s">
        <v>10</v>
      </c>
      <c r="U36">
        <v>0.32949035778298302</v>
      </c>
      <c r="V36" t="s">
        <v>11</v>
      </c>
      <c r="W36" t="s">
        <v>226</v>
      </c>
      <c r="X36" t="s">
        <v>75</v>
      </c>
      <c r="Y36">
        <v>0</v>
      </c>
      <c r="Z36" t="s">
        <v>14</v>
      </c>
      <c r="AA36" t="s">
        <v>15</v>
      </c>
      <c r="AB36" t="s">
        <v>227</v>
      </c>
      <c r="AC36" t="s">
        <v>228</v>
      </c>
      <c r="AD36">
        <v>0</v>
      </c>
      <c r="AE36" t="s">
        <v>18</v>
      </c>
    </row>
    <row r="37" spans="1:31" x14ac:dyDescent="0.3">
      <c r="A37" t="s">
        <v>418</v>
      </c>
      <c r="B37" t="s">
        <v>134</v>
      </c>
      <c r="C37" t="s">
        <v>1</v>
      </c>
      <c r="D37">
        <v>0.2</v>
      </c>
      <c r="E37" t="s">
        <v>2</v>
      </c>
      <c r="F37" t="s">
        <v>26</v>
      </c>
      <c r="G37" t="s">
        <v>4</v>
      </c>
      <c r="H37">
        <v>140</v>
      </c>
      <c r="I37" t="s">
        <v>5</v>
      </c>
      <c r="J37">
        <v>19</v>
      </c>
      <c r="K37" s="3">
        <f t="shared" si="0"/>
        <v>0.1357142857142857</v>
      </c>
      <c r="L37" t="s">
        <v>6</v>
      </c>
      <c r="M37">
        <v>10.29</v>
      </c>
      <c r="N37" t="s">
        <v>7</v>
      </c>
      <c r="O37">
        <v>7.3500000000000301E-2</v>
      </c>
      <c r="P37" t="s">
        <v>8</v>
      </c>
      <c r="Q37">
        <v>4.4147368421052597</v>
      </c>
      <c r="R37" t="s">
        <v>9</v>
      </c>
      <c r="S37">
        <v>-0.60818181818181805</v>
      </c>
      <c r="T37" t="s">
        <v>10</v>
      </c>
      <c r="U37">
        <v>0.40174714399812</v>
      </c>
      <c r="V37" t="s">
        <v>11</v>
      </c>
      <c r="W37" t="s">
        <v>157</v>
      </c>
      <c r="X37" t="s">
        <v>158</v>
      </c>
      <c r="Y37">
        <v>0</v>
      </c>
      <c r="Z37" t="s">
        <v>14</v>
      </c>
      <c r="AA37" t="s">
        <v>15</v>
      </c>
      <c r="AB37" t="s">
        <v>157</v>
      </c>
      <c r="AC37" t="s">
        <v>158</v>
      </c>
      <c r="AD37">
        <v>0</v>
      </c>
      <c r="AE37" t="s">
        <v>18</v>
      </c>
    </row>
    <row r="38" spans="1:31" x14ac:dyDescent="0.3">
      <c r="A38" t="s">
        <v>472</v>
      </c>
      <c r="B38" t="s">
        <v>175</v>
      </c>
      <c r="C38" t="s">
        <v>1</v>
      </c>
      <c r="D38">
        <v>0.2</v>
      </c>
      <c r="E38" t="s">
        <v>27</v>
      </c>
      <c r="F38" t="s">
        <v>36</v>
      </c>
      <c r="G38" t="s">
        <v>4</v>
      </c>
      <c r="H38">
        <v>98</v>
      </c>
      <c r="I38" t="s">
        <v>5</v>
      </c>
      <c r="J38">
        <v>14</v>
      </c>
      <c r="K38" s="3">
        <f t="shared" si="0"/>
        <v>0.14285714285714285</v>
      </c>
      <c r="L38" t="s">
        <v>6</v>
      </c>
      <c r="M38">
        <v>8.8600000000000492</v>
      </c>
      <c r="N38" t="s">
        <v>7</v>
      </c>
      <c r="O38">
        <v>9.0408163265306596E-2</v>
      </c>
      <c r="P38" t="s">
        <v>8</v>
      </c>
      <c r="Q38">
        <v>4.7992857142857099</v>
      </c>
      <c r="R38" t="s">
        <v>9</v>
      </c>
      <c r="S38">
        <v>-0.69440476190476197</v>
      </c>
      <c r="T38" t="s">
        <v>10</v>
      </c>
      <c r="U38">
        <v>0.260591847375781</v>
      </c>
      <c r="V38" t="s">
        <v>11</v>
      </c>
      <c r="W38" t="s">
        <v>211</v>
      </c>
      <c r="X38" t="s">
        <v>212</v>
      </c>
      <c r="Y38">
        <v>0</v>
      </c>
      <c r="Z38" t="s">
        <v>14</v>
      </c>
      <c r="AA38" t="s">
        <v>15</v>
      </c>
      <c r="AB38" t="s">
        <v>211</v>
      </c>
      <c r="AC38" t="s">
        <v>212</v>
      </c>
      <c r="AD38">
        <v>0</v>
      </c>
      <c r="AE38" t="s">
        <v>18</v>
      </c>
    </row>
    <row r="39" spans="1:31" x14ac:dyDescent="0.3">
      <c r="A39" t="s">
        <v>447</v>
      </c>
      <c r="B39" t="s">
        <v>175</v>
      </c>
      <c r="C39" t="s">
        <v>1</v>
      </c>
      <c r="D39">
        <v>0.4</v>
      </c>
      <c r="E39" t="s">
        <v>27</v>
      </c>
      <c r="F39" t="s">
        <v>36</v>
      </c>
      <c r="G39" t="s">
        <v>4</v>
      </c>
      <c r="H39">
        <v>98</v>
      </c>
      <c r="I39" t="s">
        <v>5</v>
      </c>
      <c r="J39">
        <v>20</v>
      </c>
      <c r="K39" s="3">
        <f t="shared" si="0"/>
        <v>0.20408163265306123</v>
      </c>
      <c r="L39" t="s">
        <v>6</v>
      </c>
      <c r="M39">
        <v>8.44</v>
      </c>
      <c r="N39" t="s">
        <v>7</v>
      </c>
      <c r="O39">
        <v>8.6122448979591898E-2</v>
      </c>
      <c r="P39" t="s">
        <v>8</v>
      </c>
      <c r="Q39">
        <v>7.8120000000000003</v>
      </c>
      <c r="R39" t="s">
        <v>9</v>
      </c>
      <c r="S39">
        <v>-1.8948717948717899</v>
      </c>
      <c r="T39" t="s">
        <v>10</v>
      </c>
      <c r="U39">
        <v>0.58826133959666105</v>
      </c>
      <c r="V39" t="s">
        <v>11</v>
      </c>
      <c r="W39" t="s">
        <v>184</v>
      </c>
      <c r="X39" t="s">
        <v>185</v>
      </c>
      <c r="Y39">
        <v>0</v>
      </c>
      <c r="Z39" t="s">
        <v>14</v>
      </c>
      <c r="AA39" t="s">
        <v>15</v>
      </c>
      <c r="AB39" t="s">
        <v>184</v>
      </c>
      <c r="AC39" t="s">
        <v>185</v>
      </c>
      <c r="AD39">
        <v>0</v>
      </c>
      <c r="AE39" t="s">
        <v>18</v>
      </c>
    </row>
    <row r="40" spans="1:31" x14ac:dyDescent="0.3">
      <c r="A40" t="s">
        <v>459</v>
      </c>
      <c r="B40" t="s">
        <v>175</v>
      </c>
      <c r="C40" t="s">
        <v>1</v>
      </c>
      <c r="D40">
        <v>0.3</v>
      </c>
      <c r="E40" t="s">
        <v>27</v>
      </c>
      <c r="F40" t="s">
        <v>33</v>
      </c>
      <c r="G40" t="s">
        <v>4</v>
      </c>
      <c r="H40">
        <v>98</v>
      </c>
      <c r="I40" t="s">
        <v>5</v>
      </c>
      <c r="J40">
        <v>17</v>
      </c>
      <c r="K40" s="3">
        <f t="shared" si="0"/>
        <v>0.17346938775510204</v>
      </c>
      <c r="L40" t="s">
        <v>6</v>
      </c>
      <c r="M40">
        <v>7.9600000000000302</v>
      </c>
      <c r="N40" t="s">
        <v>7</v>
      </c>
      <c r="O40">
        <v>8.1224489795918606E-2</v>
      </c>
      <c r="P40" t="s">
        <v>8</v>
      </c>
      <c r="Q40">
        <v>6.2370588235294102</v>
      </c>
      <c r="R40" t="s">
        <v>9</v>
      </c>
      <c r="S40">
        <v>-1.21074074074074</v>
      </c>
      <c r="T40" t="s">
        <v>10</v>
      </c>
      <c r="U40">
        <v>0.38873580726721801</v>
      </c>
      <c r="V40" t="s">
        <v>11</v>
      </c>
      <c r="W40" t="s">
        <v>198</v>
      </c>
      <c r="X40" t="s">
        <v>25</v>
      </c>
      <c r="Y40">
        <v>0</v>
      </c>
      <c r="Z40" t="s">
        <v>14</v>
      </c>
      <c r="AA40" t="s">
        <v>15</v>
      </c>
      <c r="AB40" t="s">
        <v>200</v>
      </c>
      <c r="AC40" t="s">
        <v>181</v>
      </c>
      <c r="AD40">
        <v>0</v>
      </c>
      <c r="AE40" t="s">
        <v>18</v>
      </c>
    </row>
    <row r="41" spans="1:31" x14ac:dyDescent="0.3">
      <c r="A41" t="s">
        <v>397</v>
      </c>
      <c r="B41" t="s">
        <v>134</v>
      </c>
      <c r="C41" t="s">
        <v>1</v>
      </c>
      <c r="D41">
        <v>0.4</v>
      </c>
      <c r="E41" t="s">
        <v>37</v>
      </c>
      <c r="F41" t="s">
        <v>38</v>
      </c>
      <c r="G41" t="s">
        <v>4</v>
      </c>
      <c r="H41">
        <v>177</v>
      </c>
      <c r="I41" t="s">
        <v>5</v>
      </c>
      <c r="J41">
        <v>63</v>
      </c>
      <c r="K41" s="3">
        <f t="shared" si="0"/>
        <v>0.3559322033898305</v>
      </c>
      <c r="L41" t="s">
        <v>6</v>
      </c>
      <c r="M41">
        <v>7.6464447391491603</v>
      </c>
      <c r="N41" t="s">
        <v>7</v>
      </c>
      <c r="O41">
        <v>4.3200252763554603E-2</v>
      </c>
      <c r="P41" t="s">
        <v>8</v>
      </c>
      <c r="Q41">
        <v>4.6889321619660302</v>
      </c>
      <c r="R41" t="s">
        <v>9</v>
      </c>
      <c r="S41">
        <v>-2.5241779075851798</v>
      </c>
      <c r="T41" t="s">
        <v>10</v>
      </c>
      <c r="U41">
        <v>0.94547813972960504</v>
      </c>
      <c r="V41" t="s">
        <v>11</v>
      </c>
      <c r="W41" t="s">
        <v>142</v>
      </c>
      <c r="X41" t="s">
        <v>143</v>
      </c>
    </row>
    <row r="42" spans="1:31" x14ac:dyDescent="0.3">
      <c r="A42" t="s">
        <v>446</v>
      </c>
      <c r="B42" t="s">
        <v>175</v>
      </c>
      <c r="C42" t="s">
        <v>1</v>
      </c>
      <c r="D42">
        <v>0.4</v>
      </c>
      <c r="E42" t="s">
        <v>27</v>
      </c>
      <c r="F42" t="s">
        <v>33</v>
      </c>
      <c r="G42" t="s">
        <v>4</v>
      </c>
      <c r="H42">
        <v>98</v>
      </c>
      <c r="I42" t="s">
        <v>5</v>
      </c>
      <c r="J42">
        <v>21</v>
      </c>
      <c r="K42" s="3">
        <f t="shared" si="0"/>
        <v>0.21428571428571427</v>
      </c>
      <c r="L42" t="s">
        <v>6</v>
      </c>
      <c r="M42">
        <v>7.50000000000004</v>
      </c>
      <c r="N42" t="s">
        <v>7</v>
      </c>
      <c r="O42">
        <v>7.6530612244898294E-2</v>
      </c>
      <c r="P42" t="s">
        <v>8</v>
      </c>
      <c r="Q42">
        <v>7.32238095238095</v>
      </c>
      <c r="R42" t="s">
        <v>9</v>
      </c>
      <c r="S42">
        <v>-1.89961038961038</v>
      </c>
      <c r="T42" t="s">
        <v>10</v>
      </c>
      <c r="U42">
        <v>0.53429719602380399</v>
      </c>
      <c r="V42" t="s">
        <v>11</v>
      </c>
      <c r="W42" t="s">
        <v>182</v>
      </c>
      <c r="X42" t="s">
        <v>183</v>
      </c>
      <c r="Y42">
        <v>0</v>
      </c>
      <c r="Z42" t="s">
        <v>14</v>
      </c>
      <c r="AA42" t="s">
        <v>15</v>
      </c>
      <c r="AB42" t="s">
        <v>180</v>
      </c>
      <c r="AC42" t="s">
        <v>181</v>
      </c>
      <c r="AD42">
        <v>0</v>
      </c>
      <c r="AE42" t="s">
        <v>18</v>
      </c>
    </row>
    <row r="43" spans="1:31" x14ac:dyDescent="0.3">
      <c r="A43" t="s">
        <v>322</v>
      </c>
      <c r="B43" t="s">
        <v>0</v>
      </c>
      <c r="C43" t="s">
        <v>1</v>
      </c>
      <c r="D43">
        <v>0.2</v>
      </c>
      <c r="E43" t="s">
        <v>27</v>
      </c>
      <c r="F43" t="s">
        <v>36</v>
      </c>
      <c r="G43" t="s">
        <v>4</v>
      </c>
      <c r="H43">
        <v>3050</v>
      </c>
      <c r="I43" t="s">
        <v>5</v>
      </c>
      <c r="J43">
        <v>373</v>
      </c>
      <c r="K43" s="3">
        <f t="shared" si="0"/>
        <v>0.12229508196721312</v>
      </c>
      <c r="L43" t="s">
        <v>6</v>
      </c>
      <c r="M43">
        <v>6.4766055552984003</v>
      </c>
      <c r="N43" t="s">
        <v>7</v>
      </c>
      <c r="O43">
        <v>2.12347723124537E-3</v>
      </c>
      <c r="P43" t="s">
        <v>8</v>
      </c>
      <c r="Q43">
        <v>5.9310991957104502</v>
      </c>
      <c r="R43" t="s">
        <v>9</v>
      </c>
      <c r="S43">
        <v>-0.823990808533693</v>
      </c>
      <c r="T43" t="s">
        <v>10</v>
      </c>
      <c r="U43">
        <v>5.4258122614666497</v>
      </c>
      <c r="V43" t="s">
        <v>11</v>
      </c>
      <c r="W43" t="s">
        <v>58</v>
      </c>
      <c r="X43" t="s">
        <v>21</v>
      </c>
      <c r="Y43">
        <v>0</v>
      </c>
      <c r="Z43" t="s">
        <v>14</v>
      </c>
      <c r="AA43" t="s">
        <v>15</v>
      </c>
      <c r="AB43" t="s">
        <v>74</v>
      </c>
      <c r="AC43" t="s">
        <v>75</v>
      </c>
      <c r="AD43">
        <v>0</v>
      </c>
      <c r="AE43" t="s">
        <v>18</v>
      </c>
    </row>
    <row r="44" spans="1:31" x14ac:dyDescent="0.3">
      <c r="A44" t="s">
        <v>475</v>
      </c>
      <c r="B44" t="s">
        <v>175</v>
      </c>
      <c r="C44" t="s">
        <v>1</v>
      </c>
      <c r="D44">
        <v>0.2</v>
      </c>
      <c r="E44" t="s">
        <v>37</v>
      </c>
      <c r="F44" t="s">
        <v>40</v>
      </c>
      <c r="G44" t="s">
        <v>4</v>
      </c>
      <c r="H44">
        <v>130</v>
      </c>
      <c r="I44" t="s">
        <v>5</v>
      </c>
      <c r="J44">
        <v>29</v>
      </c>
      <c r="K44" s="3">
        <f t="shared" si="0"/>
        <v>0.22307692307692309</v>
      </c>
      <c r="L44" t="s">
        <v>6</v>
      </c>
      <c r="M44">
        <v>6.3286304260085497</v>
      </c>
      <c r="N44" t="s">
        <v>7</v>
      </c>
      <c r="O44">
        <v>4.8681772507758E-2</v>
      </c>
      <c r="P44" t="s">
        <v>8</v>
      </c>
      <c r="Q44">
        <v>3.0937931034482702</v>
      </c>
      <c r="R44" t="s">
        <v>9</v>
      </c>
      <c r="S44">
        <v>-0.82565712449496498</v>
      </c>
      <c r="T44" t="s">
        <v>10</v>
      </c>
      <c r="U44">
        <v>0.29166924703470198</v>
      </c>
      <c r="V44" t="s">
        <v>11</v>
      </c>
      <c r="W44" t="s">
        <v>214</v>
      </c>
      <c r="X44" t="s">
        <v>192</v>
      </c>
      <c r="Y44">
        <v>0</v>
      </c>
      <c r="Z44" t="s">
        <v>14</v>
      </c>
      <c r="AA44" t="s">
        <v>15</v>
      </c>
      <c r="AB44" t="s">
        <v>214</v>
      </c>
      <c r="AC44" t="s">
        <v>192</v>
      </c>
      <c r="AD44">
        <v>0</v>
      </c>
      <c r="AE44" t="s">
        <v>18</v>
      </c>
    </row>
    <row r="45" spans="1:31" x14ac:dyDescent="0.3">
      <c r="A45" t="s">
        <v>513</v>
      </c>
      <c r="B45" t="s">
        <v>221</v>
      </c>
      <c r="C45" t="s">
        <v>1</v>
      </c>
      <c r="D45">
        <v>0.3</v>
      </c>
      <c r="E45" t="s">
        <v>37</v>
      </c>
      <c r="F45" t="s">
        <v>42</v>
      </c>
      <c r="G45" t="s">
        <v>4</v>
      </c>
      <c r="H45">
        <v>40</v>
      </c>
      <c r="I45" t="s">
        <v>5</v>
      </c>
      <c r="J45">
        <v>7</v>
      </c>
      <c r="K45" s="3">
        <f t="shared" si="0"/>
        <v>0.17499999999999999</v>
      </c>
      <c r="L45" t="s">
        <v>6</v>
      </c>
      <c r="M45">
        <v>6.29</v>
      </c>
      <c r="N45" t="s">
        <v>7</v>
      </c>
      <c r="O45">
        <v>0.15725</v>
      </c>
      <c r="P45" t="s">
        <v>8</v>
      </c>
      <c r="Q45">
        <v>9.8028571428571407</v>
      </c>
      <c r="R45" t="s">
        <v>9</v>
      </c>
      <c r="S45">
        <v>-1.88878787878787</v>
      </c>
      <c r="T45" t="s">
        <v>10</v>
      </c>
      <c r="U45">
        <v>0.35115450115784702</v>
      </c>
      <c r="V45" t="s">
        <v>11</v>
      </c>
      <c r="W45" t="s">
        <v>150</v>
      </c>
      <c r="X45" t="s">
        <v>53</v>
      </c>
      <c r="Y45">
        <v>0</v>
      </c>
      <c r="Z45" t="s">
        <v>14</v>
      </c>
      <c r="AA45" t="s">
        <v>15</v>
      </c>
      <c r="AB45" t="s">
        <v>150</v>
      </c>
      <c r="AC45" t="s">
        <v>53</v>
      </c>
      <c r="AD45">
        <v>0</v>
      </c>
      <c r="AE45" t="s">
        <v>18</v>
      </c>
    </row>
    <row r="46" spans="1:31" x14ac:dyDescent="0.3">
      <c r="A46" t="s">
        <v>423</v>
      </c>
      <c r="B46" t="s">
        <v>134</v>
      </c>
      <c r="C46" t="s">
        <v>1</v>
      </c>
      <c r="D46">
        <v>0.2</v>
      </c>
      <c r="E46" t="s">
        <v>37</v>
      </c>
      <c r="F46" t="s">
        <v>38</v>
      </c>
      <c r="G46" t="s">
        <v>4</v>
      </c>
      <c r="H46">
        <v>177</v>
      </c>
      <c r="I46" t="s">
        <v>5</v>
      </c>
      <c r="J46">
        <v>60</v>
      </c>
      <c r="K46" s="3">
        <f t="shared" si="0"/>
        <v>0.33898305084745761</v>
      </c>
      <c r="L46" t="s">
        <v>6</v>
      </c>
      <c r="M46">
        <v>5.9744373574721497</v>
      </c>
      <c r="N46" t="s">
        <v>7</v>
      </c>
      <c r="O46">
        <v>3.3753883375548799E-2</v>
      </c>
      <c r="P46" t="s">
        <v>8</v>
      </c>
      <c r="Q46">
        <v>1.9007803639551999</v>
      </c>
      <c r="R46" t="s">
        <v>9</v>
      </c>
      <c r="S46">
        <v>-0.92369559384478905</v>
      </c>
      <c r="T46" t="s">
        <v>10</v>
      </c>
      <c r="U46">
        <v>0.38825787655344401</v>
      </c>
      <c r="V46" t="s">
        <v>11</v>
      </c>
      <c r="W46" t="s">
        <v>162</v>
      </c>
      <c r="X46" t="s">
        <v>143</v>
      </c>
    </row>
    <row r="47" spans="1:31" x14ac:dyDescent="0.3">
      <c r="A47" t="s">
        <v>490</v>
      </c>
      <c r="B47" t="s">
        <v>221</v>
      </c>
      <c r="C47" t="s">
        <v>1</v>
      </c>
      <c r="D47">
        <v>0.4</v>
      </c>
      <c r="E47" t="s">
        <v>2</v>
      </c>
      <c r="F47" t="s">
        <v>3</v>
      </c>
      <c r="G47" t="s">
        <v>4</v>
      </c>
      <c r="H47">
        <v>35</v>
      </c>
      <c r="I47" t="s">
        <v>5</v>
      </c>
      <c r="J47">
        <v>13</v>
      </c>
      <c r="K47" s="3">
        <f t="shared" si="0"/>
        <v>0.37142857142857144</v>
      </c>
      <c r="L47" t="s">
        <v>6</v>
      </c>
      <c r="M47">
        <v>5.9000000000000101</v>
      </c>
      <c r="N47" t="s">
        <v>7</v>
      </c>
      <c r="O47">
        <v>0.16857142857142901</v>
      </c>
      <c r="P47" t="s">
        <v>8</v>
      </c>
      <c r="Q47">
        <v>4.0892307692307703</v>
      </c>
      <c r="R47" t="s">
        <v>9</v>
      </c>
      <c r="S47">
        <v>-2.14818181818181</v>
      </c>
      <c r="T47" t="s">
        <v>10</v>
      </c>
      <c r="U47">
        <v>0.24421676788744201</v>
      </c>
      <c r="V47" t="s">
        <v>11</v>
      </c>
      <c r="W47" t="s">
        <v>222</v>
      </c>
      <c r="X47" t="s">
        <v>223</v>
      </c>
      <c r="Y47">
        <v>0</v>
      </c>
      <c r="Z47" t="s">
        <v>14</v>
      </c>
      <c r="AA47" t="s">
        <v>15</v>
      </c>
      <c r="AB47" t="s">
        <v>222</v>
      </c>
      <c r="AC47" t="s">
        <v>223</v>
      </c>
      <c r="AD47">
        <v>0</v>
      </c>
      <c r="AE47" t="s">
        <v>18</v>
      </c>
    </row>
    <row r="48" spans="1:31" x14ac:dyDescent="0.3">
      <c r="A48" t="s">
        <v>434</v>
      </c>
      <c r="B48" t="s">
        <v>134</v>
      </c>
      <c r="C48" t="s">
        <v>1</v>
      </c>
      <c r="D48">
        <v>0.1</v>
      </c>
      <c r="E48" t="s">
        <v>27</v>
      </c>
      <c r="F48" t="s">
        <v>36</v>
      </c>
      <c r="G48" t="s">
        <v>4</v>
      </c>
      <c r="H48">
        <v>136</v>
      </c>
      <c r="I48" t="s">
        <v>5</v>
      </c>
      <c r="J48">
        <v>15</v>
      </c>
      <c r="K48" s="3">
        <f t="shared" si="0"/>
        <v>0.11029411764705882</v>
      </c>
      <c r="L48" t="s">
        <v>6</v>
      </c>
      <c r="M48">
        <v>5.6633621674422203</v>
      </c>
      <c r="N48" t="s">
        <v>7</v>
      </c>
      <c r="O48">
        <v>4.1642368878251602E-2</v>
      </c>
      <c r="P48" t="s">
        <v>8</v>
      </c>
      <c r="Q48">
        <v>2.9313333333333298</v>
      </c>
      <c r="R48" t="s">
        <v>9</v>
      </c>
      <c r="S48">
        <v>-0.31658378374014701</v>
      </c>
      <c r="T48" t="s">
        <v>10</v>
      </c>
      <c r="U48">
        <v>0.21589016207773201</v>
      </c>
      <c r="V48" t="s">
        <v>11</v>
      </c>
      <c r="W48" t="s">
        <v>170</v>
      </c>
      <c r="X48" t="s">
        <v>158</v>
      </c>
      <c r="Y48">
        <v>0</v>
      </c>
      <c r="Z48" t="s">
        <v>14</v>
      </c>
      <c r="AA48" t="s">
        <v>15</v>
      </c>
      <c r="AB48" t="s">
        <v>170</v>
      </c>
      <c r="AC48" t="s">
        <v>158</v>
      </c>
      <c r="AD48">
        <v>0</v>
      </c>
      <c r="AE48" t="s">
        <v>18</v>
      </c>
    </row>
    <row r="49" spans="1:31" x14ac:dyDescent="0.3">
      <c r="A49" t="s">
        <v>443</v>
      </c>
      <c r="B49" t="s">
        <v>175</v>
      </c>
      <c r="C49" t="s">
        <v>1</v>
      </c>
      <c r="D49">
        <v>0.4</v>
      </c>
      <c r="E49" t="s">
        <v>2</v>
      </c>
      <c r="F49" t="s">
        <v>26</v>
      </c>
      <c r="G49" t="s">
        <v>4</v>
      </c>
      <c r="H49">
        <v>102</v>
      </c>
      <c r="I49" t="s">
        <v>5</v>
      </c>
      <c r="J49">
        <v>20</v>
      </c>
      <c r="K49" s="3">
        <f t="shared" si="0"/>
        <v>0.19607843137254902</v>
      </c>
      <c r="L49" t="s">
        <v>6</v>
      </c>
      <c r="M49">
        <v>3.8600000000000101</v>
      </c>
      <c r="N49" t="s">
        <v>7</v>
      </c>
      <c r="O49">
        <v>3.7843137254902001E-2</v>
      </c>
      <c r="P49" t="s">
        <v>8</v>
      </c>
      <c r="Q49">
        <v>6.5715000000000003</v>
      </c>
      <c r="R49" t="s">
        <v>9</v>
      </c>
      <c r="S49">
        <v>-1.55573170731707</v>
      </c>
      <c r="T49" t="s">
        <v>10</v>
      </c>
      <c r="U49">
        <v>0.48562425776587298</v>
      </c>
      <c r="V49" t="s">
        <v>11</v>
      </c>
      <c r="W49" t="s">
        <v>177</v>
      </c>
      <c r="X49" t="s">
        <v>160</v>
      </c>
      <c r="Y49">
        <v>0</v>
      </c>
      <c r="Z49" t="s">
        <v>14</v>
      </c>
      <c r="AA49" t="s">
        <v>15</v>
      </c>
      <c r="AB49" t="s">
        <v>177</v>
      </c>
      <c r="AC49" t="s">
        <v>160</v>
      </c>
      <c r="AD49">
        <v>0</v>
      </c>
      <c r="AE49" t="s">
        <v>18</v>
      </c>
    </row>
    <row r="50" spans="1:31" x14ac:dyDescent="0.3">
      <c r="A50" t="s">
        <v>430</v>
      </c>
      <c r="B50" t="s">
        <v>134</v>
      </c>
      <c r="C50" t="s">
        <v>1</v>
      </c>
      <c r="D50">
        <v>0.1</v>
      </c>
      <c r="E50" t="s">
        <v>2</v>
      </c>
      <c r="F50" t="s">
        <v>26</v>
      </c>
      <c r="G50" t="s">
        <v>4</v>
      </c>
      <c r="H50">
        <v>140</v>
      </c>
      <c r="I50" t="s">
        <v>5</v>
      </c>
      <c r="J50">
        <v>13</v>
      </c>
      <c r="K50" s="3">
        <f t="shared" si="0"/>
        <v>9.285714285714286E-2</v>
      </c>
      <c r="L50" t="s">
        <v>6</v>
      </c>
      <c r="M50">
        <v>3.1874205325390301</v>
      </c>
      <c r="N50" t="s">
        <v>7</v>
      </c>
      <c r="O50">
        <v>2.2767289518135898E-2</v>
      </c>
      <c r="P50" t="s">
        <v>8</v>
      </c>
      <c r="Q50">
        <v>2.5276923076923001</v>
      </c>
      <c r="R50" t="s">
        <v>9</v>
      </c>
      <c r="S50">
        <v>-0.23364235801150299</v>
      </c>
      <c r="T50" t="s">
        <v>10</v>
      </c>
      <c r="U50">
        <v>0.187864756079379</v>
      </c>
      <c r="V50" t="s">
        <v>11</v>
      </c>
      <c r="W50" t="s">
        <v>168</v>
      </c>
      <c r="X50" t="s">
        <v>160</v>
      </c>
      <c r="Y50">
        <v>0</v>
      </c>
      <c r="Z50" t="s">
        <v>14</v>
      </c>
      <c r="AA50" t="s">
        <v>15</v>
      </c>
      <c r="AB50" t="s">
        <v>168</v>
      </c>
      <c r="AC50" t="s">
        <v>160</v>
      </c>
      <c r="AD50">
        <v>0</v>
      </c>
      <c r="AE50" t="s">
        <v>18</v>
      </c>
    </row>
    <row r="51" spans="1:31" x14ac:dyDescent="0.3">
      <c r="A51" t="s">
        <v>455</v>
      </c>
      <c r="B51" t="s">
        <v>175</v>
      </c>
      <c r="C51" t="s">
        <v>1</v>
      </c>
      <c r="D51">
        <v>0.3</v>
      </c>
      <c r="E51" t="s">
        <v>2</v>
      </c>
      <c r="F51" t="s">
        <v>23</v>
      </c>
      <c r="G51" t="s">
        <v>4</v>
      </c>
      <c r="H51">
        <v>102</v>
      </c>
      <c r="I51" t="s">
        <v>5</v>
      </c>
      <c r="J51">
        <v>16</v>
      </c>
      <c r="K51" s="3">
        <f t="shared" si="0"/>
        <v>0.15686274509803921</v>
      </c>
      <c r="L51" t="s">
        <v>6</v>
      </c>
      <c r="M51">
        <v>3.04000000000004</v>
      </c>
      <c r="N51" t="s">
        <v>7</v>
      </c>
      <c r="O51">
        <v>2.9803921568627802E-2</v>
      </c>
      <c r="P51" t="s">
        <v>8</v>
      </c>
      <c r="Q51">
        <v>5.3443750000000003</v>
      </c>
      <c r="R51" t="s">
        <v>9</v>
      </c>
      <c r="S51">
        <v>-0.95895348837209304</v>
      </c>
      <c r="T51" t="s">
        <v>10</v>
      </c>
      <c r="U51">
        <v>0.34831799619818399</v>
      </c>
      <c r="V51" t="s">
        <v>11</v>
      </c>
      <c r="W51" t="s">
        <v>199</v>
      </c>
      <c r="X51" t="s">
        <v>160</v>
      </c>
      <c r="Y51">
        <v>0</v>
      </c>
      <c r="Z51" t="s">
        <v>14</v>
      </c>
      <c r="AA51" t="s">
        <v>15</v>
      </c>
      <c r="AB51" t="s">
        <v>199</v>
      </c>
      <c r="AC51" t="s">
        <v>160</v>
      </c>
      <c r="AD51">
        <v>0</v>
      </c>
      <c r="AE51" t="s">
        <v>18</v>
      </c>
    </row>
    <row r="52" spans="1:31" x14ac:dyDescent="0.3">
      <c r="A52" t="s">
        <v>403</v>
      </c>
      <c r="B52" t="s">
        <v>134</v>
      </c>
      <c r="C52" t="s">
        <v>1</v>
      </c>
      <c r="D52">
        <v>0.3</v>
      </c>
      <c r="E52" t="s">
        <v>2</v>
      </c>
      <c r="F52" t="s">
        <v>19</v>
      </c>
      <c r="G52" t="s">
        <v>4</v>
      </c>
      <c r="H52">
        <v>140</v>
      </c>
      <c r="I52" t="s">
        <v>5</v>
      </c>
      <c r="J52">
        <v>29</v>
      </c>
      <c r="K52" s="3">
        <f t="shared" si="0"/>
        <v>0.20714285714285716</v>
      </c>
      <c r="L52" t="s">
        <v>6</v>
      </c>
      <c r="M52">
        <v>2.02000000000008</v>
      </c>
      <c r="N52" t="s">
        <v>7</v>
      </c>
      <c r="O52">
        <v>1.4428571428572E-2</v>
      </c>
      <c r="P52" t="s">
        <v>8</v>
      </c>
      <c r="Q52">
        <v>3.91379310344827</v>
      </c>
      <c r="R52" t="s">
        <v>9</v>
      </c>
      <c r="S52">
        <v>-1.0043243243243201</v>
      </c>
      <c r="T52" t="s">
        <v>10</v>
      </c>
      <c r="U52">
        <v>0.51306556417168803</v>
      </c>
      <c r="V52" t="s">
        <v>11</v>
      </c>
      <c r="W52" t="s">
        <v>147</v>
      </c>
      <c r="X52" t="s">
        <v>53</v>
      </c>
      <c r="Y52">
        <v>0</v>
      </c>
      <c r="Z52" t="s">
        <v>14</v>
      </c>
      <c r="AA52" t="s">
        <v>15</v>
      </c>
      <c r="AB52" t="s">
        <v>147</v>
      </c>
      <c r="AC52" t="s">
        <v>53</v>
      </c>
      <c r="AD52">
        <v>0</v>
      </c>
      <c r="AE52" t="s">
        <v>18</v>
      </c>
    </row>
    <row r="53" spans="1:31" x14ac:dyDescent="0.3">
      <c r="A53" t="s">
        <v>427</v>
      </c>
      <c r="B53" t="s">
        <v>134</v>
      </c>
      <c r="C53" t="s">
        <v>1</v>
      </c>
      <c r="D53">
        <v>0.1</v>
      </c>
      <c r="E53" t="s">
        <v>2</v>
      </c>
      <c r="F53" t="s">
        <v>3</v>
      </c>
      <c r="G53" t="s">
        <v>4</v>
      </c>
      <c r="H53">
        <v>140</v>
      </c>
      <c r="I53" t="s">
        <v>5</v>
      </c>
      <c r="J53">
        <v>33</v>
      </c>
      <c r="K53" s="3">
        <f t="shared" si="0"/>
        <v>0.23571428571428571</v>
      </c>
      <c r="L53" t="s">
        <v>6</v>
      </c>
      <c r="M53">
        <v>1.8774205325390301</v>
      </c>
      <c r="N53" t="s">
        <v>7</v>
      </c>
      <c r="O53">
        <v>1.3410146660992999E-2</v>
      </c>
      <c r="P53" t="s">
        <v>8</v>
      </c>
      <c r="Q53">
        <v>0.77909090909090895</v>
      </c>
      <c r="R53" t="s">
        <v>9</v>
      </c>
      <c r="S53">
        <v>-0.22273438754636399</v>
      </c>
      <c r="T53" t="s">
        <v>10</v>
      </c>
      <c r="U53">
        <v>0.112360913427809</v>
      </c>
      <c r="V53" t="s">
        <v>11</v>
      </c>
      <c r="W53" t="s">
        <v>164</v>
      </c>
      <c r="X53" t="s">
        <v>165</v>
      </c>
      <c r="Y53">
        <v>0</v>
      </c>
      <c r="Z53" t="s">
        <v>14</v>
      </c>
      <c r="AA53" t="s">
        <v>15</v>
      </c>
      <c r="AB53" t="s">
        <v>164</v>
      </c>
      <c r="AC53" t="s">
        <v>165</v>
      </c>
      <c r="AD53">
        <v>0</v>
      </c>
      <c r="AE53" t="s">
        <v>18</v>
      </c>
    </row>
    <row r="54" spans="1:31" x14ac:dyDescent="0.3">
      <c r="A54" t="s">
        <v>478</v>
      </c>
      <c r="B54" t="s">
        <v>175</v>
      </c>
      <c r="C54" t="s">
        <v>1</v>
      </c>
      <c r="D54">
        <v>0.1</v>
      </c>
      <c r="E54" t="s">
        <v>2</v>
      </c>
      <c r="F54" t="s">
        <v>3</v>
      </c>
      <c r="G54" t="s">
        <v>4</v>
      </c>
      <c r="H54">
        <v>102</v>
      </c>
      <c r="I54" t="s">
        <v>5</v>
      </c>
      <c r="J54">
        <v>25</v>
      </c>
      <c r="K54" s="3">
        <f t="shared" si="0"/>
        <v>0.24509803921568626</v>
      </c>
      <c r="L54" t="s">
        <v>6</v>
      </c>
      <c r="M54">
        <v>1.19087036708427</v>
      </c>
      <c r="N54" t="s">
        <v>7</v>
      </c>
      <c r="O54">
        <v>1.16751996772967E-2</v>
      </c>
      <c r="P54" t="s">
        <v>8</v>
      </c>
      <c r="Q54">
        <v>0.70679999999999998</v>
      </c>
      <c r="R54" t="s">
        <v>9</v>
      </c>
      <c r="S54">
        <v>-0.21401467055734699</v>
      </c>
      <c r="T54" t="s">
        <v>10</v>
      </c>
      <c r="U54">
        <v>7.50944779293264E-2</v>
      </c>
      <c r="V54" t="s">
        <v>11</v>
      </c>
      <c r="W54" t="s">
        <v>164</v>
      </c>
      <c r="X54" t="s">
        <v>165</v>
      </c>
      <c r="Y54">
        <v>0</v>
      </c>
      <c r="Z54" t="s">
        <v>14</v>
      </c>
      <c r="AA54" t="s">
        <v>15</v>
      </c>
      <c r="AB54" t="s">
        <v>164</v>
      </c>
      <c r="AC54" t="s">
        <v>165</v>
      </c>
      <c r="AD54">
        <v>0</v>
      </c>
      <c r="AE54" t="s">
        <v>18</v>
      </c>
    </row>
    <row r="55" spans="1:31" x14ac:dyDescent="0.3">
      <c r="A55" t="s">
        <v>487</v>
      </c>
      <c r="B55" t="s">
        <v>175</v>
      </c>
      <c r="C55" t="s">
        <v>1</v>
      </c>
      <c r="D55">
        <v>0.1</v>
      </c>
      <c r="E55" t="s">
        <v>37</v>
      </c>
      <c r="F55" t="s">
        <v>40</v>
      </c>
      <c r="G55" t="s">
        <v>4</v>
      </c>
      <c r="H55">
        <v>130</v>
      </c>
      <c r="I55" t="s">
        <v>5</v>
      </c>
      <c r="J55">
        <v>26</v>
      </c>
      <c r="K55" s="3">
        <f t="shared" si="0"/>
        <v>0.2</v>
      </c>
      <c r="L55" t="s">
        <v>6</v>
      </c>
      <c r="M55">
        <v>0.97263247263443697</v>
      </c>
      <c r="N55" t="s">
        <v>7</v>
      </c>
      <c r="O55">
        <v>7.4817882510341297E-3</v>
      </c>
      <c r="P55" t="s">
        <v>8</v>
      </c>
      <c r="Q55">
        <v>1.505653235964</v>
      </c>
      <c r="R55" t="s">
        <v>9</v>
      </c>
      <c r="S55">
        <v>-0.36706107367720903</v>
      </c>
      <c r="T55" t="s">
        <v>10</v>
      </c>
      <c r="U55">
        <v>0.142292716242295</v>
      </c>
      <c r="V55" t="s">
        <v>11</v>
      </c>
      <c r="W55" t="s">
        <v>169</v>
      </c>
      <c r="X55" t="s">
        <v>173</v>
      </c>
    </row>
    <row r="56" spans="1:31" x14ac:dyDescent="0.3">
      <c r="A56" t="s">
        <v>488</v>
      </c>
      <c r="B56" t="s">
        <v>175</v>
      </c>
      <c r="C56" t="s">
        <v>1</v>
      </c>
      <c r="D56">
        <v>0.1</v>
      </c>
      <c r="E56" t="s">
        <v>37</v>
      </c>
      <c r="F56" t="s">
        <v>42</v>
      </c>
      <c r="G56" t="s">
        <v>4</v>
      </c>
      <c r="H56">
        <v>130</v>
      </c>
      <c r="I56" t="s">
        <v>5</v>
      </c>
      <c r="J56">
        <v>20</v>
      </c>
      <c r="K56" s="3">
        <f t="shared" si="0"/>
        <v>0.15384615384615385</v>
      </c>
      <c r="L56" t="s">
        <v>6</v>
      </c>
      <c r="M56">
        <v>0.95263247263443296</v>
      </c>
      <c r="N56" t="s">
        <v>7</v>
      </c>
      <c r="O56">
        <v>7.3279420971879396E-3</v>
      </c>
      <c r="P56" t="s">
        <v>8</v>
      </c>
      <c r="Q56">
        <v>2.0485009572534199</v>
      </c>
      <c r="R56" t="s">
        <v>9</v>
      </c>
      <c r="S56">
        <v>-0.36379442429485398</v>
      </c>
      <c r="T56" t="s">
        <v>10</v>
      </c>
      <c r="U56">
        <v>0.15581851983648601</v>
      </c>
      <c r="V56" t="s">
        <v>11</v>
      </c>
      <c r="W56" t="s">
        <v>169</v>
      </c>
      <c r="X56" t="s">
        <v>173</v>
      </c>
    </row>
    <row r="57" spans="1:31" x14ac:dyDescent="0.3">
      <c r="A57" t="s">
        <v>421</v>
      </c>
      <c r="B57" t="s">
        <v>134</v>
      </c>
      <c r="C57" t="s">
        <v>1</v>
      </c>
      <c r="D57">
        <v>0.2</v>
      </c>
      <c r="E57" t="s">
        <v>27</v>
      </c>
      <c r="F57" t="s">
        <v>33</v>
      </c>
      <c r="G57" t="s">
        <v>4</v>
      </c>
      <c r="H57">
        <v>136</v>
      </c>
      <c r="I57" t="s">
        <v>5</v>
      </c>
      <c r="J57">
        <v>21</v>
      </c>
      <c r="K57" s="3">
        <f t="shared" si="0"/>
        <v>0.15441176470588236</v>
      </c>
      <c r="L57" t="s">
        <v>6</v>
      </c>
      <c r="M57">
        <v>0.771429968288318</v>
      </c>
      <c r="N57" t="s">
        <v>7</v>
      </c>
      <c r="O57">
        <v>5.67227917859057E-3</v>
      </c>
      <c r="P57" t="s">
        <v>8</v>
      </c>
      <c r="Q57">
        <v>4.2457142857142802</v>
      </c>
      <c r="R57" t="s">
        <v>9</v>
      </c>
      <c r="S57">
        <v>-0.76859626114531898</v>
      </c>
      <c r="T57" t="s">
        <v>10</v>
      </c>
      <c r="U57">
        <v>0.38141495602300501</v>
      </c>
      <c r="V57" t="s">
        <v>11</v>
      </c>
      <c r="W57" t="s">
        <v>161</v>
      </c>
      <c r="X57" t="s">
        <v>158</v>
      </c>
      <c r="Y57">
        <v>0</v>
      </c>
      <c r="Z57" t="s">
        <v>14</v>
      </c>
      <c r="AA57" t="s">
        <v>15</v>
      </c>
      <c r="AB57" t="s">
        <v>161</v>
      </c>
      <c r="AC57" t="s">
        <v>158</v>
      </c>
      <c r="AD57">
        <v>0</v>
      </c>
      <c r="AE57" t="s">
        <v>18</v>
      </c>
    </row>
    <row r="58" spans="1:31" x14ac:dyDescent="0.3">
      <c r="A58" t="s">
        <v>431</v>
      </c>
      <c r="B58" t="s">
        <v>134</v>
      </c>
      <c r="C58" t="s">
        <v>1</v>
      </c>
      <c r="D58">
        <v>0.1</v>
      </c>
      <c r="E58" t="s">
        <v>27</v>
      </c>
      <c r="F58" t="s">
        <v>28</v>
      </c>
      <c r="G58" t="s">
        <v>4</v>
      </c>
      <c r="H58">
        <v>136</v>
      </c>
      <c r="I58" t="s">
        <v>5</v>
      </c>
      <c r="J58">
        <v>37</v>
      </c>
      <c r="K58" s="3">
        <f t="shared" si="0"/>
        <v>0.27205882352941174</v>
      </c>
      <c r="L58" t="s">
        <v>6</v>
      </c>
      <c r="M58">
        <v>0.50336216744221096</v>
      </c>
      <c r="N58" t="s">
        <v>7</v>
      </c>
      <c r="O58">
        <v>3.7011924076633201E-3</v>
      </c>
      <c r="P58" t="s">
        <v>8</v>
      </c>
      <c r="Q58">
        <v>0.84810810810810799</v>
      </c>
      <c r="R58" t="s">
        <v>9</v>
      </c>
      <c r="S58">
        <v>-0.31188523063189699</v>
      </c>
      <c r="T58" t="s">
        <v>10</v>
      </c>
      <c r="U58">
        <v>0.120947646478307</v>
      </c>
      <c r="V58" t="s">
        <v>11</v>
      </c>
      <c r="W58" t="s">
        <v>164</v>
      </c>
      <c r="X58" t="s">
        <v>165</v>
      </c>
      <c r="Y58">
        <v>0</v>
      </c>
      <c r="Z58" t="s">
        <v>14</v>
      </c>
      <c r="AA58" t="s">
        <v>15</v>
      </c>
      <c r="AB58" t="s">
        <v>164</v>
      </c>
      <c r="AC58" t="s">
        <v>165</v>
      </c>
      <c r="AD58">
        <v>0</v>
      </c>
      <c r="AE58" t="s">
        <v>18</v>
      </c>
    </row>
    <row r="59" spans="1:31" x14ac:dyDescent="0.3">
      <c r="A59" t="s">
        <v>479</v>
      </c>
      <c r="B59" t="s">
        <v>175</v>
      </c>
      <c r="C59" t="s">
        <v>1</v>
      </c>
      <c r="D59">
        <v>0.1</v>
      </c>
      <c r="E59" t="s">
        <v>2</v>
      </c>
      <c r="F59" t="s">
        <v>19</v>
      </c>
      <c r="G59" t="s">
        <v>4</v>
      </c>
      <c r="H59">
        <v>102</v>
      </c>
      <c r="I59" t="s">
        <v>5</v>
      </c>
      <c r="J59">
        <v>16</v>
      </c>
      <c r="K59" s="3">
        <f t="shared" si="0"/>
        <v>0.15686274509803921</v>
      </c>
      <c r="L59" t="s">
        <v>6</v>
      </c>
      <c r="M59">
        <v>0.110870367084274</v>
      </c>
      <c r="N59" t="s">
        <v>7</v>
      </c>
      <c r="O59">
        <v>1.08696438317916E-3</v>
      </c>
      <c r="P59" t="s">
        <v>8</v>
      </c>
      <c r="Q59">
        <v>1.15625</v>
      </c>
      <c r="R59" t="s">
        <v>9</v>
      </c>
      <c r="S59">
        <v>-0.213827088754834</v>
      </c>
      <c r="T59" t="s">
        <v>10</v>
      </c>
      <c r="U59">
        <v>8.3431404655643804E-2</v>
      </c>
      <c r="V59" t="s">
        <v>11</v>
      </c>
      <c r="W59" t="s">
        <v>164</v>
      </c>
      <c r="X59" t="s">
        <v>165</v>
      </c>
      <c r="Y59">
        <v>0</v>
      </c>
      <c r="Z59" t="s">
        <v>14</v>
      </c>
      <c r="AA59" t="s">
        <v>15</v>
      </c>
      <c r="AB59" t="s">
        <v>164</v>
      </c>
      <c r="AC59" t="s">
        <v>165</v>
      </c>
      <c r="AD59">
        <v>0</v>
      </c>
      <c r="AE59" t="s">
        <v>18</v>
      </c>
    </row>
    <row r="60" spans="1:31" x14ac:dyDescent="0.3">
      <c r="A60" t="s">
        <v>496</v>
      </c>
      <c r="B60" t="s">
        <v>221</v>
      </c>
      <c r="C60" t="s">
        <v>1</v>
      </c>
      <c r="D60">
        <v>0.4</v>
      </c>
      <c r="E60" t="s">
        <v>27</v>
      </c>
      <c r="F60" t="s">
        <v>33</v>
      </c>
      <c r="G60" t="s">
        <v>4</v>
      </c>
      <c r="H60">
        <v>33</v>
      </c>
      <c r="I60" t="s">
        <v>5</v>
      </c>
      <c r="J60">
        <v>9</v>
      </c>
      <c r="K60" s="3">
        <f t="shared" si="0"/>
        <v>0.27272727272727271</v>
      </c>
      <c r="L60" t="s">
        <v>6</v>
      </c>
      <c r="M60">
        <v>-1.7763568394002501E-15</v>
      </c>
      <c r="N60" t="s">
        <v>7</v>
      </c>
      <c r="O60">
        <v>-5.38289951333409E-17</v>
      </c>
      <c r="P60" t="s">
        <v>8</v>
      </c>
      <c r="Q60">
        <v>6.36666666666666</v>
      </c>
      <c r="R60" t="s">
        <v>9</v>
      </c>
      <c r="S60">
        <v>-2.38749999999999</v>
      </c>
      <c r="T60" t="s">
        <v>10</v>
      </c>
      <c r="U60">
        <v>0.34836194265427101</v>
      </c>
      <c r="V60" t="s">
        <v>11</v>
      </c>
      <c r="W60" t="s">
        <v>182</v>
      </c>
      <c r="X60" t="s">
        <v>183</v>
      </c>
      <c r="Y60">
        <v>0</v>
      </c>
      <c r="Z60" t="s">
        <v>14</v>
      </c>
      <c r="AA60" t="s">
        <v>15</v>
      </c>
      <c r="AB60" t="s">
        <v>227</v>
      </c>
      <c r="AC60" t="s">
        <v>228</v>
      </c>
      <c r="AD60">
        <v>0</v>
      </c>
      <c r="AE60" t="s">
        <v>18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5E08-5999-4A67-9EFB-BA941BB888F5}">
  <sheetPr>
    <tabColor rgb="FFFF0000"/>
  </sheetPr>
  <dimension ref="A2:AI289"/>
  <sheetViews>
    <sheetView zoomScale="70" zoomScaleNormal="70" workbookViewId="0">
      <selection activeCell="B11" sqref="B11"/>
    </sheetView>
  </sheetViews>
  <sheetFormatPr defaultRowHeight="16.5" x14ac:dyDescent="0.3"/>
  <cols>
    <col min="1" max="1" width="13.75" customWidth="1"/>
    <col min="2" max="2" width="111.75" bestFit="1" customWidth="1"/>
  </cols>
  <sheetData>
    <row r="2" spans="1:35" x14ac:dyDescent="0.3">
      <c r="A2" t="str">
        <f>_xlfn.TEXTJOIN(", ", FALSE, C2,D2,E2,F2,G2,H2,I2,J2)</f>
        <v>alltime_{'C',  [('number', 0,  1),  ('number', 2.5,  -1)]}_[7,  35]_1</v>
      </c>
      <c r="B2" t="s">
        <v>853</v>
      </c>
      <c r="C2" t="s">
        <v>0</v>
      </c>
      <c r="D2" t="s">
        <v>587</v>
      </c>
      <c r="E2">
        <v>0</v>
      </c>
      <c r="F2" t="s">
        <v>588</v>
      </c>
      <c r="G2" t="s">
        <v>589</v>
      </c>
      <c r="H2">
        <v>2.5</v>
      </c>
      <c r="I2" t="s">
        <v>590</v>
      </c>
      <c r="J2" t="s">
        <v>3</v>
      </c>
      <c r="K2" t="s">
        <v>4</v>
      </c>
      <c r="L2">
        <v>3073</v>
      </c>
      <c r="M2" t="s">
        <v>5</v>
      </c>
      <c r="N2">
        <v>1136</v>
      </c>
      <c r="O2" s="2">
        <f t="shared" ref="O2:O65" si="0">N2/L2</f>
        <v>0.36967133094695737</v>
      </c>
      <c r="P2" t="s">
        <v>6</v>
      </c>
      <c r="Q2">
        <v>-186.439999999999</v>
      </c>
      <c r="R2" t="s">
        <v>7</v>
      </c>
      <c r="S2">
        <v>-6.0670354702245202E-2</v>
      </c>
      <c r="T2" t="s">
        <v>8</v>
      </c>
      <c r="U2">
        <v>1.21442781690141</v>
      </c>
      <c r="V2" t="s">
        <v>9</v>
      </c>
      <c r="W2">
        <v>-0.80848218895198798</v>
      </c>
      <c r="X2" t="s">
        <v>10</v>
      </c>
      <c r="Y2">
        <v>2.7986358746118398</v>
      </c>
      <c r="Z2" t="s">
        <v>11</v>
      </c>
      <c r="AA2" t="s">
        <v>591</v>
      </c>
      <c r="AB2" t="s">
        <v>50</v>
      </c>
      <c r="AC2">
        <v>0</v>
      </c>
      <c r="AD2" t="s">
        <v>14</v>
      </c>
      <c r="AE2" t="s">
        <v>15</v>
      </c>
      <c r="AF2" t="s">
        <v>592</v>
      </c>
      <c r="AG2" t="s">
        <v>593</v>
      </c>
      <c r="AH2">
        <v>0</v>
      </c>
      <c r="AI2" t="s">
        <v>18</v>
      </c>
    </row>
    <row r="3" spans="1:35" x14ac:dyDescent="0.3">
      <c r="A3" t="str">
        <f>_xlfn.TEXTJOIN(", ", FALSE, C3,D3,E3,F3,G3,H3,I3,J3)</f>
        <v>alltime_{'C',  [('number', 0,  1),  ('number', 2.5,  -1)]}_[35,  70]_1</v>
      </c>
      <c r="B3" t="s">
        <v>861</v>
      </c>
      <c r="C3" t="s">
        <v>0</v>
      </c>
      <c r="D3" t="s">
        <v>587</v>
      </c>
      <c r="E3">
        <v>0</v>
      </c>
      <c r="F3" t="s">
        <v>588</v>
      </c>
      <c r="G3" t="s">
        <v>589</v>
      </c>
      <c r="H3">
        <v>2.5</v>
      </c>
      <c r="I3" t="s">
        <v>605</v>
      </c>
      <c r="J3" t="s">
        <v>38</v>
      </c>
      <c r="K3" t="s">
        <v>4</v>
      </c>
      <c r="L3">
        <v>3810</v>
      </c>
      <c r="M3" t="s">
        <v>5</v>
      </c>
      <c r="N3">
        <v>1538</v>
      </c>
      <c r="O3" s="2">
        <f>N3/L3</f>
        <v>0.40367454068241471</v>
      </c>
      <c r="P3" t="s">
        <v>6</v>
      </c>
      <c r="Q3">
        <v>130.14468102157599</v>
      </c>
      <c r="R3" t="s">
        <v>7</v>
      </c>
      <c r="S3">
        <v>3.4158708929547497E-2</v>
      </c>
      <c r="T3" t="s">
        <v>8</v>
      </c>
      <c r="U3">
        <v>1.32608803154239</v>
      </c>
      <c r="V3" t="s">
        <v>9</v>
      </c>
      <c r="W3">
        <v>-0.84039555963495505</v>
      </c>
      <c r="X3" t="s">
        <v>10</v>
      </c>
      <c r="Y3">
        <v>2.30887136720792</v>
      </c>
      <c r="Z3" t="s">
        <v>11</v>
      </c>
      <c r="AA3" t="s">
        <v>606</v>
      </c>
      <c r="AB3" t="s">
        <v>607</v>
      </c>
    </row>
    <row r="4" spans="1:35" x14ac:dyDescent="0.3">
      <c r="A4" t="str">
        <f>_xlfn.TEXTJOIN(", ", FALSE, C4,D4,E4,F4,G4,H4,I4,J4)</f>
        <v>alltime_{'C',  [('number', 2.5,  1),  ('number', 5,  -1)]}_[35,  70]_1</v>
      </c>
      <c r="B4" t="s">
        <v>873</v>
      </c>
      <c r="C4" t="s">
        <v>0</v>
      </c>
      <c r="D4" t="s">
        <v>587</v>
      </c>
      <c r="E4">
        <v>2.5</v>
      </c>
      <c r="F4" t="s">
        <v>588</v>
      </c>
      <c r="G4" t="s">
        <v>589</v>
      </c>
      <c r="H4">
        <v>5</v>
      </c>
      <c r="I4" t="s">
        <v>605</v>
      </c>
      <c r="J4" t="s">
        <v>38</v>
      </c>
      <c r="K4" t="s">
        <v>4</v>
      </c>
      <c r="L4">
        <v>3810</v>
      </c>
      <c r="M4" t="s">
        <v>5</v>
      </c>
      <c r="N4">
        <v>1455</v>
      </c>
      <c r="O4" s="2">
        <f>N4/L4</f>
        <v>0.38188976377952755</v>
      </c>
      <c r="P4" t="s">
        <v>6</v>
      </c>
      <c r="Q4">
        <v>124.991331273105</v>
      </c>
      <c r="R4" t="s">
        <v>7</v>
      </c>
      <c r="S4">
        <v>3.2806123693728498E-2</v>
      </c>
      <c r="T4" t="s">
        <v>8</v>
      </c>
      <c r="U4">
        <v>1.23484616246247</v>
      </c>
      <c r="V4" t="s">
        <v>9</v>
      </c>
      <c r="W4">
        <v>-0.70985555630988895</v>
      </c>
      <c r="X4" t="s">
        <v>10</v>
      </c>
      <c r="Y4">
        <v>2.1330692937125502</v>
      </c>
      <c r="Z4" t="s">
        <v>11</v>
      </c>
      <c r="AA4" t="s">
        <v>616</v>
      </c>
      <c r="AB4" t="s">
        <v>595</v>
      </c>
      <c r="AC4">
        <v>0</v>
      </c>
      <c r="AD4" t="s">
        <v>14</v>
      </c>
      <c r="AE4" t="s">
        <v>15</v>
      </c>
      <c r="AF4" t="s">
        <v>617</v>
      </c>
      <c r="AG4" t="s">
        <v>618</v>
      </c>
      <c r="AH4">
        <v>0</v>
      </c>
      <c r="AI4" t="s">
        <v>18</v>
      </c>
    </row>
    <row r="5" spans="1:35" x14ac:dyDescent="0.3">
      <c r="A5" t="str">
        <f>_xlfn.TEXTJOIN(", ", FALSE, C5,D5,E5,F5,G5,H5,I5,J5)</f>
        <v>alltime_{'C',  [('number', 0,  1),  ('number', 2.5,  -1)]}_[21,  49]_1</v>
      </c>
      <c r="B5" t="s">
        <v>857</v>
      </c>
      <c r="C5" t="s">
        <v>0</v>
      </c>
      <c r="D5" t="s">
        <v>587</v>
      </c>
      <c r="E5">
        <v>0</v>
      </c>
      <c r="F5" t="s">
        <v>588</v>
      </c>
      <c r="G5" t="s">
        <v>589</v>
      </c>
      <c r="H5">
        <v>2.5</v>
      </c>
      <c r="I5" t="s">
        <v>599</v>
      </c>
      <c r="J5" t="s">
        <v>28</v>
      </c>
      <c r="K5" t="s">
        <v>4</v>
      </c>
      <c r="L5">
        <v>3050</v>
      </c>
      <c r="M5" t="s">
        <v>5</v>
      </c>
      <c r="N5">
        <v>1194</v>
      </c>
      <c r="O5" s="2">
        <f>N5/L5</f>
        <v>0.39147540983606555</v>
      </c>
      <c r="P5" t="s">
        <v>6</v>
      </c>
      <c r="Q5">
        <v>38.267833457275202</v>
      </c>
      <c r="R5" t="s">
        <v>7</v>
      </c>
      <c r="S5">
        <v>1.25468306417295E-2</v>
      </c>
      <c r="T5" t="s">
        <v>8</v>
      </c>
      <c r="U5">
        <v>1.2677496429319699</v>
      </c>
      <c r="V5" t="s">
        <v>9</v>
      </c>
      <c r="W5">
        <v>-0.79494894407516303</v>
      </c>
      <c r="X5" t="s">
        <v>10</v>
      </c>
      <c r="Y5">
        <v>2.4561766564187999</v>
      </c>
      <c r="Z5" t="s">
        <v>11</v>
      </c>
      <c r="AA5" t="s">
        <v>591</v>
      </c>
      <c r="AB5" t="s">
        <v>50</v>
      </c>
      <c r="AC5">
        <v>0</v>
      </c>
      <c r="AD5" t="s">
        <v>14</v>
      </c>
      <c r="AE5" t="s">
        <v>15</v>
      </c>
      <c r="AF5" t="s">
        <v>600</v>
      </c>
      <c r="AG5" t="s">
        <v>601</v>
      </c>
      <c r="AH5">
        <v>0</v>
      </c>
      <c r="AI5" t="s">
        <v>18</v>
      </c>
    </row>
    <row r="6" spans="1:35" x14ac:dyDescent="0.3">
      <c r="A6" t="str">
        <f>_xlfn.TEXTJOIN(", ", FALSE, C6,D6,E6,F6,G6,H6,I6,J6)</f>
        <v>bbands_{'C',  [('number', 2.5,  1),  ('number', 5,  -1)]}_[35,  70]_1</v>
      </c>
      <c r="B6" t="s">
        <v>921</v>
      </c>
      <c r="C6" t="s">
        <v>113</v>
      </c>
      <c r="D6" t="s">
        <v>587</v>
      </c>
      <c r="E6">
        <v>2.5</v>
      </c>
      <c r="F6" t="s">
        <v>588</v>
      </c>
      <c r="G6" t="s">
        <v>589</v>
      </c>
      <c r="H6">
        <v>5</v>
      </c>
      <c r="I6" t="s">
        <v>605</v>
      </c>
      <c r="J6" t="s">
        <v>38</v>
      </c>
      <c r="K6" t="s">
        <v>4</v>
      </c>
      <c r="L6">
        <v>247</v>
      </c>
      <c r="M6" t="s">
        <v>5</v>
      </c>
      <c r="N6">
        <v>106</v>
      </c>
      <c r="O6" s="2">
        <f>N6/L6</f>
        <v>0.4291497975708502</v>
      </c>
      <c r="P6" t="s">
        <v>6</v>
      </c>
      <c r="Q6">
        <v>36.292922892013799</v>
      </c>
      <c r="R6" t="s">
        <v>7</v>
      </c>
      <c r="S6">
        <v>0.146934910493983</v>
      </c>
      <c r="T6" t="s">
        <v>8</v>
      </c>
      <c r="U6">
        <v>1.39528806996094</v>
      </c>
      <c r="V6" t="s">
        <v>9</v>
      </c>
      <c r="W6">
        <v>-0.79154335123295005</v>
      </c>
      <c r="X6" t="s">
        <v>10</v>
      </c>
      <c r="Y6">
        <v>0.33463843952852801</v>
      </c>
      <c r="Z6" t="s">
        <v>11</v>
      </c>
      <c r="AA6" t="s">
        <v>681</v>
      </c>
      <c r="AB6" t="s">
        <v>682</v>
      </c>
    </row>
    <row r="7" spans="1:35" x14ac:dyDescent="0.3">
      <c r="A7" t="str">
        <f>_xlfn.TEXTJOIN(", ", FALSE, C7,D7,E7,F7,G7,H7,I7,J7)</f>
        <v>stoch_{'C',  [('number', 0,  1),  ('number', 2.5,  -1)]}_[35,  70]_1</v>
      </c>
      <c r="B7" t="s">
        <v>1101</v>
      </c>
      <c r="C7" t="s">
        <v>262</v>
      </c>
      <c r="D7" t="s">
        <v>587</v>
      </c>
      <c r="E7">
        <v>0</v>
      </c>
      <c r="F7" t="s">
        <v>588</v>
      </c>
      <c r="G7" t="s">
        <v>589</v>
      </c>
      <c r="H7">
        <v>2.5</v>
      </c>
      <c r="I7" t="s">
        <v>605</v>
      </c>
      <c r="J7" t="s">
        <v>38</v>
      </c>
      <c r="K7" t="s">
        <v>4</v>
      </c>
      <c r="L7">
        <v>291</v>
      </c>
      <c r="M7" t="s">
        <v>5</v>
      </c>
      <c r="N7">
        <v>128</v>
      </c>
      <c r="O7" s="2">
        <f>N7/L7</f>
        <v>0.43986254295532645</v>
      </c>
      <c r="P7" t="s">
        <v>6</v>
      </c>
      <c r="Q7">
        <v>31.607850344312801</v>
      </c>
      <c r="R7" t="s">
        <v>7</v>
      </c>
      <c r="S7">
        <v>0.108618042420319</v>
      </c>
      <c r="T7" t="s">
        <v>8</v>
      </c>
      <c r="U7">
        <v>1.38391219428379</v>
      </c>
      <c r="V7" t="s">
        <v>9</v>
      </c>
      <c r="W7">
        <v>-0.89283994186511095</v>
      </c>
      <c r="X7" t="s">
        <v>10</v>
      </c>
      <c r="Y7">
        <v>0.40351728324946101</v>
      </c>
      <c r="Z7" t="s">
        <v>11</v>
      </c>
      <c r="AA7" t="s">
        <v>817</v>
      </c>
      <c r="AB7" t="s">
        <v>818</v>
      </c>
    </row>
    <row r="8" spans="1:35" x14ac:dyDescent="0.3">
      <c r="A8" t="str">
        <f>_xlfn.TEXTJOIN(", ", FALSE, C8,D8,E8,F8,G8,H8,I8,J8)</f>
        <v>alltime_{'C',  [('number', 7.5,  1),  ('number', 10,  -1)]}_[35,  70]_1</v>
      </c>
      <c r="B8" t="s">
        <v>897</v>
      </c>
      <c r="C8" t="s">
        <v>0</v>
      </c>
      <c r="D8" t="s">
        <v>587</v>
      </c>
      <c r="E8">
        <v>7.5</v>
      </c>
      <c r="F8" t="s">
        <v>588</v>
      </c>
      <c r="G8" t="s">
        <v>589</v>
      </c>
      <c r="H8">
        <v>10</v>
      </c>
      <c r="I8" t="s">
        <v>605</v>
      </c>
      <c r="J8" t="s">
        <v>38</v>
      </c>
      <c r="K8" t="s">
        <v>4</v>
      </c>
      <c r="L8">
        <v>3810</v>
      </c>
      <c r="M8" t="s">
        <v>5</v>
      </c>
      <c r="N8">
        <v>1346</v>
      </c>
      <c r="O8" s="2">
        <f>N8/L8</f>
        <v>0.35328083989501313</v>
      </c>
      <c r="P8" t="s">
        <v>6</v>
      </c>
      <c r="Q8">
        <v>29.0472044091734</v>
      </c>
      <c r="R8" t="s">
        <v>7</v>
      </c>
      <c r="S8">
        <v>7.6239381651373702E-3</v>
      </c>
      <c r="T8" t="s">
        <v>8</v>
      </c>
      <c r="U8">
        <v>0.91084298715243595</v>
      </c>
      <c r="V8" t="s">
        <v>9</v>
      </c>
      <c r="W8">
        <v>-0.485774129991074</v>
      </c>
      <c r="X8" t="s">
        <v>10</v>
      </c>
      <c r="Y8">
        <v>1.5998649985590301</v>
      </c>
      <c r="Z8" t="s">
        <v>11</v>
      </c>
      <c r="AA8" t="s">
        <v>646</v>
      </c>
      <c r="AB8" t="s">
        <v>647</v>
      </c>
      <c r="AC8">
        <v>0</v>
      </c>
      <c r="AD8" t="s">
        <v>14</v>
      </c>
      <c r="AE8" t="s">
        <v>15</v>
      </c>
      <c r="AF8" t="s">
        <v>648</v>
      </c>
      <c r="AG8" t="s">
        <v>618</v>
      </c>
      <c r="AH8">
        <v>0</v>
      </c>
      <c r="AI8" t="s">
        <v>18</v>
      </c>
    </row>
    <row r="9" spans="1:35" x14ac:dyDescent="0.3">
      <c r="A9" t="str">
        <f>_xlfn.TEXTJOIN(", ", FALSE, C9,D9,E9,F9,G9,H9,I9,J9)</f>
        <v>bbands_{'C',  [('number', 0,  1),  ('number', 2.5,  -1)]}_[21,  49]_1</v>
      </c>
      <c r="B9" t="s">
        <v>905</v>
      </c>
      <c r="C9" t="s">
        <v>113</v>
      </c>
      <c r="D9" t="s">
        <v>587</v>
      </c>
      <c r="E9">
        <v>0</v>
      </c>
      <c r="F9" t="s">
        <v>588</v>
      </c>
      <c r="G9" t="s">
        <v>589</v>
      </c>
      <c r="H9">
        <v>2.5</v>
      </c>
      <c r="I9" t="s">
        <v>599</v>
      </c>
      <c r="J9" t="s">
        <v>28</v>
      </c>
      <c r="K9" t="s">
        <v>4</v>
      </c>
      <c r="L9">
        <v>200</v>
      </c>
      <c r="M9" t="s">
        <v>5</v>
      </c>
      <c r="N9">
        <v>89</v>
      </c>
      <c r="O9" s="2">
        <f>N9/L9</f>
        <v>0.44500000000000001</v>
      </c>
      <c r="P9" t="s">
        <v>6</v>
      </c>
      <c r="Q9">
        <v>27.166424943649901</v>
      </c>
      <c r="R9" t="s">
        <v>7</v>
      </c>
      <c r="S9">
        <v>0.13583212471824899</v>
      </c>
      <c r="T9" t="s">
        <v>8</v>
      </c>
      <c r="U9">
        <v>1.3150160106027999</v>
      </c>
      <c r="V9" t="s">
        <v>9</v>
      </c>
      <c r="W9">
        <v>-0.80963963963963903</v>
      </c>
      <c r="X9" t="s">
        <v>10</v>
      </c>
      <c r="Y9">
        <v>0.30765017758576302</v>
      </c>
      <c r="Z9" t="s">
        <v>11</v>
      </c>
      <c r="AA9" t="s">
        <v>659</v>
      </c>
      <c r="AB9" t="s">
        <v>660</v>
      </c>
      <c r="AC9">
        <v>0</v>
      </c>
      <c r="AD9" t="s">
        <v>14</v>
      </c>
      <c r="AE9" t="s">
        <v>15</v>
      </c>
      <c r="AF9" t="s">
        <v>661</v>
      </c>
      <c r="AG9" t="s">
        <v>611</v>
      </c>
      <c r="AH9">
        <v>0</v>
      </c>
      <c r="AI9" t="s">
        <v>18</v>
      </c>
    </row>
    <row r="10" spans="1:35" x14ac:dyDescent="0.3">
      <c r="A10" t="str">
        <f>_xlfn.TEXTJOIN(", ", FALSE, C10,D10,E10,F10,G10,H10,I10,J10)</f>
        <v>stoch_{'C',  [('number', 5,  1),  ('number', 7.5,  -1)]}_[35,  70]_1</v>
      </c>
      <c r="B10" t="s">
        <v>1102</v>
      </c>
      <c r="C10" t="s">
        <v>262</v>
      </c>
      <c r="D10" t="s">
        <v>587</v>
      </c>
      <c r="E10">
        <v>5</v>
      </c>
      <c r="F10" t="s">
        <v>588</v>
      </c>
      <c r="G10" t="s">
        <v>589</v>
      </c>
      <c r="H10">
        <v>7.5</v>
      </c>
      <c r="I10" t="s">
        <v>605</v>
      </c>
      <c r="J10" t="s">
        <v>38</v>
      </c>
      <c r="K10" t="s">
        <v>4</v>
      </c>
      <c r="L10">
        <v>291</v>
      </c>
      <c r="M10" t="s">
        <v>5</v>
      </c>
      <c r="N10">
        <v>122</v>
      </c>
      <c r="O10" s="2">
        <f>N10/L10</f>
        <v>0.41924398625429554</v>
      </c>
      <c r="P10" t="s">
        <v>6</v>
      </c>
      <c r="Q10">
        <v>26.897627247047499</v>
      </c>
      <c r="R10" t="s">
        <v>7</v>
      </c>
      <c r="S10">
        <v>9.2431708752740496E-2</v>
      </c>
      <c r="T10" t="s">
        <v>8</v>
      </c>
      <c r="U10">
        <v>1.0783662554468001</v>
      </c>
      <c r="V10" t="s">
        <v>9</v>
      </c>
      <c r="W10">
        <v>-0.61930802318025302</v>
      </c>
      <c r="X10" t="s">
        <v>10</v>
      </c>
      <c r="Y10">
        <v>0.291215177864175</v>
      </c>
      <c r="Z10" t="s">
        <v>11</v>
      </c>
      <c r="AA10" t="s">
        <v>834</v>
      </c>
      <c r="AB10" t="s">
        <v>835</v>
      </c>
    </row>
    <row r="11" spans="1:35" x14ac:dyDescent="0.3">
      <c r="A11" t="str">
        <f>_xlfn.TEXTJOIN(", ", FALSE, C11,D11,E11,F11,G11,H11,I11,J11)</f>
        <v>alltime_{'C',  [('number', 5,  1),  ('number', 7.5,  -1)]}_[35,  70]_1</v>
      </c>
      <c r="B11" t="s">
        <v>885</v>
      </c>
      <c r="C11" t="s">
        <v>0</v>
      </c>
      <c r="D11" t="s">
        <v>587</v>
      </c>
      <c r="E11">
        <v>5</v>
      </c>
      <c r="F11" t="s">
        <v>588</v>
      </c>
      <c r="G11" t="s">
        <v>589</v>
      </c>
      <c r="H11">
        <v>7.5</v>
      </c>
      <c r="I11" t="s">
        <v>605</v>
      </c>
      <c r="J11" t="s">
        <v>38</v>
      </c>
      <c r="K11" t="s">
        <v>4</v>
      </c>
      <c r="L11">
        <v>3810</v>
      </c>
      <c r="M11" t="s">
        <v>5</v>
      </c>
      <c r="N11">
        <v>1384</v>
      </c>
      <c r="O11" s="2">
        <f>N11/L11</f>
        <v>0.36325459317585301</v>
      </c>
      <c r="P11" t="s">
        <v>6</v>
      </c>
      <c r="Q11">
        <v>24.348239372627202</v>
      </c>
      <c r="R11" t="s">
        <v>7</v>
      </c>
      <c r="S11">
        <v>6.3906140085635797E-3</v>
      </c>
      <c r="T11" t="s">
        <v>8</v>
      </c>
      <c r="U11">
        <v>1.06928335629628</v>
      </c>
      <c r="V11" t="s">
        <v>9</v>
      </c>
      <c r="W11">
        <v>-0.599975237321279</v>
      </c>
      <c r="X11" t="s">
        <v>10</v>
      </c>
      <c r="Y11">
        <v>1.8338259887183299</v>
      </c>
      <c r="Z11" t="s">
        <v>11</v>
      </c>
      <c r="AA11" t="s">
        <v>629</v>
      </c>
      <c r="AB11" t="s">
        <v>630</v>
      </c>
    </row>
    <row r="12" spans="1:35" x14ac:dyDescent="0.3">
      <c r="A12" t="str">
        <f>_xlfn.TEXTJOIN(", ", FALSE, C12,D12,E12,F12,G12,H12,I12,J12)</f>
        <v>bbands_{'C',  [('number', 0,  1),  ('number', 2.5,  -1)]}_[35,  70]_1</v>
      </c>
      <c r="B12" t="s">
        <v>909</v>
      </c>
      <c r="C12" t="s">
        <v>113</v>
      </c>
      <c r="D12" t="s">
        <v>587</v>
      </c>
      <c r="E12">
        <v>0</v>
      </c>
      <c r="F12" t="s">
        <v>588</v>
      </c>
      <c r="G12" t="s">
        <v>589</v>
      </c>
      <c r="H12">
        <v>2.5</v>
      </c>
      <c r="I12" t="s">
        <v>605</v>
      </c>
      <c r="J12" t="s">
        <v>38</v>
      </c>
      <c r="K12" t="s">
        <v>4</v>
      </c>
      <c r="L12">
        <v>247</v>
      </c>
      <c r="M12" t="s">
        <v>5</v>
      </c>
      <c r="N12">
        <v>106</v>
      </c>
      <c r="O12" s="2">
        <f>N12/L12</f>
        <v>0.4291497975708502</v>
      </c>
      <c r="P12" t="s">
        <v>6</v>
      </c>
      <c r="Q12">
        <v>23.729230269402901</v>
      </c>
      <c r="R12" t="s">
        <v>7</v>
      </c>
      <c r="S12">
        <v>9.6069758175720596E-2</v>
      </c>
      <c r="T12" t="s">
        <v>8</v>
      </c>
      <c r="U12">
        <v>1.43585726147676</v>
      </c>
      <c r="V12" t="s">
        <v>9</v>
      </c>
      <c r="W12">
        <v>-0.91114637905769003</v>
      </c>
      <c r="X12" t="s">
        <v>10</v>
      </c>
      <c r="Y12">
        <v>0.36608925687127303</v>
      </c>
      <c r="Z12" t="s">
        <v>11</v>
      </c>
      <c r="AA12" t="s">
        <v>665</v>
      </c>
      <c r="AB12" t="s">
        <v>13</v>
      </c>
      <c r="AC12">
        <v>0</v>
      </c>
      <c r="AD12" t="s">
        <v>14</v>
      </c>
      <c r="AE12" t="s">
        <v>15</v>
      </c>
      <c r="AF12" t="s">
        <v>666</v>
      </c>
      <c r="AG12" t="s">
        <v>667</v>
      </c>
      <c r="AH12">
        <v>0</v>
      </c>
      <c r="AI12" t="s">
        <v>18</v>
      </c>
    </row>
    <row r="13" spans="1:35" x14ac:dyDescent="0.3">
      <c r="A13" t="str">
        <f>_xlfn.TEXTJOIN(", ", FALSE, C13,D13,E13,F13,G13,H13,I13,J13)</f>
        <v>bbands_{'C',  [('number', 5,  1),  ('number', 7.5,  -1)]}_[21,  49]_1</v>
      </c>
      <c r="B13" t="s">
        <v>929</v>
      </c>
      <c r="C13" t="s">
        <v>113</v>
      </c>
      <c r="D13" t="s">
        <v>587</v>
      </c>
      <c r="E13">
        <v>5</v>
      </c>
      <c r="F13" t="s">
        <v>588</v>
      </c>
      <c r="G13" t="s">
        <v>589</v>
      </c>
      <c r="H13">
        <v>7.5</v>
      </c>
      <c r="I13" t="s">
        <v>599</v>
      </c>
      <c r="J13" t="s">
        <v>28</v>
      </c>
      <c r="K13" t="s">
        <v>4</v>
      </c>
      <c r="L13">
        <v>200</v>
      </c>
      <c r="M13" t="s">
        <v>5</v>
      </c>
      <c r="N13">
        <v>81</v>
      </c>
      <c r="O13" s="2">
        <f>N13/L13</f>
        <v>0.40500000000000003</v>
      </c>
      <c r="P13" t="s">
        <v>6</v>
      </c>
      <c r="Q13">
        <v>20.9499999999999</v>
      </c>
      <c r="R13" t="s">
        <v>7</v>
      </c>
      <c r="S13">
        <v>0.104749999999999</v>
      </c>
      <c r="T13" t="s">
        <v>8</v>
      </c>
      <c r="U13">
        <v>1.09481481481481</v>
      </c>
      <c r="V13" t="s">
        <v>9</v>
      </c>
      <c r="W13">
        <v>-0.56915966386554595</v>
      </c>
      <c r="X13" t="s">
        <v>10</v>
      </c>
      <c r="Y13">
        <v>0.22505466746810299</v>
      </c>
      <c r="Z13" t="s">
        <v>11</v>
      </c>
      <c r="AA13" t="s">
        <v>690</v>
      </c>
      <c r="AB13" t="s">
        <v>691</v>
      </c>
      <c r="AC13">
        <v>0</v>
      </c>
      <c r="AD13" t="s">
        <v>14</v>
      </c>
      <c r="AE13" t="s">
        <v>15</v>
      </c>
      <c r="AF13" t="s">
        <v>692</v>
      </c>
      <c r="AG13" t="s">
        <v>611</v>
      </c>
      <c r="AH13">
        <v>0</v>
      </c>
      <c r="AI13" t="s">
        <v>18</v>
      </c>
    </row>
    <row r="14" spans="1:35" x14ac:dyDescent="0.3">
      <c r="A14" t="str">
        <f>_xlfn.TEXTJOIN(", ", FALSE, C14,D14,E14,F14,G14,H14,I14,J14)</f>
        <v>psar_{'C',  [('number', 2.5,  1),  ('number', 5,  -1)]}_[35,  70]_1</v>
      </c>
      <c r="B14" t="s">
        <v>969</v>
      </c>
      <c r="C14" t="s">
        <v>134</v>
      </c>
      <c r="D14" t="s">
        <v>587</v>
      </c>
      <c r="E14">
        <v>2.5</v>
      </c>
      <c r="F14" t="s">
        <v>588</v>
      </c>
      <c r="G14" t="s">
        <v>589</v>
      </c>
      <c r="H14">
        <v>5</v>
      </c>
      <c r="I14" t="s">
        <v>605</v>
      </c>
      <c r="J14" t="s">
        <v>38</v>
      </c>
      <c r="K14" t="s">
        <v>4</v>
      </c>
      <c r="L14">
        <v>177</v>
      </c>
      <c r="M14" t="s">
        <v>5</v>
      </c>
      <c r="N14">
        <v>75</v>
      </c>
      <c r="O14" s="2">
        <f>N14/L14</f>
        <v>0.42372881355932202</v>
      </c>
      <c r="P14" t="s">
        <v>6</v>
      </c>
      <c r="Q14">
        <v>17.3570816523894</v>
      </c>
      <c r="R14" t="s">
        <v>7</v>
      </c>
      <c r="S14">
        <v>9.8062608205589805E-2</v>
      </c>
      <c r="T14" t="s">
        <v>8</v>
      </c>
      <c r="U14">
        <v>1.18561958628208</v>
      </c>
      <c r="V14" t="s">
        <v>9</v>
      </c>
      <c r="W14">
        <v>-0.70161164038006496</v>
      </c>
      <c r="X14" t="s">
        <v>10</v>
      </c>
      <c r="Y14">
        <v>0.238601146893793</v>
      </c>
      <c r="Z14" t="s">
        <v>11</v>
      </c>
      <c r="AA14" t="s">
        <v>722</v>
      </c>
      <c r="AB14" t="s">
        <v>723</v>
      </c>
    </row>
    <row r="15" spans="1:35" x14ac:dyDescent="0.3">
      <c r="A15" t="str">
        <f>_xlfn.TEXTJOIN(", ", FALSE, C15,D15,E15,F15,G15,H15,I15,J15)</f>
        <v>psar_{'C',  [('number', 5,  1),  ('number', 7.5,  -1)]}_[35,  70]_1</v>
      </c>
      <c r="B15" t="s">
        <v>981</v>
      </c>
      <c r="C15" t="s">
        <v>134</v>
      </c>
      <c r="D15" t="s">
        <v>587</v>
      </c>
      <c r="E15">
        <v>5</v>
      </c>
      <c r="F15" t="s">
        <v>588</v>
      </c>
      <c r="G15" t="s">
        <v>589</v>
      </c>
      <c r="H15">
        <v>7.5</v>
      </c>
      <c r="I15" t="s">
        <v>605</v>
      </c>
      <c r="J15" t="s">
        <v>38</v>
      </c>
      <c r="K15" t="s">
        <v>4</v>
      </c>
      <c r="L15">
        <v>177</v>
      </c>
      <c r="M15" t="s">
        <v>5</v>
      </c>
      <c r="N15">
        <v>73</v>
      </c>
      <c r="O15" s="2">
        <f>N15/L15</f>
        <v>0.41242937853107342</v>
      </c>
      <c r="P15" t="s">
        <v>6</v>
      </c>
      <c r="Q15">
        <v>17.255841015695999</v>
      </c>
      <c r="R15" t="s">
        <v>7</v>
      </c>
      <c r="S15">
        <v>9.7490627207322406E-2</v>
      </c>
      <c r="T15" t="s">
        <v>8</v>
      </c>
      <c r="U15">
        <v>1.01669899970107</v>
      </c>
      <c r="V15" t="s">
        <v>9</v>
      </c>
      <c r="W15">
        <v>-0.54772294194694704</v>
      </c>
      <c r="X15" t="s">
        <v>10</v>
      </c>
      <c r="Y15">
        <v>0.214265279250897</v>
      </c>
      <c r="Z15" t="s">
        <v>11</v>
      </c>
      <c r="AA15" t="s">
        <v>734</v>
      </c>
      <c r="AB15" t="s">
        <v>735</v>
      </c>
    </row>
    <row r="16" spans="1:35" x14ac:dyDescent="0.3">
      <c r="A16" t="str">
        <f>_xlfn.TEXTJOIN(", ", FALSE, C16,D16,E16,F16,G16,H16,I16,J16)</f>
        <v>bbands_{'C',  [('number', 2.5,  1),  ('number', 5,  -1)]}_[35,  70]_2</v>
      </c>
      <c r="B16" t="s">
        <v>922</v>
      </c>
      <c r="C16" t="s">
        <v>113</v>
      </c>
      <c r="D16" t="s">
        <v>587</v>
      </c>
      <c r="E16">
        <v>2.5</v>
      </c>
      <c r="F16" t="s">
        <v>588</v>
      </c>
      <c r="G16" t="s">
        <v>589</v>
      </c>
      <c r="H16">
        <v>5</v>
      </c>
      <c r="I16" t="s">
        <v>605</v>
      </c>
      <c r="J16" t="s">
        <v>40</v>
      </c>
      <c r="K16" t="s">
        <v>4</v>
      </c>
      <c r="L16">
        <v>247</v>
      </c>
      <c r="M16" t="s">
        <v>5</v>
      </c>
      <c r="N16">
        <v>88</v>
      </c>
      <c r="O16" s="2">
        <f>N16/L16</f>
        <v>0.35627530364372467</v>
      </c>
      <c r="P16" t="s">
        <v>6</v>
      </c>
      <c r="Q16">
        <v>16.445384126231001</v>
      </c>
      <c r="R16" t="s">
        <v>7</v>
      </c>
      <c r="S16">
        <v>6.6580502535348404E-2</v>
      </c>
      <c r="T16" t="s">
        <v>8</v>
      </c>
      <c r="U16">
        <v>1.6370948657654001</v>
      </c>
      <c r="V16" t="s">
        <v>9</v>
      </c>
      <c r="W16">
        <v>-0.80263499409512296</v>
      </c>
      <c r="X16" t="s">
        <v>10</v>
      </c>
      <c r="Y16">
        <v>0.40148305627097802</v>
      </c>
      <c r="Z16" t="s">
        <v>11</v>
      </c>
      <c r="AA16" t="s">
        <v>681</v>
      </c>
      <c r="AB16" t="s">
        <v>683</v>
      </c>
    </row>
    <row r="17" spans="1:35" x14ac:dyDescent="0.3">
      <c r="A17" t="str">
        <f>_xlfn.TEXTJOIN(", ", FALSE, C17,D17,E17,F17,G17,H17,I17,J17)</f>
        <v>bbands_{'C',  [('number', 2.5,  1),  ('number', 5,  -1)]}_[21,  49]_1</v>
      </c>
      <c r="B17" t="s">
        <v>917</v>
      </c>
      <c r="C17" t="s">
        <v>113</v>
      </c>
      <c r="D17" t="s">
        <v>587</v>
      </c>
      <c r="E17">
        <v>2.5</v>
      </c>
      <c r="F17" t="s">
        <v>588</v>
      </c>
      <c r="G17" t="s">
        <v>589</v>
      </c>
      <c r="H17">
        <v>5</v>
      </c>
      <c r="I17" t="s">
        <v>599</v>
      </c>
      <c r="J17" t="s">
        <v>28</v>
      </c>
      <c r="K17" t="s">
        <v>4</v>
      </c>
      <c r="L17">
        <v>200</v>
      </c>
      <c r="M17" t="s">
        <v>5</v>
      </c>
      <c r="N17">
        <v>80</v>
      </c>
      <c r="O17" s="2">
        <f>N17/L17</f>
        <v>0.4</v>
      </c>
      <c r="P17" t="s">
        <v>6</v>
      </c>
      <c r="Q17">
        <v>16.272478047249699</v>
      </c>
      <c r="R17" t="s">
        <v>7</v>
      </c>
      <c r="S17">
        <v>8.13623902362485E-2</v>
      </c>
      <c r="T17" t="s">
        <v>8</v>
      </c>
      <c r="U17">
        <v>1.24253097559062</v>
      </c>
      <c r="V17" t="s">
        <v>9</v>
      </c>
      <c r="W17">
        <v>-0.69274999999999898</v>
      </c>
      <c r="X17" t="s">
        <v>10</v>
      </c>
      <c r="Y17">
        <v>0.259539548987747</v>
      </c>
      <c r="Z17" t="s">
        <v>11</v>
      </c>
      <c r="AA17" t="s">
        <v>671</v>
      </c>
      <c r="AB17" t="s">
        <v>672</v>
      </c>
      <c r="AC17">
        <v>0</v>
      </c>
      <c r="AD17" t="s">
        <v>14</v>
      </c>
      <c r="AE17" t="s">
        <v>15</v>
      </c>
      <c r="AF17" t="s">
        <v>673</v>
      </c>
      <c r="AG17" t="s">
        <v>611</v>
      </c>
      <c r="AH17">
        <v>0</v>
      </c>
      <c r="AI17" t="s">
        <v>18</v>
      </c>
    </row>
    <row r="18" spans="1:35" x14ac:dyDescent="0.3">
      <c r="A18" t="str">
        <f>_xlfn.TEXTJOIN(", ", FALSE, C18,D18,E18,F18,G18,H18,I18,J18)</f>
        <v>stoch_{'C',  [('number', 2.5,  1),  ('number', 5,  -1)]}_[35,  70]_1</v>
      </c>
      <c r="B18" t="s">
        <v>1103</v>
      </c>
      <c r="C18" t="s">
        <v>262</v>
      </c>
      <c r="D18" t="s">
        <v>587</v>
      </c>
      <c r="E18">
        <v>2.5</v>
      </c>
      <c r="F18" t="s">
        <v>588</v>
      </c>
      <c r="G18" t="s">
        <v>589</v>
      </c>
      <c r="H18">
        <v>5</v>
      </c>
      <c r="I18" t="s">
        <v>605</v>
      </c>
      <c r="J18" t="s">
        <v>38</v>
      </c>
      <c r="K18" t="s">
        <v>4</v>
      </c>
      <c r="L18">
        <v>291</v>
      </c>
      <c r="M18" t="s">
        <v>5</v>
      </c>
      <c r="N18">
        <v>114</v>
      </c>
      <c r="O18" s="2">
        <f>N18/L18</f>
        <v>0.39175257731958762</v>
      </c>
      <c r="P18" t="s">
        <v>6</v>
      </c>
      <c r="Q18">
        <v>14.181119085647</v>
      </c>
      <c r="R18" t="s">
        <v>7</v>
      </c>
      <c r="S18">
        <v>4.8732367991914299E-2</v>
      </c>
      <c r="T18" t="s">
        <v>8</v>
      </c>
      <c r="U18">
        <v>1.2882019023873501</v>
      </c>
      <c r="V18" t="s">
        <v>9</v>
      </c>
      <c r="W18">
        <v>-0.74957004399159299</v>
      </c>
      <c r="X18" t="s">
        <v>10</v>
      </c>
      <c r="Y18">
        <v>0.35658615702117102</v>
      </c>
      <c r="Z18" t="s">
        <v>11</v>
      </c>
      <c r="AA18" t="s">
        <v>825</v>
      </c>
      <c r="AB18" t="s">
        <v>13</v>
      </c>
      <c r="AC18">
        <v>0</v>
      </c>
      <c r="AD18" t="s">
        <v>14</v>
      </c>
      <c r="AE18" t="s">
        <v>15</v>
      </c>
      <c r="AF18" t="s">
        <v>825</v>
      </c>
      <c r="AG18" t="s">
        <v>13</v>
      </c>
      <c r="AH18">
        <v>0</v>
      </c>
      <c r="AI18" t="s">
        <v>18</v>
      </c>
    </row>
    <row r="19" spans="1:35" x14ac:dyDescent="0.3">
      <c r="A19" t="str">
        <f>_xlfn.TEXTJOIN(", ", FALSE, C19,D19,E19,F19,G19,H19,I19,J19)</f>
        <v>psar_{'C',  [('number', 0,  1),  ('number', 2.5,  -1)]}_[35,  70]_1</v>
      </c>
      <c r="B19" t="s">
        <v>957</v>
      </c>
      <c r="C19" t="s">
        <v>134</v>
      </c>
      <c r="D19" t="s">
        <v>587</v>
      </c>
      <c r="E19">
        <v>0</v>
      </c>
      <c r="F19" t="s">
        <v>588</v>
      </c>
      <c r="G19" t="s">
        <v>589</v>
      </c>
      <c r="H19">
        <v>2.5</v>
      </c>
      <c r="I19" t="s">
        <v>605</v>
      </c>
      <c r="J19" t="s">
        <v>38</v>
      </c>
      <c r="K19" t="s">
        <v>4</v>
      </c>
      <c r="L19">
        <v>177</v>
      </c>
      <c r="M19" t="s">
        <v>5</v>
      </c>
      <c r="N19">
        <v>75</v>
      </c>
      <c r="O19" s="2">
        <f>N19/L19</f>
        <v>0.42372881355932202</v>
      </c>
      <c r="P19" t="s">
        <v>6</v>
      </c>
      <c r="Q19">
        <v>13.7920072567976</v>
      </c>
      <c r="R19" t="s">
        <v>7</v>
      </c>
      <c r="S19">
        <v>7.7920944953659199E-2</v>
      </c>
      <c r="T19" t="s">
        <v>8</v>
      </c>
      <c r="U19">
        <v>1.33300591895489</v>
      </c>
      <c r="V19" t="s">
        <v>9</v>
      </c>
      <c r="W19">
        <v>-0.84493565357665801</v>
      </c>
      <c r="X19" t="s">
        <v>10</v>
      </c>
      <c r="Y19">
        <v>0.30411774186507001</v>
      </c>
      <c r="Z19" t="s">
        <v>11</v>
      </c>
      <c r="AA19" t="s">
        <v>678</v>
      </c>
      <c r="AB19" t="s">
        <v>711</v>
      </c>
      <c r="AC19">
        <v>0</v>
      </c>
      <c r="AD19" t="s">
        <v>14</v>
      </c>
      <c r="AE19" t="s">
        <v>15</v>
      </c>
      <c r="AF19" t="s">
        <v>678</v>
      </c>
      <c r="AG19" t="s">
        <v>711</v>
      </c>
      <c r="AH19">
        <v>0</v>
      </c>
      <c r="AI19" t="s">
        <v>18</v>
      </c>
    </row>
    <row r="20" spans="1:35" x14ac:dyDescent="0.3">
      <c r="A20" t="str">
        <f>_xlfn.TEXTJOIN(", ", FALSE, C20,D20,E20,F20,G20,H20,I20,J20)</f>
        <v>rsi_{'C',  [('number', 2.5,  1),  ('number', 5,  -1)]}_[35,  70]_1</v>
      </c>
      <c r="B20" t="s">
        <v>1065</v>
      </c>
      <c r="C20" t="s">
        <v>221</v>
      </c>
      <c r="D20" t="s">
        <v>587</v>
      </c>
      <c r="E20">
        <v>2.5</v>
      </c>
      <c r="F20" t="s">
        <v>588</v>
      </c>
      <c r="G20" t="s">
        <v>589</v>
      </c>
      <c r="H20">
        <v>5</v>
      </c>
      <c r="I20" t="s">
        <v>605</v>
      </c>
      <c r="J20" t="s">
        <v>38</v>
      </c>
      <c r="K20" t="s">
        <v>4</v>
      </c>
      <c r="L20">
        <v>40</v>
      </c>
      <c r="M20" t="s">
        <v>5</v>
      </c>
      <c r="N20">
        <v>21</v>
      </c>
      <c r="O20" s="2">
        <f>N20/L20</f>
        <v>0.52500000000000002</v>
      </c>
      <c r="P20" t="s">
        <v>6</v>
      </c>
      <c r="Q20">
        <v>13.664495997076299</v>
      </c>
      <c r="R20" t="s">
        <v>7</v>
      </c>
      <c r="S20">
        <v>0.34161239992690901</v>
      </c>
      <c r="T20" t="s">
        <v>8</v>
      </c>
      <c r="U20">
        <v>1.3272137077869299</v>
      </c>
      <c r="V20" t="s">
        <v>9</v>
      </c>
      <c r="W20">
        <v>-0.747736414023639</v>
      </c>
      <c r="X20" t="s">
        <v>10</v>
      </c>
      <c r="Y20">
        <v>0.107059166281309</v>
      </c>
      <c r="Z20" t="s">
        <v>11</v>
      </c>
      <c r="AA20" t="s">
        <v>779</v>
      </c>
      <c r="AB20" t="s">
        <v>780</v>
      </c>
      <c r="AC20">
        <v>0</v>
      </c>
      <c r="AD20" t="s">
        <v>14</v>
      </c>
      <c r="AE20" t="s">
        <v>15</v>
      </c>
      <c r="AF20" t="s">
        <v>779</v>
      </c>
      <c r="AG20" t="s">
        <v>780</v>
      </c>
      <c r="AH20">
        <v>0</v>
      </c>
      <c r="AI20" t="s">
        <v>18</v>
      </c>
    </row>
    <row r="21" spans="1:35" x14ac:dyDescent="0.3">
      <c r="A21" t="str">
        <f>_xlfn.TEXTJOIN(", ", FALSE, C21,D21,E21,F21,G21,H21,I21,J21)</f>
        <v>psar_{'C',  [('number', 0,  1),  ('number', 2.5,  -1)]}_[21,  49]_1</v>
      </c>
      <c r="B21" t="s">
        <v>953</v>
      </c>
      <c r="C21" t="s">
        <v>134</v>
      </c>
      <c r="D21" t="s">
        <v>587</v>
      </c>
      <c r="E21">
        <v>0</v>
      </c>
      <c r="F21" t="s">
        <v>588</v>
      </c>
      <c r="G21" t="s">
        <v>589</v>
      </c>
      <c r="H21">
        <v>2.5</v>
      </c>
      <c r="I21" t="s">
        <v>599</v>
      </c>
      <c r="J21" t="s">
        <v>28</v>
      </c>
      <c r="K21" t="s">
        <v>4</v>
      </c>
      <c r="L21">
        <v>136</v>
      </c>
      <c r="M21" t="s">
        <v>5</v>
      </c>
      <c r="N21">
        <v>58</v>
      </c>
      <c r="O21" s="2">
        <f>N21/L21</f>
        <v>0.4264705882352941</v>
      </c>
      <c r="P21" t="s">
        <v>6</v>
      </c>
      <c r="Q21">
        <v>13.08</v>
      </c>
      <c r="R21" t="s">
        <v>7</v>
      </c>
      <c r="S21">
        <v>9.6176470588235696E-2</v>
      </c>
      <c r="T21" t="s">
        <v>8</v>
      </c>
      <c r="U21">
        <v>1.23310344827586</v>
      </c>
      <c r="V21" t="s">
        <v>9</v>
      </c>
      <c r="W21">
        <v>-0.74923076923076903</v>
      </c>
      <c r="X21" t="s">
        <v>10</v>
      </c>
      <c r="Y21">
        <v>0.202160466120583</v>
      </c>
      <c r="Z21" t="s">
        <v>11</v>
      </c>
      <c r="AA21" t="s">
        <v>708</v>
      </c>
      <c r="AB21" t="s">
        <v>601</v>
      </c>
      <c r="AC21">
        <v>0</v>
      </c>
      <c r="AD21" t="s">
        <v>14</v>
      </c>
      <c r="AE21" t="s">
        <v>15</v>
      </c>
      <c r="AF21" t="s">
        <v>709</v>
      </c>
      <c r="AG21" t="s">
        <v>618</v>
      </c>
      <c r="AH21">
        <v>0</v>
      </c>
      <c r="AI21" t="s">
        <v>18</v>
      </c>
    </row>
    <row r="22" spans="1:35" x14ac:dyDescent="0.3">
      <c r="A22" t="str">
        <f>_xlfn.TEXTJOIN(", ", FALSE, C22,D22,E22,F22,G22,H22,I22,J22)</f>
        <v>bbands_{'C',  [('number', 5,  1),  ('number', 7.5,  -1)]}_[7,  35]_1</v>
      </c>
      <c r="B22" t="s">
        <v>925</v>
      </c>
      <c r="C22" t="s">
        <v>113</v>
      </c>
      <c r="D22" t="s">
        <v>587</v>
      </c>
      <c r="E22">
        <v>5</v>
      </c>
      <c r="F22" t="s">
        <v>588</v>
      </c>
      <c r="G22" t="s">
        <v>589</v>
      </c>
      <c r="H22">
        <v>7.5</v>
      </c>
      <c r="I22" t="s">
        <v>590</v>
      </c>
      <c r="J22" t="s">
        <v>3</v>
      </c>
      <c r="K22" t="s">
        <v>4</v>
      </c>
      <c r="L22">
        <v>191</v>
      </c>
      <c r="M22" t="s">
        <v>5</v>
      </c>
      <c r="N22">
        <v>70</v>
      </c>
      <c r="O22" s="2">
        <f>N22/L22</f>
        <v>0.36649214659685864</v>
      </c>
      <c r="P22" t="s">
        <v>6</v>
      </c>
      <c r="Q22">
        <v>13.06</v>
      </c>
      <c r="R22" t="s">
        <v>7</v>
      </c>
      <c r="S22">
        <v>6.83769633507854E-2</v>
      </c>
      <c r="T22" t="s">
        <v>8</v>
      </c>
      <c r="U22">
        <v>0.997571428571428</v>
      </c>
      <c r="V22" t="s">
        <v>9</v>
      </c>
      <c r="W22">
        <v>-0.46917355371900799</v>
      </c>
      <c r="X22" t="s">
        <v>10</v>
      </c>
      <c r="Y22">
        <v>0.192264995860979</v>
      </c>
      <c r="Z22" t="s">
        <v>11</v>
      </c>
      <c r="AA22" t="s">
        <v>684</v>
      </c>
      <c r="AB22" t="s">
        <v>611</v>
      </c>
      <c r="AC22">
        <v>0</v>
      </c>
      <c r="AD22" t="s">
        <v>14</v>
      </c>
      <c r="AE22" t="s">
        <v>15</v>
      </c>
      <c r="AF22" t="s">
        <v>685</v>
      </c>
      <c r="AG22" t="s">
        <v>611</v>
      </c>
      <c r="AH22">
        <v>0</v>
      </c>
      <c r="AI22" t="s">
        <v>18</v>
      </c>
    </row>
    <row r="23" spans="1:35" x14ac:dyDescent="0.3">
      <c r="A23" t="str">
        <f>_xlfn.TEXTJOIN(", ", FALSE, C23,D23,E23,F23,G23,H23,I23,J23)</f>
        <v>rsi_{'C',  [('number', 2.5,  1),  ('number', 5,  -1)]}_[35,  70]_2</v>
      </c>
      <c r="B23" t="s">
        <v>1066</v>
      </c>
      <c r="C23" t="s">
        <v>221</v>
      </c>
      <c r="D23" t="s">
        <v>587</v>
      </c>
      <c r="E23">
        <v>2.5</v>
      </c>
      <c r="F23" t="s">
        <v>588</v>
      </c>
      <c r="G23" t="s">
        <v>589</v>
      </c>
      <c r="H23">
        <v>5</v>
      </c>
      <c r="I23" t="s">
        <v>605</v>
      </c>
      <c r="J23" t="s">
        <v>40</v>
      </c>
      <c r="K23" t="s">
        <v>4</v>
      </c>
      <c r="L23">
        <v>40</v>
      </c>
      <c r="M23" t="s">
        <v>5</v>
      </c>
      <c r="N23">
        <v>18</v>
      </c>
      <c r="O23" s="2">
        <f>N23/L23</f>
        <v>0.45</v>
      </c>
      <c r="P23" t="s">
        <v>6</v>
      </c>
      <c r="Q23">
        <v>12.5544959970763</v>
      </c>
      <c r="R23" t="s">
        <v>7</v>
      </c>
      <c r="S23">
        <v>0.31386239992690901</v>
      </c>
      <c r="T23" t="s">
        <v>8</v>
      </c>
      <c r="U23">
        <v>1.63897154797364</v>
      </c>
      <c r="V23" t="s">
        <v>9</v>
      </c>
      <c r="W23">
        <v>-0.770317812111325</v>
      </c>
      <c r="X23" t="s">
        <v>10</v>
      </c>
      <c r="Y23">
        <v>0.12969154465866101</v>
      </c>
      <c r="Z23" t="s">
        <v>11</v>
      </c>
      <c r="AA23" t="s">
        <v>779</v>
      </c>
      <c r="AB23" t="s">
        <v>780</v>
      </c>
      <c r="AC23">
        <v>0</v>
      </c>
      <c r="AD23" t="s">
        <v>14</v>
      </c>
      <c r="AE23" t="s">
        <v>15</v>
      </c>
      <c r="AF23" t="s">
        <v>781</v>
      </c>
      <c r="AG23" t="s">
        <v>782</v>
      </c>
      <c r="AH23">
        <v>0</v>
      </c>
      <c r="AI23" t="s">
        <v>18</v>
      </c>
    </row>
    <row r="24" spans="1:35" x14ac:dyDescent="0.3">
      <c r="A24" t="str">
        <f>_xlfn.TEXTJOIN(", ", FALSE, C24,D24,E24,F24,G24,H24,I24,J24)</f>
        <v>psar_{'C',  [('number', 5,  1),  ('number', 7.5,  -1)]}_[35,  70]_2</v>
      </c>
      <c r="B24" t="s">
        <v>982</v>
      </c>
      <c r="C24" t="s">
        <v>134</v>
      </c>
      <c r="D24" t="s">
        <v>587</v>
      </c>
      <c r="E24">
        <v>5</v>
      </c>
      <c r="F24" t="s">
        <v>588</v>
      </c>
      <c r="G24" t="s">
        <v>589</v>
      </c>
      <c r="H24">
        <v>7.5</v>
      </c>
      <c r="I24" t="s">
        <v>605</v>
      </c>
      <c r="J24" t="s">
        <v>40</v>
      </c>
      <c r="K24" t="s">
        <v>4</v>
      </c>
      <c r="L24">
        <v>177</v>
      </c>
      <c r="M24" t="s">
        <v>5</v>
      </c>
      <c r="N24">
        <v>51</v>
      </c>
      <c r="O24" s="2">
        <f>N24/L24</f>
        <v>0.28813559322033899</v>
      </c>
      <c r="P24" t="s">
        <v>6</v>
      </c>
      <c r="Q24">
        <v>10.855841015696001</v>
      </c>
      <c r="R24" t="s">
        <v>7</v>
      </c>
      <c r="S24">
        <v>6.1332435116926598E-2</v>
      </c>
      <c r="T24" t="s">
        <v>8</v>
      </c>
      <c r="U24">
        <v>1.56835898907835</v>
      </c>
      <c r="V24" t="s">
        <v>9</v>
      </c>
      <c r="W24">
        <v>-0.54865450339126998</v>
      </c>
      <c r="X24" t="s">
        <v>10</v>
      </c>
      <c r="Y24">
        <v>0.26735972000401598</v>
      </c>
      <c r="Z24" t="s">
        <v>11</v>
      </c>
      <c r="AA24" t="s">
        <v>708</v>
      </c>
      <c r="AB24" t="s">
        <v>601</v>
      </c>
      <c r="AC24">
        <v>0</v>
      </c>
      <c r="AD24" t="s">
        <v>14</v>
      </c>
      <c r="AE24" t="s">
        <v>15</v>
      </c>
      <c r="AF24" t="s">
        <v>736</v>
      </c>
      <c r="AG24" t="s">
        <v>737</v>
      </c>
      <c r="AH24">
        <v>0</v>
      </c>
      <c r="AI24" t="s">
        <v>18</v>
      </c>
    </row>
    <row r="25" spans="1:35" x14ac:dyDescent="0.3">
      <c r="A25" t="str">
        <f>_xlfn.TEXTJOIN(", ", FALSE, C25,D25,E25,F25,G25,H25,I25,J25)</f>
        <v>rsi_{'C',  [('number', 0,  1),  ('number', 2.5,  -1)]}_[21,  49]_1</v>
      </c>
      <c r="B25" t="s">
        <v>1049</v>
      </c>
      <c r="C25" t="s">
        <v>221</v>
      </c>
      <c r="D25" t="s">
        <v>587</v>
      </c>
      <c r="E25">
        <v>0</v>
      </c>
      <c r="F25" t="s">
        <v>588</v>
      </c>
      <c r="G25" t="s">
        <v>589</v>
      </c>
      <c r="H25">
        <v>2.5</v>
      </c>
      <c r="I25" t="s">
        <v>599</v>
      </c>
      <c r="J25" t="s">
        <v>28</v>
      </c>
      <c r="K25" t="s">
        <v>4</v>
      </c>
      <c r="L25">
        <v>33</v>
      </c>
      <c r="M25" t="s">
        <v>5</v>
      </c>
      <c r="N25">
        <v>18</v>
      </c>
      <c r="O25" s="2">
        <f>N25/L25</f>
        <v>0.54545454545454541</v>
      </c>
      <c r="P25" t="s">
        <v>6</v>
      </c>
      <c r="Q25">
        <v>10.08</v>
      </c>
      <c r="R25" t="s">
        <v>7</v>
      </c>
      <c r="S25">
        <v>0.30545454545454598</v>
      </c>
      <c r="T25" t="s">
        <v>8</v>
      </c>
      <c r="U25">
        <v>1.25111111111111</v>
      </c>
      <c r="V25" t="s">
        <v>9</v>
      </c>
      <c r="W25">
        <v>-0.82933333333333104</v>
      </c>
      <c r="X25" t="s">
        <v>10</v>
      </c>
      <c r="Y25">
        <v>9.1658726827943696E-2</v>
      </c>
      <c r="Z25" t="s">
        <v>11</v>
      </c>
      <c r="AA25" t="s">
        <v>770</v>
      </c>
      <c r="AB25" t="s">
        <v>593</v>
      </c>
      <c r="AC25">
        <v>0</v>
      </c>
      <c r="AD25" t="s">
        <v>14</v>
      </c>
      <c r="AE25" t="s">
        <v>15</v>
      </c>
      <c r="AF25" t="s">
        <v>770</v>
      </c>
      <c r="AG25" t="s">
        <v>593</v>
      </c>
      <c r="AH25">
        <v>0</v>
      </c>
      <c r="AI25" t="s">
        <v>18</v>
      </c>
    </row>
    <row r="26" spans="1:35" x14ac:dyDescent="0.3">
      <c r="A26" t="str">
        <f>_xlfn.TEXTJOIN(", ", FALSE, C26,D26,E26,F26,G26,H26,I26,J26)</f>
        <v>rsi_{'C',  [('number', 0,  1),  ('number', 2.5,  -1)]}_[7,  35]_1</v>
      </c>
      <c r="B26" t="s">
        <v>1045</v>
      </c>
      <c r="C26" t="s">
        <v>221</v>
      </c>
      <c r="D26" t="s">
        <v>587</v>
      </c>
      <c r="E26">
        <v>0</v>
      </c>
      <c r="F26" t="s">
        <v>588</v>
      </c>
      <c r="G26" t="s">
        <v>589</v>
      </c>
      <c r="H26">
        <v>2.5</v>
      </c>
      <c r="I26" t="s">
        <v>590</v>
      </c>
      <c r="J26" t="s">
        <v>3</v>
      </c>
      <c r="K26" t="s">
        <v>4</v>
      </c>
      <c r="L26">
        <v>35</v>
      </c>
      <c r="M26" t="s">
        <v>5</v>
      </c>
      <c r="N26">
        <v>19</v>
      </c>
      <c r="O26" s="2">
        <f>N26/L26</f>
        <v>0.54285714285714282</v>
      </c>
      <c r="P26" t="s">
        <v>6</v>
      </c>
      <c r="Q26">
        <v>9.6100000000000492</v>
      </c>
      <c r="R26" t="s">
        <v>7</v>
      </c>
      <c r="S26">
        <v>0.27457142857143002</v>
      </c>
      <c r="T26" t="s">
        <v>8</v>
      </c>
      <c r="U26">
        <v>1.1768421052631499</v>
      </c>
      <c r="V26" t="s">
        <v>9</v>
      </c>
      <c r="W26">
        <v>-0.796874999999998</v>
      </c>
      <c r="X26" t="s">
        <v>10</v>
      </c>
      <c r="Y26">
        <v>8.4675135295033704E-2</v>
      </c>
      <c r="Z26" t="s">
        <v>11</v>
      </c>
      <c r="AA26" t="s">
        <v>770</v>
      </c>
      <c r="AB26" t="s">
        <v>593</v>
      </c>
      <c r="AC26">
        <v>0</v>
      </c>
      <c r="AD26" t="s">
        <v>14</v>
      </c>
      <c r="AE26" t="s">
        <v>15</v>
      </c>
      <c r="AF26" t="s">
        <v>770</v>
      </c>
      <c r="AG26" t="s">
        <v>593</v>
      </c>
      <c r="AH26">
        <v>0</v>
      </c>
      <c r="AI26" t="s">
        <v>18</v>
      </c>
    </row>
    <row r="27" spans="1:35" x14ac:dyDescent="0.3">
      <c r="A27" t="str">
        <f>_xlfn.TEXTJOIN(", ", FALSE, C27,D27,E27,F27,G27,H27,I27,J27)</f>
        <v>bbands_{'C',  [('number', 5,  1),  ('number', 7.5,  -1)]}_[35,  70]_1</v>
      </c>
      <c r="B27" t="s">
        <v>933</v>
      </c>
      <c r="C27" t="s">
        <v>113</v>
      </c>
      <c r="D27" t="s">
        <v>587</v>
      </c>
      <c r="E27">
        <v>5</v>
      </c>
      <c r="F27" t="s">
        <v>588</v>
      </c>
      <c r="G27" t="s">
        <v>589</v>
      </c>
      <c r="H27">
        <v>7.5</v>
      </c>
      <c r="I27" t="s">
        <v>605</v>
      </c>
      <c r="J27" t="s">
        <v>38</v>
      </c>
      <c r="K27" t="s">
        <v>4</v>
      </c>
      <c r="L27">
        <v>247</v>
      </c>
      <c r="M27" t="s">
        <v>5</v>
      </c>
      <c r="N27">
        <v>97</v>
      </c>
      <c r="O27" s="2">
        <f>N27/L27</f>
        <v>0.39271255060728744</v>
      </c>
      <c r="P27" t="s">
        <v>6</v>
      </c>
      <c r="Q27">
        <v>8.7246844277388593</v>
      </c>
      <c r="R27" t="s">
        <v>7</v>
      </c>
      <c r="S27">
        <v>3.5322609019185602E-2</v>
      </c>
      <c r="T27" t="s">
        <v>8</v>
      </c>
      <c r="U27">
        <v>1.1404757217033199</v>
      </c>
      <c r="V27" t="s">
        <v>9</v>
      </c>
      <c r="W27">
        <v>-0.67934307051655396</v>
      </c>
      <c r="X27" t="s">
        <v>10</v>
      </c>
      <c r="Y27">
        <v>0.27088335596671798</v>
      </c>
      <c r="Z27" t="s">
        <v>11</v>
      </c>
      <c r="AA27" t="s">
        <v>699</v>
      </c>
      <c r="AB27" t="s">
        <v>700</v>
      </c>
    </row>
    <row r="28" spans="1:35" x14ac:dyDescent="0.3">
      <c r="A28" t="str">
        <f>_xlfn.TEXTJOIN(", ", FALSE, C28,D28,E28,F28,G28,H28,I28,J28)</f>
        <v>rsi_{'C',  [('number', 2.5,  1),  ('number', 5,  -1)]}_[35,  70]_3</v>
      </c>
      <c r="B28" t="s">
        <v>1067</v>
      </c>
      <c r="C28" t="s">
        <v>221</v>
      </c>
      <c r="D28" t="s">
        <v>587</v>
      </c>
      <c r="E28">
        <v>2.5</v>
      </c>
      <c r="F28" t="s">
        <v>588</v>
      </c>
      <c r="G28" t="s">
        <v>589</v>
      </c>
      <c r="H28">
        <v>5</v>
      </c>
      <c r="I28" t="s">
        <v>605</v>
      </c>
      <c r="J28" t="s">
        <v>42</v>
      </c>
      <c r="K28" t="s">
        <v>4</v>
      </c>
      <c r="L28">
        <v>40</v>
      </c>
      <c r="M28" t="s">
        <v>5</v>
      </c>
      <c r="N28">
        <v>17</v>
      </c>
      <c r="O28" s="2">
        <f>N28/L28</f>
        <v>0.42499999999999999</v>
      </c>
      <c r="P28" t="s">
        <v>6</v>
      </c>
      <c r="Q28">
        <v>8.6652970821095607</v>
      </c>
      <c r="R28" t="s">
        <v>7</v>
      </c>
      <c r="S28">
        <v>0.216632427052739</v>
      </c>
      <c r="T28" t="s">
        <v>8</v>
      </c>
      <c r="U28">
        <v>1.5348405263858</v>
      </c>
      <c r="V28" t="s">
        <v>9</v>
      </c>
      <c r="W28">
        <v>-0.75769529854126705</v>
      </c>
      <c r="X28" t="s">
        <v>10</v>
      </c>
      <c r="Y28">
        <v>0.154727014285827</v>
      </c>
      <c r="Z28" t="s">
        <v>11</v>
      </c>
      <c r="AA28" t="s">
        <v>783</v>
      </c>
      <c r="AB28" t="s">
        <v>228</v>
      </c>
      <c r="AC28">
        <v>0</v>
      </c>
      <c r="AD28" t="s">
        <v>14</v>
      </c>
      <c r="AE28" t="s">
        <v>15</v>
      </c>
      <c r="AF28" t="s">
        <v>784</v>
      </c>
      <c r="AG28" t="s">
        <v>785</v>
      </c>
      <c r="AH28">
        <v>0</v>
      </c>
      <c r="AI28" t="s">
        <v>18</v>
      </c>
    </row>
    <row r="29" spans="1:35" x14ac:dyDescent="0.3">
      <c r="A29" t="str">
        <f>_xlfn.TEXTJOIN(", ", FALSE, C29,D29,E29,F29,G29,H29,I29,J29)</f>
        <v>rsi_{'C',  [('number', 0,  1),  ('number', 2.5,  -1)]}_[7,  35]_2</v>
      </c>
      <c r="B29" t="s">
        <v>1046</v>
      </c>
      <c r="C29" t="s">
        <v>221</v>
      </c>
      <c r="D29" t="s">
        <v>587</v>
      </c>
      <c r="E29">
        <v>0</v>
      </c>
      <c r="F29" t="s">
        <v>588</v>
      </c>
      <c r="G29" t="s">
        <v>589</v>
      </c>
      <c r="H29">
        <v>2.5</v>
      </c>
      <c r="I29" t="s">
        <v>590</v>
      </c>
      <c r="J29" t="s">
        <v>19</v>
      </c>
      <c r="K29" t="s">
        <v>4</v>
      </c>
      <c r="L29">
        <v>35</v>
      </c>
      <c r="M29" t="s">
        <v>5</v>
      </c>
      <c r="N29">
        <v>18</v>
      </c>
      <c r="O29" s="2">
        <f>N29/L29</f>
        <v>0.51428571428571423</v>
      </c>
      <c r="P29" t="s">
        <v>6</v>
      </c>
      <c r="Q29">
        <v>8.4200000000000301</v>
      </c>
      <c r="R29" t="s">
        <v>7</v>
      </c>
      <c r="S29">
        <v>0.24057142857142899</v>
      </c>
      <c r="T29" t="s">
        <v>8</v>
      </c>
      <c r="U29">
        <v>1.2083333333333299</v>
      </c>
      <c r="V29" t="s">
        <v>9</v>
      </c>
      <c r="W29">
        <v>-0.78411764705882103</v>
      </c>
      <c r="X29" t="s">
        <v>10</v>
      </c>
      <c r="Y29">
        <v>8.7910667223607603E-2</v>
      </c>
      <c r="Z29" t="s">
        <v>11</v>
      </c>
      <c r="AA29" t="s">
        <v>770</v>
      </c>
      <c r="AB29" t="s">
        <v>593</v>
      </c>
      <c r="AC29">
        <v>0</v>
      </c>
      <c r="AD29" t="s">
        <v>14</v>
      </c>
      <c r="AE29" t="s">
        <v>15</v>
      </c>
      <c r="AF29" t="s">
        <v>770</v>
      </c>
      <c r="AG29" t="s">
        <v>593</v>
      </c>
      <c r="AH29">
        <v>0</v>
      </c>
      <c r="AI29" t="s">
        <v>18</v>
      </c>
    </row>
    <row r="30" spans="1:35" x14ac:dyDescent="0.3">
      <c r="A30" t="str">
        <f>_xlfn.TEXTJOIN(", ", FALSE, C30,D30,E30,F30,G30,H30,I30,J30)</f>
        <v>rsi_{'C',  [('number', 0,  1),  ('number', 2.5,  -1)]}_[7,  35]_3</v>
      </c>
      <c r="B30" t="s">
        <v>1047</v>
      </c>
      <c r="C30" t="s">
        <v>221</v>
      </c>
      <c r="D30" t="s">
        <v>587</v>
      </c>
      <c r="E30">
        <v>0</v>
      </c>
      <c r="F30" t="s">
        <v>588</v>
      </c>
      <c r="G30" t="s">
        <v>589</v>
      </c>
      <c r="H30">
        <v>2.5</v>
      </c>
      <c r="I30" t="s">
        <v>590</v>
      </c>
      <c r="J30" t="s">
        <v>23</v>
      </c>
      <c r="K30" t="s">
        <v>4</v>
      </c>
      <c r="L30">
        <v>35</v>
      </c>
      <c r="M30" t="s">
        <v>5</v>
      </c>
      <c r="N30">
        <v>18</v>
      </c>
      <c r="O30" s="2">
        <f>N30/L30</f>
        <v>0.51428571428571423</v>
      </c>
      <c r="P30" t="s">
        <v>6</v>
      </c>
      <c r="Q30">
        <v>8.4200000000000301</v>
      </c>
      <c r="R30" t="s">
        <v>7</v>
      </c>
      <c r="S30">
        <v>0.24057142857142899</v>
      </c>
      <c r="T30" t="s">
        <v>8</v>
      </c>
      <c r="U30">
        <v>1.2083333333333299</v>
      </c>
      <c r="V30" t="s">
        <v>9</v>
      </c>
      <c r="W30">
        <v>-0.78411764705882103</v>
      </c>
      <c r="X30" t="s">
        <v>10</v>
      </c>
      <c r="Y30">
        <v>8.7910667223607603E-2</v>
      </c>
      <c r="Z30" t="s">
        <v>11</v>
      </c>
      <c r="AA30" t="s">
        <v>770</v>
      </c>
      <c r="AB30" t="s">
        <v>593</v>
      </c>
      <c r="AC30">
        <v>0</v>
      </c>
      <c r="AD30" t="s">
        <v>14</v>
      </c>
      <c r="AE30" t="s">
        <v>15</v>
      </c>
      <c r="AF30" t="s">
        <v>770</v>
      </c>
      <c r="AG30" t="s">
        <v>593</v>
      </c>
      <c r="AH30">
        <v>0</v>
      </c>
      <c r="AI30" t="s">
        <v>18</v>
      </c>
    </row>
    <row r="31" spans="1:35" x14ac:dyDescent="0.3">
      <c r="A31" t="str">
        <f>_xlfn.TEXTJOIN(", ", FALSE, C31,D31,E31,F31,G31,H31,I31,J31)</f>
        <v>rsi_{'C',  [('number', 0,  1),  ('number', 2.5,  -1)]}_[7,  35]_4</v>
      </c>
      <c r="B31" t="s">
        <v>1048</v>
      </c>
      <c r="C31" t="s">
        <v>221</v>
      </c>
      <c r="D31" t="s">
        <v>587</v>
      </c>
      <c r="E31">
        <v>0</v>
      </c>
      <c r="F31" t="s">
        <v>588</v>
      </c>
      <c r="G31" t="s">
        <v>589</v>
      </c>
      <c r="H31">
        <v>2.5</v>
      </c>
      <c r="I31" t="s">
        <v>590</v>
      </c>
      <c r="J31" t="s">
        <v>26</v>
      </c>
      <c r="K31" t="s">
        <v>4</v>
      </c>
      <c r="L31">
        <v>35</v>
      </c>
      <c r="M31" t="s">
        <v>5</v>
      </c>
      <c r="N31">
        <v>18</v>
      </c>
      <c r="O31" s="2">
        <f>N31/L31</f>
        <v>0.51428571428571423</v>
      </c>
      <c r="P31" t="s">
        <v>6</v>
      </c>
      <c r="Q31">
        <v>8.4200000000000301</v>
      </c>
      <c r="R31" t="s">
        <v>7</v>
      </c>
      <c r="S31">
        <v>0.24057142857142899</v>
      </c>
      <c r="T31" t="s">
        <v>8</v>
      </c>
      <c r="U31">
        <v>1.2083333333333299</v>
      </c>
      <c r="V31" t="s">
        <v>9</v>
      </c>
      <c r="W31">
        <v>-0.78411764705882103</v>
      </c>
      <c r="X31" t="s">
        <v>10</v>
      </c>
      <c r="Y31">
        <v>8.7910667223607603E-2</v>
      </c>
      <c r="Z31" t="s">
        <v>11</v>
      </c>
      <c r="AA31" t="s">
        <v>770</v>
      </c>
      <c r="AB31" t="s">
        <v>593</v>
      </c>
      <c r="AC31">
        <v>0</v>
      </c>
      <c r="AD31" t="s">
        <v>14</v>
      </c>
      <c r="AE31" t="s">
        <v>15</v>
      </c>
      <c r="AF31" t="s">
        <v>770</v>
      </c>
      <c r="AG31" t="s">
        <v>593</v>
      </c>
      <c r="AH31">
        <v>0</v>
      </c>
      <c r="AI31" t="s">
        <v>18</v>
      </c>
    </row>
    <row r="32" spans="1:35" x14ac:dyDescent="0.3">
      <c r="A32" t="str">
        <f>_xlfn.TEXTJOIN(", ", FALSE, C32,D32,E32,F32,G32,H32,I32,J32)</f>
        <v>rsi_{'C',  [('number', 2.5,  1),  ('number', 5,  -1)]}_[21,  49]_2</v>
      </c>
      <c r="B32" t="s">
        <v>1062</v>
      </c>
      <c r="C32" t="s">
        <v>221</v>
      </c>
      <c r="D32" t="s">
        <v>587</v>
      </c>
      <c r="E32">
        <v>2.5</v>
      </c>
      <c r="F32" t="s">
        <v>588</v>
      </c>
      <c r="G32" t="s">
        <v>589</v>
      </c>
      <c r="H32">
        <v>5</v>
      </c>
      <c r="I32" t="s">
        <v>599</v>
      </c>
      <c r="J32" t="s">
        <v>30</v>
      </c>
      <c r="K32" t="s">
        <v>4</v>
      </c>
      <c r="L32">
        <v>33</v>
      </c>
      <c r="M32" t="s">
        <v>5</v>
      </c>
      <c r="N32">
        <v>15</v>
      </c>
      <c r="O32" s="2">
        <f>N32/L32</f>
        <v>0.45454545454545453</v>
      </c>
      <c r="P32" t="s">
        <v>6</v>
      </c>
      <c r="Q32">
        <v>8.1600000000000197</v>
      </c>
      <c r="R32" t="s">
        <v>7</v>
      </c>
      <c r="S32">
        <v>0.24727272727272701</v>
      </c>
      <c r="T32" t="s">
        <v>8</v>
      </c>
      <c r="U32">
        <v>1.42733333333333</v>
      </c>
      <c r="V32" t="s">
        <v>9</v>
      </c>
      <c r="W32">
        <v>-0.73611111111111105</v>
      </c>
      <c r="X32" t="s">
        <v>10</v>
      </c>
      <c r="Y32">
        <v>9.0003706984656803E-2</v>
      </c>
      <c r="Z32" t="s">
        <v>11</v>
      </c>
      <c r="AA32" t="s">
        <v>778</v>
      </c>
      <c r="AB32" t="s">
        <v>197</v>
      </c>
      <c r="AC32">
        <v>0</v>
      </c>
      <c r="AD32" t="s">
        <v>14</v>
      </c>
      <c r="AE32" t="s">
        <v>15</v>
      </c>
      <c r="AF32" t="s">
        <v>776</v>
      </c>
      <c r="AG32" t="s">
        <v>777</v>
      </c>
      <c r="AH32">
        <v>0</v>
      </c>
      <c r="AI32" t="s">
        <v>18</v>
      </c>
    </row>
    <row r="33" spans="1:35" x14ac:dyDescent="0.3">
      <c r="A33" t="str">
        <f>_xlfn.TEXTJOIN(", ", FALSE, C33,D33,E33,F33,G33,H33,I33,J33)</f>
        <v>rsi_{'C',  [('number', 2.5,  1),  ('number', 5,  -1)]}_[21,  49]_3</v>
      </c>
      <c r="B33" t="s">
        <v>1063</v>
      </c>
      <c r="C33" t="s">
        <v>221</v>
      </c>
      <c r="D33" t="s">
        <v>587</v>
      </c>
      <c r="E33">
        <v>2.5</v>
      </c>
      <c r="F33" t="s">
        <v>588</v>
      </c>
      <c r="G33" t="s">
        <v>589</v>
      </c>
      <c r="H33">
        <v>5</v>
      </c>
      <c r="I33" t="s">
        <v>599</v>
      </c>
      <c r="J33" t="s">
        <v>33</v>
      </c>
      <c r="K33" t="s">
        <v>4</v>
      </c>
      <c r="L33">
        <v>33</v>
      </c>
      <c r="M33" t="s">
        <v>5</v>
      </c>
      <c r="N33">
        <v>15</v>
      </c>
      <c r="O33" s="2">
        <f>N33/L33</f>
        <v>0.45454545454545453</v>
      </c>
      <c r="P33" t="s">
        <v>6</v>
      </c>
      <c r="Q33">
        <v>8.1600000000000197</v>
      </c>
      <c r="R33" t="s">
        <v>7</v>
      </c>
      <c r="S33">
        <v>0.24727272727272701</v>
      </c>
      <c r="T33" t="s">
        <v>8</v>
      </c>
      <c r="U33">
        <v>1.42733333333333</v>
      </c>
      <c r="V33" t="s">
        <v>9</v>
      </c>
      <c r="W33">
        <v>-0.73611111111111105</v>
      </c>
      <c r="X33" t="s">
        <v>10</v>
      </c>
      <c r="Y33">
        <v>9.0003706984656803E-2</v>
      </c>
      <c r="Z33" t="s">
        <v>11</v>
      </c>
      <c r="AA33" t="s">
        <v>778</v>
      </c>
      <c r="AB33" t="s">
        <v>197</v>
      </c>
      <c r="AC33">
        <v>0</v>
      </c>
      <c r="AD33" t="s">
        <v>14</v>
      </c>
      <c r="AE33" t="s">
        <v>15</v>
      </c>
      <c r="AF33" t="s">
        <v>776</v>
      </c>
      <c r="AG33" t="s">
        <v>777</v>
      </c>
      <c r="AH33">
        <v>0</v>
      </c>
      <c r="AI33" t="s">
        <v>18</v>
      </c>
    </row>
    <row r="34" spans="1:35" x14ac:dyDescent="0.3">
      <c r="A34" t="str">
        <f>_xlfn.TEXTJOIN(", ", FALSE, C34,D34,E34,F34,G34,H34,I34,J34)</f>
        <v>rsi_{'C',  [('number', 2.5,  1),  ('number', 5,  -1)]}_[21,  49]_4</v>
      </c>
      <c r="B34" t="s">
        <v>1064</v>
      </c>
      <c r="C34" t="s">
        <v>221</v>
      </c>
      <c r="D34" t="s">
        <v>587</v>
      </c>
      <c r="E34">
        <v>2.5</v>
      </c>
      <c r="F34" t="s">
        <v>588</v>
      </c>
      <c r="G34" t="s">
        <v>589</v>
      </c>
      <c r="H34">
        <v>5</v>
      </c>
      <c r="I34" t="s">
        <v>599</v>
      </c>
      <c r="J34" t="s">
        <v>36</v>
      </c>
      <c r="K34" t="s">
        <v>4</v>
      </c>
      <c r="L34">
        <v>33</v>
      </c>
      <c r="M34" t="s">
        <v>5</v>
      </c>
      <c r="N34">
        <v>15</v>
      </c>
      <c r="O34" s="2">
        <f>N34/L34</f>
        <v>0.45454545454545453</v>
      </c>
      <c r="P34" t="s">
        <v>6</v>
      </c>
      <c r="Q34">
        <v>8.1600000000000197</v>
      </c>
      <c r="R34" t="s">
        <v>7</v>
      </c>
      <c r="S34">
        <v>0.24727272727272701</v>
      </c>
      <c r="T34" t="s">
        <v>8</v>
      </c>
      <c r="U34">
        <v>1.42733333333333</v>
      </c>
      <c r="V34" t="s">
        <v>9</v>
      </c>
      <c r="W34">
        <v>-0.73611111111111105</v>
      </c>
      <c r="X34" t="s">
        <v>10</v>
      </c>
      <c r="Y34">
        <v>9.0003706984656803E-2</v>
      </c>
      <c r="Z34" t="s">
        <v>11</v>
      </c>
      <c r="AA34" t="s">
        <v>778</v>
      </c>
      <c r="AB34" t="s">
        <v>197</v>
      </c>
      <c r="AC34">
        <v>0</v>
      </c>
      <c r="AD34" t="s">
        <v>14</v>
      </c>
      <c r="AE34" t="s">
        <v>15</v>
      </c>
      <c r="AF34" t="s">
        <v>776</v>
      </c>
      <c r="AG34" t="s">
        <v>777</v>
      </c>
      <c r="AH34">
        <v>0</v>
      </c>
      <c r="AI34" t="s">
        <v>18</v>
      </c>
    </row>
    <row r="35" spans="1:35" x14ac:dyDescent="0.3">
      <c r="A35" t="str">
        <f>_xlfn.TEXTJOIN(", ", FALSE, C35,D35,E35,F35,G35,H35,I35,J35)</f>
        <v>psar_{'C',  [('number', 7.5,  1),  ('number', 10,  -1)]}_[21,  49]_4</v>
      </c>
      <c r="B35" t="s">
        <v>992</v>
      </c>
      <c r="C35" t="s">
        <v>134</v>
      </c>
      <c r="D35" t="s">
        <v>587</v>
      </c>
      <c r="E35">
        <v>7.5</v>
      </c>
      <c r="F35" t="s">
        <v>588</v>
      </c>
      <c r="G35" t="s">
        <v>589</v>
      </c>
      <c r="H35">
        <v>10</v>
      </c>
      <c r="I35" t="s">
        <v>599</v>
      </c>
      <c r="J35" t="s">
        <v>36</v>
      </c>
      <c r="K35" t="s">
        <v>4</v>
      </c>
      <c r="L35">
        <v>136</v>
      </c>
      <c r="M35" t="s">
        <v>5</v>
      </c>
      <c r="N35">
        <v>26</v>
      </c>
      <c r="O35" s="2">
        <f>N35/L35</f>
        <v>0.19117647058823528</v>
      </c>
      <c r="P35" t="s">
        <v>6</v>
      </c>
      <c r="Q35">
        <v>8.1538835682532902</v>
      </c>
      <c r="R35" t="s">
        <v>7</v>
      </c>
      <c r="S35">
        <v>5.9955026237156497E-2</v>
      </c>
      <c r="T35" t="s">
        <v>8</v>
      </c>
      <c r="U35">
        <v>1.9666878295482</v>
      </c>
      <c r="V35" t="s">
        <v>9</v>
      </c>
      <c r="W35">
        <v>-0.39072727272727198</v>
      </c>
      <c r="X35" t="s">
        <v>10</v>
      </c>
      <c r="Y35">
        <v>0.192249297762081</v>
      </c>
      <c r="Z35" t="s">
        <v>11</v>
      </c>
      <c r="AA35" t="s">
        <v>746</v>
      </c>
      <c r="AB35" t="s">
        <v>21</v>
      </c>
      <c r="AC35">
        <v>0</v>
      </c>
      <c r="AD35" t="s">
        <v>14</v>
      </c>
      <c r="AE35" t="s">
        <v>15</v>
      </c>
      <c r="AF35" t="s">
        <v>746</v>
      </c>
      <c r="AG35" t="s">
        <v>21</v>
      </c>
      <c r="AH35">
        <v>0</v>
      </c>
      <c r="AI35" t="s">
        <v>18</v>
      </c>
    </row>
    <row r="36" spans="1:35" x14ac:dyDescent="0.3">
      <c r="A36" t="str">
        <f>_xlfn.TEXTJOIN(", ", FALSE, C36,D36,E36,F36,G36,H36,I36,J36)</f>
        <v>rsi_{'C',  [('number', 0,  1),  ('number', 2.5,  -1)]}_[21,  49]_2</v>
      </c>
      <c r="B36" t="s">
        <v>1050</v>
      </c>
      <c r="C36" t="s">
        <v>221</v>
      </c>
      <c r="D36" t="s">
        <v>587</v>
      </c>
      <c r="E36">
        <v>0</v>
      </c>
      <c r="F36" t="s">
        <v>588</v>
      </c>
      <c r="G36" t="s">
        <v>589</v>
      </c>
      <c r="H36">
        <v>2.5</v>
      </c>
      <c r="I36" t="s">
        <v>599</v>
      </c>
      <c r="J36" t="s">
        <v>30</v>
      </c>
      <c r="K36" t="s">
        <v>4</v>
      </c>
      <c r="L36">
        <v>33</v>
      </c>
      <c r="M36" t="s">
        <v>5</v>
      </c>
      <c r="N36">
        <v>17</v>
      </c>
      <c r="O36" s="2">
        <f>N36/L36</f>
        <v>0.51515151515151514</v>
      </c>
      <c r="P36" t="s">
        <v>6</v>
      </c>
      <c r="Q36">
        <v>7.7000000000000304</v>
      </c>
      <c r="R36" t="s">
        <v>7</v>
      </c>
      <c r="S36">
        <v>0.233333333333334</v>
      </c>
      <c r="T36" t="s">
        <v>8</v>
      </c>
      <c r="U36">
        <v>1.21882352941176</v>
      </c>
      <c r="V36" t="s">
        <v>9</v>
      </c>
      <c r="W36">
        <v>-0.81374999999999797</v>
      </c>
      <c r="X36" t="s">
        <v>10</v>
      </c>
      <c r="Y36">
        <v>9.8967309727971201E-2</v>
      </c>
      <c r="Z36" t="s">
        <v>11</v>
      </c>
      <c r="AA36" t="s">
        <v>770</v>
      </c>
      <c r="AB36" t="s">
        <v>593</v>
      </c>
      <c r="AC36">
        <v>0</v>
      </c>
      <c r="AD36" t="s">
        <v>14</v>
      </c>
      <c r="AE36" t="s">
        <v>15</v>
      </c>
      <c r="AF36" t="s">
        <v>770</v>
      </c>
      <c r="AG36" t="s">
        <v>593</v>
      </c>
      <c r="AH36">
        <v>0</v>
      </c>
      <c r="AI36" t="s">
        <v>18</v>
      </c>
    </row>
    <row r="37" spans="1:35" x14ac:dyDescent="0.3">
      <c r="A37" t="str">
        <f>_xlfn.TEXTJOIN(", ", FALSE, C37,D37,E37,F37,G37,H37,I37,J37)</f>
        <v>rsi_{'C',  [('number', 0,  1),  ('number', 2.5,  -1)]}_[21,  49]_3</v>
      </c>
      <c r="B37" t="s">
        <v>1051</v>
      </c>
      <c r="C37" t="s">
        <v>221</v>
      </c>
      <c r="D37" t="s">
        <v>587</v>
      </c>
      <c r="E37">
        <v>0</v>
      </c>
      <c r="F37" t="s">
        <v>588</v>
      </c>
      <c r="G37" t="s">
        <v>589</v>
      </c>
      <c r="H37">
        <v>2.5</v>
      </c>
      <c r="I37" t="s">
        <v>599</v>
      </c>
      <c r="J37" t="s">
        <v>33</v>
      </c>
      <c r="K37" t="s">
        <v>4</v>
      </c>
      <c r="L37">
        <v>33</v>
      </c>
      <c r="M37" t="s">
        <v>5</v>
      </c>
      <c r="N37">
        <v>17</v>
      </c>
      <c r="O37" s="2">
        <f>N37/L37</f>
        <v>0.51515151515151514</v>
      </c>
      <c r="P37" t="s">
        <v>6</v>
      </c>
      <c r="Q37">
        <v>7.7000000000000304</v>
      </c>
      <c r="R37" t="s">
        <v>7</v>
      </c>
      <c r="S37">
        <v>0.233333333333334</v>
      </c>
      <c r="T37" t="s">
        <v>8</v>
      </c>
      <c r="U37">
        <v>1.21882352941176</v>
      </c>
      <c r="V37" t="s">
        <v>9</v>
      </c>
      <c r="W37">
        <v>-0.81374999999999797</v>
      </c>
      <c r="X37" t="s">
        <v>10</v>
      </c>
      <c r="Y37">
        <v>9.8967309727971201E-2</v>
      </c>
      <c r="Z37" t="s">
        <v>11</v>
      </c>
      <c r="AA37" t="s">
        <v>770</v>
      </c>
      <c r="AB37" t="s">
        <v>593</v>
      </c>
      <c r="AC37">
        <v>0</v>
      </c>
      <c r="AD37" t="s">
        <v>14</v>
      </c>
      <c r="AE37" t="s">
        <v>15</v>
      </c>
      <c r="AF37" t="s">
        <v>770</v>
      </c>
      <c r="AG37" t="s">
        <v>593</v>
      </c>
      <c r="AH37">
        <v>0</v>
      </c>
      <c r="AI37" t="s">
        <v>18</v>
      </c>
    </row>
    <row r="38" spans="1:35" x14ac:dyDescent="0.3">
      <c r="A38" t="str">
        <f>_xlfn.TEXTJOIN(", ", FALSE, C38,D38,E38,F38,G38,H38,I38,J38)</f>
        <v>rsi_{'C',  [('number', 0,  1),  ('number', 2.5,  -1)]}_[21,  49]_4</v>
      </c>
      <c r="B38" t="s">
        <v>1052</v>
      </c>
      <c r="C38" t="s">
        <v>221</v>
      </c>
      <c r="D38" t="s">
        <v>587</v>
      </c>
      <c r="E38">
        <v>0</v>
      </c>
      <c r="F38" t="s">
        <v>588</v>
      </c>
      <c r="G38" t="s">
        <v>589</v>
      </c>
      <c r="H38">
        <v>2.5</v>
      </c>
      <c r="I38" t="s">
        <v>599</v>
      </c>
      <c r="J38" t="s">
        <v>36</v>
      </c>
      <c r="K38" t="s">
        <v>4</v>
      </c>
      <c r="L38">
        <v>33</v>
      </c>
      <c r="M38" t="s">
        <v>5</v>
      </c>
      <c r="N38">
        <v>17</v>
      </c>
      <c r="O38" s="2">
        <f>N38/L38</f>
        <v>0.51515151515151514</v>
      </c>
      <c r="P38" t="s">
        <v>6</v>
      </c>
      <c r="Q38">
        <v>7.7000000000000304</v>
      </c>
      <c r="R38" t="s">
        <v>7</v>
      </c>
      <c r="S38">
        <v>0.233333333333334</v>
      </c>
      <c r="T38" t="s">
        <v>8</v>
      </c>
      <c r="U38">
        <v>1.21882352941176</v>
      </c>
      <c r="V38" t="s">
        <v>9</v>
      </c>
      <c r="W38">
        <v>-0.81374999999999797</v>
      </c>
      <c r="X38" t="s">
        <v>10</v>
      </c>
      <c r="Y38">
        <v>9.8967309727971201E-2</v>
      </c>
      <c r="Z38" t="s">
        <v>11</v>
      </c>
      <c r="AA38" t="s">
        <v>770</v>
      </c>
      <c r="AB38" t="s">
        <v>593</v>
      </c>
      <c r="AC38">
        <v>0</v>
      </c>
      <c r="AD38" t="s">
        <v>14</v>
      </c>
      <c r="AE38" t="s">
        <v>15</v>
      </c>
      <c r="AF38" t="s">
        <v>770</v>
      </c>
      <c r="AG38" t="s">
        <v>593</v>
      </c>
      <c r="AH38">
        <v>0</v>
      </c>
      <c r="AI38" t="s">
        <v>18</v>
      </c>
    </row>
    <row r="39" spans="1:35" x14ac:dyDescent="0.3">
      <c r="A39" t="str">
        <f>_xlfn.TEXTJOIN(", ", FALSE, C39,D39,E39,F39,G39,H39,I39,J39)</f>
        <v>psar_{'C',  [('number', 7.5,  1),  ('number', 10,  -1)]}_[21,  49]_3</v>
      </c>
      <c r="B39" t="s">
        <v>991</v>
      </c>
      <c r="C39" t="s">
        <v>134</v>
      </c>
      <c r="D39" t="s">
        <v>587</v>
      </c>
      <c r="E39">
        <v>7.5</v>
      </c>
      <c r="F39" t="s">
        <v>588</v>
      </c>
      <c r="G39" t="s">
        <v>589</v>
      </c>
      <c r="H39">
        <v>10</v>
      </c>
      <c r="I39" t="s">
        <v>599</v>
      </c>
      <c r="J39" t="s">
        <v>33</v>
      </c>
      <c r="K39" t="s">
        <v>4</v>
      </c>
      <c r="L39">
        <v>136</v>
      </c>
      <c r="M39" t="s">
        <v>5</v>
      </c>
      <c r="N39">
        <v>28</v>
      </c>
      <c r="O39" s="2">
        <f>N39/L39</f>
        <v>0.20588235294117646</v>
      </c>
      <c r="P39" t="s">
        <v>6</v>
      </c>
      <c r="Q39">
        <v>7.5938835682532702</v>
      </c>
      <c r="R39" t="s">
        <v>7</v>
      </c>
      <c r="S39">
        <v>5.5837379178332897E-2</v>
      </c>
      <c r="T39" t="s">
        <v>8</v>
      </c>
      <c r="U39">
        <v>1.7869244131519</v>
      </c>
      <c r="V39" t="s">
        <v>9</v>
      </c>
      <c r="W39">
        <v>-0.39296296296296301</v>
      </c>
      <c r="X39" t="s">
        <v>10</v>
      </c>
      <c r="Y39">
        <v>0.18817840838374</v>
      </c>
      <c r="Z39" t="s">
        <v>11</v>
      </c>
      <c r="AA39" t="s">
        <v>746</v>
      </c>
      <c r="AB39" t="s">
        <v>21</v>
      </c>
      <c r="AC39">
        <v>0</v>
      </c>
      <c r="AD39" t="s">
        <v>14</v>
      </c>
      <c r="AE39" t="s">
        <v>15</v>
      </c>
      <c r="AF39" t="s">
        <v>746</v>
      </c>
      <c r="AG39" t="s">
        <v>21</v>
      </c>
      <c r="AH39">
        <v>0</v>
      </c>
      <c r="AI39" t="s">
        <v>18</v>
      </c>
    </row>
    <row r="40" spans="1:35" x14ac:dyDescent="0.3">
      <c r="A40" t="str">
        <f>_xlfn.TEXTJOIN(", ", FALSE, C40,D40,E40,F40,G40,H40,I40,J40)</f>
        <v>rsi_{'C',  [('number', 5,  1),  ('number', 7.5,  -1)]}_[35,  70]_1</v>
      </c>
      <c r="B40" t="s">
        <v>1077</v>
      </c>
      <c r="C40" t="s">
        <v>221</v>
      </c>
      <c r="D40" t="s">
        <v>587</v>
      </c>
      <c r="E40">
        <v>5</v>
      </c>
      <c r="F40" t="s">
        <v>588</v>
      </c>
      <c r="G40" t="s">
        <v>589</v>
      </c>
      <c r="H40">
        <v>7.5</v>
      </c>
      <c r="I40" t="s">
        <v>605</v>
      </c>
      <c r="J40" t="s">
        <v>38</v>
      </c>
      <c r="K40" t="s">
        <v>4</v>
      </c>
      <c r="L40">
        <v>40</v>
      </c>
      <c r="M40" t="s">
        <v>5</v>
      </c>
      <c r="N40">
        <v>19</v>
      </c>
      <c r="O40" s="2">
        <f>N40/L40</f>
        <v>0.47499999999999998</v>
      </c>
      <c r="P40" t="s">
        <v>6</v>
      </c>
      <c r="Q40">
        <v>7.5045252151846196</v>
      </c>
      <c r="R40" t="s">
        <v>7</v>
      </c>
      <c r="S40">
        <v>0.187613130379615</v>
      </c>
      <c r="T40" t="s">
        <v>8</v>
      </c>
      <c r="U40">
        <v>1.1204235027762399</v>
      </c>
      <c r="V40" t="s">
        <v>9</v>
      </c>
      <c r="W40">
        <v>-0.65635815893161897</v>
      </c>
      <c r="X40" t="s">
        <v>10</v>
      </c>
      <c r="Y40">
        <v>7.9200374946633206E-2</v>
      </c>
      <c r="Z40" t="s">
        <v>11</v>
      </c>
      <c r="AA40" t="s">
        <v>790</v>
      </c>
      <c r="AB40" t="s">
        <v>614</v>
      </c>
      <c r="AC40">
        <v>0</v>
      </c>
      <c r="AD40" t="s">
        <v>14</v>
      </c>
      <c r="AE40" t="s">
        <v>15</v>
      </c>
      <c r="AF40" t="s">
        <v>795</v>
      </c>
      <c r="AG40" t="s">
        <v>675</v>
      </c>
      <c r="AH40">
        <v>0</v>
      </c>
      <c r="AI40" t="s">
        <v>18</v>
      </c>
    </row>
    <row r="41" spans="1:35" x14ac:dyDescent="0.3">
      <c r="A41" t="str">
        <f>_xlfn.TEXTJOIN(", ", FALSE, C41,D41,E41,F41,G41,H41,I41,J41)</f>
        <v>rsi_{'C',  [('number', 2.5,  1),  ('number', 5,  -1)]}_[21,  49]_1</v>
      </c>
      <c r="B41" t="s">
        <v>1061</v>
      </c>
      <c r="C41" t="s">
        <v>221</v>
      </c>
      <c r="D41" t="s">
        <v>587</v>
      </c>
      <c r="E41">
        <v>2.5</v>
      </c>
      <c r="F41" t="s">
        <v>588</v>
      </c>
      <c r="G41" t="s">
        <v>589</v>
      </c>
      <c r="H41">
        <v>5</v>
      </c>
      <c r="I41" t="s">
        <v>599</v>
      </c>
      <c r="J41" t="s">
        <v>28</v>
      </c>
      <c r="K41" t="s">
        <v>4</v>
      </c>
      <c r="L41">
        <v>33</v>
      </c>
      <c r="M41" t="s">
        <v>5</v>
      </c>
      <c r="N41">
        <v>16</v>
      </c>
      <c r="O41" s="2">
        <f>N41/L41</f>
        <v>0.48484848484848486</v>
      </c>
      <c r="P41" t="s">
        <v>6</v>
      </c>
      <c r="Q41">
        <v>6.6200000000000196</v>
      </c>
      <c r="R41" t="s">
        <v>7</v>
      </c>
      <c r="S41">
        <v>0.20060606060606101</v>
      </c>
      <c r="T41" t="s">
        <v>8</v>
      </c>
      <c r="U41">
        <v>1.2112499999999999</v>
      </c>
      <c r="V41" t="s">
        <v>9</v>
      </c>
      <c r="W41">
        <v>-0.750588235294117</v>
      </c>
      <c r="X41" t="s">
        <v>10</v>
      </c>
      <c r="Y41">
        <v>8.3520903773447397E-2</v>
      </c>
      <c r="Z41" t="s">
        <v>11</v>
      </c>
      <c r="AA41" t="s">
        <v>775</v>
      </c>
      <c r="AB41" t="s">
        <v>614</v>
      </c>
      <c r="AC41">
        <v>0</v>
      </c>
      <c r="AD41" t="s">
        <v>14</v>
      </c>
      <c r="AE41" t="s">
        <v>15</v>
      </c>
      <c r="AF41" t="s">
        <v>776</v>
      </c>
      <c r="AG41" t="s">
        <v>777</v>
      </c>
      <c r="AH41">
        <v>0</v>
      </c>
      <c r="AI41" t="s">
        <v>18</v>
      </c>
    </row>
    <row r="42" spans="1:35" x14ac:dyDescent="0.3">
      <c r="A42" t="str">
        <f>_xlfn.TEXTJOIN(", ", FALSE, C42,D42,E42,F42,G42,H42,I42,J42)</f>
        <v>bbands_{'C',  [('number', 2.5,  1),  ('number', 5,  -1)]}_[21,  49]_2</v>
      </c>
      <c r="B42" t="s">
        <v>918</v>
      </c>
      <c r="C42" t="s">
        <v>113</v>
      </c>
      <c r="D42" t="s">
        <v>587</v>
      </c>
      <c r="E42">
        <v>2.5</v>
      </c>
      <c r="F42" t="s">
        <v>588</v>
      </c>
      <c r="G42" t="s">
        <v>589</v>
      </c>
      <c r="H42">
        <v>5</v>
      </c>
      <c r="I42" t="s">
        <v>599</v>
      </c>
      <c r="J42" t="s">
        <v>30</v>
      </c>
      <c r="K42" t="s">
        <v>4</v>
      </c>
      <c r="L42">
        <v>200</v>
      </c>
      <c r="M42" t="s">
        <v>5</v>
      </c>
      <c r="N42">
        <v>68</v>
      </c>
      <c r="O42" s="2">
        <f>N42/L42</f>
        <v>0.34</v>
      </c>
      <c r="P42" t="s">
        <v>6</v>
      </c>
      <c r="Q42">
        <v>6.4407785272103402</v>
      </c>
      <c r="R42" t="s">
        <v>7</v>
      </c>
      <c r="S42">
        <v>3.2203892636051702E-2</v>
      </c>
      <c r="T42" t="s">
        <v>8</v>
      </c>
      <c r="U42">
        <v>1.4525357111450601</v>
      </c>
      <c r="V42" t="s">
        <v>9</v>
      </c>
      <c r="W42">
        <v>-0.69948219568677095</v>
      </c>
      <c r="X42" t="s">
        <v>10</v>
      </c>
      <c r="Y42">
        <v>0.31141931347297902</v>
      </c>
      <c r="Z42" t="s">
        <v>11</v>
      </c>
      <c r="AA42" t="s">
        <v>674</v>
      </c>
      <c r="AB42" t="s">
        <v>675</v>
      </c>
      <c r="AC42">
        <v>0</v>
      </c>
      <c r="AD42" t="s">
        <v>14</v>
      </c>
      <c r="AE42" t="s">
        <v>15</v>
      </c>
      <c r="AF42" t="s">
        <v>676</v>
      </c>
      <c r="AG42" t="s">
        <v>677</v>
      </c>
      <c r="AH42">
        <v>0</v>
      </c>
      <c r="AI42" t="s">
        <v>18</v>
      </c>
    </row>
    <row r="43" spans="1:35" x14ac:dyDescent="0.3">
      <c r="A43" t="str">
        <f>_xlfn.TEXTJOIN(", ", FALSE, C43,D43,E43,F43,G43,H43,I43,J43)</f>
        <v>psar_{'C',  [('number', 2.5,  1),  ('number', 5,  -1)]}_[21,  49]_1</v>
      </c>
      <c r="B43" t="s">
        <v>965</v>
      </c>
      <c r="C43" t="s">
        <v>134</v>
      </c>
      <c r="D43" t="s">
        <v>587</v>
      </c>
      <c r="E43">
        <v>2.5</v>
      </c>
      <c r="F43" t="s">
        <v>588</v>
      </c>
      <c r="G43" t="s">
        <v>589</v>
      </c>
      <c r="H43">
        <v>5</v>
      </c>
      <c r="I43" t="s">
        <v>599</v>
      </c>
      <c r="J43" t="s">
        <v>28</v>
      </c>
      <c r="K43" t="s">
        <v>4</v>
      </c>
      <c r="L43">
        <v>136</v>
      </c>
      <c r="M43" t="s">
        <v>5</v>
      </c>
      <c r="N43">
        <v>52</v>
      </c>
      <c r="O43" s="2">
        <f>N43/L43</f>
        <v>0.38235294117647056</v>
      </c>
      <c r="P43" t="s">
        <v>6</v>
      </c>
      <c r="Q43">
        <v>6.4099999999999904</v>
      </c>
      <c r="R43" t="s">
        <v>7</v>
      </c>
      <c r="S43">
        <v>4.7132352941176403E-2</v>
      </c>
      <c r="T43" t="s">
        <v>8</v>
      </c>
      <c r="U43">
        <v>1.1551923076923001</v>
      </c>
      <c r="V43" t="s">
        <v>9</v>
      </c>
      <c r="W43">
        <v>-0.63880952380952305</v>
      </c>
      <c r="X43" t="s">
        <v>10</v>
      </c>
      <c r="Y43">
        <v>0.18077103927431601</v>
      </c>
      <c r="Z43" t="s">
        <v>11</v>
      </c>
      <c r="AA43" t="s">
        <v>714</v>
      </c>
      <c r="AB43" t="s">
        <v>715</v>
      </c>
      <c r="AC43">
        <v>0</v>
      </c>
      <c r="AD43" t="s">
        <v>14</v>
      </c>
      <c r="AE43" t="s">
        <v>15</v>
      </c>
      <c r="AF43" t="s">
        <v>716</v>
      </c>
      <c r="AG43" t="s">
        <v>232</v>
      </c>
      <c r="AH43">
        <v>0</v>
      </c>
      <c r="AI43" t="s">
        <v>18</v>
      </c>
    </row>
    <row r="44" spans="1:35" x14ac:dyDescent="0.3">
      <c r="A44" t="str">
        <f>_xlfn.TEXTJOIN(", ", FALSE, C44,D44,E44,F44,G44,H44,I44,J44)</f>
        <v>psar_{'C',  [('number', 5,  1),  ('number', 7.5,  -1)]}_[21,  49]_1</v>
      </c>
      <c r="B44" t="s">
        <v>977</v>
      </c>
      <c r="C44" t="s">
        <v>134</v>
      </c>
      <c r="D44" t="s">
        <v>587</v>
      </c>
      <c r="E44">
        <v>5</v>
      </c>
      <c r="F44" t="s">
        <v>588</v>
      </c>
      <c r="G44" t="s">
        <v>589</v>
      </c>
      <c r="H44">
        <v>7.5</v>
      </c>
      <c r="I44" t="s">
        <v>599</v>
      </c>
      <c r="J44" t="s">
        <v>28</v>
      </c>
      <c r="K44" t="s">
        <v>4</v>
      </c>
      <c r="L44">
        <v>136</v>
      </c>
      <c r="M44" t="s">
        <v>5</v>
      </c>
      <c r="N44">
        <v>52</v>
      </c>
      <c r="O44" s="2">
        <f>N44/L44</f>
        <v>0.38235294117647056</v>
      </c>
      <c r="P44" t="s">
        <v>6</v>
      </c>
      <c r="Q44">
        <v>5.6400000000000299</v>
      </c>
      <c r="R44" t="s">
        <v>7</v>
      </c>
      <c r="S44">
        <v>4.1470588235294301E-2</v>
      </c>
      <c r="T44" t="s">
        <v>8</v>
      </c>
      <c r="U44">
        <v>0.91884615384615398</v>
      </c>
      <c r="V44" t="s">
        <v>9</v>
      </c>
      <c r="W44">
        <v>-0.50166666666666604</v>
      </c>
      <c r="X44" t="s">
        <v>10</v>
      </c>
      <c r="Y44">
        <v>0.14734267111962901</v>
      </c>
      <c r="Z44" t="s">
        <v>11</v>
      </c>
      <c r="AA44" t="s">
        <v>289</v>
      </c>
      <c r="AB44" t="s">
        <v>730</v>
      </c>
      <c r="AC44">
        <v>0</v>
      </c>
      <c r="AD44" t="s">
        <v>14</v>
      </c>
      <c r="AE44" t="s">
        <v>15</v>
      </c>
      <c r="AF44" t="s">
        <v>289</v>
      </c>
      <c r="AG44" t="s">
        <v>730</v>
      </c>
      <c r="AH44">
        <v>0</v>
      </c>
      <c r="AI44" t="s">
        <v>18</v>
      </c>
    </row>
    <row r="45" spans="1:35" x14ac:dyDescent="0.3">
      <c r="A45" t="str">
        <f>_xlfn.TEXTJOIN(", ", FALSE, C45,D45,E45,F45,G45,H45,I45,J45)</f>
        <v>rsi_{'C',  [('number', 2.5,  1),  ('number', 5,  -1)]}_[35,  70]_4</v>
      </c>
      <c r="B45" t="s">
        <v>1068</v>
      </c>
      <c r="C45" t="s">
        <v>221</v>
      </c>
      <c r="D45" t="s">
        <v>587</v>
      </c>
      <c r="E45">
        <v>2.5</v>
      </c>
      <c r="F45" t="s">
        <v>588</v>
      </c>
      <c r="G45" t="s">
        <v>589</v>
      </c>
      <c r="H45">
        <v>5</v>
      </c>
      <c r="I45" t="s">
        <v>605</v>
      </c>
      <c r="J45" t="s">
        <v>44</v>
      </c>
      <c r="K45" t="s">
        <v>4</v>
      </c>
      <c r="L45">
        <v>40</v>
      </c>
      <c r="M45" t="s">
        <v>5</v>
      </c>
      <c r="N45">
        <v>17</v>
      </c>
      <c r="O45" s="2">
        <f>N45/L45</f>
        <v>0.42499999999999999</v>
      </c>
      <c r="P45" t="s">
        <v>6</v>
      </c>
      <c r="Q45">
        <v>5.4544959970763696</v>
      </c>
      <c r="R45" t="s">
        <v>7</v>
      </c>
      <c r="S45">
        <v>0.13636239992690899</v>
      </c>
      <c r="T45" t="s">
        <v>8</v>
      </c>
      <c r="U45">
        <v>1.3459698743250299</v>
      </c>
      <c r="V45" t="s">
        <v>9</v>
      </c>
      <c r="W45">
        <v>-0.75769529854126705</v>
      </c>
      <c r="X45" t="s">
        <v>10</v>
      </c>
      <c r="Y45">
        <v>0.15974875562509899</v>
      </c>
      <c r="Z45" t="s">
        <v>11</v>
      </c>
      <c r="AA45" t="s">
        <v>786</v>
      </c>
      <c r="AB45" t="s">
        <v>787</v>
      </c>
    </row>
    <row r="46" spans="1:35" x14ac:dyDescent="0.3">
      <c r="A46" t="str">
        <f>_xlfn.TEXTJOIN(", ", FALSE, C46,D46,E46,F46,G46,H46,I46,J46)</f>
        <v>rsi_{'C',  [('number', 0,  1),  ('number', 2.5,  -1)]}_[35,  70]_1</v>
      </c>
      <c r="B46" t="s">
        <v>1053</v>
      </c>
      <c r="C46" t="s">
        <v>221</v>
      </c>
      <c r="D46" t="s">
        <v>587</v>
      </c>
      <c r="E46">
        <v>0</v>
      </c>
      <c r="F46" t="s">
        <v>588</v>
      </c>
      <c r="G46" t="s">
        <v>589</v>
      </c>
      <c r="H46">
        <v>2.5</v>
      </c>
      <c r="I46" t="s">
        <v>605</v>
      </c>
      <c r="J46" t="s">
        <v>38</v>
      </c>
      <c r="K46" t="s">
        <v>4</v>
      </c>
      <c r="L46">
        <v>40</v>
      </c>
      <c r="M46" t="s">
        <v>5</v>
      </c>
      <c r="N46">
        <v>19</v>
      </c>
      <c r="O46" s="2">
        <f>N46/L46</f>
        <v>0.47499999999999998</v>
      </c>
      <c r="P46" t="s">
        <v>6</v>
      </c>
      <c r="Q46">
        <v>5.2677238729465303</v>
      </c>
      <c r="R46" t="s">
        <v>7</v>
      </c>
      <c r="S46">
        <v>0.13169309682366301</v>
      </c>
      <c r="T46" t="s">
        <v>8</v>
      </c>
      <c r="U46">
        <v>1.3402978412472599</v>
      </c>
      <c r="V46" t="s">
        <v>9</v>
      </c>
      <c r="W46">
        <v>-0.96180643384530995</v>
      </c>
      <c r="X46" t="s">
        <v>10</v>
      </c>
      <c r="Y46">
        <v>0.15201013189654999</v>
      </c>
      <c r="Z46" t="s">
        <v>11</v>
      </c>
      <c r="AA46" t="s">
        <v>678</v>
      </c>
      <c r="AB46" t="s">
        <v>711</v>
      </c>
      <c r="AC46">
        <v>0</v>
      </c>
      <c r="AD46" t="s">
        <v>14</v>
      </c>
      <c r="AE46" t="s">
        <v>15</v>
      </c>
      <c r="AF46" t="s">
        <v>678</v>
      </c>
      <c r="AG46" t="s">
        <v>711</v>
      </c>
      <c r="AH46">
        <v>0</v>
      </c>
      <c r="AI46" t="s">
        <v>18</v>
      </c>
    </row>
    <row r="47" spans="1:35" x14ac:dyDescent="0.3">
      <c r="A47" t="str">
        <f>_xlfn.TEXTJOIN(", ", FALSE, C47,D47,E47,F47,G47,H47,I47,J47)</f>
        <v>psar_no_highvol_{'C',  [('number', 5,  1),  ('number', 7.5,  -1)]}_[35,  70]_1</v>
      </c>
      <c r="B47" t="s">
        <v>1029</v>
      </c>
      <c r="C47" t="s">
        <v>175</v>
      </c>
      <c r="D47" t="s">
        <v>587</v>
      </c>
      <c r="E47">
        <v>5</v>
      </c>
      <c r="F47" t="s">
        <v>588</v>
      </c>
      <c r="G47" t="s">
        <v>589</v>
      </c>
      <c r="H47">
        <v>7.5</v>
      </c>
      <c r="I47" t="s">
        <v>605</v>
      </c>
      <c r="J47" t="s">
        <v>38</v>
      </c>
      <c r="K47" t="s">
        <v>4</v>
      </c>
      <c r="L47">
        <v>130</v>
      </c>
      <c r="M47" t="s">
        <v>5</v>
      </c>
      <c r="N47">
        <v>49</v>
      </c>
      <c r="O47" s="2">
        <f>N47/L47</f>
        <v>0.37692307692307692</v>
      </c>
      <c r="P47" t="s">
        <v>6</v>
      </c>
      <c r="Q47">
        <v>4.6734876121900299</v>
      </c>
      <c r="R47" t="s">
        <v>7</v>
      </c>
      <c r="S47">
        <v>3.5949904709153997E-2</v>
      </c>
      <c r="T47" t="s">
        <v>8</v>
      </c>
      <c r="U47">
        <v>0.95883154109117397</v>
      </c>
      <c r="V47" t="s">
        <v>9</v>
      </c>
      <c r="W47">
        <v>-0.52233651729972197</v>
      </c>
      <c r="X47" t="s">
        <v>10</v>
      </c>
      <c r="Y47">
        <v>0.13803546840008199</v>
      </c>
      <c r="Z47" t="s">
        <v>11</v>
      </c>
      <c r="AA47" t="s">
        <v>289</v>
      </c>
      <c r="AB47" t="s">
        <v>730</v>
      </c>
      <c r="AC47">
        <v>0</v>
      </c>
      <c r="AD47" t="s">
        <v>14</v>
      </c>
      <c r="AE47" t="s">
        <v>15</v>
      </c>
      <c r="AF47" t="s">
        <v>289</v>
      </c>
      <c r="AG47" t="s">
        <v>730</v>
      </c>
      <c r="AH47">
        <v>0</v>
      </c>
      <c r="AI47" t="s">
        <v>18</v>
      </c>
    </row>
    <row r="48" spans="1:35" x14ac:dyDescent="0.3">
      <c r="A48" t="str">
        <f>_xlfn.TEXTJOIN(", ", FALSE, C48,D48,E48,F48,G48,H48,I48,J48)</f>
        <v>psar_no_highvol_{'C',  [('number', 2.5,  1),  ('number', 5,  -1)]}_[35,  70]_1</v>
      </c>
      <c r="B48" t="s">
        <v>1017</v>
      </c>
      <c r="C48" t="s">
        <v>175</v>
      </c>
      <c r="D48" t="s">
        <v>587</v>
      </c>
      <c r="E48">
        <v>2.5</v>
      </c>
      <c r="F48" t="s">
        <v>588</v>
      </c>
      <c r="G48" t="s">
        <v>589</v>
      </c>
      <c r="H48">
        <v>5</v>
      </c>
      <c r="I48" t="s">
        <v>605</v>
      </c>
      <c r="J48" t="s">
        <v>38</v>
      </c>
      <c r="K48" t="s">
        <v>4</v>
      </c>
      <c r="L48">
        <v>130</v>
      </c>
      <c r="M48" t="s">
        <v>5</v>
      </c>
      <c r="N48">
        <v>51</v>
      </c>
      <c r="O48" s="2">
        <f>N48/L48</f>
        <v>0.3923076923076923</v>
      </c>
      <c r="P48" t="s">
        <v>6</v>
      </c>
      <c r="Q48">
        <v>4.3541087795361797</v>
      </c>
      <c r="R48" t="s">
        <v>7</v>
      </c>
      <c r="S48">
        <v>3.3493144457970601E-2</v>
      </c>
      <c r="T48" t="s">
        <v>8</v>
      </c>
      <c r="U48">
        <v>1.1386274492731401</v>
      </c>
      <c r="V48" t="s">
        <v>9</v>
      </c>
      <c r="W48">
        <v>-0.67994798903030795</v>
      </c>
      <c r="X48" t="s">
        <v>10</v>
      </c>
      <c r="Y48">
        <v>0.16319681507021</v>
      </c>
      <c r="Z48" t="s">
        <v>11</v>
      </c>
      <c r="AA48" t="s">
        <v>722</v>
      </c>
      <c r="AB48" t="s">
        <v>723</v>
      </c>
    </row>
    <row r="49" spans="1:35" x14ac:dyDescent="0.3">
      <c r="A49" t="str">
        <f>_xlfn.TEXTJOIN(", ", FALSE, C49,D49,E49,F49,G49,H49,I49,J49)</f>
        <v>psar_{'C',  [('number', 7.5,  1),  ('number', 10,  -1)]}_[21,  49]_2</v>
      </c>
      <c r="B49" t="s">
        <v>990</v>
      </c>
      <c r="C49" t="s">
        <v>134</v>
      </c>
      <c r="D49" t="s">
        <v>587</v>
      </c>
      <c r="E49">
        <v>7.5</v>
      </c>
      <c r="F49" t="s">
        <v>588</v>
      </c>
      <c r="G49" t="s">
        <v>589</v>
      </c>
      <c r="H49">
        <v>10</v>
      </c>
      <c r="I49" t="s">
        <v>599</v>
      </c>
      <c r="J49" t="s">
        <v>30</v>
      </c>
      <c r="K49" t="s">
        <v>4</v>
      </c>
      <c r="L49">
        <v>136</v>
      </c>
      <c r="M49" t="s">
        <v>5</v>
      </c>
      <c r="N49">
        <v>33</v>
      </c>
      <c r="O49" s="2">
        <f>N49/L49</f>
        <v>0.24264705882352941</v>
      </c>
      <c r="P49" t="s">
        <v>6</v>
      </c>
      <c r="Q49">
        <v>4.24</v>
      </c>
      <c r="R49" t="s">
        <v>7</v>
      </c>
      <c r="S49">
        <v>3.1176470588235299E-2</v>
      </c>
      <c r="T49" t="s">
        <v>8</v>
      </c>
      <c r="U49">
        <v>1.34424242424242</v>
      </c>
      <c r="V49" t="s">
        <v>9</v>
      </c>
      <c r="W49">
        <v>-0.389514563106796</v>
      </c>
      <c r="X49" t="s">
        <v>10</v>
      </c>
      <c r="Y49">
        <v>0.15587953476914501</v>
      </c>
      <c r="Z49" t="s">
        <v>11</v>
      </c>
      <c r="AA49" t="s">
        <v>746</v>
      </c>
      <c r="AB49" t="s">
        <v>21</v>
      </c>
      <c r="AC49">
        <v>0</v>
      </c>
      <c r="AD49" t="s">
        <v>14</v>
      </c>
      <c r="AE49" t="s">
        <v>15</v>
      </c>
      <c r="AF49" t="s">
        <v>746</v>
      </c>
      <c r="AG49" t="s">
        <v>21</v>
      </c>
      <c r="AH49">
        <v>0</v>
      </c>
      <c r="AI49" t="s">
        <v>18</v>
      </c>
    </row>
    <row r="50" spans="1:35" x14ac:dyDescent="0.3">
      <c r="A50" t="str">
        <f>_xlfn.TEXTJOIN(", ", FALSE, C50,D50,E50,F50,G50,H50,I50,J50)</f>
        <v>bbands_{'C',  [('number', 2.5,  1),  ('number', 5,  -1)]}_[21,  49]_3</v>
      </c>
      <c r="B50" t="s">
        <v>919</v>
      </c>
      <c r="C50" t="s">
        <v>113</v>
      </c>
      <c r="D50" t="s">
        <v>587</v>
      </c>
      <c r="E50">
        <v>2.5</v>
      </c>
      <c r="F50" t="s">
        <v>588</v>
      </c>
      <c r="G50" t="s">
        <v>589</v>
      </c>
      <c r="H50">
        <v>5</v>
      </c>
      <c r="I50" t="s">
        <v>599</v>
      </c>
      <c r="J50" t="s">
        <v>33</v>
      </c>
      <c r="K50" t="s">
        <v>4</v>
      </c>
      <c r="L50">
        <v>200</v>
      </c>
      <c r="M50" t="s">
        <v>5</v>
      </c>
      <c r="N50">
        <v>66</v>
      </c>
      <c r="O50" s="2">
        <f>N50/L50</f>
        <v>0.33</v>
      </c>
      <c r="P50" t="s">
        <v>6</v>
      </c>
      <c r="Q50">
        <v>4.0607785272103403</v>
      </c>
      <c r="R50" t="s">
        <v>7</v>
      </c>
      <c r="S50">
        <v>2.0303892636051701E-2</v>
      </c>
      <c r="T50" t="s">
        <v>8</v>
      </c>
      <c r="U50">
        <v>1.4821580054221799</v>
      </c>
      <c r="V50" t="s">
        <v>9</v>
      </c>
      <c r="W50">
        <v>-0.69971380470637101</v>
      </c>
      <c r="X50" t="s">
        <v>10</v>
      </c>
      <c r="Y50">
        <v>0.32398903804674201</v>
      </c>
      <c r="Z50" t="s">
        <v>11</v>
      </c>
      <c r="AA50" t="s">
        <v>678</v>
      </c>
      <c r="AB50" t="s">
        <v>679</v>
      </c>
      <c r="AC50">
        <v>0</v>
      </c>
      <c r="AD50" t="s">
        <v>14</v>
      </c>
      <c r="AE50" t="s">
        <v>15</v>
      </c>
      <c r="AF50" t="s">
        <v>676</v>
      </c>
      <c r="AG50" t="s">
        <v>677</v>
      </c>
      <c r="AH50">
        <v>0</v>
      </c>
      <c r="AI50" t="s">
        <v>18</v>
      </c>
    </row>
    <row r="51" spans="1:35" x14ac:dyDescent="0.3">
      <c r="A51" t="str">
        <f>_xlfn.TEXTJOIN(", ", FALSE, C51,D51,E51,F51,G51,H51,I51,J51)</f>
        <v>psar_{'C',  [('number', 7.5,  1),  ('number', 10,  -1)]}_[7,  35]_4</v>
      </c>
      <c r="B51" t="s">
        <v>988</v>
      </c>
      <c r="C51" t="s">
        <v>134</v>
      </c>
      <c r="D51" t="s">
        <v>587</v>
      </c>
      <c r="E51">
        <v>7.5</v>
      </c>
      <c r="F51" t="s">
        <v>588</v>
      </c>
      <c r="G51" t="s">
        <v>589</v>
      </c>
      <c r="H51">
        <v>10</v>
      </c>
      <c r="I51" t="s">
        <v>590</v>
      </c>
      <c r="J51" t="s">
        <v>26</v>
      </c>
      <c r="K51" t="s">
        <v>4</v>
      </c>
      <c r="L51">
        <v>140</v>
      </c>
      <c r="M51" t="s">
        <v>5</v>
      </c>
      <c r="N51">
        <v>22</v>
      </c>
      <c r="O51" s="2">
        <f>N51/L51</f>
        <v>0.15714285714285714</v>
      </c>
      <c r="P51" t="s">
        <v>6</v>
      </c>
      <c r="Q51">
        <v>3.9000000000000101</v>
      </c>
      <c r="R51" t="s">
        <v>7</v>
      </c>
      <c r="S51">
        <v>2.78571428571429E-2</v>
      </c>
      <c r="T51" t="s">
        <v>8</v>
      </c>
      <c r="U51">
        <v>1.5295454545454501</v>
      </c>
      <c r="V51" t="s">
        <v>9</v>
      </c>
      <c r="W51">
        <v>-0.25211864406779599</v>
      </c>
      <c r="X51" t="s">
        <v>10</v>
      </c>
      <c r="Y51">
        <v>0.14358648524748199</v>
      </c>
      <c r="Z51" t="s">
        <v>11</v>
      </c>
      <c r="AA51" t="s">
        <v>741</v>
      </c>
      <c r="AB51" t="s">
        <v>742</v>
      </c>
      <c r="AC51">
        <v>0</v>
      </c>
      <c r="AD51" t="s">
        <v>14</v>
      </c>
      <c r="AE51" t="s">
        <v>15</v>
      </c>
      <c r="AF51" t="s">
        <v>741</v>
      </c>
      <c r="AG51" t="s">
        <v>742</v>
      </c>
      <c r="AH51">
        <v>0</v>
      </c>
      <c r="AI51" t="s">
        <v>18</v>
      </c>
    </row>
    <row r="52" spans="1:35" x14ac:dyDescent="0.3">
      <c r="A52" t="str">
        <f>_xlfn.TEXTJOIN(", ", FALSE, C52,D52,E52,F52,G52,H52,I52,J52)</f>
        <v>psar_{'C',  [('number', 5,  1),  ('number', 7.5,  -1)]}_[21,  49]_2</v>
      </c>
      <c r="B52" t="s">
        <v>978</v>
      </c>
      <c r="C52" t="s">
        <v>134</v>
      </c>
      <c r="D52" t="s">
        <v>587</v>
      </c>
      <c r="E52">
        <v>5</v>
      </c>
      <c r="F52" t="s">
        <v>588</v>
      </c>
      <c r="G52" t="s">
        <v>589</v>
      </c>
      <c r="H52">
        <v>7.5</v>
      </c>
      <c r="I52" t="s">
        <v>599</v>
      </c>
      <c r="J52" t="s">
        <v>30</v>
      </c>
      <c r="K52" t="s">
        <v>4</v>
      </c>
      <c r="L52">
        <v>136</v>
      </c>
      <c r="M52" t="s">
        <v>5</v>
      </c>
      <c r="N52">
        <v>37</v>
      </c>
      <c r="O52" s="2">
        <f>N52/L52</f>
        <v>0.27205882352941174</v>
      </c>
      <c r="P52" t="s">
        <v>6</v>
      </c>
      <c r="Q52">
        <v>3.6300000000000199</v>
      </c>
      <c r="R52" t="s">
        <v>7</v>
      </c>
      <c r="S52">
        <v>2.6691176470588301E-2</v>
      </c>
      <c r="T52" t="s">
        <v>8</v>
      </c>
      <c r="U52">
        <v>1.44081081081081</v>
      </c>
      <c r="V52" t="s">
        <v>9</v>
      </c>
      <c r="W52">
        <v>-0.50181818181818105</v>
      </c>
      <c r="X52" t="s">
        <v>10</v>
      </c>
      <c r="Y52">
        <v>0.19442922341223101</v>
      </c>
      <c r="Z52" t="s">
        <v>11</v>
      </c>
      <c r="AA52" t="s">
        <v>731</v>
      </c>
      <c r="AB52" t="s">
        <v>21</v>
      </c>
      <c r="AC52">
        <v>0</v>
      </c>
      <c r="AD52" t="s">
        <v>14</v>
      </c>
      <c r="AE52" t="s">
        <v>15</v>
      </c>
      <c r="AF52" t="s">
        <v>731</v>
      </c>
      <c r="AG52" t="s">
        <v>21</v>
      </c>
      <c r="AH52">
        <v>0</v>
      </c>
      <c r="AI52" t="s">
        <v>18</v>
      </c>
    </row>
    <row r="53" spans="1:35" x14ac:dyDescent="0.3">
      <c r="A53" t="str">
        <f>_xlfn.TEXTJOIN(", ", FALSE, C53,D53,E53,F53,G53,H53,I53,J53)</f>
        <v>rsi_{'C',  [('number', 2.5,  1),  ('number', 5,  -1)]}_[7,  35]_3</v>
      </c>
      <c r="B53" t="s">
        <v>1059</v>
      </c>
      <c r="C53" t="s">
        <v>221</v>
      </c>
      <c r="D53" t="s">
        <v>587</v>
      </c>
      <c r="E53">
        <v>2.5</v>
      </c>
      <c r="F53" t="s">
        <v>588</v>
      </c>
      <c r="G53" t="s">
        <v>589</v>
      </c>
      <c r="H53">
        <v>5</v>
      </c>
      <c r="I53" t="s">
        <v>590</v>
      </c>
      <c r="J53" t="s">
        <v>23</v>
      </c>
      <c r="K53" t="s">
        <v>4</v>
      </c>
      <c r="L53">
        <v>35</v>
      </c>
      <c r="M53" t="s">
        <v>5</v>
      </c>
      <c r="N53">
        <v>13</v>
      </c>
      <c r="O53" s="2">
        <f>N53/L53</f>
        <v>0.37142857142857144</v>
      </c>
      <c r="P53" t="s">
        <v>6</v>
      </c>
      <c r="Q53">
        <v>3.5999999999999899</v>
      </c>
      <c r="R53" t="s">
        <v>7</v>
      </c>
      <c r="S53">
        <v>0.10285714285714199</v>
      </c>
      <c r="T53" t="s">
        <v>8</v>
      </c>
      <c r="U53">
        <v>1.5084615384615301</v>
      </c>
      <c r="V53" t="s">
        <v>9</v>
      </c>
      <c r="W53">
        <v>-0.727727272727272</v>
      </c>
      <c r="X53" t="s">
        <v>10</v>
      </c>
      <c r="Y53">
        <v>8.4909189933297602E-2</v>
      </c>
      <c r="Z53" t="s">
        <v>11</v>
      </c>
      <c r="AA53" t="s">
        <v>674</v>
      </c>
      <c r="AB53" t="s">
        <v>675</v>
      </c>
      <c r="AC53">
        <v>0</v>
      </c>
      <c r="AD53" t="s">
        <v>14</v>
      </c>
      <c r="AE53" t="s">
        <v>15</v>
      </c>
      <c r="AF53" t="s">
        <v>674</v>
      </c>
      <c r="AG53" t="s">
        <v>675</v>
      </c>
      <c r="AH53">
        <v>0</v>
      </c>
      <c r="AI53" t="s">
        <v>18</v>
      </c>
    </row>
    <row r="54" spans="1:35" x14ac:dyDescent="0.3">
      <c r="A54" t="str">
        <f>_xlfn.TEXTJOIN(", ", FALSE, C54,D54,E54,F54,G54,H54,I54,J54)</f>
        <v>rsi_{'C',  [('number', 2.5,  1),  ('number', 5,  -1)]}_[7,  35]_4</v>
      </c>
      <c r="B54" t="s">
        <v>1060</v>
      </c>
      <c r="C54" t="s">
        <v>221</v>
      </c>
      <c r="D54" t="s">
        <v>587</v>
      </c>
      <c r="E54">
        <v>2.5</v>
      </c>
      <c r="F54" t="s">
        <v>588</v>
      </c>
      <c r="G54" t="s">
        <v>589</v>
      </c>
      <c r="H54">
        <v>5</v>
      </c>
      <c r="I54" t="s">
        <v>590</v>
      </c>
      <c r="J54" t="s">
        <v>26</v>
      </c>
      <c r="K54" t="s">
        <v>4</v>
      </c>
      <c r="L54">
        <v>35</v>
      </c>
      <c r="M54" t="s">
        <v>5</v>
      </c>
      <c r="N54">
        <v>13</v>
      </c>
      <c r="O54" s="2">
        <f>N54/L54</f>
        <v>0.37142857142857144</v>
      </c>
      <c r="P54" t="s">
        <v>6</v>
      </c>
      <c r="Q54">
        <v>3.5999999999999899</v>
      </c>
      <c r="R54" t="s">
        <v>7</v>
      </c>
      <c r="S54">
        <v>0.10285714285714199</v>
      </c>
      <c r="T54" t="s">
        <v>8</v>
      </c>
      <c r="U54">
        <v>1.5084615384615301</v>
      </c>
      <c r="V54" t="s">
        <v>9</v>
      </c>
      <c r="W54">
        <v>-0.727727272727272</v>
      </c>
      <c r="X54" t="s">
        <v>10</v>
      </c>
      <c r="Y54">
        <v>8.4909189933297602E-2</v>
      </c>
      <c r="Z54" t="s">
        <v>11</v>
      </c>
      <c r="AA54" t="s">
        <v>674</v>
      </c>
      <c r="AB54" t="s">
        <v>675</v>
      </c>
      <c r="AC54">
        <v>0</v>
      </c>
      <c r="AD54" t="s">
        <v>14</v>
      </c>
      <c r="AE54" t="s">
        <v>15</v>
      </c>
      <c r="AF54" t="s">
        <v>674</v>
      </c>
      <c r="AG54" t="s">
        <v>675</v>
      </c>
      <c r="AH54">
        <v>0</v>
      </c>
      <c r="AI54" t="s">
        <v>18</v>
      </c>
    </row>
    <row r="55" spans="1:35" x14ac:dyDescent="0.3">
      <c r="A55" t="str">
        <f>_xlfn.TEXTJOIN(", ", FALSE, C55,D55,E55,F55,G55,H55,I55,J55)</f>
        <v>rsi_{'C',  [('number', 2.5,  1),  ('number', 5,  -1)]}_[7,  35]_2</v>
      </c>
      <c r="B55" t="s">
        <v>1058</v>
      </c>
      <c r="C55" t="s">
        <v>221</v>
      </c>
      <c r="D55" t="s">
        <v>587</v>
      </c>
      <c r="E55">
        <v>2.5</v>
      </c>
      <c r="F55" t="s">
        <v>588</v>
      </c>
      <c r="G55" t="s">
        <v>589</v>
      </c>
      <c r="H55">
        <v>5</v>
      </c>
      <c r="I55" t="s">
        <v>590</v>
      </c>
      <c r="J55" t="s">
        <v>19</v>
      </c>
      <c r="K55" t="s">
        <v>4</v>
      </c>
      <c r="L55">
        <v>35</v>
      </c>
      <c r="M55" t="s">
        <v>5</v>
      </c>
      <c r="N55">
        <v>13</v>
      </c>
      <c r="O55" s="2">
        <f>N55/L55</f>
        <v>0.37142857142857144</v>
      </c>
      <c r="P55" t="s">
        <v>6</v>
      </c>
      <c r="Q55">
        <v>3.44999999999999</v>
      </c>
      <c r="R55" t="s">
        <v>7</v>
      </c>
      <c r="S55">
        <v>9.8571428571428393E-2</v>
      </c>
      <c r="T55" t="s">
        <v>8</v>
      </c>
      <c r="U55">
        <v>1.4969230769230699</v>
      </c>
      <c r="V55" t="s">
        <v>9</v>
      </c>
      <c r="W55">
        <v>-0.727727272727272</v>
      </c>
      <c r="X55" t="s">
        <v>10</v>
      </c>
      <c r="Y55">
        <v>8.48974738325321E-2</v>
      </c>
      <c r="Z55" t="s">
        <v>11</v>
      </c>
      <c r="AA55" t="s">
        <v>674</v>
      </c>
      <c r="AB55" t="s">
        <v>675</v>
      </c>
      <c r="AC55">
        <v>0</v>
      </c>
      <c r="AD55" t="s">
        <v>14</v>
      </c>
      <c r="AE55" t="s">
        <v>15</v>
      </c>
      <c r="AF55" t="s">
        <v>674</v>
      </c>
      <c r="AG55" t="s">
        <v>675</v>
      </c>
      <c r="AH55">
        <v>0</v>
      </c>
      <c r="AI55" t="s">
        <v>18</v>
      </c>
    </row>
    <row r="56" spans="1:35" x14ac:dyDescent="0.3">
      <c r="A56" t="str">
        <f>_xlfn.TEXTJOIN(", ", FALSE, C56,D56,E56,F56,G56,H56,I56,J56)</f>
        <v>bbands_{'C',  [('number', 7.5,  1),  ('number', 10,  -1)]}_[7,  35]_1</v>
      </c>
      <c r="B56" t="s">
        <v>937</v>
      </c>
      <c r="C56" t="s">
        <v>113</v>
      </c>
      <c r="D56" t="s">
        <v>587</v>
      </c>
      <c r="E56">
        <v>7.5</v>
      </c>
      <c r="F56" t="s">
        <v>588</v>
      </c>
      <c r="G56" t="s">
        <v>589</v>
      </c>
      <c r="H56">
        <v>10</v>
      </c>
      <c r="I56" t="s">
        <v>590</v>
      </c>
      <c r="J56" t="s">
        <v>3</v>
      </c>
      <c r="K56" t="s">
        <v>4</v>
      </c>
      <c r="L56">
        <v>191</v>
      </c>
      <c r="M56" t="s">
        <v>5</v>
      </c>
      <c r="N56">
        <v>64</v>
      </c>
      <c r="O56" s="2">
        <f>N56/L56</f>
        <v>0.33507853403141363</v>
      </c>
      <c r="P56" t="s">
        <v>6</v>
      </c>
      <c r="Q56">
        <v>3.1400000000000099</v>
      </c>
      <c r="R56" t="s">
        <v>7</v>
      </c>
      <c r="S56">
        <v>1.6439790575916199E-2</v>
      </c>
      <c r="T56" t="s">
        <v>8</v>
      </c>
      <c r="U56">
        <v>0.75343749999999998</v>
      </c>
      <c r="V56" t="s">
        <v>9</v>
      </c>
      <c r="W56">
        <v>-0.35496062992125899</v>
      </c>
      <c r="X56" t="s">
        <v>10</v>
      </c>
      <c r="Y56">
        <v>0.15360505257490201</v>
      </c>
      <c r="Z56" t="s">
        <v>11</v>
      </c>
      <c r="AA56" t="s">
        <v>701</v>
      </c>
      <c r="AB56" t="s">
        <v>658</v>
      </c>
      <c r="AC56">
        <v>0</v>
      </c>
      <c r="AD56" t="s">
        <v>14</v>
      </c>
      <c r="AE56" t="s">
        <v>15</v>
      </c>
      <c r="AF56" t="s">
        <v>702</v>
      </c>
      <c r="AG56" t="s">
        <v>611</v>
      </c>
      <c r="AH56">
        <v>0</v>
      </c>
      <c r="AI56" t="s">
        <v>18</v>
      </c>
    </row>
    <row r="57" spans="1:35" x14ac:dyDescent="0.3">
      <c r="A57" t="str">
        <f>_xlfn.TEXTJOIN(", ", FALSE, C57,D57,E57,F57,G57,H57,I57,J57)</f>
        <v>alltime_{'C',  [('number', 2.5,  1),  ('number', 5,  -1)]}_[21,  49]_1</v>
      </c>
      <c r="B57" t="s">
        <v>869</v>
      </c>
      <c r="C57" t="s">
        <v>0</v>
      </c>
      <c r="D57" t="s">
        <v>587</v>
      </c>
      <c r="E57">
        <v>2.5</v>
      </c>
      <c r="F57" t="s">
        <v>588</v>
      </c>
      <c r="G57" t="s">
        <v>589</v>
      </c>
      <c r="H57">
        <v>5</v>
      </c>
      <c r="I57" t="s">
        <v>599</v>
      </c>
      <c r="J57" t="s">
        <v>28</v>
      </c>
      <c r="K57" t="s">
        <v>4</v>
      </c>
      <c r="L57">
        <v>3050</v>
      </c>
      <c r="M57" t="s">
        <v>5</v>
      </c>
      <c r="N57">
        <v>1100</v>
      </c>
      <c r="O57" s="2">
        <f>N57/L57</f>
        <v>0.36065573770491804</v>
      </c>
      <c r="P57" t="s">
        <v>6</v>
      </c>
      <c r="Q57">
        <v>3.0280873957638601</v>
      </c>
      <c r="R57" t="s">
        <v>7</v>
      </c>
      <c r="S57">
        <v>9.9281553959471003E-4</v>
      </c>
      <c r="T57" t="s">
        <v>8</v>
      </c>
      <c r="U57">
        <v>1.16785634697482</v>
      </c>
      <c r="V57" t="s">
        <v>9</v>
      </c>
      <c r="W57">
        <v>-0.65723789450078995</v>
      </c>
      <c r="X57" t="s">
        <v>10</v>
      </c>
      <c r="Y57">
        <v>2.1134696662169601</v>
      </c>
      <c r="Z57" t="s">
        <v>11</v>
      </c>
      <c r="AA57" t="s">
        <v>591</v>
      </c>
      <c r="AB57" t="s">
        <v>50</v>
      </c>
      <c r="AC57">
        <v>0</v>
      </c>
      <c r="AD57" t="s">
        <v>14</v>
      </c>
      <c r="AE57" t="s">
        <v>15</v>
      </c>
      <c r="AF57" t="s">
        <v>613</v>
      </c>
      <c r="AG57" t="s">
        <v>614</v>
      </c>
      <c r="AH57">
        <v>0</v>
      </c>
      <c r="AI57" t="s">
        <v>18</v>
      </c>
    </row>
    <row r="58" spans="1:35" x14ac:dyDescent="0.3">
      <c r="A58" t="str">
        <f>_xlfn.TEXTJOIN(", ", FALSE, C58,D58,E58,F58,G58,H58,I58,J58)</f>
        <v>rsi_{'C',  [('number', 7.5,  1),  ('number', 10,  -1)]}_[35,  70]_1</v>
      </c>
      <c r="B58" t="s">
        <v>1089</v>
      </c>
      <c r="C58" t="s">
        <v>221</v>
      </c>
      <c r="D58" t="s">
        <v>587</v>
      </c>
      <c r="E58">
        <v>7.5</v>
      </c>
      <c r="F58" t="s">
        <v>588</v>
      </c>
      <c r="G58" t="s">
        <v>589</v>
      </c>
      <c r="H58">
        <v>10</v>
      </c>
      <c r="I58" t="s">
        <v>605</v>
      </c>
      <c r="J58" t="s">
        <v>38</v>
      </c>
      <c r="K58" t="s">
        <v>4</v>
      </c>
      <c r="L58">
        <v>40</v>
      </c>
      <c r="M58" t="s">
        <v>5</v>
      </c>
      <c r="N58">
        <v>18</v>
      </c>
      <c r="O58" s="2">
        <f>N58/L58</f>
        <v>0.45</v>
      </c>
      <c r="P58" t="s">
        <v>6</v>
      </c>
      <c r="Q58">
        <v>2.90076350568867</v>
      </c>
      <c r="R58" t="s">
        <v>7</v>
      </c>
      <c r="S58">
        <v>7.2519087642216901E-2</v>
      </c>
      <c r="T58" t="s">
        <v>8</v>
      </c>
      <c r="U58">
        <v>0.89555555555555499</v>
      </c>
      <c r="V58" t="s">
        <v>9</v>
      </c>
      <c r="W58">
        <v>-0.60087438610506005</v>
      </c>
      <c r="X58" t="s">
        <v>10</v>
      </c>
      <c r="Y58">
        <v>7.6366759333552303E-2</v>
      </c>
      <c r="Z58" t="s">
        <v>11</v>
      </c>
      <c r="AA58" t="s">
        <v>806</v>
      </c>
      <c r="AB58" t="s">
        <v>807</v>
      </c>
    </row>
    <row r="59" spans="1:35" x14ac:dyDescent="0.3">
      <c r="A59" t="str">
        <f>_xlfn.TEXTJOIN(", ", FALSE, C59,D59,E59,F59,G59,H59,I59,J59)</f>
        <v>rsi_{'C',  [('number', 2.5,  1),  ('number', 5,  -1)]}_[7,  35]_1</v>
      </c>
      <c r="B59" t="s">
        <v>1057</v>
      </c>
      <c r="C59" t="s">
        <v>221</v>
      </c>
      <c r="D59" t="s">
        <v>587</v>
      </c>
      <c r="E59">
        <v>2.5</v>
      </c>
      <c r="F59" t="s">
        <v>588</v>
      </c>
      <c r="G59" t="s">
        <v>589</v>
      </c>
      <c r="H59">
        <v>5</v>
      </c>
      <c r="I59" t="s">
        <v>590</v>
      </c>
      <c r="J59" t="s">
        <v>3</v>
      </c>
      <c r="K59" t="s">
        <v>4</v>
      </c>
      <c r="L59">
        <v>35</v>
      </c>
      <c r="M59" t="s">
        <v>5</v>
      </c>
      <c r="N59">
        <v>15</v>
      </c>
      <c r="O59" s="2">
        <f>N59/L59</f>
        <v>0.42857142857142855</v>
      </c>
      <c r="P59" t="s">
        <v>6</v>
      </c>
      <c r="Q59">
        <v>2.8799999999999901</v>
      </c>
      <c r="R59" t="s">
        <v>7</v>
      </c>
      <c r="S59">
        <v>8.2285714285714198E-2</v>
      </c>
      <c r="T59" t="s">
        <v>8</v>
      </c>
      <c r="U59">
        <v>1.15333333333333</v>
      </c>
      <c r="V59" t="s">
        <v>9</v>
      </c>
      <c r="W59">
        <v>-0.72099999999999997</v>
      </c>
      <c r="X59" t="s">
        <v>10</v>
      </c>
      <c r="Y59">
        <v>7.4564648764479394E-2</v>
      </c>
      <c r="Z59" t="s">
        <v>11</v>
      </c>
      <c r="AA59" t="s">
        <v>771</v>
      </c>
      <c r="AB59" t="s">
        <v>772</v>
      </c>
      <c r="AC59">
        <v>0</v>
      </c>
      <c r="AD59" t="s">
        <v>14</v>
      </c>
      <c r="AE59" t="s">
        <v>15</v>
      </c>
      <c r="AF59" t="s">
        <v>773</v>
      </c>
      <c r="AG59" t="s">
        <v>774</v>
      </c>
      <c r="AH59">
        <v>0</v>
      </c>
      <c r="AI59" t="s">
        <v>18</v>
      </c>
    </row>
    <row r="60" spans="1:35" x14ac:dyDescent="0.3">
      <c r="A60" t="str">
        <f>_xlfn.TEXTJOIN(", ", FALSE, C60,D60,E60,F60,G60,H60,I60,J60)</f>
        <v>psar_{'C',  [('number', 2.5,  1),  ('number', 5,  -1)]}_[21,  49]_2</v>
      </c>
      <c r="B60" t="s">
        <v>966</v>
      </c>
      <c r="C60" t="s">
        <v>134</v>
      </c>
      <c r="D60" t="s">
        <v>587</v>
      </c>
      <c r="E60">
        <v>2.5</v>
      </c>
      <c r="F60" t="s">
        <v>588</v>
      </c>
      <c r="G60" t="s">
        <v>589</v>
      </c>
      <c r="H60">
        <v>5</v>
      </c>
      <c r="I60" t="s">
        <v>599</v>
      </c>
      <c r="J60" t="s">
        <v>30</v>
      </c>
      <c r="K60" t="s">
        <v>4</v>
      </c>
      <c r="L60">
        <v>136</v>
      </c>
      <c r="M60" t="s">
        <v>5</v>
      </c>
      <c r="N60">
        <v>42</v>
      </c>
      <c r="O60" s="2">
        <f>N60/L60</f>
        <v>0.30882352941176472</v>
      </c>
      <c r="P60" t="s">
        <v>6</v>
      </c>
      <c r="Q60">
        <v>2.3799999999999701</v>
      </c>
      <c r="R60" t="s">
        <v>7</v>
      </c>
      <c r="S60">
        <v>1.74999999999997E-2</v>
      </c>
      <c r="T60" t="s">
        <v>8</v>
      </c>
      <c r="U60">
        <v>1.5052380952380899</v>
      </c>
      <c r="V60" t="s">
        <v>9</v>
      </c>
      <c r="W60">
        <v>-0.64723404255319195</v>
      </c>
      <c r="X60" t="s">
        <v>10</v>
      </c>
      <c r="Y60">
        <v>0.214529207955407</v>
      </c>
      <c r="Z60" t="s">
        <v>11</v>
      </c>
      <c r="AA60" t="s">
        <v>717</v>
      </c>
      <c r="AB60" t="s">
        <v>718</v>
      </c>
      <c r="AC60">
        <v>0</v>
      </c>
      <c r="AD60" t="s">
        <v>14</v>
      </c>
      <c r="AE60" t="s">
        <v>15</v>
      </c>
      <c r="AF60" t="s">
        <v>717</v>
      </c>
      <c r="AG60" t="s">
        <v>718</v>
      </c>
      <c r="AH60">
        <v>0</v>
      </c>
      <c r="AI60" t="s">
        <v>18</v>
      </c>
    </row>
    <row r="61" spans="1:35" x14ac:dyDescent="0.3">
      <c r="A61" t="str">
        <f>_xlfn.TEXTJOIN(", ", FALSE, C61,D61,E61,F61,G61,H61,I61,J61)</f>
        <v>bbands_{'C',  [('number', 5,  1),  ('number', 7.5,  -1)]}_[21,  49]_2</v>
      </c>
      <c r="B61" t="s">
        <v>930</v>
      </c>
      <c r="C61" t="s">
        <v>113</v>
      </c>
      <c r="D61" t="s">
        <v>587</v>
      </c>
      <c r="E61">
        <v>5</v>
      </c>
      <c r="F61" t="s">
        <v>588</v>
      </c>
      <c r="G61" t="s">
        <v>589</v>
      </c>
      <c r="H61">
        <v>7.5</v>
      </c>
      <c r="I61" t="s">
        <v>599</v>
      </c>
      <c r="J61" t="s">
        <v>30</v>
      </c>
      <c r="K61" t="s">
        <v>4</v>
      </c>
      <c r="L61">
        <v>200</v>
      </c>
      <c r="M61" t="s">
        <v>5</v>
      </c>
      <c r="N61">
        <v>57</v>
      </c>
      <c r="O61" s="2">
        <f>N61/L61</f>
        <v>0.28499999999999998</v>
      </c>
      <c r="P61" t="s">
        <v>6</v>
      </c>
      <c r="Q61">
        <v>2.1202729372544602</v>
      </c>
      <c r="R61" t="s">
        <v>7</v>
      </c>
      <c r="S61">
        <v>1.06013646862723E-2</v>
      </c>
      <c r="T61" t="s">
        <v>8</v>
      </c>
      <c r="U61">
        <v>1.4859697006535799</v>
      </c>
      <c r="V61" t="s">
        <v>9</v>
      </c>
      <c r="W61">
        <v>-0.577482517482517</v>
      </c>
      <c r="X61" t="s">
        <v>10</v>
      </c>
      <c r="Y61">
        <v>0.29262945094572701</v>
      </c>
      <c r="Z61" t="s">
        <v>11</v>
      </c>
      <c r="AA61" t="s">
        <v>693</v>
      </c>
      <c r="AB61" t="s">
        <v>694</v>
      </c>
      <c r="AC61">
        <v>0</v>
      </c>
      <c r="AD61" t="s">
        <v>14</v>
      </c>
      <c r="AE61" t="s">
        <v>15</v>
      </c>
      <c r="AF61" t="s">
        <v>695</v>
      </c>
      <c r="AG61" t="s">
        <v>611</v>
      </c>
      <c r="AH61">
        <v>0</v>
      </c>
      <c r="AI61" t="s">
        <v>18</v>
      </c>
    </row>
    <row r="62" spans="1:35" x14ac:dyDescent="0.3">
      <c r="A62" t="str">
        <f>_xlfn.TEXTJOIN(", ", FALSE, C62,D62,E62,F62,G62,H62,I62,J62)</f>
        <v>psar_{'C',  [('number', 0,  1),  ('number', 2.5,  -1)]}_[21,  49]_3</v>
      </c>
      <c r="B62" t="s">
        <v>955</v>
      </c>
      <c r="C62" t="s">
        <v>134</v>
      </c>
      <c r="D62" t="s">
        <v>587</v>
      </c>
      <c r="E62">
        <v>0</v>
      </c>
      <c r="F62" t="s">
        <v>588</v>
      </c>
      <c r="G62" t="s">
        <v>589</v>
      </c>
      <c r="H62">
        <v>2.5</v>
      </c>
      <c r="I62" t="s">
        <v>599</v>
      </c>
      <c r="J62" t="s">
        <v>33</v>
      </c>
      <c r="K62" t="s">
        <v>4</v>
      </c>
      <c r="L62">
        <v>136</v>
      </c>
      <c r="M62" t="s">
        <v>5</v>
      </c>
      <c r="N62">
        <v>51</v>
      </c>
      <c r="O62" s="2">
        <f>N62/L62</f>
        <v>0.375</v>
      </c>
      <c r="P62" t="s">
        <v>6</v>
      </c>
      <c r="Q62">
        <v>2.1100000000000598</v>
      </c>
      <c r="R62" t="s">
        <v>7</v>
      </c>
      <c r="S62">
        <v>1.5514705882353401E-2</v>
      </c>
      <c r="T62" t="s">
        <v>8</v>
      </c>
      <c r="U62">
        <v>1.34490196078431</v>
      </c>
      <c r="V62" t="s">
        <v>9</v>
      </c>
      <c r="W62">
        <v>-0.78211764705882303</v>
      </c>
      <c r="X62" t="s">
        <v>10</v>
      </c>
      <c r="Y62">
        <v>0.25542533471527401</v>
      </c>
      <c r="Z62" t="s">
        <v>11</v>
      </c>
      <c r="AA62" t="s">
        <v>710</v>
      </c>
      <c r="AB62" t="s">
        <v>706</v>
      </c>
      <c r="AC62">
        <v>0</v>
      </c>
      <c r="AD62" t="s">
        <v>14</v>
      </c>
      <c r="AE62" t="s">
        <v>15</v>
      </c>
      <c r="AF62" t="s">
        <v>710</v>
      </c>
      <c r="AG62" t="s">
        <v>706</v>
      </c>
      <c r="AH62">
        <v>0</v>
      </c>
      <c r="AI62" t="s">
        <v>18</v>
      </c>
    </row>
    <row r="63" spans="1:35" x14ac:dyDescent="0.3">
      <c r="A63" t="str">
        <f>_xlfn.TEXTJOIN(", ", FALSE, C63,D63,E63,F63,G63,H63,I63,J63)</f>
        <v>bbands_{'C',  [('number', 7.5,  1),  ('number', 10,  -1)]}_[21,  49]_1</v>
      </c>
      <c r="B63" t="s">
        <v>941</v>
      </c>
      <c r="C63" t="s">
        <v>113</v>
      </c>
      <c r="D63" t="s">
        <v>587</v>
      </c>
      <c r="E63">
        <v>7.5</v>
      </c>
      <c r="F63" t="s">
        <v>588</v>
      </c>
      <c r="G63" t="s">
        <v>589</v>
      </c>
      <c r="H63">
        <v>10</v>
      </c>
      <c r="I63" t="s">
        <v>599</v>
      </c>
      <c r="J63" t="s">
        <v>28</v>
      </c>
      <c r="K63" t="s">
        <v>4</v>
      </c>
      <c r="L63">
        <v>200</v>
      </c>
      <c r="M63" t="s">
        <v>5</v>
      </c>
      <c r="N63">
        <v>69</v>
      </c>
      <c r="O63" s="2">
        <f>N63/L63</f>
        <v>0.34499999999999997</v>
      </c>
      <c r="P63" t="s">
        <v>6</v>
      </c>
      <c r="Q63">
        <v>1.75000000000001</v>
      </c>
      <c r="R63" t="s">
        <v>7</v>
      </c>
      <c r="S63">
        <v>8.7500000000000598E-3</v>
      </c>
      <c r="T63" t="s">
        <v>8</v>
      </c>
      <c r="U63">
        <v>0.88449275362318802</v>
      </c>
      <c r="V63" t="s">
        <v>9</v>
      </c>
      <c r="W63">
        <v>-0.452519083969465</v>
      </c>
      <c r="X63" t="s">
        <v>10</v>
      </c>
      <c r="Y63">
        <v>0.172510912256197</v>
      </c>
      <c r="Z63" t="s">
        <v>11</v>
      </c>
      <c r="AA63" t="s">
        <v>701</v>
      </c>
      <c r="AB63" t="s">
        <v>658</v>
      </c>
      <c r="AC63">
        <v>0</v>
      </c>
      <c r="AD63" t="s">
        <v>14</v>
      </c>
      <c r="AE63" t="s">
        <v>15</v>
      </c>
      <c r="AF63" t="s">
        <v>702</v>
      </c>
      <c r="AG63" t="s">
        <v>611</v>
      </c>
      <c r="AH63">
        <v>0</v>
      </c>
      <c r="AI63" t="s">
        <v>18</v>
      </c>
    </row>
    <row r="64" spans="1:35" x14ac:dyDescent="0.3">
      <c r="A64" t="str">
        <f>_xlfn.TEXTJOIN(", ", FALSE, C64,D64,E64,F64,G64,H64,I64,J64)</f>
        <v>psar_{'C',  [('number', 2.5,  1),  ('number', 5,  -1)]}_[35,  70]_2</v>
      </c>
      <c r="B64" t="s">
        <v>970</v>
      </c>
      <c r="C64" t="s">
        <v>134</v>
      </c>
      <c r="D64" t="s">
        <v>587</v>
      </c>
      <c r="E64">
        <v>2.5</v>
      </c>
      <c r="F64" t="s">
        <v>588</v>
      </c>
      <c r="G64" t="s">
        <v>589</v>
      </c>
      <c r="H64">
        <v>5</v>
      </c>
      <c r="I64" t="s">
        <v>605</v>
      </c>
      <c r="J64" t="s">
        <v>40</v>
      </c>
      <c r="K64" t="s">
        <v>4</v>
      </c>
      <c r="L64">
        <v>177</v>
      </c>
      <c r="M64" t="s">
        <v>5</v>
      </c>
      <c r="N64">
        <v>57</v>
      </c>
      <c r="O64" s="2">
        <f>N64/L64</f>
        <v>0.32203389830508472</v>
      </c>
      <c r="P64" t="s">
        <v>6</v>
      </c>
      <c r="Q64">
        <v>1.4167612398068601</v>
      </c>
      <c r="R64" t="s">
        <v>7</v>
      </c>
      <c r="S64">
        <v>8.0043007898693095E-3</v>
      </c>
      <c r="T64" t="s">
        <v>8</v>
      </c>
      <c r="U64">
        <v>1.53352892208023</v>
      </c>
      <c r="V64" t="s">
        <v>9</v>
      </c>
      <c r="W64">
        <v>-0.71661989432305495</v>
      </c>
      <c r="X64" t="s">
        <v>10</v>
      </c>
      <c r="Y64">
        <v>0.29795662415134599</v>
      </c>
      <c r="Z64" t="s">
        <v>11</v>
      </c>
      <c r="AA64" t="s">
        <v>717</v>
      </c>
      <c r="AB64" t="s">
        <v>718</v>
      </c>
      <c r="AC64">
        <v>0</v>
      </c>
      <c r="AD64" t="s">
        <v>14</v>
      </c>
      <c r="AE64" t="s">
        <v>15</v>
      </c>
      <c r="AF64" t="s">
        <v>717</v>
      </c>
      <c r="AG64" t="s">
        <v>718</v>
      </c>
      <c r="AH64">
        <v>0</v>
      </c>
      <c r="AI64" t="s">
        <v>18</v>
      </c>
    </row>
    <row r="65" spans="1:35" x14ac:dyDescent="0.3">
      <c r="A65" t="str">
        <f>_xlfn.TEXTJOIN(", ", FALSE, C65,D65,E65,F65,G65,H65,I65,J65)</f>
        <v>stoch_{'C',  [('number', 0,  1),  ('number', 2.5,  -1)]}_[21,  49]_1</v>
      </c>
      <c r="B65" t="s">
        <v>1097</v>
      </c>
      <c r="C65" t="s">
        <v>262</v>
      </c>
      <c r="D65" t="s">
        <v>587</v>
      </c>
      <c r="E65">
        <v>0</v>
      </c>
      <c r="F65" t="s">
        <v>588</v>
      </c>
      <c r="G65" t="s">
        <v>589</v>
      </c>
      <c r="H65">
        <v>2.5</v>
      </c>
      <c r="I65" t="s">
        <v>599</v>
      </c>
      <c r="J65" t="s">
        <v>28</v>
      </c>
      <c r="K65" t="s">
        <v>4</v>
      </c>
      <c r="L65">
        <v>230</v>
      </c>
      <c r="M65" t="s">
        <v>5</v>
      </c>
      <c r="N65">
        <v>91</v>
      </c>
      <c r="O65" s="2">
        <f>N65/L65</f>
        <v>0.39565217391304347</v>
      </c>
      <c r="P65" t="s">
        <v>6</v>
      </c>
      <c r="Q65">
        <v>1.27000000000001</v>
      </c>
      <c r="R65" t="s">
        <v>7</v>
      </c>
      <c r="S65">
        <v>5.5217391304348499E-3</v>
      </c>
      <c r="T65" t="s">
        <v>8</v>
      </c>
      <c r="U65">
        <v>1.2437362637362599</v>
      </c>
      <c r="V65" t="s">
        <v>9</v>
      </c>
      <c r="W65">
        <v>-0.80510791366906398</v>
      </c>
      <c r="X65" t="s">
        <v>10</v>
      </c>
      <c r="Y65">
        <v>0.32292655921121399</v>
      </c>
      <c r="Z65" t="s">
        <v>11</v>
      </c>
      <c r="AA65" t="s">
        <v>770</v>
      </c>
      <c r="AB65" t="s">
        <v>593</v>
      </c>
      <c r="AC65">
        <v>0</v>
      </c>
      <c r="AD65" t="s">
        <v>14</v>
      </c>
      <c r="AE65" t="s">
        <v>15</v>
      </c>
      <c r="AF65" t="s">
        <v>812</v>
      </c>
      <c r="AG65" t="s">
        <v>593</v>
      </c>
      <c r="AH65">
        <v>0</v>
      </c>
      <c r="AI65" t="s">
        <v>18</v>
      </c>
    </row>
    <row r="66" spans="1:35" x14ac:dyDescent="0.3">
      <c r="A66" t="str">
        <f>_xlfn.TEXTJOIN(", ", FALSE, C66,D66,E66,F66,G66,H66,I66,J66)</f>
        <v>psar_{'C',  [('number', 0,  1),  ('number', 2.5,  -1)]}_[21,  49]_2</v>
      </c>
      <c r="B66" t="s">
        <v>954</v>
      </c>
      <c r="C66" t="s">
        <v>134</v>
      </c>
      <c r="D66" t="s">
        <v>587</v>
      </c>
      <c r="E66">
        <v>0</v>
      </c>
      <c r="F66" t="s">
        <v>588</v>
      </c>
      <c r="G66" t="s">
        <v>589</v>
      </c>
      <c r="H66">
        <v>2.5</v>
      </c>
      <c r="I66" t="s">
        <v>599</v>
      </c>
      <c r="J66" t="s">
        <v>30</v>
      </c>
      <c r="K66" t="s">
        <v>4</v>
      </c>
      <c r="L66">
        <v>136</v>
      </c>
      <c r="M66" t="s">
        <v>5</v>
      </c>
      <c r="N66">
        <v>51</v>
      </c>
      <c r="O66" s="2">
        <f>N66/L66</f>
        <v>0.375</v>
      </c>
      <c r="P66" t="s">
        <v>6</v>
      </c>
      <c r="Q66">
        <v>1.11000000000006</v>
      </c>
      <c r="R66" t="s">
        <v>7</v>
      </c>
      <c r="S66">
        <v>8.1617647058828298E-3</v>
      </c>
      <c r="T66" t="s">
        <v>8</v>
      </c>
      <c r="U66">
        <v>1.3252941176470501</v>
      </c>
      <c r="V66" t="s">
        <v>9</v>
      </c>
      <c r="W66">
        <v>-0.78211764705882303</v>
      </c>
      <c r="X66" t="s">
        <v>10</v>
      </c>
      <c r="Y66">
        <v>0.24878960370848199</v>
      </c>
      <c r="Z66" t="s">
        <v>11</v>
      </c>
      <c r="AA66" t="s">
        <v>710</v>
      </c>
      <c r="AB66" t="s">
        <v>706</v>
      </c>
      <c r="AC66">
        <v>0</v>
      </c>
      <c r="AD66" t="s">
        <v>14</v>
      </c>
      <c r="AE66" t="s">
        <v>15</v>
      </c>
      <c r="AF66" t="s">
        <v>710</v>
      </c>
      <c r="AG66" t="s">
        <v>706</v>
      </c>
      <c r="AH66">
        <v>0</v>
      </c>
      <c r="AI66" t="s">
        <v>18</v>
      </c>
    </row>
    <row r="67" spans="1:35" x14ac:dyDescent="0.3">
      <c r="A67" t="str">
        <f>_xlfn.TEXTJOIN(", ", FALSE, C67,D67,E67,F67,G67,H67,I67,J67)</f>
        <v>psar_{'C',  [('number', 5,  1),  ('number', 7.5,  -1)]}_[7,  35]_4</v>
      </c>
      <c r="B67" t="s">
        <v>976</v>
      </c>
      <c r="C67" t="s">
        <v>134</v>
      </c>
      <c r="D67" t="s">
        <v>587</v>
      </c>
      <c r="E67">
        <v>5</v>
      </c>
      <c r="F67" t="s">
        <v>588</v>
      </c>
      <c r="G67" t="s">
        <v>589</v>
      </c>
      <c r="H67">
        <v>7.5</v>
      </c>
      <c r="I67" t="s">
        <v>590</v>
      </c>
      <c r="J67" t="s">
        <v>26</v>
      </c>
      <c r="K67" t="s">
        <v>4</v>
      </c>
      <c r="L67">
        <v>140</v>
      </c>
      <c r="M67" t="s">
        <v>5</v>
      </c>
      <c r="N67">
        <v>28</v>
      </c>
      <c r="O67" s="2">
        <f>N67/L67</f>
        <v>0.2</v>
      </c>
      <c r="P67" t="s">
        <v>6</v>
      </c>
      <c r="Q67">
        <v>0.10000000000004899</v>
      </c>
      <c r="R67" t="s">
        <v>7</v>
      </c>
      <c r="S67">
        <v>7.1428571428606698E-4</v>
      </c>
      <c r="T67" t="s">
        <v>8</v>
      </c>
      <c r="U67">
        <v>1.5942857142857101</v>
      </c>
      <c r="V67" t="s">
        <v>9</v>
      </c>
      <c r="W67">
        <v>-0.39767857142857099</v>
      </c>
      <c r="X67" t="s">
        <v>10</v>
      </c>
      <c r="Y67">
        <v>0.17426631072778401</v>
      </c>
      <c r="Z67" t="s">
        <v>11</v>
      </c>
      <c r="AA67" t="s">
        <v>728</v>
      </c>
      <c r="AB67" t="s">
        <v>729</v>
      </c>
      <c r="AC67">
        <v>0</v>
      </c>
      <c r="AD67" t="s">
        <v>14</v>
      </c>
      <c r="AE67" t="s">
        <v>15</v>
      </c>
      <c r="AF67" t="s">
        <v>728</v>
      </c>
      <c r="AG67" t="s">
        <v>729</v>
      </c>
      <c r="AH67">
        <v>0</v>
      </c>
      <c r="AI67" t="s">
        <v>18</v>
      </c>
    </row>
    <row r="68" spans="1:35" x14ac:dyDescent="0.3">
      <c r="A68" t="str">
        <f>_xlfn.TEXTJOIN(", ", FALSE, C68,D68,E68,F68,G68,H68,I68,J68)</f>
        <v>rsi_{'C',  [('number', 5,  1),  ('number', 7.5,  -1)]}_[21,  49]_3</v>
      </c>
      <c r="B68" t="s">
        <v>1075</v>
      </c>
      <c r="C68" t="s">
        <v>221</v>
      </c>
      <c r="D68" t="s">
        <v>587</v>
      </c>
      <c r="E68">
        <v>5</v>
      </c>
      <c r="F68" t="s">
        <v>588</v>
      </c>
      <c r="G68" t="s">
        <v>589</v>
      </c>
      <c r="H68">
        <v>7.5</v>
      </c>
      <c r="I68" t="s">
        <v>599</v>
      </c>
      <c r="J68" t="s">
        <v>33</v>
      </c>
      <c r="K68" t="s">
        <v>4</v>
      </c>
      <c r="L68">
        <v>33</v>
      </c>
      <c r="M68" t="s">
        <v>5</v>
      </c>
      <c r="N68">
        <v>9</v>
      </c>
      <c r="O68" s="2">
        <f>N68/L68</f>
        <v>0.27272727272727271</v>
      </c>
      <c r="P68" t="s">
        <v>6</v>
      </c>
      <c r="Q68">
        <v>5.9999999999988E-2</v>
      </c>
      <c r="R68" t="s">
        <v>7</v>
      </c>
      <c r="S68">
        <v>1.81818181818145E-3</v>
      </c>
      <c r="T68" t="s">
        <v>8</v>
      </c>
      <c r="U68">
        <v>1.5833333333333299</v>
      </c>
      <c r="V68" t="s">
        <v>9</v>
      </c>
      <c r="W68">
        <v>-0.59124999999999905</v>
      </c>
      <c r="X68" t="s">
        <v>10</v>
      </c>
      <c r="Y68">
        <v>8.3196279084614994E-2</v>
      </c>
      <c r="Z68" t="s">
        <v>11</v>
      </c>
      <c r="AA68" t="s">
        <v>792</v>
      </c>
      <c r="AB68" t="s">
        <v>183</v>
      </c>
      <c r="AC68">
        <v>0</v>
      </c>
      <c r="AD68" t="s">
        <v>14</v>
      </c>
      <c r="AE68" t="s">
        <v>15</v>
      </c>
      <c r="AF68" t="s">
        <v>793</v>
      </c>
      <c r="AG68" t="s">
        <v>794</v>
      </c>
      <c r="AH68">
        <v>0</v>
      </c>
      <c r="AI68" t="s">
        <v>18</v>
      </c>
    </row>
    <row r="69" spans="1:35" x14ac:dyDescent="0.3">
      <c r="A69" t="str">
        <f>_xlfn.TEXTJOIN(", ", FALSE, C69,D69,E69,F69,G69,H69,I69,J69)</f>
        <v>rsi_{'C',  [('number', 5,  1),  ('number', 7.5,  -1)]}_[21,  49]_4</v>
      </c>
      <c r="B69" t="s">
        <v>1076</v>
      </c>
      <c r="C69" t="s">
        <v>221</v>
      </c>
      <c r="D69" t="s">
        <v>587</v>
      </c>
      <c r="E69">
        <v>5</v>
      </c>
      <c r="F69" t="s">
        <v>588</v>
      </c>
      <c r="G69" t="s">
        <v>589</v>
      </c>
      <c r="H69">
        <v>7.5</v>
      </c>
      <c r="I69" t="s">
        <v>599</v>
      </c>
      <c r="J69" t="s">
        <v>36</v>
      </c>
      <c r="K69" t="s">
        <v>4</v>
      </c>
      <c r="L69">
        <v>33</v>
      </c>
      <c r="M69" t="s">
        <v>5</v>
      </c>
      <c r="N69">
        <v>9</v>
      </c>
      <c r="O69" s="2">
        <f>N69/L69</f>
        <v>0.27272727272727271</v>
      </c>
      <c r="P69" t="s">
        <v>6</v>
      </c>
      <c r="Q69">
        <v>5.9999999999988E-2</v>
      </c>
      <c r="R69" t="s">
        <v>7</v>
      </c>
      <c r="S69">
        <v>1.81818181818145E-3</v>
      </c>
      <c r="T69" t="s">
        <v>8</v>
      </c>
      <c r="U69">
        <v>1.5833333333333299</v>
      </c>
      <c r="V69" t="s">
        <v>9</v>
      </c>
      <c r="W69">
        <v>-0.59124999999999905</v>
      </c>
      <c r="X69" t="s">
        <v>10</v>
      </c>
      <c r="Y69">
        <v>8.3196279084614994E-2</v>
      </c>
      <c r="Z69" t="s">
        <v>11</v>
      </c>
      <c r="AA69" t="s">
        <v>792</v>
      </c>
      <c r="AB69" t="s">
        <v>183</v>
      </c>
      <c r="AC69">
        <v>0</v>
      </c>
      <c r="AD69" t="s">
        <v>14</v>
      </c>
      <c r="AE69" t="s">
        <v>15</v>
      </c>
      <c r="AF69" t="s">
        <v>793</v>
      </c>
      <c r="AG69" t="s">
        <v>794</v>
      </c>
      <c r="AH69">
        <v>0</v>
      </c>
      <c r="AI69" t="s">
        <v>18</v>
      </c>
    </row>
    <row r="70" spans="1:35" x14ac:dyDescent="0.3">
      <c r="A70" t="str">
        <f>_xlfn.TEXTJOIN(", ", FALSE, C70,D70,E70,F70,G70,H70,I70,J70)</f>
        <v>psar_{'C',  [('number', 7.5,  1),  ('number', 10,  -1)]}_[21,  49]_1</v>
      </c>
      <c r="B70" t="s">
        <v>989</v>
      </c>
      <c r="C70" t="s">
        <v>134</v>
      </c>
      <c r="D70" t="s">
        <v>587</v>
      </c>
      <c r="E70">
        <v>7.5</v>
      </c>
      <c r="F70" t="s">
        <v>588</v>
      </c>
      <c r="G70" t="s">
        <v>589</v>
      </c>
      <c r="H70">
        <v>10</v>
      </c>
      <c r="I70" t="s">
        <v>599</v>
      </c>
      <c r="J70" t="s">
        <v>28</v>
      </c>
      <c r="K70" t="s">
        <v>4</v>
      </c>
      <c r="L70">
        <v>136</v>
      </c>
      <c r="M70" t="s">
        <v>5</v>
      </c>
      <c r="N70">
        <v>48</v>
      </c>
      <c r="O70" s="2">
        <f>N70/L70</f>
        <v>0.35294117647058826</v>
      </c>
      <c r="P70" t="s">
        <v>6</v>
      </c>
      <c r="Q70" s="1">
        <v>5.5511151231257803E-15</v>
      </c>
      <c r="R70" t="s">
        <v>7</v>
      </c>
      <c r="S70" s="1">
        <v>4.0817022964160102E-17</v>
      </c>
      <c r="T70" t="s">
        <v>8</v>
      </c>
      <c r="U70">
        <v>0.70604166666666601</v>
      </c>
      <c r="V70" t="s">
        <v>9</v>
      </c>
      <c r="W70">
        <v>-0.38511363636363599</v>
      </c>
      <c r="X70" t="s">
        <v>10</v>
      </c>
      <c r="Y70">
        <v>0.11998388878371299</v>
      </c>
      <c r="Z70" t="s">
        <v>11</v>
      </c>
      <c r="AA70" t="s">
        <v>743</v>
      </c>
      <c r="AB70" t="s">
        <v>744</v>
      </c>
      <c r="AC70">
        <v>0</v>
      </c>
      <c r="AD70" t="s">
        <v>14</v>
      </c>
      <c r="AE70" t="s">
        <v>15</v>
      </c>
      <c r="AF70" t="s">
        <v>745</v>
      </c>
      <c r="AG70" t="s">
        <v>181</v>
      </c>
      <c r="AH70">
        <v>0</v>
      </c>
      <c r="AI70" t="s">
        <v>18</v>
      </c>
    </row>
    <row r="71" spans="1:35" x14ac:dyDescent="0.3">
      <c r="A71" t="str">
        <f>_xlfn.TEXTJOIN(", ", FALSE, C71,D71,E71,F71,G71,H71,I71,J71)</f>
        <v>psar_{'C',  [('number', 5,  1),  ('number', 7.5,  -1)]}_[21,  49]_4</v>
      </c>
      <c r="B71" t="s">
        <v>980</v>
      </c>
      <c r="C71" t="s">
        <v>134</v>
      </c>
      <c r="D71" t="s">
        <v>587</v>
      </c>
      <c r="E71">
        <v>5</v>
      </c>
      <c r="F71" t="s">
        <v>588</v>
      </c>
      <c r="G71" t="s">
        <v>589</v>
      </c>
      <c r="H71">
        <v>7.5</v>
      </c>
      <c r="I71" t="s">
        <v>599</v>
      </c>
      <c r="J71" t="s">
        <v>36</v>
      </c>
      <c r="K71" t="s">
        <v>4</v>
      </c>
      <c r="L71">
        <v>136</v>
      </c>
      <c r="M71" t="s">
        <v>5</v>
      </c>
      <c r="N71">
        <v>34</v>
      </c>
      <c r="O71" s="2">
        <f>N71/L71</f>
        <v>0.25</v>
      </c>
      <c r="P71" t="s">
        <v>6</v>
      </c>
      <c r="Q71">
        <v>-9.3883568253259705E-2</v>
      </c>
      <c r="R71" t="s">
        <v>7</v>
      </c>
      <c r="S71">
        <v>-6.9032035480338005E-4</v>
      </c>
      <c r="T71" t="s">
        <v>8</v>
      </c>
      <c r="U71">
        <v>1.51588235294117</v>
      </c>
      <c r="V71" t="s">
        <v>9</v>
      </c>
      <c r="W71">
        <v>-0.50621454478679595</v>
      </c>
      <c r="X71" t="s">
        <v>10</v>
      </c>
      <c r="Y71">
        <v>0.21236762983500701</v>
      </c>
      <c r="Z71" t="s">
        <v>11</v>
      </c>
      <c r="AA71" t="s">
        <v>732</v>
      </c>
      <c r="AB71" t="s">
        <v>733</v>
      </c>
      <c r="AC71">
        <v>0</v>
      </c>
      <c r="AD71" t="s">
        <v>14</v>
      </c>
      <c r="AE71" t="s">
        <v>15</v>
      </c>
      <c r="AF71" t="s">
        <v>732</v>
      </c>
      <c r="AG71" t="s">
        <v>733</v>
      </c>
      <c r="AH71">
        <v>0</v>
      </c>
      <c r="AI71" t="s">
        <v>18</v>
      </c>
    </row>
    <row r="72" spans="1:35" x14ac:dyDescent="0.3">
      <c r="A72" t="str">
        <f>_xlfn.TEXTJOIN(", ", FALSE, C72,D72,E72,F72,G72,H72,I72,J72)</f>
        <v>rsi_{'C',  [('number', 5,  1),  ('number', 7.5,  -1)]}_[21,  49]_2</v>
      </c>
      <c r="B72" t="s">
        <v>1074</v>
      </c>
      <c r="C72" t="s">
        <v>221</v>
      </c>
      <c r="D72" t="s">
        <v>587</v>
      </c>
      <c r="E72">
        <v>5</v>
      </c>
      <c r="F72" t="s">
        <v>588</v>
      </c>
      <c r="G72" t="s">
        <v>589</v>
      </c>
      <c r="H72">
        <v>7.5</v>
      </c>
      <c r="I72" t="s">
        <v>599</v>
      </c>
      <c r="J72" t="s">
        <v>30</v>
      </c>
      <c r="K72" t="s">
        <v>4</v>
      </c>
      <c r="L72">
        <v>33</v>
      </c>
      <c r="M72" t="s">
        <v>5</v>
      </c>
      <c r="N72">
        <v>9</v>
      </c>
      <c r="O72" s="2">
        <f>N72/L72</f>
        <v>0.27272727272727271</v>
      </c>
      <c r="P72" t="s">
        <v>6</v>
      </c>
      <c r="Q72">
        <v>-0.18000000000000899</v>
      </c>
      <c r="R72" t="s">
        <v>7</v>
      </c>
      <c r="S72">
        <v>-5.4545454545457403E-3</v>
      </c>
      <c r="T72" t="s">
        <v>8</v>
      </c>
      <c r="U72">
        <v>1.55666666666666</v>
      </c>
      <c r="V72" t="s">
        <v>9</v>
      </c>
      <c r="W72">
        <v>-0.59124999999999905</v>
      </c>
      <c r="X72" t="s">
        <v>10</v>
      </c>
      <c r="Y72">
        <v>8.29893241296802E-2</v>
      </c>
      <c r="Z72" t="s">
        <v>11</v>
      </c>
      <c r="AA72" t="s">
        <v>792</v>
      </c>
      <c r="AB72" t="s">
        <v>183</v>
      </c>
      <c r="AC72">
        <v>0</v>
      </c>
      <c r="AD72" t="s">
        <v>14</v>
      </c>
      <c r="AE72" t="s">
        <v>15</v>
      </c>
      <c r="AF72" t="s">
        <v>793</v>
      </c>
      <c r="AG72" t="s">
        <v>794</v>
      </c>
      <c r="AH72">
        <v>0</v>
      </c>
      <c r="AI72" t="s">
        <v>18</v>
      </c>
    </row>
    <row r="73" spans="1:35" x14ac:dyDescent="0.3">
      <c r="A73" t="str">
        <f>_xlfn.TEXTJOIN(", ", FALSE, C73,D73,E73,F73,G73,H73,I73,J73)</f>
        <v>psar_{'C',  [('number', 5,  1),  ('number', 7.5,  -1)]}_[21,  49]_3</v>
      </c>
      <c r="B73" t="s">
        <v>979</v>
      </c>
      <c r="C73" t="s">
        <v>134</v>
      </c>
      <c r="D73" t="s">
        <v>587</v>
      </c>
      <c r="E73">
        <v>5</v>
      </c>
      <c r="F73" t="s">
        <v>588</v>
      </c>
      <c r="G73" t="s">
        <v>589</v>
      </c>
      <c r="H73">
        <v>7.5</v>
      </c>
      <c r="I73" t="s">
        <v>599</v>
      </c>
      <c r="J73" t="s">
        <v>33</v>
      </c>
      <c r="K73" t="s">
        <v>4</v>
      </c>
      <c r="L73">
        <v>136</v>
      </c>
      <c r="M73" t="s">
        <v>5</v>
      </c>
      <c r="N73">
        <v>35</v>
      </c>
      <c r="O73" s="2">
        <f>N73/L73</f>
        <v>0.25735294117647056</v>
      </c>
      <c r="P73" t="s">
        <v>6</v>
      </c>
      <c r="Q73">
        <v>-0.183883568253254</v>
      </c>
      <c r="R73" t="s">
        <v>7</v>
      </c>
      <c r="S73">
        <v>-1.35208506068569E-3</v>
      </c>
      <c r="T73" t="s">
        <v>8</v>
      </c>
      <c r="U73">
        <v>1.46114285714285</v>
      </c>
      <c r="V73" t="s">
        <v>9</v>
      </c>
      <c r="W73">
        <v>-0.50815726305201203</v>
      </c>
      <c r="X73" t="s">
        <v>10</v>
      </c>
      <c r="Y73">
        <v>0.210443340146968</v>
      </c>
      <c r="Z73" t="s">
        <v>11</v>
      </c>
      <c r="AA73" t="s">
        <v>732</v>
      </c>
      <c r="AB73" t="s">
        <v>733</v>
      </c>
      <c r="AC73">
        <v>0</v>
      </c>
      <c r="AD73" t="s">
        <v>14</v>
      </c>
      <c r="AE73" t="s">
        <v>15</v>
      </c>
      <c r="AF73" t="s">
        <v>732</v>
      </c>
      <c r="AG73" t="s">
        <v>733</v>
      </c>
      <c r="AH73">
        <v>0</v>
      </c>
      <c r="AI73" t="s">
        <v>18</v>
      </c>
    </row>
    <row r="74" spans="1:35" x14ac:dyDescent="0.3">
      <c r="A74" t="str">
        <f>_xlfn.TEXTJOIN(", ", FALSE, C74,D74,E74,F74,G74,H74,I74,J74)</f>
        <v>rsi_{'C',  [('number', 5,  1),  ('number', 7.5,  -1)]}_[7,  35]_3</v>
      </c>
      <c r="B74" t="s">
        <v>1071</v>
      </c>
      <c r="C74" t="s">
        <v>221</v>
      </c>
      <c r="D74" t="s">
        <v>587</v>
      </c>
      <c r="E74">
        <v>5</v>
      </c>
      <c r="F74" t="s">
        <v>588</v>
      </c>
      <c r="G74" t="s">
        <v>589</v>
      </c>
      <c r="H74">
        <v>7.5</v>
      </c>
      <c r="I74" t="s">
        <v>590</v>
      </c>
      <c r="J74" t="s">
        <v>23</v>
      </c>
      <c r="K74" t="s">
        <v>4</v>
      </c>
      <c r="L74">
        <v>35</v>
      </c>
      <c r="M74" t="s">
        <v>5</v>
      </c>
      <c r="N74">
        <v>9</v>
      </c>
      <c r="O74" s="2">
        <f>N74/L74</f>
        <v>0.25714285714285712</v>
      </c>
      <c r="P74" t="s">
        <v>6</v>
      </c>
      <c r="Q74">
        <v>-0.35999999999997501</v>
      </c>
      <c r="R74" t="s">
        <v>7</v>
      </c>
      <c r="S74">
        <v>-1.0285714285713499E-2</v>
      </c>
      <c r="T74" t="s">
        <v>8</v>
      </c>
      <c r="U74">
        <v>1.5933333333333299</v>
      </c>
      <c r="V74" t="s">
        <v>9</v>
      </c>
      <c r="W74">
        <v>-0.56538461538461404</v>
      </c>
      <c r="X74" t="s">
        <v>10</v>
      </c>
      <c r="Y74">
        <v>8.2355705383060501E-2</v>
      </c>
      <c r="Z74" t="s">
        <v>11</v>
      </c>
      <c r="AA74" t="s">
        <v>686</v>
      </c>
      <c r="AB74" t="s">
        <v>675</v>
      </c>
      <c r="AC74">
        <v>0</v>
      </c>
      <c r="AD74" t="s">
        <v>14</v>
      </c>
      <c r="AE74" t="s">
        <v>15</v>
      </c>
      <c r="AF74" t="s">
        <v>686</v>
      </c>
      <c r="AG74" t="s">
        <v>675</v>
      </c>
      <c r="AH74">
        <v>0</v>
      </c>
      <c r="AI74" t="s">
        <v>18</v>
      </c>
    </row>
    <row r="75" spans="1:35" x14ac:dyDescent="0.3">
      <c r="A75" t="str">
        <f>_xlfn.TEXTJOIN(", ", FALSE, C75,D75,E75,F75,G75,H75,I75,J75)</f>
        <v>rsi_{'C',  [('number', 5,  1),  ('number', 7.5,  -1)]}_[7,  35]_4</v>
      </c>
      <c r="B75" t="s">
        <v>1072</v>
      </c>
      <c r="C75" t="s">
        <v>221</v>
      </c>
      <c r="D75" t="s">
        <v>587</v>
      </c>
      <c r="E75">
        <v>5</v>
      </c>
      <c r="F75" t="s">
        <v>588</v>
      </c>
      <c r="G75" t="s">
        <v>589</v>
      </c>
      <c r="H75">
        <v>7.5</v>
      </c>
      <c r="I75" t="s">
        <v>590</v>
      </c>
      <c r="J75" t="s">
        <v>26</v>
      </c>
      <c r="K75" t="s">
        <v>4</v>
      </c>
      <c r="L75">
        <v>35</v>
      </c>
      <c r="M75" t="s">
        <v>5</v>
      </c>
      <c r="N75">
        <v>9</v>
      </c>
      <c r="O75" s="2">
        <f>N75/L75</f>
        <v>0.25714285714285712</v>
      </c>
      <c r="P75" t="s">
        <v>6</v>
      </c>
      <c r="Q75">
        <v>-0.35999999999997501</v>
      </c>
      <c r="R75" t="s">
        <v>7</v>
      </c>
      <c r="S75">
        <v>-1.0285714285713499E-2</v>
      </c>
      <c r="T75" t="s">
        <v>8</v>
      </c>
      <c r="U75">
        <v>1.5933333333333299</v>
      </c>
      <c r="V75" t="s">
        <v>9</v>
      </c>
      <c r="W75">
        <v>-0.56538461538461404</v>
      </c>
      <c r="X75" t="s">
        <v>10</v>
      </c>
      <c r="Y75">
        <v>8.2355705383060501E-2</v>
      </c>
      <c r="Z75" t="s">
        <v>11</v>
      </c>
      <c r="AA75" t="s">
        <v>686</v>
      </c>
      <c r="AB75" t="s">
        <v>675</v>
      </c>
      <c r="AC75">
        <v>0</v>
      </c>
      <c r="AD75" t="s">
        <v>14</v>
      </c>
      <c r="AE75" t="s">
        <v>15</v>
      </c>
      <c r="AF75" t="s">
        <v>686</v>
      </c>
      <c r="AG75" t="s">
        <v>675</v>
      </c>
      <c r="AH75">
        <v>0</v>
      </c>
      <c r="AI75" t="s">
        <v>18</v>
      </c>
    </row>
    <row r="76" spans="1:35" x14ac:dyDescent="0.3">
      <c r="A76" t="str">
        <f>_xlfn.TEXTJOIN(", ", FALSE, C76,D76,E76,F76,G76,H76,I76,J76)</f>
        <v>rsi_{'C',  [('number', 5,  1),  ('number', 7.5,  -1)]}_[7,  35]_1</v>
      </c>
      <c r="B76" t="s">
        <v>1069</v>
      </c>
      <c r="C76" t="s">
        <v>221</v>
      </c>
      <c r="D76" t="s">
        <v>587</v>
      </c>
      <c r="E76">
        <v>5</v>
      </c>
      <c r="F76" t="s">
        <v>588</v>
      </c>
      <c r="G76" t="s">
        <v>589</v>
      </c>
      <c r="H76">
        <v>7.5</v>
      </c>
      <c r="I76" t="s">
        <v>590</v>
      </c>
      <c r="J76" t="s">
        <v>3</v>
      </c>
      <c r="K76" t="s">
        <v>4</v>
      </c>
      <c r="L76">
        <v>35</v>
      </c>
      <c r="M76" t="s">
        <v>5</v>
      </c>
      <c r="N76">
        <v>13</v>
      </c>
      <c r="O76" s="2">
        <f>N76/L76</f>
        <v>0.37142857142857144</v>
      </c>
      <c r="P76" t="s">
        <v>6</v>
      </c>
      <c r="Q76">
        <v>-0.39999999999999702</v>
      </c>
      <c r="R76" t="s">
        <v>7</v>
      </c>
      <c r="S76">
        <v>-1.14285714285713E-2</v>
      </c>
      <c r="T76" t="s">
        <v>8</v>
      </c>
      <c r="U76">
        <v>0.94461538461538397</v>
      </c>
      <c r="V76" t="s">
        <v>9</v>
      </c>
      <c r="W76">
        <v>-0.57636363636363597</v>
      </c>
      <c r="X76" t="s">
        <v>10</v>
      </c>
      <c r="Y76">
        <v>6.0532012916592597E-2</v>
      </c>
      <c r="Z76" t="s">
        <v>11</v>
      </c>
      <c r="AA76" t="s">
        <v>788</v>
      </c>
      <c r="AB76" t="s">
        <v>772</v>
      </c>
      <c r="AC76">
        <v>0</v>
      </c>
      <c r="AD76" t="s">
        <v>14</v>
      </c>
      <c r="AE76" t="s">
        <v>15</v>
      </c>
      <c r="AF76" t="s">
        <v>789</v>
      </c>
      <c r="AG76" t="s">
        <v>774</v>
      </c>
      <c r="AH76">
        <v>0</v>
      </c>
      <c r="AI76" t="s">
        <v>18</v>
      </c>
    </row>
    <row r="77" spans="1:35" x14ac:dyDescent="0.3">
      <c r="A77" t="str">
        <f>_xlfn.TEXTJOIN(", ", FALSE, C77,D77,E77,F77,G77,H77,I77,J77)</f>
        <v>stoch_{'C',  [('number', 2.5,  1),  ('number', 5,  -1)]}_[21,  49]_1</v>
      </c>
      <c r="B77" t="s">
        <v>1104</v>
      </c>
      <c r="C77" t="s">
        <v>262</v>
      </c>
      <c r="D77" t="s">
        <v>587</v>
      </c>
      <c r="E77">
        <v>2.5</v>
      </c>
      <c r="F77" t="s">
        <v>588</v>
      </c>
      <c r="G77" t="s">
        <v>589</v>
      </c>
      <c r="H77">
        <v>5</v>
      </c>
      <c r="I77" t="s">
        <v>599</v>
      </c>
      <c r="J77" t="s">
        <v>28</v>
      </c>
      <c r="K77" t="s">
        <v>4</v>
      </c>
      <c r="L77">
        <v>230</v>
      </c>
      <c r="M77" t="s">
        <v>5</v>
      </c>
      <c r="N77">
        <v>85</v>
      </c>
      <c r="O77" s="2">
        <f>N77/L77</f>
        <v>0.36956521739130432</v>
      </c>
      <c r="P77" t="s">
        <v>6</v>
      </c>
      <c r="Q77">
        <v>-0.46049637494519002</v>
      </c>
      <c r="R77" t="s">
        <v>7</v>
      </c>
      <c r="S77">
        <v>-2.0021581519356099E-3</v>
      </c>
      <c r="T77" t="s">
        <v>8</v>
      </c>
      <c r="U77">
        <v>1.1267000426477001</v>
      </c>
      <c r="V77" t="s">
        <v>9</v>
      </c>
      <c r="W77">
        <v>-0.66365517241379202</v>
      </c>
      <c r="X77" t="s">
        <v>10</v>
      </c>
      <c r="Y77">
        <v>0.27263447388336498</v>
      </c>
      <c r="Z77" t="s">
        <v>11</v>
      </c>
      <c r="AA77" t="s">
        <v>820</v>
      </c>
      <c r="AB77" t="s">
        <v>821</v>
      </c>
      <c r="AC77">
        <v>0</v>
      </c>
      <c r="AD77" t="s">
        <v>14</v>
      </c>
      <c r="AE77" t="s">
        <v>15</v>
      </c>
      <c r="AF77" t="s">
        <v>822</v>
      </c>
      <c r="AG77" t="s">
        <v>823</v>
      </c>
      <c r="AH77">
        <v>0</v>
      </c>
      <c r="AI77" t="s">
        <v>18</v>
      </c>
    </row>
    <row r="78" spans="1:35" x14ac:dyDescent="0.3">
      <c r="A78" t="str">
        <f>_xlfn.TEXTJOIN(", ", FALSE, C78,D78,E78,F78,G78,H78,I78,J78)</f>
        <v>psar_no_highvol_{'C',  [('number', 7.5,  1),  ('number', 10,  -1)]}_[21,  49]_4</v>
      </c>
      <c r="B78" t="s">
        <v>1040</v>
      </c>
      <c r="C78" t="s">
        <v>175</v>
      </c>
      <c r="D78" t="s">
        <v>587</v>
      </c>
      <c r="E78">
        <v>7.5</v>
      </c>
      <c r="F78" t="s">
        <v>588</v>
      </c>
      <c r="G78" t="s">
        <v>589</v>
      </c>
      <c r="H78">
        <v>10</v>
      </c>
      <c r="I78" t="s">
        <v>599</v>
      </c>
      <c r="J78" t="s">
        <v>36</v>
      </c>
      <c r="K78" t="s">
        <v>4</v>
      </c>
      <c r="L78">
        <v>98</v>
      </c>
      <c r="M78" t="s">
        <v>5</v>
      </c>
      <c r="N78">
        <v>15</v>
      </c>
      <c r="O78" s="2">
        <f>N78/L78</f>
        <v>0.15306122448979592</v>
      </c>
      <c r="P78" t="s">
        <v>6</v>
      </c>
      <c r="Q78">
        <v>-0.60999999999998999</v>
      </c>
      <c r="R78" t="s">
        <v>7</v>
      </c>
      <c r="S78">
        <v>-6.2244897959182702E-3</v>
      </c>
      <c r="T78" t="s">
        <v>8</v>
      </c>
      <c r="U78">
        <v>1.8453333333333299</v>
      </c>
      <c r="V78" t="s">
        <v>9</v>
      </c>
      <c r="W78">
        <v>-0.34084337349397598</v>
      </c>
      <c r="X78" t="s">
        <v>10</v>
      </c>
      <c r="Y78">
        <v>0.11339149295855799</v>
      </c>
      <c r="Z78" t="s">
        <v>11</v>
      </c>
      <c r="AA78" t="s">
        <v>765</v>
      </c>
      <c r="AB78" t="s">
        <v>183</v>
      </c>
      <c r="AC78">
        <v>0</v>
      </c>
      <c r="AD78" t="s">
        <v>14</v>
      </c>
      <c r="AE78" t="s">
        <v>15</v>
      </c>
      <c r="AF78" t="s">
        <v>765</v>
      </c>
      <c r="AG78" t="s">
        <v>183</v>
      </c>
      <c r="AH78">
        <v>0</v>
      </c>
      <c r="AI78" t="s">
        <v>18</v>
      </c>
    </row>
    <row r="79" spans="1:35" x14ac:dyDescent="0.3">
      <c r="A79" t="str">
        <f>_xlfn.TEXTJOIN(", ", FALSE, C79,D79,E79,F79,G79,H79,I79,J79)</f>
        <v>psar_no_highvol_{'C',  [('number', 7.5,  1),  ('number', 10,  -1)]}_[21,  49]_3</v>
      </c>
      <c r="B79" t="s">
        <v>1039</v>
      </c>
      <c r="C79" t="s">
        <v>175</v>
      </c>
      <c r="D79" t="s">
        <v>587</v>
      </c>
      <c r="E79">
        <v>7.5</v>
      </c>
      <c r="F79" t="s">
        <v>588</v>
      </c>
      <c r="G79" t="s">
        <v>589</v>
      </c>
      <c r="H79">
        <v>10</v>
      </c>
      <c r="I79" t="s">
        <v>599</v>
      </c>
      <c r="J79" t="s">
        <v>33</v>
      </c>
      <c r="K79" t="s">
        <v>4</v>
      </c>
      <c r="L79">
        <v>98</v>
      </c>
      <c r="M79" t="s">
        <v>5</v>
      </c>
      <c r="N79">
        <v>17</v>
      </c>
      <c r="O79" s="2">
        <f>N79/L79</f>
        <v>0.17346938775510204</v>
      </c>
      <c r="P79" t="s">
        <v>6</v>
      </c>
      <c r="Q79">
        <v>-0.64000000000000601</v>
      </c>
      <c r="R79" t="s">
        <v>7</v>
      </c>
      <c r="S79">
        <v>-6.5306122448980201E-3</v>
      </c>
      <c r="T79" t="s">
        <v>8</v>
      </c>
      <c r="U79">
        <v>1.5947058823529401</v>
      </c>
      <c r="V79" t="s">
        <v>9</v>
      </c>
      <c r="W79">
        <v>-0.342592592592592</v>
      </c>
      <c r="X79" t="s">
        <v>10</v>
      </c>
      <c r="Y79">
        <v>0.107620113387144</v>
      </c>
      <c r="Z79" t="s">
        <v>11</v>
      </c>
      <c r="AA79" t="s">
        <v>765</v>
      </c>
      <c r="AB79" t="s">
        <v>183</v>
      </c>
      <c r="AC79">
        <v>0</v>
      </c>
      <c r="AD79" t="s">
        <v>14</v>
      </c>
      <c r="AE79" t="s">
        <v>15</v>
      </c>
      <c r="AF79" t="s">
        <v>765</v>
      </c>
      <c r="AG79" t="s">
        <v>183</v>
      </c>
      <c r="AH79">
        <v>0</v>
      </c>
      <c r="AI79" t="s">
        <v>18</v>
      </c>
    </row>
    <row r="80" spans="1:35" x14ac:dyDescent="0.3">
      <c r="A80" t="str">
        <f>_xlfn.TEXTJOIN(", ", FALSE, C80,D80,E80,F80,G80,H80,I80,J80)</f>
        <v>rsi_{'C',  [('number', 5,  1),  ('number', 7.5,  -1)]}_[7,  35]_2</v>
      </c>
      <c r="B80" t="s">
        <v>1070</v>
      </c>
      <c r="C80" t="s">
        <v>221</v>
      </c>
      <c r="D80" t="s">
        <v>587</v>
      </c>
      <c r="E80">
        <v>5</v>
      </c>
      <c r="F80" t="s">
        <v>588</v>
      </c>
      <c r="G80" t="s">
        <v>589</v>
      </c>
      <c r="H80">
        <v>7.5</v>
      </c>
      <c r="I80" t="s">
        <v>590</v>
      </c>
      <c r="J80" t="s">
        <v>19</v>
      </c>
      <c r="K80" t="s">
        <v>4</v>
      </c>
      <c r="L80">
        <v>35</v>
      </c>
      <c r="M80" t="s">
        <v>5</v>
      </c>
      <c r="N80">
        <v>9</v>
      </c>
      <c r="O80" s="2">
        <f>N80/L80</f>
        <v>0.25714285714285712</v>
      </c>
      <c r="P80" t="s">
        <v>6</v>
      </c>
      <c r="Q80">
        <v>-0.67999999999996796</v>
      </c>
      <c r="R80" t="s">
        <v>7</v>
      </c>
      <c r="S80">
        <v>-1.9428571428570501E-2</v>
      </c>
      <c r="T80" t="s">
        <v>8</v>
      </c>
      <c r="U80">
        <v>1.5577777777777699</v>
      </c>
      <c r="V80" t="s">
        <v>9</v>
      </c>
      <c r="W80">
        <v>-0.56538461538461404</v>
      </c>
      <c r="X80" t="s">
        <v>10</v>
      </c>
      <c r="Y80">
        <v>8.0927295727535098E-2</v>
      </c>
      <c r="Z80" t="s">
        <v>11</v>
      </c>
      <c r="AA80" t="s">
        <v>686</v>
      </c>
      <c r="AB80" t="s">
        <v>675</v>
      </c>
      <c r="AC80">
        <v>0</v>
      </c>
      <c r="AD80" t="s">
        <v>14</v>
      </c>
      <c r="AE80" t="s">
        <v>15</v>
      </c>
      <c r="AF80" t="s">
        <v>686</v>
      </c>
      <c r="AG80" t="s">
        <v>675</v>
      </c>
      <c r="AH80">
        <v>0</v>
      </c>
      <c r="AI80" t="s">
        <v>18</v>
      </c>
    </row>
    <row r="81" spans="1:35" x14ac:dyDescent="0.3">
      <c r="A81" t="str">
        <f>_xlfn.TEXTJOIN(", ", FALSE, C81,D81,E81,F81,G81,H81,I81,J81)</f>
        <v>psar_{'C',  [('number', 7.5,  1),  ('number', 10,  -1)]}_[7,  35]_3</v>
      </c>
      <c r="B81" t="s">
        <v>987</v>
      </c>
      <c r="C81" t="s">
        <v>134</v>
      </c>
      <c r="D81" t="s">
        <v>587</v>
      </c>
      <c r="E81">
        <v>7.5</v>
      </c>
      <c r="F81" t="s">
        <v>588</v>
      </c>
      <c r="G81" t="s">
        <v>589</v>
      </c>
      <c r="H81">
        <v>10</v>
      </c>
      <c r="I81" t="s">
        <v>590</v>
      </c>
      <c r="J81" t="s">
        <v>23</v>
      </c>
      <c r="K81" t="s">
        <v>4</v>
      </c>
      <c r="L81">
        <v>140</v>
      </c>
      <c r="M81" t="s">
        <v>5</v>
      </c>
      <c r="N81">
        <v>23</v>
      </c>
      <c r="O81" s="2">
        <f>N81/L81</f>
        <v>0.16428571428571428</v>
      </c>
      <c r="P81" t="s">
        <v>6</v>
      </c>
      <c r="Q81">
        <v>-0.77999999999998404</v>
      </c>
      <c r="R81" t="s">
        <v>7</v>
      </c>
      <c r="S81">
        <v>-5.5714285714284599E-3</v>
      </c>
      <c r="T81" t="s">
        <v>8</v>
      </c>
      <c r="U81">
        <v>1.2486956521739101</v>
      </c>
      <c r="V81" t="s">
        <v>9</v>
      </c>
      <c r="W81">
        <v>-0.25213675213675202</v>
      </c>
      <c r="X81" t="s">
        <v>10</v>
      </c>
      <c r="Y81">
        <v>0.13671293436592599</v>
      </c>
      <c r="Z81" t="s">
        <v>11</v>
      </c>
      <c r="AA81" t="s">
        <v>741</v>
      </c>
      <c r="AB81" t="s">
        <v>742</v>
      </c>
      <c r="AC81">
        <v>0</v>
      </c>
      <c r="AD81" t="s">
        <v>14</v>
      </c>
      <c r="AE81" t="s">
        <v>15</v>
      </c>
      <c r="AF81" t="s">
        <v>741</v>
      </c>
      <c r="AG81" t="s">
        <v>742</v>
      </c>
      <c r="AH81">
        <v>0</v>
      </c>
      <c r="AI81" t="s">
        <v>18</v>
      </c>
    </row>
    <row r="82" spans="1:35" x14ac:dyDescent="0.3">
      <c r="A82" t="str">
        <f>_xlfn.TEXTJOIN(", ", FALSE, C82,D82,E82,F82,G82,H82,I82,J82)</f>
        <v>psar_no_highvol_{'C',  [('number', 0,  1),  ('number', 2.5,  -1)]}_[35,  70]_1</v>
      </c>
      <c r="B82" t="s">
        <v>1005</v>
      </c>
      <c r="C82" t="s">
        <v>175</v>
      </c>
      <c r="D82" t="s">
        <v>587</v>
      </c>
      <c r="E82">
        <v>0</v>
      </c>
      <c r="F82" t="s">
        <v>588</v>
      </c>
      <c r="G82" t="s">
        <v>589</v>
      </c>
      <c r="H82">
        <v>2.5</v>
      </c>
      <c r="I82" t="s">
        <v>605</v>
      </c>
      <c r="J82" t="s">
        <v>38</v>
      </c>
      <c r="K82" t="s">
        <v>4</v>
      </c>
      <c r="L82">
        <v>130</v>
      </c>
      <c r="M82" t="s">
        <v>5</v>
      </c>
      <c r="N82">
        <v>51</v>
      </c>
      <c r="O82" s="2">
        <f>N82/L82</f>
        <v>0.3923076923076923</v>
      </c>
      <c r="P82" t="s">
        <v>6</v>
      </c>
      <c r="Q82">
        <v>-0.80401039142705599</v>
      </c>
      <c r="R82" t="s">
        <v>7</v>
      </c>
      <c r="S82">
        <v>-6.1846953186696597E-3</v>
      </c>
      <c r="T82" t="s">
        <v>8</v>
      </c>
      <c r="U82">
        <v>1.23882352941176</v>
      </c>
      <c r="V82" t="s">
        <v>9</v>
      </c>
      <c r="W82">
        <v>-0.80992418216996298</v>
      </c>
      <c r="X82" t="s">
        <v>10</v>
      </c>
      <c r="Y82">
        <v>0.195794415202723</v>
      </c>
      <c r="Z82" t="s">
        <v>11</v>
      </c>
      <c r="AA82" t="s">
        <v>753</v>
      </c>
      <c r="AB82" t="s">
        <v>754</v>
      </c>
    </row>
    <row r="83" spans="1:35" x14ac:dyDescent="0.3">
      <c r="A83" t="str">
        <f>_xlfn.TEXTJOIN(", ", FALSE, C83,D83,E83,F83,G83,H83,I83,J83)</f>
        <v>rsi_{'C',  [('number', 5,  1),  ('number', 7.5,  -1)]}_[21,  49]_1</v>
      </c>
      <c r="B83" t="s">
        <v>1073</v>
      </c>
      <c r="C83" t="s">
        <v>221</v>
      </c>
      <c r="D83" t="s">
        <v>587</v>
      </c>
      <c r="E83">
        <v>5</v>
      </c>
      <c r="F83" t="s">
        <v>588</v>
      </c>
      <c r="G83" t="s">
        <v>589</v>
      </c>
      <c r="H83">
        <v>7.5</v>
      </c>
      <c r="I83" t="s">
        <v>599</v>
      </c>
      <c r="J83" t="s">
        <v>28</v>
      </c>
      <c r="K83" t="s">
        <v>4</v>
      </c>
      <c r="L83">
        <v>33</v>
      </c>
      <c r="M83" t="s">
        <v>5</v>
      </c>
      <c r="N83">
        <v>13</v>
      </c>
      <c r="O83" s="2">
        <f>N83/L83</f>
        <v>0.39393939393939392</v>
      </c>
      <c r="P83" t="s">
        <v>6</v>
      </c>
      <c r="Q83">
        <v>-0.84</v>
      </c>
      <c r="R83" t="s">
        <v>7</v>
      </c>
      <c r="S83">
        <v>-2.54545454545454E-2</v>
      </c>
      <c r="T83" t="s">
        <v>8</v>
      </c>
      <c r="U83">
        <v>0.93384615384615299</v>
      </c>
      <c r="V83" t="s">
        <v>9</v>
      </c>
      <c r="W83">
        <v>-0.64899999999999902</v>
      </c>
      <c r="X83" t="s">
        <v>10</v>
      </c>
      <c r="Y83">
        <v>6.6247907886067103E-2</v>
      </c>
      <c r="Z83" t="s">
        <v>11</v>
      </c>
      <c r="AA83" t="s">
        <v>790</v>
      </c>
      <c r="AB83" t="s">
        <v>614</v>
      </c>
      <c r="AC83">
        <v>0</v>
      </c>
      <c r="AD83" t="s">
        <v>14</v>
      </c>
      <c r="AE83" t="s">
        <v>15</v>
      </c>
      <c r="AF83" t="s">
        <v>791</v>
      </c>
      <c r="AG83" t="s">
        <v>777</v>
      </c>
      <c r="AH83">
        <v>0</v>
      </c>
      <c r="AI83" t="s">
        <v>18</v>
      </c>
    </row>
    <row r="84" spans="1:35" x14ac:dyDescent="0.3">
      <c r="A84" t="str">
        <f>_xlfn.TEXTJOIN(", ", FALSE, C84,D84,E84,F84,G84,H84,I84,J84)</f>
        <v>bbands_{'C',  [('number', 2.5,  1),  ('number', 5,  -1)]}_[21,  49]_4</v>
      </c>
      <c r="B84" t="s">
        <v>920</v>
      </c>
      <c r="C84" t="s">
        <v>113</v>
      </c>
      <c r="D84" t="s">
        <v>587</v>
      </c>
      <c r="E84">
        <v>2.5</v>
      </c>
      <c r="F84" t="s">
        <v>588</v>
      </c>
      <c r="G84" t="s">
        <v>589</v>
      </c>
      <c r="H84">
        <v>5</v>
      </c>
      <c r="I84" t="s">
        <v>599</v>
      </c>
      <c r="J84" t="s">
        <v>36</v>
      </c>
      <c r="K84" t="s">
        <v>4</v>
      </c>
      <c r="L84">
        <v>200</v>
      </c>
      <c r="M84" t="s">
        <v>5</v>
      </c>
      <c r="N84">
        <v>66</v>
      </c>
      <c r="O84" s="2">
        <f>N84/L84</f>
        <v>0.33</v>
      </c>
      <c r="P84" t="s">
        <v>6</v>
      </c>
      <c r="Q84">
        <v>-0.87922147278965701</v>
      </c>
      <c r="R84" t="s">
        <v>7</v>
      </c>
      <c r="S84">
        <v>-4.3961073639482802E-3</v>
      </c>
      <c r="T84" t="s">
        <v>8</v>
      </c>
      <c r="U84">
        <v>1.4073095205736901</v>
      </c>
      <c r="V84" t="s">
        <v>9</v>
      </c>
      <c r="W84">
        <v>-0.69971380470637101</v>
      </c>
      <c r="X84" t="s">
        <v>10</v>
      </c>
      <c r="Y84">
        <v>0.35666941431864602</v>
      </c>
      <c r="Z84" t="s">
        <v>11</v>
      </c>
      <c r="AA84" t="s">
        <v>678</v>
      </c>
      <c r="AB84" t="s">
        <v>679</v>
      </c>
      <c r="AC84">
        <v>0</v>
      </c>
      <c r="AD84" t="s">
        <v>14</v>
      </c>
      <c r="AE84" t="s">
        <v>15</v>
      </c>
      <c r="AF84" t="s">
        <v>680</v>
      </c>
      <c r="AG84" t="s">
        <v>679</v>
      </c>
      <c r="AH84">
        <v>0</v>
      </c>
      <c r="AI84" t="s">
        <v>18</v>
      </c>
    </row>
    <row r="85" spans="1:35" x14ac:dyDescent="0.3">
      <c r="A85" t="str">
        <f>_xlfn.TEXTJOIN(", ", FALSE, C85,D85,E85,F85,G85,H85,I85,J85)</f>
        <v>psar_{'C',  [('number', 5,  1),  ('number', 7.5,  -1)]}_[7,  35]_3</v>
      </c>
      <c r="B85" t="s">
        <v>975</v>
      </c>
      <c r="C85" t="s">
        <v>134</v>
      </c>
      <c r="D85" t="s">
        <v>587</v>
      </c>
      <c r="E85">
        <v>5</v>
      </c>
      <c r="F85" t="s">
        <v>588</v>
      </c>
      <c r="G85" t="s">
        <v>589</v>
      </c>
      <c r="H85">
        <v>7.5</v>
      </c>
      <c r="I85" t="s">
        <v>590</v>
      </c>
      <c r="J85" t="s">
        <v>23</v>
      </c>
      <c r="K85" t="s">
        <v>4</v>
      </c>
      <c r="L85">
        <v>140</v>
      </c>
      <c r="M85" t="s">
        <v>5</v>
      </c>
      <c r="N85">
        <v>29</v>
      </c>
      <c r="O85" s="2">
        <f>N85/L85</f>
        <v>0.20714285714285716</v>
      </c>
      <c r="P85" t="s">
        <v>6</v>
      </c>
      <c r="Q85">
        <v>-0.91999999999994297</v>
      </c>
      <c r="R85" t="s">
        <v>7</v>
      </c>
      <c r="S85">
        <v>-6.5714285714281702E-3</v>
      </c>
      <c r="T85" t="s">
        <v>8</v>
      </c>
      <c r="U85">
        <v>1.49344827586207</v>
      </c>
      <c r="V85" t="s">
        <v>9</v>
      </c>
      <c r="W85">
        <v>-0.39846846846846801</v>
      </c>
      <c r="X85" t="s">
        <v>10</v>
      </c>
      <c r="Y85">
        <v>0.17167388490145399</v>
      </c>
      <c r="Z85" t="s">
        <v>11</v>
      </c>
      <c r="AA85" t="s">
        <v>728</v>
      </c>
      <c r="AB85" t="s">
        <v>729</v>
      </c>
      <c r="AC85">
        <v>0</v>
      </c>
      <c r="AD85" t="s">
        <v>14</v>
      </c>
      <c r="AE85" t="s">
        <v>15</v>
      </c>
      <c r="AF85" t="s">
        <v>728</v>
      </c>
      <c r="AG85" t="s">
        <v>729</v>
      </c>
      <c r="AH85">
        <v>0</v>
      </c>
      <c r="AI85" t="s">
        <v>18</v>
      </c>
    </row>
    <row r="86" spans="1:35" x14ac:dyDescent="0.3">
      <c r="A86" t="str">
        <f>_xlfn.TEXTJOIN(", ", FALSE, C86,D86,E86,F86,G86,H86,I86,J86)</f>
        <v>rsi_{'C',  [('number', 7.5,  1),  ('number', 10,  -1)]}_[7,  35]_1</v>
      </c>
      <c r="B86" t="s">
        <v>1081</v>
      </c>
      <c r="C86" t="s">
        <v>221</v>
      </c>
      <c r="D86" t="s">
        <v>587</v>
      </c>
      <c r="E86">
        <v>7.5</v>
      </c>
      <c r="F86" t="s">
        <v>588</v>
      </c>
      <c r="G86" t="s">
        <v>589</v>
      </c>
      <c r="H86">
        <v>10</v>
      </c>
      <c r="I86" t="s">
        <v>590</v>
      </c>
      <c r="J86" t="s">
        <v>3</v>
      </c>
      <c r="K86" t="s">
        <v>4</v>
      </c>
      <c r="L86">
        <v>35</v>
      </c>
      <c r="M86" t="s">
        <v>5</v>
      </c>
      <c r="N86">
        <v>11</v>
      </c>
      <c r="O86" s="2">
        <f>N86/L86</f>
        <v>0.31428571428571428</v>
      </c>
      <c r="P86" t="s">
        <v>6</v>
      </c>
      <c r="Q86">
        <v>-1.07</v>
      </c>
      <c r="R86" t="s">
        <v>7</v>
      </c>
      <c r="S86">
        <v>-3.0571428571428499E-2</v>
      </c>
      <c r="T86" t="s">
        <v>8</v>
      </c>
      <c r="U86">
        <v>0.73818181818181805</v>
      </c>
      <c r="V86" t="s">
        <v>9</v>
      </c>
      <c r="W86">
        <v>-0.38291666666666602</v>
      </c>
      <c r="X86" t="s">
        <v>10</v>
      </c>
      <c r="Y86">
        <v>4.1255586141414703E-2</v>
      </c>
      <c r="Z86" t="s">
        <v>11</v>
      </c>
      <c r="AA86" t="s">
        <v>799</v>
      </c>
      <c r="AB86" t="s">
        <v>772</v>
      </c>
      <c r="AC86">
        <v>0</v>
      </c>
      <c r="AD86" t="s">
        <v>14</v>
      </c>
      <c r="AE86" t="s">
        <v>15</v>
      </c>
      <c r="AF86" t="s">
        <v>800</v>
      </c>
      <c r="AG86" t="s">
        <v>774</v>
      </c>
      <c r="AH86">
        <v>0</v>
      </c>
      <c r="AI86" t="s">
        <v>18</v>
      </c>
    </row>
    <row r="87" spans="1:35" x14ac:dyDescent="0.3">
      <c r="A87" t="str">
        <f>_xlfn.TEXTJOIN(", ", FALSE, C87,D87,E87,F87,G87,H87,I87,J87)</f>
        <v>bbands_{'C',  [('number', 2.5,  1),  ('number', 5,  -1)]}_[35,  70]_3</v>
      </c>
      <c r="B87" t="s">
        <v>923</v>
      </c>
      <c r="C87" t="s">
        <v>113</v>
      </c>
      <c r="D87" t="s">
        <v>587</v>
      </c>
      <c r="E87">
        <v>2.5</v>
      </c>
      <c r="F87" t="s">
        <v>588</v>
      </c>
      <c r="G87" t="s">
        <v>589</v>
      </c>
      <c r="H87">
        <v>5</v>
      </c>
      <c r="I87" t="s">
        <v>605</v>
      </c>
      <c r="J87" t="s">
        <v>42</v>
      </c>
      <c r="K87" t="s">
        <v>4</v>
      </c>
      <c r="L87">
        <v>247</v>
      </c>
      <c r="M87" t="s">
        <v>5</v>
      </c>
      <c r="N87">
        <v>81</v>
      </c>
      <c r="O87" s="2">
        <f>N87/L87</f>
        <v>0.32793522267206476</v>
      </c>
      <c r="P87" t="s">
        <v>6</v>
      </c>
      <c r="Q87">
        <v>-1.0884293909368801</v>
      </c>
      <c r="R87" t="s">
        <v>7</v>
      </c>
      <c r="S87">
        <v>-4.4065967244408099E-3</v>
      </c>
      <c r="T87" t="s">
        <v>8</v>
      </c>
      <c r="U87">
        <v>1.63493503371936</v>
      </c>
      <c r="V87" t="s">
        <v>9</v>
      </c>
      <c r="W87">
        <v>-0.80432630796509197</v>
      </c>
      <c r="X87" t="s">
        <v>10</v>
      </c>
      <c r="Y87">
        <v>0.42177332826319502</v>
      </c>
      <c r="Z87" t="s">
        <v>11</v>
      </c>
      <c r="AA87" t="s">
        <v>678</v>
      </c>
      <c r="AB87" t="s">
        <v>679</v>
      </c>
      <c r="AC87">
        <v>0</v>
      </c>
      <c r="AD87" t="s">
        <v>14</v>
      </c>
      <c r="AE87" t="s">
        <v>15</v>
      </c>
      <c r="AF87" t="s">
        <v>676</v>
      </c>
      <c r="AG87" t="s">
        <v>677</v>
      </c>
      <c r="AH87">
        <v>0</v>
      </c>
      <c r="AI87" t="s">
        <v>18</v>
      </c>
    </row>
    <row r="88" spans="1:35" x14ac:dyDescent="0.3">
      <c r="A88" t="str">
        <f>_xlfn.TEXTJOIN(", ", FALSE, C88,D88,E88,F88,G88,H88,I88,J88)</f>
        <v>rsi_{'C',  [('number', 5,  1),  ('number', 7.5,  -1)]}_[35,  70]_3</v>
      </c>
      <c r="B88" t="s">
        <v>1079</v>
      </c>
      <c r="C88" t="s">
        <v>221</v>
      </c>
      <c r="D88" t="s">
        <v>587</v>
      </c>
      <c r="E88">
        <v>5</v>
      </c>
      <c r="F88" t="s">
        <v>588</v>
      </c>
      <c r="G88" t="s">
        <v>589</v>
      </c>
      <c r="H88">
        <v>7.5</v>
      </c>
      <c r="I88" t="s">
        <v>605</v>
      </c>
      <c r="J88" t="s">
        <v>42</v>
      </c>
      <c r="K88" t="s">
        <v>4</v>
      </c>
      <c r="L88">
        <v>40</v>
      </c>
      <c r="M88" t="s">
        <v>5</v>
      </c>
      <c r="N88">
        <v>11</v>
      </c>
      <c r="O88" s="2">
        <f>N88/L88</f>
        <v>0.27500000000000002</v>
      </c>
      <c r="P88" t="s">
        <v>6</v>
      </c>
      <c r="Q88">
        <v>-1.3254747848154</v>
      </c>
      <c r="R88" t="s">
        <v>7</v>
      </c>
      <c r="S88">
        <v>-3.3136869620385201E-2</v>
      </c>
      <c r="T88" t="s">
        <v>8</v>
      </c>
      <c r="U88">
        <v>1.5554545454545401</v>
      </c>
      <c r="V88" t="s">
        <v>9</v>
      </c>
      <c r="W88">
        <v>-0.63570602706259904</v>
      </c>
      <c r="X88" t="s">
        <v>10</v>
      </c>
      <c r="Y88">
        <v>0.11011021211831901</v>
      </c>
      <c r="Z88" t="s">
        <v>11</v>
      </c>
      <c r="AA88" t="s">
        <v>708</v>
      </c>
      <c r="AB88" t="s">
        <v>601</v>
      </c>
      <c r="AC88">
        <v>0</v>
      </c>
      <c r="AD88" t="s">
        <v>14</v>
      </c>
      <c r="AE88" t="s">
        <v>15</v>
      </c>
      <c r="AF88" t="s">
        <v>796</v>
      </c>
      <c r="AG88" t="s">
        <v>601</v>
      </c>
      <c r="AH88">
        <v>0</v>
      </c>
      <c r="AI88" t="s">
        <v>18</v>
      </c>
    </row>
    <row r="89" spans="1:35" x14ac:dyDescent="0.3">
      <c r="A89" t="str">
        <f>_xlfn.TEXTJOIN(", ", FALSE, C89,D89,E89,F89,G89,H89,I89,J89)</f>
        <v>psar_{'C',  [('number', 7.5,  1),  ('number', 10,  -1)]}_[35,  70]_3</v>
      </c>
      <c r="B89" t="s">
        <v>995</v>
      </c>
      <c r="C89" t="s">
        <v>134</v>
      </c>
      <c r="D89" t="s">
        <v>587</v>
      </c>
      <c r="E89">
        <v>7.5</v>
      </c>
      <c r="F89" t="s">
        <v>588</v>
      </c>
      <c r="G89" t="s">
        <v>589</v>
      </c>
      <c r="H89">
        <v>10</v>
      </c>
      <c r="I89" t="s">
        <v>605</v>
      </c>
      <c r="J89" t="s">
        <v>42</v>
      </c>
      <c r="K89" t="s">
        <v>4</v>
      </c>
      <c r="L89">
        <v>177</v>
      </c>
      <c r="M89" t="s">
        <v>5</v>
      </c>
      <c r="N89">
        <v>37</v>
      </c>
      <c r="O89" s="2">
        <f>N89/L89</f>
        <v>0.20903954802259886</v>
      </c>
      <c r="P89" t="s">
        <v>6</v>
      </c>
      <c r="Q89">
        <v>-1.35045046668041</v>
      </c>
      <c r="R89" t="s">
        <v>7</v>
      </c>
      <c r="S89">
        <v>-7.6296636535616901E-3</v>
      </c>
      <c r="T89" t="s">
        <v>8</v>
      </c>
      <c r="U89">
        <v>1.8344292856284601</v>
      </c>
      <c r="V89" t="s">
        <v>9</v>
      </c>
      <c r="W89">
        <v>-0.49445952882095501</v>
      </c>
      <c r="X89" t="s">
        <v>10</v>
      </c>
      <c r="Y89">
        <v>0.24690558125173601</v>
      </c>
      <c r="Z89" t="s">
        <v>11</v>
      </c>
      <c r="AA89" t="s">
        <v>749</v>
      </c>
      <c r="AB89" t="s">
        <v>750</v>
      </c>
    </row>
    <row r="90" spans="1:35" x14ac:dyDescent="0.3">
      <c r="A90" t="str">
        <f>_xlfn.TEXTJOIN(", ", FALSE, C90,D90,E90,F90,G90,H90,I90,J90)</f>
        <v>rsi_{'C',  [('number', 7.5,  1),  ('number', 10,  -1)]}_[35,  70]_2</v>
      </c>
      <c r="B90" t="s">
        <v>1090</v>
      </c>
      <c r="C90" t="s">
        <v>221</v>
      </c>
      <c r="D90" t="s">
        <v>587</v>
      </c>
      <c r="E90">
        <v>7.5</v>
      </c>
      <c r="F90" t="s">
        <v>588</v>
      </c>
      <c r="G90" t="s">
        <v>589</v>
      </c>
      <c r="H90">
        <v>10</v>
      </c>
      <c r="I90" t="s">
        <v>605</v>
      </c>
      <c r="J90" t="s">
        <v>40</v>
      </c>
      <c r="K90" t="s">
        <v>4</v>
      </c>
      <c r="L90">
        <v>40</v>
      </c>
      <c r="M90" t="s">
        <v>5</v>
      </c>
      <c r="N90">
        <v>10</v>
      </c>
      <c r="O90" s="2">
        <f>N90/L90</f>
        <v>0.25</v>
      </c>
      <c r="P90" t="s">
        <v>6</v>
      </c>
      <c r="Q90">
        <v>-1.4992364943113199</v>
      </c>
      <c r="R90" t="s">
        <v>7</v>
      </c>
      <c r="S90">
        <v>-3.7480912357783003E-2</v>
      </c>
      <c r="T90" t="s">
        <v>8</v>
      </c>
      <c r="U90">
        <v>1.6199999999999899</v>
      </c>
      <c r="V90" t="s">
        <v>9</v>
      </c>
      <c r="W90">
        <v>-0.589974549810377</v>
      </c>
      <c r="X90" t="s">
        <v>10</v>
      </c>
      <c r="Y90">
        <v>9.8270165829273295E-2</v>
      </c>
      <c r="Z90" t="s">
        <v>11</v>
      </c>
      <c r="AA90" t="s">
        <v>806</v>
      </c>
      <c r="AB90" t="s">
        <v>807</v>
      </c>
    </row>
    <row r="91" spans="1:35" x14ac:dyDescent="0.3">
      <c r="A91" t="str">
        <f>_xlfn.TEXTJOIN(", ", FALSE, C91,D91,E91,F91,G91,H91,I91,J91)</f>
        <v>psar_no_highvol_{'C',  [('number', 7.5,  1),  ('number', 10,  -1)]}_[7,  35]_4</v>
      </c>
      <c r="B91" t="s">
        <v>1036</v>
      </c>
      <c r="C91" t="s">
        <v>175</v>
      </c>
      <c r="D91" t="s">
        <v>587</v>
      </c>
      <c r="E91">
        <v>7.5</v>
      </c>
      <c r="F91" t="s">
        <v>588</v>
      </c>
      <c r="G91" t="s">
        <v>589</v>
      </c>
      <c r="H91">
        <v>10</v>
      </c>
      <c r="I91" t="s">
        <v>590</v>
      </c>
      <c r="J91" t="s">
        <v>26</v>
      </c>
      <c r="K91" t="s">
        <v>4</v>
      </c>
      <c r="L91">
        <v>102</v>
      </c>
      <c r="M91" t="s">
        <v>5</v>
      </c>
      <c r="N91">
        <v>12</v>
      </c>
      <c r="O91" s="2">
        <f>N91/L91</f>
        <v>0.11764705882352941</v>
      </c>
      <c r="P91" t="s">
        <v>6</v>
      </c>
      <c r="Q91">
        <v>-1.64</v>
      </c>
      <c r="R91" t="s">
        <v>7</v>
      </c>
      <c r="S91">
        <v>-1.6078431372548999E-2</v>
      </c>
      <c r="T91" t="s">
        <v>8</v>
      </c>
      <c r="U91">
        <v>1.6025</v>
      </c>
      <c r="V91" t="s">
        <v>9</v>
      </c>
      <c r="W91">
        <v>-0.23188888888888801</v>
      </c>
      <c r="X91" t="s">
        <v>10</v>
      </c>
      <c r="Y91">
        <v>8.9261489648487E-2</v>
      </c>
      <c r="Z91" t="s">
        <v>11</v>
      </c>
      <c r="AA91" t="s">
        <v>764</v>
      </c>
      <c r="AB91" t="s">
        <v>160</v>
      </c>
      <c r="AC91">
        <v>0</v>
      </c>
      <c r="AD91" t="s">
        <v>14</v>
      </c>
      <c r="AE91" t="s">
        <v>15</v>
      </c>
      <c r="AF91" t="s">
        <v>764</v>
      </c>
      <c r="AG91" t="s">
        <v>160</v>
      </c>
      <c r="AH91">
        <v>0</v>
      </c>
      <c r="AI91" t="s">
        <v>18</v>
      </c>
    </row>
    <row r="92" spans="1:35" x14ac:dyDescent="0.3">
      <c r="A92" t="str">
        <f>_xlfn.TEXTJOIN(", ", FALSE, C92,D92,E92,F92,G92,H92,I92,J92)</f>
        <v>rsi_{'C',  [('number', 7.5,  1),  ('number', 10,  -1)]}_[21,  49]_1</v>
      </c>
      <c r="B92" t="s">
        <v>1085</v>
      </c>
      <c r="C92" t="s">
        <v>221</v>
      </c>
      <c r="D92" t="s">
        <v>587</v>
      </c>
      <c r="E92">
        <v>7.5</v>
      </c>
      <c r="F92" t="s">
        <v>588</v>
      </c>
      <c r="G92" t="s">
        <v>589</v>
      </c>
      <c r="H92">
        <v>10</v>
      </c>
      <c r="I92" t="s">
        <v>599</v>
      </c>
      <c r="J92" t="s">
        <v>28</v>
      </c>
      <c r="K92" t="s">
        <v>4</v>
      </c>
      <c r="L92">
        <v>33</v>
      </c>
      <c r="M92" t="s">
        <v>5</v>
      </c>
      <c r="N92">
        <v>11</v>
      </c>
      <c r="O92" s="2">
        <f>N92/L92</f>
        <v>0.33333333333333331</v>
      </c>
      <c r="P92" t="s">
        <v>6</v>
      </c>
      <c r="Q92">
        <v>-1.69999999999999</v>
      </c>
      <c r="R92" t="s">
        <v>7</v>
      </c>
      <c r="S92">
        <v>-5.15151515151515E-2</v>
      </c>
      <c r="T92" t="s">
        <v>8</v>
      </c>
      <c r="U92">
        <v>0.74909090909090903</v>
      </c>
      <c r="V92" t="s">
        <v>9</v>
      </c>
      <c r="W92">
        <v>-0.45181818181818101</v>
      </c>
      <c r="X92" t="s">
        <v>10</v>
      </c>
      <c r="Y92">
        <v>4.7584262444672197E-2</v>
      </c>
      <c r="Z92" t="s">
        <v>11</v>
      </c>
      <c r="AA92" t="s">
        <v>739</v>
      </c>
      <c r="AB92" t="s">
        <v>801</v>
      </c>
      <c r="AC92">
        <v>0</v>
      </c>
      <c r="AD92" t="s">
        <v>14</v>
      </c>
      <c r="AE92" t="s">
        <v>15</v>
      </c>
      <c r="AF92" t="s">
        <v>800</v>
      </c>
      <c r="AG92" t="s">
        <v>774</v>
      </c>
      <c r="AH92">
        <v>0</v>
      </c>
      <c r="AI92" t="s">
        <v>18</v>
      </c>
    </row>
    <row r="93" spans="1:35" x14ac:dyDescent="0.3">
      <c r="A93" t="str">
        <f>_xlfn.TEXTJOIN(", ", FALSE, C93,D93,E93,F93,G93,H93,I93,J93)</f>
        <v>rsi_{'C',  [('number', 5,  1),  ('number', 7.5,  -1)]}_[35,  70]_2</v>
      </c>
      <c r="B93" t="s">
        <v>1078</v>
      </c>
      <c r="C93" t="s">
        <v>221</v>
      </c>
      <c r="D93" t="s">
        <v>587</v>
      </c>
      <c r="E93">
        <v>5</v>
      </c>
      <c r="F93" t="s">
        <v>588</v>
      </c>
      <c r="G93" t="s">
        <v>589</v>
      </c>
      <c r="H93">
        <v>7.5</v>
      </c>
      <c r="I93" t="s">
        <v>605</v>
      </c>
      <c r="J93" t="s">
        <v>40</v>
      </c>
      <c r="K93" t="s">
        <v>4</v>
      </c>
      <c r="L93">
        <v>40</v>
      </c>
      <c r="M93" t="s">
        <v>5</v>
      </c>
      <c r="N93">
        <v>11</v>
      </c>
      <c r="O93" s="2">
        <f>N93/L93</f>
        <v>0.27500000000000002</v>
      </c>
      <c r="P93" t="s">
        <v>6</v>
      </c>
      <c r="Q93">
        <v>-1.7254747848154</v>
      </c>
      <c r="R93" t="s">
        <v>7</v>
      </c>
      <c r="S93">
        <v>-4.3136869620385099E-2</v>
      </c>
      <c r="T93" t="s">
        <v>8</v>
      </c>
      <c r="U93">
        <v>1.5190909090908999</v>
      </c>
      <c r="V93" t="s">
        <v>9</v>
      </c>
      <c r="W93">
        <v>-0.63570602706259904</v>
      </c>
      <c r="X93" t="s">
        <v>10</v>
      </c>
      <c r="Y93">
        <v>0.106441355358455</v>
      </c>
      <c r="Z93" t="s">
        <v>11</v>
      </c>
      <c r="AA93" t="s">
        <v>708</v>
      </c>
      <c r="AB93" t="s">
        <v>601</v>
      </c>
      <c r="AC93">
        <v>0</v>
      </c>
      <c r="AD93" t="s">
        <v>14</v>
      </c>
      <c r="AE93" t="s">
        <v>15</v>
      </c>
      <c r="AF93" t="s">
        <v>796</v>
      </c>
      <c r="AG93" t="s">
        <v>601</v>
      </c>
      <c r="AH93">
        <v>0</v>
      </c>
      <c r="AI93" t="s">
        <v>18</v>
      </c>
    </row>
    <row r="94" spans="1:35" x14ac:dyDescent="0.3">
      <c r="A94" t="str">
        <f>_xlfn.TEXTJOIN(", ", FALSE, C94,D94,E94,F94,G94,H94,I94,J94)</f>
        <v>psar_{'C',  [('number', 7.5,  1),  ('number', 10,  -1)]}_[7,  35]_1</v>
      </c>
      <c r="B94" t="s">
        <v>985</v>
      </c>
      <c r="C94" t="s">
        <v>134</v>
      </c>
      <c r="D94" t="s">
        <v>587</v>
      </c>
      <c r="E94">
        <v>7.5</v>
      </c>
      <c r="F94" t="s">
        <v>588</v>
      </c>
      <c r="G94" t="s">
        <v>589</v>
      </c>
      <c r="H94">
        <v>10</v>
      </c>
      <c r="I94" t="s">
        <v>590</v>
      </c>
      <c r="J94" t="s">
        <v>3</v>
      </c>
      <c r="K94" t="s">
        <v>4</v>
      </c>
      <c r="L94">
        <v>140</v>
      </c>
      <c r="M94" t="s">
        <v>5</v>
      </c>
      <c r="N94">
        <v>42</v>
      </c>
      <c r="O94" s="2">
        <f>N94/L94</f>
        <v>0.3</v>
      </c>
      <c r="P94" t="s">
        <v>6</v>
      </c>
      <c r="Q94">
        <v>-1.9299999999999899</v>
      </c>
      <c r="R94" t="s">
        <v>7</v>
      </c>
      <c r="S94">
        <v>-1.37857142857142E-2</v>
      </c>
      <c r="T94" t="s">
        <v>8</v>
      </c>
      <c r="U94">
        <v>0.52214285714285702</v>
      </c>
      <c r="V94" t="s">
        <v>9</v>
      </c>
      <c r="W94">
        <v>-0.24346938775510099</v>
      </c>
      <c r="X94" t="s">
        <v>10</v>
      </c>
      <c r="Y94">
        <v>9.2432193598429496E-2</v>
      </c>
      <c r="Z94" t="s">
        <v>11</v>
      </c>
      <c r="AA94" t="s">
        <v>739</v>
      </c>
      <c r="AB94" t="s">
        <v>137</v>
      </c>
      <c r="AC94">
        <v>0</v>
      </c>
      <c r="AD94" t="s">
        <v>14</v>
      </c>
      <c r="AE94" t="s">
        <v>15</v>
      </c>
      <c r="AF94" t="s">
        <v>740</v>
      </c>
      <c r="AG94" t="s">
        <v>137</v>
      </c>
      <c r="AH94">
        <v>0</v>
      </c>
      <c r="AI94" t="s">
        <v>18</v>
      </c>
    </row>
    <row r="95" spans="1:35" x14ac:dyDescent="0.3">
      <c r="A95" t="str">
        <f>_xlfn.TEXTJOIN(", ", FALSE, C95,D95,E95,F95,G95,H95,I95,J95)</f>
        <v>rsi_{'C',  [('number', 7.5,  1),  ('number', 10,  -1)]}_[21,  49]_2</v>
      </c>
      <c r="B95" t="s">
        <v>1086</v>
      </c>
      <c r="C95" t="s">
        <v>221</v>
      </c>
      <c r="D95" t="s">
        <v>587</v>
      </c>
      <c r="E95">
        <v>7.5</v>
      </c>
      <c r="F95" t="s">
        <v>588</v>
      </c>
      <c r="G95" t="s">
        <v>589</v>
      </c>
      <c r="H95">
        <v>10</v>
      </c>
      <c r="I95" t="s">
        <v>599</v>
      </c>
      <c r="J95" t="s">
        <v>30</v>
      </c>
      <c r="K95" t="s">
        <v>4</v>
      </c>
      <c r="L95">
        <v>33</v>
      </c>
      <c r="M95" t="s">
        <v>5</v>
      </c>
      <c r="N95">
        <v>6</v>
      </c>
      <c r="O95" s="2">
        <f>N95/L95</f>
        <v>0.18181818181818182</v>
      </c>
      <c r="P95" t="s">
        <v>6</v>
      </c>
      <c r="Q95">
        <v>-2.1</v>
      </c>
      <c r="R95" t="s">
        <v>7</v>
      </c>
      <c r="S95">
        <v>-6.3636363636363699E-2</v>
      </c>
      <c r="T95" t="s">
        <v>8</v>
      </c>
      <c r="U95">
        <v>1.6283333333333301</v>
      </c>
      <c r="V95" t="s">
        <v>9</v>
      </c>
      <c r="W95">
        <v>-0.43962962962962898</v>
      </c>
      <c r="X95" t="s">
        <v>10</v>
      </c>
      <c r="Y95">
        <v>6.09785262357843E-2</v>
      </c>
      <c r="Z95" t="s">
        <v>11</v>
      </c>
      <c r="AA95" t="s">
        <v>802</v>
      </c>
      <c r="AB95" t="s">
        <v>803</v>
      </c>
      <c r="AC95">
        <v>0</v>
      </c>
      <c r="AD95" t="s">
        <v>14</v>
      </c>
      <c r="AE95" t="s">
        <v>15</v>
      </c>
      <c r="AF95" t="s">
        <v>804</v>
      </c>
      <c r="AG95" t="s">
        <v>805</v>
      </c>
      <c r="AH95">
        <v>0</v>
      </c>
      <c r="AI95" t="s">
        <v>18</v>
      </c>
    </row>
    <row r="96" spans="1:35" x14ac:dyDescent="0.3">
      <c r="A96" t="str">
        <f>_xlfn.TEXTJOIN(", ", FALSE, C96,D96,E96,F96,G96,H96,I96,J96)</f>
        <v>bbands_{'C',  [('number', 5,  1),  ('number', 7.5,  -1)]}_[7,  35]_2</v>
      </c>
      <c r="B96" t="s">
        <v>926</v>
      </c>
      <c r="C96" t="s">
        <v>113</v>
      </c>
      <c r="D96" t="s">
        <v>587</v>
      </c>
      <c r="E96">
        <v>5</v>
      </c>
      <c r="F96" t="s">
        <v>588</v>
      </c>
      <c r="G96" t="s">
        <v>589</v>
      </c>
      <c r="H96">
        <v>7.5</v>
      </c>
      <c r="I96" t="s">
        <v>590</v>
      </c>
      <c r="J96" t="s">
        <v>19</v>
      </c>
      <c r="K96" t="s">
        <v>4</v>
      </c>
      <c r="L96">
        <v>191</v>
      </c>
      <c r="M96" t="s">
        <v>5</v>
      </c>
      <c r="N96">
        <v>45</v>
      </c>
      <c r="O96" s="2">
        <f>N96/L96</f>
        <v>0.2356020942408377</v>
      </c>
      <c r="P96" t="s">
        <v>6</v>
      </c>
      <c r="Q96">
        <v>-2.3800000000000199</v>
      </c>
      <c r="R96" t="s">
        <v>7</v>
      </c>
      <c r="S96">
        <v>-1.24607329842933E-2</v>
      </c>
      <c r="T96" t="s">
        <v>8</v>
      </c>
      <c r="U96">
        <v>1.516</v>
      </c>
      <c r="V96" t="s">
        <v>9</v>
      </c>
      <c r="W96">
        <v>-0.48356164383561601</v>
      </c>
      <c r="X96" t="s">
        <v>10</v>
      </c>
      <c r="Y96">
        <v>0.246506266647254</v>
      </c>
      <c r="Z96" t="s">
        <v>11</v>
      </c>
      <c r="AA96" t="s">
        <v>686</v>
      </c>
      <c r="AB96" t="s">
        <v>675</v>
      </c>
      <c r="AC96">
        <v>0</v>
      </c>
      <c r="AD96" t="s">
        <v>14</v>
      </c>
      <c r="AE96" t="s">
        <v>15</v>
      </c>
      <c r="AF96" t="s">
        <v>687</v>
      </c>
      <c r="AG96" t="s">
        <v>611</v>
      </c>
      <c r="AH96">
        <v>0</v>
      </c>
      <c r="AI96" t="s">
        <v>18</v>
      </c>
    </row>
    <row r="97" spans="1:35" x14ac:dyDescent="0.3">
      <c r="A97" t="str">
        <f>_xlfn.TEXTJOIN(", ", FALSE, C97,D97,E97,F97,G97,H97,I97,J97)</f>
        <v>psar_no_highvol_{'C',  [('number', 0,  1),  ('number', 2.5,  -1)]}_[21,  49]_1</v>
      </c>
      <c r="B97" t="s">
        <v>1001</v>
      </c>
      <c r="C97" t="s">
        <v>175</v>
      </c>
      <c r="D97" t="s">
        <v>587</v>
      </c>
      <c r="E97">
        <v>0</v>
      </c>
      <c r="F97" t="s">
        <v>588</v>
      </c>
      <c r="G97" t="s">
        <v>589</v>
      </c>
      <c r="H97">
        <v>2.5</v>
      </c>
      <c r="I97" t="s">
        <v>599</v>
      </c>
      <c r="J97" t="s">
        <v>28</v>
      </c>
      <c r="K97" t="s">
        <v>4</v>
      </c>
      <c r="L97">
        <v>98</v>
      </c>
      <c r="M97" t="s">
        <v>5</v>
      </c>
      <c r="N97">
        <v>37</v>
      </c>
      <c r="O97" s="2">
        <f>N97/L97</f>
        <v>0.37755102040816324</v>
      </c>
      <c r="P97" t="s">
        <v>6</v>
      </c>
      <c r="Q97">
        <v>-2.5499999999999301</v>
      </c>
      <c r="R97" t="s">
        <v>7</v>
      </c>
      <c r="S97">
        <v>-2.6020408163264602E-2</v>
      </c>
      <c r="T97" t="s">
        <v>8</v>
      </c>
      <c r="U97">
        <v>1.1821621621621601</v>
      </c>
      <c r="V97" t="s">
        <v>9</v>
      </c>
      <c r="W97">
        <v>-0.75885245901639298</v>
      </c>
      <c r="X97" t="s">
        <v>10</v>
      </c>
      <c r="Y97">
        <v>0.145293155580626</v>
      </c>
      <c r="Z97" t="s">
        <v>11</v>
      </c>
      <c r="AA97" t="s">
        <v>708</v>
      </c>
      <c r="AB97" t="s">
        <v>601</v>
      </c>
      <c r="AC97">
        <v>0</v>
      </c>
      <c r="AD97" t="s">
        <v>14</v>
      </c>
      <c r="AE97" t="s">
        <v>15</v>
      </c>
      <c r="AF97" t="s">
        <v>708</v>
      </c>
      <c r="AG97" t="s">
        <v>601</v>
      </c>
      <c r="AH97">
        <v>0</v>
      </c>
      <c r="AI97" t="s">
        <v>18</v>
      </c>
    </row>
    <row r="98" spans="1:35" x14ac:dyDescent="0.3">
      <c r="A98" t="str">
        <f>_xlfn.TEXTJOIN(", ", FALSE, C98,D98,E98,F98,G98,H98,I98,J98)</f>
        <v>rsi_{'C',  [('number', 7.5,  1),  ('number', 10,  -1)]}_[35,  70]_3</v>
      </c>
      <c r="B98" t="s">
        <v>1091</v>
      </c>
      <c r="C98" t="s">
        <v>221</v>
      </c>
      <c r="D98" t="s">
        <v>587</v>
      </c>
      <c r="E98">
        <v>7.5</v>
      </c>
      <c r="F98" t="s">
        <v>588</v>
      </c>
      <c r="G98" t="s">
        <v>589</v>
      </c>
      <c r="H98">
        <v>10</v>
      </c>
      <c r="I98" t="s">
        <v>605</v>
      </c>
      <c r="J98" t="s">
        <v>42</v>
      </c>
      <c r="K98" t="s">
        <v>4</v>
      </c>
      <c r="L98">
        <v>40</v>
      </c>
      <c r="M98" t="s">
        <v>5</v>
      </c>
      <c r="N98">
        <v>9</v>
      </c>
      <c r="O98" s="2">
        <f>N98/L98</f>
        <v>0.22500000000000001</v>
      </c>
      <c r="P98" t="s">
        <v>6</v>
      </c>
      <c r="Q98">
        <v>-2.6192364943113202</v>
      </c>
      <c r="R98" t="s">
        <v>7</v>
      </c>
      <c r="S98">
        <v>-6.5480912357783E-2</v>
      </c>
      <c r="T98" t="s">
        <v>8</v>
      </c>
      <c r="U98">
        <v>1.70888888888888</v>
      </c>
      <c r="V98" t="s">
        <v>9</v>
      </c>
      <c r="W98">
        <v>-0.58062053207455799</v>
      </c>
      <c r="X98" t="s">
        <v>10</v>
      </c>
      <c r="Y98">
        <v>0.106118005168229</v>
      </c>
      <c r="Z98" t="s">
        <v>11</v>
      </c>
      <c r="AA98" t="s">
        <v>806</v>
      </c>
      <c r="AB98" t="s">
        <v>807</v>
      </c>
    </row>
    <row r="99" spans="1:35" x14ac:dyDescent="0.3">
      <c r="A99" t="str">
        <f>_xlfn.TEXTJOIN(", ", FALSE, C99,D99,E99,F99,G99,H99,I99,J99)</f>
        <v>rsi_{'C',  [('number', 7.5,  1),  ('number', 10,  -1)]}_[35,  70]_4</v>
      </c>
      <c r="B99" t="s">
        <v>1092</v>
      </c>
      <c r="C99" t="s">
        <v>221</v>
      </c>
      <c r="D99" t="s">
        <v>587</v>
      </c>
      <c r="E99">
        <v>7.5</v>
      </c>
      <c r="F99" t="s">
        <v>588</v>
      </c>
      <c r="G99" t="s">
        <v>589</v>
      </c>
      <c r="H99">
        <v>10</v>
      </c>
      <c r="I99" t="s">
        <v>605</v>
      </c>
      <c r="J99" t="s">
        <v>44</v>
      </c>
      <c r="K99" t="s">
        <v>4</v>
      </c>
      <c r="L99">
        <v>40</v>
      </c>
      <c r="M99" t="s">
        <v>5</v>
      </c>
      <c r="N99">
        <v>9</v>
      </c>
      <c r="O99" s="2">
        <f>N99/L99</f>
        <v>0.22500000000000001</v>
      </c>
      <c r="P99" t="s">
        <v>6</v>
      </c>
      <c r="Q99">
        <v>-2.6192364943113202</v>
      </c>
      <c r="R99" t="s">
        <v>7</v>
      </c>
      <c r="S99">
        <v>-6.5480912357783E-2</v>
      </c>
      <c r="T99" t="s">
        <v>8</v>
      </c>
      <c r="U99">
        <v>1.70888888888888</v>
      </c>
      <c r="V99" t="s">
        <v>9</v>
      </c>
      <c r="W99">
        <v>-0.58062053207455799</v>
      </c>
      <c r="X99" t="s">
        <v>10</v>
      </c>
      <c r="Y99">
        <v>0.106118005168229</v>
      </c>
      <c r="Z99" t="s">
        <v>11</v>
      </c>
      <c r="AA99" t="s">
        <v>806</v>
      </c>
      <c r="AB99" t="s">
        <v>807</v>
      </c>
    </row>
    <row r="100" spans="1:35" x14ac:dyDescent="0.3">
      <c r="A100" t="str">
        <f>_xlfn.TEXTJOIN(", ", FALSE, C100,D100,E100,F100,G100,H100,I100,J100)</f>
        <v>bbands_{'C',  [('number', 2.5,  1),  ('number', 5,  -1)]}_[7,  35]_1</v>
      </c>
      <c r="B100" t="s">
        <v>913</v>
      </c>
      <c r="C100" t="s">
        <v>113</v>
      </c>
      <c r="D100" t="s">
        <v>587</v>
      </c>
      <c r="E100">
        <v>2.5</v>
      </c>
      <c r="F100" t="s">
        <v>588</v>
      </c>
      <c r="G100" t="s">
        <v>589</v>
      </c>
      <c r="H100">
        <v>5</v>
      </c>
      <c r="I100" t="s">
        <v>590</v>
      </c>
      <c r="J100" t="s">
        <v>3</v>
      </c>
      <c r="K100" t="s">
        <v>4</v>
      </c>
      <c r="L100">
        <v>191</v>
      </c>
      <c r="M100" t="s">
        <v>5</v>
      </c>
      <c r="N100">
        <v>67</v>
      </c>
      <c r="O100" s="2">
        <f>N100/L100</f>
        <v>0.35078534031413611</v>
      </c>
      <c r="P100" t="s">
        <v>6</v>
      </c>
      <c r="Q100">
        <v>-2.7699999999999898</v>
      </c>
      <c r="R100" t="s">
        <v>7</v>
      </c>
      <c r="S100">
        <v>-1.4502617801047101E-2</v>
      </c>
      <c r="T100" t="s">
        <v>8</v>
      </c>
      <c r="U100">
        <v>1.1694029850746199</v>
      </c>
      <c r="V100" t="s">
        <v>9</v>
      </c>
      <c r="W100">
        <v>-0.65419354838709598</v>
      </c>
      <c r="X100" t="s">
        <v>10</v>
      </c>
      <c r="Y100">
        <v>0.22686955615602</v>
      </c>
      <c r="Z100" t="s">
        <v>11</v>
      </c>
      <c r="AA100" t="s">
        <v>668</v>
      </c>
      <c r="AB100" t="s">
        <v>656</v>
      </c>
      <c r="AC100">
        <v>0</v>
      </c>
      <c r="AD100" t="s">
        <v>14</v>
      </c>
      <c r="AE100" t="s">
        <v>15</v>
      </c>
      <c r="AF100" t="s">
        <v>146</v>
      </c>
      <c r="AG100" t="s">
        <v>656</v>
      </c>
      <c r="AH100">
        <v>0</v>
      </c>
      <c r="AI100" t="s">
        <v>18</v>
      </c>
    </row>
    <row r="101" spans="1:35" x14ac:dyDescent="0.3">
      <c r="A101" t="str">
        <f>_xlfn.TEXTJOIN(", ", FALSE, C101,D101,E101,F101,G101,H101,I101,J101)</f>
        <v>psar_{'C',  [('number', 2.5,  1),  ('number', 5,  -1)]}_[7,  35]_2</v>
      </c>
      <c r="B101" t="s">
        <v>962</v>
      </c>
      <c r="C101" t="s">
        <v>134</v>
      </c>
      <c r="D101" t="s">
        <v>587</v>
      </c>
      <c r="E101">
        <v>2.5</v>
      </c>
      <c r="F101" t="s">
        <v>588</v>
      </c>
      <c r="G101" t="s">
        <v>589</v>
      </c>
      <c r="H101">
        <v>5</v>
      </c>
      <c r="I101" t="s">
        <v>590</v>
      </c>
      <c r="J101" t="s">
        <v>19</v>
      </c>
      <c r="K101" t="s">
        <v>4</v>
      </c>
      <c r="L101">
        <v>140</v>
      </c>
      <c r="M101" t="s">
        <v>5</v>
      </c>
      <c r="N101">
        <v>39</v>
      </c>
      <c r="O101" s="2">
        <f>N101/L101</f>
        <v>0.27857142857142858</v>
      </c>
      <c r="P101" t="s">
        <v>6</v>
      </c>
      <c r="Q101">
        <v>-2.81000000000002</v>
      </c>
      <c r="R101" t="s">
        <v>7</v>
      </c>
      <c r="S101">
        <v>-2.0071428571428698E-2</v>
      </c>
      <c r="T101" t="s">
        <v>8</v>
      </c>
      <c r="U101">
        <v>1.44333333333333</v>
      </c>
      <c r="V101" t="s">
        <v>9</v>
      </c>
      <c r="W101">
        <v>-0.585148514851485</v>
      </c>
      <c r="X101" t="s">
        <v>10</v>
      </c>
      <c r="Y101">
        <v>0.20610322196220701</v>
      </c>
      <c r="Z101" t="s">
        <v>11</v>
      </c>
      <c r="AA101" t="s">
        <v>712</v>
      </c>
      <c r="AB101" t="s">
        <v>675</v>
      </c>
      <c r="AC101">
        <v>0</v>
      </c>
      <c r="AD101" t="s">
        <v>14</v>
      </c>
      <c r="AE101" t="s">
        <v>15</v>
      </c>
      <c r="AF101" t="s">
        <v>106</v>
      </c>
      <c r="AG101" t="s">
        <v>614</v>
      </c>
      <c r="AH101">
        <v>0</v>
      </c>
      <c r="AI101" t="s">
        <v>18</v>
      </c>
    </row>
    <row r="102" spans="1:35" x14ac:dyDescent="0.3">
      <c r="A102" t="str">
        <f>_xlfn.TEXTJOIN(", ", FALSE, C102,D102,E102,F102,G102,H102,I102,J102)</f>
        <v>psar_{'C',  [('number', 7.5,  1),  ('number', 10,  -1)]}_[35,  70]_2</v>
      </c>
      <c r="B102" t="s">
        <v>994</v>
      </c>
      <c r="C102" t="s">
        <v>134</v>
      </c>
      <c r="D102" t="s">
        <v>587</v>
      </c>
      <c r="E102">
        <v>7.5</v>
      </c>
      <c r="F102" t="s">
        <v>588</v>
      </c>
      <c r="G102" t="s">
        <v>589</v>
      </c>
      <c r="H102">
        <v>10</v>
      </c>
      <c r="I102" t="s">
        <v>605</v>
      </c>
      <c r="J102" t="s">
        <v>40</v>
      </c>
      <c r="K102" t="s">
        <v>4</v>
      </c>
      <c r="L102">
        <v>177</v>
      </c>
      <c r="M102" t="s">
        <v>5</v>
      </c>
      <c r="N102">
        <v>45</v>
      </c>
      <c r="O102" s="2">
        <f>N102/L102</f>
        <v>0.25423728813559321</v>
      </c>
      <c r="P102" t="s">
        <v>6</v>
      </c>
      <c r="Q102">
        <v>-2.8443340349336901</v>
      </c>
      <c r="R102" t="s">
        <v>7</v>
      </c>
      <c r="S102">
        <v>-1.6069683813184601E-2</v>
      </c>
      <c r="T102" t="s">
        <v>8</v>
      </c>
      <c r="U102">
        <v>1.3984444444444399</v>
      </c>
      <c r="V102" t="s">
        <v>9</v>
      </c>
      <c r="W102">
        <v>-0.49829040935555802</v>
      </c>
      <c r="X102" t="s">
        <v>10</v>
      </c>
      <c r="Y102">
        <v>0.21982733743090299</v>
      </c>
      <c r="Z102" t="s">
        <v>11</v>
      </c>
      <c r="AA102" t="s">
        <v>749</v>
      </c>
      <c r="AB102" t="s">
        <v>750</v>
      </c>
    </row>
    <row r="103" spans="1:35" x14ac:dyDescent="0.3">
      <c r="A103" t="str">
        <f>_xlfn.TEXTJOIN(", ", FALSE, C103,D103,E103,F103,G103,H103,I103,J103)</f>
        <v>psar_{'C',  [('number', 5,  1),  ('number', 7.5,  -1)]}_[35,  70]_3</v>
      </c>
      <c r="B103" t="s">
        <v>983</v>
      </c>
      <c r="C103" t="s">
        <v>134</v>
      </c>
      <c r="D103" t="s">
        <v>587</v>
      </c>
      <c r="E103">
        <v>5</v>
      </c>
      <c r="F103" t="s">
        <v>588</v>
      </c>
      <c r="G103" t="s">
        <v>589</v>
      </c>
      <c r="H103">
        <v>7.5</v>
      </c>
      <c r="I103" t="s">
        <v>605</v>
      </c>
      <c r="J103" t="s">
        <v>42</v>
      </c>
      <c r="K103" t="s">
        <v>4</v>
      </c>
      <c r="L103">
        <v>177</v>
      </c>
      <c r="M103" t="s">
        <v>5</v>
      </c>
      <c r="N103">
        <v>46</v>
      </c>
      <c r="O103" s="2">
        <f>N103/L103</f>
        <v>0.25988700564971751</v>
      </c>
      <c r="P103" t="s">
        <v>6</v>
      </c>
      <c r="Q103">
        <v>-2.8592298590118599</v>
      </c>
      <c r="R103" t="s">
        <v>7</v>
      </c>
      <c r="S103">
        <v>-1.61538410113664E-2</v>
      </c>
      <c r="T103" t="s">
        <v>8</v>
      </c>
      <c r="U103">
        <v>1.5754939834800801</v>
      </c>
      <c r="V103" t="s">
        <v>9</v>
      </c>
      <c r="W103">
        <v>-0.575053077092333</v>
      </c>
      <c r="X103" t="s">
        <v>10</v>
      </c>
      <c r="Y103">
        <v>0.32777495564643699</v>
      </c>
      <c r="Z103" t="s">
        <v>11</v>
      </c>
      <c r="AA103" t="s">
        <v>738</v>
      </c>
      <c r="AB103" t="s">
        <v>635</v>
      </c>
      <c r="AC103">
        <v>0</v>
      </c>
      <c r="AD103" t="s">
        <v>14</v>
      </c>
      <c r="AE103" t="s">
        <v>15</v>
      </c>
      <c r="AF103" t="s">
        <v>738</v>
      </c>
      <c r="AG103" t="s">
        <v>635</v>
      </c>
      <c r="AH103">
        <v>0</v>
      </c>
      <c r="AI103" t="s">
        <v>18</v>
      </c>
    </row>
    <row r="104" spans="1:35" x14ac:dyDescent="0.3">
      <c r="A104" t="str">
        <f>_xlfn.TEXTJOIN(", ", FALSE, C104,D104,E104,F104,G104,H104,I104,J104)</f>
        <v>psar_{'C',  [('number', 7.5,  1),  ('number', 10,  -1)]}_[7,  35]_2</v>
      </c>
      <c r="B104" t="s">
        <v>986</v>
      </c>
      <c r="C104" t="s">
        <v>134</v>
      </c>
      <c r="D104" t="s">
        <v>587</v>
      </c>
      <c r="E104">
        <v>7.5</v>
      </c>
      <c r="F104" t="s">
        <v>588</v>
      </c>
      <c r="G104" t="s">
        <v>589</v>
      </c>
      <c r="H104">
        <v>10</v>
      </c>
      <c r="I104" t="s">
        <v>590</v>
      </c>
      <c r="J104" t="s">
        <v>19</v>
      </c>
      <c r="K104" t="s">
        <v>4</v>
      </c>
      <c r="L104">
        <v>140</v>
      </c>
      <c r="M104" t="s">
        <v>5</v>
      </c>
      <c r="N104">
        <v>27</v>
      </c>
      <c r="O104" s="2">
        <f>N104/L104</f>
        <v>0.19285714285714287</v>
      </c>
      <c r="P104" t="s">
        <v>6</v>
      </c>
      <c r="Q104">
        <v>-2.9199999999999799</v>
      </c>
      <c r="R104" t="s">
        <v>7</v>
      </c>
      <c r="S104">
        <v>-2.0857142857142699E-2</v>
      </c>
      <c r="T104" t="s">
        <v>8</v>
      </c>
      <c r="U104">
        <v>0.94370370370370404</v>
      </c>
      <c r="V104" t="s">
        <v>9</v>
      </c>
      <c r="W104">
        <v>-0.251327433628318</v>
      </c>
      <c r="X104" t="s">
        <v>10</v>
      </c>
      <c r="Y104">
        <v>0.125091707428236</v>
      </c>
      <c r="Z104" t="s">
        <v>11</v>
      </c>
      <c r="AA104" t="s">
        <v>741</v>
      </c>
      <c r="AB104" t="s">
        <v>742</v>
      </c>
      <c r="AC104">
        <v>0</v>
      </c>
      <c r="AD104" t="s">
        <v>14</v>
      </c>
      <c r="AE104" t="s">
        <v>15</v>
      </c>
      <c r="AF104" t="s">
        <v>741</v>
      </c>
      <c r="AG104" t="s">
        <v>742</v>
      </c>
      <c r="AH104">
        <v>0</v>
      </c>
      <c r="AI104" t="s">
        <v>18</v>
      </c>
    </row>
    <row r="105" spans="1:35" x14ac:dyDescent="0.3">
      <c r="A105" t="str">
        <f>_xlfn.TEXTJOIN(", ", FALSE, C105,D105,E105,F105,G105,H105,I105,J105)</f>
        <v>rsi_{'C',  [('number', 0,  1),  ('number', 2.5,  -1)]}_[35,  70]_2</v>
      </c>
      <c r="B105" t="s">
        <v>1054</v>
      </c>
      <c r="C105" t="s">
        <v>221</v>
      </c>
      <c r="D105" t="s">
        <v>587</v>
      </c>
      <c r="E105">
        <v>0</v>
      </c>
      <c r="F105" t="s">
        <v>588</v>
      </c>
      <c r="G105" t="s">
        <v>589</v>
      </c>
      <c r="H105">
        <v>2.5</v>
      </c>
      <c r="I105" t="s">
        <v>605</v>
      </c>
      <c r="J105" t="s">
        <v>40</v>
      </c>
      <c r="K105" t="s">
        <v>4</v>
      </c>
      <c r="L105">
        <v>40</v>
      </c>
      <c r="M105" t="s">
        <v>5</v>
      </c>
      <c r="N105">
        <v>15</v>
      </c>
      <c r="O105" s="2">
        <f>N105/L105</f>
        <v>0.375</v>
      </c>
      <c r="P105" t="s">
        <v>6</v>
      </c>
      <c r="Q105">
        <v>-3.13227612705347</v>
      </c>
      <c r="R105" t="s">
        <v>7</v>
      </c>
      <c r="S105">
        <v>-7.8306903176336901E-2</v>
      </c>
      <c r="T105" t="s">
        <v>8</v>
      </c>
      <c r="U105">
        <v>1.3097105989132001</v>
      </c>
      <c r="V105" t="s">
        <v>9</v>
      </c>
      <c r="W105">
        <v>-0.91111740443006095</v>
      </c>
      <c r="X105" t="s">
        <v>10</v>
      </c>
      <c r="Y105">
        <v>0.16502929884440101</v>
      </c>
      <c r="Z105" t="s">
        <v>11</v>
      </c>
      <c r="AA105" t="s">
        <v>678</v>
      </c>
      <c r="AB105" t="s">
        <v>711</v>
      </c>
      <c r="AC105">
        <v>0</v>
      </c>
      <c r="AD105" t="s">
        <v>14</v>
      </c>
      <c r="AE105" t="s">
        <v>15</v>
      </c>
      <c r="AF105" t="s">
        <v>678</v>
      </c>
      <c r="AG105" t="s">
        <v>711</v>
      </c>
      <c r="AH105">
        <v>0</v>
      </c>
      <c r="AI105" t="s">
        <v>18</v>
      </c>
    </row>
    <row r="106" spans="1:35" x14ac:dyDescent="0.3">
      <c r="A106" t="str">
        <f>_xlfn.TEXTJOIN(", ", FALSE, C106,D106,E106,F106,G106,H106,I106,J106)</f>
        <v>psar_no_highvol_{'C',  [('number', 5,  1),  ('number', 7.5,  -1)]}_[21,  49]_1</v>
      </c>
      <c r="B106" t="s">
        <v>1025</v>
      </c>
      <c r="C106" t="s">
        <v>175</v>
      </c>
      <c r="D106" t="s">
        <v>587</v>
      </c>
      <c r="E106">
        <v>5</v>
      </c>
      <c r="F106" t="s">
        <v>588</v>
      </c>
      <c r="G106" t="s">
        <v>589</v>
      </c>
      <c r="H106">
        <v>7.5</v>
      </c>
      <c r="I106" t="s">
        <v>599</v>
      </c>
      <c r="J106" t="s">
        <v>28</v>
      </c>
      <c r="K106" t="s">
        <v>4</v>
      </c>
      <c r="L106">
        <v>98</v>
      </c>
      <c r="M106" t="s">
        <v>5</v>
      </c>
      <c r="N106">
        <v>33</v>
      </c>
      <c r="O106" s="2">
        <f>N106/L106</f>
        <v>0.33673469387755101</v>
      </c>
      <c r="P106" t="s">
        <v>6</v>
      </c>
      <c r="Q106">
        <v>-3.2699999999999698</v>
      </c>
      <c r="R106" t="s">
        <v>7</v>
      </c>
      <c r="S106">
        <v>-3.3367346938775203E-2</v>
      </c>
      <c r="T106" t="s">
        <v>8</v>
      </c>
      <c r="U106">
        <v>0.84606060606060596</v>
      </c>
      <c r="V106" t="s">
        <v>9</v>
      </c>
      <c r="W106">
        <v>-0.47984615384615398</v>
      </c>
      <c r="X106" t="s">
        <v>10</v>
      </c>
      <c r="Y106">
        <v>9.9841238952465897E-2</v>
      </c>
      <c r="Z106" t="s">
        <v>11</v>
      </c>
      <c r="AA106" t="s">
        <v>289</v>
      </c>
      <c r="AB106" t="s">
        <v>730</v>
      </c>
      <c r="AC106">
        <v>0</v>
      </c>
      <c r="AD106" t="s">
        <v>14</v>
      </c>
      <c r="AE106" t="s">
        <v>15</v>
      </c>
      <c r="AF106" t="s">
        <v>289</v>
      </c>
      <c r="AG106" t="s">
        <v>730</v>
      </c>
      <c r="AH106">
        <v>0</v>
      </c>
      <c r="AI106" t="s">
        <v>18</v>
      </c>
    </row>
    <row r="107" spans="1:35" x14ac:dyDescent="0.3">
      <c r="A107" t="str">
        <f>_xlfn.TEXTJOIN(", ", FALSE, C107,D107,E107,F107,G107,H107,I107,J107)</f>
        <v>bbands_{'C',  [('number', 7.5,  1),  ('number', 10,  -1)]}_[7,  35]_2</v>
      </c>
      <c r="B107" t="s">
        <v>938</v>
      </c>
      <c r="C107" t="s">
        <v>113</v>
      </c>
      <c r="D107" t="s">
        <v>587</v>
      </c>
      <c r="E107">
        <v>7.5</v>
      </c>
      <c r="F107" t="s">
        <v>588</v>
      </c>
      <c r="G107" t="s">
        <v>589</v>
      </c>
      <c r="H107">
        <v>10</v>
      </c>
      <c r="I107" t="s">
        <v>590</v>
      </c>
      <c r="J107" t="s">
        <v>19</v>
      </c>
      <c r="K107" t="s">
        <v>4</v>
      </c>
      <c r="L107">
        <v>191</v>
      </c>
      <c r="M107" t="s">
        <v>5</v>
      </c>
      <c r="N107">
        <v>41</v>
      </c>
      <c r="O107" s="2">
        <f>N107/L107</f>
        <v>0.21465968586387435</v>
      </c>
      <c r="P107" t="s">
        <v>6</v>
      </c>
      <c r="Q107">
        <v>-3.3299999999999801</v>
      </c>
      <c r="R107" t="s">
        <v>7</v>
      </c>
      <c r="S107">
        <v>-1.74345549738219E-2</v>
      </c>
      <c r="T107" t="s">
        <v>8</v>
      </c>
      <c r="U107">
        <v>1.24585365853658</v>
      </c>
      <c r="V107" t="s">
        <v>9</v>
      </c>
      <c r="W107">
        <v>-0.36273333333333302</v>
      </c>
      <c r="X107" t="s">
        <v>10</v>
      </c>
      <c r="Y107">
        <v>0.190730488828562</v>
      </c>
      <c r="Z107" t="s">
        <v>11</v>
      </c>
      <c r="AA107" t="s">
        <v>674</v>
      </c>
      <c r="AB107" t="s">
        <v>675</v>
      </c>
      <c r="AC107">
        <v>0</v>
      </c>
      <c r="AD107" t="s">
        <v>14</v>
      </c>
      <c r="AE107" t="s">
        <v>15</v>
      </c>
      <c r="AF107" t="s">
        <v>163</v>
      </c>
      <c r="AG107" t="s">
        <v>675</v>
      </c>
      <c r="AH107">
        <v>0</v>
      </c>
      <c r="AI107" t="s">
        <v>18</v>
      </c>
    </row>
    <row r="108" spans="1:35" x14ac:dyDescent="0.3">
      <c r="A108" t="str">
        <f>_xlfn.TEXTJOIN(", ", FALSE, C108,D108,E108,F108,G108,H108,I108,J108)</f>
        <v>rsi_{'C',  [('number', 7.5,  1),  ('number', 10,  -1)]}_[21,  49]_3</v>
      </c>
      <c r="B108" t="s">
        <v>1087</v>
      </c>
      <c r="C108" t="s">
        <v>221</v>
      </c>
      <c r="D108" t="s">
        <v>587</v>
      </c>
      <c r="E108">
        <v>7.5</v>
      </c>
      <c r="F108" t="s">
        <v>588</v>
      </c>
      <c r="G108" t="s">
        <v>589</v>
      </c>
      <c r="H108">
        <v>10</v>
      </c>
      <c r="I108" t="s">
        <v>599</v>
      </c>
      <c r="J108" t="s">
        <v>33</v>
      </c>
      <c r="K108" t="s">
        <v>4</v>
      </c>
      <c r="L108">
        <v>33</v>
      </c>
      <c r="M108" t="s">
        <v>5</v>
      </c>
      <c r="N108">
        <v>5</v>
      </c>
      <c r="O108" s="2">
        <f>N108/L108</f>
        <v>0.15151515151515152</v>
      </c>
      <c r="P108" t="s">
        <v>6</v>
      </c>
      <c r="Q108">
        <v>-3.62</v>
      </c>
      <c r="R108" t="s">
        <v>7</v>
      </c>
      <c r="S108">
        <v>-0.109696969696969</v>
      </c>
      <c r="T108" t="s">
        <v>8</v>
      </c>
      <c r="U108">
        <v>1.71</v>
      </c>
      <c r="V108" t="s">
        <v>9</v>
      </c>
      <c r="W108">
        <v>-0.434642857142857</v>
      </c>
      <c r="X108" t="s">
        <v>10</v>
      </c>
      <c r="Y108">
        <v>6.5002150560128494E-2</v>
      </c>
      <c r="Z108" t="s">
        <v>11</v>
      </c>
      <c r="AA108" t="s">
        <v>765</v>
      </c>
      <c r="AB108" t="s">
        <v>183</v>
      </c>
      <c r="AC108">
        <v>0</v>
      </c>
      <c r="AD108" t="s">
        <v>14</v>
      </c>
      <c r="AE108" t="s">
        <v>15</v>
      </c>
      <c r="AF108" t="s">
        <v>804</v>
      </c>
      <c r="AG108" t="s">
        <v>805</v>
      </c>
      <c r="AH108">
        <v>0</v>
      </c>
      <c r="AI108" t="s">
        <v>18</v>
      </c>
    </row>
    <row r="109" spans="1:35" x14ac:dyDescent="0.3">
      <c r="A109" t="str">
        <f>_xlfn.TEXTJOIN(", ", FALSE, C109,D109,E109,F109,G109,H109,I109,J109)</f>
        <v>rsi_{'C',  [('number', 7.5,  1),  ('number', 10,  -1)]}_[21,  49]_4</v>
      </c>
      <c r="B109" t="s">
        <v>1088</v>
      </c>
      <c r="C109" t="s">
        <v>221</v>
      </c>
      <c r="D109" t="s">
        <v>587</v>
      </c>
      <c r="E109">
        <v>7.5</v>
      </c>
      <c r="F109" t="s">
        <v>588</v>
      </c>
      <c r="G109" t="s">
        <v>589</v>
      </c>
      <c r="H109">
        <v>10</v>
      </c>
      <c r="I109" t="s">
        <v>599</v>
      </c>
      <c r="J109" t="s">
        <v>36</v>
      </c>
      <c r="K109" t="s">
        <v>4</v>
      </c>
      <c r="L109">
        <v>33</v>
      </c>
      <c r="M109" t="s">
        <v>5</v>
      </c>
      <c r="N109">
        <v>5</v>
      </c>
      <c r="O109" s="2">
        <f>N109/L109</f>
        <v>0.15151515151515152</v>
      </c>
      <c r="P109" t="s">
        <v>6</v>
      </c>
      <c r="Q109">
        <v>-3.62</v>
      </c>
      <c r="R109" t="s">
        <v>7</v>
      </c>
      <c r="S109">
        <v>-0.109696969696969</v>
      </c>
      <c r="T109" t="s">
        <v>8</v>
      </c>
      <c r="U109">
        <v>1.71</v>
      </c>
      <c r="V109" t="s">
        <v>9</v>
      </c>
      <c r="W109">
        <v>-0.434642857142857</v>
      </c>
      <c r="X109" t="s">
        <v>10</v>
      </c>
      <c r="Y109">
        <v>6.5002150560128494E-2</v>
      </c>
      <c r="Z109" t="s">
        <v>11</v>
      </c>
      <c r="AA109" t="s">
        <v>765</v>
      </c>
      <c r="AB109" t="s">
        <v>183</v>
      </c>
      <c r="AC109">
        <v>0</v>
      </c>
      <c r="AD109" t="s">
        <v>14</v>
      </c>
      <c r="AE109" t="s">
        <v>15</v>
      </c>
      <c r="AF109" t="s">
        <v>804</v>
      </c>
      <c r="AG109" t="s">
        <v>805</v>
      </c>
      <c r="AH109">
        <v>0</v>
      </c>
      <c r="AI109" t="s">
        <v>18</v>
      </c>
    </row>
    <row r="110" spans="1:35" x14ac:dyDescent="0.3">
      <c r="A110" t="str">
        <f>_xlfn.TEXTJOIN(", ", FALSE, C110,D110,E110,F110,G110,H110,I110,J110)</f>
        <v>psar_{'C',  [('number', 2.5,  1),  ('number', 5,  -1)]}_[7,  35]_4</v>
      </c>
      <c r="B110" t="s">
        <v>964</v>
      </c>
      <c r="C110" t="s">
        <v>134</v>
      </c>
      <c r="D110" t="s">
        <v>587</v>
      </c>
      <c r="E110">
        <v>2.5</v>
      </c>
      <c r="F110" t="s">
        <v>588</v>
      </c>
      <c r="G110" t="s">
        <v>589</v>
      </c>
      <c r="H110">
        <v>5</v>
      </c>
      <c r="I110" t="s">
        <v>590</v>
      </c>
      <c r="J110" t="s">
        <v>26</v>
      </c>
      <c r="K110" t="s">
        <v>4</v>
      </c>
      <c r="L110">
        <v>140</v>
      </c>
      <c r="M110" t="s">
        <v>5</v>
      </c>
      <c r="N110">
        <v>38</v>
      </c>
      <c r="O110" s="2">
        <f>N110/L110</f>
        <v>0.27142857142857141</v>
      </c>
      <c r="P110" t="s">
        <v>6</v>
      </c>
      <c r="Q110">
        <v>-3.6200000000000299</v>
      </c>
      <c r="R110" t="s">
        <v>7</v>
      </c>
      <c r="S110">
        <v>-2.5857142857143099E-2</v>
      </c>
      <c r="T110" t="s">
        <v>8</v>
      </c>
      <c r="U110">
        <v>1.46921052631578</v>
      </c>
      <c r="V110" t="s">
        <v>9</v>
      </c>
      <c r="W110">
        <v>-0.582843137254902</v>
      </c>
      <c r="X110" t="s">
        <v>10</v>
      </c>
      <c r="Y110">
        <v>0.21254666539766701</v>
      </c>
      <c r="Z110" t="s">
        <v>11</v>
      </c>
      <c r="AA110" t="s">
        <v>713</v>
      </c>
      <c r="AB110" t="s">
        <v>595</v>
      </c>
      <c r="AC110">
        <v>0</v>
      </c>
      <c r="AD110" t="s">
        <v>14</v>
      </c>
      <c r="AE110" t="s">
        <v>15</v>
      </c>
      <c r="AF110" t="s">
        <v>713</v>
      </c>
      <c r="AG110" t="s">
        <v>595</v>
      </c>
      <c r="AH110">
        <v>0</v>
      </c>
      <c r="AI110" t="s">
        <v>18</v>
      </c>
    </row>
    <row r="111" spans="1:35" x14ac:dyDescent="0.3">
      <c r="A111" t="str">
        <f>_xlfn.TEXTJOIN(", ", FALSE, C111,D111,E111,F111,G111,H111,I111,J111)</f>
        <v>psar_no_highvol_{'C',  [('number', 7.5,  1),  ('number', 10,  -1)]}_[7,  35]_1</v>
      </c>
      <c r="B111" t="s">
        <v>1033</v>
      </c>
      <c r="C111" t="s">
        <v>175</v>
      </c>
      <c r="D111" t="s">
        <v>587</v>
      </c>
      <c r="E111">
        <v>7.5</v>
      </c>
      <c r="F111" t="s">
        <v>588</v>
      </c>
      <c r="G111" t="s">
        <v>589</v>
      </c>
      <c r="H111">
        <v>10</v>
      </c>
      <c r="I111" t="s">
        <v>590</v>
      </c>
      <c r="J111" t="s">
        <v>3</v>
      </c>
      <c r="K111" t="s">
        <v>4</v>
      </c>
      <c r="L111">
        <v>102</v>
      </c>
      <c r="M111" t="s">
        <v>5</v>
      </c>
      <c r="N111">
        <v>27</v>
      </c>
      <c r="O111" s="2">
        <f>N111/L111</f>
        <v>0.26470588235294118</v>
      </c>
      <c r="P111" t="s">
        <v>6</v>
      </c>
      <c r="Q111">
        <v>-3.6299999999999901</v>
      </c>
      <c r="R111" t="s">
        <v>7</v>
      </c>
      <c r="S111">
        <v>-3.5588235294117601E-2</v>
      </c>
      <c r="T111" t="s">
        <v>8</v>
      </c>
      <c r="U111">
        <v>0.479259259259259</v>
      </c>
      <c r="V111" t="s">
        <v>9</v>
      </c>
      <c r="W111">
        <v>-0.22093333333333301</v>
      </c>
      <c r="X111" t="s">
        <v>10</v>
      </c>
      <c r="Y111">
        <v>5.8682995873798202E-2</v>
      </c>
      <c r="Z111" t="s">
        <v>11</v>
      </c>
      <c r="AA111" t="s">
        <v>739</v>
      </c>
      <c r="AB111" t="s">
        <v>137</v>
      </c>
      <c r="AC111">
        <v>0</v>
      </c>
      <c r="AD111" t="s">
        <v>14</v>
      </c>
      <c r="AE111" t="s">
        <v>15</v>
      </c>
      <c r="AF111" t="s">
        <v>740</v>
      </c>
      <c r="AG111" t="s">
        <v>137</v>
      </c>
      <c r="AH111">
        <v>0</v>
      </c>
      <c r="AI111" t="s">
        <v>18</v>
      </c>
    </row>
    <row r="112" spans="1:35" x14ac:dyDescent="0.3">
      <c r="A112" t="str">
        <f>_xlfn.TEXTJOIN(", ", FALSE, C112,D112,E112,F112,G112,H112,I112,J112)</f>
        <v>psar_{'C',  [('number', 5,  1),  ('number', 7.5,  -1)]}_[7,  35]_1</v>
      </c>
      <c r="B112" t="s">
        <v>973</v>
      </c>
      <c r="C112" t="s">
        <v>134</v>
      </c>
      <c r="D112" t="s">
        <v>587</v>
      </c>
      <c r="E112">
        <v>5</v>
      </c>
      <c r="F112" t="s">
        <v>588</v>
      </c>
      <c r="G112" t="s">
        <v>589</v>
      </c>
      <c r="H112">
        <v>7.5</v>
      </c>
      <c r="I112" t="s">
        <v>590</v>
      </c>
      <c r="J112" t="s">
        <v>3</v>
      </c>
      <c r="K112" t="s">
        <v>4</v>
      </c>
      <c r="L112">
        <v>140</v>
      </c>
      <c r="M112" t="s">
        <v>5</v>
      </c>
      <c r="N112">
        <v>42</v>
      </c>
      <c r="O112" s="2">
        <f>N112/L112</f>
        <v>0.3</v>
      </c>
      <c r="P112" t="s">
        <v>6</v>
      </c>
      <c r="Q112">
        <v>-3.8899999999999699</v>
      </c>
      <c r="R112" t="s">
        <v>7</v>
      </c>
      <c r="S112">
        <v>-2.7785714285714101E-2</v>
      </c>
      <c r="T112" t="s">
        <v>8</v>
      </c>
      <c r="U112">
        <v>0.79904761904761901</v>
      </c>
      <c r="V112" t="s">
        <v>9</v>
      </c>
      <c r="W112">
        <v>-0.38214285714285701</v>
      </c>
      <c r="X112" t="s">
        <v>10</v>
      </c>
      <c r="Y112">
        <v>0.13199790986122201</v>
      </c>
      <c r="Z112" t="s">
        <v>11</v>
      </c>
      <c r="AA112" t="s">
        <v>726</v>
      </c>
      <c r="AB112" t="s">
        <v>611</v>
      </c>
      <c r="AC112">
        <v>0</v>
      </c>
      <c r="AD112" t="s">
        <v>14</v>
      </c>
      <c r="AE112" t="s">
        <v>15</v>
      </c>
      <c r="AF112" t="s">
        <v>727</v>
      </c>
      <c r="AG112" t="s">
        <v>614</v>
      </c>
      <c r="AH112">
        <v>0</v>
      </c>
      <c r="AI112" t="s">
        <v>18</v>
      </c>
    </row>
    <row r="113" spans="1:35" x14ac:dyDescent="0.3">
      <c r="A113" t="str">
        <f>_xlfn.TEXTJOIN(", ", FALSE, C113,D113,E113,F113,G113,H113,I113,J113)</f>
        <v>rsi_{'C',  [('number', 5,  1),  ('number', 7.5,  -1)]}_[35,  70]_4</v>
      </c>
      <c r="B113" t="s">
        <v>1080</v>
      </c>
      <c r="C113" t="s">
        <v>221</v>
      </c>
      <c r="D113" t="s">
        <v>587</v>
      </c>
      <c r="E113">
        <v>5</v>
      </c>
      <c r="F113" t="s">
        <v>588</v>
      </c>
      <c r="G113" t="s">
        <v>589</v>
      </c>
      <c r="H113">
        <v>7.5</v>
      </c>
      <c r="I113" t="s">
        <v>605</v>
      </c>
      <c r="J113" t="s">
        <v>44</v>
      </c>
      <c r="K113" t="s">
        <v>4</v>
      </c>
      <c r="L113">
        <v>40</v>
      </c>
      <c r="M113" t="s">
        <v>5</v>
      </c>
      <c r="N113">
        <v>10</v>
      </c>
      <c r="O113" s="2">
        <f>N113/L113</f>
        <v>0.25</v>
      </c>
      <c r="P113" t="s">
        <v>6</v>
      </c>
      <c r="Q113">
        <v>-3.9254747848154001</v>
      </c>
      <c r="R113" t="s">
        <v>7</v>
      </c>
      <c r="S113">
        <v>-9.8136869620385106E-2</v>
      </c>
      <c r="T113" t="s">
        <v>8</v>
      </c>
      <c r="U113">
        <v>1.48599999999999</v>
      </c>
      <c r="V113" t="s">
        <v>9</v>
      </c>
      <c r="W113">
        <v>-0.62618249282717897</v>
      </c>
      <c r="X113" t="s">
        <v>10</v>
      </c>
      <c r="Y113">
        <v>0.113912447543926</v>
      </c>
      <c r="Z113" t="s">
        <v>11</v>
      </c>
      <c r="AA113" t="s">
        <v>797</v>
      </c>
      <c r="AB113" t="s">
        <v>798</v>
      </c>
      <c r="AC113">
        <v>0</v>
      </c>
      <c r="AD113" t="s">
        <v>14</v>
      </c>
      <c r="AE113" t="s">
        <v>15</v>
      </c>
      <c r="AF113" t="s">
        <v>796</v>
      </c>
      <c r="AG113" t="s">
        <v>601</v>
      </c>
      <c r="AH113">
        <v>0</v>
      </c>
      <c r="AI113" t="s">
        <v>18</v>
      </c>
    </row>
    <row r="114" spans="1:35" x14ac:dyDescent="0.3">
      <c r="A114" t="str">
        <f>_xlfn.TEXTJOIN(", ", FALSE, C114,D114,E114,F114,G114,H114,I114,J114)</f>
        <v>psar_{'C',  [('number', 0,  1),  ('number', 2.5,  -1)]}_[7,  35]_3</v>
      </c>
      <c r="B114" t="s">
        <v>951</v>
      </c>
      <c r="C114" t="s">
        <v>134</v>
      </c>
      <c r="D114" t="s">
        <v>587</v>
      </c>
      <c r="E114">
        <v>0</v>
      </c>
      <c r="F114" t="s">
        <v>588</v>
      </c>
      <c r="G114" t="s">
        <v>589</v>
      </c>
      <c r="H114">
        <v>2.5</v>
      </c>
      <c r="I114" t="s">
        <v>590</v>
      </c>
      <c r="J114" t="s">
        <v>23</v>
      </c>
      <c r="K114" t="s">
        <v>4</v>
      </c>
      <c r="L114">
        <v>140</v>
      </c>
      <c r="M114" t="s">
        <v>5</v>
      </c>
      <c r="N114">
        <v>50</v>
      </c>
      <c r="O114" s="2">
        <f>N114/L114</f>
        <v>0.35714285714285715</v>
      </c>
      <c r="P114" t="s">
        <v>6</v>
      </c>
      <c r="Q114">
        <v>-3.93999999999996</v>
      </c>
      <c r="R114" t="s">
        <v>7</v>
      </c>
      <c r="S114">
        <v>-2.81428571428568E-2</v>
      </c>
      <c r="T114" t="s">
        <v>8</v>
      </c>
      <c r="U114">
        <v>1.3438000000000001</v>
      </c>
      <c r="V114" t="s">
        <v>9</v>
      </c>
      <c r="W114">
        <v>-0.790333333333333</v>
      </c>
      <c r="X114" t="s">
        <v>10</v>
      </c>
      <c r="Y114">
        <v>0.22902089761045599</v>
      </c>
      <c r="Z114" t="s">
        <v>11</v>
      </c>
      <c r="AA114" t="s">
        <v>686</v>
      </c>
      <c r="AB114" t="s">
        <v>675</v>
      </c>
      <c r="AC114">
        <v>0</v>
      </c>
      <c r="AD114" t="s">
        <v>14</v>
      </c>
      <c r="AE114" t="s">
        <v>15</v>
      </c>
      <c r="AF114" t="s">
        <v>686</v>
      </c>
      <c r="AG114" t="s">
        <v>675</v>
      </c>
      <c r="AH114">
        <v>0</v>
      </c>
      <c r="AI114" t="s">
        <v>18</v>
      </c>
    </row>
    <row r="115" spans="1:35" x14ac:dyDescent="0.3">
      <c r="A115" t="str">
        <f>_xlfn.TEXTJOIN(", ", FALSE, C115,D115,E115,F115,G115,H115,I115,J115)</f>
        <v>psar_no_highvol_{'C',  [('number', 2.5,  1),  ('number', 5,  -1)]}_[35,  70]_2</v>
      </c>
      <c r="B115" t="s">
        <v>1018</v>
      </c>
      <c r="C115" t="s">
        <v>175</v>
      </c>
      <c r="D115" t="s">
        <v>587</v>
      </c>
      <c r="E115">
        <v>2.5</v>
      </c>
      <c r="F115" t="s">
        <v>588</v>
      </c>
      <c r="G115" t="s">
        <v>589</v>
      </c>
      <c r="H115">
        <v>5</v>
      </c>
      <c r="I115" t="s">
        <v>605</v>
      </c>
      <c r="J115" t="s">
        <v>40</v>
      </c>
      <c r="K115" t="s">
        <v>4</v>
      </c>
      <c r="L115">
        <v>130</v>
      </c>
      <c r="M115" t="s">
        <v>5</v>
      </c>
      <c r="N115">
        <v>39</v>
      </c>
      <c r="O115" s="2">
        <f>N115/L115</f>
        <v>0.3</v>
      </c>
      <c r="P115" t="s">
        <v>6</v>
      </c>
      <c r="Q115">
        <v>-3.9462116330463699</v>
      </c>
      <c r="R115" t="s">
        <v>7</v>
      </c>
      <c r="S115">
        <v>-3.0355474100356699E-2</v>
      </c>
      <c r="T115" t="s">
        <v>8</v>
      </c>
      <c r="U115">
        <v>1.5325558846242999</v>
      </c>
      <c r="V115" t="s">
        <v>9</v>
      </c>
      <c r="W115">
        <v>-0.70017462783949802</v>
      </c>
      <c r="X115" t="s">
        <v>10</v>
      </c>
      <c r="Y115">
        <v>0.21238134675841899</v>
      </c>
      <c r="Z115" t="s">
        <v>11</v>
      </c>
      <c r="AA115" t="s">
        <v>758</v>
      </c>
      <c r="AB115" t="s">
        <v>759</v>
      </c>
    </row>
    <row r="116" spans="1:35" x14ac:dyDescent="0.3">
      <c r="A116" t="str">
        <f>_xlfn.TEXTJOIN(", ", FALSE, C116,D116,E116,F116,G116,H116,I116,J116)</f>
        <v>psar_{'C',  [('number', 2.5,  1),  ('number', 5,  -1)]}_[7,  35]_3</v>
      </c>
      <c r="B116" t="s">
        <v>963</v>
      </c>
      <c r="C116" t="s">
        <v>134</v>
      </c>
      <c r="D116" t="s">
        <v>587</v>
      </c>
      <c r="E116">
        <v>2.5</v>
      </c>
      <c r="F116" t="s">
        <v>588</v>
      </c>
      <c r="G116" t="s">
        <v>589</v>
      </c>
      <c r="H116">
        <v>5</v>
      </c>
      <c r="I116" t="s">
        <v>590</v>
      </c>
      <c r="J116" t="s">
        <v>23</v>
      </c>
      <c r="K116" t="s">
        <v>4</v>
      </c>
      <c r="L116">
        <v>140</v>
      </c>
      <c r="M116" t="s">
        <v>5</v>
      </c>
      <c r="N116">
        <v>38</v>
      </c>
      <c r="O116" s="2">
        <f>N116/L116</f>
        <v>0.27142857142857141</v>
      </c>
      <c r="P116" t="s">
        <v>6</v>
      </c>
      <c r="Q116">
        <v>-3.9600000000000199</v>
      </c>
      <c r="R116" t="s">
        <v>7</v>
      </c>
      <c r="S116">
        <v>-2.82857142857144E-2</v>
      </c>
      <c r="T116" t="s">
        <v>8</v>
      </c>
      <c r="U116">
        <v>1.46026315789473</v>
      </c>
      <c r="V116" t="s">
        <v>9</v>
      </c>
      <c r="W116">
        <v>-0.582843137254902</v>
      </c>
      <c r="X116" t="s">
        <v>10</v>
      </c>
      <c r="Y116">
        <v>0.21245357022806999</v>
      </c>
      <c r="Z116" t="s">
        <v>11</v>
      </c>
      <c r="AA116" t="s">
        <v>713</v>
      </c>
      <c r="AB116" t="s">
        <v>595</v>
      </c>
      <c r="AC116">
        <v>0</v>
      </c>
      <c r="AD116" t="s">
        <v>14</v>
      </c>
      <c r="AE116" t="s">
        <v>15</v>
      </c>
      <c r="AF116" t="s">
        <v>713</v>
      </c>
      <c r="AG116" t="s">
        <v>595</v>
      </c>
      <c r="AH116">
        <v>0</v>
      </c>
      <c r="AI116" t="s">
        <v>18</v>
      </c>
    </row>
    <row r="117" spans="1:35" x14ac:dyDescent="0.3">
      <c r="A117" t="str">
        <f>_xlfn.TEXTJOIN(", ", FALSE, C117,D117,E117,F117,G117,H117,I117,J117)</f>
        <v>psar_{'C',  [('number', 7.5,  1),  ('number', 10,  -1)]}_[35,  70]_1</v>
      </c>
      <c r="B117" t="s">
        <v>993</v>
      </c>
      <c r="C117" t="s">
        <v>134</v>
      </c>
      <c r="D117" t="s">
        <v>587</v>
      </c>
      <c r="E117">
        <v>7.5</v>
      </c>
      <c r="F117" t="s">
        <v>588</v>
      </c>
      <c r="G117" t="s">
        <v>589</v>
      </c>
      <c r="H117">
        <v>10</v>
      </c>
      <c r="I117" t="s">
        <v>605</v>
      </c>
      <c r="J117" t="s">
        <v>38</v>
      </c>
      <c r="K117" t="s">
        <v>4</v>
      </c>
      <c r="L117">
        <v>177</v>
      </c>
      <c r="M117" t="s">
        <v>5</v>
      </c>
      <c r="N117">
        <v>64</v>
      </c>
      <c r="O117" s="2">
        <f>N117/L117</f>
        <v>0.3615819209039548</v>
      </c>
      <c r="P117" t="s">
        <v>6</v>
      </c>
      <c r="Q117">
        <v>-4.0063624750599498</v>
      </c>
      <c r="R117" t="s">
        <v>7</v>
      </c>
      <c r="S117">
        <v>-2.2634816243276502E-2</v>
      </c>
      <c r="T117" t="s">
        <v>8</v>
      </c>
      <c r="U117">
        <v>0.81612015773691704</v>
      </c>
      <c r="V117" t="s">
        <v>9</v>
      </c>
      <c r="W117">
        <v>-0.49768188115241202</v>
      </c>
      <c r="X117" t="s">
        <v>10</v>
      </c>
      <c r="Y117">
        <v>0.182986956561702</v>
      </c>
      <c r="Z117" t="s">
        <v>11</v>
      </c>
      <c r="AA117" t="s">
        <v>747</v>
      </c>
      <c r="AB117" t="s">
        <v>748</v>
      </c>
      <c r="AC117">
        <v>0</v>
      </c>
      <c r="AD117" t="s">
        <v>14</v>
      </c>
      <c r="AE117" t="s">
        <v>15</v>
      </c>
      <c r="AF117" t="s">
        <v>747</v>
      </c>
      <c r="AG117" t="s">
        <v>748</v>
      </c>
      <c r="AH117">
        <v>0</v>
      </c>
      <c r="AI117" t="s">
        <v>18</v>
      </c>
    </row>
    <row r="118" spans="1:35" x14ac:dyDescent="0.3">
      <c r="A118" t="str">
        <f>_xlfn.TEXTJOIN(", ", FALSE, C118,D118,E118,F118,G118,H118,I118,J118)</f>
        <v>alltime_{'C',  [('number', 5,  1),  ('number', 7.5,  -1)]}_[21,  49]_1</v>
      </c>
      <c r="B118" t="s">
        <v>881</v>
      </c>
      <c r="C118" t="s">
        <v>0</v>
      </c>
      <c r="D118" t="s">
        <v>587</v>
      </c>
      <c r="E118">
        <v>5</v>
      </c>
      <c r="F118" t="s">
        <v>588</v>
      </c>
      <c r="G118" t="s">
        <v>589</v>
      </c>
      <c r="H118">
        <v>7.5</v>
      </c>
      <c r="I118" t="s">
        <v>599</v>
      </c>
      <c r="J118" t="s">
        <v>28</v>
      </c>
      <c r="K118" t="s">
        <v>4</v>
      </c>
      <c r="L118">
        <v>3050</v>
      </c>
      <c r="M118" t="s">
        <v>5</v>
      </c>
      <c r="N118">
        <v>1062</v>
      </c>
      <c r="O118" s="2">
        <f>N118/L118</f>
        <v>0.34819672131147539</v>
      </c>
      <c r="P118" t="s">
        <v>6</v>
      </c>
      <c r="Q118">
        <v>-4.0438942765404704</v>
      </c>
      <c r="R118" t="s">
        <v>7</v>
      </c>
      <c r="S118">
        <v>-1.3258669759149001E-3</v>
      </c>
      <c r="T118" t="s">
        <v>8</v>
      </c>
      <c r="U118">
        <v>0.96743879472692995</v>
      </c>
      <c r="V118" t="s">
        <v>9</v>
      </c>
      <c r="W118">
        <v>-0.51884501724172005</v>
      </c>
      <c r="X118" t="s">
        <v>10</v>
      </c>
      <c r="Y118">
        <v>1.7357372971488001</v>
      </c>
      <c r="Z118" t="s">
        <v>11</v>
      </c>
      <c r="AA118" t="s">
        <v>591</v>
      </c>
      <c r="AB118" t="s">
        <v>50</v>
      </c>
      <c r="AC118">
        <v>0</v>
      </c>
      <c r="AD118" t="s">
        <v>14</v>
      </c>
      <c r="AE118" t="s">
        <v>15</v>
      </c>
      <c r="AF118" t="s">
        <v>625</v>
      </c>
      <c r="AG118" t="s">
        <v>626</v>
      </c>
      <c r="AH118">
        <v>0</v>
      </c>
      <c r="AI118" t="s">
        <v>18</v>
      </c>
    </row>
    <row r="119" spans="1:35" x14ac:dyDescent="0.3">
      <c r="A119" t="str">
        <f>_xlfn.TEXTJOIN(", ", FALSE, C119,D119,E119,F119,G119,H119,I119,J119)</f>
        <v>psar_no_highvol_{'C',  [('number', 7.5,  1),  ('number', 10,  -1)]}_[21,  49]_2</v>
      </c>
      <c r="B119" t="s">
        <v>1038</v>
      </c>
      <c r="C119" t="s">
        <v>175</v>
      </c>
      <c r="D119" t="s">
        <v>587</v>
      </c>
      <c r="E119">
        <v>7.5</v>
      </c>
      <c r="F119" t="s">
        <v>588</v>
      </c>
      <c r="G119" t="s">
        <v>589</v>
      </c>
      <c r="H119">
        <v>10</v>
      </c>
      <c r="I119" t="s">
        <v>599</v>
      </c>
      <c r="J119" t="s">
        <v>30</v>
      </c>
      <c r="K119" t="s">
        <v>4</v>
      </c>
      <c r="L119">
        <v>98</v>
      </c>
      <c r="M119" t="s">
        <v>5</v>
      </c>
      <c r="N119">
        <v>19</v>
      </c>
      <c r="O119" s="2">
        <f>N119/L119</f>
        <v>0.19387755102040816</v>
      </c>
      <c r="P119" t="s">
        <v>6</v>
      </c>
      <c r="Q119">
        <v>-4.42</v>
      </c>
      <c r="R119" t="s">
        <v>7</v>
      </c>
      <c r="S119">
        <v>-4.5102040816326502E-2</v>
      </c>
      <c r="T119" t="s">
        <v>8</v>
      </c>
      <c r="U119">
        <v>1.1852631578947299</v>
      </c>
      <c r="V119" t="s">
        <v>9</v>
      </c>
      <c r="W119">
        <v>-0.34101265822784799</v>
      </c>
      <c r="X119" t="s">
        <v>10</v>
      </c>
      <c r="Y119">
        <v>9.6230257263341404E-2</v>
      </c>
      <c r="Z119" t="s">
        <v>11</v>
      </c>
      <c r="AA119" t="s">
        <v>743</v>
      </c>
      <c r="AB119" t="s">
        <v>744</v>
      </c>
      <c r="AC119">
        <v>0</v>
      </c>
      <c r="AD119" t="s">
        <v>14</v>
      </c>
      <c r="AE119" t="s">
        <v>15</v>
      </c>
      <c r="AF119" t="s">
        <v>745</v>
      </c>
      <c r="AG119" t="s">
        <v>181</v>
      </c>
      <c r="AH119">
        <v>0</v>
      </c>
      <c r="AI119" t="s">
        <v>18</v>
      </c>
    </row>
    <row r="120" spans="1:35" x14ac:dyDescent="0.3">
      <c r="A120" t="str">
        <f>_xlfn.TEXTJOIN(", ", FALSE, C120,D120,E120,F120,G120,H120,I120,J120)</f>
        <v>psar_{'C',  [('number', 5,  1),  ('number', 7.5,  -1)]}_[7,  35]_2</v>
      </c>
      <c r="B120" t="s">
        <v>974</v>
      </c>
      <c r="C120" t="s">
        <v>134</v>
      </c>
      <c r="D120" t="s">
        <v>587</v>
      </c>
      <c r="E120">
        <v>5</v>
      </c>
      <c r="F120" t="s">
        <v>588</v>
      </c>
      <c r="G120" t="s">
        <v>589</v>
      </c>
      <c r="H120">
        <v>7.5</v>
      </c>
      <c r="I120" t="s">
        <v>590</v>
      </c>
      <c r="J120" t="s">
        <v>19</v>
      </c>
      <c r="K120" t="s">
        <v>4</v>
      </c>
      <c r="L120">
        <v>140</v>
      </c>
      <c r="M120" t="s">
        <v>5</v>
      </c>
      <c r="N120">
        <v>30</v>
      </c>
      <c r="O120" s="2">
        <f>N120/L120</f>
        <v>0.21428571428571427</v>
      </c>
      <c r="P120" t="s">
        <v>6</v>
      </c>
      <c r="Q120">
        <v>-4.42999999999995</v>
      </c>
      <c r="R120" t="s">
        <v>7</v>
      </c>
      <c r="S120">
        <v>-3.1642857142856799E-2</v>
      </c>
      <c r="T120" t="s">
        <v>8</v>
      </c>
      <c r="U120">
        <v>1.3136666666666601</v>
      </c>
      <c r="V120" t="s">
        <v>9</v>
      </c>
      <c r="W120">
        <v>-0.39854545454545398</v>
      </c>
      <c r="X120" t="s">
        <v>10</v>
      </c>
      <c r="Y120">
        <v>0.16633364100866899</v>
      </c>
      <c r="Z120" t="s">
        <v>11</v>
      </c>
      <c r="AA120" t="s">
        <v>728</v>
      </c>
      <c r="AB120" t="s">
        <v>729</v>
      </c>
      <c r="AC120">
        <v>0</v>
      </c>
      <c r="AD120" t="s">
        <v>14</v>
      </c>
      <c r="AE120" t="s">
        <v>15</v>
      </c>
      <c r="AF120" t="s">
        <v>728</v>
      </c>
      <c r="AG120" t="s">
        <v>729</v>
      </c>
      <c r="AH120">
        <v>0</v>
      </c>
      <c r="AI120" t="s">
        <v>18</v>
      </c>
    </row>
    <row r="121" spans="1:35" x14ac:dyDescent="0.3">
      <c r="A121" t="str">
        <f>_xlfn.TEXTJOIN(", ", FALSE, C121,D121,E121,F121,G121,H121,I121,J121)</f>
        <v>psar_no_highvol_{'C',  [('number', 7.5,  1),  ('number', 10,  -1)]}_[7,  35]_3</v>
      </c>
      <c r="B121" t="s">
        <v>1035</v>
      </c>
      <c r="C121" t="s">
        <v>175</v>
      </c>
      <c r="D121" t="s">
        <v>587</v>
      </c>
      <c r="E121">
        <v>7.5</v>
      </c>
      <c r="F121" t="s">
        <v>588</v>
      </c>
      <c r="G121" t="s">
        <v>589</v>
      </c>
      <c r="H121">
        <v>10</v>
      </c>
      <c r="I121" t="s">
        <v>590</v>
      </c>
      <c r="J121" t="s">
        <v>23</v>
      </c>
      <c r="K121" t="s">
        <v>4</v>
      </c>
      <c r="L121">
        <v>102</v>
      </c>
      <c r="M121" t="s">
        <v>5</v>
      </c>
      <c r="N121">
        <v>13</v>
      </c>
      <c r="O121" s="2">
        <f>N121/L121</f>
        <v>0.12745098039215685</v>
      </c>
      <c r="P121" t="s">
        <v>6</v>
      </c>
      <c r="Q121">
        <v>-4.4800000000000004</v>
      </c>
      <c r="R121" t="s">
        <v>7</v>
      </c>
      <c r="S121">
        <v>-4.3921568627450898E-2</v>
      </c>
      <c r="T121" t="s">
        <v>8</v>
      </c>
      <c r="U121">
        <v>1.2415384615384599</v>
      </c>
      <c r="V121" t="s">
        <v>9</v>
      </c>
      <c r="W121">
        <v>-0.23168539325842599</v>
      </c>
      <c r="X121" t="s">
        <v>10</v>
      </c>
      <c r="Y121">
        <v>8.4423315423480999E-2</v>
      </c>
      <c r="Z121" t="s">
        <v>11</v>
      </c>
      <c r="AA121" t="s">
        <v>764</v>
      </c>
      <c r="AB121" t="s">
        <v>160</v>
      </c>
      <c r="AC121">
        <v>0</v>
      </c>
      <c r="AD121" t="s">
        <v>14</v>
      </c>
      <c r="AE121" t="s">
        <v>15</v>
      </c>
      <c r="AF121" t="s">
        <v>764</v>
      </c>
      <c r="AG121" t="s">
        <v>160</v>
      </c>
      <c r="AH121">
        <v>0</v>
      </c>
      <c r="AI121" t="s">
        <v>18</v>
      </c>
    </row>
    <row r="122" spans="1:35" x14ac:dyDescent="0.3">
      <c r="A122" t="str">
        <f>_xlfn.TEXTJOIN(", ", FALSE, C122,D122,E122,F122,G122,H122,I122,J122)</f>
        <v>bbands_{'C',  [('number', 5,  1),  ('number', 7.5,  -1)]}_[35,  70]_2</v>
      </c>
      <c r="B122" t="s">
        <v>934</v>
      </c>
      <c r="C122" t="s">
        <v>113</v>
      </c>
      <c r="D122" t="s">
        <v>587</v>
      </c>
      <c r="E122">
        <v>5</v>
      </c>
      <c r="F122" t="s">
        <v>588</v>
      </c>
      <c r="G122" t="s">
        <v>589</v>
      </c>
      <c r="H122">
        <v>7.5</v>
      </c>
      <c r="I122" t="s">
        <v>605</v>
      </c>
      <c r="J122" t="s">
        <v>40</v>
      </c>
      <c r="K122" t="s">
        <v>4</v>
      </c>
      <c r="L122">
        <v>247</v>
      </c>
      <c r="M122" t="s">
        <v>5</v>
      </c>
      <c r="N122">
        <v>73</v>
      </c>
      <c r="O122" s="2">
        <f>N122/L122</f>
        <v>0.29554655870445345</v>
      </c>
      <c r="P122" t="s">
        <v>6</v>
      </c>
      <c r="Q122">
        <v>-4.5337611286311104</v>
      </c>
      <c r="R122" t="s">
        <v>7</v>
      </c>
      <c r="S122">
        <v>-1.83553082130814E-2</v>
      </c>
      <c r="T122" t="s">
        <v>8</v>
      </c>
      <c r="U122">
        <v>1.5593634369649101</v>
      </c>
      <c r="V122" t="s">
        <v>9</v>
      </c>
      <c r="W122">
        <v>-0.68027179325902398</v>
      </c>
      <c r="X122" t="s">
        <v>10</v>
      </c>
      <c r="Y122">
        <v>0.35318927094340802</v>
      </c>
      <c r="Z122" t="s">
        <v>11</v>
      </c>
      <c r="AA122" t="s">
        <v>699</v>
      </c>
      <c r="AB122" t="s">
        <v>700</v>
      </c>
    </row>
    <row r="123" spans="1:35" x14ac:dyDescent="0.3">
      <c r="A123" t="str">
        <f>_xlfn.TEXTJOIN(", ", FALSE, C123,D123,E123,F123,G123,H123,I123,J123)</f>
        <v>psar_no_highvol_{'C',  [('number', 7.5,  1),  ('number', 10,  -1)]}_[21,  49]_1</v>
      </c>
      <c r="B123" t="s">
        <v>1037</v>
      </c>
      <c r="C123" t="s">
        <v>175</v>
      </c>
      <c r="D123" t="s">
        <v>587</v>
      </c>
      <c r="E123">
        <v>7.5</v>
      </c>
      <c r="F123" t="s">
        <v>588</v>
      </c>
      <c r="G123" t="s">
        <v>589</v>
      </c>
      <c r="H123">
        <v>10</v>
      </c>
      <c r="I123" t="s">
        <v>599</v>
      </c>
      <c r="J123" t="s">
        <v>28</v>
      </c>
      <c r="K123" t="s">
        <v>4</v>
      </c>
      <c r="L123">
        <v>98</v>
      </c>
      <c r="M123" t="s">
        <v>5</v>
      </c>
      <c r="N123">
        <v>30</v>
      </c>
      <c r="O123" s="2">
        <f>N123/L123</f>
        <v>0.30612244897959184</v>
      </c>
      <c r="P123" t="s">
        <v>6</v>
      </c>
      <c r="Q123">
        <v>-4.5599999999999898</v>
      </c>
      <c r="R123" t="s">
        <v>7</v>
      </c>
      <c r="S123">
        <v>-4.65306122448979E-2</v>
      </c>
      <c r="T123" t="s">
        <v>8</v>
      </c>
      <c r="U123">
        <v>0.61933333333333296</v>
      </c>
      <c r="V123" t="s">
        <v>9</v>
      </c>
      <c r="W123">
        <v>-0.34029411764705803</v>
      </c>
      <c r="X123" t="s">
        <v>10</v>
      </c>
      <c r="Y123">
        <v>7.6526287980584695E-2</v>
      </c>
      <c r="Z123" t="s">
        <v>11</v>
      </c>
      <c r="AA123" t="s">
        <v>743</v>
      </c>
      <c r="AB123" t="s">
        <v>744</v>
      </c>
      <c r="AC123">
        <v>0</v>
      </c>
      <c r="AD123" t="s">
        <v>14</v>
      </c>
      <c r="AE123" t="s">
        <v>15</v>
      </c>
      <c r="AF123" t="s">
        <v>745</v>
      </c>
      <c r="AG123" t="s">
        <v>181</v>
      </c>
      <c r="AH123">
        <v>0</v>
      </c>
      <c r="AI123" t="s">
        <v>18</v>
      </c>
    </row>
    <row r="124" spans="1:35" x14ac:dyDescent="0.3">
      <c r="A124" t="str">
        <f>_xlfn.TEXTJOIN(", ", FALSE, C124,D124,E124,F124,G124,H124,I124,J124)</f>
        <v>psar_{'C',  [('number', 2.5,  1),  ('number', 5,  -1)]}_[7,  35]_1</v>
      </c>
      <c r="B124" t="s">
        <v>961</v>
      </c>
      <c r="C124" t="s">
        <v>134</v>
      </c>
      <c r="D124" t="s">
        <v>587</v>
      </c>
      <c r="E124">
        <v>2.5</v>
      </c>
      <c r="F124" t="s">
        <v>588</v>
      </c>
      <c r="G124" t="s">
        <v>589</v>
      </c>
      <c r="H124">
        <v>5</v>
      </c>
      <c r="I124" t="s">
        <v>590</v>
      </c>
      <c r="J124" t="s">
        <v>3</v>
      </c>
      <c r="K124" t="s">
        <v>4</v>
      </c>
      <c r="L124">
        <v>140</v>
      </c>
      <c r="M124" t="s">
        <v>5</v>
      </c>
      <c r="N124">
        <v>46</v>
      </c>
      <c r="O124" s="2">
        <f>N124/L124</f>
        <v>0.32857142857142857</v>
      </c>
      <c r="P124" t="s">
        <v>6</v>
      </c>
      <c r="Q124">
        <v>-4.6499999999999799</v>
      </c>
      <c r="R124" t="s">
        <v>7</v>
      </c>
      <c r="S124">
        <v>-3.3214285714285502E-2</v>
      </c>
      <c r="T124" t="s">
        <v>8</v>
      </c>
      <c r="U124">
        <v>1.09934782608695</v>
      </c>
      <c r="V124" t="s">
        <v>9</v>
      </c>
      <c r="W124">
        <v>-0.58744680851063802</v>
      </c>
      <c r="X124" t="s">
        <v>10</v>
      </c>
      <c r="Y124">
        <v>0.18785808222023101</v>
      </c>
      <c r="Z124" t="s">
        <v>11</v>
      </c>
      <c r="AA124" t="s">
        <v>712</v>
      </c>
      <c r="AB124" t="s">
        <v>675</v>
      </c>
      <c r="AC124">
        <v>0</v>
      </c>
      <c r="AD124" t="s">
        <v>14</v>
      </c>
      <c r="AE124" t="s">
        <v>15</v>
      </c>
      <c r="AF124" t="s">
        <v>106</v>
      </c>
      <c r="AG124" t="s">
        <v>614</v>
      </c>
      <c r="AH124">
        <v>0</v>
      </c>
      <c r="AI124" t="s">
        <v>18</v>
      </c>
    </row>
    <row r="125" spans="1:35" x14ac:dyDescent="0.3">
      <c r="A125" t="str">
        <f>_xlfn.TEXTJOIN(", ", FALSE, C125,D125,E125,F125,G125,H125,I125,J125)</f>
        <v>bbands_{'C',  [('number', 5,  1),  ('number', 7.5,  -1)]}_[7,  35]_3</v>
      </c>
      <c r="B125" t="s">
        <v>927</v>
      </c>
      <c r="C125" t="s">
        <v>113</v>
      </c>
      <c r="D125" t="s">
        <v>587</v>
      </c>
      <c r="E125">
        <v>5</v>
      </c>
      <c r="F125" t="s">
        <v>588</v>
      </c>
      <c r="G125" t="s">
        <v>589</v>
      </c>
      <c r="H125">
        <v>7.5</v>
      </c>
      <c r="I125" t="s">
        <v>590</v>
      </c>
      <c r="J125" t="s">
        <v>23</v>
      </c>
      <c r="K125" t="s">
        <v>4</v>
      </c>
      <c r="L125">
        <v>191</v>
      </c>
      <c r="M125" t="s">
        <v>5</v>
      </c>
      <c r="N125">
        <v>42</v>
      </c>
      <c r="O125" s="2">
        <f>N125/L125</f>
        <v>0.21989528795811519</v>
      </c>
      <c r="P125" t="s">
        <v>6</v>
      </c>
      <c r="Q125">
        <v>-4.7300000000000102</v>
      </c>
      <c r="R125" t="s">
        <v>7</v>
      </c>
      <c r="S125">
        <v>-2.4764397905759201E-2</v>
      </c>
      <c r="T125" t="s">
        <v>8</v>
      </c>
      <c r="U125">
        <v>1.6095238095238</v>
      </c>
      <c r="V125" t="s">
        <v>9</v>
      </c>
      <c r="W125">
        <v>-0.48543624161073801</v>
      </c>
      <c r="X125" t="s">
        <v>10</v>
      </c>
      <c r="Y125">
        <v>0.24989290123913399</v>
      </c>
      <c r="Z125" t="s">
        <v>11</v>
      </c>
      <c r="AA125" t="s">
        <v>686</v>
      </c>
      <c r="AB125" t="s">
        <v>675</v>
      </c>
      <c r="AC125">
        <v>0</v>
      </c>
      <c r="AD125" t="s">
        <v>14</v>
      </c>
      <c r="AE125" t="s">
        <v>15</v>
      </c>
      <c r="AF125" t="s">
        <v>687</v>
      </c>
      <c r="AG125" t="s">
        <v>611</v>
      </c>
      <c r="AH125">
        <v>0</v>
      </c>
      <c r="AI125" t="s">
        <v>18</v>
      </c>
    </row>
    <row r="126" spans="1:35" x14ac:dyDescent="0.3">
      <c r="A126" t="str">
        <f>_xlfn.TEXTJOIN(", ", FALSE, C126,D126,E126,F126,G126,H126,I126,J126)</f>
        <v>rsi_{'C',  [('number', 7.5,  1),  ('number', 10,  -1)]}_[7,  35]_2</v>
      </c>
      <c r="B126" t="s">
        <v>1082</v>
      </c>
      <c r="C126" t="s">
        <v>221</v>
      </c>
      <c r="D126" t="s">
        <v>587</v>
      </c>
      <c r="E126">
        <v>7.5</v>
      </c>
      <c r="F126" t="s">
        <v>588</v>
      </c>
      <c r="G126" t="s">
        <v>589</v>
      </c>
      <c r="H126">
        <v>10</v>
      </c>
      <c r="I126" t="s">
        <v>590</v>
      </c>
      <c r="J126" t="s">
        <v>19</v>
      </c>
      <c r="K126" t="s">
        <v>4</v>
      </c>
      <c r="L126">
        <v>35</v>
      </c>
      <c r="M126" t="s">
        <v>5</v>
      </c>
      <c r="N126">
        <v>5</v>
      </c>
      <c r="O126" s="2">
        <f>N126/L126</f>
        <v>0.14285714285714285</v>
      </c>
      <c r="P126" t="s">
        <v>6</v>
      </c>
      <c r="Q126">
        <v>-4.8199999999999896</v>
      </c>
      <c r="R126" t="s">
        <v>7</v>
      </c>
      <c r="S126">
        <v>-0.13771428571428501</v>
      </c>
      <c r="T126" t="s">
        <v>8</v>
      </c>
      <c r="U126">
        <v>1.4379999999999999</v>
      </c>
      <c r="V126" t="s">
        <v>9</v>
      </c>
      <c r="W126">
        <v>-0.40033333333333299</v>
      </c>
      <c r="X126" t="s">
        <v>10</v>
      </c>
      <c r="Y126">
        <v>5.7564235270078999E-2</v>
      </c>
      <c r="Z126" t="s">
        <v>11</v>
      </c>
      <c r="AA126" t="s">
        <v>712</v>
      </c>
      <c r="AB126" t="s">
        <v>675</v>
      </c>
      <c r="AC126">
        <v>0</v>
      </c>
      <c r="AD126" t="s">
        <v>14</v>
      </c>
      <c r="AE126" t="s">
        <v>15</v>
      </c>
      <c r="AF126" t="s">
        <v>712</v>
      </c>
      <c r="AG126" t="s">
        <v>675</v>
      </c>
      <c r="AH126">
        <v>0</v>
      </c>
      <c r="AI126" t="s">
        <v>18</v>
      </c>
    </row>
    <row r="127" spans="1:35" x14ac:dyDescent="0.3">
      <c r="A127" t="str">
        <f>_xlfn.TEXTJOIN(", ", FALSE, C127,D127,E127,F127,G127,H127,I127,J127)</f>
        <v>psar_{'C',  [('number', 0,  1),  ('number', 2.5,  -1)]}_[7,  35]_2</v>
      </c>
      <c r="B127" t="s">
        <v>950</v>
      </c>
      <c r="C127" t="s">
        <v>134</v>
      </c>
      <c r="D127" t="s">
        <v>587</v>
      </c>
      <c r="E127">
        <v>0</v>
      </c>
      <c r="F127" t="s">
        <v>588</v>
      </c>
      <c r="G127" t="s">
        <v>589</v>
      </c>
      <c r="H127">
        <v>2.5</v>
      </c>
      <c r="I127" t="s">
        <v>590</v>
      </c>
      <c r="J127" t="s">
        <v>19</v>
      </c>
      <c r="K127" t="s">
        <v>4</v>
      </c>
      <c r="L127">
        <v>140</v>
      </c>
      <c r="M127" t="s">
        <v>5</v>
      </c>
      <c r="N127">
        <v>50</v>
      </c>
      <c r="O127" s="2">
        <f>N127/L127</f>
        <v>0.35714285714285715</v>
      </c>
      <c r="P127" t="s">
        <v>6</v>
      </c>
      <c r="Q127">
        <v>-4.9399999999999604</v>
      </c>
      <c r="R127" t="s">
        <v>7</v>
      </c>
      <c r="S127">
        <v>-3.5285714285713997E-2</v>
      </c>
      <c r="T127" t="s">
        <v>8</v>
      </c>
      <c r="U127">
        <v>1.3238000000000001</v>
      </c>
      <c r="V127" t="s">
        <v>9</v>
      </c>
      <c r="W127">
        <v>-0.790333333333333</v>
      </c>
      <c r="X127" t="s">
        <v>10</v>
      </c>
      <c r="Y127">
        <v>0.22824016645532</v>
      </c>
      <c r="Z127" t="s">
        <v>11</v>
      </c>
      <c r="AA127" t="s">
        <v>686</v>
      </c>
      <c r="AB127" t="s">
        <v>675</v>
      </c>
      <c r="AC127">
        <v>0</v>
      </c>
      <c r="AD127" t="s">
        <v>14</v>
      </c>
      <c r="AE127" t="s">
        <v>15</v>
      </c>
      <c r="AF127" t="s">
        <v>686</v>
      </c>
      <c r="AG127" t="s">
        <v>675</v>
      </c>
      <c r="AH127">
        <v>0</v>
      </c>
      <c r="AI127" t="s">
        <v>18</v>
      </c>
    </row>
    <row r="128" spans="1:35" x14ac:dyDescent="0.3">
      <c r="A128" t="str">
        <f>_xlfn.TEXTJOIN(", ", FALSE, C128,D128,E128,F128,G128,H128,I128,J128)</f>
        <v>psar_no_highvol_{'C',  [('number', 2.5,  1),  ('number', 5,  -1)]}_[21,  49]_1</v>
      </c>
      <c r="B128" t="s">
        <v>1013</v>
      </c>
      <c r="C128" t="s">
        <v>175</v>
      </c>
      <c r="D128" t="s">
        <v>587</v>
      </c>
      <c r="E128">
        <v>2.5</v>
      </c>
      <c r="F128" t="s">
        <v>588</v>
      </c>
      <c r="G128" t="s">
        <v>589</v>
      </c>
      <c r="H128">
        <v>5</v>
      </c>
      <c r="I128" t="s">
        <v>599</v>
      </c>
      <c r="J128" t="s">
        <v>28</v>
      </c>
      <c r="K128" t="s">
        <v>4</v>
      </c>
      <c r="L128">
        <v>98</v>
      </c>
      <c r="M128" t="s">
        <v>5</v>
      </c>
      <c r="N128">
        <v>32</v>
      </c>
      <c r="O128" s="2">
        <f>N128/L128</f>
        <v>0.32653061224489793</v>
      </c>
      <c r="P128" t="s">
        <v>6</v>
      </c>
      <c r="Q128">
        <v>-5.16</v>
      </c>
      <c r="R128" t="s">
        <v>7</v>
      </c>
      <c r="S128">
        <v>-5.2653061224489803E-2</v>
      </c>
      <c r="T128" t="s">
        <v>8</v>
      </c>
      <c r="U128">
        <v>1.11718749999999</v>
      </c>
      <c r="V128" t="s">
        <v>9</v>
      </c>
      <c r="W128">
        <v>-0.61984848484848498</v>
      </c>
      <c r="X128" t="s">
        <v>10</v>
      </c>
      <c r="Y128">
        <v>0.12653407991061999</v>
      </c>
      <c r="Z128" t="s">
        <v>11</v>
      </c>
      <c r="AA128" t="s">
        <v>714</v>
      </c>
      <c r="AB128" t="s">
        <v>715</v>
      </c>
      <c r="AC128">
        <v>0</v>
      </c>
      <c r="AD128" t="s">
        <v>14</v>
      </c>
      <c r="AE128" t="s">
        <v>15</v>
      </c>
      <c r="AF128" t="s">
        <v>714</v>
      </c>
      <c r="AG128" t="s">
        <v>715</v>
      </c>
      <c r="AH128">
        <v>0</v>
      </c>
      <c r="AI128" t="s">
        <v>18</v>
      </c>
    </row>
    <row r="129" spans="1:35" x14ac:dyDescent="0.3">
      <c r="A129" t="str">
        <f>_xlfn.TEXTJOIN(", ", FALSE, C129,D129,E129,F129,G129,H129,I129,J129)</f>
        <v>psar_{'C',  [('number', 5,  1),  ('number', 7.5,  -1)]}_[35,  70]_4</v>
      </c>
      <c r="B129" t="s">
        <v>984</v>
      </c>
      <c r="C129" t="s">
        <v>134</v>
      </c>
      <c r="D129" t="s">
        <v>587</v>
      </c>
      <c r="E129">
        <v>5</v>
      </c>
      <c r="F129" t="s">
        <v>588</v>
      </c>
      <c r="G129" t="s">
        <v>589</v>
      </c>
      <c r="H129">
        <v>7.5</v>
      </c>
      <c r="I129" t="s">
        <v>605</v>
      </c>
      <c r="J129" t="s">
        <v>44</v>
      </c>
      <c r="K129" t="s">
        <v>4</v>
      </c>
      <c r="L129">
        <v>177</v>
      </c>
      <c r="M129" t="s">
        <v>5</v>
      </c>
      <c r="N129">
        <v>44</v>
      </c>
      <c r="O129" s="2">
        <f>N129/L129</f>
        <v>0.24858757062146894</v>
      </c>
      <c r="P129" t="s">
        <v>6</v>
      </c>
      <c r="Q129">
        <v>-5.4519530990956797</v>
      </c>
      <c r="R129" t="s">
        <v>7</v>
      </c>
      <c r="S129">
        <v>-3.0801994910145E-2</v>
      </c>
      <c r="T129" t="s">
        <v>8</v>
      </c>
      <c r="U129">
        <v>1.60249999999999</v>
      </c>
      <c r="V129" t="s">
        <v>9</v>
      </c>
      <c r="W129">
        <v>-0.57114250450447801</v>
      </c>
      <c r="X129" t="s">
        <v>10</v>
      </c>
      <c r="Y129">
        <v>0.342955437649269</v>
      </c>
      <c r="Z129" t="s">
        <v>11</v>
      </c>
      <c r="AA129" t="s">
        <v>738</v>
      </c>
      <c r="AB129" t="s">
        <v>635</v>
      </c>
      <c r="AC129">
        <v>0</v>
      </c>
      <c r="AD129" t="s">
        <v>14</v>
      </c>
      <c r="AE129" t="s">
        <v>15</v>
      </c>
      <c r="AF129" t="s">
        <v>738</v>
      </c>
      <c r="AG129" t="s">
        <v>635</v>
      </c>
      <c r="AH129">
        <v>0</v>
      </c>
      <c r="AI129" t="s">
        <v>18</v>
      </c>
    </row>
    <row r="130" spans="1:35" x14ac:dyDescent="0.3">
      <c r="A130" t="str">
        <f>_xlfn.TEXTJOIN(", ", FALSE, C130,D130,E130,F130,G130,H130,I130,J130)</f>
        <v>psar_no_highvol_{'C',  [('number', 5,  1),  ('number', 7.5,  -1)]}_[35,  70]_4</v>
      </c>
      <c r="B130" t="s">
        <v>1032</v>
      </c>
      <c r="C130" t="s">
        <v>175</v>
      </c>
      <c r="D130" t="s">
        <v>587</v>
      </c>
      <c r="E130">
        <v>5</v>
      </c>
      <c r="F130" t="s">
        <v>588</v>
      </c>
      <c r="G130" t="s">
        <v>589</v>
      </c>
      <c r="H130">
        <v>7.5</v>
      </c>
      <c r="I130" t="s">
        <v>605</v>
      </c>
      <c r="J130" t="s">
        <v>44</v>
      </c>
      <c r="K130" t="s">
        <v>4</v>
      </c>
      <c r="L130">
        <v>130</v>
      </c>
      <c r="M130" t="s">
        <v>5</v>
      </c>
      <c r="N130">
        <v>28</v>
      </c>
      <c r="O130" s="2">
        <f>N130/L130</f>
        <v>0.2153846153846154</v>
      </c>
      <c r="P130" t="s">
        <v>6</v>
      </c>
      <c r="Q130">
        <v>-5.5365393660951598</v>
      </c>
      <c r="R130" t="s">
        <v>7</v>
      </c>
      <c r="S130">
        <v>-4.2588764354578097E-2</v>
      </c>
      <c r="T130" t="s">
        <v>8</v>
      </c>
      <c r="U130">
        <v>1.7064285714285701</v>
      </c>
      <c r="V130" t="s">
        <v>9</v>
      </c>
      <c r="W130">
        <v>-0.52271117025583402</v>
      </c>
      <c r="X130" t="s">
        <v>10</v>
      </c>
      <c r="Y130">
        <v>0.21879471061601899</v>
      </c>
      <c r="Z130" t="s">
        <v>11</v>
      </c>
      <c r="AA130" t="s">
        <v>761</v>
      </c>
      <c r="AB130" t="s">
        <v>723</v>
      </c>
    </row>
    <row r="131" spans="1:35" x14ac:dyDescent="0.3">
      <c r="A131" t="str">
        <f>_xlfn.TEXTJOIN(", ", FALSE, C131,D131,E131,F131,G131,H131,I131,J131)</f>
        <v>psar_no_highvol_{'C',  [('number', 7.5,  1),  ('number', 10,  -1)]}_[7,  35]_2</v>
      </c>
      <c r="B131" t="s">
        <v>1034</v>
      </c>
      <c r="C131" t="s">
        <v>175</v>
      </c>
      <c r="D131" t="s">
        <v>587</v>
      </c>
      <c r="E131">
        <v>7.5</v>
      </c>
      <c r="F131" t="s">
        <v>588</v>
      </c>
      <c r="G131" t="s">
        <v>589</v>
      </c>
      <c r="H131">
        <v>10</v>
      </c>
      <c r="I131" t="s">
        <v>590</v>
      </c>
      <c r="J131" t="s">
        <v>19</v>
      </c>
      <c r="K131" t="s">
        <v>4</v>
      </c>
      <c r="L131">
        <v>102</v>
      </c>
      <c r="M131" t="s">
        <v>5</v>
      </c>
      <c r="N131">
        <v>15</v>
      </c>
      <c r="O131" s="2">
        <f>N131/L131</f>
        <v>0.14705882352941177</v>
      </c>
      <c r="P131" t="s">
        <v>6</v>
      </c>
      <c r="Q131">
        <v>-5.6399999999999899</v>
      </c>
      <c r="R131" t="s">
        <v>7</v>
      </c>
      <c r="S131">
        <v>-5.5294117647058702E-2</v>
      </c>
      <c r="T131" t="s">
        <v>8</v>
      </c>
      <c r="U131">
        <v>0.95933333333333304</v>
      </c>
      <c r="V131" t="s">
        <v>9</v>
      </c>
      <c r="W131">
        <v>-0.230229885057471</v>
      </c>
      <c r="X131" t="s">
        <v>10</v>
      </c>
      <c r="Y131">
        <v>8.06692699739157E-2</v>
      </c>
      <c r="Z131" t="s">
        <v>11</v>
      </c>
      <c r="AA131" t="s">
        <v>762</v>
      </c>
      <c r="AB131" t="s">
        <v>763</v>
      </c>
      <c r="AC131">
        <v>0</v>
      </c>
      <c r="AD131" t="s">
        <v>14</v>
      </c>
      <c r="AE131" t="s">
        <v>15</v>
      </c>
      <c r="AF131" t="s">
        <v>762</v>
      </c>
      <c r="AG131" t="s">
        <v>763</v>
      </c>
      <c r="AH131">
        <v>0</v>
      </c>
      <c r="AI131" t="s">
        <v>18</v>
      </c>
    </row>
    <row r="132" spans="1:35" x14ac:dyDescent="0.3">
      <c r="A132" t="str">
        <f>_xlfn.TEXTJOIN(", ", FALSE, C132,D132,E132,F132,G132,H132,I132,J132)</f>
        <v>bbands_{'C',  [('number', 7.5,  1),  ('number', 10,  -1)]}_[35,  70]_1</v>
      </c>
      <c r="B132" t="s">
        <v>945</v>
      </c>
      <c r="C132" t="s">
        <v>113</v>
      </c>
      <c r="D132" t="s">
        <v>587</v>
      </c>
      <c r="E132">
        <v>7.5</v>
      </c>
      <c r="F132" t="s">
        <v>588</v>
      </c>
      <c r="G132" t="s">
        <v>589</v>
      </c>
      <c r="H132">
        <v>10</v>
      </c>
      <c r="I132" t="s">
        <v>605</v>
      </c>
      <c r="J132" t="s">
        <v>38</v>
      </c>
      <c r="K132" t="s">
        <v>4</v>
      </c>
      <c r="L132">
        <v>247</v>
      </c>
      <c r="M132" t="s">
        <v>5</v>
      </c>
      <c r="N132">
        <v>88</v>
      </c>
      <c r="O132" s="2">
        <f>N132/L132</f>
        <v>0.35627530364372467</v>
      </c>
      <c r="P132" t="s">
        <v>6</v>
      </c>
      <c r="Q132">
        <v>-5.6638637346375802</v>
      </c>
      <c r="R132" t="s">
        <v>7</v>
      </c>
      <c r="S132">
        <v>-2.2930622407439601E-2</v>
      </c>
      <c r="T132" t="s">
        <v>8</v>
      </c>
      <c r="U132">
        <v>0.99620848812409402</v>
      </c>
      <c r="V132" t="s">
        <v>9</v>
      </c>
      <c r="W132">
        <v>-0.58698245716703001</v>
      </c>
      <c r="X132" t="s">
        <v>10</v>
      </c>
      <c r="Y132">
        <v>0.25428904779115002</v>
      </c>
      <c r="Z132" t="s">
        <v>11</v>
      </c>
      <c r="AA132" t="s">
        <v>646</v>
      </c>
      <c r="AB132" t="s">
        <v>647</v>
      </c>
      <c r="AC132">
        <v>0</v>
      </c>
      <c r="AD132" t="s">
        <v>14</v>
      </c>
      <c r="AE132" t="s">
        <v>15</v>
      </c>
      <c r="AF132" t="s">
        <v>707</v>
      </c>
      <c r="AG132" t="s">
        <v>647</v>
      </c>
      <c r="AH132">
        <v>0</v>
      </c>
      <c r="AI132" t="s">
        <v>18</v>
      </c>
    </row>
    <row r="133" spans="1:35" x14ac:dyDescent="0.3">
      <c r="A133" t="str">
        <f>_xlfn.TEXTJOIN(", ", FALSE, C133,D133,E133,F133,G133,H133,I133,J133)</f>
        <v>rsi_{'C',  [('number', 7.5,  1),  ('number', 10,  -1)]}_[7,  35]_3</v>
      </c>
      <c r="B133" t="s">
        <v>1083</v>
      </c>
      <c r="C133" t="s">
        <v>221</v>
      </c>
      <c r="D133" t="s">
        <v>587</v>
      </c>
      <c r="E133">
        <v>7.5</v>
      </c>
      <c r="F133" t="s">
        <v>588</v>
      </c>
      <c r="G133" t="s">
        <v>589</v>
      </c>
      <c r="H133">
        <v>10</v>
      </c>
      <c r="I133" t="s">
        <v>590</v>
      </c>
      <c r="J133" t="s">
        <v>23</v>
      </c>
      <c r="K133" t="s">
        <v>4</v>
      </c>
      <c r="L133">
        <v>35</v>
      </c>
      <c r="M133" t="s">
        <v>5</v>
      </c>
      <c r="N133">
        <v>4</v>
      </c>
      <c r="O133" s="2">
        <f>N133/L133</f>
        <v>0.11428571428571428</v>
      </c>
      <c r="P133" t="s">
        <v>6</v>
      </c>
      <c r="Q133">
        <v>-5.87</v>
      </c>
      <c r="R133" t="s">
        <v>7</v>
      </c>
      <c r="S133">
        <v>-0.16771428571428501</v>
      </c>
      <c r="T133" t="s">
        <v>8</v>
      </c>
      <c r="U133">
        <v>1.605</v>
      </c>
      <c r="V133" t="s">
        <v>9</v>
      </c>
      <c r="W133">
        <v>-0.396451612903225</v>
      </c>
      <c r="X133" t="s">
        <v>10</v>
      </c>
      <c r="Y133">
        <v>5.8333482819915003E-2</v>
      </c>
      <c r="Z133" t="s">
        <v>11</v>
      </c>
      <c r="AA133" t="s">
        <v>712</v>
      </c>
      <c r="AB133" t="s">
        <v>675</v>
      </c>
      <c r="AC133">
        <v>0</v>
      </c>
      <c r="AD133" t="s">
        <v>14</v>
      </c>
      <c r="AE133" t="s">
        <v>15</v>
      </c>
      <c r="AF133" t="s">
        <v>712</v>
      </c>
      <c r="AG133" t="s">
        <v>675</v>
      </c>
      <c r="AH133">
        <v>0</v>
      </c>
      <c r="AI133" t="s">
        <v>18</v>
      </c>
    </row>
    <row r="134" spans="1:35" x14ac:dyDescent="0.3">
      <c r="A134" t="str">
        <f>_xlfn.TEXTJOIN(", ", FALSE, C134,D134,E134,F134,G134,H134,I134,J134)</f>
        <v>bbands_{'C',  [('number', 7.5,  1),  ('number', 10,  -1)]}_[21,  49]_2</v>
      </c>
      <c r="B134" t="s">
        <v>942</v>
      </c>
      <c r="C134" t="s">
        <v>113</v>
      </c>
      <c r="D134" t="s">
        <v>587</v>
      </c>
      <c r="E134">
        <v>7.5</v>
      </c>
      <c r="F134" t="s">
        <v>588</v>
      </c>
      <c r="G134" t="s">
        <v>589</v>
      </c>
      <c r="H134">
        <v>10</v>
      </c>
      <c r="I134" t="s">
        <v>599</v>
      </c>
      <c r="J134" t="s">
        <v>30</v>
      </c>
      <c r="K134" t="s">
        <v>4</v>
      </c>
      <c r="L134">
        <v>200</v>
      </c>
      <c r="M134" t="s">
        <v>5</v>
      </c>
      <c r="N134">
        <v>47</v>
      </c>
      <c r="O134" s="2">
        <f>N134/L134</f>
        <v>0.23499999999999999</v>
      </c>
      <c r="P134" t="s">
        <v>6</v>
      </c>
      <c r="Q134">
        <v>-6.0238942765408297</v>
      </c>
      <c r="R134" t="s">
        <v>7</v>
      </c>
      <c r="S134">
        <v>-3.0119471382704099E-2</v>
      </c>
      <c r="T134" t="s">
        <v>8</v>
      </c>
      <c r="U134">
        <v>1.3668085106382899</v>
      </c>
      <c r="V134" t="s">
        <v>9</v>
      </c>
      <c r="W134">
        <v>-0.45924113906235797</v>
      </c>
      <c r="X134" t="s">
        <v>10</v>
      </c>
      <c r="Y134">
        <v>0.221116990488156</v>
      </c>
      <c r="Z134" t="s">
        <v>11</v>
      </c>
      <c r="AA134" t="s">
        <v>674</v>
      </c>
      <c r="AB134" t="s">
        <v>675</v>
      </c>
      <c r="AC134">
        <v>0</v>
      </c>
      <c r="AD134" t="s">
        <v>14</v>
      </c>
      <c r="AE134" t="s">
        <v>15</v>
      </c>
      <c r="AF134" t="s">
        <v>163</v>
      </c>
      <c r="AG134" t="s">
        <v>675</v>
      </c>
      <c r="AH134">
        <v>0</v>
      </c>
      <c r="AI134" t="s">
        <v>18</v>
      </c>
    </row>
    <row r="135" spans="1:35" x14ac:dyDescent="0.3">
      <c r="A135" t="str">
        <f>_xlfn.TEXTJOIN(", ", FALSE, C135,D135,E135,F135,G135,H135,I135,J135)</f>
        <v>psar_no_highvol_{'C',  [('number', 5,  1),  ('number', 7.5,  -1)]}_[35,  70]_2</v>
      </c>
      <c r="B135" t="s">
        <v>1030</v>
      </c>
      <c r="C135" t="s">
        <v>175</v>
      </c>
      <c r="D135" t="s">
        <v>587</v>
      </c>
      <c r="E135">
        <v>5</v>
      </c>
      <c r="F135" t="s">
        <v>588</v>
      </c>
      <c r="G135" t="s">
        <v>589</v>
      </c>
      <c r="H135">
        <v>7.5</v>
      </c>
      <c r="I135" t="s">
        <v>605</v>
      </c>
      <c r="J135" t="s">
        <v>40</v>
      </c>
      <c r="K135" t="s">
        <v>4</v>
      </c>
      <c r="L135">
        <v>130</v>
      </c>
      <c r="M135" t="s">
        <v>5</v>
      </c>
      <c r="N135">
        <v>31</v>
      </c>
      <c r="O135" s="2">
        <f>N135/L135</f>
        <v>0.23846153846153847</v>
      </c>
      <c r="P135" t="s">
        <v>6</v>
      </c>
      <c r="Q135">
        <v>-6.1865123878100299</v>
      </c>
      <c r="R135" t="s">
        <v>7</v>
      </c>
      <c r="S135">
        <v>-4.7588556829307897E-2</v>
      </c>
      <c r="T135" t="s">
        <v>8</v>
      </c>
      <c r="U135">
        <v>1.4829040960737101</v>
      </c>
      <c r="V135" t="s">
        <v>9</v>
      </c>
      <c r="W135">
        <v>-0.526833730970658</v>
      </c>
      <c r="X135" t="s">
        <v>10</v>
      </c>
      <c r="Y135">
        <v>0.17704163842794801</v>
      </c>
      <c r="Z135" t="s">
        <v>11</v>
      </c>
      <c r="AA135" t="s">
        <v>708</v>
      </c>
      <c r="AB135" t="s">
        <v>601</v>
      </c>
      <c r="AC135">
        <v>0</v>
      </c>
      <c r="AD135" t="s">
        <v>14</v>
      </c>
      <c r="AE135" t="s">
        <v>15</v>
      </c>
      <c r="AF135" t="s">
        <v>708</v>
      </c>
      <c r="AG135" t="s">
        <v>601</v>
      </c>
      <c r="AH135">
        <v>0</v>
      </c>
      <c r="AI135" t="s">
        <v>18</v>
      </c>
    </row>
    <row r="136" spans="1:35" x14ac:dyDescent="0.3">
      <c r="A136" t="str">
        <f>_xlfn.TEXTJOIN(", ", FALSE, C136,D136,E136,F136,G136,H136,I136,J136)</f>
        <v>bbands_{'C',  [('number', 7.5,  1),  ('number', 10,  -1)]}_[21,  49]_3</v>
      </c>
      <c r="B136" t="s">
        <v>943</v>
      </c>
      <c r="C136" t="s">
        <v>113</v>
      </c>
      <c r="D136" t="s">
        <v>587</v>
      </c>
      <c r="E136">
        <v>7.5</v>
      </c>
      <c r="F136" t="s">
        <v>588</v>
      </c>
      <c r="G136" t="s">
        <v>589</v>
      </c>
      <c r="H136">
        <v>10</v>
      </c>
      <c r="I136" t="s">
        <v>599</v>
      </c>
      <c r="J136" t="s">
        <v>33</v>
      </c>
      <c r="K136" t="s">
        <v>4</v>
      </c>
      <c r="L136">
        <v>200</v>
      </c>
      <c r="M136" t="s">
        <v>5</v>
      </c>
      <c r="N136">
        <v>40</v>
      </c>
      <c r="O136" s="2">
        <f>N136/L136</f>
        <v>0.2</v>
      </c>
      <c r="P136" t="s">
        <v>6</v>
      </c>
      <c r="Q136">
        <v>-6.3012403101263104</v>
      </c>
      <c r="R136" t="s">
        <v>7</v>
      </c>
      <c r="S136">
        <v>-3.1506201550631503E-2</v>
      </c>
      <c r="T136" t="s">
        <v>8</v>
      </c>
      <c r="U136">
        <v>1.65731634916036</v>
      </c>
      <c r="V136" t="s">
        <v>9</v>
      </c>
      <c r="W136">
        <v>-0.45371183922837999</v>
      </c>
      <c r="X136" t="s">
        <v>10</v>
      </c>
      <c r="Y136">
        <v>0.24888642157624699</v>
      </c>
      <c r="Z136" t="s">
        <v>11</v>
      </c>
      <c r="AA136" t="s">
        <v>674</v>
      </c>
      <c r="AB136" t="s">
        <v>675</v>
      </c>
      <c r="AC136">
        <v>0</v>
      </c>
      <c r="AD136" t="s">
        <v>14</v>
      </c>
      <c r="AE136" t="s">
        <v>15</v>
      </c>
      <c r="AF136" t="s">
        <v>163</v>
      </c>
      <c r="AG136" t="s">
        <v>675</v>
      </c>
      <c r="AH136">
        <v>0</v>
      </c>
      <c r="AI136" t="s">
        <v>18</v>
      </c>
    </row>
    <row r="137" spans="1:35" x14ac:dyDescent="0.3">
      <c r="A137" t="str">
        <f>_xlfn.TEXTJOIN(", ", FALSE, C137,D137,E137,F137,G137,H137,I137,J137)</f>
        <v>psar_{'C',  [('number', 0,  1),  ('number', 2.5,  -1)]}_[7,  35]_1</v>
      </c>
      <c r="B137" t="s">
        <v>949</v>
      </c>
      <c r="C137" t="s">
        <v>134</v>
      </c>
      <c r="D137" t="s">
        <v>587</v>
      </c>
      <c r="E137">
        <v>0</v>
      </c>
      <c r="F137" t="s">
        <v>588</v>
      </c>
      <c r="G137" t="s">
        <v>589</v>
      </c>
      <c r="H137">
        <v>2.5</v>
      </c>
      <c r="I137" t="s">
        <v>590</v>
      </c>
      <c r="J137" t="s">
        <v>3</v>
      </c>
      <c r="K137" t="s">
        <v>4</v>
      </c>
      <c r="L137">
        <v>140</v>
      </c>
      <c r="M137" t="s">
        <v>5</v>
      </c>
      <c r="N137">
        <v>52</v>
      </c>
      <c r="O137" s="2">
        <f>N137/L137</f>
        <v>0.37142857142857144</v>
      </c>
      <c r="P137" t="s">
        <v>6</v>
      </c>
      <c r="Q137">
        <v>-6.5199999999999703</v>
      </c>
      <c r="R137" t="s">
        <v>7</v>
      </c>
      <c r="S137">
        <v>-4.6571428571428299E-2</v>
      </c>
      <c r="T137" t="s">
        <v>8</v>
      </c>
      <c r="U137">
        <v>1.2071153846153799</v>
      </c>
      <c r="V137" t="s">
        <v>9</v>
      </c>
      <c r="W137">
        <v>-0.78738636363636305</v>
      </c>
      <c r="X137" t="s">
        <v>10</v>
      </c>
      <c r="Y137">
        <v>0.22153179172077</v>
      </c>
      <c r="Z137" t="s">
        <v>11</v>
      </c>
      <c r="AA137" t="s">
        <v>686</v>
      </c>
      <c r="AB137" t="s">
        <v>675</v>
      </c>
      <c r="AC137">
        <v>0</v>
      </c>
      <c r="AD137" t="s">
        <v>14</v>
      </c>
      <c r="AE137" t="s">
        <v>15</v>
      </c>
      <c r="AF137" t="s">
        <v>686</v>
      </c>
      <c r="AG137" t="s">
        <v>675</v>
      </c>
      <c r="AH137">
        <v>0</v>
      </c>
      <c r="AI137" t="s">
        <v>18</v>
      </c>
    </row>
    <row r="138" spans="1:35" x14ac:dyDescent="0.3">
      <c r="A138" t="str">
        <f>_xlfn.TEXTJOIN(", ", FALSE, C138,D138,E138,F138,G138,H138,I138,J138)</f>
        <v>bbands_{'C',  [('number', 2.5,  1),  ('number', 5,  -1)]}_[35,  70]_4</v>
      </c>
      <c r="B138" t="s">
        <v>924</v>
      </c>
      <c r="C138" t="s">
        <v>113</v>
      </c>
      <c r="D138" t="s">
        <v>587</v>
      </c>
      <c r="E138">
        <v>2.5</v>
      </c>
      <c r="F138" t="s">
        <v>588</v>
      </c>
      <c r="G138" t="s">
        <v>589</v>
      </c>
      <c r="H138">
        <v>5</v>
      </c>
      <c r="I138" t="s">
        <v>605</v>
      </c>
      <c r="J138" t="s">
        <v>44</v>
      </c>
      <c r="K138" t="s">
        <v>4</v>
      </c>
      <c r="L138">
        <v>247</v>
      </c>
      <c r="M138" t="s">
        <v>5</v>
      </c>
      <c r="N138">
        <v>81</v>
      </c>
      <c r="O138" s="2">
        <f>N138/L138</f>
        <v>0.32793522267206476</v>
      </c>
      <c r="P138" t="s">
        <v>6</v>
      </c>
      <c r="Q138">
        <v>-6.5684293909368803</v>
      </c>
      <c r="R138" t="s">
        <v>7</v>
      </c>
      <c r="S138">
        <v>-2.65928315422546E-2</v>
      </c>
      <c r="T138" t="s">
        <v>8</v>
      </c>
      <c r="U138">
        <v>1.5672807127317001</v>
      </c>
      <c r="V138" t="s">
        <v>9</v>
      </c>
      <c r="W138">
        <v>-0.80432630796509197</v>
      </c>
      <c r="X138" t="s">
        <v>10</v>
      </c>
      <c r="Y138">
        <v>0.44682865055738702</v>
      </c>
      <c r="Z138" t="s">
        <v>11</v>
      </c>
      <c r="AA138" t="s">
        <v>678</v>
      </c>
      <c r="AB138" t="s">
        <v>679</v>
      </c>
      <c r="AC138">
        <v>0</v>
      </c>
      <c r="AD138" t="s">
        <v>14</v>
      </c>
      <c r="AE138" t="s">
        <v>15</v>
      </c>
      <c r="AF138" t="s">
        <v>680</v>
      </c>
      <c r="AG138" t="s">
        <v>679</v>
      </c>
      <c r="AH138">
        <v>0</v>
      </c>
      <c r="AI138" t="s">
        <v>18</v>
      </c>
    </row>
    <row r="139" spans="1:35" x14ac:dyDescent="0.3">
      <c r="A139" t="str">
        <f>_xlfn.TEXTJOIN(", ", FALSE, C139,D139,E139,F139,G139,H139,I139,J139)</f>
        <v>rsi_{'C',  [('number', 7.5,  1),  ('number', 10,  -1)]}_[7,  35]_4</v>
      </c>
      <c r="B139" t="s">
        <v>1084</v>
      </c>
      <c r="C139" t="s">
        <v>221</v>
      </c>
      <c r="D139" t="s">
        <v>587</v>
      </c>
      <c r="E139">
        <v>7.5</v>
      </c>
      <c r="F139" t="s">
        <v>588</v>
      </c>
      <c r="G139" t="s">
        <v>589</v>
      </c>
      <c r="H139">
        <v>10</v>
      </c>
      <c r="I139" t="s">
        <v>590</v>
      </c>
      <c r="J139" t="s">
        <v>26</v>
      </c>
      <c r="K139" t="s">
        <v>4</v>
      </c>
      <c r="L139">
        <v>35</v>
      </c>
      <c r="M139" t="s">
        <v>5</v>
      </c>
      <c r="N139">
        <v>4</v>
      </c>
      <c r="O139" s="2">
        <f>N139/L139</f>
        <v>0.11428571428571428</v>
      </c>
      <c r="P139" t="s">
        <v>6</v>
      </c>
      <c r="Q139">
        <v>-6.93</v>
      </c>
      <c r="R139" t="s">
        <v>7</v>
      </c>
      <c r="S139">
        <v>-0.19800000000000001</v>
      </c>
      <c r="T139" t="s">
        <v>8</v>
      </c>
      <c r="U139">
        <v>1.3399999999999901</v>
      </c>
      <c r="V139" t="s">
        <v>9</v>
      </c>
      <c r="W139">
        <v>-0.396451612903225</v>
      </c>
      <c r="X139" t="s">
        <v>10</v>
      </c>
      <c r="Y139">
        <v>5.9842767043759598E-2</v>
      </c>
      <c r="Z139" t="s">
        <v>11</v>
      </c>
      <c r="AA139" t="s">
        <v>712</v>
      </c>
      <c r="AB139" t="s">
        <v>675</v>
      </c>
      <c r="AC139">
        <v>0</v>
      </c>
      <c r="AD139" t="s">
        <v>14</v>
      </c>
      <c r="AE139" t="s">
        <v>15</v>
      </c>
      <c r="AF139" t="s">
        <v>712</v>
      </c>
      <c r="AG139" t="s">
        <v>675</v>
      </c>
      <c r="AH139">
        <v>0</v>
      </c>
      <c r="AI139" t="s">
        <v>18</v>
      </c>
    </row>
    <row r="140" spans="1:35" x14ac:dyDescent="0.3">
      <c r="A140" t="str">
        <f>_xlfn.TEXTJOIN(", ", FALSE, C140,D140,E140,F140,G140,H140,I140,J140)</f>
        <v>psar_{'C',  [('number', 7.5,  1),  ('number', 10,  -1)]}_[35,  70]_4</v>
      </c>
      <c r="B140" t="s">
        <v>996</v>
      </c>
      <c r="C140" t="s">
        <v>134</v>
      </c>
      <c r="D140" t="s">
        <v>587</v>
      </c>
      <c r="E140">
        <v>7.5</v>
      </c>
      <c r="F140" t="s">
        <v>588</v>
      </c>
      <c r="G140" t="s">
        <v>589</v>
      </c>
      <c r="H140">
        <v>10</v>
      </c>
      <c r="I140" t="s">
        <v>605</v>
      </c>
      <c r="J140" t="s">
        <v>44</v>
      </c>
      <c r="K140" t="s">
        <v>4</v>
      </c>
      <c r="L140">
        <v>177</v>
      </c>
      <c r="M140" t="s">
        <v>5</v>
      </c>
      <c r="N140">
        <v>34</v>
      </c>
      <c r="O140" s="2">
        <f>N140/L140</f>
        <v>0.19209039548022599</v>
      </c>
      <c r="P140" t="s">
        <v>6</v>
      </c>
      <c r="Q140">
        <v>-6.9704504666803997</v>
      </c>
      <c r="R140" t="s">
        <v>7</v>
      </c>
      <c r="S140">
        <v>-3.93810760829401E-2</v>
      </c>
      <c r="T140" t="s">
        <v>8</v>
      </c>
      <c r="U140">
        <v>1.8680553990662701</v>
      </c>
      <c r="V140" t="s">
        <v>9</v>
      </c>
      <c r="W140">
        <v>-0.49289744080373199</v>
      </c>
      <c r="X140" t="s">
        <v>10</v>
      </c>
      <c r="Y140">
        <v>0.25499418179720801</v>
      </c>
      <c r="Z140" t="s">
        <v>11</v>
      </c>
      <c r="AA140" t="s">
        <v>751</v>
      </c>
      <c r="AB140" t="s">
        <v>752</v>
      </c>
    </row>
    <row r="141" spans="1:35" x14ac:dyDescent="0.3">
      <c r="A141" t="str">
        <f>_xlfn.TEXTJOIN(", ", FALSE, C141,D141,E141,F141,G141,H141,I141,J141)</f>
        <v>rsi_{'C',  [('number', 0,  1),  ('number', 2.5,  -1)]}_[35,  70]_3</v>
      </c>
      <c r="B141" t="s">
        <v>1055</v>
      </c>
      <c r="C141" t="s">
        <v>221</v>
      </c>
      <c r="D141" t="s">
        <v>587</v>
      </c>
      <c r="E141">
        <v>0</v>
      </c>
      <c r="F141" t="s">
        <v>588</v>
      </c>
      <c r="G141" t="s">
        <v>589</v>
      </c>
      <c r="H141">
        <v>2.5</v>
      </c>
      <c r="I141" t="s">
        <v>605</v>
      </c>
      <c r="J141" t="s">
        <v>42</v>
      </c>
      <c r="K141" t="s">
        <v>4</v>
      </c>
      <c r="L141">
        <v>40</v>
      </c>
      <c r="M141" t="s">
        <v>5</v>
      </c>
      <c r="N141">
        <v>14</v>
      </c>
      <c r="O141" s="2">
        <f>N141/L141</f>
        <v>0.35</v>
      </c>
      <c r="P141" t="s">
        <v>6</v>
      </c>
      <c r="Q141">
        <v>-7.0010603209894304</v>
      </c>
      <c r="R141" t="s">
        <v>7</v>
      </c>
      <c r="S141">
        <v>-0.17502650802473499</v>
      </c>
      <c r="T141" t="s">
        <v>8</v>
      </c>
      <c r="U141">
        <v>1.2149999999999901</v>
      </c>
      <c r="V141" t="s">
        <v>9</v>
      </c>
      <c r="W141">
        <v>-0.92350232003805499</v>
      </c>
      <c r="X141" t="s">
        <v>10</v>
      </c>
      <c r="Y141">
        <v>0.17262249189137099</v>
      </c>
      <c r="Z141" t="s">
        <v>11</v>
      </c>
      <c r="AA141" t="s">
        <v>678</v>
      </c>
      <c r="AB141" t="s">
        <v>711</v>
      </c>
      <c r="AC141">
        <v>0</v>
      </c>
      <c r="AD141" t="s">
        <v>14</v>
      </c>
      <c r="AE141" t="s">
        <v>15</v>
      </c>
      <c r="AF141" t="s">
        <v>678</v>
      </c>
      <c r="AG141" t="s">
        <v>711</v>
      </c>
      <c r="AH141">
        <v>0</v>
      </c>
      <c r="AI141" t="s">
        <v>18</v>
      </c>
    </row>
    <row r="142" spans="1:35" x14ac:dyDescent="0.3">
      <c r="A142" t="str">
        <f>_xlfn.TEXTJOIN(", ", FALSE, C142,D142,E142,F142,G142,H142,I142,J142)</f>
        <v>rsi_{'C',  [('number', 0,  1),  ('number', 2.5,  -1)]}_[35,  70]_4</v>
      </c>
      <c r="B142" t="s">
        <v>1056</v>
      </c>
      <c r="C142" t="s">
        <v>221</v>
      </c>
      <c r="D142" t="s">
        <v>587</v>
      </c>
      <c r="E142">
        <v>0</v>
      </c>
      <c r="F142" t="s">
        <v>588</v>
      </c>
      <c r="G142" t="s">
        <v>589</v>
      </c>
      <c r="H142">
        <v>2.5</v>
      </c>
      <c r="I142" t="s">
        <v>605</v>
      </c>
      <c r="J142" t="s">
        <v>44</v>
      </c>
      <c r="K142" t="s">
        <v>4</v>
      </c>
      <c r="L142">
        <v>40</v>
      </c>
      <c r="M142" t="s">
        <v>5</v>
      </c>
      <c r="N142">
        <v>14</v>
      </c>
      <c r="O142" s="2">
        <f>N142/L142</f>
        <v>0.35</v>
      </c>
      <c r="P142" t="s">
        <v>6</v>
      </c>
      <c r="Q142">
        <v>-7.0010603209894304</v>
      </c>
      <c r="R142" t="s">
        <v>7</v>
      </c>
      <c r="S142">
        <v>-0.17502650802473499</v>
      </c>
      <c r="T142" t="s">
        <v>8</v>
      </c>
      <c r="U142">
        <v>1.2149999999999901</v>
      </c>
      <c r="V142" t="s">
        <v>9</v>
      </c>
      <c r="W142">
        <v>-0.92350232003805499</v>
      </c>
      <c r="X142" t="s">
        <v>10</v>
      </c>
      <c r="Y142">
        <v>0.17262249189137099</v>
      </c>
      <c r="Z142" t="s">
        <v>11</v>
      </c>
      <c r="AA142" t="s">
        <v>678</v>
      </c>
      <c r="AB142" t="s">
        <v>711</v>
      </c>
      <c r="AC142">
        <v>0</v>
      </c>
      <c r="AD142" t="s">
        <v>14</v>
      </c>
      <c r="AE142" t="s">
        <v>15</v>
      </c>
      <c r="AF142" t="s">
        <v>678</v>
      </c>
      <c r="AG142" t="s">
        <v>711</v>
      </c>
      <c r="AH142">
        <v>0</v>
      </c>
      <c r="AI142" t="s">
        <v>18</v>
      </c>
    </row>
    <row r="143" spans="1:35" x14ac:dyDescent="0.3">
      <c r="A143" t="str">
        <f>_xlfn.TEXTJOIN(", ", FALSE, C143,D143,E143,F143,G143,H143,I143,J143)</f>
        <v>bbands_{'C',  [('number', 7.5,  1),  ('number', 10,  -1)]}_[7,  35]_4</v>
      </c>
      <c r="B143" t="s">
        <v>940</v>
      </c>
      <c r="C143" t="s">
        <v>113</v>
      </c>
      <c r="D143" t="s">
        <v>587</v>
      </c>
      <c r="E143">
        <v>7.5</v>
      </c>
      <c r="F143" t="s">
        <v>588</v>
      </c>
      <c r="G143" t="s">
        <v>589</v>
      </c>
      <c r="H143">
        <v>10</v>
      </c>
      <c r="I143" t="s">
        <v>590</v>
      </c>
      <c r="J143" t="s">
        <v>26</v>
      </c>
      <c r="K143" t="s">
        <v>4</v>
      </c>
      <c r="L143">
        <v>191</v>
      </c>
      <c r="M143" t="s">
        <v>5</v>
      </c>
      <c r="N143">
        <v>31</v>
      </c>
      <c r="O143" s="2">
        <f>N143/L143</f>
        <v>0.16230366492146597</v>
      </c>
      <c r="P143" t="s">
        <v>6</v>
      </c>
      <c r="Q143">
        <v>-7.3499999999999801</v>
      </c>
      <c r="R143" t="s">
        <v>7</v>
      </c>
      <c r="S143">
        <v>-3.8481675392670001E-2</v>
      </c>
      <c r="T143" t="s">
        <v>8</v>
      </c>
      <c r="U143">
        <v>1.6161290322580599</v>
      </c>
      <c r="V143" t="s">
        <v>9</v>
      </c>
      <c r="W143">
        <v>-0.35906250000000001</v>
      </c>
      <c r="X143" t="s">
        <v>10</v>
      </c>
      <c r="Y143">
        <v>0.20903935397266199</v>
      </c>
      <c r="Z143" t="s">
        <v>11</v>
      </c>
      <c r="AA143" t="s">
        <v>674</v>
      </c>
      <c r="AB143" t="s">
        <v>675</v>
      </c>
      <c r="AC143">
        <v>0</v>
      </c>
      <c r="AD143" t="s">
        <v>14</v>
      </c>
      <c r="AE143" t="s">
        <v>15</v>
      </c>
      <c r="AF143" t="s">
        <v>163</v>
      </c>
      <c r="AG143" t="s">
        <v>675</v>
      </c>
      <c r="AH143">
        <v>0</v>
      </c>
      <c r="AI143" t="s">
        <v>18</v>
      </c>
    </row>
    <row r="144" spans="1:35" x14ac:dyDescent="0.3">
      <c r="A144" t="str">
        <f>_xlfn.TEXTJOIN(", ", FALSE, C144,D144,E144,F144,G144,H144,I144,J144)</f>
        <v>psar_{'C',  [('number', 2.5,  1),  ('number', 5,  -1)]}_[21,  49]_3</v>
      </c>
      <c r="B144" t="s">
        <v>967</v>
      </c>
      <c r="C144" t="s">
        <v>134</v>
      </c>
      <c r="D144" t="s">
        <v>587</v>
      </c>
      <c r="E144">
        <v>2.5</v>
      </c>
      <c r="F144" t="s">
        <v>588</v>
      </c>
      <c r="G144" t="s">
        <v>589</v>
      </c>
      <c r="H144">
        <v>5</v>
      </c>
      <c r="I144" t="s">
        <v>599</v>
      </c>
      <c r="J144" t="s">
        <v>33</v>
      </c>
      <c r="K144" t="s">
        <v>4</v>
      </c>
      <c r="L144">
        <v>136</v>
      </c>
      <c r="M144" t="s">
        <v>5</v>
      </c>
      <c r="N144">
        <v>40</v>
      </c>
      <c r="O144" s="2">
        <f>N144/L144</f>
        <v>0.29411764705882354</v>
      </c>
      <c r="P144" t="s">
        <v>6</v>
      </c>
      <c r="Q144">
        <v>-7.6000000000000298</v>
      </c>
      <c r="R144" t="s">
        <v>7</v>
      </c>
      <c r="S144">
        <v>-5.5882352941176702E-2</v>
      </c>
      <c r="T144" t="s">
        <v>8</v>
      </c>
      <c r="U144">
        <v>1.44624999999999</v>
      </c>
      <c r="V144" t="s">
        <v>9</v>
      </c>
      <c r="W144">
        <v>-0.68177083333333299</v>
      </c>
      <c r="X144" t="s">
        <v>10</v>
      </c>
      <c r="Y144">
        <v>0.23337590680725001</v>
      </c>
      <c r="Z144" t="s">
        <v>11</v>
      </c>
      <c r="AA144" t="s">
        <v>719</v>
      </c>
      <c r="AB144" t="s">
        <v>720</v>
      </c>
      <c r="AC144">
        <v>0</v>
      </c>
      <c r="AD144" t="s">
        <v>14</v>
      </c>
      <c r="AE144" t="s">
        <v>15</v>
      </c>
      <c r="AF144" t="s">
        <v>721</v>
      </c>
      <c r="AG144" t="s">
        <v>720</v>
      </c>
      <c r="AH144">
        <v>0</v>
      </c>
      <c r="AI144" t="s">
        <v>18</v>
      </c>
    </row>
    <row r="145" spans="1:35" x14ac:dyDescent="0.3">
      <c r="A145" t="str">
        <f>_xlfn.TEXTJOIN(", ", FALSE, C145,D145,E145,F145,G145,H145,I145,J145)</f>
        <v>psar_{'C',  [('number', 2.5,  1),  ('number', 5,  -1)]}_[21,  49]_4</v>
      </c>
      <c r="B145" t="s">
        <v>968</v>
      </c>
      <c r="C145" t="s">
        <v>134</v>
      </c>
      <c r="D145" t="s">
        <v>587</v>
      </c>
      <c r="E145">
        <v>2.5</v>
      </c>
      <c r="F145" t="s">
        <v>588</v>
      </c>
      <c r="G145" t="s">
        <v>589</v>
      </c>
      <c r="H145">
        <v>5</v>
      </c>
      <c r="I145" t="s">
        <v>599</v>
      </c>
      <c r="J145" t="s">
        <v>36</v>
      </c>
      <c r="K145" t="s">
        <v>4</v>
      </c>
      <c r="L145">
        <v>136</v>
      </c>
      <c r="M145" t="s">
        <v>5</v>
      </c>
      <c r="N145">
        <v>40</v>
      </c>
      <c r="O145" s="2">
        <f>N145/L145</f>
        <v>0.29411764705882354</v>
      </c>
      <c r="P145" t="s">
        <v>6</v>
      </c>
      <c r="Q145">
        <v>-7.6000000000000298</v>
      </c>
      <c r="R145" t="s">
        <v>7</v>
      </c>
      <c r="S145">
        <v>-5.5882352941176702E-2</v>
      </c>
      <c r="T145" t="s">
        <v>8</v>
      </c>
      <c r="U145">
        <v>1.44624999999999</v>
      </c>
      <c r="V145" t="s">
        <v>9</v>
      </c>
      <c r="W145">
        <v>-0.68177083333333299</v>
      </c>
      <c r="X145" t="s">
        <v>10</v>
      </c>
      <c r="Y145">
        <v>0.23337590680725001</v>
      </c>
      <c r="Z145" t="s">
        <v>11</v>
      </c>
      <c r="AA145" t="s">
        <v>719</v>
      </c>
      <c r="AB145" t="s">
        <v>720</v>
      </c>
      <c r="AC145">
        <v>0</v>
      </c>
      <c r="AD145" t="s">
        <v>14</v>
      </c>
      <c r="AE145" t="s">
        <v>15</v>
      </c>
      <c r="AF145" t="s">
        <v>721</v>
      </c>
      <c r="AG145" t="s">
        <v>720</v>
      </c>
      <c r="AH145">
        <v>0</v>
      </c>
      <c r="AI145" t="s">
        <v>18</v>
      </c>
    </row>
    <row r="146" spans="1:35" x14ac:dyDescent="0.3">
      <c r="A146" t="str">
        <f>_xlfn.TEXTJOIN(", ", FALSE, C146,D146,E146,F146,G146,H146,I146,J146)</f>
        <v>bbands_{'C',  [('number', 7.5,  1),  ('number', 10,  -1)]}_[7,  35]_3</v>
      </c>
      <c r="B146" t="s">
        <v>939</v>
      </c>
      <c r="C146" t="s">
        <v>113</v>
      </c>
      <c r="D146" t="s">
        <v>587</v>
      </c>
      <c r="E146">
        <v>7.5</v>
      </c>
      <c r="F146" t="s">
        <v>588</v>
      </c>
      <c r="G146" t="s">
        <v>589</v>
      </c>
      <c r="H146">
        <v>10</v>
      </c>
      <c r="I146" t="s">
        <v>590</v>
      </c>
      <c r="J146" t="s">
        <v>23</v>
      </c>
      <c r="K146" t="s">
        <v>4</v>
      </c>
      <c r="L146">
        <v>191</v>
      </c>
      <c r="M146" t="s">
        <v>5</v>
      </c>
      <c r="N146">
        <v>32</v>
      </c>
      <c r="O146" s="2">
        <f>N146/L146</f>
        <v>0.16753926701570682</v>
      </c>
      <c r="P146" t="s">
        <v>6</v>
      </c>
      <c r="Q146">
        <v>-7.7399999999999798</v>
      </c>
      <c r="R146" t="s">
        <v>7</v>
      </c>
      <c r="S146">
        <v>-4.0523560209423999E-2</v>
      </c>
      <c r="T146" t="s">
        <v>8</v>
      </c>
      <c r="U146">
        <v>1.5440624999999899</v>
      </c>
      <c r="V146" t="s">
        <v>9</v>
      </c>
      <c r="W146">
        <v>-0.35943396226415097</v>
      </c>
      <c r="X146" t="s">
        <v>10</v>
      </c>
      <c r="Y146">
        <v>0.20605636676164399</v>
      </c>
      <c r="Z146" t="s">
        <v>11</v>
      </c>
      <c r="AA146" t="s">
        <v>674</v>
      </c>
      <c r="AB146" t="s">
        <v>675</v>
      </c>
      <c r="AC146">
        <v>0</v>
      </c>
      <c r="AD146" t="s">
        <v>14</v>
      </c>
      <c r="AE146" t="s">
        <v>15</v>
      </c>
      <c r="AF146" t="s">
        <v>163</v>
      </c>
      <c r="AG146" t="s">
        <v>675</v>
      </c>
      <c r="AH146">
        <v>0</v>
      </c>
      <c r="AI146" t="s">
        <v>18</v>
      </c>
    </row>
    <row r="147" spans="1:35" x14ac:dyDescent="0.3">
      <c r="A147" t="str">
        <f>_xlfn.TEXTJOIN(", ", FALSE, C147,D147,E147,F147,G147,H147,I147,J147)</f>
        <v>bbands_{'C',  [('number', 5,  1),  ('number', 7.5,  -1)]}_[7,  35]_4</v>
      </c>
      <c r="B147" t="s">
        <v>928</v>
      </c>
      <c r="C147" t="s">
        <v>113</v>
      </c>
      <c r="D147" t="s">
        <v>587</v>
      </c>
      <c r="E147">
        <v>5</v>
      </c>
      <c r="F147" t="s">
        <v>588</v>
      </c>
      <c r="G147" t="s">
        <v>589</v>
      </c>
      <c r="H147">
        <v>7.5</v>
      </c>
      <c r="I147" t="s">
        <v>590</v>
      </c>
      <c r="J147" t="s">
        <v>26</v>
      </c>
      <c r="K147" t="s">
        <v>4</v>
      </c>
      <c r="L147">
        <v>191</v>
      </c>
      <c r="M147" t="s">
        <v>5</v>
      </c>
      <c r="N147">
        <v>41</v>
      </c>
      <c r="O147" s="2">
        <f>N147/L147</f>
        <v>0.21465968586387435</v>
      </c>
      <c r="P147" t="s">
        <v>6</v>
      </c>
      <c r="Q147">
        <v>-7.7600000000000096</v>
      </c>
      <c r="R147" t="s">
        <v>7</v>
      </c>
      <c r="S147">
        <v>-4.0628272251308897E-2</v>
      </c>
      <c r="T147" t="s">
        <v>8</v>
      </c>
      <c r="U147">
        <v>1.59439024390243</v>
      </c>
      <c r="V147" t="s">
        <v>9</v>
      </c>
      <c r="W147">
        <v>-0.48753333333333299</v>
      </c>
      <c r="X147" t="s">
        <v>10</v>
      </c>
      <c r="Y147">
        <v>0.25849696364705399</v>
      </c>
      <c r="Z147" t="s">
        <v>11</v>
      </c>
      <c r="AA147" t="s">
        <v>688</v>
      </c>
      <c r="AB147" t="s">
        <v>53</v>
      </c>
      <c r="AC147">
        <v>0</v>
      </c>
      <c r="AD147" t="s">
        <v>14</v>
      </c>
      <c r="AE147" t="s">
        <v>15</v>
      </c>
      <c r="AF147" t="s">
        <v>689</v>
      </c>
      <c r="AG147" t="s">
        <v>53</v>
      </c>
      <c r="AH147">
        <v>0</v>
      </c>
      <c r="AI147" t="s">
        <v>18</v>
      </c>
    </row>
    <row r="148" spans="1:35" x14ac:dyDescent="0.3">
      <c r="A148" t="str">
        <f>_xlfn.TEXTJOIN(", ", FALSE, C148,D148,E148,F148,G148,H148,I148,J148)</f>
        <v>psar_no_highvol_{'C',  [('number', 7.5,  1),  ('number', 10,  -1)]}_[35,  70]_1</v>
      </c>
      <c r="B148" t="s">
        <v>1041</v>
      </c>
      <c r="C148" t="s">
        <v>175</v>
      </c>
      <c r="D148" t="s">
        <v>587</v>
      </c>
      <c r="E148">
        <v>7.5</v>
      </c>
      <c r="F148" t="s">
        <v>588</v>
      </c>
      <c r="G148" t="s">
        <v>589</v>
      </c>
      <c r="H148">
        <v>10</v>
      </c>
      <c r="I148" t="s">
        <v>605</v>
      </c>
      <c r="J148" t="s">
        <v>38</v>
      </c>
      <c r="K148" t="s">
        <v>4</v>
      </c>
      <c r="L148">
        <v>130</v>
      </c>
      <c r="M148" t="s">
        <v>5</v>
      </c>
      <c r="N148">
        <v>42</v>
      </c>
      <c r="O148" s="2">
        <f>N148/L148</f>
        <v>0.32307692307692309</v>
      </c>
      <c r="P148" t="s">
        <v>6</v>
      </c>
      <c r="Q148">
        <v>-7.8330932565728304</v>
      </c>
      <c r="R148" t="s">
        <v>7</v>
      </c>
      <c r="S148">
        <v>-6.0254563512098701E-2</v>
      </c>
      <c r="T148" t="s">
        <v>8</v>
      </c>
      <c r="U148">
        <v>0.72452380952380901</v>
      </c>
      <c r="V148" t="s">
        <v>9</v>
      </c>
      <c r="W148">
        <v>-0.43480787791559999</v>
      </c>
      <c r="X148" t="s">
        <v>10</v>
      </c>
      <c r="Y148">
        <v>0.113220090971038</v>
      </c>
      <c r="Z148" t="s">
        <v>11</v>
      </c>
      <c r="AA148" t="s">
        <v>766</v>
      </c>
      <c r="AB148" t="s">
        <v>767</v>
      </c>
    </row>
    <row r="149" spans="1:35" x14ac:dyDescent="0.3">
      <c r="A149" t="str">
        <f>_xlfn.TEXTJOIN(", ", FALSE, C149,D149,E149,F149,G149,H149,I149,J149)</f>
        <v>psar_no_highvol_{'C',  [('number', 5,  1),  ('number', 7.5,  -1)]}_[35,  70]_3</v>
      </c>
      <c r="B149" t="s">
        <v>1031</v>
      </c>
      <c r="C149" t="s">
        <v>175</v>
      </c>
      <c r="D149" t="s">
        <v>587</v>
      </c>
      <c r="E149">
        <v>5</v>
      </c>
      <c r="F149" t="s">
        <v>588</v>
      </c>
      <c r="G149" t="s">
        <v>589</v>
      </c>
      <c r="H149">
        <v>7.5</v>
      </c>
      <c r="I149" t="s">
        <v>605</v>
      </c>
      <c r="J149" t="s">
        <v>42</v>
      </c>
      <c r="K149" t="s">
        <v>4</v>
      </c>
      <c r="L149">
        <v>130</v>
      </c>
      <c r="M149" t="s">
        <v>5</v>
      </c>
      <c r="N149">
        <v>29</v>
      </c>
      <c r="O149" s="2">
        <f>N149/L149</f>
        <v>0.22307692307692309</v>
      </c>
      <c r="P149" t="s">
        <v>6</v>
      </c>
      <c r="Q149">
        <v>-7.8438161260113501</v>
      </c>
      <c r="R149" t="s">
        <v>7</v>
      </c>
      <c r="S149">
        <v>-6.0337047123164199E-2</v>
      </c>
      <c r="T149" t="s">
        <v>8</v>
      </c>
      <c r="U149">
        <v>1.5583697668994401</v>
      </c>
      <c r="V149" t="s">
        <v>9</v>
      </c>
      <c r="W149">
        <v>-0.52511425114945598</v>
      </c>
      <c r="X149" t="s">
        <v>10</v>
      </c>
      <c r="Y149">
        <v>0.204288099460845</v>
      </c>
      <c r="Z149" t="s">
        <v>11</v>
      </c>
      <c r="AA149" t="s">
        <v>761</v>
      </c>
      <c r="AB149" t="s">
        <v>723</v>
      </c>
    </row>
    <row r="150" spans="1:35" x14ac:dyDescent="0.3">
      <c r="A150" t="str">
        <f>_xlfn.TEXTJOIN(", ", FALSE, C150,D150,E150,F150,G150,H150,I150,J150)</f>
        <v>psar_no_highvol_{'C',  [('number', 2.5,  1),  ('number', 5,  -1)]}_[21,  49]_2</v>
      </c>
      <c r="B150" t="s">
        <v>1014</v>
      </c>
      <c r="C150" t="s">
        <v>175</v>
      </c>
      <c r="D150" t="s">
        <v>587</v>
      </c>
      <c r="E150">
        <v>2.5</v>
      </c>
      <c r="F150" t="s">
        <v>588</v>
      </c>
      <c r="G150" t="s">
        <v>589</v>
      </c>
      <c r="H150">
        <v>5</v>
      </c>
      <c r="I150" t="s">
        <v>599</v>
      </c>
      <c r="J150" t="s">
        <v>30</v>
      </c>
      <c r="K150" t="s">
        <v>4</v>
      </c>
      <c r="L150">
        <v>98</v>
      </c>
      <c r="M150" t="s">
        <v>5</v>
      </c>
      <c r="N150">
        <v>25</v>
      </c>
      <c r="O150" s="2">
        <f>N150/L150</f>
        <v>0.25510204081632654</v>
      </c>
      <c r="P150" t="s">
        <v>6</v>
      </c>
      <c r="Q150">
        <v>-7.91</v>
      </c>
      <c r="R150" t="s">
        <v>7</v>
      </c>
      <c r="S150">
        <v>-8.0714285714285697E-2</v>
      </c>
      <c r="T150" t="s">
        <v>8</v>
      </c>
      <c r="U150">
        <v>1.5155999999999901</v>
      </c>
      <c r="V150" t="s">
        <v>9</v>
      </c>
      <c r="W150">
        <v>-0.62739726027397202</v>
      </c>
      <c r="X150" t="s">
        <v>10</v>
      </c>
      <c r="Y150">
        <v>0.147266827872399</v>
      </c>
      <c r="Z150" t="s">
        <v>11</v>
      </c>
      <c r="AA150" t="s">
        <v>756</v>
      </c>
      <c r="AB150" t="s">
        <v>730</v>
      </c>
      <c r="AC150">
        <v>0</v>
      </c>
      <c r="AD150" t="s">
        <v>14</v>
      </c>
      <c r="AE150" t="s">
        <v>15</v>
      </c>
      <c r="AF150" t="s">
        <v>757</v>
      </c>
      <c r="AG150" t="s">
        <v>744</v>
      </c>
      <c r="AH150">
        <v>0</v>
      </c>
      <c r="AI150" t="s">
        <v>18</v>
      </c>
    </row>
    <row r="151" spans="1:35" x14ac:dyDescent="0.3">
      <c r="A151" t="str">
        <f>_xlfn.TEXTJOIN(", ", FALSE, C151,D151,E151,F151,G151,H151,I151,J151)</f>
        <v>psar_{'C',  [('number', 0,  1),  ('number', 2.5,  -1)]}_[21,  49]_4</v>
      </c>
      <c r="B151" t="s">
        <v>956</v>
      </c>
      <c r="C151" t="s">
        <v>134</v>
      </c>
      <c r="D151" t="s">
        <v>587</v>
      </c>
      <c r="E151">
        <v>0</v>
      </c>
      <c r="F151" t="s">
        <v>588</v>
      </c>
      <c r="G151" t="s">
        <v>589</v>
      </c>
      <c r="H151">
        <v>2.5</v>
      </c>
      <c r="I151" t="s">
        <v>599</v>
      </c>
      <c r="J151" t="s">
        <v>36</v>
      </c>
      <c r="K151" t="s">
        <v>4</v>
      </c>
      <c r="L151">
        <v>136</v>
      </c>
      <c r="M151" t="s">
        <v>5</v>
      </c>
      <c r="N151">
        <v>50</v>
      </c>
      <c r="O151" s="2">
        <f>N151/L151</f>
        <v>0.36764705882352944</v>
      </c>
      <c r="P151" t="s">
        <v>6</v>
      </c>
      <c r="Q151">
        <v>-7.98999999999993</v>
      </c>
      <c r="R151" t="s">
        <v>7</v>
      </c>
      <c r="S151">
        <v>-5.8749999999999497E-2</v>
      </c>
      <c r="T151" t="s">
        <v>8</v>
      </c>
      <c r="U151">
        <v>1.3176000000000001</v>
      </c>
      <c r="V151" t="s">
        <v>9</v>
      </c>
      <c r="W151">
        <v>-0.85895348837209196</v>
      </c>
      <c r="X151" t="s">
        <v>10</v>
      </c>
      <c r="Y151">
        <v>0.298832691630603</v>
      </c>
      <c r="Z151" t="s">
        <v>11</v>
      </c>
      <c r="AA151" t="s">
        <v>104</v>
      </c>
      <c r="AB151" t="s">
        <v>77</v>
      </c>
      <c r="AC151">
        <v>0</v>
      </c>
      <c r="AD151" t="s">
        <v>14</v>
      </c>
      <c r="AE151" t="s">
        <v>15</v>
      </c>
      <c r="AF151" t="s">
        <v>104</v>
      </c>
      <c r="AG151" t="s">
        <v>77</v>
      </c>
      <c r="AH151">
        <v>0</v>
      </c>
      <c r="AI151" t="s">
        <v>18</v>
      </c>
    </row>
    <row r="152" spans="1:35" x14ac:dyDescent="0.3">
      <c r="A152" t="str">
        <f>_xlfn.TEXTJOIN(", ", FALSE, C152,D152,E152,F152,G152,H152,I152,J152)</f>
        <v>psar_no_highvol_{'C',  [('number', 2.5,  1),  ('number', 5,  -1)]}_[35,  70]_3</v>
      </c>
      <c r="B152" t="s">
        <v>1019</v>
      </c>
      <c r="C152" t="s">
        <v>175</v>
      </c>
      <c r="D152" t="s">
        <v>587</v>
      </c>
      <c r="E152">
        <v>2.5</v>
      </c>
      <c r="F152" t="s">
        <v>588</v>
      </c>
      <c r="G152" t="s">
        <v>589</v>
      </c>
      <c r="H152">
        <v>5</v>
      </c>
      <c r="I152" t="s">
        <v>605</v>
      </c>
      <c r="J152" t="s">
        <v>42</v>
      </c>
      <c r="K152" t="s">
        <v>4</v>
      </c>
      <c r="L152">
        <v>130</v>
      </c>
      <c r="M152" t="s">
        <v>5</v>
      </c>
      <c r="N152">
        <v>38</v>
      </c>
      <c r="O152" s="2">
        <f>N152/L152</f>
        <v>0.29230769230769232</v>
      </c>
      <c r="P152" t="s">
        <v>6</v>
      </c>
      <c r="Q152">
        <v>-8.1613590010509593</v>
      </c>
      <c r="R152" t="s">
        <v>7</v>
      </c>
      <c r="S152">
        <v>-6.2779684623468904E-2</v>
      </c>
      <c r="T152" t="s">
        <v>8</v>
      </c>
      <c r="U152">
        <v>1.4795929508511401</v>
      </c>
      <c r="V152" t="s">
        <v>9</v>
      </c>
      <c r="W152">
        <v>-0.69984664275428599</v>
      </c>
      <c r="X152" t="s">
        <v>10</v>
      </c>
      <c r="Y152">
        <v>0.23210532099908601</v>
      </c>
      <c r="Z152" t="s">
        <v>11</v>
      </c>
      <c r="AA152" t="s">
        <v>758</v>
      </c>
      <c r="AB152" t="s">
        <v>759</v>
      </c>
    </row>
    <row r="153" spans="1:35" x14ac:dyDescent="0.3">
      <c r="A153" t="str">
        <f>_xlfn.TEXTJOIN(", ", FALSE, C153,D153,E153,F153,G153,H153,I153,J153)</f>
        <v>bbands_{'C',  [('number', 0,  1),  ('number', 2.5,  -1)]}_[21,  49]_2</v>
      </c>
      <c r="B153" t="s">
        <v>906</v>
      </c>
      <c r="C153" t="s">
        <v>113</v>
      </c>
      <c r="D153" t="s">
        <v>587</v>
      </c>
      <c r="E153">
        <v>0</v>
      </c>
      <c r="F153" t="s">
        <v>588</v>
      </c>
      <c r="G153" t="s">
        <v>589</v>
      </c>
      <c r="H153">
        <v>2.5</v>
      </c>
      <c r="I153" t="s">
        <v>599</v>
      </c>
      <c r="J153" t="s">
        <v>30</v>
      </c>
      <c r="K153" t="s">
        <v>4</v>
      </c>
      <c r="L153">
        <v>200</v>
      </c>
      <c r="M153" t="s">
        <v>5</v>
      </c>
      <c r="N153">
        <v>79</v>
      </c>
      <c r="O153" s="2">
        <f>N153/L153</f>
        <v>0.39500000000000002</v>
      </c>
      <c r="P153" t="s">
        <v>6</v>
      </c>
      <c r="Q153">
        <v>-8.16442016770735</v>
      </c>
      <c r="R153" t="s">
        <v>7</v>
      </c>
      <c r="S153">
        <v>-4.0822100838536698E-2</v>
      </c>
      <c r="T153" t="s">
        <v>8</v>
      </c>
      <c r="U153">
        <v>1.2429113924050601</v>
      </c>
      <c r="V153" t="s">
        <v>9</v>
      </c>
      <c r="W153">
        <v>-0.87896215014634205</v>
      </c>
      <c r="X153" t="s">
        <v>10</v>
      </c>
      <c r="Y153">
        <v>0.37249475868208998</v>
      </c>
      <c r="Z153" t="s">
        <v>11</v>
      </c>
      <c r="AA153" t="s">
        <v>662</v>
      </c>
      <c r="AB153" t="s">
        <v>639</v>
      </c>
      <c r="AC153">
        <v>0</v>
      </c>
      <c r="AD153" t="s">
        <v>14</v>
      </c>
      <c r="AE153" t="s">
        <v>15</v>
      </c>
      <c r="AF153" t="s">
        <v>662</v>
      </c>
      <c r="AG153" t="s">
        <v>639</v>
      </c>
      <c r="AH153">
        <v>0</v>
      </c>
      <c r="AI153" t="s">
        <v>18</v>
      </c>
    </row>
    <row r="154" spans="1:35" x14ac:dyDescent="0.3">
      <c r="A154" t="str">
        <f>_xlfn.TEXTJOIN(", ", FALSE, C154,D154,E154,F154,G154,H154,I154,J154)</f>
        <v>bbands_{'C',  [('number', 5,  1),  ('number', 7.5,  -1)]}_[35,  70]_3</v>
      </c>
      <c r="B154" t="s">
        <v>935</v>
      </c>
      <c r="C154" t="s">
        <v>113</v>
      </c>
      <c r="D154" t="s">
        <v>587</v>
      </c>
      <c r="E154">
        <v>5</v>
      </c>
      <c r="F154" t="s">
        <v>588</v>
      </c>
      <c r="G154" t="s">
        <v>589</v>
      </c>
      <c r="H154">
        <v>7.5</v>
      </c>
      <c r="I154" t="s">
        <v>605</v>
      </c>
      <c r="J154" t="s">
        <v>42</v>
      </c>
      <c r="K154" t="s">
        <v>4</v>
      </c>
      <c r="L154">
        <v>247</v>
      </c>
      <c r="M154" t="s">
        <v>5</v>
      </c>
      <c r="N154">
        <v>69</v>
      </c>
      <c r="O154" s="2">
        <f>N154/L154</f>
        <v>0.2793522267206478</v>
      </c>
      <c r="P154" t="s">
        <v>6</v>
      </c>
      <c r="Q154">
        <v>-8.3305622333617002</v>
      </c>
      <c r="R154" t="s">
        <v>7</v>
      </c>
      <c r="S154">
        <v>-3.3726972604703198E-2</v>
      </c>
      <c r="T154" t="s">
        <v>8</v>
      </c>
      <c r="U154">
        <v>1.6647352144015699</v>
      </c>
      <c r="V154" t="s">
        <v>9</v>
      </c>
      <c r="W154">
        <v>-0.69211961812960698</v>
      </c>
      <c r="X154" t="s">
        <v>10</v>
      </c>
      <c r="Y154">
        <v>0.38610549624823998</v>
      </c>
      <c r="Z154" t="s">
        <v>11</v>
      </c>
      <c r="AA154" t="s">
        <v>699</v>
      </c>
      <c r="AB154" t="s">
        <v>700</v>
      </c>
    </row>
    <row r="155" spans="1:35" x14ac:dyDescent="0.3">
      <c r="A155" t="str">
        <f>_xlfn.TEXTJOIN(", ", FALSE, C155,D155,E155,F155,G155,H155,I155,J155)</f>
        <v>psar_no_highvol_{'C',  [('number', 5,  1),  ('number', 7.5,  -1)]}_[7,  35]_1</v>
      </c>
      <c r="B155" t="s">
        <v>1021</v>
      </c>
      <c r="C155" t="s">
        <v>175</v>
      </c>
      <c r="D155" t="s">
        <v>587</v>
      </c>
      <c r="E155">
        <v>5</v>
      </c>
      <c r="F155" t="s">
        <v>588</v>
      </c>
      <c r="G155" t="s">
        <v>589</v>
      </c>
      <c r="H155">
        <v>7.5</v>
      </c>
      <c r="I155" t="s">
        <v>590</v>
      </c>
      <c r="J155" t="s">
        <v>3</v>
      </c>
      <c r="K155" t="s">
        <v>4</v>
      </c>
      <c r="L155">
        <v>102</v>
      </c>
      <c r="M155" t="s">
        <v>5</v>
      </c>
      <c r="N155">
        <v>27</v>
      </c>
      <c r="O155" s="2">
        <f>N155/L155</f>
        <v>0.26470588235294118</v>
      </c>
      <c r="P155" t="s">
        <v>6</v>
      </c>
      <c r="Q155">
        <v>-8.7999999999999705</v>
      </c>
      <c r="R155" t="s">
        <v>7</v>
      </c>
      <c r="S155">
        <v>-8.6274509803921304E-2</v>
      </c>
      <c r="T155" t="s">
        <v>8</v>
      </c>
      <c r="U155">
        <v>0.69703703703703701</v>
      </c>
      <c r="V155" t="s">
        <v>9</v>
      </c>
      <c r="W155">
        <v>-0.36826666666666602</v>
      </c>
      <c r="X155" t="s">
        <v>10</v>
      </c>
      <c r="Y155">
        <v>8.93934672066546E-2</v>
      </c>
      <c r="Z155" t="s">
        <v>11</v>
      </c>
      <c r="AA155" t="s">
        <v>726</v>
      </c>
      <c r="AB155" t="s">
        <v>611</v>
      </c>
      <c r="AC155">
        <v>0</v>
      </c>
      <c r="AD155" t="s">
        <v>14</v>
      </c>
      <c r="AE155" t="s">
        <v>15</v>
      </c>
      <c r="AF155" t="s">
        <v>727</v>
      </c>
      <c r="AG155" t="s">
        <v>614</v>
      </c>
      <c r="AH155">
        <v>0</v>
      </c>
      <c r="AI155" t="s">
        <v>18</v>
      </c>
    </row>
    <row r="156" spans="1:35" x14ac:dyDescent="0.3">
      <c r="A156" t="str">
        <f>_xlfn.TEXTJOIN(", ", FALSE, C156,D156,E156,F156,G156,H156,I156,J156)</f>
        <v>psar_no_highvol_{'C',  [('number', 5,  1),  ('number', 7.5,  -1)]}_[21,  49]_3</v>
      </c>
      <c r="B156" t="s">
        <v>1027</v>
      </c>
      <c r="C156" t="s">
        <v>175</v>
      </c>
      <c r="D156" t="s">
        <v>587</v>
      </c>
      <c r="E156">
        <v>5</v>
      </c>
      <c r="F156" t="s">
        <v>588</v>
      </c>
      <c r="G156" t="s">
        <v>589</v>
      </c>
      <c r="H156">
        <v>7.5</v>
      </c>
      <c r="I156" t="s">
        <v>599</v>
      </c>
      <c r="J156" t="s">
        <v>33</v>
      </c>
      <c r="K156" t="s">
        <v>4</v>
      </c>
      <c r="L156">
        <v>98</v>
      </c>
      <c r="M156" t="s">
        <v>5</v>
      </c>
      <c r="N156">
        <v>20</v>
      </c>
      <c r="O156" s="2">
        <f>N156/L156</f>
        <v>0.20408163265306123</v>
      </c>
      <c r="P156" t="s">
        <v>6</v>
      </c>
      <c r="Q156">
        <v>-8.9999999999999805</v>
      </c>
      <c r="R156" t="s">
        <v>7</v>
      </c>
      <c r="S156">
        <v>-9.1836734693877306E-2</v>
      </c>
      <c r="T156" t="s">
        <v>8</v>
      </c>
      <c r="U156">
        <v>1.4205000000000001</v>
      </c>
      <c r="V156" t="s">
        <v>9</v>
      </c>
      <c r="W156">
        <v>-0.479615384615384</v>
      </c>
      <c r="X156" t="s">
        <v>10</v>
      </c>
      <c r="Y156">
        <v>0.13318859645185299</v>
      </c>
      <c r="Z156" t="s">
        <v>11</v>
      </c>
      <c r="AA156" t="s">
        <v>289</v>
      </c>
      <c r="AB156" t="s">
        <v>730</v>
      </c>
      <c r="AC156">
        <v>0</v>
      </c>
      <c r="AD156" t="s">
        <v>14</v>
      </c>
      <c r="AE156" t="s">
        <v>15</v>
      </c>
      <c r="AF156" t="s">
        <v>289</v>
      </c>
      <c r="AG156" t="s">
        <v>730</v>
      </c>
      <c r="AH156">
        <v>0</v>
      </c>
      <c r="AI156" t="s">
        <v>18</v>
      </c>
    </row>
    <row r="157" spans="1:35" x14ac:dyDescent="0.3">
      <c r="A157" t="str">
        <f>_xlfn.TEXTJOIN(", ", FALSE, C157,D157,E157,F157,G157,H157,I157,J157)</f>
        <v>psar_no_highvol_{'C',  [('number', 5,  1),  ('number', 7.5,  -1)]}_[7,  35]_4</v>
      </c>
      <c r="B157" t="s">
        <v>1024</v>
      </c>
      <c r="C157" t="s">
        <v>175</v>
      </c>
      <c r="D157" t="s">
        <v>587</v>
      </c>
      <c r="E157">
        <v>5</v>
      </c>
      <c r="F157" t="s">
        <v>588</v>
      </c>
      <c r="G157" t="s">
        <v>589</v>
      </c>
      <c r="H157">
        <v>7.5</v>
      </c>
      <c r="I157" t="s">
        <v>590</v>
      </c>
      <c r="J157" t="s">
        <v>26</v>
      </c>
      <c r="K157" t="s">
        <v>4</v>
      </c>
      <c r="L157">
        <v>102</v>
      </c>
      <c r="M157" t="s">
        <v>5</v>
      </c>
      <c r="N157">
        <v>16</v>
      </c>
      <c r="O157" s="2">
        <f>N157/L157</f>
        <v>0.15686274509803921</v>
      </c>
      <c r="P157" t="s">
        <v>6</v>
      </c>
      <c r="Q157">
        <v>-9.1299999999999404</v>
      </c>
      <c r="R157" t="s">
        <v>7</v>
      </c>
      <c r="S157">
        <v>-8.9509803921568001E-2</v>
      </c>
      <c r="T157" t="s">
        <v>8</v>
      </c>
      <c r="U157">
        <v>1.5093749999999999</v>
      </c>
      <c r="V157" t="s">
        <v>9</v>
      </c>
      <c r="W157">
        <v>-0.386976744186046</v>
      </c>
      <c r="X157" t="s">
        <v>10</v>
      </c>
      <c r="Y157">
        <v>0.11645111242437101</v>
      </c>
      <c r="Z157" t="s">
        <v>11</v>
      </c>
      <c r="AA157" t="s">
        <v>760</v>
      </c>
      <c r="AB157" t="s">
        <v>160</v>
      </c>
      <c r="AC157">
        <v>0</v>
      </c>
      <c r="AD157" t="s">
        <v>14</v>
      </c>
      <c r="AE157" t="s">
        <v>15</v>
      </c>
      <c r="AF157" t="s">
        <v>727</v>
      </c>
      <c r="AG157" t="s">
        <v>614</v>
      </c>
      <c r="AH157">
        <v>0</v>
      </c>
      <c r="AI157" t="s">
        <v>18</v>
      </c>
    </row>
    <row r="158" spans="1:35" x14ac:dyDescent="0.3">
      <c r="A158" t="str">
        <f>_xlfn.TEXTJOIN(", ", FALSE, C158,D158,E158,F158,G158,H158,I158,J158)</f>
        <v>psar_no_highvol_{'C',  [('number', 5,  1),  ('number', 7.5,  -1)]}_[21,  49]_2</v>
      </c>
      <c r="B158" t="s">
        <v>1026</v>
      </c>
      <c r="C158" t="s">
        <v>175</v>
      </c>
      <c r="D158" t="s">
        <v>587</v>
      </c>
      <c r="E158">
        <v>5</v>
      </c>
      <c r="F158" t="s">
        <v>588</v>
      </c>
      <c r="G158" t="s">
        <v>589</v>
      </c>
      <c r="H158">
        <v>7.5</v>
      </c>
      <c r="I158" t="s">
        <v>599</v>
      </c>
      <c r="J158" t="s">
        <v>30</v>
      </c>
      <c r="K158" t="s">
        <v>4</v>
      </c>
      <c r="L158">
        <v>98</v>
      </c>
      <c r="M158" t="s">
        <v>5</v>
      </c>
      <c r="N158">
        <v>21</v>
      </c>
      <c r="O158" s="2">
        <f>N158/L158</f>
        <v>0.21428571428571427</v>
      </c>
      <c r="P158" t="s">
        <v>6</v>
      </c>
      <c r="Q158">
        <v>-9.1499999999999808</v>
      </c>
      <c r="R158" t="s">
        <v>7</v>
      </c>
      <c r="S158">
        <v>-9.3367346938775297E-2</v>
      </c>
      <c r="T158" t="s">
        <v>8</v>
      </c>
      <c r="U158">
        <v>1.32666666666666</v>
      </c>
      <c r="V158" t="s">
        <v>9</v>
      </c>
      <c r="W158">
        <v>-0.48064935064934999</v>
      </c>
      <c r="X158" t="s">
        <v>10</v>
      </c>
      <c r="Y158">
        <v>0.12866419478763699</v>
      </c>
      <c r="Z158" t="s">
        <v>11</v>
      </c>
      <c r="AA158" t="s">
        <v>289</v>
      </c>
      <c r="AB158" t="s">
        <v>730</v>
      </c>
      <c r="AC158">
        <v>0</v>
      </c>
      <c r="AD158" t="s">
        <v>14</v>
      </c>
      <c r="AE158" t="s">
        <v>15</v>
      </c>
      <c r="AF158" t="s">
        <v>289</v>
      </c>
      <c r="AG158" t="s">
        <v>730</v>
      </c>
      <c r="AH158">
        <v>0</v>
      </c>
      <c r="AI158" t="s">
        <v>18</v>
      </c>
    </row>
    <row r="159" spans="1:35" x14ac:dyDescent="0.3">
      <c r="A159" t="str">
        <f>_xlfn.TEXTJOIN(", ", FALSE, C159,D159,E159,F159,G159,H159,I159,J159)</f>
        <v>psar_no_highvol_{'C',  [('number', 2.5,  1),  ('number', 5,  -1)]}_[21,  49]_3</v>
      </c>
      <c r="B159" t="s">
        <v>1015</v>
      </c>
      <c r="C159" t="s">
        <v>175</v>
      </c>
      <c r="D159" t="s">
        <v>587</v>
      </c>
      <c r="E159">
        <v>2.5</v>
      </c>
      <c r="F159" t="s">
        <v>588</v>
      </c>
      <c r="G159" t="s">
        <v>589</v>
      </c>
      <c r="H159">
        <v>5</v>
      </c>
      <c r="I159" t="s">
        <v>599</v>
      </c>
      <c r="J159" t="s">
        <v>33</v>
      </c>
      <c r="K159" t="s">
        <v>4</v>
      </c>
      <c r="L159">
        <v>98</v>
      </c>
      <c r="M159" t="s">
        <v>5</v>
      </c>
      <c r="N159">
        <v>25</v>
      </c>
      <c r="O159" s="2">
        <f>N159/L159</f>
        <v>0.25510204081632654</v>
      </c>
      <c r="P159" t="s">
        <v>6</v>
      </c>
      <c r="Q159">
        <v>-9.1900000000000102</v>
      </c>
      <c r="R159" t="s">
        <v>7</v>
      </c>
      <c r="S159">
        <v>-9.3775510204081702E-2</v>
      </c>
      <c r="T159" t="s">
        <v>8</v>
      </c>
      <c r="U159">
        <v>1.4643999999999899</v>
      </c>
      <c r="V159" t="s">
        <v>9</v>
      </c>
      <c r="W159">
        <v>-0.62739726027397202</v>
      </c>
      <c r="X159" t="s">
        <v>10</v>
      </c>
      <c r="Y159">
        <v>0.14929904644583999</v>
      </c>
      <c r="Z159" t="s">
        <v>11</v>
      </c>
      <c r="AA159" t="s">
        <v>756</v>
      </c>
      <c r="AB159" t="s">
        <v>730</v>
      </c>
      <c r="AC159">
        <v>0</v>
      </c>
      <c r="AD159" t="s">
        <v>14</v>
      </c>
      <c r="AE159" t="s">
        <v>15</v>
      </c>
      <c r="AF159" t="s">
        <v>757</v>
      </c>
      <c r="AG159" t="s">
        <v>744</v>
      </c>
      <c r="AH159">
        <v>0</v>
      </c>
      <c r="AI159" t="s">
        <v>18</v>
      </c>
    </row>
    <row r="160" spans="1:35" x14ac:dyDescent="0.3">
      <c r="A160" t="str">
        <f>_xlfn.TEXTJOIN(", ", FALSE, C160,D160,E160,F160,G160,H160,I160,J160)</f>
        <v>psar_no_highvol_{'C',  [('number', 2.5,  1),  ('number', 5,  -1)]}_[21,  49]_4</v>
      </c>
      <c r="B160" t="s">
        <v>1016</v>
      </c>
      <c r="C160" t="s">
        <v>175</v>
      </c>
      <c r="D160" t="s">
        <v>587</v>
      </c>
      <c r="E160">
        <v>2.5</v>
      </c>
      <c r="F160" t="s">
        <v>588</v>
      </c>
      <c r="G160" t="s">
        <v>589</v>
      </c>
      <c r="H160">
        <v>5</v>
      </c>
      <c r="I160" t="s">
        <v>599</v>
      </c>
      <c r="J160" t="s">
        <v>36</v>
      </c>
      <c r="K160" t="s">
        <v>4</v>
      </c>
      <c r="L160">
        <v>98</v>
      </c>
      <c r="M160" t="s">
        <v>5</v>
      </c>
      <c r="N160">
        <v>25</v>
      </c>
      <c r="O160" s="2">
        <f>N160/L160</f>
        <v>0.25510204081632654</v>
      </c>
      <c r="P160" t="s">
        <v>6</v>
      </c>
      <c r="Q160">
        <v>-9.1900000000000102</v>
      </c>
      <c r="R160" t="s">
        <v>7</v>
      </c>
      <c r="S160">
        <v>-9.3775510204081702E-2</v>
      </c>
      <c r="T160" t="s">
        <v>8</v>
      </c>
      <c r="U160">
        <v>1.4643999999999899</v>
      </c>
      <c r="V160" t="s">
        <v>9</v>
      </c>
      <c r="W160">
        <v>-0.62739726027397202</v>
      </c>
      <c r="X160" t="s">
        <v>10</v>
      </c>
      <c r="Y160">
        <v>0.14929904644583999</v>
      </c>
      <c r="Z160" t="s">
        <v>11</v>
      </c>
      <c r="AA160" t="s">
        <v>756</v>
      </c>
      <c r="AB160" t="s">
        <v>730</v>
      </c>
      <c r="AC160">
        <v>0</v>
      </c>
      <c r="AD160" t="s">
        <v>14</v>
      </c>
      <c r="AE160" t="s">
        <v>15</v>
      </c>
      <c r="AF160" t="s">
        <v>757</v>
      </c>
      <c r="AG160" t="s">
        <v>744</v>
      </c>
      <c r="AH160">
        <v>0</v>
      </c>
      <c r="AI160" t="s">
        <v>18</v>
      </c>
    </row>
    <row r="161" spans="1:35" x14ac:dyDescent="0.3">
      <c r="A161" t="str">
        <f>_xlfn.TEXTJOIN(", ", FALSE, C161,D161,E161,F161,G161,H161,I161,J161)</f>
        <v>bbands_{'C',  [('number', 5,  1),  ('number', 7.5,  -1)]}_[21,  49]_3</v>
      </c>
      <c r="B161" t="s">
        <v>931</v>
      </c>
      <c r="C161" t="s">
        <v>113</v>
      </c>
      <c r="D161" t="s">
        <v>587</v>
      </c>
      <c r="E161">
        <v>5</v>
      </c>
      <c r="F161" t="s">
        <v>588</v>
      </c>
      <c r="G161" t="s">
        <v>589</v>
      </c>
      <c r="H161">
        <v>7.5</v>
      </c>
      <c r="I161" t="s">
        <v>599</v>
      </c>
      <c r="J161" t="s">
        <v>33</v>
      </c>
      <c r="K161" t="s">
        <v>4</v>
      </c>
      <c r="L161">
        <v>200</v>
      </c>
      <c r="M161" t="s">
        <v>5</v>
      </c>
      <c r="N161">
        <v>53</v>
      </c>
      <c r="O161" s="2">
        <f>N161/L161</f>
        <v>0.26500000000000001</v>
      </c>
      <c r="P161" t="s">
        <v>6</v>
      </c>
      <c r="Q161">
        <v>-9.2597270627455401</v>
      </c>
      <c r="R161" t="s">
        <v>7</v>
      </c>
      <c r="S161">
        <v>-4.6298635313727701E-2</v>
      </c>
      <c r="T161" t="s">
        <v>8</v>
      </c>
      <c r="U161">
        <v>1.4747221308915901</v>
      </c>
      <c r="V161" t="s">
        <v>9</v>
      </c>
      <c r="W161">
        <v>-0.59469387755101999</v>
      </c>
      <c r="X161" t="s">
        <v>10</v>
      </c>
      <c r="Y161">
        <v>0.31171237570201099</v>
      </c>
      <c r="Z161" t="s">
        <v>11</v>
      </c>
      <c r="AA161" t="s">
        <v>696</v>
      </c>
      <c r="AB161" t="s">
        <v>697</v>
      </c>
      <c r="AC161">
        <v>0</v>
      </c>
      <c r="AD161" t="s">
        <v>14</v>
      </c>
      <c r="AE161" t="s">
        <v>15</v>
      </c>
      <c r="AF161" t="s">
        <v>698</v>
      </c>
      <c r="AG161" t="s">
        <v>694</v>
      </c>
      <c r="AH161">
        <v>0</v>
      </c>
      <c r="AI161" t="s">
        <v>18</v>
      </c>
    </row>
    <row r="162" spans="1:35" x14ac:dyDescent="0.3">
      <c r="A162" t="str">
        <f>_xlfn.TEXTJOIN(", ", FALSE, C162,D162,E162,F162,G162,H162,I162,J162)</f>
        <v>psar_no_highvol_{'C',  [('number', 0,  1),  ('number', 2.5,  -1)]}_[21,  49]_2</v>
      </c>
      <c r="B162" t="s">
        <v>1002</v>
      </c>
      <c r="C162" t="s">
        <v>175</v>
      </c>
      <c r="D162" t="s">
        <v>587</v>
      </c>
      <c r="E162">
        <v>0</v>
      </c>
      <c r="F162" t="s">
        <v>588</v>
      </c>
      <c r="G162" t="s">
        <v>589</v>
      </c>
      <c r="H162">
        <v>2.5</v>
      </c>
      <c r="I162" t="s">
        <v>599</v>
      </c>
      <c r="J162" t="s">
        <v>30</v>
      </c>
      <c r="K162" t="s">
        <v>4</v>
      </c>
      <c r="L162">
        <v>98</v>
      </c>
      <c r="M162" t="s">
        <v>5</v>
      </c>
      <c r="N162">
        <v>34</v>
      </c>
      <c r="O162" s="2">
        <f>N162/L162</f>
        <v>0.34693877551020408</v>
      </c>
      <c r="P162" t="s">
        <v>6</v>
      </c>
      <c r="Q162">
        <v>-9.2699999999999392</v>
      </c>
      <c r="R162" t="s">
        <v>7</v>
      </c>
      <c r="S162">
        <v>-9.4591836734693194E-2</v>
      </c>
      <c r="T162" t="s">
        <v>8</v>
      </c>
      <c r="U162">
        <v>1.21764705882353</v>
      </c>
      <c r="V162" t="s">
        <v>9</v>
      </c>
      <c r="W162">
        <v>-0.79171874999999903</v>
      </c>
      <c r="X162" t="s">
        <v>10</v>
      </c>
      <c r="Y162">
        <v>0.16217288718046</v>
      </c>
      <c r="Z162" t="s">
        <v>11</v>
      </c>
      <c r="AA162" t="s">
        <v>710</v>
      </c>
      <c r="AB162" t="s">
        <v>706</v>
      </c>
      <c r="AC162">
        <v>0</v>
      </c>
      <c r="AD162" t="s">
        <v>14</v>
      </c>
      <c r="AE162" t="s">
        <v>15</v>
      </c>
      <c r="AF162" t="s">
        <v>710</v>
      </c>
      <c r="AG162" t="s">
        <v>706</v>
      </c>
      <c r="AH162">
        <v>0</v>
      </c>
      <c r="AI162" t="s">
        <v>18</v>
      </c>
    </row>
    <row r="163" spans="1:35" x14ac:dyDescent="0.3">
      <c r="A163" t="str">
        <f>_xlfn.TEXTJOIN(", ", FALSE, C163,D163,E163,F163,G163,H163,I163,J163)</f>
        <v>psar_no_highvol_{'C',  [('number', 5,  1),  ('number', 7.5,  -1)]}_[7,  35]_3</v>
      </c>
      <c r="B163" t="s">
        <v>1023</v>
      </c>
      <c r="C163" t="s">
        <v>175</v>
      </c>
      <c r="D163" t="s">
        <v>587</v>
      </c>
      <c r="E163">
        <v>5</v>
      </c>
      <c r="F163" t="s">
        <v>588</v>
      </c>
      <c r="G163" t="s">
        <v>589</v>
      </c>
      <c r="H163">
        <v>7.5</v>
      </c>
      <c r="I163" t="s">
        <v>590</v>
      </c>
      <c r="J163" t="s">
        <v>23</v>
      </c>
      <c r="K163" t="s">
        <v>4</v>
      </c>
      <c r="L163">
        <v>102</v>
      </c>
      <c r="M163" t="s">
        <v>5</v>
      </c>
      <c r="N163">
        <v>17</v>
      </c>
      <c r="O163" s="2">
        <f>N163/L163</f>
        <v>0.16666666666666666</v>
      </c>
      <c r="P163" t="s">
        <v>6</v>
      </c>
      <c r="Q163">
        <v>-9.2999999999999403</v>
      </c>
      <c r="R163" t="s">
        <v>7</v>
      </c>
      <c r="S163">
        <v>-9.1176470588234707E-2</v>
      </c>
      <c r="T163" t="s">
        <v>8</v>
      </c>
      <c r="U163">
        <v>1.3923529411764699</v>
      </c>
      <c r="V163" t="s">
        <v>9</v>
      </c>
      <c r="W163">
        <v>-0.38788235294117601</v>
      </c>
      <c r="X163" t="s">
        <v>10</v>
      </c>
      <c r="Y163">
        <v>0.11477282343950999</v>
      </c>
      <c r="Z163" t="s">
        <v>11</v>
      </c>
      <c r="AA163" t="s">
        <v>760</v>
      </c>
      <c r="AB163" t="s">
        <v>160</v>
      </c>
      <c r="AC163">
        <v>0</v>
      </c>
      <c r="AD163" t="s">
        <v>14</v>
      </c>
      <c r="AE163" t="s">
        <v>15</v>
      </c>
      <c r="AF163" t="s">
        <v>727</v>
      </c>
      <c r="AG163" t="s">
        <v>614</v>
      </c>
      <c r="AH163">
        <v>0</v>
      </c>
      <c r="AI163" t="s">
        <v>18</v>
      </c>
    </row>
    <row r="164" spans="1:35" x14ac:dyDescent="0.3">
      <c r="A164" t="str">
        <f>_xlfn.TEXTJOIN(", ", FALSE, C164,D164,E164,F164,G164,H164,I164,J164)</f>
        <v>psar_no_highvol_{'C',  [('number', 0,  1),  ('number', 2.5,  -1)]}_[21,  49]_3</v>
      </c>
      <c r="B164" t="s">
        <v>1003</v>
      </c>
      <c r="C164" t="s">
        <v>175</v>
      </c>
      <c r="D164" t="s">
        <v>587</v>
      </c>
      <c r="E164">
        <v>0</v>
      </c>
      <c r="F164" t="s">
        <v>588</v>
      </c>
      <c r="G164" t="s">
        <v>589</v>
      </c>
      <c r="H164">
        <v>2.5</v>
      </c>
      <c r="I164" t="s">
        <v>599</v>
      </c>
      <c r="J164" t="s">
        <v>33</v>
      </c>
      <c r="K164" t="s">
        <v>4</v>
      </c>
      <c r="L164">
        <v>98</v>
      </c>
      <c r="M164" t="s">
        <v>5</v>
      </c>
      <c r="N164">
        <v>34</v>
      </c>
      <c r="O164" s="2">
        <f>N164/L164</f>
        <v>0.34693877551020408</v>
      </c>
      <c r="P164" t="s">
        <v>6</v>
      </c>
      <c r="Q164">
        <v>-9.3199999999999399</v>
      </c>
      <c r="R164" t="s">
        <v>7</v>
      </c>
      <c r="S164">
        <v>-9.5102040816325895E-2</v>
      </c>
      <c r="T164" t="s">
        <v>8</v>
      </c>
      <c r="U164">
        <v>1.2161764705882301</v>
      </c>
      <c r="V164" t="s">
        <v>9</v>
      </c>
      <c r="W164">
        <v>-0.79171874999999903</v>
      </c>
      <c r="X164" t="s">
        <v>10</v>
      </c>
      <c r="Y164">
        <v>0.162359832557636</v>
      </c>
      <c r="Z164" t="s">
        <v>11</v>
      </c>
      <c r="AA164" t="s">
        <v>710</v>
      </c>
      <c r="AB164" t="s">
        <v>706</v>
      </c>
      <c r="AC164">
        <v>0</v>
      </c>
      <c r="AD164" t="s">
        <v>14</v>
      </c>
      <c r="AE164" t="s">
        <v>15</v>
      </c>
      <c r="AF164" t="s">
        <v>710</v>
      </c>
      <c r="AG164" t="s">
        <v>706</v>
      </c>
      <c r="AH164">
        <v>0</v>
      </c>
      <c r="AI164" t="s">
        <v>18</v>
      </c>
    </row>
    <row r="165" spans="1:35" x14ac:dyDescent="0.3">
      <c r="A165" t="str">
        <f>_xlfn.TEXTJOIN(", ", FALSE, C165,D165,E165,F165,G165,H165,I165,J165)</f>
        <v>psar_no_highvol_{'C',  [('number', 0,  1),  ('number', 2.5,  -1)]}_[21,  49]_4</v>
      </c>
      <c r="B165" t="s">
        <v>1004</v>
      </c>
      <c r="C165" t="s">
        <v>175</v>
      </c>
      <c r="D165" t="s">
        <v>587</v>
      </c>
      <c r="E165">
        <v>0</v>
      </c>
      <c r="F165" t="s">
        <v>588</v>
      </c>
      <c r="G165" t="s">
        <v>589</v>
      </c>
      <c r="H165">
        <v>2.5</v>
      </c>
      <c r="I165" t="s">
        <v>599</v>
      </c>
      <c r="J165" t="s">
        <v>36</v>
      </c>
      <c r="K165" t="s">
        <v>4</v>
      </c>
      <c r="L165">
        <v>98</v>
      </c>
      <c r="M165" t="s">
        <v>5</v>
      </c>
      <c r="N165">
        <v>34</v>
      </c>
      <c r="O165" s="2">
        <f>N165/L165</f>
        <v>0.34693877551020408</v>
      </c>
      <c r="P165" t="s">
        <v>6</v>
      </c>
      <c r="Q165">
        <v>-9.3199999999999399</v>
      </c>
      <c r="R165" t="s">
        <v>7</v>
      </c>
      <c r="S165">
        <v>-9.5102040816325895E-2</v>
      </c>
      <c r="T165" t="s">
        <v>8</v>
      </c>
      <c r="U165">
        <v>1.2161764705882301</v>
      </c>
      <c r="V165" t="s">
        <v>9</v>
      </c>
      <c r="W165">
        <v>-0.79171874999999903</v>
      </c>
      <c r="X165" t="s">
        <v>10</v>
      </c>
      <c r="Y165">
        <v>0.162359832557636</v>
      </c>
      <c r="Z165" t="s">
        <v>11</v>
      </c>
      <c r="AA165" t="s">
        <v>710</v>
      </c>
      <c r="AB165" t="s">
        <v>706</v>
      </c>
      <c r="AC165">
        <v>0</v>
      </c>
      <c r="AD165" t="s">
        <v>14</v>
      </c>
      <c r="AE165" t="s">
        <v>15</v>
      </c>
      <c r="AF165" t="s">
        <v>710</v>
      </c>
      <c r="AG165" t="s">
        <v>706</v>
      </c>
      <c r="AH165">
        <v>0</v>
      </c>
      <c r="AI165" t="s">
        <v>18</v>
      </c>
    </row>
    <row r="166" spans="1:35" x14ac:dyDescent="0.3">
      <c r="A166" t="str">
        <f>_xlfn.TEXTJOIN(", ", FALSE, C166,D166,E166,F166,G166,H166,I166,J166)</f>
        <v>psar_no_highvol_{'C',  [('number', 2.5,  1),  ('number', 5,  -1)]}_[7,  35]_4</v>
      </c>
      <c r="B166" t="s">
        <v>1012</v>
      </c>
      <c r="C166" t="s">
        <v>175</v>
      </c>
      <c r="D166" t="s">
        <v>587</v>
      </c>
      <c r="E166">
        <v>2.5</v>
      </c>
      <c r="F166" t="s">
        <v>588</v>
      </c>
      <c r="G166" t="s">
        <v>589</v>
      </c>
      <c r="H166">
        <v>5</v>
      </c>
      <c r="I166" t="s">
        <v>590</v>
      </c>
      <c r="J166" t="s">
        <v>26</v>
      </c>
      <c r="K166" t="s">
        <v>4</v>
      </c>
      <c r="L166">
        <v>102</v>
      </c>
      <c r="M166" t="s">
        <v>5</v>
      </c>
      <c r="N166">
        <v>24</v>
      </c>
      <c r="O166" s="2">
        <f>N166/L166</f>
        <v>0.23529411764705882</v>
      </c>
      <c r="P166" t="s">
        <v>6</v>
      </c>
      <c r="Q166">
        <v>-9.3199999999999896</v>
      </c>
      <c r="R166" t="s">
        <v>7</v>
      </c>
      <c r="S166">
        <v>-9.1372549019607702E-2</v>
      </c>
      <c r="T166" t="s">
        <v>8</v>
      </c>
      <c r="U166">
        <v>1.50541666666666</v>
      </c>
      <c r="V166" t="s">
        <v>9</v>
      </c>
      <c r="W166">
        <v>-0.58269230769230695</v>
      </c>
      <c r="X166" t="s">
        <v>10</v>
      </c>
      <c r="Y166">
        <v>0.146166666152483</v>
      </c>
      <c r="Z166" t="s">
        <v>11</v>
      </c>
      <c r="AA166" t="s">
        <v>712</v>
      </c>
      <c r="AB166" t="s">
        <v>675</v>
      </c>
      <c r="AC166">
        <v>0</v>
      </c>
      <c r="AD166" t="s">
        <v>14</v>
      </c>
      <c r="AE166" t="s">
        <v>15</v>
      </c>
      <c r="AF166" t="s">
        <v>106</v>
      </c>
      <c r="AG166" t="s">
        <v>614</v>
      </c>
      <c r="AH166">
        <v>0</v>
      </c>
      <c r="AI166" t="s">
        <v>18</v>
      </c>
    </row>
    <row r="167" spans="1:35" x14ac:dyDescent="0.3">
      <c r="A167" t="str">
        <f>_xlfn.TEXTJOIN(", ", FALSE, C167,D167,E167,F167,G167,H167,I167,J167)</f>
        <v>psar_no_highvol_{'C',  [('number', 7.5,  1),  ('number', 10,  -1)]}_[35,  70]_2</v>
      </c>
      <c r="B167" t="s">
        <v>1042</v>
      </c>
      <c r="C167" t="s">
        <v>175</v>
      </c>
      <c r="D167" t="s">
        <v>587</v>
      </c>
      <c r="E167">
        <v>7.5</v>
      </c>
      <c r="F167" t="s">
        <v>588</v>
      </c>
      <c r="G167" t="s">
        <v>589</v>
      </c>
      <c r="H167">
        <v>10</v>
      </c>
      <c r="I167" t="s">
        <v>605</v>
      </c>
      <c r="J167" t="s">
        <v>40</v>
      </c>
      <c r="K167" t="s">
        <v>4</v>
      </c>
      <c r="L167">
        <v>130</v>
      </c>
      <c r="M167" t="s">
        <v>5</v>
      </c>
      <c r="N167">
        <v>28</v>
      </c>
      <c r="O167" s="2">
        <f>N167/L167</f>
        <v>0.2153846153846154</v>
      </c>
      <c r="P167" t="s">
        <v>6</v>
      </c>
      <c r="Q167">
        <v>-9.4730932565728594</v>
      </c>
      <c r="R167" t="s">
        <v>7</v>
      </c>
      <c r="S167">
        <v>-7.28699481274835E-2</v>
      </c>
      <c r="T167" t="s">
        <v>8</v>
      </c>
      <c r="U167">
        <v>1.24999999999999</v>
      </c>
      <c r="V167" t="s">
        <v>9</v>
      </c>
      <c r="W167">
        <v>-0.43601071820169401</v>
      </c>
      <c r="X167" t="s">
        <v>10</v>
      </c>
      <c r="Y167">
        <v>0.13864678657280599</v>
      </c>
      <c r="Z167" t="s">
        <v>11</v>
      </c>
      <c r="AA167" t="s">
        <v>768</v>
      </c>
      <c r="AB167" t="s">
        <v>769</v>
      </c>
    </row>
    <row r="168" spans="1:35" x14ac:dyDescent="0.3">
      <c r="A168" t="str">
        <f>_xlfn.TEXTJOIN(", ", FALSE, C168,D168,E168,F168,G168,H168,I168,J168)</f>
        <v>psar_no_highvol_{'C',  [('number', 5,  1),  ('number', 7.5,  -1)]}_[21,  49]_4</v>
      </c>
      <c r="B168" t="s">
        <v>1028</v>
      </c>
      <c r="C168" t="s">
        <v>175</v>
      </c>
      <c r="D168" t="s">
        <v>587</v>
      </c>
      <c r="E168">
        <v>5</v>
      </c>
      <c r="F168" t="s">
        <v>588</v>
      </c>
      <c r="G168" t="s">
        <v>589</v>
      </c>
      <c r="H168">
        <v>7.5</v>
      </c>
      <c r="I168" t="s">
        <v>599</v>
      </c>
      <c r="J168" t="s">
        <v>36</v>
      </c>
      <c r="K168" t="s">
        <v>4</v>
      </c>
      <c r="L168">
        <v>98</v>
      </c>
      <c r="M168" t="s">
        <v>5</v>
      </c>
      <c r="N168">
        <v>19</v>
      </c>
      <c r="O168" s="2">
        <f>N168/L168</f>
        <v>0.19387755102040816</v>
      </c>
      <c r="P168" t="s">
        <v>6</v>
      </c>
      <c r="Q168">
        <v>-9.7599999999999802</v>
      </c>
      <c r="R168" t="s">
        <v>7</v>
      </c>
      <c r="S168">
        <v>-9.9591836734693698E-2</v>
      </c>
      <c r="T168" t="s">
        <v>8</v>
      </c>
      <c r="U168">
        <v>1.47157894736842</v>
      </c>
      <c r="V168" t="s">
        <v>9</v>
      </c>
      <c r="W168">
        <v>-0.47746835443037999</v>
      </c>
      <c r="X168" t="s">
        <v>10</v>
      </c>
      <c r="Y168">
        <v>0.134780047119645</v>
      </c>
      <c r="Z168" t="s">
        <v>11</v>
      </c>
      <c r="AA168" t="s">
        <v>289</v>
      </c>
      <c r="AB168" t="s">
        <v>730</v>
      </c>
      <c r="AC168">
        <v>0</v>
      </c>
      <c r="AD168" t="s">
        <v>14</v>
      </c>
      <c r="AE168" t="s">
        <v>15</v>
      </c>
      <c r="AF168" t="s">
        <v>289</v>
      </c>
      <c r="AG168" t="s">
        <v>730</v>
      </c>
      <c r="AH168">
        <v>0</v>
      </c>
      <c r="AI168" t="s">
        <v>18</v>
      </c>
    </row>
    <row r="169" spans="1:35" x14ac:dyDescent="0.3">
      <c r="A169" t="str">
        <f>_xlfn.TEXTJOIN(", ", FALSE, C169,D169,E169,F169,G169,H169,I169,J169)</f>
        <v>psar_no_highvol_{'C',  [('number', 2.5,  1),  ('number', 5,  -1)]}_[7,  35]_3</v>
      </c>
      <c r="B169" t="s">
        <v>1011</v>
      </c>
      <c r="C169" t="s">
        <v>175</v>
      </c>
      <c r="D169" t="s">
        <v>587</v>
      </c>
      <c r="E169">
        <v>2.5</v>
      </c>
      <c r="F169" t="s">
        <v>588</v>
      </c>
      <c r="G169" t="s">
        <v>589</v>
      </c>
      <c r="H169">
        <v>5</v>
      </c>
      <c r="I169" t="s">
        <v>590</v>
      </c>
      <c r="J169" t="s">
        <v>23</v>
      </c>
      <c r="K169" t="s">
        <v>4</v>
      </c>
      <c r="L169">
        <v>102</v>
      </c>
      <c r="M169" t="s">
        <v>5</v>
      </c>
      <c r="N169">
        <v>24</v>
      </c>
      <c r="O169" s="2">
        <f>N169/L169</f>
        <v>0.23529411764705882</v>
      </c>
      <c r="P169" t="s">
        <v>6</v>
      </c>
      <c r="Q169">
        <v>-9.7799999999999798</v>
      </c>
      <c r="R169" t="s">
        <v>7</v>
      </c>
      <c r="S169">
        <v>-9.5882352941176294E-2</v>
      </c>
      <c r="T169" t="s">
        <v>8</v>
      </c>
      <c r="U169">
        <v>1.4862499999999901</v>
      </c>
      <c r="V169" t="s">
        <v>9</v>
      </c>
      <c r="W169">
        <v>-0.58269230769230695</v>
      </c>
      <c r="X169" t="s">
        <v>10</v>
      </c>
      <c r="Y169">
        <v>0.14602405081370001</v>
      </c>
      <c r="Z169" t="s">
        <v>11</v>
      </c>
      <c r="AA169" t="s">
        <v>712</v>
      </c>
      <c r="AB169" t="s">
        <v>675</v>
      </c>
      <c r="AC169">
        <v>0</v>
      </c>
      <c r="AD169" t="s">
        <v>14</v>
      </c>
      <c r="AE169" t="s">
        <v>15</v>
      </c>
      <c r="AF169" t="s">
        <v>106</v>
      </c>
      <c r="AG169" t="s">
        <v>614</v>
      </c>
      <c r="AH169">
        <v>0</v>
      </c>
      <c r="AI169" t="s">
        <v>18</v>
      </c>
    </row>
    <row r="170" spans="1:35" x14ac:dyDescent="0.3">
      <c r="A170" t="str">
        <f>_xlfn.TEXTJOIN(", ", FALSE, C170,D170,E170,F170,G170,H170,I170,J170)</f>
        <v>stoch_{'C',  [('number', 5,  1),  ('number', 7.5,  -1)]}_[35,  70]_2</v>
      </c>
      <c r="B170" t="s">
        <v>1105</v>
      </c>
      <c r="C170" t="s">
        <v>262</v>
      </c>
      <c r="D170" t="s">
        <v>587</v>
      </c>
      <c r="E170">
        <v>5</v>
      </c>
      <c r="F170" t="s">
        <v>588</v>
      </c>
      <c r="G170" t="s">
        <v>589</v>
      </c>
      <c r="H170">
        <v>7.5</v>
      </c>
      <c r="I170" t="s">
        <v>605</v>
      </c>
      <c r="J170" t="s">
        <v>40</v>
      </c>
      <c r="K170" t="s">
        <v>4</v>
      </c>
      <c r="L170">
        <v>291</v>
      </c>
      <c r="M170" t="s">
        <v>5</v>
      </c>
      <c r="N170">
        <v>78</v>
      </c>
      <c r="O170" s="2">
        <f>N170/L170</f>
        <v>0.26804123711340205</v>
      </c>
      <c r="P170" t="s">
        <v>6</v>
      </c>
      <c r="Q170">
        <v>-9.8275280862272307</v>
      </c>
      <c r="R170" t="s">
        <v>7</v>
      </c>
      <c r="S170">
        <v>-3.3771574179475003E-2</v>
      </c>
      <c r="T170" t="s">
        <v>8</v>
      </c>
      <c r="U170">
        <v>1.57367234101911</v>
      </c>
      <c r="V170" t="s">
        <v>9</v>
      </c>
      <c r="W170">
        <v>-0.62241300791416898</v>
      </c>
      <c r="X170" t="s">
        <v>10</v>
      </c>
      <c r="Y170">
        <v>0.37148471084781198</v>
      </c>
      <c r="Z170" t="s">
        <v>11</v>
      </c>
      <c r="AA170" t="s">
        <v>631</v>
      </c>
      <c r="AB170" t="s">
        <v>632</v>
      </c>
      <c r="AC170">
        <v>0</v>
      </c>
      <c r="AD170" t="s">
        <v>14</v>
      </c>
      <c r="AE170" t="s">
        <v>15</v>
      </c>
      <c r="AF170" t="s">
        <v>836</v>
      </c>
      <c r="AG170" t="s">
        <v>632</v>
      </c>
      <c r="AH170">
        <v>0</v>
      </c>
      <c r="AI170" t="s">
        <v>18</v>
      </c>
    </row>
    <row r="171" spans="1:35" x14ac:dyDescent="0.3">
      <c r="A171" t="str">
        <f>_xlfn.TEXTJOIN(", ", FALSE, C171,D171,E171,F171,G171,H171,I171,J171)</f>
        <v>psar_no_highvol_{'C',  [('number', 2.5,  1),  ('number', 5,  -1)]}_[7,  35]_2</v>
      </c>
      <c r="B171" t="s">
        <v>1010</v>
      </c>
      <c r="C171" t="s">
        <v>175</v>
      </c>
      <c r="D171" t="s">
        <v>587</v>
      </c>
      <c r="E171">
        <v>2.5</v>
      </c>
      <c r="F171" t="s">
        <v>588</v>
      </c>
      <c r="G171" t="s">
        <v>589</v>
      </c>
      <c r="H171">
        <v>5</v>
      </c>
      <c r="I171" t="s">
        <v>590</v>
      </c>
      <c r="J171" t="s">
        <v>19</v>
      </c>
      <c r="K171" t="s">
        <v>4</v>
      </c>
      <c r="L171">
        <v>102</v>
      </c>
      <c r="M171" t="s">
        <v>5</v>
      </c>
      <c r="N171">
        <v>24</v>
      </c>
      <c r="O171" s="2">
        <f>N171/L171</f>
        <v>0.23529411764705882</v>
      </c>
      <c r="P171" t="s">
        <v>6</v>
      </c>
      <c r="Q171">
        <v>-9.8599999999999799</v>
      </c>
      <c r="R171" t="s">
        <v>7</v>
      </c>
      <c r="S171">
        <v>-9.6666666666666498E-2</v>
      </c>
      <c r="T171" t="s">
        <v>8</v>
      </c>
      <c r="U171">
        <v>1.48291666666666</v>
      </c>
      <c r="V171" t="s">
        <v>9</v>
      </c>
      <c r="W171">
        <v>-0.58269230769230695</v>
      </c>
      <c r="X171" t="s">
        <v>10</v>
      </c>
      <c r="Y171">
        <v>0.14494842486573001</v>
      </c>
      <c r="Z171" t="s">
        <v>11</v>
      </c>
      <c r="AA171" t="s">
        <v>712</v>
      </c>
      <c r="AB171" t="s">
        <v>675</v>
      </c>
      <c r="AC171">
        <v>0</v>
      </c>
      <c r="AD171" t="s">
        <v>14</v>
      </c>
      <c r="AE171" t="s">
        <v>15</v>
      </c>
      <c r="AF171" t="s">
        <v>106</v>
      </c>
      <c r="AG171" t="s">
        <v>614</v>
      </c>
      <c r="AH171">
        <v>0</v>
      </c>
      <c r="AI171" t="s">
        <v>18</v>
      </c>
    </row>
    <row r="172" spans="1:35" x14ac:dyDescent="0.3">
      <c r="A172" t="str">
        <f>_xlfn.TEXTJOIN(", ", FALSE, C172,D172,E172,F172,G172,H172,I172,J172)</f>
        <v>stoch_{'C',  [('number', 2.5,  1),  ('number', 5,  -1)]}_[35,  70]_2</v>
      </c>
      <c r="B172" t="s">
        <v>1106</v>
      </c>
      <c r="C172" t="s">
        <v>262</v>
      </c>
      <c r="D172" t="s">
        <v>587</v>
      </c>
      <c r="E172">
        <v>2.5</v>
      </c>
      <c r="F172" t="s">
        <v>588</v>
      </c>
      <c r="G172" t="s">
        <v>589</v>
      </c>
      <c r="H172">
        <v>5</v>
      </c>
      <c r="I172" t="s">
        <v>605</v>
      </c>
      <c r="J172" t="s">
        <v>40</v>
      </c>
      <c r="K172" t="s">
        <v>4</v>
      </c>
      <c r="L172">
        <v>291</v>
      </c>
      <c r="M172" t="s">
        <v>5</v>
      </c>
      <c r="N172">
        <v>90</v>
      </c>
      <c r="O172" s="2">
        <f>N172/L172</f>
        <v>0.30927835051546393</v>
      </c>
      <c r="P172" t="s">
        <v>6</v>
      </c>
      <c r="Q172">
        <v>-9.8798379743513607</v>
      </c>
      <c r="R172" t="s">
        <v>7</v>
      </c>
      <c r="S172">
        <v>-3.3951333245193602E-2</v>
      </c>
      <c r="T172" t="s">
        <v>8</v>
      </c>
      <c r="U172">
        <v>1.5726799979727999</v>
      </c>
      <c r="V172" t="s">
        <v>9</v>
      </c>
      <c r="W172">
        <v>-0.75333849647713302</v>
      </c>
      <c r="X172" t="s">
        <v>10</v>
      </c>
      <c r="Y172">
        <v>0.405775751281446</v>
      </c>
      <c r="Z172" t="s">
        <v>11</v>
      </c>
      <c r="AA172" t="s">
        <v>825</v>
      </c>
      <c r="AB172" t="s">
        <v>13</v>
      </c>
      <c r="AC172">
        <v>0</v>
      </c>
      <c r="AD172" t="s">
        <v>14</v>
      </c>
      <c r="AE172" t="s">
        <v>15</v>
      </c>
      <c r="AF172" t="s">
        <v>826</v>
      </c>
      <c r="AG172" t="s">
        <v>601</v>
      </c>
      <c r="AH172">
        <v>0</v>
      </c>
      <c r="AI172" t="s">
        <v>18</v>
      </c>
    </row>
    <row r="173" spans="1:35" x14ac:dyDescent="0.3">
      <c r="A173" t="str">
        <f>_xlfn.TEXTJOIN(", ", FALSE, C173,D173,E173,F173,G173,H173,I173,J173)</f>
        <v>psar_no_highvol_{'C',  [('number', 7.5,  1),  ('number', 10,  -1)]}_[35,  70]_3</v>
      </c>
      <c r="B173" t="s">
        <v>1043</v>
      </c>
      <c r="C173" t="s">
        <v>175</v>
      </c>
      <c r="D173" t="s">
        <v>587</v>
      </c>
      <c r="E173">
        <v>7.5</v>
      </c>
      <c r="F173" t="s">
        <v>588</v>
      </c>
      <c r="G173" t="s">
        <v>589</v>
      </c>
      <c r="H173">
        <v>10</v>
      </c>
      <c r="I173" t="s">
        <v>605</v>
      </c>
      <c r="J173" t="s">
        <v>42</v>
      </c>
      <c r="K173" t="s">
        <v>4</v>
      </c>
      <c r="L173">
        <v>130</v>
      </c>
      <c r="M173" t="s">
        <v>5</v>
      </c>
      <c r="N173">
        <v>22</v>
      </c>
      <c r="O173" s="2">
        <f>N173/L173</f>
        <v>0.16923076923076924</v>
      </c>
      <c r="P173" t="s">
        <v>6</v>
      </c>
      <c r="Q173">
        <v>-10.0230932565728</v>
      </c>
      <c r="R173" t="s">
        <v>7</v>
      </c>
      <c r="S173">
        <v>-7.7100717358252704E-2</v>
      </c>
      <c r="T173" t="s">
        <v>8</v>
      </c>
      <c r="U173">
        <v>1.67090909090909</v>
      </c>
      <c r="V173" t="s">
        <v>9</v>
      </c>
      <c r="W173">
        <v>-0.43317678941271098</v>
      </c>
      <c r="X173" t="s">
        <v>10</v>
      </c>
      <c r="Y173">
        <v>0.150617536136714</v>
      </c>
      <c r="Z173" t="s">
        <v>11</v>
      </c>
      <c r="AA173" t="s">
        <v>768</v>
      </c>
      <c r="AB173" t="s">
        <v>769</v>
      </c>
    </row>
    <row r="174" spans="1:35" x14ac:dyDescent="0.3">
      <c r="A174" t="str">
        <f>_xlfn.TEXTJOIN(", ", FALSE, C174,D174,E174,F174,G174,H174,I174,J174)</f>
        <v>stoch_{'C',  [('number', 7.5,  1),  ('number', 10,  -1)]}_[21,  49]_2</v>
      </c>
      <c r="B174" t="s">
        <v>1107</v>
      </c>
      <c r="C174" t="s">
        <v>262</v>
      </c>
      <c r="D174" t="s">
        <v>587</v>
      </c>
      <c r="E174">
        <v>7.5</v>
      </c>
      <c r="F174" t="s">
        <v>588</v>
      </c>
      <c r="G174" t="s">
        <v>589</v>
      </c>
      <c r="H174">
        <v>10</v>
      </c>
      <c r="I174" t="s">
        <v>599</v>
      </c>
      <c r="J174" t="s">
        <v>30</v>
      </c>
      <c r="K174" t="s">
        <v>4</v>
      </c>
      <c r="L174">
        <v>230</v>
      </c>
      <c r="M174" t="s">
        <v>5</v>
      </c>
      <c r="N174">
        <v>48</v>
      </c>
      <c r="O174" s="2">
        <f>N174/L174</f>
        <v>0.20869565217391303</v>
      </c>
      <c r="P174" t="s">
        <v>6</v>
      </c>
      <c r="Q174">
        <v>-10.819999999999901</v>
      </c>
      <c r="R174" t="s">
        <v>7</v>
      </c>
      <c r="S174">
        <v>-4.7043478260869499E-2</v>
      </c>
      <c r="T174" t="s">
        <v>8</v>
      </c>
      <c r="U174">
        <v>1.33958333333333</v>
      </c>
      <c r="V174" t="s">
        <v>9</v>
      </c>
      <c r="W174">
        <v>-0.41274725274725199</v>
      </c>
      <c r="X174" t="s">
        <v>10</v>
      </c>
      <c r="Y174">
        <v>0.23129680680741399</v>
      </c>
      <c r="Z174" t="s">
        <v>11</v>
      </c>
      <c r="AA174" t="s">
        <v>843</v>
      </c>
      <c r="AB174" t="s">
        <v>844</v>
      </c>
      <c r="AC174">
        <v>0</v>
      </c>
      <c r="AD174" t="s">
        <v>14</v>
      </c>
      <c r="AE174" t="s">
        <v>15</v>
      </c>
      <c r="AF174" t="s">
        <v>845</v>
      </c>
      <c r="AG174" t="s">
        <v>846</v>
      </c>
      <c r="AH174">
        <v>0</v>
      </c>
      <c r="AI174" t="s">
        <v>18</v>
      </c>
    </row>
    <row r="175" spans="1:35" x14ac:dyDescent="0.3">
      <c r="A175" t="str">
        <f>_xlfn.TEXTJOIN(", ", FALSE, C175,D175,E175,F175,G175,H175,I175,J175)</f>
        <v>psar_{'C',  [('number', 2.5,  1),  ('number', 5,  -1)]}_[35,  70]_3</v>
      </c>
      <c r="B175" t="s">
        <v>971</v>
      </c>
      <c r="C175" t="s">
        <v>134</v>
      </c>
      <c r="D175" t="s">
        <v>587</v>
      </c>
      <c r="E175">
        <v>2.5</v>
      </c>
      <c r="F175" t="s">
        <v>588</v>
      </c>
      <c r="G175" t="s">
        <v>589</v>
      </c>
      <c r="H175">
        <v>5</v>
      </c>
      <c r="I175" t="s">
        <v>605</v>
      </c>
      <c r="J175" t="s">
        <v>42</v>
      </c>
      <c r="K175" t="s">
        <v>4</v>
      </c>
      <c r="L175">
        <v>177</v>
      </c>
      <c r="M175" t="s">
        <v>5</v>
      </c>
      <c r="N175">
        <v>55</v>
      </c>
      <c r="O175" s="2">
        <f>N175/L175</f>
        <v>0.31073446327683618</v>
      </c>
      <c r="P175" t="s">
        <v>6</v>
      </c>
      <c r="Q175">
        <v>-10.8283861281977</v>
      </c>
      <c r="R175" t="s">
        <v>7</v>
      </c>
      <c r="S175">
        <v>-6.1177322758179199E-2</v>
      </c>
      <c r="T175" t="s">
        <v>8</v>
      </c>
      <c r="U175">
        <v>1.45629093073761</v>
      </c>
      <c r="V175" t="s">
        <v>9</v>
      </c>
      <c r="W175">
        <v>-0.74528186326857804</v>
      </c>
      <c r="X175" t="s">
        <v>10</v>
      </c>
      <c r="Y175">
        <v>0.32510416515294999</v>
      </c>
      <c r="Z175" t="s">
        <v>11</v>
      </c>
      <c r="AA175" t="s">
        <v>719</v>
      </c>
      <c r="AB175" t="s">
        <v>720</v>
      </c>
      <c r="AC175">
        <v>0</v>
      </c>
      <c r="AD175" t="s">
        <v>14</v>
      </c>
      <c r="AE175" t="s">
        <v>15</v>
      </c>
      <c r="AF175" t="s">
        <v>719</v>
      </c>
      <c r="AG175" t="s">
        <v>720</v>
      </c>
      <c r="AH175">
        <v>0</v>
      </c>
      <c r="AI175" t="s">
        <v>18</v>
      </c>
    </row>
    <row r="176" spans="1:35" x14ac:dyDescent="0.3">
      <c r="A176" t="str">
        <f>_xlfn.TEXTJOIN(", ", FALSE, C176,D176,E176,F176,G176,H176,I176,J176)</f>
        <v>psar_{'C',  [('number', 0,  1),  ('number', 2.5,  -1)]}_[35,  70]_2</v>
      </c>
      <c r="B176" t="s">
        <v>958</v>
      </c>
      <c r="C176" t="s">
        <v>134</v>
      </c>
      <c r="D176" t="s">
        <v>587</v>
      </c>
      <c r="E176">
        <v>0</v>
      </c>
      <c r="F176" t="s">
        <v>588</v>
      </c>
      <c r="G176" t="s">
        <v>589</v>
      </c>
      <c r="H176">
        <v>2.5</v>
      </c>
      <c r="I176" t="s">
        <v>605</v>
      </c>
      <c r="J176" t="s">
        <v>40</v>
      </c>
      <c r="K176" t="s">
        <v>4</v>
      </c>
      <c r="L176">
        <v>177</v>
      </c>
      <c r="M176" t="s">
        <v>5</v>
      </c>
      <c r="N176">
        <v>60</v>
      </c>
      <c r="O176" s="2">
        <f>N176/L176</f>
        <v>0.33898305084745761</v>
      </c>
      <c r="P176" t="s">
        <v>6</v>
      </c>
      <c r="Q176">
        <v>-11.2771866919978</v>
      </c>
      <c r="R176" t="s">
        <v>7</v>
      </c>
      <c r="S176">
        <v>-6.3712919163829498E-2</v>
      </c>
      <c r="T176" t="s">
        <v>8</v>
      </c>
      <c r="U176">
        <v>1.48309213743209</v>
      </c>
      <c r="V176" t="s">
        <v>9</v>
      </c>
      <c r="W176">
        <v>-0.85694628152071095</v>
      </c>
      <c r="X176" t="s">
        <v>10</v>
      </c>
      <c r="Y176">
        <v>0.36761191759341899</v>
      </c>
      <c r="Z176" t="s">
        <v>11</v>
      </c>
      <c r="AA176" t="s">
        <v>678</v>
      </c>
      <c r="AB176" t="s">
        <v>711</v>
      </c>
      <c r="AC176">
        <v>0</v>
      </c>
      <c r="AD176" t="s">
        <v>14</v>
      </c>
      <c r="AE176" t="s">
        <v>15</v>
      </c>
      <c r="AF176" t="s">
        <v>678</v>
      </c>
      <c r="AG176" t="s">
        <v>711</v>
      </c>
      <c r="AH176">
        <v>0</v>
      </c>
      <c r="AI176" t="s">
        <v>18</v>
      </c>
    </row>
    <row r="177" spans="1:35" x14ac:dyDescent="0.3">
      <c r="A177" t="str">
        <f>_xlfn.TEXTJOIN(", ", FALSE, C177,D177,E177,F177,G177,H177,I177,J177)</f>
        <v>stoch_{'C',  [('number', 2.5,  1),  ('number', 5,  -1)]}_[7,  35]_1</v>
      </c>
      <c r="B177" t="s">
        <v>1108</v>
      </c>
      <c r="C177" t="s">
        <v>262</v>
      </c>
      <c r="D177" t="s">
        <v>587</v>
      </c>
      <c r="E177">
        <v>2.5</v>
      </c>
      <c r="F177" t="s">
        <v>588</v>
      </c>
      <c r="G177" t="s">
        <v>589</v>
      </c>
      <c r="H177">
        <v>5</v>
      </c>
      <c r="I177" t="s">
        <v>590</v>
      </c>
      <c r="J177" t="s">
        <v>3</v>
      </c>
      <c r="K177" t="s">
        <v>4</v>
      </c>
      <c r="L177">
        <v>224</v>
      </c>
      <c r="M177" t="s">
        <v>5</v>
      </c>
      <c r="N177">
        <v>75</v>
      </c>
      <c r="O177" s="2">
        <f>N177/L177</f>
        <v>0.33482142857142855</v>
      </c>
      <c r="P177" t="s">
        <v>6</v>
      </c>
      <c r="Q177">
        <v>-11.28</v>
      </c>
      <c r="R177" t="s">
        <v>7</v>
      </c>
      <c r="S177">
        <v>-5.0357142857142899E-2</v>
      </c>
      <c r="T177" t="s">
        <v>8</v>
      </c>
      <c r="U177">
        <v>1.10866666666666</v>
      </c>
      <c r="V177" t="s">
        <v>9</v>
      </c>
      <c r="W177">
        <v>-0.63375838926174399</v>
      </c>
      <c r="X177" t="s">
        <v>10</v>
      </c>
      <c r="Y177">
        <v>0.25552151134051698</v>
      </c>
      <c r="Z177" t="s">
        <v>11</v>
      </c>
      <c r="AA177" t="s">
        <v>668</v>
      </c>
      <c r="AB177" t="s">
        <v>656</v>
      </c>
      <c r="AC177">
        <v>0</v>
      </c>
      <c r="AD177" t="s">
        <v>14</v>
      </c>
      <c r="AE177" t="s">
        <v>15</v>
      </c>
      <c r="AF177" t="s">
        <v>819</v>
      </c>
      <c r="AG177" t="s">
        <v>656</v>
      </c>
      <c r="AH177">
        <v>0</v>
      </c>
      <c r="AI177" t="s">
        <v>18</v>
      </c>
    </row>
    <row r="178" spans="1:35" x14ac:dyDescent="0.3">
      <c r="A178" t="str">
        <f>_xlfn.TEXTJOIN(", ", FALSE, C178,D178,E178,F178,G178,H178,I178,J178)</f>
        <v>stoch_{'C',  [('number', 7.5,  1),  ('number', 10,  -1)]}_[7,  35]_3</v>
      </c>
      <c r="B178" t="s">
        <v>1109</v>
      </c>
      <c r="C178" t="s">
        <v>262</v>
      </c>
      <c r="D178" t="s">
        <v>587</v>
      </c>
      <c r="E178">
        <v>7.5</v>
      </c>
      <c r="F178" t="s">
        <v>588</v>
      </c>
      <c r="G178" t="s">
        <v>589</v>
      </c>
      <c r="H178">
        <v>10</v>
      </c>
      <c r="I178" t="s">
        <v>590</v>
      </c>
      <c r="J178" t="s">
        <v>23</v>
      </c>
      <c r="K178" t="s">
        <v>4</v>
      </c>
      <c r="L178">
        <v>224</v>
      </c>
      <c r="M178" t="s">
        <v>5</v>
      </c>
      <c r="N178">
        <v>35</v>
      </c>
      <c r="O178" s="2">
        <f>N178/L178</f>
        <v>0.15625</v>
      </c>
      <c r="P178" t="s">
        <v>6</v>
      </c>
      <c r="Q178">
        <v>-11.2899999999999</v>
      </c>
      <c r="R178" t="s">
        <v>7</v>
      </c>
      <c r="S178">
        <v>-5.0401785714285503E-2</v>
      </c>
      <c r="T178" t="s">
        <v>8</v>
      </c>
      <c r="U178">
        <v>1.50742857142857</v>
      </c>
      <c r="V178" t="s">
        <v>9</v>
      </c>
      <c r="W178">
        <v>-0.33888888888888902</v>
      </c>
      <c r="X178" t="s">
        <v>10</v>
      </c>
      <c r="Y178">
        <v>0.20080333900415301</v>
      </c>
      <c r="Z178" t="s">
        <v>11</v>
      </c>
      <c r="AA178" t="s">
        <v>712</v>
      </c>
      <c r="AB178" t="s">
        <v>675</v>
      </c>
      <c r="AC178">
        <v>0</v>
      </c>
      <c r="AD178" t="s">
        <v>14</v>
      </c>
      <c r="AE178" t="s">
        <v>15</v>
      </c>
      <c r="AF178" t="s">
        <v>839</v>
      </c>
      <c r="AG178" t="s">
        <v>266</v>
      </c>
      <c r="AH178">
        <v>0</v>
      </c>
      <c r="AI178" t="s">
        <v>18</v>
      </c>
    </row>
    <row r="179" spans="1:35" x14ac:dyDescent="0.3">
      <c r="A179" t="str">
        <f>_xlfn.TEXTJOIN(", ", FALSE, C179,D179,E179,F179,G179,H179,I179,J179)</f>
        <v>psar_no_highvol_{'C',  [('number', 2.5,  1),  ('number', 5,  -1)]}_[7,  35]_1</v>
      </c>
      <c r="B179" t="s">
        <v>1009</v>
      </c>
      <c r="C179" t="s">
        <v>175</v>
      </c>
      <c r="D179" t="s">
        <v>587</v>
      </c>
      <c r="E179">
        <v>2.5</v>
      </c>
      <c r="F179" t="s">
        <v>588</v>
      </c>
      <c r="G179" t="s">
        <v>589</v>
      </c>
      <c r="H179">
        <v>5</v>
      </c>
      <c r="I179" t="s">
        <v>590</v>
      </c>
      <c r="J179" t="s">
        <v>3</v>
      </c>
      <c r="K179" t="s">
        <v>4</v>
      </c>
      <c r="L179">
        <v>102</v>
      </c>
      <c r="M179" t="s">
        <v>5</v>
      </c>
      <c r="N179">
        <v>28</v>
      </c>
      <c r="O179" s="2">
        <f>N179/L179</f>
        <v>0.27450980392156865</v>
      </c>
      <c r="P179" t="s">
        <v>6</v>
      </c>
      <c r="Q179">
        <v>-11.7699999999999</v>
      </c>
      <c r="R179" t="s">
        <v>7</v>
      </c>
      <c r="S179">
        <v>-0.115392156862745</v>
      </c>
      <c r="T179" t="s">
        <v>8</v>
      </c>
      <c r="U179">
        <v>1.1171428571428501</v>
      </c>
      <c r="V179" t="s">
        <v>9</v>
      </c>
      <c r="W179">
        <v>-0.58175675675675598</v>
      </c>
      <c r="X179" t="s">
        <v>10</v>
      </c>
      <c r="Y179">
        <v>0.13567880980959299</v>
      </c>
      <c r="Z179" t="s">
        <v>11</v>
      </c>
      <c r="AA179" t="s">
        <v>712</v>
      </c>
      <c r="AB179" t="s">
        <v>675</v>
      </c>
      <c r="AC179">
        <v>0</v>
      </c>
      <c r="AD179" t="s">
        <v>14</v>
      </c>
      <c r="AE179" t="s">
        <v>15</v>
      </c>
      <c r="AF179" t="s">
        <v>106</v>
      </c>
      <c r="AG179" t="s">
        <v>614</v>
      </c>
      <c r="AH179">
        <v>0</v>
      </c>
      <c r="AI179" t="s">
        <v>18</v>
      </c>
    </row>
    <row r="180" spans="1:35" x14ac:dyDescent="0.3">
      <c r="A180" t="str">
        <f>_xlfn.TEXTJOIN(", ", FALSE, C180,D180,E180,F180,G180,H180,I180,J180)</f>
        <v>stoch_{'C',  [('number', 2.5,  1),  ('number', 5,  -1)]}_[21,  49]_2</v>
      </c>
      <c r="B180" t="s">
        <v>1110</v>
      </c>
      <c r="C180" t="s">
        <v>262</v>
      </c>
      <c r="D180" t="s">
        <v>587</v>
      </c>
      <c r="E180">
        <v>2.5</v>
      </c>
      <c r="F180" t="s">
        <v>588</v>
      </c>
      <c r="G180" t="s">
        <v>589</v>
      </c>
      <c r="H180">
        <v>5</v>
      </c>
      <c r="I180" t="s">
        <v>599</v>
      </c>
      <c r="J180" t="s">
        <v>30</v>
      </c>
      <c r="K180" t="s">
        <v>4</v>
      </c>
      <c r="L180">
        <v>230</v>
      </c>
      <c r="M180" t="s">
        <v>5</v>
      </c>
      <c r="N180">
        <v>66</v>
      </c>
      <c r="O180" s="2">
        <f>N180/L180</f>
        <v>0.28695652173913044</v>
      </c>
      <c r="P180" t="s">
        <v>6</v>
      </c>
      <c r="Q180">
        <v>-12.219999999999899</v>
      </c>
      <c r="R180" t="s">
        <v>7</v>
      </c>
      <c r="S180">
        <v>-5.3130434782608198E-2</v>
      </c>
      <c r="T180" t="s">
        <v>8</v>
      </c>
      <c r="U180">
        <v>1.45848484848485</v>
      </c>
      <c r="V180" t="s">
        <v>9</v>
      </c>
      <c r="W180">
        <v>-0.66146341463414604</v>
      </c>
      <c r="X180" t="s">
        <v>10</v>
      </c>
      <c r="Y180">
        <v>0.31654861604574702</v>
      </c>
      <c r="Z180" t="s">
        <v>11</v>
      </c>
      <c r="AA180" t="s">
        <v>820</v>
      </c>
      <c r="AB180" t="s">
        <v>821</v>
      </c>
      <c r="AC180">
        <v>0</v>
      </c>
      <c r="AD180" t="s">
        <v>14</v>
      </c>
      <c r="AE180" t="s">
        <v>15</v>
      </c>
      <c r="AF180" t="s">
        <v>824</v>
      </c>
      <c r="AG180" t="s">
        <v>197</v>
      </c>
      <c r="AH180">
        <v>0</v>
      </c>
      <c r="AI180" t="s">
        <v>18</v>
      </c>
    </row>
    <row r="181" spans="1:35" x14ac:dyDescent="0.3">
      <c r="A181" t="str">
        <f>_xlfn.TEXTJOIN(", ", FALSE, C181,D181,E181,F181,G181,H181,I181,J181)</f>
        <v>psar_no_highvol_{'C',  [('number', 7.5,  1),  ('number', 10,  -1)]}_[35,  70]_4</v>
      </c>
      <c r="B181" t="s">
        <v>1044</v>
      </c>
      <c r="C181" t="s">
        <v>175</v>
      </c>
      <c r="D181" t="s">
        <v>587</v>
      </c>
      <c r="E181">
        <v>7.5</v>
      </c>
      <c r="F181" t="s">
        <v>588</v>
      </c>
      <c r="G181" t="s">
        <v>589</v>
      </c>
      <c r="H181">
        <v>10</v>
      </c>
      <c r="I181" t="s">
        <v>605</v>
      </c>
      <c r="J181" t="s">
        <v>44</v>
      </c>
      <c r="K181" t="s">
        <v>4</v>
      </c>
      <c r="L181">
        <v>130</v>
      </c>
      <c r="M181" t="s">
        <v>5</v>
      </c>
      <c r="N181">
        <v>20</v>
      </c>
      <c r="O181" s="2">
        <f>N181/L181</f>
        <v>0.15384615384615385</v>
      </c>
      <c r="P181" t="s">
        <v>6</v>
      </c>
      <c r="Q181">
        <v>-12.3230932565728</v>
      </c>
      <c r="R181" t="s">
        <v>7</v>
      </c>
      <c r="S181">
        <v>-9.4793025050560295E-2</v>
      </c>
      <c r="T181" t="s">
        <v>8</v>
      </c>
      <c r="U181">
        <v>1.75</v>
      </c>
      <c r="V181" t="s">
        <v>9</v>
      </c>
      <c r="W181">
        <v>-0.43020993869611601</v>
      </c>
      <c r="X181" t="s">
        <v>10</v>
      </c>
      <c r="Y181">
        <v>0.157677471522289</v>
      </c>
      <c r="Z181" t="s">
        <v>11</v>
      </c>
      <c r="AA181" t="s">
        <v>768</v>
      </c>
      <c r="AB181" t="s">
        <v>769</v>
      </c>
    </row>
    <row r="182" spans="1:35" x14ac:dyDescent="0.3">
      <c r="A182" t="str">
        <f>_xlfn.TEXTJOIN(", ", FALSE, C182,D182,E182,F182,G182,H182,I182,J182)</f>
        <v>bbands_{'C',  [('number', 7.5,  1),  ('number', 10,  -1)]}_[35,  70]_3</v>
      </c>
      <c r="B182" t="s">
        <v>947</v>
      </c>
      <c r="C182" t="s">
        <v>113</v>
      </c>
      <c r="D182" t="s">
        <v>587</v>
      </c>
      <c r="E182">
        <v>7.5</v>
      </c>
      <c r="F182" t="s">
        <v>588</v>
      </c>
      <c r="G182" t="s">
        <v>589</v>
      </c>
      <c r="H182">
        <v>10</v>
      </c>
      <c r="I182" t="s">
        <v>605</v>
      </c>
      <c r="J182" t="s">
        <v>42</v>
      </c>
      <c r="K182" t="s">
        <v>4</v>
      </c>
      <c r="L182">
        <v>247</v>
      </c>
      <c r="M182" t="s">
        <v>5</v>
      </c>
      <c r="N182">
        <v>57</v>
      </c>
      <c r="O182" s="2">
        <f>N182/L182</f>
        <v>0.23076923076923078</v>
      </c>
      <c r="P182" t="s">
        <v>6</v>
      </c>
      <c r="Q182">
        <v>-12.405113925329999</v>
      </c>
      <c r="R182" t="s">
        <v>7</v>
      </c>
      <c r="S182">
        <v>-5.0223133300931498E-2</v>
      </c>
      <c r="T182" t="s">
        <v>8</v>
      </c>
      <c r="U182">
        <v>1.7085704457131301</v>
      </c>
      <c r="V182" t="s">
        <v>9</v>
      </c>
      <c r="W182">
        <v>-0.57786120700515198</v>
      </c>
      <c r="X182" t="s">
        <v>10</v>
      </c>
      <c r="Y182">
        <v>0.33156173704059499</v>
      </c>
      <c r="Z182" t="s">
        <v>11</v>
      </c>
      <c r="AA182" t="s">
        <v>646</v>
      </c>
      <c r="AB182" t="s">
        <v>647</v>
      </c>
      <c r="AC182">
        <v>0</v>
      </c>
      <c r="AD182" t="s">
        <v>14</v>
      </c>
      <c r="AE182" t="s">
        <v>15</v>
      </c>
      <c r="AF182" t="s">
        <v>707</v>
      </c>
      <c r="AG182" t="s">
        <v>647</v>
      </c>
      <c r="AH182">
        <v>0</v>
      </c>
      <c r="AI182" t="s">
        <v>18</v>
      </c>
    </row>
    <row r="183" spans="1:35" x14ac:dyDescent="0.3">
      <c r="A183" t="str">
        <f>_xlfn.TEXTJOIN(", ", FALSE, C183,D183,E183,F183,G183,H183,I183,J183)</f>
        <v>psar_no_highvol_{'C',  [('number', 5,  1),  ('number', 7.5,  -1)]}_[7,  35]_2</v>
      </c>
      <c r="B183" t="s">
        <v>1022</v>
      </c>
      <c r="C183" t="s">
        <v>175</v>
      </c>
      <c r="D183" t="s">
        <v>587</v>
      </c>
      <c r="E183">
        <v>5</v>
      </c>
      <c r="F183" t="s">
        <v>588</v>
      </c>
      <c r="G183" t="s">
        <v>589</v>
      </c>
      <c r="H183">
        <v>7.5</v>
      </c>
      <c r="I183" t="s">
        <v>590</v>
      </c>
      <c r="J183" t="s">
        <v>19</v>
      </c>
      <c r="K183" t="s">
        <v>4</v>
      </c>
      <c r="L183">
        <v>102</v>
      </c>
      <c r="M183" t="s">
        <v>5</v>
      </c>
      <c r="N183">
        <v>17</v>
      </c>
      <c r="O183" s="2">
        <f>N183/L183</f>
        <v>0.16666666666666666</v>
      </c>
      <c r="P183" t="s">
        <v>6</v>
      </c>
      <c r="Q183">
        <v>-12.719999999999899</v>
      </c>
      <c r="R183" t="s">
        <v>7</v>
      </c>
      <c r="S183">
        <v>-0.12470588235294</v>
      </c>
      <c r="T183" t="s">
        <v>8</v>
      </c>
      <c r="U183">
        <v>1.19117647058823</v>
      </c>
      <c r="V183" t="s">
        <v>9</v>
      </c>
      <c r="W183">
        <v>-0.38788235294117601</v>
      </c>
      <c r="X183" t="s">
        <v>10</v>
      </c>
      <c r="Y183">
        <v>0.110890584046324</v>
      </c>
      <c r="Z183" t="s">
        <v>11</v>
      </c>
      <c r="AA183" t="s">
        <v>760</v>
      </c>
      <c r="AB183" t="s">
        <v>160</v>
      </c>
      <c r="AC183">
        <v>0</v>
      </c>
      <c r="AD183" t="s">
        <v>14</v>
      </c>
      <c r="AE183" t="s">
        <v>15</v>
      </c>
      <c r="AF183" t="s">
        <v>727</v>
      </c>
      <c r="AG183" t="s">
        <v>614</v>
      </c>
      <c r="AH183">
        <v>0</v>
      </c>
      <c r="AI183" t="s">
        <v>18</v>
      </c>
    </row>
    <row r="184" spans="1:35" x14ac:dyDescent="0.3">
      <c r="A184" t="str">
        <f>_xlfn.TEXTJOIN(", ", FALSE, C184,D184,E184,F184,G184,H184,I184,J184)</f>
        <v>bbands_{'C',  [('number', 7.5,  1),  ('number', 10,  -1)]}_[35,  70]_2</v>
      </c>
      <c r="B184" t="s">
        <v>946</v>
      </c>
      <c r="C184" t="s">
        <v>113</v>
      </c>
      <c r="D184" t="s">
        <v>587</v>
      </c>
      <c r="E184">
        <v>7.5</v>
      </c>
      <c r="F184" t="s">
        <v>588</v>
      </c>
      <c r="G184" t="s">
        <v>589</v>
      </c>
      <c r="H184">
        <v>10</v>
      </c>
      <c r="I184" t="s">
        <v>605</v>
      </c>
      <c r="J184" t="s">
        <v>40</v>
      </c>
      <c r="K184" t="s">
        <v>4</v>
      </c>
      <c r="L184">
        <v>247</v>
      </c>
      <c r="M184" t="s">
        <v>5</v>
      </c>
      <c r="N184">
        <v>62</v>
      </c>
      <c r="O184" s="2">
        <f>N184/L184</f>
        <v>0.25101214574898784</v>
      </c>
      <c r="P184" t="s">
        <v>6</v>
      </c>
      <c r="Q184">
        <v>-12.9732654572064</v>
      </c>
      <c r="R184" t="s">
        <v>7</v>
      </c>
      <c r="S184">
        <v>-5.25233419320097E-2</v>
      </c>
      <c r="T184" t="s">
        <v>8</v>
      </c>
      <c r="U184">
        <v>1.5265334030466899</v>
      </c>
      <c r="V184" t="s">
        <v>9</v>
      </c>
      <c r="W184">
        <v>-0.581720737546494</v>
      </c>
      <c r="X184" t="s">
        <v>10</v>
      </c>
      <c r="Y184">
        <v>0.30972263318933102</v>
      </c>
      <c r="Z184" t="s">
        <v>11</v>
      </c>
      <c r="AA184" t="s">
        <v>646</v>
      </c>
      <c r="AB184" t="s">
        <v>647</v>
      </c>
      <c r="AC184">
        <v>0</v>
      </c>
      <c r="AD184" t="s">
        <v>14</v>
      </c>
      <c r="AE184" t="s">
        <v>15</v>
      </c>
      <c r="AF184" t="s">
        <v>707</v>
      </c>
      <c r="AG184" t="s">
        <v>647</v>
      </c>
      <c r="AH184">
        <v>0</v>
      </c>
      <c r="AI184" t="s">
        <v>18</v>
      </c>
    </row>
    <row r="185" spans="1:35" x14ac:dyDescent="0.3">
      <c r="A185" t="str">
        <f>_xlfn.TEXTJOIN(", ", FALSE, C185,D185,E185,F185,G185,H185,I185,J185)</f>
        <v>psar_no_highvol_{'C',  [('number', 0,  1),  ('number', 2.5,  -1)]}_[7,  35]_2</v>
      </c>
      <c r="B185" t="s">
        <v>998</v>
      </c>
      <c r="C185" t="s">
        <v>175</v>
      </c>
      <c r="D185" t="s">
        <v>587</v>
      </c>
      <c r="E185">
        <v>0</v>
      </c>
      <c r="F185" t="s">
        <v>588</v>
      </c>
      <c r="G185" t="s">
        <v>589</v>
      </c>
      <c r="H185">
        <v>2.5</v>
      </c>
      <c r="I185" t="s">
        <v>590</v>
      </c>
      <c r="J185" t="s">
        <v>19</v>
      </c>
      <c r="K185" t="s">
        <v>4</v>
      </c>
      <c r="L185">
        <v>102</v>
      </c>
      <c r="M185" t="s">
        <v>5</v>
      </c>
      <c r="N185">
        <v>32</v>
      </c>
      <c r="O185" s="2">
        <f>N185/L185</f>
        <v>0.31372549019607843</v>
      </c>
      <c r="P185" t="s">
        <v>6</v>
      </c>
      <c r="Q185">
        <v>-13.0299999999999</v>
      </c>
      <c r="R185" t="s">
        <v>7</v>
      </c>
      <c r="S185">
        <v>-0.12774509803921499</v>
      </c>
      <c r="T185" t="s">
        <v>8</v>
      </c>
      <c r="U185">
        <v>1.3318749999999999</v>
      </c>
      <c r="V185" t="s">
        <v>9</v>
      </c>
      <c r="W185">
        <v>-0.79500000000000004</v>
      </c>
      <c r="X185" t="s">
        <v>10</v>
      </c>
      <c r="Y185">
        <v>0.16327407256159901</v>
      </c>
      <c r="Z185" t="s">
        <v>11</v>
      </c>
      <c r="AA185" t="s">
        <v>686</v>
      </c>
      <c r="AB185" t="s">
        <v>675</v>
      </c>
      <c r="AC185">
        <v>0</v>
      </c>
      <c r="AD185" t="s">
        <v>14</v>
      </c>
      <c r="AE185" t="s">
        <v>15</v>
      </c>
      <c r="AF185" t="s">
        <v>686</v>
      </c>
      <c r="AG185" t="s">
        <v>675</v>
      </c>
      <c r="AH185">
        <v>0</v>
      </c>
      <c r="AI185" t="s">
        <v>18</v>
      </c>
    </row>
    <row r="186" spans="1:35" x14ac:dyDescent="0.3">
      <c r="A186" t="str">
        <f>_xlfn.TEXTJOIN(", ", FALSE, C186,D186,E186,F186,G186,H186,I186,J186)</f>
        <v>psar_no_highvol_{'C',  [('number', 0,  1),  ('number', 2.5,  -1)]}_[7,  35]_3</v>
      </c>
      <c r="B186" t="s">
        <v>999</v>
      </c>
      <c r="C186" t="s">
        <v>175</v>
      </c>
      <c r="D186" t="s">
        <v>587</v>
      </c>
      <c r="E186">
        <v>0</v>
      </c>
      <c r="F186" t="s">
        <v>588</v>
      </c>
      <c r="G186" t="s">
        <v>589</v>
      </c>
      <c r="H186">
        <v>2.5</v>
      </c>
      <c r="I186" t="s">
        <v>590</v>
      </c>
      <c r="J186" t="s">
        <v>23</v>
      </c>
      <c r="K186" t="s">
        <v>4</v>
      </c>
      <c r="L186">
        <v>102</v>
      </c>
      <c r="M186" t="s">
        <v>5</v>
      </c>
      <c r="N186">
        <v>32</v>
      </c>
      <c r="O186" s="2">
        <f>N186/L186</f>
        <v>0.31372549019607843</v>
      </c>
      <c r="P186" t="s">
        <v>6</v>
      </c>
      <c r="Q186">
        <v>-13.079999999999901</v>
      </c>
      <c r="R186" t="s">
        <v>7</v>
      </c>
      <c r="S186">
        <v>-0.128235294117646</v>
      </c>
      <c r="T186" t="s">
        <v>8</v>
      </c>
      <c r="U186">
        <v>1.3303125</v>
      </c>
      <c r="V186" t="s">
        <v>9</v>
      </c>
      <c r="W186">
        <v>-0.79500000000000004</v>
      </c>
      <c r="X186" t="s">
        <v>10</v>
      </c>
      <c r="Y186">
        <v>0.16348021566587601</v>
      </c>
      <c r="Z186" t="s">
        <v>11</v>
      </c>
      <c r="AA186" t="s">
        <v>686</v>
      </c>
      <c r="AB186" t="s">
        <v>675</v>
      </c>
      <c r="AC186">
        <v>0</v>
      </c>
      <c r="AD186" t="s">
        <v>14</v>
      </c>
      <c r="AE186" t="s">
        <v>15</v>
      </c>
      <c r="AF186" t="s">
        <v>686</v>
      </c>
      <c r="AG186" t="s">
        <v>675</v>
      </c>
      <c r="AH186">
        <v>0</v>
      </c>
      <c r="AI186" t="s">
        <v>18</v>
      </c>
    </row>
    <row r="187" spans="1:35" x14ac:dyDescent="0.3">
      <c r="A187" t="str">
        <f>_xlfn.TEXTJOIN(", ", FALSE, C187,D187,E187,F187,G187,H187,I187,J187)</f>
        <v>psar_no_highvol_{'C',  [('number', 0,  1),  ('number', 2.5,  -1)]}_[7,  35]_4</v>
      </c>
      <c r="B187" t="s">
        <v>1000</v>
      </c>
      <c r="C187" t="s">
        <v>175</v>
      </c>
      <c r="D187" t="s">
        <v>587</v>
      </c>
      <c r="E187">
        <v>0</v>
      </c>
      <c r="F187" t="s">
        <v>588</v>
      </c>
      <c r="G187" t="s">
        <v>589</v>
      </c>
      <c r="H187">
        <v>2.5</v>
      </c>
      <c r="I187" t="s">
        <v>590</v>
      </c>
      <c r="J187" t="s">
        <v>26</v>
      </c>
      <c r="K187" t="s">
        <v>4</v>
      </c>
      <c r="L187">
        <v>102</v>
      </c>
      <c r="M187" t="s">
        <v>5</v>
      </c>
      <c r="N187">
        <v>32</v>
      </c>
      <c r="O187" s="2">
        <f>N187/L187</f>
        <v>0.31372549019607843</v>
      </c>
      <c r="P187" t="s">
        <v>6</v>
      </c>
      <c r="Q187">
        <v>-13.079999999999901</v>
      </c>
      <c r="R187" t="s">
        <v>7</v>
      </c>
      <c r="S187">
        <v>-0.128235294117646</v>
      </c>
      <c r="T187" t="s">
        <v>8</v>
      </c>
      <c r="U187">
        <v>1.3303125</v>
      </c>
      <c r="V187" t="s">
        <v>9</v>
      </c>
      <c r="W187">
        <v>-0.79500000000000004</v>
      </c>
      <c r="X187" t="s">
        <v>10</v>
      </c>
      <c r="Y187">
        <v>0.16348021566587601</v>
      </c>
      <c r="Z187" t="s">
        <v>11</v>
      </c>
      <c r="AA187" t="s">
        <v>686</v>
      </c>
      <c r="AB187" t="s">
        <v>675</v>
      </c>
      <c r="AC187">
        <v>0</v>
      </c>
      <c r="AD187" t="s">
        <v>14</v>
      </c>
      <c r="AE187" t="s">
        <v>15</v>
      </c>
      <c r="AF187" t="s">
        <v>686</v>
      </c>
      <c r="AG187" t="s">
        <v>675</v>
      </c>
      <c r="AH187">
        <v>0</v>
      </c>
      <c r="AI187" t="s">
        <v>18</v>
      </c>
    </row>
    <row r="188" spans="1:35" x14ac:dyDescent="0.3">
      <c r="A188" t="str">
        <f>_xlfn.TEXTJOIN(", ", FALSE, C188,D188,E188,F188,G188,H188,I188,J188)</f>
        <v>stoch_{'C',  [('number', 2.5,  1),  ('number', 5,  -1)]}_[7,  35]_2</v>
      </c>
      <c r="B188" t="s">
        <v>1111</v>
      </c>
      <c r="C188" t="s">
        <v>262</v>
      </c>
      <c r="D188" t="s">
        <v>587</v>
      </c>
      <c r="E188">
        <v>2.5</v>
      </c>
      <c r="F188" t="s">
        <v>588</v>
      </c>
      <c r="G188" t="s">
        <v>589</v>
      </c>
      <c r="H188">
        <v>5</v>
      </c>
      <c r="I188" t="s">
        <v>590</v>
      </c>
      <c r="J188" t="s">
        <v>19</v>
      </c>
      <c r="K188" t="s">
        <v>4</v>
      </c>
      <c r="L188">
        <v>224</v>
      </c>
      <c r="M188" t="s">
        <v>5</v>
      </c>
      <c r="N188">
        <v>60</v>
      </c>
      <c r="O188" s="2">
        <f>N188/L188</f>
        <v>0.26785714285714285</v>
      </c>
      <c r="P188" t="s">
        <v>6</v>
      </c>
      <c r="Q188">
        <v>-13.42</v>
      </c>
      <c r="R188" t="s">
        <v>7</v>
      </c>
      <c r="S188">
        <v>-5.9910714285714303E-2</v>
      </c>
      <c r="T188" t="s">
        <v>8</v>
      </c>
      <c r="U188">
        <v>1.50616666666666</v>
      </c>
      <c r="V188" t="s">
        <v>9</v>
      </c>
      <c r="W188">
        <v>-0.63286585365853598</v>
      </c>
      <c r="X188" t="s">
        <v>10</v>
      </c>
      <c r="Y188">
        <v>0.28874119838455897</v>
      </c>
      <c r="Z188" t="s">
        <v>11</v>
      </c>
      <c r="AA188" t="s">
        <v>674</v>
      </c>
      <c r="AB188" t="s">
        <v>675</v>
      </c>
      <c r="AC188">
        <v>0</v>
      </c>
      <c r="AD188" t="s">
        <v>14</v>
      </c>
      <c r="AE188" t="s">
        <v>15</v>
      </c>
      <c r="AF188" t="s">
        <v>819</v>
      </c>
      <c r="AG188" t="s">
        <v>656</v>
      </c>
      <c r="AH188">
        <v>0</v>
      </c>
      <c r="AI188" t="s">
        <v>18</v>
      </c>
    </row>
    <row r="189" spans="1:35" x14ac:dyDescent="0.3">
      <c r="A189" t="str">
        <f>_xlfn.TEXTJOIN(", ", FALSE, C189,D189,E189,F189,G189,H189,I189,J189)</f>
        <v>psar_{'C',  [('number', 0,  1),  ('number', 2.5,  -1)]}_[7,  35]_4</v>
      </c>
      <c r="B189" t="s">
        <v>952</v>
      </c>
      <c r="C189" t="s">
        <v>134</v>
      </c>
      <c r="D189" t="s">
        <v>587</v>
      </c>
      <c r="E189">
        <v>0</v>
      </c>
      <c r="F189" t="s">
        <v>588</v>
      </c>
      <c r="G189" t="s">
        <v>589</v>
      </c>
      <c r="H189">
        <v>2.5</v>
      </c>
      <c r="I189" t="s">
        <v>590</v>
      </c>
      <c r="J189" t="s">
        <v>26</v>
      </c>
      <c r="K189" t="s">
        <v>4</v>
      </c>
      <c r="L189">
        <v>140</v>
      </c>
      <c r="M189" t="s">
        <v>5</v>
      </c>
      <c r="N189">
        <v>49</v>
      </c>
      <c r="O189" s="2">
        <f>N189/L189</f>
        <v>0.35</v>
      </c>
      <c r="P189" t="s">
        <v>6</v>
      </c>
      <c r="Q189">
        <v>-14.0399999999999</v>
      </c>
      <c r="R189" t="s">
        <v>7</v>
      </c>
      <c r="S189">
        <v>-0.10028571428571401</v>
      </c>
      <c r="T189" t="s">
        <v>8</v>
      </c>
      <c r="U189">
        <v>1.3159183673469399</v>
      </c>
      <c r="V189" t="s">
        <v>9</v>
      </c>
      <c r="W189">
        <v>-0.86285714285714199</v>
      </c>
      <c r="X189" t="s">
        <v>10</v>
      </c>
      <c r="Y189">
        <v>0.28790715939341399</v>
      </c>
      <c r="Z189" t="s">
        <v>11</v>
      </c>
      <c r="AA189" t="s">
        <v>104</v>
      </c>
      <c r="AB189" t="s">
        <v>77</v>
      </c>
      <c r="AC189">
        <v>0</v>
      </c>
      <c r="AD189" t="s">
        <v>14</v>
      </c>
      <c r="AE189" t="s">
        <v>15</v>
      </c>
      <c r="AF189" t="s">
        <v>104</v>
      </c>
      <c r="AG189" t="s">
        <v>77</v>
      </c>
      <c r="AH189">
        <v>0</v>
      </c>
      <c r="AI189" t="s">
        <v>18</v>
      </c>
    </row>
    <row r="190" spans="1:35" x14ac:dyDescent="0.3">
      <c r="A190" t="str">
        <f>_xlfn.TEXTJOIN(", ", FALSE, C190,D190,E190,F190,G190,H190,I190,J190)</f>
        <v>psar_no_highvol_{'C',  [('number', 2.5,  1),  ('number', 5,  -1)]}_[35,  70]_4</v>
      </c>
      <c r="B190" t="s">
        <v>1020</v>
      </c>
      <c r="C190" t="s">
        <v>175</v>
      </c>
      <c r="D190" t="s">
        <v>587</v>
      </c>
      <c r="E190">
        <v>2.5</v>
      </c>
      <c r="F190" t="s">
        <v>588</v>
      </c>
      <c r="G190" t="s">
        <v>589</v>
      </c>
      <c r="H190">
        <v>5</v>
      </c>
      <c r="I190" t="s">
        <v>605</v>
      </c>
      <c r="J190" t="s">
        <v>44</v>
      </c>
      <c r="K190" t="s">
        <v>4</v>
      </c>
      <c r="L190">
        <v>130</v>
      </c>
      <c r="M190" t="s">
        <v>5</v>
      </c>
      <c r="N190">
        <v>37</v>
      </c>
      <c r="O190" s="2">
        <f>N190/L190</f>
        <v>0.2846153846153846</v>
      </c>
      <c r="P190" t="s">
        <v>6</v>
      </c>
      <c r="Q190">
        <v>-14.2756680593561</v>
      </c>
      <c r="R190" t="s">
        <v>7</v>
      </c>
      <c r="S190">
        <v>-0.109812831225816</v>
      </c>
      <c r="T190" t="s">
        <v>8</v>
      </c>
      <c r="U190">
        <v>1.4451411641631899</v>
      </c>
      <c r="V190" t="s">
        <v>9</v>
      </c>
      <c r="W190">
        <v>-0.72845044229456202</v>
      </c>
      <c r="X190" t="s">
        <v>10</v>
      </c>
      <c r="Y190">
        <v>0.24643567890620499</v>
      </c>
      <c r="Z190" t="s">
        <v>11</v>
      </c>
      <c r="AA190" t="s">
        <v>724</v>
      </c>
      <c r="AB190" t="s">
        <v>725</v>
      </c>
    </row>
    <row r="191" spans="1:35" x14ac:dyDescent="0.3">
      <c r="A191" t="str">
        <f>_xlfn.TEXTJOIN(", ", FALSE, C191,D191,E191,F191,G191,H191,I191,J191)</f>
        <v>stoch_{'C',  [('number', 7.5,  1),  ('number', 10,  -1)]}_[21,  49]_1</v>
      </c>
      <c r="B191" t="s">
        <v>1112</v>
      </c>
      <c r="C191" t="s">
        <v>262</v>
      </c>
      <c r="D191" t="s">
        <v>587</v>
      </c>
      <c r="E191">
        <v>7.5</v>
      </c>
      <c r="F191" t="s">
        <v>588</v>
      </c>
      <c r="G191" t="s">
        <v>589</v>
      </c>
      <c r="H191">
        <v>10</v>
      </c>
      <c r="I191" t="s">
        <v>599</v>
      </c>
      <c r="J191" t="s">
        <v>28</v>
      </c>
      <c r="K191" t="s">
        <v>4</v>
      </c>
      <c r="L191">
        <v>230</v>
      </c>
      <c r="M191" t="s">
        <v>5</v>
      </c>
      <c r="N191">
        <v>67</v>
      </c>
      <c r="O191" s="2">
        <f>N191/L191</f>
        <v>0.29130434782608694</v>
      </c>
      <c r="P191" t="s">
        <v>6</v>
      </c>
      <c r="Q191">
        <v>-14.4499999999999</v>
      </c>
      <c r="R191" t="s">
        <v>7</v>
      </c>
      <c r="S191">
        <v>-6.2826086956521698E-2</v>
      </c>
      <c r="T191" t="s">
        <v>8</v>
      </c>
      <c r="U191">
        <v>0.79313432835820896</v>
      </c>
      <c r="V191" t="s">
        <v>9</v>
      </c>
      <c r="W191">
        <v>-0.41466257668711598</v>
      </c>
      <c r="X191" t="s">
        <v>10</v>
      </c>
      <c r="Y191">
        <v>0.191146995418502</v>
      </c>
      <c r="Z191" t="s">
        <v>11</v>
      </c>
      <c r="AA191" t="s">
        <v>726</v>
      </c>
      <c r="AB191" t="s">
        <v>611</v>
      </c>
      <c r="AC191">
        <v>0</v>
      </c>
      <c r="AD191" t="s">
        <v>14</v>
      </c>
      <c r="AE191" t="s">
        <v>15</v>
      </c>
      <c r="AF191" t="s">
        <v>842</v>
      </c>
      <c r="AG191" t="s">
        <v>805</v>
      </c>
      <c r="AH191">
        <v>0</v>
      </c>
      <c r="AI191" t="s">
        <v>18</v>
      </c>
    </row>
    <row r="192" spans="1:35" x14ac:dyDescent="0.3">
      <c r="A192" t="str">
        <f>_xlfn.TEXTJOIN(", ", FALSE, C192,D192,E192,F192,G192,H192,I192,J192)</f>
        <v>alltime_{'C',  [('number', 7.5,  1),  ('number', 10,  -1)]}_[7,  35]_4</v>
      </c>
      <c r="B192" t="s">
        <v>892</v>
      </c>
      <c r="C192" t="s">
        <v>0</v>
      </c>
      <c r="D192" t="s">
        <v>587</v>
      </c>
      <c r="E192">
        <v>7.5</v>
      </c>
      <c r="F192" t="s">
        <v>588</v>
      </c>
      <c r="G192" t="s">
        <v>589</v>
      </c>
      <c r="H192">
        <v>10</v>
      </c>
      <c r="I192" t="s">
        <v>590</v>
      </c>
      <c r="J192" t="s">
        <v>26</v>
      </c>
      <c r="K192" t="s">
        <v>4</v>
      </c>
      <c r="L192">
        <v>3073</v>
      </c>
      <c r="M192" t="s">
        <v>5</v>
      </c>
      <c r="N192">
        <v>471</v>
      </c>
      <c r="O192" s="2">
        <f>N192/L192</f>
        <v>0.15327041978522615</v>
      </c>
      <c r="P192" t="s">
        <v>6</v>
      </c>
      <c r="Q192">
        <v>-14.57</v>
      </c>
      <c r="R192" t="s">
        <v>7</v>
      </c>
      <c r="S192">
        <v>-4.7412951513179404E-3</v>
      </c>
      <c r="T192" t="s">
        <v>8</v>
      </c>
      <c r="U192">
        <v>1.55023354564755</v>
      </c>
      <c r="V192" t="s">
        <v>9</v>
      </c>
      <c r="W192">
        <v>-0.28621445042275001</v>
      </c>
      <c r="X192" t="s">
        <v>10</v>
      </c>
      <c r="Y192">
        <v>1.7632441493829101</v>
      </c>
      <c r="Z192" t="s">
        <v>11</v>
      </c>
      <c r="AA192" t="s">
        <v>638</v>
      </c>
      <c r="AB192" t="s">
        <v>639</v>
      </c>
      <c r="AC192">
        <v>0</v>
      </c>
      <c r="AD192" t="s">
        <v>14</v>
      </c>
      <c r="AE192" t="s">
        <v>15</v>
      </c>
      <c r="AF192" t="s">
        <v>641</v>
      </c>
      <c r="AG192" t="s">
        <v>639</v>
      </c>
      <c r="AH192">
        <v>0</v>
      </c>
      <c r="AI192" t="s">
        <v>18</v>
      </c>
    </row>
    <row r="193" spans="1:35" x14ac:dyDescent="0.3">
      <c r="A193" t="str">
        <f>_xlfn.TEXTJOIN(", ", FALSE, C193,D193,E193,F193,G193,H193,I193,J193)</f>
        <v>bbands_{'C',  [('number', 5,  1),  ('number', 7.5,  -1)]}_[21,  49]_4</v>
      </c>
      <c r="B193" t="s">
        <v>932</v>
      </c>
      <c r="C193" t="s">
        <v>113</v>
      </c>
      <c r="D193" t="s">
        <v>587</v>
      </c>
      <c r="E193">
        <v>5</v>
      </c>
      <c r="F193" t="s">
        <v>588</v>
      </c>
      <c r="G193" t="s">
        <v>589</v>
      </c>
      <c r="H193">
        <v>7.5</v>
      </c>
      <c r="I193" t="s">
        <v>599</v>
      </c>
      <c r="J193" t="s">
        <v>36</v>
      </c>
      <c r="K193" t="s">
        <v>4</v>
      </c>
      <c r="L193">
        <v>200</v>
      </c>
      <c r="M193" t="s">
        <v>5</v>
      </c>
      <c r="N193">
        <v>51</v>
      </c>
      <c r="O193" s="2">
        <f>N193/L193</f>
        <v>0.255</v>
      </c>
      <c r="P193" t="s">
        <v>6</v>
      </c>
      <c r="Q193">
        <v>-14.59</v>
      </c>
      <c r="R193" t="s">
        <v>7</v>
      </c>
      <c r="S193">
        <v>-7.2950000000000306E-2</v>
      </c>
      <c r="T193" t="s">
        <v>8</v>
      </c>
      <c r="U193">
        <v>1.4496078431372501</v>
      </c>
      <c r="V193" t="s">
        <v>9</v>
      </c>
      <c r="W193">
        <v>-0.594093959731543</v>
      </c>
      <c r="X193" t="s">
        <v>10</v>
      </c>
      <c r="Y193">
        <v>0.31892012778409201</v>
      </c>
      <c r="Z193" t="s">
        <v>11</v>
      </c>
      <c r="AA193" t="s">
        <v>688</v>
      </c>
      <c r="AB193" t="s">
        <v>53</v>
      </c>
      <c r="AC193">
        <v>0</v>
      </c>
      <c r="AD193" t="s">
        <v>14</v>
      </c>
      <c r="AE193" t="s">
        <v>15</v>
      </c>
      <c r="AF193" t="s">
        <v>698</v>
      </c>
      <c r="AG193" t="s">
        <v>694</v>
      </c>
      <c r="AH193">
        <v>0</v>
      </c>
      <c r="AI193" t="s">
        <v>18</v>
      </c>
    </row>
    <row r="194" spans="1:35" x14ac:dyDescent="0.3">
      <c r="A194" t="str">
        <f>_xlfn.TEXTJOIN(", ", FALSE, C194,D194,E194,F194,G194,H194,I194,J194)</f>
        <v>stoch_{'C',  [('number', 5,  1),  ('number', 7.5,  -1)]}_[21,  49]_1</v>
      </c>
      <c r="B194" t="s">
        <v>1113</v>
      </c>
      <c r="C194" t="s">
        <v>262</v>
      </c>
      <c r="D194" t="s">
        <v>587</v>
      </c>
      <c r="E194">
        <v>5</v>
      </c>
      <c r="F194" t="s">
        <v>588</v>
      </c>
      <c r="G194" t="s">
        <v>589</v>
      </c>
      <c r="H194">
        <v>7.5</v>
      </c>
      <c r="I194" t="s">
        <v>599</v>
      </c>
      <c r="J194" t="s">
        <v>28</v>
      </c>
      <c r="K194" t="s">
        <v>4</v>
      </c>
      <c r="L194">
        <v>230</v>
      </c>
      <c r="M194" t="s">
        <v>5</v>
      </c>
      <c r="N194">
        <v>73</v>
      </c>
      <c r="O194" s="2">
        <f>N194/L194</f>
        <v>0.31739130434782609</v>
      </c>
      <c r="P194" t="s">
        <v>6</v>
      </c>
      <c r="Q194">
        <v>-14.909999999999901</v>
      </c>
      <c r="R194" t="s">
        <v>7</v>
      </c>
      <c r="S194">
        <v>-6.4826086956521506E-2</v>
      </c>
      <c r="T194" t="s">
        <v>8</v>
      </c>
      <c r="U194">
        <v>0.94410958904109599</v>
      </c>
      <c r="V194" t="s">
        <v>9</v>
      </c>
      <c r="W194">
        <v>-0.53394904458598702</v>
      </c>
      <c r="X194" t="s">
        <v>10</v>
      </c>
      <c r="Y194">
        <v>0.228956580659429</v>
      </c>
      <c r="Z194" t="s">
        <v>11</v>
      </c>
      <c r="AA194" t="s">
        <v>829</v>
      </c>
      <c r="AB194" t="s">
        <v>611</v>
      </c>
      <c r="AC194">
        <v>0</v>
      </c>
      <c r="AD194" t="s">
        <v>14</v>
      </c>
      <c r="AE194" t="s">
        <v>15</v>
      </c>
      <c r="AF194" t="s">
        <v>830</v>
      </c>
      <c r="AG194" t="s">
        <v>772</v>
      </c>
      <c r="AH194">
        <v>0</v>
      </c>
      <c r="AI194" t="s">
        <v>18</v>
      </c>
    </row>
    <row r="195" spans="1:35" x14ac:dyDescent="0.3">
      <c r="A195" t="str">
        <f>_xlfn.TEXTJOIN(", ", FALSE, C195,D195,E195,F195,G195,H195,I195,J195)</f>
        <v>psar_no_highvol_{'C',  [('number', 0,  1),  ('number', 2.5,  -1)]}_[7,  35]_1</v>
      </c>
      <c r="B195" t="s">
        <v>997</v>
      </c>
      <c r="C195" t="s">
        <v>175</v>
      </c>
      <c r="D195" t="s">
        <v>587</v>
      </c>
      <c r="E195">
        <v>0</v>
      </c>
      <c r="F195" t="s">
        <v>588</v>
      </c>
      <c r="G195" t="s">
        <v>589</v>
      </c>
      <c r="H195">
        <v>2.5</v>
      </c>
      <c r="I195" t="s">
        <v>590</v>
      </c>
      <c r="J195" t="s">
        <v>3</v>
      </c>
      <c r="K195" t="s">
        <v>4</v>
      </c>
      <c r="L195">
        <v>102</v>
      </c>
      <c r="M195" t="s">
        <v>5</v>
      </c>
      <c r="N195">
        <v>33</v>
      </c>
      <c r="O195" s="2">
        <f>N195/L195</f>
        <v>0.3235294117647059</v>
      </c>
      <c r="P195" t="s">
        <v>6</v>
      </c>
      <c r="Q195">
        <v>-14.989999999999901</v>
      </c>
      <c r="R195" t="s">
        <v>7</v>
      </c>
      <c r="S195">
        <v>-0.146960784313725</v>
      </c>
      <c r="T195" t="s">
        <v>8</v>
      </c>
      <c r="U195">
        <v>1.2112121212121201</v>
      </c>
      <c r="V195" t="s">
        <v>9</v>
      </c>
      <c r="W195">
        <v>-0.796521739130435</v>
      </c>
      <c r="X195" t="s">
        <v>10</v>
      </c>
      <c r="Y195">
        <v>0.15989457008909899</v>
      </c>
      <c r="Z195" t="s">
        <v>11</v>
      </c>
      <c r="AA195" t="s">
        <v>686</v>
      </c>
      <c r="AB195" t="s">
        <v>675</v>
      </c>
      <c r="AC195">
        <v>0</v>
      </c>
      <c r="AD195" t="s">
        <v>14</v>
      </c>
      <c r="AE195" t="s">
        <v>15</v>
      </c>
      <c r="AF195" t="s">
        <v>686</v>
      </c>
      <c r="AG195" t="s">
        <v>675</v>
      </c>
      <c r="AH195">
        <v>0</v>
      </c>
      <c r="AI195" t="s">
        <v>18</v>
      </c>
    </row>
    <row r="196" spans="1:35" x14ac:dyDescent="0.3">
      <c r="A196" t="str">
        <f>_xlfn.TEXTJOIN(", ", FALSE, C196,D196,E196,F196,G196,H196,I196,J196)</f>
        <v>stoch_{'C',  [('number', 7.5,  1),  ('number', 10,  -1)]}_[7,  35]_2</v>
      </c>
      <c r="B196" t="s">
        <v>1114</v>
      </c>
      <c r="C196" t="s">
        <v>262</v>
      </c>
      <c r="D196" t="s">
        <v>587</v>
      </c>
      <c r="E196">
        <v>7.5</v>
      </c>
      <c r="F196" t="s">
        <v>588</v>
      </c>
      <c r="G196" t="s">
        <v>589</v>
      </c>
      <c r="H196">
        <v>10</v>
      </c>
      <c r="I196" t="s">
        <v>590</v>
      </c>
      <c r="J196" t="s">
        <v>19</v>
      </c>
      <c r="K196" t="s">
        <v>4</v>
      </c>
      <c r="L196">
        <v>224</v>
      </c>
      <c r="M196" t="s">
        <v>5</v>
      </c>
      <c r="N196">
        <v>39</v>
      </c>
      <c r="O196" s="2">
        <f>N196/L196</f>
        <v>0.17410714285714285</v>
      </c>
      <c r="P196" t="s">
        <v>6</v>
      </c>
      <c r="Q196">
        <v>-15.069999999999901</v>
      </c>
      <c r="R196" t="s">
        <v>7</v>
      </c>
      <c r="S196">
        <v>-6.7276785714285595E-2</v>
      </c>
      <c r="T196" t="s">
        <v>8</v>
      </c>
      <c r="U196">
        <v>1.2176923076923001</v>
      </c>
      <c r="V196" t="s">
        <v>9</v>
      </c>
      <c r="W196">
        <v>-0.33816216216216199</v>
      </c>
      <c r="X196" t="s">
        <v>10</v>
      </c>
      <c r="Y196">
        <v>0.190468208894011</v>
      </c>
      <c r="Z196" t="s">
        <v>11</v>
      </c>
      <c r="AA196" t="s">
        <v>712</v>
      </c>
      <c r="AB196" t="s">
        <v>675</v>
      </c>
      <c r="AC196">
        <v>0</v>
      </c>
      <c r="AD196" t="s">
        <v>14</v>
      </c>
      <c r="AE196" t="s">
        <v>15</v>
      </c>
      <c r="AF196" t="s">
        <v>839</v>
      </c>
      <c r="AG196" t="s">
        <v>266</v>
      </c>
      <c r="AH196">
        <v>0</v>
      </c>
      <c r="AI196" t="s">
        <v>18</v>
      </c>
    </row>
    <row r="197" spans="1:35" x14ac:dyDescent="0.3">
      <c r="A197" t="str">
        <f>_xlfn.TEXTJOIN(", ", FALSE, C197,D197,E197,F197,G197,H197,I197,J197)</f>
        <v>bbands_{'C',  [('number', 0,  1),  ('number', 2.5,  -1)]}_[21,  49]_3</v>
      </c>
      <c r="B197" t="s">
        <v>907</v>
      </c>
      <c r="C197" t="s">
        <v>113</v>
      </c>
      <c r="D197" t="s">
        <v>587</v>
      </c>
      <c r="E197">
        <v>0</v>
      </c>
      <c r="F197" t="s">
        <v>588</v>
      </c>
      <c r="G197" t="s">
        <v>589</v>
      </c>
      <c r="H197">
        <v>2.5</v>
      </c>
      <c r="I197" t="s">
        <v>599</v>
      </c>
      <c r="J197" t="s">
        <v>33</v>
      </c>
      <c r="K197" t="s">
        <v>4</v>
      </c>
      <c r="L197">
        <v>200</v>
      </c>
      <c r="M197" t="s">
        <v>5</v>
      </c>
      <c r="N197">
        <v>77</v>
      </c>
      <c r="O197" s="2">
        <f>N197/L197</f>
        <v>0.38500000000000001</v>
      </c>
      <c r="P197" t="s">
        <v>6</v>
      </c>
      <c r="Q197">
        <v>-15.9044201677073</v>
      </c>
      <c r="R197" t="s">
        <v>7</v>
      </c>
      <c r="S197">
        <v>-7.9522100838536697E-2</v>
      </c>
      <c r="T197" t="s">
        <v>8</v>
      </c>
      <c r="U197">
        <v>1.2106493506493501</v>
      </c>
      <c r="V197" t="s">
        <v>9</v>
      </c>
      <c r="W197">
        <v>-0.88719040786754</v>
      </c>
      <c r="X197" t="s">
        <v>10</v>
      </c>
      <c r="Y197">
        <v>0.37652421463848401</v>
      </c>
      <c r="Z197" t="s">
        <v>11</v>
      </c>
      <c r="AA197" t="s">
        <v>662</v>
      </c>
      <c r="AB197" t="s">
        <v>639</v>
      </c>
      <c r="AC197">
        <v>0</v>
      </c>
      <c r="AD197" t="s">
        <v>14</v>
      </c>
      <c r="AE197" t="s">
        <v>15</v>
      </c>
      <c r="AF197" t="s">
        <v>662</v>
      </c>
      <c r="AG197" t="s">
        <v>639</v>
      </c>
      <c r="AH197">
        <v>0</v>
      </c>
      <c r="AI197" t="s">
        <v>18</v>
      </c>
    </row>
    <row r="198" spans="1:35" x14ac:dyDescent="0.3">
      <c r="A198" t="str">
        <f>_xlfn.TEXTJOIN(", ", FALSE, C198,D198,E198,F198,G198,H198,I198,J198)</f>
        <v>stoch_{'C',  [('number', 2.5,  1),  ('number', 5,  -1)]}_[21,  49]_3</v>
      </c>
      <c r="B198" t="s">
        <v>1115</v>
      </c>
      <c r="C198" t="s">
        <v>262</v>
      </c>
      <c r="D198" t="s">
        <v>587</v>
      </c>
      <c r="E198">
        <v>2.5</v>
      </c>
      <c r="F198" t="s">
        <v>588</v>
      </c>
      <c r="G198" t="s">
        <v>589</v>
      </c>
      <c r="H198">
        <v>5</v>
      </c>
      <c r="I198" t="s">
        <v>599</v>
      </c>
      <c r="J198" t="s">
        <v>33</v>
      </c>
      <c r="K198" t="s">
        <v>4</v>
      </c>
      <c r="L198">
        <v>230</v>
      </c>
      <c r="M198" t="s">
        <v>5</v>
      </c>
      <c r="N198">
        <v>65</v>
      </c>
      <c r="O198" s="2">
        <f>N198/L198</f>
        <v>0.28260869565217389</v>
      </c>
      <c r="P198" t="s">
        <v>6</v>
      </c>
      <c r="Q198">
        <v>-15.9599999999999</v>
      </c>
      <c r="R198" t="s">
        <v>7</v>
      </c>
      <c r="S198">
        <v>-6.9391304347825603E-2</v>
      </c>
      <c r="T198" t="s">
        <v>8</v>
      </c>
      <c r="U198">
        <v>1.44861538461538</v>
      </c>
      <c r="V198" t="s">
        <v>9</v>
      </c>
      <c r="W198">
        <v>-0.66739393939393898</v>
      </c>
      <c r="X198" t="s">
        <v>10</v>
      </c>
      <c r="Y198">
        <v>0.32760712953886501</v>
      </c>
      <c r="Z198" t="s">
        <v>11</v>
      </c>
      <c r="AA198" t="s">
        <v>710</v>
      </c>
      <c r="AB198" t="s">
        <v>706</v>
      </c>
      <c r="AC198">
        <v>0</v>
      </c>
      <c r="AD198" t="s">
        <v>14</v>
      </c>
      <c r="AE198" t="s">
        <v>15</v>
      </c>
      <c r="AF198" t="s">
        <v>710</v>
      </c>
      <c r="AG198" t="s">
        <v>706</v>
      </c>
      <c r="AH198">
        <v>0</v>
      </c>
      <c r="AI198" t="s">
        <v>18</v>
      </c>
    </row>
    <row r="199" spans="1:35" x14ac:dyDescent="0.3">
      <c r="A199" t="str">
        <f>_xlfn.TEXTJOIN(", ", FALSE, C199,D199,E199,F199,G199,H199,I199,J199)</f>
        <v>stoch_{'C',  [('number', 7.5,  1),  ('number', 10,  -1)]}_[7,  35]_4</v>
      </c>
      <c r="B199" t="s">
        <v>1116</v>
      </c>
      <c r="C199" t="s">
        <v>262</v>
      </c>
      <c r="D199" t="s">
        <v>587</v>
      </c>
      <c r="E199">
        <v>7.5</v>
      </c>
      <c r="F199" t="s">
        <v>588</v>
      </c>
      <c r="G199" t="s">
        <v>589</v>
      </c>
      <c r="H199">
        <v>10</v>
      </c>
      <c r="I199" t="s">
        <v>590</v>
      </c>
      <c r="J199" t="s">
        <v>26</v>
      </c>
      <c r="K199" t="s">
        <v>4</v>
      </c>
      <c r="L199">
        <v>224</v>
      </c>
      <c r="M199" t="s">
        <v>5</v>
      </c>
      <c r="N199">
        <v>31</v>
      </c>
      <c r="O199" s="2">
        <f>N199/L199</f>
        <v>0.13839285714285715</v>
      </c>
      <c r="P199" t="s">
        <v>6</v>
      </c>
      <c r="Q199">
        <v>-16.069999999999901</v>
      </c>
      <c r="R199" t="s">
        <v>7</v>
      </c>
      <c r="S199">
        <v>-7.1741071428571196E-2</v>
      </c>
      <c r="T199" t="s">
        <v>8</v>
      </c>
      <c r="U199">
        <v>1.5806451612903201</v>
      </c>
      <c r="V199" t="s">
        <v>9</v>
      </c>
      <c r="W199">
        <v>-0.33715025906735702</v>
      </c>
      <c r="X199" t="s">
        <v>10</v>
      </c>
      <c r="Y199">
        <v>0.210763812095766</v>
      </c>
      <c r="Z199" t="s">
        <v>11</v>
      </c>
      <c r="AA199" t="s">
        <v>840</v>
      </c>
      <c r="AB199" t="s">
        <v>841</v>
      </c>
      <c r="AC199">
        <v>0</v>
      </c>
      <c r="AD199" t="s">
        <v>14</v>
      </c>
      <c r="AE199" t="s">
        <v>15</v>
      </c>
      <c r="AF199" t="s">
        <v>839</v>
      </c>
      <c r="AG199" t="s">
        <v>266</v>
      </c>
      <c r="AH199">
        <v>0</v>
      </c>
      <c r="AI199" t="s">
        <v>18</v>
      </c>
    </row>
    <row r="200" spans="1:35" x14ac:dyDescent="0.3">
      <c r="A200" t="str">
        <f>_xlfn.TEXTJOIN(", ", FALSE, C200,D200,E200,F200,G200,H200,I200,J200)</f>
        <v>bbands_{'C',  [('number', 5,  1),  ('number', 7.5,  -1)]}_[35,  70]_4</v>
      </c>
      <c r="B200" t="s">
        <v>936</v>
      </c>
      <c r="C200" t="s">
        <v>113</v>
      </c>
      <c r="D200" t="s">
        <v>587</v>
      </c>
      <c r="E200">
        <v>5</v>
      </c>
      <c r="F200" t="s">
        <v>588</v>
      </c>
      <c r="G200" t="s">
        <v>589</v>
      </c>
      <c r="H200">
        <v>7.5</v>
      </c>
      <c r="I200" t="s">
        <v>605</v>
      </c>
      <c r="J200" t="s">
        <v>44</v>
      </c>
      <c r="K200" t="s">
        <v>4</v>
      </c>
      <c r="L200">
        <v>247</v>
      </c>
      <c r="M200" t="s">
        <v>5</v>
      </c>
      <c r="N200">
        <v>66</v>
      </c>
      <c r="O200" s="2">
        <f>N200/L200</f>
        <v>0.26720647773279355</v>
      </c>
      <c r="P200" t="s">
        <v>6</v>
      </c>
      <c r="Q200">
        <v>-16.220835170616201</v>
      </c>
      <c r="R200" t="s">
        <v>7</v>
      </c>
      <c r="S200">
        <v>-6.5671397451887506E-2</v>
      </c>
      <c r="T200" t="s">
        <v>8</v>
      </c>
      <c r="U200">
        <v>1.6426735887341499</v>
      </c>
      <c r="V200" t="s">
        <v>9</v>
      </c>
      <c r="W200">
        <v>-0.68860382335397796</v>
      </c>
      <c r="X200" t="s">
        <v>10</v>
      </c>
      <c r="Y200">
        <v>0.39566279270606403</v>
      </c>
      <c r="Z200" t="s">
        <v>11</v>
      </c>
      <c r="AA200" t="s">
        <v>699</v>
      </c>
      <c r="AB200" t="s">
        <v>700</v>
      </c>
    </row>
    <row r="201" spans="1:35" x14ac:dyDescent="0.3">
      <c r="A201" t="str">
        <f>_xlfn.TEXTJOIN(", ", FALSE, C201,D201,E201,F201,G201,H201,I201,J201)</f>
        <v>bbands_{'C',  [('number', 0,  1),  ('number', 2.5,  -1)]}_[7,  35]_1</v>
      </c>
      <c r="B201" t="s">
        <v>901</v>
      </c>
      <c r="C201" t="s">
        <v>113</v>
      </c>
      <c r="D201" t="s">
        <v>587</v>
      </c>
      <c r="E201">
        <v>0</v>
      </c>
      <c r="F201" t="s">
        <v>588</v>
      </c>
      <c r="G201" t="s">
        <v>589</v>
      </c>
      <c r="H201">
        <v>2.5</v>
      </c>
      <c r="I201" t="s">
        <v>590</v>
      </c>
      <c r="J201" t="s">
        <v>3</v>
      </c>
      <c r="K201" t="s">
        <v>4</v>
      </c>
      <c r="L201">
        <v>191</v>
      </c>
      <c r="M201" t="s">
        <v>5</v>
      </c>
      <c r="N201">
        <v>71</v>
      </c>
      <c r="O201" s="2">
        <f>N201/L201</f>
        <v>0.37172774869109948</v>
      </c>
      <c r="P201" t="s">
        <v>6</v>
      </c>
      <c r="Q201">
        <v>-16.919999999999899</v>
      </c>
      <c r="R201" t="s">
        <v>7</v>
      </c>
      <c r="S201">
        <v>-8.8586387434554895E-2</v>
      </c>
      <c r="T201" t="s">
        <v>8</v>
      </c>
      <c r="U201">
        <v>1.2146478873239399</v>
      </c>
      <c r="V201" t="s">
        <v>9</v>
      </c>
      <c r="W201">
        <v>-0.85966666666666602</v>
      </c>
      <c r="X201" t="s">
        <v>10</v>
      </c>
      <c r="Y201">
        <v>0.27464195938416802</v>
      </c>
      <c r="Z201" t="s">
        <v>11</v>
      </c>
      <c r="AA201" t="s">
        <v>246</v>
      </c>
      <c r="AB201" t="s">
        <v>654</v>
      </c>
      <c r="AC201">
        <v>0</v>
      </c>
      <c r="AD201" t="s">
        <v>14</v>
      </c>
      <c r="AE201" t="s">
        <v>15</v>
      </c>
      <c r="AF201" t="s">
        <v>655</v>
      </c>
      <c r="AG201" t="s">
        <v>656</v>
      </c>
      <c r="AH201">
        <v>0</v>
      </c>
      <c r="AI201" t="s">
        <v>18</v>
      </c>
    </row>
    <row r="202" spans="1:35" x14ac:dyDescent="0.3">
      <c r="A202" t="str">
        <f>_xlfn.TEXTJOIN(", ", FALSE, C202,D202,E202,F202,G202,H202,I202,J202)</f>
        <v>psar_{'C',  [('number', 2.5,  1),  ('number', 5,  -1)]}_[35,  70]_4</v>
      </c>
      <c r="B202" t="s">
        <v>972</v>
      </c>
      <c r="C202" t="s">
        <v>134</v>
      </c>
      <c r="D202" t="s">
        <v>587</v>
      </c>
      <c r="E202">
        <v>2.5</v>
      </c>
      <c r="F202" t="s">
        <v>588</v>
      </c>
      <c r="G202" t="s">
        <v>589</v>
      </c>
      <c r="H202">
        <v>5</v>
      </c>
      <c r="I202" t="s">
        <v>605</v>
      </c>
      <c r="J202" t="s">
        <v>44</v>
      </c>
      <c r="K202" t="s">
        <v>4</v>
      </c>
      <c r="L202">
        <v>177</v>
      </c>
      <c r="M202" t="s">
        <v>5</v>
      </c>
      <c r="N202">
        <v>54</v>
      </c>
      <c r="O202" s="2">
        <f>N202/L202</f>
        <v>0.30508474576271188</v>
      </c>
      <c r="P202" t="s">
        <v>6</v>
      </c>
      <c r="Q202">
        <v>-16.942695186502899</v>
      </c>
      <c r="R202" t="s">
        <v>7</v>
      </c>
      <c r="S202">
        <v>-9.5721441731654894E-2</v>
      </c>
      <c r="T202" t="s">
        <v>8</v>
      </c>
      <c r="U202">
        <v>1.4322535580048801</v>
      </c>
      <c r="V202" t="s">
        <v>9</v>
      </c>
      <c r="W202">
        <v>-0.76653973429891498</v>
      </c>
      <c r="X202" t="s">
        <v>10</v>
      </c>
      <c r="Y202">
        <v>0.33768552996881801</v>
      </c>
      <c r="Z202" t="s">
        <v>11</v>
      </c>
      <c r="AA202" t="s">
        <v>724</v>
      </c>
      <c r="AB202" t="s">
        <v>725</v>
      </c>
    </row>
    <row r="203" spans="1:35" x14ac:dyDescent="0.3">
      <c r="A203" t="str">
        <f>_xlfn.TEXTJOIN(", ", FALSE, C203,D203,E203,F203,G203,H203,I203,J203)</f>
        <v>stoch_{'C',  [('number', 2.5,  1),  ('number', 5,  -1)]}_[21,  49]_4</v>
      </c>
      <c r="B203" t="s">
        <v>1117</v>
      </c>
      <c r="C203" t="s">
        <v>262</v>
      </c>
      <c r="D203" t="s">
        <v>587</v>
      </c>
      <c r="E203">
        <v>2.5</v>
      </c>
      <c r="F203" t="s">
        <v>588</v>
      </c>
      <c r="G203" t="s">
        <v>589</v>
      </c>
      <c r="H203">
        <v>5</v>
      </c>
      <c r="I203" t="s">
        <v>599</v>
      </c>
      <c r="J203" t="s">
        <v>36</v>
      </c>
      <c r="K203" t="s">
        <v>4</v>
      </c>
      <c r="L203">
        <v>230</v>
      </c>
      <c r="M203" t="s">
        <v>5</v>
      </c>
      <c r="N203">
        <v>65</v>
      </c>
      <c r="O203" s="2">
        <f>N203/L203</f>
        <v>0.28260869565217389</v>
      </c>
      <c r="P203" t="s">
        <v>6</v>
      </c>
      <c r="Q203">
        <v>-17.049999999999901</v>
      </c>
      <c r="R203" t="s">
        <v>7</v>
      </c>
      <c r="S203">
        <v>-7.4130434782608196E-2</v>
      </c>
      <c r="T203" t="s">
        <v>8</v>
      </c>
      <c r="U203">
        <v>1.43184615384615</v>
      </c>
      <c r="V203" t="s">
        <v>9</v>
      </c>
      <c r="W203">
        <v>-0.66739393939393898</v>
      </c>
      <c r="X203" t="s">
        <v>10</v>
      </c>
      <c r="Y203">
        <v>0.330562300844357</v>
      </c>
      <c r="Z203" t="s">
        <v>11</v>
      </c>
      <c r="AA203" t="s">
        <v>710</v>
      </c>
      <c r="AB203" t="s">
        <v>706</v>
      </c>
      <c r="AC203">
        <v>0</v>
      </c>
      <c r="AD203" t="s">
        <v>14</v>
      </c>
      <c r="AE203" t="s">
        <v>15</v>
      </c>
      <c r="AF203" t="s">
        <v>139</v>
      </c>
      <c r="AG203" t="s">
        <v>230</v>
      </c>
      <c r="AH203">
        <v>0</v>
      </c>
      <c r="AI203" t="s">
        <v>18</v>
      </c>
    </row>
    <row r="204" spans="1:35" x14ac:dyDescent="0.3">
      <c r="A204" t="str">
        <f>_xlfn.TEXTJOIN(", ", FALSE, C204,D204,E204,F204,G204,H204,I204,J204)</f>
        <v>stoch_{'C',  [('number', 7.5,  1),  ('number', 10,  -1)]}_[7,  35]_1</v>
      </c>
      <c r="B204" t="s">
        <v>1118</v>
      </c>
      <c r="C204" t="s">
        <v>262</v>
      </c>
      <c r="D204" t="s">
        <v>587</v>
      </c>
      <c r="E204">
        <v>7.5</v>
      </c>
      <c r="F204" t="s">
        <v>588</v>
      </c>
      <c r="G204" t="s">
        <v>589</v>
      </c>
      <c r="H204">
        <v>10</v>
      </c>
      <c r="I204" t="s">
        <v>590</v>
      </c>
      <c r="J204" t="s">
        <v>3</v>
      </c>
      <c r="K204" t="s">
        <v>4</v>
      </c>
      <c r="L204">
        <v>224</v>
      </c>
      <c r="M204" t="s">
        <v>5</v>
      </c>
      <c r="N204">
        <v>54</v>
      </c>
      <c r="O204" s="2">
        <f>N204/L204</f>
        <v>0.24107142857142858</v>
      </c>
      <c r="P204" t="s">
        <v>6</v>
      </c>
      <c r="Q204">
        <v>-17.2699999999999</v>
      </c>
      <c r="R204" t="s">
        <v>7</v>
      </c>
      <c r="S204">
        <v>-7.7098214285714201E-2</v>
      </c>
      <c r="T204" t="s">
        <v>8</v>
      </c>
      <c r="U204">
        <v>0.743148148148148</v>
      </c>
      <c r="V204" t="s">
        <v>9</v>
      </c>
      <c r="W204">
        <v>-0.33764705882352902</v>
      </c>
      <c r="X204" t="s">
        <v>10</v>
      </c>
      <c r="Y204">
        <v>0.15778652225878301</v>
      </c>
      <c r="Z204" t="s">
        <v>11</v>
      </c>
      <c r="AA204" t="s">
        <v>726</v>
      </c>
      <c r="AB204" t="s">
        <v>611</v>
      </c>
      <c r="AC204">
        <v>0</v>
      </c>
      <c r="AD204" t="s">
        <v>14</v>
      </c>
      <c r="AE204" t="s">
        <v>15</v>
      </c>
      <c r="AF204" t="s">
        <v>838</v>
      </c>
      <c r="AG204" t="s">
        <v>266</v>
      </c>
      <c r="AH204">
        <v>0</v>
      </c>
      <c r="AI204" t="s">
        <v>18</v>
      </c>
    </row>
    <row r="205" spans="1:35" x14ac:dyDescent="0.3">
      <c r="A205" t="str">
        <f>_xlfn.TEXTJOIN(", ", FALSE, C205,D205,E205,F205,G205,H205,I205,J205)</f>
        <v>stoch_{'C',  [('number', 2.5,  1),  ('number', 5,  -1)]}_[7,  35]_4</v>
      </c>
      <c r="B205" t="s">
        <v>1119</v>
      </c>
      <c r="C205" t="s">
        <v>262</v>
      </c>
      <c r="D205" t="s">
        <v>587</v>
      </c>
      <c r="E205">
        <v>2.5</v>
      </c>
      <c r="F205" t="s">
        <v>588</v>
      </c>
      <c r="G205" t="s">
        <v>589</v>
      </c>
      <c r="H205">
        <v>5</v>
      </c>
      <c r="I205" t="s">
        <v>590</v>
      </c>
      <c r="J205" t="s">
        <v>26</v>
      </c>
      <c r="K205" t="s">
        <v>4</v>
      </c>
      <c r="L205">
        <v>224</v>
      </c>
      <c r="M205" t="s">
        <v>5</v>
      </c>
      <c r="N205">
        <v>58</v>
      </c>
      <c r="O205" s="2">
        <f>N205/L205</f>
        <v>0.25892857142857145</v>
      </c>
      <c r="P205" t="s">
        <v>6</v>
      </c>
      <c r="Q205">
        <v>-18.8</v>
      </c>
      <c r="R205" t="s">
        <v>7</v>
      </c>
      <c r="S205">
        <v>-8.3928571428571394E-2</v>
      </c>
      <c r="T205" t="s">
        <v>8</v>
      </c>
      <c r="U205">
        <v>1.49172413793103</v>
      </c>
      <c r="V205" t="s">
        <v>9</v>
      </c>
      <c r="W205">
        <v>-0.63445783132530098</v>
      </c>
      <c r="X205" t="s">
        <v>10</v>
      </c>
      <c r="Y205">
        <v>0.300184646472963</v>
      </c>
      <c r="Z205" t="s">
        <v>11</v>
      </c>
      <c r="AA205" t="s">
        <v>688</v>
      </c>
      <c r="AB205" t="s">
        <v>53</v>
      </c>
      <c r="AC205">
        <v>0</v>
      </c>
      <c r="AD205" t="s">
        <v>14</v>
      </c>
      <c r="AE205" t="s">
        <v>15</v>
      </c>
      <c r="AF205" t="s">
        <v>819</v>
      </c>
      <c r="AG205" t="s">
        <v>656</v>
      </c>
      <c r="AH205">
        <v>0</v>
      </c>
      <c r="AI205" t="s">
        <v>18</v>
      </c>
    </row>
    <row r="206" spans="1:35" x14ac:dyDescent="0.3">
      <c r="A206" t="str">
        <f>_xlfn.TEXTJOIN(", ", FALSE, C206,D206,E206,F206,G206,H206,I206,J206)</f>
        <v>stoch_{'C',  [('number', 2.5,  1),  ('number', 5,  -1)]}_[7,  35]_3</v>
      </c>
      <c r="B206" t="s">
        <v>1120</v>
      </c>
      <c r="C206" t="s">
        <v>262</v>
      </c>
      <c r="D206" t="s">
        <v>587</v>
      </c>
      <c r="E206">
        <v>2.5</v>
      </c>
      <c r="F206" t="s">
        <v>588</v>
      </c>
      <c r="G206" t="s">
        <v>589</v>
      </c>
      <c r="H206">
        <v>5</v>
      </c>
      <c r="I206" t="s">
        <v>590</v>
      </c>
      <c r="J206" t="s">
        <v>23</v>
      </c>
      <c r="K206" t="s">
        <v>4</v>
      </c>
      <c r="L206">
        <v>224</v>
      </c>
      <c r="M206" t="s">
        <v>5</v>
      </c>
      <c r="N206">
        <v>58</v>
      </c>
      <c r="O206" s="2">
        <f>N206/L206</f>
        <v>0.25892857142857145</v>
      </c>
      <c r="P206" t="s">
        <v>6</v>
      </c>
      <c r="Q206">
        <v>-19.43</v>
      </c>
      <c r="R206" t="s">
        <v>7</v>
      </c>
      <c r="S206">
        <v>-8.6741071428571501E-2</v>
      </c>
      <c r="T206" t="s">
        <v>8</v>
      </c>
      <c r="U206">
        <v>1.4808620689655101</v>
      </c>
      <c r="V206" t="s">
        <v>9</v>
      </c>
      <c r="W206">
        <v>-0.63445783132530098</v>
      </c>
      <c r="X206" t="s">
        <v>10</v>
      </c>
      <c r="Y206">
        <v>0.300141977784599</v>
      </c>
      <c r="Z206" t="s">
        <v>11</v>
      </c>
      <c r="AA206" t="s">
        <v>688</v>
      </c>
      <c r="AB206" t="s">
        <v>53</v>
      </c>
      <c r="AC206">
        <v>0</v>
      </c>
      <c r="AD206" t="s">
        <v>14</v>
      </c>
      <c r="AE206" t="s">
        <v>15</v>
      </c>
      <c r="AF206" t="s">
        <v>819</v>
      </c>
      <c r="AG206" t="s">
        <v>656</v>
      </c>
      <c r="AH206">
        <v>0</v>
      </c>
      <c r="AI206" t="s">
        <v>18</v>
      </c>
    </row>
    <row r="207" spans="1:35" x14ac:dyDescent="0.3">
      <c r="A207" t="str">
        <f>_xlfn.TEXTJOIN(", ", FALSE, C207,D207,E207,F207,G207,H207,I207,J207)</f>
        <v>psar_{'C',  [('number', 0,  1),  ('number', 2.5,  -1)]}_[35,  70]_3</v>
      </c>
      <c r="B207" t="s">
        <v>959</v>
      </c>
      <c r="C207" t="s">
        <v>134</v>
      </c>
      <c r="D207" t="s">
        <v>587</v>
      </c>
      <c r="E207">
        <v>0</v>
      </c>
      <c r="F207" t="s">
        <v>588</v>
      </c>
      <c r="G207" t="s">
        <v>589</v>
      </c>
      <c r="H207">
        <v>2.5</v>
      </c>
      <c r="I207" t="s">
        <v>605</v>
      </c>
      <c r="J207" t="s">
        <v>42</v>
      </c>
      <c r="K207" t="s">
        <v>4</v>
      </c>
      <c r="L207">
        <v>177</v>
      </c>
      <c r="M207" t="s">
        <v>5</v>
      </c>
      <c r="N207">
        <v>58</v>
      </c>
      <c r="O207" s="2">
        <f>N207/L207</f>
        <v>0.32768361581920902</v>
      </c>
      <c r="P207" t="s">
        <v>6</v>
      </c>
      <c r="Q207">
        <v>-19.507987777031001</v>
      </c>
      <c r="R207" t="s">
        <v>7</v>
      </c>
      <c r="S207">
        <v>-0.11021462020921401</v>
      </c>
      <c r="T207" t="s">
        <v>8</v>
      </c>
      <c r="U207">
        <v>1.4057711579464101</v>
      </c>
      <c r="V207" t="s">
        <v>9</v>
      </c>
      <c r="W207">
        <v>-0.84909844485649699</v>
      </c>
      <c r="X207" t="s">
        <v>10</v>
      </c>
      <c r="Y207">
        <v>0.39607663456294201</v>
      </c>
      <c r="Z207" t="s">
        <v>11</v>
      </c>
      <c r="AA207" t="s">
        <v>678</v>
      </c>
      <c r="AB207" t="s">
        <v>711</v>
      </c>
      <c r="AC207">
        <v>0</v>
      </c>
      <c r="AD207" t="s">
        <v>14</v>
      </c>
      <c r="AE207" t="s">
        <v>15</v>
      </c>
      <c r="AF207" t="s">
        <v>678</v>
      </c>
      <c r="AG207" t="s">
        <v>711</v>
      </c>
      <c r="AH207">
        <v>0</v>
      </c>
      <c r="AI207" t="s">
        <v>18</v>
      </c>
    </row>
    <row r="208" spans="1:35" x14ac:dyDescent="0.3">
      <c r="A208" t="str">
        <f>_xlfn.TEXTJOIN(", ", FALSE, C208,D208,E208,F208,G208,H208,I208,J208)</f>
        <v>psar_{'C',  [('number', 0,  1),  ('number', 2.5,  -1)]}_[35,  70]_4</v>
      </c>
      <c r="B208" t="s">
        <v>960</v>
      </c>
      <c r="C208" t="s">
        <v>134</v>
      </c>
      <c r="D208" t="s">
        <v>587</v>
      </c>
      <c r="E208">
        <v>0</v>
      </c>
      <c r="F208" t="s">
        <v>588</v>
      </c>
      <c r="G208" t="s">
        <v>589</v>
      </c>
      <c r="H208">
        <v>2.5</v>
      </c>
      <c r="I208" t="s">
        <v>605</v>
      </c>
      <c r="J208" t="s">
        <v>44</v>
      </c>
      <c r="K208" t="s">
        <v>4</v>
      </c>
      <c r="L208">
        <v>177</v>
      </c>
      <c r="M208" t="s">
        <v>5</v>
      </c>
      <c r="N208">
        <v>58</v>
      </c>
      <c r="O208" s="2">
        <f>N208/L208</f>
        <v>0.32768361581920902</v>
      </c>
      <c r="P208" t="s">
        <v>6</v>
      </c>
      <c r="Q208">
        <v>-19.507987777031001</v>
      </c>
      <c r="R208" t="s">
        <v>7</v>
      </c>
      <c r="S208">
        <v>-0.11021462020921401</v>
      </c>
      <c r="T208" t="s">
        <v>8</v>
      </c>
      <c r="U208">
        <v>1.4057711579464101</v>
      </c>
      <c r="V208" t="s">
        <v>9</v>
      </c>
      <c r="W208">
        <v>-0.84909844485649699</v>
      </c>
      <c r="X208" t="s">
        <v>10</v>
      </c>
      <c r="Y208">
        <v>0.39607663456294201</v>
      </c>
      <c r="Z208" t="s">
        <v>11</v>
      </c>
      <c r="AA208" t="s">
        <v>678</v>
      </c>
      <c r="AB208" t="s">
        <v>711</v>
      </c>
      <c r="AC208">
        <v>0</v>
      </c>
      <c r="AD208" t="s">
        <v>14</v>
      </c>
      <c r="AE208" t="s">
        <v>15</v>
      </c>
      <c r="AF208" t="s">
        <v>678</v>
      </c>
      <c r="AG208" t="s">
        <v>711</v>
      </c>
      <c r="AH208">
        <v>0</v>
      </c>
      <c r="AI208" t="s">
        <v>18</v>
      </c>
    </row>
    <row r="209" spans="1:35" x14ac:dyDescent="0.3">
      <c r="A209" t="str">
        <f>_xlfn.TEXTJOIN(", ", FALSE, C209,D209,E209,F209,G209,H209,I209,J209)</f>
        <v>stoch_{'C',  [('number', 2.5,  1),  ('number', 5,  -1)]}_[35,  70]_3</v>
      </c>
      <c r="B209" t="s">
        <v>1121</v>
      </c>
      <c r="C209" t="s">
        <v>262</v>
      </c>
      <c r="D209" t="s">
        <v>587</v>
      </c>
      <c r="E209">
        <v>2.5</v>
      </c>
      <c r="F209" t="s">
        <v>588</v>
      </c>
      <c r="G209" t="s">
        <v>589</v>
      </c>
      <c r="H209">
        <v>5</v>
      </c>
      <c r="I209" t="s">
        <v>605</v>
      </c>
      <c r="J209" t="s">
        <v>42</v>
      </c>
      <c r="K209" t="s">
        <v>4</v>
      </c>
      <c r="L209">
        <v>291</v>
      </c>
      <c r="M209" t="s">
        <v>5</v>
      </c>
      <c r="N209">
        <v>88</v>
      </c>
      <c r="O209" s="2">
        <f>N209/L209</f>
        <v>0.30240549828178692</v>
      </c>
      <c r="P209" t="s">
        <v>6</v>
      </c>
      <c r="Q209">
        <v>-19.5090368893181</v>
      </c>
      <c r="R209" t="s">
        <v>7</v>
      </c>
      <c r="S209">
        <v>-6.7041363880818397E-2</v>
      </c>
      <c r="T209" t="s">
        <v>8</v>
      </c>
      <c r="U209">
        <v>1.5250227375293799</v>
      </c>
      <c r="V209" t="s">
        <v>9</v>
      </c>
      <c r="W209">
        <v>-0.75719723050198795</v>
      </c>
      <c r="X209" t="s">
        <v>10</v>
      </c>
      <c r="Y209">
        <v>0.42591210890884201</v>
      </c>
      <c r="Z209" t="s">
        <v>11</v>
      </c>
      <c r="AA209" t="s">
        <v>825</v>
      </c>
      <c r="AB209" t="s">
        <v>13</v>
      </c>
      <c r="AC209">
        <v>0</v>
      </c>
      <c r="AD209" t="s">
        <v>14</v>
      </c>
      <c r="AE209" t="s">
        <v>15</v>
      </c>
      <c r="AF209" t="s">
        <v>826</v>
      </c>
      <c r="AG209" t="s">
        <v>601</v>
      </c>
      <c r="AH209">
        <v>0</v>
      </c>
      <c r="AI209" t="s">
        <v>18</v>
      </c>
    </row>
    <row r="210" spans="1:35" x14ac:dyDescent="0.3">
      <c r="A210" t="str">
        <f>_xlfn.TEXTJOIN(", ", FALSE, C210,D210,E210,F210,G210,H210,I210,J210)</f>
        <v>bbands_{'C',  [('number', 2.5,  1),  ('number', 5,  -1)]}_[7,  35]_4</v>
      </c>
      <c r="B210" t="s">
        <v>916</v>
      </c>
      <c r="C210" t="s">
        <v>113</v>
      </c>
      <c r="D210" t="s">
        <v>587</v>
      </c>
      <c r="E210">
        <v>2.5</v>
      </c>
      <c r="F210" t="s">
        <v>588</v>
      </c>
      <c r="G210" t="s">
        <v>589</v>
      </c>
      <c r="H210">
        <v>5</v>
      </c>
      <c r="I210" t="s">
        <v>590</v>
      </c>
      <c r="J210" t="s">
        <v>26</v>
      </c>
      <c r="K210" t="s">
        <v>4</v>
      </c>
      <c r="L210">
        <v>191</v>
      </c>
      <c r="M210" t="s">
        <v>5</v>
      </c>
      <c r="N210">
        <v>53</v>
      </c>
      <c r="O210" s="2">
        <f>N210/L210</f>
        <v>0.27748691099476441</v>
      </c>
      <c r="P210" t="s">
        <v>6</v>
      </c>
      <c r="Q210">
        <v>-20.009999999999899</v>
      </c>
      <c r="R210" t="s">
        <v>7</v>
      </c>
      <c r="S210">
        <v>-0.10476439790575801</v>
      </c>
      <c r="T210" t="s">
        <v>8</v>
      </c>
      <c r="U210">
        <v>1.3966037735849</v>
      </c>
      <c r="V210" t="s">
        <v>9</v>
      </c>
      <c r="W210">
        <v>-0.68137681159420205</v>
      </c>
      <c r="X210" t="s">
        <v>10</v>
      </c>
      <c r="Y210">
        <v>0.26439066721843002</v>
      </c>
      <c r="Z210" t="s">
        <v>11</v>
      </c>
      <c r="AA210" t="s">
        <v>669</v>
      </c>
      <c r="AB210" t="s">
        <v>670</v>
      </c>
      <c r="AC210">
        <v>0</v>
      </c>
      <c r="AD210" t="s">
        <v>14</v>
      </c>
      <c r="AE210" t="s">
        <v>15</v>
      </c>
      <c r="AF210" t="s">
        <v>669</v>
      </c>
      <c r="AG210" t="s">
        <v>670</v>
      </c>
      <c r="AH210">
        <v>0</v>
      </c>
      <c r="AI210" t="s">
        <v>18</v>
      </c>
    </row>
    <row r="211" spans="1:35" x14ac:dyDescent="0.3">
      <c r="A211" t="str">
        <f>_xlfn.TEXTJOIN(", ", FALSE, C211,D211,E211,F211,G211,H211,I211,J211)</f>
        <v>stoch_{'C',  [('number', 7.5,  1),  ('number', 10,  -1)]}_[35,  70]_1</v>
      </c>
      <c r="B211" t="s">
        <v>1122</v>
      </c>
      <c r="C211" t="s">
        <v>262</v>
      </c>
      <c r="D211" t="s">
        <v>587</v>
      </c>
      <c r="E211">
        <v>7.5</v>
      </c>
      <c r="F211" t="s">
        <v>588</v>
      </c>
      <c r="G211" t="s">
        <v>589</v>
      </c>
      <c r="H211">
        <v>10</v>
      </c>
      <c r="I211" t="s">
        <v>605</v>
      </c>
      <c r="J211" t="s">
        <v>38</v>
      </c>
      <c r="K211" t="s">
        <v>4</v>
      </c>
      <c r="L211">
        <v>291</v>
      </c>
      <c r="M211" t="s">
        <v>5</v>
      </c>
      <c r="N211">
        <v>101</v>
      </c>
      <c r="O211" s="2">
        <f>N211/L211</f>
        <v>0.34707903780068727</v>
      </c>
      <c r="P211" t="s">
        <v>6</v>
      </c>
      <c r="Q211">
        <v>-20.130168928301899</v>
      </c>
      <c r="R211" t="s">
        <v>7</v>
      </c>
      <c r="S211">
        <v>-6.9175838241587406E-2</v>
      </c>
      <c r="T211" t="s">
        <v>8</v>
      </c>
      <c r="U211">
        <v>0.88463535697371898</v>
      </c>
      <c r="V211" t="s">
        <v>9</v>
      </c>
      <c r="W211">
        <v>-0.576201789382355</v>
      </c>
      <c r="X211" t="s">
        <v>10</v>
      </c>
      <c r="Y211">
        <v>0.27244565815219302</v>
      </c>
      <c r="Z211" t="s">
        <v>11</v>
      </c>
      <c r="AA211" t="s">
        <v>850</v>
      </c>
      <c r="AB211" t="s">
        <v>851</v>
      </c>
      <c r="AC211">
        <v>0</v>
      </c>
      <c r="AD211" t="s">
        <v>14</v>
      </c>
      <c r="AE211" t="s">
        <v>15</v>
      </c>
      <c r="AF211" t="s">
        <v>852</v>
      </c>
      <c r="AG211" t="s">
        <v>91</v>
      </c>
      <c r="AH211">
        <v>0</v>
      </c>
      <c r="AI211" t="s">
        <v>18</v>
      </c>
    </row>
    <row r="212" spans="1:35" x14ac:dyDescent="0.3">
      <c r="A212" t="str">
        <f>_xlfn.TEXTJOIN(", ", FALSE, C212,D212,E212,F212,G212,H212,I212,J212)</f>
        <v>bbands_{'C',  [('number', 2.5,  1),  ('number', 5,  -1)]}_[7,  35]_3</v>
      </c>
      <c r="B212" t="s">
        <v>915</v>
      </c>
      <c r="C212" t="s">
        <v>113</v>
      </c>
      <c r="D212" t="s">
        <v>587</v>
      </c>
      <c r="E212">
        <v>2.5</v>
      </c>
      <c r="F212" t="s">
        <v>588</v>
      </c>
      <c r="G212" t="s">
        <v>589</v>
      </c>
      <c r="H212">
        <v>5</v>
      </c>
      <c r="I212" t="s">
        <v>590</v>
      </c>
      <c r="J212" t="s">
        <v>23</v>
      </c>
      <c r="K212" t="s">
        <v>4</v>
      </c>
      <c r="L212">
        <v>191</v>
      </c>
      <c r="M212" t="s">
        <v>5</v>
      </c>
      <c r="N212">
        <v>53</v>
      </c>
      <c r="O212" s="2">
        <f>N212/L212</f>
        <v>0.27748691099476441</v>
      </c>
      <c r="P212" t="s">
        <v>6</v>
      </c>
      <c r="Q212">
        <v>-20.4299999999999</v>
      </c>
      <c r="R212" t="s">
        <v>7</v>
      </c>
      <c r="S212">
        <v>-0.10696335078534</v>
      </c>
      <c r="T212" t="s">
        <v>8</v>
      </c>
      <c r="U212">
        <v>1.3886792452830099</v>
      </c>
      <c r="V212" t="s">
        <v>9</v>
      </c>
      <c r="W212">
        <v>-0.68137681159420205</v>
      </c>
      <c r="X212" t="s">
        <v>10</v>
      </c>
      <c r="Y212">
        <v>0.26439568478487402</v>
      </c>
      <c r="Z212" t="s">
        <v>11</v>
      </c>
      <c r="AA212" t="s">
        <v>669</v>
      </c>
      <c r="AB212" t="s">
        <v>670</v>
      </c>
      <c r="AC212">
        <v>0</v>
      </c>
      <c r="AD212" t="s">
        <v>14</v>
      </c>
      <c r="AE212" t="s">
        <v>15</v>
      </c>
      <c r="AF212" t="s">
        <v>669</v>
      </c>
      <c r="AG212" t="s">
        <v>670</v>
      </c>
      <c r="AH212">
        <v>0</v>
      </c>
      <c r="AI212" t="s">
        <v>18</v>
      </c>
    </row>
    <row r="213" spans="1:35" x14ac:dyDescent="0.3">
      <c r="A213" t="str">
        <f>_xlfn.TEXTJOIN(", ", FALSE, C213,D213,E213,F213,G213,H213,I213,J213)</f>
        <v>stoch_{'C',  [('number', 7.5,  1),  ('number', 10,  -1)]}_[21,  49]_3</v>
      </c>
      <c r="B213" t="s">
        <v>1123</v>
      </c>
      <c r="C213" t="s">
        <v>262</v>
      </c>
      <c r="D213" t="s">
        <v>587</v>
      </c>
      <c r="E213">
        <v>7.5</v>
      </c>
      <c r="F213" t="s">
        <v>588</v>
      </c>
      <c r="G213" t="s">
        <v>589</v>
      </c>
      <c r="H213">
        <v>10</v>
      </c>
      <c r="I213" t="s">
        <v>599</v>
      </c>
      <c r="J213" t="s">
        <v>33</v>
      </c>
      <c r="K213" t="s">
        <v>4</v>
      </c>
      <c r="L213">
        <v>230</v>
      </c>
      <c r="M213" t="s">
        <v>5</v>
      </c>
      <c r="N213">
        <v>38</v>
      </c>
      <c r="O213" s="2">
        <f>N213/L213</f>
        <v>0.16521739130434782</v>
      </c>
      <c r="P213" t="s">
        <v>6</v>
      </c>
      <c r="Q213">
        <v>-20.67</v>
      </c>
      <c r="R213" t="s">
        <v>7</v>
      </c>
      <c r="S213">
        <v>-8.9869565217391298E-2</v>
      </c>
      <c r="T213" t="s">
        <v>8</v>
      </c>
      <c r="U213">
        <v>1.54605263157894</v>
      </c>
      <c r="V213" t="s">
        <v>9</v>
      </c>
      <c r="W213">
        <v>-0.41364583333333299</v>
      </c>
      <c r="X213" t="s">
        <v>10</v>
      </c>
      <c r="Y213">
        <v>0.24248552721090899</v>
      </c>
      <c r="Z213" t="s">
        <v>11</v>
      </c>
      <c r="AA213" t="s">
        <v>847</v>
      </c>
      <c r="AB213" t="s">
        <v>848</v>
      </c>
      <c r="AC213">
        <v>0</v>
      </c>
      <c r="AD213" t="s">
        <v>14</v>
      </c>
      <c r="AE213" t="s">
        <v>15</v>
      </c>
      <c r="AF213" t="s">
        <v>845</v>
      </c>
      <c r="AG213" t="s">
        <v>846</v>
      </c>
      <c r="AH213">
        <v>0</v>
      </c>
      <c r="AI213" t="s">
        <v>18</v>
      </c>
    </row>
    <row r="214" spans="1:35" x14ac:dyDescent="0.3">
      <c r="A214" t="str">
        <f>_xlfn.TEXTJOIN(", ", FALSE, C214,D214,E214,F214,G214,H214,I214,J214)</f>
        <v>stoch_{'C',  [('number', 5,  1),  ('number', 7.5,  -1)]}_[7,  35]_1</v>
      </c>
      <c r="B214" t="s">
        <v>1124</v>
      </c>
      <c r="C214" t="s">
        <v>262</v>
      </c>
      <c r="D214" t="s">
        <v>587</v>
      </c>
      <c r="E214">
        <v>5</v>
      </c>
      <c r="F214" t="s">
        <v>588</v>
      </c>
      <c r="G214" t="s">
        <v>589</v>
      </c>
      <c r="H214">
        <v>7.5</v>
      </c>
      <c r="I214" t="s">
        <v>590</v>
      </c>
      <c r="J214" t="s">
        <v>3</v>
      </c>
      <c r="K214" t="s">
        <v>4</v>
      </c>
      <c r="L214">
        <v>224</v>
      </c>
      <c r="M214" t="s">
        <v>5</v>
      </c>
      <c r="N214">
        <v>63</v>
      </c>
      <c r="O214" s="2">
        <f>N214/L214</f>
        <v>0.28125</v>
      </c>
      <c r="P214" t="s">
        <v>6</v>
      </c>
      <c r="Q214">
        <v>-21.389999999999901</v>
      </c>
      <c r="R214" t="s">
        <v>7</v>
      </c>
      <c r="S214">
        <v>-9.54910714285713E-2</v>
      </c>
      <c r="T214" t="s">
        <v>8</v>
      </c>
      <c r="U214">
        <v>0.88253968253968196</v>
      </c>
      <c r="V214" t="s">
        <v>9</v>
      </c>
      <c r="W214">
        <v>-0.47819875776397502</v>
      </c>
      <c r="X214" t="s">
        <v>10</v>
      </c>
      <c r="Y214">
        <v>0.19408403041993399</v>
      </c>
      <c r="Z214" t="s">
        <v>11</v>
      </c>
      <c r="AA214" t="s">
        <v>701</v>
      </c>
      <c r="AB214" t="s">
        <v>658</v>
      </c>
      <c r="AC214">
        <v>0</v>
      </c>
      <c r="AD214" t="s">
        <v>14</v>
      </c>
      <c r="AE214" t="s">
        <v>15</v>
      </c>
      <c r="AF214" t="s">
        <v>827</v>
      </c>
      <c r="AG214" t="s">
        <v>266</v>
      </c>
      <c r="AH214">
        <v>0</v>
      </c>
      <c r="AI214" t="s">
        <v>18</v>
      </c>
    </row>
    <row r="215" spans="1:35" x14ac:dyDescent="0.3">
      <c r="A215" t="str">
        <f>_xlfn.TEXTJOIN(", ", FALSE, C215,D215,E215,F215,G215,H215,I215,J215)</f>
        <v>bbands_{'C',  [('number', 2.5,  1),  ('number', 5,  -1)]}_[7,  35]_2</v>
      </c>
      <c r="B215" t="s">
        <v>914</v>
      </c>
      <c r="C215" t="s">
        <v>113</v>
      </c>
      <c r="D215" t="s">
        <v>587</v>
      </c>
      <c r="E215">
        <v>2.5</v>
      </c>
      <c r="F215" t="s">
        <v>588</v>
      </c>
      <c r="G215" t="s">
        <v>589</v>
      </c>
      <c r="H215">
        <v>5</v>
      </c>
      <c r="I215" t="s">
        <v>590</v>
      </c>
      <c r="J215" t="s">
        <v>19</v>
      </c>
      <c r="K215" t="s">
        <v>4</v>
      </c>
      <c r="L215">
        <v>191</v>
      </c>
      <c r="M215" t="s">
        <v>5</v>
      </c>
      <c r="N215">
        <v>53</v>
      </c>
      <c r="O215" s="2">
        <f>N215/L215</f>
        <v>0.27748691099476441</v>
      </c>
      <c r="P215" t="s">
        <v>6</v>
      </c>
      <c r="Q215">
        <v>-21.829999999999899</v>
      </c>
      <c r="R215" t="s">
        <v>7</v>
      </c>
      <c r="S215">
        <v>-0.114293193717277</v>
      </c>
      <c r="T215" t="s">
        <v>8</v>
      </c>
      <c r="U215">
        <v>1.3622641509433899</v>
      </c>
      <c r="V215" t="s">
        <v>9</v>
      </c>
      <c r="W215">
        <v>-0.68137681159420205</v>
      </c>
      <c r="X215" t="s">
        <v>10</v>
      </c>
      <c r="Y215">
        <v>0.26092202677146398</v>
      </c>
      <c r="Z215" t="s">
        <v>11</v>
      </c>
      <c r="AA215" t="s">
        <v>669</v>
      </c>
      <c r="AB215" t="s">
        <v>670</v>
      </c>
      <c r="AC215">
        <v>0</v>
      </c>
      <c r="AD215" t="s">
        <v>14</v>
      </c>
      <c r="AE215" t="s">
        <v>15</v>
      </c>
      <c r="AF215" t="s">
        <v>669</v>
      </c>
      <c r="AG215" t="s">
        <v>670</v>
      </c>
      <c r="AH215">
        <v>0</v>
      </c>
      <c r="AI215" t="s">
        <v>18</v>
      </c>
    </row>
    <row r="216" spans="1:35" x14ac:dyDescent="0.3">
      <c r="A216" t="str">
        <f>_xlfn.TEXTJOIN(", ", FALSE, C216,D216,E216,F216,G216,H216,I216,J216)</f>
        <v>stoch_{'C',  [('number', 5,  1),  ('number', 7.5,  -1)]}_[7,  35]_2</v>
      </c>
      <c r="B216" t="s">
        <v>1125</v>
      </c>
      <c r="C216" t="s">
        <v>262</v>
      </c>
      <c r="D216" t="s">
        <v>587</v>
      </c>
      <c r="E216">
        <v>5</v>
      </c>
      <c r="F216" t="s">
        <v>588</v>
      </c>
      <c r="G216" t="s">
        <v>589</v>
      </c>
      <c r="H216">
        <v>7.5</v>
      </c>
      <c r="I216" t="s">
        <v>590</v>
      </c>
      <c r="J216" t="s">
        <v>19</v>
      </c>
      <c r="K216" t="s">
        <v>4</v>
      </c>
      <c r="L216">
        <v>224</v>
      </c>
      <c r="M216" t="s">
        <v>5</v>
      </c>
      <c r="N216">
        <v>44</v>
      </c>
      <c r="O216" s="2">
        <f>N216/L216</f>
        <v>0.19642857142857142</v>
      </c>
      <c r="P216" t="s">
        <v>6</v>
      </c>
      <c r="Q216">
        <v>-21.869999999999902</v>
      </c>
      <c r="R216" t="s">
        <v>7</v>
      </c>
      <c r="S216">
        <v>-9.7633928571428497E-2</v>
      </c>
      <c r="T216" t="s">
        <v>8</v>
      </c>
      <c r="U216">
        <v>1.4272727272727199</v>
      </c>
      <c r="V216" t="s">
        <v>9</v>
      </c>
      <c r="W216">
        <v>-0.47038888888888802</v>
      </c>
      <c r="X216" t="s">
        <v>10</v>
      </c>
      <c r="Y216">
        <v>0.230874631620621</v>
      </c>
      <c r="Z216" t="s">
        <v>11</v>
      </c>
      <c r="AA216" t="s">
        <v>686</v>
      </c>
      <c r="AB216" t="s">
        <v>675</v>
      </c>
      <c r="AC216">
        <v>0</v>
      </c>
      <c r="AD216" t="s">
        <v>14</v>
      </c>
      <c r="AE216" t="s">
        <v>15</v>
      </c>
      <c r="AF216" t="s">
        <v>828</v>
      </c>
      <c r="AG216" t="s">
        <v>266</v>
      </c>
      <c r="AH216">
        <v>0</v>
      </c>
      <c r="AI216" t="s">
        <v>18</v>
      </c>
    </row>
    <row r="217" spans="1:35" x14ac:dyDescent="0.3">
      <c r="A217" t="str">
        <f>_xlfn.TEXTJOIN(", ", FALSE, C217,D217,E217,F217,G217,H217,I217,J217)</f>
        <v>stoch_{'C',  [('number', 0,  1),  ('number', 2.5,  -1)]}_[7,  35]_1</v>
      </c>
      <c r="B217" t="s">
        <v>1093</v>
      </c>
      <c r="C217" t="s">
        <v>262</v>
      </c>
      <c r="D217" t="s">
        <v>587</v>
      </c>
      <c r="E217">
        <v>0</v>
      </c>
      <c r="F217" t="s">
        <v>588</v>
      </c>
      <c r="G217" t="s">
        <v>589</v>
      </c>
      <c r="H217">
        <v>2.5</v>
      </c>
      <c r="I217" t="s">
        <v>590</v>
      </c>
      <c r="J217" t="s">
        <v>3</v>
      </c>
      <c r="K217" t="s">
        <v>4</v>
      </c>
      <c r="L217">
        <v>224</v>
      </c>
      <c r="M217" t="s">
        <v>5</v>
      </c>
      <c r="N217">
        <v>80</v>
      </c>
      <c r="O217" s="2">
        <f>N217/L217</f>
        <v>0.35714285714285715</v>
      </c>
      <c r="P217" t="s">
        <v>6</v>
      </c>
      <c r="Q217">
        <v>-21.899999999999899</v>
      </c>
      <c r="R217" t="s">
        <v>7</v>
      </c>
      <c r="S217">
        <v>-9.7767857142857101E-2</v>
      </c>
      <c r="T217" t="s">
        <v>8</v>
      </c>
      <c r="U217">
        <v>1.1912499999999999</v>
      </c>
      <c r="V217" t="s">
        <v>9</v>
      </c>
      <c r="W217">
        <v>-0.81388888888888899</v>
      </c>
      <c r="X217" t="s">
        <v>10</v>
      </c>
      <c r="Y217">
        <v>0.31153774913258703</v>
      </c>
      <c r="Z217" t="s">
        <v>11</v>
      </c>
      <c r="AA217" t="s">
        <v>808</v>
      </c>
      <c r="AB217" t="s">
        <v>656</v>
      </c>
      <c r="AC217">
        <v>0</v>
      </c>
      <c r="AD217" t="s">
        <v>14</v>
      </c>
      <c r="AE217" t="s">
        <v>15</v>
      </c>
      <c r="AF217" t="s">
        <v>809</v>
      </c>
      <c r="AG217" t="s">
        <v>656</v>
      </c>
      <c r="AH217">
        <v>0</v>
      </c>
      <c r="AI217" t="s">
        <v>18</v>
      </c>
    </row>
    <row r="218" spans="1:35" x14ac:dyDescent="0.3">
      <c r="A218" t="str">
        <f>_xlfn.TEXTJOIN(", ", FALSE, C218,D218,E218,F218,G218,H218,I218,J218)</f>
        <v>psar_no_highvol_{'C',  [('number', 0,  1),  ('number', 2.5,  -1)]}_[35,  70]_2</v>
      </c>
      <c r="B218" t="s">
        <v>1006</v>
      </c>
      <c r="C218" t="s">
        <v>175</v>
      </c>
      <c r="D218" t="s">
        <v>587</v>
      </c>
      <c r="E218">
        <v>0</v>
      </c>
      <c r="F218" t="s">
        <v>588</v>
      </c>
      <c r="G218" t="s">
        <v>589</v>
      </c>
      <c r="H218">
        <v>2.5</v>
      </c>
      <c r="I218" t="s">
        <v>605</v>
      </c>
      <c r="J218" t="s">
        <v>40</v>
      </c>
      <c r="K218" t="s">
        <v>4</v>
      </c>
      <c r="L218">
        <v>130</v>
      </c>
      <c r="M218" t="s">
        <v>5</v>
      </c>
      <c r="N218">
        <v>41</v>
      </c>
      <c r="O218" s="2">
        <f>N218/L218</f>
        <v>0.31538461538461537</v>
      </c>
      <c r="P218" t="s">
        <v>6</v>
      </c>
      <c r="Q218">
        <v>-22.604010391427</v>
      </c>
      <c r="R218" t="s">
        <v>7</v>
      </c>
      <c r="S218">
        <v>-0.173877003010977</v>
      </c>
      <c r="T218" t="s">
        <v>8</v>
      </c>
      <c r="U218">
        <v>1.2436585365853601</v>
      </c>
      <c r="V218" t="s">
        <v>9</v>
      </c>
      <c r="W218">
        <v>-0.82689899316210203</v>
      </c>
      <c r="X218" t="s">
        <v>10</v>
      </c>
      <c r="Y218">
        <v>0.232002215662304</v>
      </c>
      <c r="Z218" t="s">
        <v>11</v>
      </c>
      <c r="AA218" t="s">
        <v>710</v>
      </c>
      <c r="AB218" t="s">
        <v>755</v>
      </c>
    </row>
    <row r="219" spans="1:35" x14ac:dyDescent="0.3">
      <c r="A219" t="str">
        <f>_xlfn.TEXTJOIN(", ", FALSE, C219,D219,E219,F219,G219,H219,I219,J219)</f>
        <v>alltime_{'C',  [('number', 7.5,  1),  ('number', 10,  -1)]}_[7,  35]_2</v>
      </c>
      <c r="B219" t="s">
        <v>890</v>
      </c>
      <c r="C219" t="s">
        <v>0</v>
      </c>
      <c r="D219" t="s">
        <v>587</v>
      </c>
      <c r="E219">
        <v>7.5</v>
      </c>
      <c r="F219" t="s">
        <v>588</v>
      </c>
      <c r="G219" t="s">
        <v>589</v>
      </c>
      <c r="H219">
        <v>10</v>
      </c>
      <c r="I219" t="s">
        <v>590</v>
      </c>
      <c r="J219" t="s">
        <v>19</v>
      </c>
      <c r="K219" t="s">
        <v>4</v>
      </c>
      <c r="L219">
        <v>3073</v>
      </c>
      <c r="M219" t="s">
        <v>5</v>
      </c>
      <c r="N219">
        <v>617</v>
      </c>
      <c r="O219" s="2">
        <f>N219/L219</f>
        <v>0.20078099576960626</v>
      </c>
      <c r="P219" t="s">
        <v>6</v>
      </c>
      <c r="Q219">
        <v>-22.739999999999899</v>
      </c>
      <c r="R219" t="s">
        <v>7</v>
      </c>
      <c r="S219">
        <v>-7.3999349170191702E-3</v>
      </c>
      <c r="T219" t="s">
        <v>8</v>
      </c>
      <c r="U219">
        <v>1.1117990275526699</v>
      </c>
      <c r="V219" t="s">
        <v>9</v>
      </c>
      <c r="W219">
        <v>-0.28856677524429902</v>
      </c>
      <c r="X219" t="s">
        <v>10</v>
      </c>
      <c r="Y219">
        <v>1.5393466085547201</v>
      </c>
      <c r="Z219" t="s">
        <v>11</v>
      </c>
      <c r="AA219" t="s">
        <v>638</v>
      </c>
      <c r="AB219" t="s">
        <v>639</v>
      </c>
      <c r="AC219">
        <v>0</v>
      </c>
      <c r="AD219" t="s">
        <v>14</v>
      </c>
      <c r="AE219" t="s">
        <v>15</v>
      </c>
      <c r="AF219" t="s">
        <v>640</v>
      </c>
      <c r="AG219" t="s">
        <v>21</v>
      </c>
      <c r="AH219">
        <v>0</v>
      </c>
      <c r="AI219" t="s">
        <v>18</v>
      </c>
    </row>
    <row r="220" spans="1:35" x14ac:dyDescent="0.3">
      <c r="A220" t="str">
        <f>_xlfn.TEXTJOIN(", ", FALSE, C220,D220,E220,F220,G220,H220,I220,J220)</f>
        <v>stoch_{'C',  [('number', 0,  1),  ('number', 2.5,  -1)]}_[21,  49]_2</v>
      </c>
      <c r="B220" t="s">
        <v>1098</v>
      </c>
      <c r="C220" t="s">
        <v>262</v>
      </c>
      <c r="D220" t="s">
        <v>587</v>
      </c>
      <c r="E220">
        <v>0</v>
      </c>
      <c r="F220" t="s">
        <v>588</v>
      </c>
      <c r="G220" t="s">
        <v>589</v>
      </c>
      <c r="H220">
        <v>2.5</v>
      </c>
      <c r="I220" t="s">
        <v>599</v>
      </c>
      <c r="J220" t="s">
        <v>30</v>
      </c>
      <c r="K220" t="s">
        <v>4</v>
      </c>
      <c r="L220">
        <v>230</v>
      </c>
      <c r="M220" t="s">
        <v>5</v>
      </c>
      <c r="N220">
        <v>80</v>
      </c>
      <c r="O220" s="2">
        <f>N220/L220</f>
        <v>0.34782608695652173</v>
      </c>
      <c r="P220" t="s">
        <v>6</v>
      </c>
      <c r="Q220">
        <v>-22.779503625054598</v>
      </c>
      <c r="R220" t="s">
        <v>7</v>
      </c>
      <c r="S220">
        <v>-9.9041320108933406E-2</v>
      </c>
      <c r="T220" t="s">
        <v>8</v>
      </c>
      <c r="U220">
        <v>1.257125</v>
      </c>
      <c r="V220" t="s">
        <v>9</v>
      </c>
      <c r="W220">
        <v>-0.82233002416703105</v>
      </c>
      <c r="X220" t="s">
        <v>10</v>
      </c>
      <c r="Y220">
        <v>0.38318277785509403</v>
      </c>
      <c r="Z220" t="s">
        <v>11</v>
      </c>
      <c r="AA220" t="s">
        <v>813</v>
      </c>
      <c r="AB220" t="s">
        <v>814</v>
      </c>
      <c r="AC220">
        <v>0</v>
      </c>
      <c r="AD220" t="s">
        <v>14</v>
      </c>
      <c r="AE220" t="s">
        <v>15</v>
      </c>
      <c r="AF220" t="s">
        <v>815</v>
      </c>
      <c r="AG220" t="s">
        <v>816</v>
      </c>
      <c r="AH220">
        <v>0</v>
      </c>
      <c r="AI220" t="s">
        <v>18</v>
      </c>
    </row>
    <row r="221" spans="1:35" x14ac:dyDescent="0.3">
      <c r="A221" t="str">
        <f>_xlfn.TEXTJOIN(", ", FALSE, C221,D221,E221,F221,G221,H221,I221,J221)</f>
        <v>bbands_{'C',  [('number', 0,  1),  ('number', 2.5,  -1)]}_[35,  70]_2</v>
      </c>
      <c r="B221" t="s">
        <v>910</v>
      </c>
      <c r="C221" t="s">
        <v>113</v>
      </c>
      <c r="D221" t="s">
        <v>587</v>
      </c>
      <c r="E221">
        <v>0</v>
      </c>
      <c r="F221" t="s">
        <v>588</v>
      </c>
      <c r="G221" t="s">
        <v>589</v>
      </c>
      <c r="H221">
        <v>2.5</v>
      </c>
      <c r="I221" t="s">
        <v>605</v>
      </c>
      <c r="J221" t="s">
        <v>40</v>
      </c>
      <c r="K221" t="s">
        <v>4</v>
      </c>
      <c r="L221">
        <v>247</v>
      </c>
      <c r="M221" t="s">
        <v>5</v>
      </c>
      <c r="N221">
        <v>87</v>
      </c>
      <c r="O221" s="2">
        <f>N221/L221</f>
        <v>0.35222672064777327</v>
      </c>
      <c r="P221" t="s">
        <v>6</v>
      </c>
      <c r="Q221">
        <v>-23.028542749636099</v>
      </c>
      <c r="R221" t="s">
        <v>7</v>
      </c>
      <c r="S221">
        <v>-9.3232966597717001E-2</v>
      </c>
      <c r="T221" t="s">
        <v>8</v>
      </c>
      <c r="U221">
        <v>1.4813664258666699</v>
      </c>
      <c r="V221" t="s">
        <v>9</v>
      </c>
      <c r="W221">
        <v>-0.94942138625022798</v>
      </c>
      <c r="X221" t="s">
        <v>10</v>
      </c>
      <c r="Y221">
        <v>0.43963314601555398</v>
      </c>
      <c r="Z221" t="s">
        <v>11</v>
      </c>
      <c r="AA221" t="s">
        <v>662</v>
      </c>
      <c r="AB221" t="s">
        <v>639</v>
      </c>
      <c r="AC221">
        <v>0</v>
      </c>
      <c r="AD221" t="s">
        <v>14</v>
      </c>
      <c r="AE221" t="s">
        <v>15</v>
      </c>
      <c r="AF221" t="s">
        <v>666</v>
      </c>
      <c r="AG221" t="s">
        <v>667</v>
      </c>
      <c r="AH221">
        <v>0</v>
      </c>
      <c r="AI221" t="s">
        <v>18</v>
      </c>
    </row>
    <row r="222" spans="1:35" x14ac:dyDescent="0.3">
      <c r="A222" t="str">
        <f>_xlfn.TEXTJOIN(", ", FALSE, C222,D222,E222,F222,G222,H222,I222,J222)</f>
        <v>stoch_{'C',  [('number', 5,  1),  ('number', 7.5,  -1)]}_[7,  35]_3</v>
      </c>
      <c r="B222" t="s">
        <v>1126</v>
      </c>
      <c r="C222" t="s">
        <v>262</v>
      </c>
      <c r="D222" t="s">
        <v>587</v>
      </c>
      <c r="E222">
        <v>5</v>
      </c>
      <c r="F222" t="s">
        <v>588</v>
      </c>
      <c r="G222" t="s">
        <v>589</v>
      </c>
      <c r="H222">
        <v>7.5</v>
      </c>
      <c r="I222" t="s">
        <v>590</v>
      </c>
      <c r="J222" t="s">
        <v>23</v>
      </c>
      <c r="K222" t="s">
        <v>4</v>
      </c>
      <c r="L222">
        <v>224</v>
      </c>
      <c r="M222" t="s">
        <v>5</v>
      </c>
      <c r="N222">
        <v>41</v>
      </c>
      <c r="O222" s="2">
        <f>N222/L222</f>
        <v>0.18303571428571427</v>
      </c>
      <c r="P222" t="s">
        <v>6</v>
      </c>
      <c r="Q222">
        <v>-23.399999999999899</v>
      </c>
      <c r="R222" t="s">
        <v>7</v>
      </c>
      <c r="S222">
        <v>-0.104464285714285</v>
      </c>
      <c r="T222" t="s">
        <v>8</v>
      </c>
      <c r="U222">
        <v>1.5243902439024399</v>
      </c>
      <c r="V222" t="s">
        <v>9</v>
      </c>
      <c r="W222">
        <v>-0.46939890710382498</v>
      </c>
      <c r="X222" t="s">
        <v>10</v>
      </c>
      <c r="Y222">
        <v>0.244310356773531</v>
      </c>
      <c r="Z222" t="s">
        <v>11</v>
      </c>
      <c r="AA222" t="s">
        <v>686</v>
      </c>
      <c r="AB222" t="s">
        <v>675</v>
      </c>
      <c r="AC222">
        <v>0</v>
      </c>
      <c r="AD222" t="s">
        <v>14</v>
      </c>
      <c r="AE222" t="s">
        <v>15</v>
      </c>
      <c r="AF222" t="s">
        <v>828</v>
      </c>
      <c r="AG222" t="s">
        <v>266</v>
      </c>
      <c r="AH222">
        <v>0</v>
      </c>
      <c r="AI222" t="s">
        <v>18</v>
      </c>
    </row>
    <row r="223" spans="1:35" x14ac:dyDescent="0.3">
      <c r="A223" t="str">
        <f>_xlfn.TEXTJOIN(", ", FALSE, C223,D223,E223,F223,G223,H223,I223,J223)</f>
        <v>bbands_{'C',  [('number', 7.5,  1),  ('number', 10,  -1)]}_[21,  49]_4</v>
      </c>
      <c r="B223" t="s">
        <v>944</v>
      </c>
      <c r="C223" t="s">
        <v>113</v>
      </c>
      <c r="D223" t="s">
        <v>587</v>
      </c>
      <c r="E223">
        <v>7.5</v>
      </c>
      <c r="F223" t="s">
        <v>588</v>
      </c>
      <c r="G223" t="s">
        <v>589</v>
      </c>
      <c r="H223">
        <v>10</v>
      </c>
      <c r="I223" t="s">
        <v>599</v>
      </c>
      <c r="J223" t="s">
        <v>36</v>
      </c>
      <c r="K223" t="s">
        <v>4</v>
      </c>
      <c r="L223">
        <v>200</v>
      </c>
      <c r="M223" t="s">
        <v>5</v>
      </c>
      <c r="N223">
        <v>34</v>
      </c>
      <c r="O223" s="2">
        <f>N223/L223</f>
        <v>0.17</v>
      </c>
      <c r="P223" t="s">
        <v>6</v>
      </c>
      <c r="Q223">
        <v>-23.596699563782899</v>
      </c>
      <c r="R223" t="s">
        <v>7</v>
      </c>
      <c r="S223">
        <v>-0.117983497818914</v>
      </c>
      <c r="T223" t="s">
        <v>8</v>
      </c>
      <c r="U223">
        <v>1.6117647058823501</v>
      </c>
      <c r="V223" t="s">
        <v>9</v>
      </c>
      <c r="W223">
        <v>-0.47226927448062</v>
      </c>
      <c r="X223" t="s">
        <v>10</v>
      </c>
      <c r="Y223">
        <v>0.28877462142048099</v>
      </c>
      <c r="Z223" t="s">
        <v>11</v>
      </c>
      <c r="AA223" t="s">
        <v>703</v>
      </c>
      <c r="AB223" t="s">
        <v>704</v>
      </c>
      <c r="AC223">
        <v>0</v>
      </c>
      <c r="AD223" t="s">
        <v>14</v>
      </c>
      <c r="AE223" t="s">
        <v>15</v>
      </c>
      <c r="AF223" t="s">
        <v>705</v>
      </c>
      <c r="AG223" t="s">
        <v>706</v>
      </c>
      <c r="AH223">
        <v>0</v>
      </c>
      <c r="AI223" t="s">
        <v>18</v>
      </c>
    </row>
    <row r="224" spans="1:35" x14ac:dyDescent="0.3">
      <c r="A224" t="str">
        <f>_xlfn.TEXTJOIN(", ", FALSE, C224,D224,E224,F224,G224,H224,I224,J224)</f>
        <v>stoch_{'C',  [('number', 7.5,  1),  ('number', 10,  -1)]}_[21,  49]_4</v>
      </c>
      <c r="B224" t="s">
        <v>1127</v>
      </c>
      <c r="C224" t="s">
        <v>262</v>
      </c>
      <c r="D224" t="s">
        <v>587</v>
      </c>
      <c r="E224">
        <v>7.5</v>
      </c>
      <c r="F224" t="s">
        <v>588</v>
      </c>
      <c r="G224" t="s">
        <v>589</v>
      </c>
      <c r="H224">
        <v>10</v>
      </c>
      <c r="I224" t="s">
        <v>599</v>
      </c>
      <c r="J224" t="s">
        <v>36</v>
      </c>
      <c r="K224" t="s">
        <v>4</v>
      </c>
      <c r="L224">
        <v>230</v>
      </c>
      <c r="M224" t="s">
        <v>5</v>
      </c>
      <c r="N224">
        <v>35</v>
      </c>
      <c r="O224" s="2">
        <f>N224/L224</f>
        <v>0.15217391304347827</v>
      </c>
      <c r="P224" t="s">
        <v>6</v>
      </c>
      <c r="Q224">
        <v>-23.719999999999899</v>
      </c>
      <c r="R224" t="s">
        <v>7</v>
      </c>
      <c r="S224">
        <v>-0.103130434782608</v>
      </c>
      <c r="T224" t="s">
        <v>8</v>
      </c>
      <c r="U224">
        <v>1.6188571428571401</v>
      </c>
      <c r="V224" t="s">
        <v>9</v>
      </c>
      <c r="W224">
        <v>-0.412205128205128</v>
      </c>
      <c r="X224" t="s">
        <v>10</v>
      </c>
      <c r="Y224">
        <v>0.24485677650829499</v>
      </c>
      <c r="Z224" t="s">
        <v>11</v>
      </c>
      <c r="AA224" t="s">
        <v>849</v>
      </c>
      <c r="AB224" t="s">
        <v>832</v>
      </c>
      <c r="AC224">
        <v>0</v>
      </c>
      <c r="AD224" t="s">
        <v>14</v>
      </c>
      <c r="AE224" t="s">
        <v>15</v>
      </c>
      <c r="AF224" t="s">
        <v>845</v>
      </c>
      <c r="AG224" t="s">
        <v>846</v>
      </c>
      <c r="AH224">
        <v>0</v>
      </c>
      <c r="AI224" t="s">
        <v>18</v>
      </c>
    </row>
    <row r="225" spans="1:35" x14ac:dyDescent="0.3">
      <c r="A225" t="str">
        <f>_xlfn.TEXTJOIN(", ", FALSE, C225,D225,E225,F225,G225,H225,I225,J225)</f>
        <v>alltime_{'C',  [('number', 7.5,  1),  ('number', 10,  -1)]}_[7,  35]_3</v>
      </c>
      <c r="B225" t="s">
        <v>891</v>
      </c>
      <c r="C225" t="s">
        <v>0</v>
      </c>
      <c r="D225" t="s">
        <v>587</v>
      </c>
      <c r="E225">
        <v>7.5</v>
      </c>
      <c r="F225" t="s">
        <v>588</v>
      </c>
      <c r="G225" t="s">
        <v>589</v>
      </c>
      <c r="H225">
        <v>10</v>
      </c>
      <c r="I225" t="s">
        <v>590</v>
      </c>
      <c r="J225" t="s">
        <v>23</v>
      </c>
      <c r="K225" t="s">
        <v>4</v>
      </c>
      <c r="L225">
        <v>3073</v>
      </c>
      <c r="M225" t="s">
        <v>5</v>
      </c>
      <c r="N225">
        <v>509</v>
      </c>
      <c r="O225" s="2">
        <f>N225/L225</f>
        <v>0.16563618613732509</v>
      </c>
      <c r="P225" t="s">
        <v>6</v>
      </c>
      <c r="Q225">
        <v>-24.029999999999902</v>
      </c>
      <c r="R225" t="s">
        <v>7</v>
      </c>
      <c r="S225">
        <v>-7.8197201431825496E-3</v>
      </c>
      <c r="T225" t="s">
        <v>8</v>
      </c>
      <c r="U225">
        <v>1.3983104125736701</v>
      </c>
      <c r="V225" t="s">
        <v>9</v>
      </c>
      <c r="W225">
        <v>-0.28696177847113802</v>
      </c>
      <c r="X225" t="s">
        <v>10</v>
      </c>
      <c r="Y225">
        <v>1.6994511413229501</v>
      </c>
      <c r="Z225" t="s">
        <v>11</v>
      </c>
      <c r="AA225" t="s">
        <v>638</v>
      </c>
      <c r="AB225" t="s">
        <v>639</v>
      </c>
      <c r="AC225">
        <v>0</v>
      </c>
      <c r="AD225" t="s">
        <v>14</v>
      </c>
      <c r="AE225" t="s">
        <v>15</v>
      </c>
      <c r="AF225" t="s">
        <v>641</v>
      </c>
      <c r="AG225" t="s">
        <v>639</v>
      </c>
      <c r="AH225">
        <v>0</v>
      </c>
      <c r="AI225" t="s">
        <v>18</v>
      </c>
    </row>
    <row r="226" spans="1:35" x14ac:dyDescent="0.3">
      <c r="A226" t="str">
        <f>_xlfn.TEXTJOIN(", ", FALSE, C226,D226,E226,F226,G226,H226,I226,J226)</f>
        <v>stoch_{'C',  [('number', 5,  1),  ('number', 7.5,  -1)]}_[21,  49]_2</v>
      </c>
      <c r="B226" t="s">
        <v>1128</v>
      </c>
      <c r="C226" t="s">
        <v>262</v>
      </c>
      <c r="D226" t="s">
        <v>587</v>
      </c>
      <c r="E226">
        <v>5</v>
      </c>
      <c r="F226" t="s">
        <v>588</v>
      </c>
      <c r="G226" t="s">
        <v>589</v>
      </c>
      <c r="H226">
        <v>7.5</v>
      </c>
      <c r="I226" t="s">
        <v>599</v>
      </c>
      <c r="J226" t="s">
        <v>30</v>
      </c>
      <c r="K226" t="s">
        <v>4</v>
      </c>
      <c r="L226">
        <v>230</v>
      </c>
      <c r="M226" t="s">
        <v>5</v>
      </c>
      <c r="N226">
        <v>50</v>
      </c>
      <c r="O226" s="2">
        <f>N226/L226</f>
        <v>0.21739130434782608</v>
      </c>
      <c r="P226" t="s">
        <v>6</v>
      </c>
      <c r="Q226">
        <v>-24.159999999999901</v>
      </c>
      <c r="R226" t="s">
        <v>7</v>
      </c>
      <c r="S226">
        <v>-0.105043478260869</v>
      </c>
      <c r="T226" t="s">
        <v>8</v>
      </c>
      <c r="U226">
        <v>1.399</v>
      </c>
      <c r="V226" t="s">
        <v>9</v>
      </c>
      <c r="W226">
        <v>-0.52283333333333304</v>
      </c>
      <c r="X226" t="s">
        <v>10</v>
      </c>
      <c r="Y226">
        <v>0.272910391481333</v>
      </c>
      <c r="Z226" t="s">
        <v>11</v>
      </c>
      <c r="AA226" t="s">
        <v>831</v>
      </c>
      <c r="AB226" t="s">
        <v>832</v>
      </c>
      <c r="AC226">
        <v>0</v>
      </c>
      <c r="AD226" t="s">
        <v>14</v>
      </c>
      <c r="AE226" t="s">
        <v>15</v>
      </c>
      <c r="AF226" t="s">
        <v>736</v>
      </c>
      <c r="AG226" t="s">
        <v>833</v>
      </c>
      <c r="AH226">
        <v>0</v>
      </c>
      <c r="AI226" t="s">
        <v>18</v>
      </c>
    </row>
    <row r="227" spans="1:35" x14ac:dyDescent="0.3">
      <c r="A227" t="str">
        <f>_xlfn.TEXTJOIN(", ", FALSE, C227,D227,E227,F227,G227,H227,I227,J227)</f>
        <v>stoch_{'C',  [('number', 5,  1),  ('number', 7.5,  -1)]}_[7,  35]_4</v>
      </c>
      <c r="B227" t="s">
        <v>1129</v>
      </c>
      <c r="C227" t="s">
        <v>262</v>
      </c>
      <c r="D227" t="s">
        <v>587</v>
      </c>
      <c r="E227">
        <v>5</v>
      </c>
      <c r="F227" t="s">
        <v>588</v>
      </c>
      <c r="G227" t="s">
        <v>589</v>
      </c>
      <c r="H227">
        <v>7.5</v>
      </c>
      <c r="I227" t="s">
        <v>590</v>
      </c>
      <c r="J227" t="s">
        <v>26</v>
      </c>
      <c r="K227" t="s">
        <v>4</v>
      </c>
      <c r="L227">
        <v>224</v>
      </c>
      <c r="M227" t="s">
        <v>5</v>
      </c>
      <c r="N227">
        <v>40</v>
      </c>
      <c r="O227" s="2">
        <f>N227/L227</f>
        <v>0.17857142857142858</v>
      </c>
      <c r="P227" t="s">
        <v>6</v>
      </c>
      <c r="Q227">
        <v>-24.6099999999999</v>
      </c>
      <c r="R227" t="s">
        <v>7</v>
      </c>
      <c r="S227">
        <v>-0.10986607142857099</v>
      </c>
      <c r="T227" t="s">
        <v>8</v>
      </c>
      <c r="U227">
        <v>1.5409999999999999</v>
      </c>
      <c r="V227" t="s">
        <v>9</v>
      </c>
      <c r="W227">
        <v>-0.46875</v>
      </c>
      <c r="X227" t="s">
        <v>10</v>
      </c>
      <c r="Y227">
        <v>0.24805452670910599</v>
      </c>
      <c r="Z227" t="s">
        <v>11</v>
      </c>
      <c r="AA227" t="s">
        <v>686</v>
      </c>
      <c r="AB227" t="s">
        <v>675</v>
      </c>
      <c r="AC227">
        <v>0</v>
      </c>
      <c r="AD227" t="s">
        <v>14</v>
      </c>
      <c r="AE227" t="s">
        <v>15</v>
      </c>
      <c r="AF227" t="s">
        <v>828</v>
      </c>
      <c r="AG227" t="s">
        <v>266</v>
      </c>
      <c r="AH227">
        <v>0</v>
      </c>
      <c r="AI227" t="s">
        <v>18</v>
      </c>
    </row>
    <row r="228" spans="1:35" x14ac:dyDescent="0.3">
      <c r="A228" t="str">
        <f>_xlfn.TEXTJOIN(", ", FALSE, C228,D228,E228,F228,G228,H228,I228,J228)</f>
        <v>stoch_{'C',  [('number', 5,  1),  ('number', 7.5,  -1)]}_[35,  70]_3</v>
      </c>
      <c r="B228" t="s">
        <v>1130</v>
      </c>
      <c r="C228" t="s">
        <v>262</v>
      </c>
      <c r="D228" t="s">
        <v>587</v>
      </c>
      <c r="E228">
        <v>5</v>
      </c>
      <c r="F228" t="s">
        <v>588</v>
      </c>
      <c r="G228" t="s">
        <v>589</v>
      </c>
      <c r="H228">
        <v>7.5</v>
      </c>
      <c r="I228" t="s">
        <v>605</v>
      </c>
      <c r="J228" t="s">
        <v>42</v>
      </c>
      <c r="K228" t="s">
        <v>4</v>
      </c>
      <c r="L228">
        <v>291</v>
      </c>
      <c r="M228" t="s">
        <v>5</v>
      </c>
      <c r="N228">
        <v>73</v>
      </c>
      <c r="O228" s="2">
        <f>N228/L228</f>
        <v>0.25085910652920962</v>
      </c>
      <c r="P228" t="s">
        <v>6</v>
      </c>
      <c r="Q228">
        <v>-24.764737371273501</v>
      </c>
      <c r="R228" t="s">
        <v>7</v>
      </c>
      <c r="S228">
        <v>-8.5102190279290502E-2</v>
      </c>
      <c r="T228" t="s">
        <v>8</v>
      </c>
      <c r="U228">
        <v>1.54460880273275</v>
      </c>
      <c r="V228" t="s">
        <v>9</v>
      </c>
      <c r="W228">
        <v>-0.63083110078332205</v>
      </c>
      <c r="X228" t="s">
        <v>10</v>
      </c>
      <c r="Y228">
        <v>0.38901644028742599</v>
      </c>
      <c r="Z228" t="s">
        <v>11</v>
      </c>
      <c r="AA228" t="s">
        <v>631</v>
      </c>
      <c r="AB228" t="s">
        <v>632</v>
      </c>
      <c r="AC228">
        <v>0</v>
      </c>
      <c r="AD228" t="s">
        <v>14</v>
      </c>
      <c r="AE228" t="s">
        <v>15</v>
      </c>
      <c r="AF228" t="s">
        <v>836</v>
      </c>
      <c r="AG228" t="s">
        <v>632</v>
      </c>
      <c r="AH228">
        <v>0</v>
      </c>
      <c r="AI228" t="s">
        <v>18</v>
      </c>
    </row>
    <row r="229" spans="1:35" x14ac:dyDescent="0.3">
      <c r="A229" t="str">
        <f>_xlfn.TEXTJOIN(", ", FALSE, C229,D229,E229,F229,G229,H229,I229,J229)</f>
        <v>stoch_{'C',  [('number', 2.5,  1),  ('number', 5,  -1)]}_[35,  70]_4</v>
      </c>
      <c r="B229" t="s">
        <v>1131</v>
      </c>
      <c r="C229" t="s">
        <v>262</v>
      </c>
      <c r="D229" t="s">
        <v>587</v>
      </c>
      <c r="E229">
        <v>2.5</v>
      </c>
      <c r="F229" t="s">
        <v>588</v>
      </c>
      <c r="G229" t="s">
        <v>589</v>
      </c>
      <c r="H229">
        <v>5</v>
      </c>
      <c r="I229" t="s">
        <v>605</v>
      </c>
      <c r="J229" t="s">
        <v>44</v>
      </c>
      <c r="K229" t="s">
        <v>4</v>
      </c>
      <c r="L229">
        <v>291</v>
      </c>
      <c r="M229" t="s">
        <v>5</v>
      </c>
      <c r="N229">
        <v>87</v>
      </c>
      <c r="O229" s="2">
        <f>N229/L229</f>
        <v>0.29896907216494845</v>
      </c>
      <c r="P229" t="s">
        <v>6</v>
      </c>
      <c r="Q229">
        <v>-25.128314688500801</v>
      </c>
      <c r="R229" t="s">
        <v>7</v>
      </c>
      <c r="S229">
        <v>-8.63515968677004E-2</v>
      </c>
      <c r="T229" t="s">
        <v>8</v>
      </c>
      <c r="U229">
        <v>1.48210026555635</v>
      </c>
      <c r="V229" t="s">
        <v>9</v>
      </c>
      <c r="W229">
        <v>-0.755250185254429</v>
      </c>
      <c r="X229" t="s">
        <v>10</v>
      </c>
      <c r="Y229">
        <v>0.43388448745938002</v>
      </c>
      <c r="Z229" t="s">
        <v>11</v>
      </c>
      <c r="AA229" t="s">
        <v>825</v>
      </c>
      <c r="AB229" t="s">
        <v>13</v>
      </c>
      <c r="AC229">
        <v>0</v>
      </c>
      <c r="AD229" t="s">
        <v>14</v>
      </c>
      <c r="AE229" t="s">
        <v>15</v>
      </c>
      <c r="AF229" t="s">
        <v>826</v>
      </c>
      <c r="AG229" t="s">
        <v>601</v>
      </c>
      <c r="AH229">
        <v>0</v>
      </c>
      <c r="AI229" t="s">
        <v>18</v>
      </c>
    </row>
    <row r="230" spans="1:35" x14ac:dyDescent="0.3">
      <c r="A230" t="str">
        <f>_xlfn.TEXTJOIN(", ", FALSE, C230,D230,E230,F230,G230,H230,I230,J230)</f>
        <v>bbands_{'C',  [('number', 0,  1),  ('number', 2.5,  -1)]}_[21,  49]_4</v>
      </c>
      <c r="B230" t="s">
        <v>908</v>
      </c>
      <c r="C230" t="s">
        <v>113</v>
      </c>
      <c r="D230" t="s">
        <v>587</v>
      </c>
      <c r="E230">
        <v>0</v>
      </c>
      <c r="F230" t="s">
        <v>588</v>
      </c>
      <c r="G230" t="s">
        <v>589</v>
      </c>
      <c r="H230">
        <v>2.5</v>
      </c>
      <c r="I230" t="s">
        <v>599</v>
      </c>
      <c r="J230" t="s">
        <v>36</v>
      </c>
      <c r="K230" t="s">
        <v>4</v>
      </c>
      <c r="L230">
        <v>200</v>
      </c>
      <c r="M230" t="s">
        <v>5</v>
      </c>
      <c r="N230">
        <v>75</v>
      </c>
      <c r="O230" s="2">
        <f>N230/L230</f>
        <v>0.375</v>
      </c>
      <c r="P230" t="s">
        <v>6</v>
      </c>
      <c r="Q230">
        <v>-25.6044201677073</v>
      </c>
      <c r="R230" t="s">
        <v>7</v>
      </c>
      <c r="S230">
        <v>-0.12802210083853599</v>
      </c>
      <c r="T230" t="s">
        <v>8</v>
      </c>
      <c r="U230">
        <v>1.1346666666666601</v>
      </c>
      <c r="V230" t="s">
        <v>9</v>
      </c>
      <c r="W230">
        <v>-0.88563536134165899</v>
      </c>
      <c r="X230" t="s">
        <v>10</v>
      </c>
      <c r="Y230">
        <v>0.39414838576407502</v>
      </c>
      <c r="Z230" t="s">
        <v>11</v>
      </c>
      <c r="AA230" t="s">
        <v>662</v>
      </c>
      <c r="AB230" t="s">
        <v>639</v>
      </c>
      <c r="AC230">
        <v>0</v>
      </c>
      <c r="AD230" t="s">
        <v>14</v>
      </c>
      <c r="AE230" t="s">
        <v>15</v>
      </c>
      <c r="AF230" t="s">
        <v>663</v>
      </c>
      <c r="AG230" t="s">
        <v>664</v>
      </c>
      <c r="AH230">
        <v>0</v>
      </c>
      <c r="AI230" t="s">
        <v>18</v>
      </c>
    </row>
    <row r="231" spans="1:35" x14ac:dyDescent="0.3">
      <c r="A231" t="str">
        <f>_xlfn.TEXTJOIN(", ", FALSE, C231,D231,E231,F231,G231,H231,I231,J231)</f>
        <v>stoch_{'C',  [('number', 0,  1),  ('number', 2.5,  -1)]}_[21,  49]_3</v>
      </c>
      <c r="B231" t="s">
        <v>1099</v>
      </c>
      <c r="C231" t="s">
        <v>262</v>
      </c>
      <c r="D231" t="s">
        <v>587</v>
      </c>
      <c r="E231">
        <v>0</v>
      </c>
      <c r="F231" t="s">
        <v>588</v>
      </c>
      <c r="G231" t="s">
        <v>589</v>
      </c>
      <c r="H231">
        <v>2.5</v>
      </c>
      <c r="I231" t="s">
        <v>599</v>
      </c>
      <c r="J231" t="s">
        <v>33</v>
      </c>
      <c r="K231" t="s">
        <v>4</v>
      </c>
      <c r="L231">
        <v>230</v>
      </c>
      <c r="M231" t="s">
        <v>5</v>
      </c>
      <c r="N231">
        <v>80</v>
      </c>
      <c r="O231" s="2">
        <f>N231/L231</f>
        <v>0.34782608695652173</v>
      </c>
      <c r="P231" t="s">
        <v>6</v>
      </c>
      <c r="Q231">
        <v>-26.1795036250546</v>
      </c>
      <c r="R231" t="s">
        <v>7</v>
      </c>
      <c r="S231">
        <v>-0.113823928804585</v>
      </c>
      <c r="T231" t="s">
        <v>8</v>
      </c>
      <c r="U231">
        <v>1.2146250000000001</v>
      </c>
      <c r="V231" t="s">
        <v>9</v>
      </c>
      <c r="W231">
        <v>-0.82233002416703105</v>
      </c>
      <c r="X231" t="s">
        <v>10</v>
      </c>
      <c r="Y231">
        <v>0.38793267443037999</v>
      </c>
      <c r="Z231" t="s">
        <v>11</v>
      </c>
      <c r="AA231" t="s">
        <v>813</v>
      </c>
      <c r="AB231" t="s">
        <v>814</v>
      </c>
      <c r="AC231">
        <v>0</v>
      </c>
      <c r="AD231" t="s">
        <v>14</v>
      </c>
      <c r="AE231" t="s">
        <v>15</v>
      </c>
      <c r="AF231" t="s">
        <v>815</v>
      </c>
      <c r="AG231" t="s">
        <v>816</v>
      </c>
      <c r="AH231">
        <v>0</v>
      </c>
      <c r="AI231" t="s">
        <v>18</v>
      </c>
    </row>
    <row r="232" spans="1:35" x14ac:dyDescent="0.3">
      <c r="A232" t="str">
        <f>_xlfn.TEXTJOIN(", ", FALSE, C232,D232,E232,F232,G232,H232,I232,J232)</f>
        <v>stoch_{'C',  [('number', 0,  1),  ('number', 2.5,  -1)]}_[21,  49]_4</v>
      </c>
      <c r="B232" t="s">
        <v>1100</v>
      </c>
      <c r="C232" t="s">
        <v>262</v>
      </c>
      <c r="D232" t="s">
        <v>587</v>
      </c>
      <c r="E232">
        <v>0</v>
      </c>
      <c r="F232" t="s">
        <v>588</v>
      </c>
      <c r="G232" t="s">
        <v>589</v>
      </c>
      <c r="H232">
        <v>2.5</v>
      </c>
      <c r="I232" t="s">
        <v>599</v>
      </c>
      <c r="J232" t="s">
        <v>36</v>
      </c>
      <c r="K232" t="s">
        <v>4</v>
      </c>
      <c r="L232">
        <v>230</v>
      </c>
      <c r="M232" t="s">
        <v>5</v>
      </c>
      <c r="N232">
        <v>80</v>
      </c>
      <c r="O232" s="2">
        <f>N232/L232</f>
        <v>0.34782608695652173</v>
      </c>
      <c r="P232" t="s">
        <v>6</v>
      </c>
      <c r="Q232">
        <v>-26.1795036250546</v>
      </c>
      <c r="R232" t="s">
        <v>7</v>
      </c>
      <c r="S232">
        <v>-0.113823928804585</v>
      </c>
      <c r="T232" t="s">
        <v>8</v>
      </c>
      <c r="U232">
        <v>1.2146250000000001</v>
      </c>
      <c r="V232" t="s">
        <v>9</v>
      </c>
      <c r="W232">
        <v>-0.82233002416703105</v>
      </c>
      <c r="X232" t="s">
        <v>10</v>
      </c>
      <c r="Y232">
        <v>0.38793267443037999</v>
      </c>
      <c r="Z232" t="s">
        <v>11</v>
      </c>
      <c r="AA232" t="s">
        <v>813</v>
      </c>
      <c r="AB232" t="s">
        <v>814</v>
      </c>
      <c r="AC232">
        <v>0</v>
      </c>
      <c r="AD232" t="s">
        <v>14</v>
      </c>
      <c r="AE232" t="s">
        <v>15</v>
      </c>
      <c r="AF232" t="s">
        <v>815</v>
      </c>
      <c r="AG232" t="s">
        <v>816</v>
      </c>
      <c r="AH232">
        <v>0</v>
      </c>
      <c r="AI232" t="s">
        <v>18</v>
      </c>
    </row>
    <row r="233" spans="1:35" x14ac:dyDescent="0.3">
      <c r="A233" t="str">
        <f>_xlfn.TEXTJOIN(", ", FALSE, C233,D233,E233,F233,G233,H233,I233,J233)</f>
        <v>stoch_{'C',  [('number', 7.5,  1),  ('number', 10,  -1)]}_[35,  70]_2</v>
      </c>
      <c r="B233" t="s">
        <v>1132</v>
      </c>
      <c r="C233" t="s">
        <v>262</v>
      </c>
      <c r="D233" t="s">
        <v>587</v>
      </c>
      <c r="E233">
        <v>7.5</v>
      </c>
      <c r="F233" t="s">
        <v>588</v>
      </c>
      <c r="G233" t="s">
        <v>589</v>
      </c>
      <c r="H233">
        <v>10</v>
      </c>
      <c r="I233" t="s">
        <v>605</v>
      </c>
      <c r="J233" t="s">
        <v>40</v>
      </c>
      <c r="K233" t="s">
        <v>4</v>
      </c>
      <c r="L233">
        <v>291</v>
      </c>
      <c r="M233" t="s">
        <v>5</v>
      </c>
      <c r="N233">
        <v>69</v>
      </c>
      <c r="O233" s="2">
        <f>N233/L233</f>
        <v>0.23711340206185566</v>
      </c>
      <c r="P233" t="s">
        <v>6</v>
      </c>
      <c r="Q233">
        <v>-26.949212288166201</v>
      </c>
      <c r="R233" t="s">
        <v>7</v>
      </c>
      <c r="S233">
        <v>-9.2608976935279003E-2</v>
      </c>
      <c r="T233" t="s">
        <v>8</v>
      </c>
      <c r="U233">
        <v>1.4105532036861601</v>
      </c>
      <c r="V233" t="s">
        <v>9</v>
      </c>
      <c r="W233">
        <v>-0.55980803307437699</v>
      </c>
      <c r="X233" t="s">
        <v>10</v>
      </c>
      <c r="Y233">
        <v>0.31173421631395198</v>
      </c>
      <c r="Z233" t="s">
        <v>11</v>
      </c>
      <c r="AA233" t="s">
        <v>850</v>
      </c>
      <c r="AB233" t="s">
        <v>851</v>
      </c>
      <c r="AC233">
        <v>0</v>
      </c>
      <c r="AD233" t="s">
        <v>14</v>
      </c>
      <c r="AE233" t="s">
        <v>15</v>
      </c>
      <c r="AF233" t="s">
        <v>852</v>
      </c>
      <c r="AG233" t="s">
        <v>91</v>
      </c>
      <c r="AH233">
        <v>0</v>
      </c>
      <c r="AI233" t="s">
        <v>18</v>
      </c>
    </row>
    <row r="234" spans="1:35" x14ac:dyDescent="0.3">
      <c r="A234" t="str">
        <f>_xlfn.TEXTJOIN(", ", FALSE, C234,D234,E234,F234,G234,H234,I234,J234)</f>
        <v>bbands_{'C',  [('number', 0,  1),  ('number', 2.5,  -1)]}_[7,  35]_3</v>
      </c>
      <c r="B234" t="s">
        <v>903</v>
      </c>
      <c r="C234" t="s">
        <v>113</v>
      </c>
      <c r="D234" t="s">
        <v>587</v>
      </c>
      <c r="E234">
        <v>0</v>
      </c>
      <c r="F234" t="s">
        <v>588</v>
      </c>
      <c r="G234" t="s">
        <v>589</v>
      </c>
      <c r="H234">
        <v>2.5</v>
      </c>
      <c r="I234" t="s">
        <v>590</v>
      </c>
      <c r="J234" t="s">
        <v>23</v>
      </c>
      <c r="K234" t="s">
        <v>4</v>
      </c>
      <c r="L234">
        <v>191</v>
      </c>
      <c r="M234" t="s">
        <v>5</v>
      </c>
      <c r="N234">
        <v>68</v>
      </c>
      <c r="O234" s="2">
        <f>N234/L234</f>
        <v>0.35602094240837695</v>
      </c>
      <c r="P234" t="s">
        <v>6</v>
      </c>
      <c r="Q234">
        <v>-27.07</v>
      </c>
      <c r="R234" t="s">
        <v>7</v>
      </c>
      <c r="S234">
        <v>-0.141727748691099</v>
      </c>
      <c r="T234" t="s">
        <v>8</v>
      </c>
      <c r="U234">
        <v>1.1782352941176399</v>
      </c>
      <c r="V234" t="s">
        <v>9</v>
      </c>
      <c r="W234">
        <v>-0.87146341463414601</v>
      </c>
      <c r="X234" t="s">
        <v>10</v>
      </c>
      <c r="Y234">
        <v>0.28939636829133097</v>
      </c>
      <c r="Z234" t="s">
        <v>11</v>
      </c>
      <c r="AA234" t="s">
        <v>657</v>
      </c>
      <c r="AB234" t="s">
        <v>658</v>
      </c>
      <c r="AC234">
        <v>0</v>
      </c>
      <c r="AD234" t="s">
        <v>14</v>
      </c>
      <c r="AE234" t="s">
        <v>15</v>
      </c>
      <c r="AF234" t="s">
        <v>655</v>
      </c>
      <c r="AG234" t="s">
        <v>656</v>
      </c>
      <c r="AH234">
        <v>0</v>
      </c>
      <c r="AI234" t="s">
        <v>18</v>
      </c>
    </row>
    <row r="235" spans="1:35" x14ac:dyDescent="0.3">
      <c r="A235" t="str">
        <f>_xlfn.TEXTJOIN(", ", FALSE, C235,D235,E235,F235,G235,H235,I235,J235)</f>
        <v>bbands_{'C',  [('number', 0,  1),  ('number', 2.5,  -1)]}_[7,  35]_4</v>
      </c>
      <c r="B235" t="s">
        <v>904</v>
      </c>
      <c r="C235" t="s">
        <v>113</v>
      </c>
      <c r="D235" t="s">
        <v>587</v>
      </c>
      <c r="E235">
        <v>0</v>
      </c>
      <c r="F235" t="s">
        <v>588</v>
      </c>
      <c r="G235" t="s">
        <v>589</v>
      </c>
      <c r="H235">
        <v>2.5</v>
      </c>
      <c r="I235" t="s">
        <v>590</v>
      </c>
      <c r="J235" t="s">
        <v>26</v>
      </c>
      <c r="K235" t="s">
        <v>4</v>
      </c>
      <c r="L235">
        <v>191</v>
      </c>
      <c r="M235" t="s">
        <v>5</v>
      </c>
      <c r="N235">
        <v>68</v>
      </c>
      <c r="O235" s="2">
        <f>N235/L235</f>
        <v>0.35602094240837695</v>
      </c>
      <c r="P235" t="s">
        <v>6</v>
      </c>
      <c r="Q235">
        <v>-27.07</v>
      </c>
      <c r="R235" t="s">
        <v>7</v>
      </c>
      <c r="S235">
        <v>-0.141727748691099</v>
      </c>
      <c r="T235" t="s">
        <v>8</v>
      </c>
      <c r="U235">
        <v>1.1782352941176399</v>
      </c>
      <c r="V235" t="s">
        <v>9</v>
      </c>
      <c r="W235">
        <v>-0.87146341463414601</v>
      </c>
      <c r="X235" t="s">
        <v>10</v>
      </c>
      <c r="Y235">
        <v>0.28939636829133097</v>
      </c>
      <c r="Z235" t="s">
        <v>11</v>
      </c>
      <c r="AA235" t="s">
        <v>657</v>
      </c>
      <c r="AB235" t="s">
        <v>658</v>
      </c>
      <c r="AC235">
        <v>0</v>
      </c>
      <c r="AD235" t="s">
        <v>14</v>
      </c>
      <c r="AE235" t="s">
        <v>15</v>
      </c>
      <c r="AF235" t="s">
        <v>655</v>
      </c>
      <c r="AG235" t="s">
        <v>656</v>
      </c>
      <c r="AH235">
        <v>0</v>
      </c>
      <c r="AI235" t="s">
        <v>18</v>
      </c>
    </row>
    <row r="236" spans="1:35" x14ac:dyDescent="0.3">
      <c r="A236" t="str">
        <f>_xlfn.TEXTJOIN(", ", FALSE, C236,D236,E236,F236,G236,H236,I236,J236)</f>
        <v>stoch_{'C',  [('number', 0,  1),  ('number', 2.5,  -1)]}_[7,  35]_2</v>
      </c>
      <c r="B236" t="s">
        <v>1094</v>
      </c>
      <c r="C236" t="s">
        <v>262</v>
      </c>
      <c r="D236" t="s">
        <v>587</v>
      </c>
      <c r="E236">
        <v>0</v>
      </c>
      <c r="F236" t="s">
        <v>588</v>
      </c>
      <c r="G236" t="s">
        <v>589</v>
      </c>
      <c r="H236">
        <v>2.5</v>
      </c>
      <c r="I236" t="s">
        <v>590</v>
      </c>
      <c r="J236" t="s">
        <v>19</v>
      </c>
      <c r="K236" t="s">
        <v>4</v>
      </c>
      <c r="L236">
        <v>224</v>
      </c>
      <c r="M236" t="s">
        <v>5</v>
      </c>
      <c r="N236">
        <v>76</v>
      </c>
      <c r="O236" s="2">
        <f>N236/L236</f>
        <v>0.3392857142857143</v>
      </c>
      <c r="P236" t="s">
        <v>6</v>
      </c>
      <c r="Q236">
        <v>-27.24</v>
      </c>
      <c r="R236" t="s">
        <v>7</v>
      </c>
      <c r="S236">
        <v>-0.121607142857143</v>
      </c>
      <c r="T236" t="s">
        <v>8</v>
      </c>
      <c r="U236">
        <v>1.2221052631578899</v>
      </c>
      <c r="V236" t="s">
        <v>9</v>
      </c>
      <c r="W236">
        <v>-0.81162162162162199</v>
      </c>
      <c r="X236" t="s">
        <v>10</v>
      </c>
      <c r="Y236">
        <v>0.32304320630830402</v>
      </c>
      <c r="Z236" t="s">
        <v>11</v>
      </c>
      <c r="AA236" t="s">
        <v>808</v>
      </c>
      <c r="AB236" t="s">
        <v>656</v>
      </c>
      <c r="AC236">
        <v>0</v>
      </c>
      <c r="AD236" t="s">
        <v>14</v>
      </c>
      <c r="AE236" t="s">
        <v>15</v>
      </c>
      <c r="AF236" t="s">
        <v>809</v>
      </c>
      <c r="AG236" t="s">
        <v>656</v>
      </c>
      <c r="AH236">
        <v>0</v>
      </c>
      <c r="AI236" t="s">
        <v>18</v>
      </c>
    </row>
    <row r="237" spans="1:35" x14ac:dyDescent="0.3">
      <c r="A237" t="str">
        <f>_xlfn.TEXTJOIN(", ", FALSE, C237,D237,E237,F237,G237,H237,I237,J237)</f>
        <v>stoch_{'C',  [('number', 0,  1),  ('number', 2.5,  -1)]}_[7,  35]_3</v>
      </c>
      <c r="B237" t="s">
        <v>1095</v>
      </c>
      <c r="C237" t="s">
        <v>262</v>
      </c>
      <c r="D237" t="s">
        <v>587</v>
      </c>
      <c r="E237">
        <v>0</v>
      </c>
      <c r="F237" t="s">
        <v>588</v>
      </c>
      <c r="G237" t="s">
        <v>589</v>
      </c>
      <c r="H237">
        <v>2.5</v>
      </c>
      <c r="I237" t="s">
        <v>590</v>
      </c>
      <c r="J237" t="s">
        <v>23</v>
      </c>
      <c r="K237" t="s">
        <v>4</v>
      </c>
      <c r="L237">
        <v>224</v>
      </c>
      <c r="M237" t="s">
        <v>5</v>
      </c>
      <c r="N237">
        <v>76</v>
      </c>
      <c r="O237" s="2">
        <f>N237/L237</f>
        <v>0.3392857142857143</v>
      </c>
      <c r="P237" t="s">
        <v>6</v>
      </c>
      <c r="Q237">
        <v>-27.24</v>
      </c>
      <c r="R237" t="s">
        <v>7</v>
      </c>
      <c r="S237">
        <v>-0.121607142857143</v>
      </c>
      <c r="T237" t="s">
        <v>8</v>
      </c>
      <c r="U237">
        <v>1.2221052631578899</v>
      </c>
      <c r="V237" t="s">
        <v>9</v>
      </c>
      <c r="W237">
        <v>-0.81162162162162199</v>
      </c>
      <c r="X237" t="s">
        <v>10</v>
      </c>
      <c r="Y237">
        <v>0.32304320630830402</v>
      </c>
      <c r="Z237" t="s">
        <v>11</v>
      </c>
      <c r="AA237" t="s">
        <v>808</v>
      </c>
      <c r="AB237" t="s">
        <v>656</v>
      </c>
      <c r="AC237">
        <v>0</v>
      </c>
      <c r="AD237" t="s">
        <v>14</v>
      </c>
      <c r="AE237" t="s">
        <v>15</v>
      </c>
      <c r="AF237" t="s">
        <v>809</v>
      </c>
      <c r="AG237" t="s">
        <v>656</v>
      </c>
      <c r="AH237">
        <v>0</v>
      </c>
      <c r="AI237" t="s">
        <v>18</v>
      </c>
    </row>
    <row r="238" spans="1:35" x14ac:dyDescent="0.3">
      <c r="A238" t="str">
        <f>_xlfn.TEXTJOIN(", ", FALSE, C238,D238,E238,F238,G238,H238,I238,J238)</f>
        <v>bbands_{'C',  [('number', 0,  1),  ('number', 2.5,  -1)]}_[7,  35]_2</v>
      </c>
      <c r="B238" t="s">
        <v>902</v>
      </c>
      <c r="C238" t="s">
        <v>113</v>
      </c>
      <c r="D238" t="s">
        <v>587</v>
      </c>
      <c r="E238">
        <v>0</v>
      </c>
      <c r="F238" t="s">
        <v>588</v>
      </c>
      <c r="G238" t="s">
        <v>589</v>
      </c>
      <c r="H238">
        <v>2.5</v>
      </c>
      <c r="I238" t="s">
        <v>590</v>
      </c>
      <c r="J238" t="s">
        <v>19</v>
      </c>
      <c r="K238" t="s">
        <v>4</v>
      </c>
      <c r="L238">
        <v>191</v>
      </c>
      <c r="M238" t="s">
        <v>5</v>
      </c>
      <c r="N238">
        <v>68</v>
      </c>
      <c r="O238" s="2">
        <f>N238/L238</f>
        <v>0.35602094240837695</v>
      </c>
      <c r="P238" t="s">
        <v>6</v>
      </c>
      <c r="Q238">
        <v>-27.41</v>
      </c>
      <c r="R238" t="s">
        <v>7</v>
      </c>
      <c r="S238">
        <v>-0.14350785340314101</v>
      </c>
      <c r="T238" t="s">
        <v>8</v>
      </c>
      <c r="U238">
        <v>1.17323529411764</v>
      </c>
      <c r="V238" t="s">
        <v>9</v>
      </c>
      <c r="W238">
        <v>-0.87146341463414601</v>
      </c>
      <c r="X238" t="s">
        <v>10</v>
      </c>
      <c r="Y238">
        <v>0.28943969436695199</v>
      </c>
      <c r="Z238" t="s">
        <v>11</v>
      </c>
      <c r="AA238" t="s">
        <v>657</v>
      </c>
      <c r="AB238" t="s">
        <v>658</v>
      </c>
      <c r="AC238">
        <v>0</v>
      </c>
      <c r="AD238" t="s">
        <v>14</v>
      </c>
      <c r="AE238" t="s">
        <v>15</v>
      </c>
      <c r="AF238" t="s">
        <v>655</v>
      </c>
      <c r="AG238" t="s">
        <v>656</v>
      </c>
      <c r="AH238">
        <v>0</v>
      </c>
      <c r="AI238" t="s">
        <v>18</v>
      </c>
    </row>
    <row r="239" spans="1:35" x14ac:dyDescent="0.3">
      <c r="A239" t="str">
        <f>_xlfn.TEXTJOIN(", ", FALSE, C239,D239,E239,F239,G239,H239,I239,J239)</f>
        <v>stoch_{'C',  [('number', 0,  1),  ('number', 2.5,  -1)]}_[35,  70]_2</v>
      </c>
      <c r="B239" t="s">
        <v>1133</v>
      </c>
      <c r="C239" t="s">
        <v>262</v>
      </c>
      <c r="D239" t="s">
        <v>587</v>
      </c>
      <c r="E239">
        <v>0</v>
      </c>
      <c r="F239" t="s">
        <v>588</v>
      </c>
      <c r="G239" t="s">
        <v>589</v>
      </c>
      <c r="H239">
        <v>2.5</v>
      </c>
      <c r="I239" t="s">
        <v>605</v>
      </c>
      <c r="J239" t="s">
        <v>40</v>
      </c>
      <c r="K239" t="s">
        <v>4</v>
      </c>
      <c r="L239">
        <v>291</v>
      </c>
      <c r="M239" t="s">
        <v>5</v>
      </c>
      <c r="N239">
        <v>103</v>
      </c>
      <c r="O239" s="2">
        <f>N239/L239</f>
        <v>0.35395189003436428</v>
      </c>
      <c r="P239" t="s">
        <v>6</v>
      </c>
      <c r="Q239">
        <v>-27.847866889250799</v>
      </c>
      <c r="R239" t="s">
        <v>7</v>
      </c>
      <c r="S239">
        <v>-9.5697137076463504E-2</v>
      </c>
      <c r="T239" t="s">
        <v>8</v>
      </c>
      <c r="U239">
        <v>1.36789413533038</v>
      </c>
      <c r="V239" t="s">
        <v>9</v>
      </c>
      <c r="W239">
        <v>-0.89755831291638399</v>
      </c>
      <c r="X239" t="s">
        <v>10</v>
      </c>
      <c r="Y239">
        <v>0.48022342191958201</v>
      </c>
      <c r="Z239" t="s">
        <v>11</v>
      </c>
      <c r="AA239" t="s">
        <v>817</v>
      </c>
      <c r="AB239" t="s">
        <v>818</v>
      </c>
    </row>
    <row r="240" spans="1:35" x14ac:dyDescent="0.3">
      <c r="A240" t="str">
        <f>_xlfn.TEXTJOIN(", ", FALSE, C240,D240,E240,F240,G240,H240,I240,J240)</f>
        <v>psar_no_highvol_{'C',  [('number', 0,  1),  ('number', 2.5,  -1)]}_[35,  70]_3</v>
      </c>
      <c r="B240" t="s">
        <v>1007</v>
      </c>
      <c r="C240" t="s">
        <v>175</v>
      </c>
      <c r="D240" t="s">
        <v>587</v>
      </c>
      <c r="E240">
        <v>0</v>
      </c>
      <c r="F240" t="s">
        <v>588</v>
      </c>
      <c r="G240" t="s">
        <v>589</v>
      </c>
      <c r="H240">
        <v>2.5</v>
      </c>
      <c r="I240" t="s">
        <v>605</v>
      </c>
      <c r="J240" t="s">
        <v>42</v>
      </c>
      <c r="K240" t="s">
        <v>4</v>
      </c>
      <c r="L240">
        <v>130</v>
      </c>
      <c r="M240" t="s">
        <v>5</v>
      </c>
      <c r="N240">
        <v>39</v>
      </c>
      <c r="O240" s="2">
        <f>N240/L240</f>
        <v>0.3</v>
      </c>
      <c r="P240" t="s">
        <v>6</v>
      </c>
      <c r="Q240">
        <v>-28.524010391427002</v>
      </c>
      <c r="R240" t="s">
        <v>7</v>
      </c>
      <c r="S240">
        <v>-0.219415464549438</v>
      </c>
      <c r="T240" t="s">
        <v>8</v>
      </c>
      <c r="U240">
        <v>1.1756410256410199</v>
      </c>
      <c r="V240" t="s">
        <v>9</v>
      </c>
      <c r="W240">
        <v>-0.81729681748820904</v>
      </c>
      <c r="X240" t="s">
        <v>10</v>
      </c>
      <c r="Y240">
        <v>0.23688947222050499</v>
      </c>
      <c r="Z240" t="s">
        <v>11</v>
      </c>
      <c r="AA240" t="s">
        <v>710</v>
      </c>
      <c r="AB240" t="s">
        <v>755</v>
      </c>
    </row>
    <row r="241" spans="1:35" x14ac:dyDescent="0.3">
      <c r="A241" t="str">
        <f>_xlfn.TEXTJOIN(", ", FALSE, C241,D241,E241,F241,G241,H241,I241,J241)</f>
        <v>psar_no_highvol_{'C',  [('number', 0,  1),  ('number', 2.5,  -1)]}_[35,  70]_4</v>
      </c>
      <c r="B241" t="s">
        <v>1008</v>
      </c>
      <c r="C241" t="s">
        <v>175</v>
      </c>
      <c r="D241" t="s">
        <v>587</v>
      </c>
      <c r="E241">
        <v>0</v>
      </c>
      <c r="F241" t="s">
        <v>588</v>
      </c>
      <c r="G241" t="s">
        <v>589</v>
      </c>
      <c r="H241">
        <v>2.5</v>
      </c>
      <c r="I241" t="s">
        <v>605</v>
      </c>
      <c r="J241" t="s">
        <v>44</v>
      </c>
      <c r="K241" t="s">
        <v>4</v>
      </c>
      <c r="L241">
        <v>130</v>
      </c>
      <c r="M241" t="s">
        <v>5</v>
      </c>
      <c r="N241">
        <v>39</v>
      </c>
      <c r="O241" s="2">
        <f>N241/L241</f>
        <v>0.3</v>
      </c>
      <c r="P241" t="s">
        <v>6</v>
      </c>
      <c r="Q241">
        <v>-28.524010391427002</v>
      </c>
      <c r="R241" t="s">
        <v>7</v>
      </c>
      <c r="S241">
        <v>-0.219415464549438</v>
      </c>
      <c r="T241" t="s">
        <v>8</v>
      </c>
      <c r="U241">
        <v>1.1756410256410199</v>
      </c>
      <c r="V241" t="s">
        <v>9</v>
      </c>
      <c r="W241">
        <v>-0.81729681748820904</v>
      </c>
      <c r="X241" t="s">
        <v>10</v>
      </c>
      <c r="Y241">
        <v>0.23688947222050499</v>
      </c>
      <c r="Z241" t="s">
        <v>11</v>
      </c>
      <c r="AA241" t="s">
        <v>710</v>
      </c>
      <c r="AB241" t="s">
        <v>755</v>
      </c>
    </row>
    <row r="242" spans="1:35" x14ac:dyDescent="0.3">
      <c r="A242" t="str">
        <f>_xlfn.TEXTJOIN(", ", FALSE, C242,D242,E242,F242,G242,H242,I242,J242)</f>
        <v>stoch_{'C',  [('number', 5,  1),  ('number', 7.5,  -1)]}_[21,  49]_4</v>
      </c>
      <c r="B242" t="s">
        <v>1134</v>
      </c>
      <c r="C242" t="s">
        <v>262</v>
      </c>
      <c r="D242" t="s">
        <v>587</v>
      </c>
      <c r="E242">
        <v>5</v>
      </c>
      <c r="F242" t="s">
        <v>588</v>
      </c>
      <c r="G242" t="s">
        <v>589</v>
      </c>
      <c r="H242">
        <v>7.5</v>
      </c>
      <c r="I242" t="s">
        <v>599</v>
      </c>
      <c r="J242" t="s">
        <v>36</v>
      </c>
      <c r="K242" t="s">
        <v>4</v>
      </c>
      <c r="L242">
        <v>230</v>
      </c>
      <c r="M242" t="s">
        <v>5</v>
      </c>
      <c r="N242">
        <v>46</v>
      </c>
      <c r="O242" s="2">
        <f>N242/L242</f>
        <v>0.2</v>
      </c>
      <c r="P242" t="s">
        <v>6</v>
      </c>
      <c r="Q242">
        <v>-31.979999999999901</v>
      </c>
      <c r="R242" t="s">
        <v>7</v>
      </c>
      <c r="S242">
        <v>-0.13904347826086899</v>
      </c>
      <c r="T242" t="s">
        <v>8</v>
      </c>
      <c r="U242">
        <v>1.3902173913043401</v>
      </c>
      <c r="V242" t="s">
        <v>9</v>
      </c>
      <c r="W242">
        <v>-0.52135869565217297</v>
      </c>
      <c r="X242" t="s">
        <v>10</v>
      </c>
      <c r="Y242">
        <v>0.288667827968066</v>
      </c>
      <c r="Z242" t="s">
        <v>11</v>
      </c>
      <c r="AA242" t="s">
        <v>831</v>
      </c>
      <c r="AB242" t="s">
        <v>832</v>
      </c>
      <c r="AC242">
        <v>0</v>
      </c>
      <c r="AD242" t="s">
        <v>14</v>
      </c>
      <c r="AE242" t="s">
        <v>15</v>
      </c>
      <c r="AF242" t="s">
        <v>736</v>
      </c>
      <c r="AG242" t="s">
        <v>833</v>
      </c>
      <c r="AH242">
        <v>0</v>
      </c>
      <c r="AI242" t="s">
        <v>18</v>
      </c>
    </row>
    <row r="243" spans="1:35" x14ac:dyDescent="0.3">
      <c r="A243" t="str">
        <f>_xlfn.TEXTJOIN(", ", FALSE, C243,D243,E243,F243,G243,H243,I243,J243)</f>
        <v>stoch_{'C',  [('number', 7.5,  1),  ('number', 10,  -1)]}_[35,  70]_3</v>
      </c>
      <c r="B243" t="s">
        <v>1135</v>
      </c>
      <c r="C243" t="s">
        <v>262</v>
      </c>
      <c r="D243" t="s">
        <v>587</v>
      </c>
      <c r="E243">
        <v>7.5</v>
      </c>
      <c r="F243" t="s">
        <v>588</v>
      </c>
      <c r="G243" t="s">
        <v>589</v>
      </c>
      <c r="H243">
        <v>10</v>
      </c>
      <c r="I243" t="s">
        <v>605</v>
      </c>
      <c r="J243" t="s">
        <v>42</v>
      </c>
      <c r="K243" t="s">
        <v>4</v>
      </c>
      <c r="L243">
        <v>291</v>
      </c>
      <c r="M243" t="s">
        <v>5</v>
      </c>
      <c r="N243">
        <v>59</v>
      </c>
      <c r="O243" s="2">
        <f>N243/L243</f>
        <v>0.20274914089347079</v>
      </c>
      <c r="P243" t="s">
        <v>6</v>
      </c>
      <c r="Q243">
        <v>-32.110632384947401</v>
      </c>
      <c r="R243" t="s">
        <v>7</v>
      </c>
      <c r="S243">
        <v>-0.11034581575583299</v>
      </c>
      <c r="T243" t="s">
        <v>8</v>
      </c>
      <c r="U243">
        <v>1.64515056895344</v>
      </c>
      <c r="V243" t="s">
        <v>9</v>
      </c>
      <c r="W243">
        <v>-0.55678670669483099</v>
      </c>
      <c r="X243" t="s">
        <v>10</v>
      </c>
      <c r="Y243">
        <v>0.32996340671344299</v>
      </c>
      <c r="Z243" t="s">
        <v>11</v>
      </c>
      <c r="AA243" t="s">
        <v>850</v>
      </c>
      <c r="AB243" t="s">
        <v>851</v>
      </c>
      <c r="AC243">
        <v>0</v>
      </c>
      <c r="AD243" t="s">
        <v>14</v>
      </c>
      <c r="AE243" t="s">
        <v>15</v>
      </c>
      <c r="AF243" t="s">
        <v>852</v>
      </c>
      <c r="AG243" t="s">
        <v>91</v>
      </c>
      <c r="AH243">
        <v>0</v>
      </c>
      <c r="AI243" t="s">
        <v>18</v>
      </c>
    </row>
    <row r="244" spans="1:35" x14ac:dyDescent="0.3">
      <c r="A244" t="str">
        <f>_xlfn.TEXTJOIN(", ", FALSE, C244,D244,E244,F244,G244,H244,I244,J244)</f>
        <v>alltime_{'C',  [('number', 5,  1),  ('number', 7.5,  -1)]}_[7,  35]_4</v>
      </c>
      <c r="B244" t="s">
        <v>880</v>
      </c>
      <c r="C244" t="s">
        <v>0</v>
      </c>
      <c r="D244" t="s">
        <v>587</v>
      </c>
      <c r="E244">
        <v>5</v>
      </c>
      <c r="F244" t="s">
        <v>588</v>
      </c>
      <c r="G244" t="s">
        <v>589</v>
      </c>
      <c r="H244">
        <v>7.5</v>
      </c>
      <c r="I244" t="s">
        <v>590</v>
      </c>
      <c r="J244" t="s">
        <v>26</v>
      </c>
      <c r="K244" t="s">
        <v>4</v>
      </c>
      <c r="L244">
        <v>3073</v>
      </c>
      <c r="M244" t="s">
        <v>5</v>
      </c>
      <c r="N244">
        <v>636</v>
      </c>
      <c r="O244" s="2">
        <f>N244/L244</f>
        <v>0.20696387894565571</v>
      </c>
      <c r="P244" t="s">
        <v>6</v>
      </c>
      <c r="Q244">
        <v>-32.630000000000003</v>
      </c>
      <c r="R244" t="s">
        <v>7</v>
      </c>
      <c r="S244">
        <v>-1.0618288317604901E-2</v>
      </c>
      <c r="T244" t="s">
        <v>8</v>
      </c>
      <c r="U244">
        <v>1.5775786163521901</v>
      </c>
      <c r="V244" t="s">
        <v>9</v>
      </c>
      <c r="W244">
        <v>-0.425100533442757</v>
      </c>
      <c r="X244" t="s">
        <v>10</v>
      </c>
      <c r="Y244">
        <v>2.2613452010580199</v>
      </c>
      <c r="Z244" t="s">
        <v>11</v>
      </c>
      <c r="AA244" t="s">
        <v>591</v>
      </c>
      <c r="AB244" t="s">
        <v>50</v>
      </c>
      <c r="AC244">
        <v>0</v>
      </c>
      <c r="AD244" t="s">
        <v>14</v>
      </c>
      <c r="AE244" t="s">
        <v>15</v>
      </c>
      <c r="AF244" t="s">
        <v>624</v>
      </c>
      <c r="AG244" t="s">
        <v>21</v>
      </c>
      <c r="AH244">
        <v>0</v>
      </c>
      <c r="AI244" t="s">
        <v>18</v>
      </c>
    </row>
    <row r="245" spans="1:35" x14ac:dyDescent="0.3">
      <c r="A245" t="str">
        <f>_xlfn.TEXTJOIN(", ", FALSE, C245,D245,E245,F245,G245,H245,I245,J245)</f>
        <v>stoch_{'C',  [('number', 5,  1),  ('number', 7.5,  -1)]}_[21,  49]_3</v>
      </c>
      <c r="B245" t="s">
        <v>1136</v>
      </c>
      <c r="C245" t="s">
        <v>262</v>
      </c>
      <c r="D245" t="s">
        <v>587</v>
      </c>
      <c r="E245">
        <v>5</v>
      </c>
      <c r="F245" t="s">
        <v>588</v>
      </c>
      <c r="G245" t="s">
        <v>589</v>
      </c>
      <c r="H245">
        <v>7.5</v>
      </c>
      <c r="I245" t="s">
        <v>599</v>
      </c>
      <c r="J245" t="s">
        <v>33</v>
      </c>
      <c r="K245" t="s">
        <v>4</v>
      </c>
      <c r="L245">
        <v>230</v>
      </c>
      <c r="M245" t="s">
        <v>5</v>
      </c>
      <c r="N245">
        <v>46</v>
      </c>
      <c r="O245" s="2">
        <f>N245/L245</f>
        <v>0.2</v>
      </c>
      <c r="P245" t="s">
        <v>6</v>
      </c>
      <c r="Q245">
        <v>-32.659999999999897</v>
      </c>
      <c r="R245" t="s">
        <v>7</v>
      </c>
      <c r="S245">
        <v>-0.14199999999999899</v>
      </c>
      <c r="T245" t="s">
        <v>8</v>
      </c>
      <c r="U245">
        <v>1.3754347826086899</v>
      </c>
      <c r="V245" t="s">
        <v>9</v>
      </c>
      <c r="W245">
        <v>-0.52135869565217297</v>
      </c>
      <c r="X245" t="s">
        <v>10</v>
      </c>
      <c r="Y245">
        <v>0.28855287037863397</v>
      </c>
      <c r="Z245" t="s">
        <v>11</v>
      </c>
      <c r="AA245" t="s">
        <v>831</v>
      </c>
      <c r="AB245" t="s">
        <v>832</v>
      </c>
      <c r="AC245">
        <v>0</v>
      </c>
      <c r="AD245" t="s">
        <v>14</v>
      </c>
      <c r="AE245" t="s">
        <v>15</v>
      </c>
      <c r="AF245" t="s">
        <v>736</v>
      </c>
      <c r="AG245" t="s">
        <v>833</v>
      </c>
      <c r="AH245">
        <v>0</v>
      </c>
      <c r="AI245" t="s">
        <v>18</v>
      </c>
    </row>
    <row r="246" spans="1:35" x14ac:dyDescent="0.3">
      <c r="A246" t="str">
        <f>_xlfn.TEXTJOIN(", ", FALSE, C246,D246,E246,F246,G246,H246,I246,J246)</f>
        <v>stoch_{'C',  [('number', 5,  1),  ('number', 7.5,  -1)]}_[35,  70]_4</v>
      </c>
      <c r="B246" t="s">
        <v>1137</v>
      </c>
      <c r="C246" t="s">
        <v>262</v>
      </c>
      <c r="D246" t="s">
        <v>587</v>
      </c>
      <c r="E246">
        <v>5</v>
      </c>
      <c r="F246" t="s">
        <v>588</v>
      </c>
      <c r="G246" t="s">
        <v>589</v>
      </c>
      <c r="H246">
        <v>7.5</v>
      </c>
      <c r="I246" t="s">
        <v>605</v>
      </c>
      <c r="J246" t="s">
        <v>44</v>
      </c>
      <c r="K246" t="s">
        <v>4</v>
      </c>
      <c r="L246">
        <v>291</v>
      </c>
      <c r="M246" t="s">
        <v>5</v>
      </c>
      <c r="N246">
        <v>70</v>
      </c>
      <c r="O246" s="2">
        <f>N246/L246</f>
        <v>0.24054982817869416</v>
      </c>
      <c r="P246" t="s">
        <v>6</v>
      </c>
      <c r="Q246">
        <v>-32.752235492769501</v>
      </c>
      <c r="R246" t="s">
        <v>7</v>
      </c>
      <c r="S246">
        <v>-0.112550637432197</v>
      </c>
      <c r="T246" t="s">
        <v>8</v>
      </c>
      <c r="U246">
        <v>1.5242387178735</v>
      </c>
      <c r="V246" t="s">
        <v>9</v>
      </c>
      <c r="W246">
        <v>-0.63099070472359697</v>
      </c>
      <c r="X246" t="s">
        <v>10</v>
      </c>
      <c r="Y246">
        <v>0.395668386638096</v>
      </c>
      <c r="Z246" t="s">
        <v>11</v>
      </c>
      <c r="AA246" t="s">
        <v>631</v>
      </c>
      <c r="AB246" t="s">
        <v>632</v>
      </c>
      <c r="AC246">
        <v>0</v>
      </c>
      <c r="AD246" t="s">
        <v>14</v>
      </c>
      <c r="AE246" t="s">
        <v>15</v>
      </c>
      <c r="AF246" t="s">
        <v>837</v>
      </c>
      <c r="AG246" t="s">
        <v>632</v>
      </c>
      <c r="AH246">
        <v>0</v>
      </c>
      <c r="AI246" t="s">
        <v>18</v>
      </c>
    </row>
    <row r="247" spans="1:35" x14ac:dyDescent="0.3">
      <c r="A247" t="str">
        <f>_xlfn.TEXTJOIN(", ", FALSE, C247,D247,E247,F247,G247,H247,I247,J247)</f>
        <v>stoch_{'C',  [('number', 7.5,  1),  ('number', 10,  -1)]}_[35,  70]_4</v>
      </c>
      <c r="B247" t="s">
        <v>1138</v>
      </c>
      <c r="C247" t="s">
        <v>262</v>
      </c>
      <c r="D247" t="s">
        <v>587</v>
      </c>
      <c r="E247">
        <v>7.5</v>
      </c>
      <c r="F247" t="s">
        <v>588</v>
      </c>
      <c r="G247" t="s">
        <v>589</v>
      </c>
      <c r="H247">
        <v>10</v>
      </c>
      <c r="I247" t="s">
        <v>605</v>
      </c>
      <c r="J247" t="s">
        <v>44</v>
      </c>
      <c r="K247" t="s">
        <v>4</v>
      </c>
      <c r="L247">
        <v>291</v>
      </c>
      <c r="M247" t="s">
        <v>5</v>
      </c>
      <c r="N247">
        <v>57</v>
      </c>
      <c r="O247" s="2">
        <f>N247/L247</f>
        <v>0.19587628865979381</v>
      </c>
      <c r="P247" t="s">
        <v>6</v>
      </c>
      <c r="Q247">
        <v>-33.448629523078303</v>
      </c>
      <c r="R247" t="s">
        <v>7</v>
      </c>
      <c r="S247">
        <v>-0.114943744065561</v>
      </c>
      <c r="T247" t="s">
        <v>8</v>
      </c>
      <c r="U247">
        <v>1.6925594110547699</v>
      </c>
      <c r="V247" t="s">
        <v>9</v>
      </c>
      <c r="W247">
        <v>-0.55523297415897799</v>
      </c>
      <c r="X247" t="s">
        <v>10</v>
      </c>
      <c r="Y247">
        <v>0.33542916302376702</v>
      </c>
      <c r="Z247" t="s">
        <v>11</v>
      </c>
      <c r="AA247" t="s">
        <v>850</v>
      </c>
      <c r="AB247" t="s">
        <v>851</v>
      </c>
      <c r="AC247">
        <v>0</v>
      </c>
      <c r="AD247" t="s">
        <v>14</v>
      </c>
      <c r="AE247" t="s">
        <v>15</v>
      </c>
      <c r="AF247" t="s">
        <v>852</v>
      </c>
      <c r="AG247" t="s">
        <v>91</v>
      </c>
      <c r="AH247">
        <v>0</v>
      </c>
      <c r="AI247" t="s">
        <v>18</v>
      </c>
    </row>
    <row r="248" spans="1:35" x14ac:dyDescent="0.3">
      <c r="A248" t="str">
        <f>_xlfn.TEXTJOIN(", ", FALSE, C248,D248,E248,F248,G248,H248,I248,J248)</f>
        <v>alltime_{'C',  [('number', 7.5,  1),  ('number', 10,  -1)]}_[21,  49]_1</v>
      </c>
      <c r="B248" t="s">
        <v>893</v>
      </c>
      <c r="C248" t="s">
        <v>0</v>
      </c>
      <c r="D248" t="s">
        <v>587</v>
      </c>
      <c r="E248">
        <v>7.5</v>
      </c>
      <c r="F248" t="s">
        <v>588</v>
      </c>
      <c r="G248" t="s">
        <v>589</v>
      </c>
      <c r="H248">
        <v>10</v>
      </c>
      <c r="I248" t="s">
        <v>599</v>
      </c>
      <c r="J248" t="s">
        <v>28</v>
      </c>
      <c r="K248" t="s">
        <v>4</v>
      </c>
      <c r="L248">
        <v>3050</v>
      </c>
      <c r="M248" t="s">
        <v>5</v>
      </c>
      <c r="N248">
        <v>992</v>
      </c>
      <c r="O248" s="2">
        <f>N248/L248</f>
        <v>0.32524590163934425</v>
      </c>
      <c r="P248" t="s">
        <v>6</v>
      </c>
      <c r="Q248">
        <v>-33.586105723458999</v>
      </c>
      <c r="R248" t="s">
        <v>7</v>
      </c>
      <c r="S248">
        <v>-1.10118379421177E-2</v>
      </c>
      <c r="T248" t="s">
        <v>8</v>
      </c>
      <c r="U248">
        <v>0.76959061923038397</v>
      </c>
      <c r="V248" t="s">
        <v>9</v>
      </c>
      <c r="W248">
        <v>-0.38727891156462502</v>
      </c>
      <c r="X248" t="s">
        <v>10</v>
      </c>
      <c r="Y248">
        <v>1.37492250531897</v>
      </c>
      <c r="Z248" t="s">
        <v>11</v>
      </c>
      <c r="AA248" t="s">
        <v>176</v>
      </c>
      <c r="AB248" t="s">
        <v>635</v>
      </c>
      <c r="AC248">
        <v>0</v>
      </c>
      <c r="AD248" t="s">
        <v>14</v>
      </c>
      <c r="AE248" t="s">
        <v>15</v>
      </c>
      <c r="AF248" t="s">
        <v>642</v>
      </c>
      <c r="AG248" t="s">
        <v>232</v>
      </c>
      <c r="AH248">
        <v>0</v>
      </c>
      <c r="AI248" t="s">
        <v>18</v>
      </c>
    </row>
    <row r="249" spans="1:35" x14ac:dyDescent="0.3">
      <c r="A249" t="str">
        <f>_xlfn.TEXTJOIN(", ", FALSE, C249,D249,E249,F249,G249,H249,I249,J249)</f>
        <v>stoch_{'C',  [('number', 0,  1),  ('number', 2.5,  -1)]}_[7,  35]_4</v>
      </c>
      <c r="B249" t="s">
        <v>1096</v>
      </c>
      <c r="C249" t="s">
        <v>262</v>
      </c>
      <c r="D249" t="s">
        <v>587</v>
      </c>
      <c r="E249">
        <v>0</v>
      </c>
      <c r="F249" t="s">
        <v>588</v>
      </c>
      <c r="G249" t="s">
        <v>589</v>
      </c>
      <c r="H249">
        <v>2.5</v>
      </c>
      <c r="I249" t="s">
        <v>590</v>
      </c>
      <c r="J249" t="s">
        <v>26</v>
      </c>
      <c r="K249" t="s">
        <v>4</v>
      </c>
      <c r="L249">
        <v>224</v>
      </c>
      <c r="M249" t="s">
        <v>5</v>
      </c>
      <c r="N249">
        <v>75</v>
      </c>
      <c r="O249" s="2">
        <f>N249/L249</f>
        <v>0.33482142857142855</v>
      </c>
      <c r="P249" t="s">
        <v>6</v>
      </c>
      <c r="Q249">
        <v>-33.99</v>
      </c>
      <c r="R249" t="s">
        <v>7</v>
      </c>
      <c r="S249">
        <v>-0.15174107142857099</v>
      </c>
      <c r="T249" t="s">
        <v>8</v>
      </c>
      <c r="U249">
        <v>1.18586666666666</v>
      </c>
      <c r="V249" t="s">
        <v>9</v>
      </c>
      <c r="W249">
        <v>-0.82503355704698</v>
      </c>
      <c r="X249" t="s">
        <v>10</v>
      </c>
      <c r="Y249">
        <v>0.33279954215847701</v>
      </c>
      <c r="Z249" t="s">
        <v>11</v>
      </c>
      <c r="AA249" t="s">
        <v>810</v>
      </c>
      <c r="AB249" t="s">
        <v>811</v>
      </c>
      <c r="AC249">
        <v>0</v>
      </c>
      <c r="AD249" t="s">
        <v>14</v>
      </c>
      <c r="AE249" t="s">
        <v>15</v>
      </c>
      <c r="AF249" t="s">
        <v>809</v>
      </c>
      <c r="AG249" t="s">
        <v>656</v>
      </c>
      <c r="AH249">
        <v>0</v>
      </c>
      <c r="AI249" t="s">
        <v>18</v>
      </c>
    </row>
    <row r="250" spans="1:35" x14ac:dyDescent="0.3">
      <c r="A250" t="str">
        <f>_xlfn.TEXTJOIN(", ", FALSE, C250,D250,E250,F250,G250,H250,I250,J250)</f>
        <v>alltime_{'C',  [('number', 5,  1),  ('number', 7.5,  -1)]}_[7,  35]_1</v>
      </c>
      <c r="B250" t="s">
        <v>877</v>
      </c>
      <c r="C250" t="s">
        <v>0</v>
      </c>
      <c r="D250" t="s">
        <v>587</v>
      </c>
      <c r="E250">
        <v>5</v>
      </c>
      <c r="F250" t="s">
        <v>588</v>
      </c>
      <c r="G250" t="s">
        <v>589</v>
      </c>
      <c r="H250">
        <v>7.5</v>
      </c>
      <c r="I250" t="s">
        <v>590</v>
      </c>
      <c r="J250" t="s">
        <v>3</v>
      </c>
      <c r="K250" t="s">
        <v>4</v>
      </c>
      <c r="L250">
        <v>3073</v>
      </c>
      <c r="M250" t="s">
        <v>5</v>
      </c>
      <c r="N250">
        <v>985</v>
      </c>
      <c r="O250" s="2">
        <f>N250/L250</f>
        <v>0.32053368044256425</v>
      </c>
      <c r="P250" t="s">
        <v>6</v>
      </c>
      <c r="Q250">
        <v>-34.9699999999997</v>
      </c>
      <c r="R250" t="s">
        <v>7</v>
      </c>
      <c r="S250">
        <v>-1.1379759192970899E-2</v>
      </c>
      <c r="T250" t="s">
        <v>8</v>
      </c>
      <c r="U250">
        <v>0.86248730964467002</v>
      </c>
      <c r="V250" t="s">
        <v>9</v>
      </c>
      <c r="W250">
        <v>-0.42362068965517202</v>
      </c>
      <c r="X250" t="s">
        <v>10</v>
      </c>
      <c r="Y250">
        <v>1.57341088225462</v>
      </c>
      <c r="Z250" t="s">
        <v>11</v>
      </c>
      <c r="AA250" t="s">
        <v>591</v>
      </c>
      <c r="AB250" t="s">
        <v>50</v>
      </c>
      <c r="AC250">
        <v>0</v>
      </c>
      <c r="AD250" t="s">
        <v>14</v>
      </c>
      <c r="AE250" t="s">
        <v>15</v>
      </c>
      <c r="AF250" t="s">
        <v>622</v>
      </c>
      <c r="AG250" t="s">
        <v>611</v>
      </c>
      <c r="AH250">
        <v>0</v>
      </c>
      <c r="AI250" t="s">
        <v>18</v>
      </c>
    </row>
    <row r="251" spans="1:35" x14ac:dyDescent="0.3">
      <c r="A251" t="str">
        <f>_xlfn.TEXTJOIN(", ", FALSE, C251,D251,E251,F251,G251,H251,I251,J251)</f>
        <v>stoch_{'C',  [('number', 0,  1),  ('number', 2.5,  -1)]}_[35,  70]_3</v>
      </c>
      <c r="B251" t="s">
        <v>1139</v>
      </c>
      <c r="C251" t="s">
        <v>262</v>
      </c>
      <c r="D251" t="s">
        <v>587</v>
      </c>
      <c r="E251">
        <v>0</v>
      </c>
      <c r="F251" t="s">
        <v>588</v>
      </c>
      <c r="G251" t="s">
        <v>589</v>
      </c>
      <c r="H251">
        <v>2.5</v>
      </c>
      <c r="I251" t="s">
        <v>605</v>
      </c>
      <c r="J251" t="s">
        <v>42</v>
      </c>
      <c r="K251" t="s">
        <v>4</v>
      </c>
      <c r="L251">
        <v>291</v>
      </c>
      <c r="M251" t="s">
        <v>5</v>
      </c>
      <c r="N251">
        <v>100</v>
      </c>
      <c r="O251" s="2">
        <f>N251/L251</f>
        <v>0.3436426116838488</v>
      </c>
      <c r="P251" t="s">
        <v>6</v>
      </c>
      <c r="Q251">
        <v>-38.324013347648197</v>
      </c>
      <c r="R251" t="s">
        <v>7</v>
      </c>
      <c r="S251">
        <v>-0.13169764036992501</v>
      </c>
      <c r="T251" t="s">
        <v>8</v>
      </c>
      <c r="U251">
        <v>1.3288458647878101</v>
      </c>
      <c r="V251" t="s">
        <v>9</v>
      </c>
      <c r="W251">
        <v>-0.89638010380329403</v>
      </c>
      <c r="X251" t="s">
        <v>10</v>
      </c>
      <c r="Y251">
        <v>0.50319232567456496</v>
      </c>
      <c r="Z251" t="s">
        <v>11</v>
      </c>
      <c r="AA251" t="s">
        <v>817</v>
      </c>
      <c r="AB251" t="s">
        <v>818</v>
      </c>
    </row>
    <row r="252" spans="1:35" x14ac:dyDescent="0.3">
      <c r="A252" t="str">
        <f>_xlfn.TEXTJOIN(", ", FALSE, C252,D252,E252,F252,G252,H252,I252,J252)</f>
        <v>stoch_{'C',  [('number', 0,  1),  ('number', 2.5,  -1)]}_[35,  70]_4</v>
      </c>
      <c r="B252" t="s">
        <v>1140</v>
      </c>
      <c r="C252" t="s">
        <v>262</v>
      </c>
      <c r="D252" t="s">
        <v>587</v>
      </c>
      <c r="E252">
        <v>0</v>
      </c>
      <c r="F252" t="s">
        <v>588</v>
      </c>
      <c r="G252" t="s">
        <v>589</v>
      </c>
      <c r="H252">
        <v>2.5</v>
      </c>
      <c r="I252" t="s">
        <v>605</v>
      </c>
      <c r="J252" t="s">
        <v>44</v>
      </c>
      <c r="K252" t="s">
        <v>4</v>
      </c>
      <c r="L252">
        <v>291</v>
      </c>
      <c r="M252" t="s">
        <v>5</v>
      </c>
      <c r="N252">
        <v>99</v>
      </c>
      <c r="O252" s="2">
        <f>N252/L252</f>
        <v>0.34020618556701032</v>
      </c>
      <c r="P252" t="s">
        <v>6</v>
      </c>
      <c r="Q252">
        <v>-40.5034191553532</v>
      </c>
      <c r="R252" t="s">
        <v>7</v>
      </c>
      <c r="S252">
        <v>-0.139187007406712</v>
      </c>
      <c r="T252" t="s">
        <v>8</v>
      </c>
      <c r="U252">
        <v>1.3305573805159201</v>
      </c>
      <c r="V252" t="s">
        <v>9</v>
      </c>
      <c r="W252">
        <v>-0.89702395742931895</v>
      </c>
      <c r="X252" t="s">
        <v>10</v>
      </c>
      <c r="Y252">
        <v>0.504425476641996</v>
      </c>
      <c r="Z252" t="s">
        <v>11</v>
      </c>
      <c r="AA252" t="s">
        <v>817</v>
      </c>
      <c r="AB252" t="s">
        <v>818</v>
      </c>
    </row>
    <row r="253" spans="1:35" x14ac:dyDescent="0.3">
      <c r="A253" t="str">
        <f>_xlfn.TEXTJOIN(", ", FALSE, C253,D253,E253,F253,G253,H253,I253,J253)</f>
        <v>bbands_{'C',  [('number', 7.5,  1),  ('number', 10,  -1)]}_[35,  70]_4</v>
      </c>
      <c r="B253" t="s">
        <v>948</v>
      </c>
      <c r="C253" t="s">
        <v>113</v>
      </c>
      <c r="D253" t="s">
        <v>587</v>
      </c>
      <c r="E253">
        <v>7.5</v>
      </c>
      <c r="F253" t="s">
        <v>588</v>
      </c>
      <c r="G253" t="s">
        <v>589</v>
      </c>
      <c r="H253">
        <v>10</v>
      </c>
      <c r="I253" t="s">
        <v>605</v>
      </c>
      <c r="J253" t="s">
        <v>44</v>
      </c>
      <c r="K253" t="s">
        <v>4</v>
      </c>
      <c r="L253">
        <v>247</v>
      </c>
      <c r="M253" t="s">
        <v>5</v>
      </c>
      <c r="N253">
        <v>47</v>
      </c>
      <c r="O253" s="2">
        <f>N253/L253</f>
        <v>0.19028340080971659</v>
      </c>
      <c r="P253" t="s">
        <v>6</v>
      </c>
      <c r="Q253">
        <v>-41.774094516550697</v>
      </c>
      <c r="R253" t="s">
        <v>7</v>
      </c>
      <c r="S253">
        <v>-0.16912588873097401</v>
      </c>
      <c r="T253" t="s">
        <v>8</v>
      </c>
      <c r="U253">
        <v>1.6096077167827001</v>
      </c>
      <c r="V253" t="s">
        <v>9</v>
      </c>
      <c r="W253">
        <v>-0.58712828602668998</v>
      </c>
      <c r="X253" t="s">
        <v>10</v>
      </c>
      <c r="Y253">
        <v>0.368494026649972</v>
      </c>
      <c r="Z253" t="s">
        <v>11</v>
      </c>
      <c r="AA253" t="s">
        <v>646</v>
      </c>
      <c r="AB253" t="s">
        <v>647</v>
      </c>
      <c r="AC253">
        <v>0</v>
      </c>
      <c r="AD253" t="s">
        <v>14</v>
      </c>
      <c r="AE253" t="s">
        <v>15</v>
      </c>
      <c r="AF253" t="s">
        <v>705</v>
      </c>
      <c r="AG253" t="s">
        <v>706</v>
      </c>
      <c r="AH253">
        <v>0</v>
      </c>
      <c r="AI253" t="s">
        <v>18</v>
      </c>
    </row>
    <row r="254" spans="1:35" x14ac:dyDescent="0.3">
      <c r="A254" t="str">
        <f>_xlfn.TEXTJOIN(", ", FALSE, C254,D254,E254,F254,G254,H254,I254,J254)</f>
        <v>bbands_{'C',  [('number', 0,  1),  ('number', 2.5,  -1)]}_[35,  70]_3</v>
      </c>
      <c r="B254" t="s">
        <v>911</v>
      </c>
      <c r="C254" t="s">
        <v>113</v>
      </c>
      <c r="D254" t="s">
        <v>587</v>
      </c>
      <c r="E254">
        <v>0</v>
      </c>
      <c r="F254" t="s">
        <v>588</v>
      </c>
      <c r="G254" t="s">
        <v>589</v>
      </c>
      <c r="H254">
        <v>2.5</v>
      </c>
      <c r="I254" t="s">
        <v>605</v>
      </c>
      <c r="J254" t="s">
        <v>42</v>
      </c>
      <c r="K254" t="s">
        <v>4</v>
      </c>
      <c r="L254">
        <v>247</v>
      </c>
      <c r="M254" t="s">
        <v>5</v>
      </c>
      <c r="N254">
        <v>81</v>
      </c>
      <c r="O254" s="2">
        <f>N254/L254</f>
        <v>0.32793522267206476</v>
      </c>
      <c r="P254" t="s">
        <v>6</v>
      </c>
      <c r="Q254">
        <v>-44.393562186766502</v>
      </c>
      <c r="R254" t="s">
        <v>7</v>
      </c>
      <c r="S254">
        <v>-0.179731020999054</v>
      </c>
      <c r="T254" t="s">
        <v>8</v>
      </c>
      <c r="U254">
        <v>1.4028871557193801</v>
      </c>
      <c r="V254" t="s">
        <v>9</v>
      </c>
      <c r="W254">
        <v>-0.95197242048214803</v>
      </c>
      <c r="X254" t="s">
        <v>10</v>
      </c>
      <c r="Y254">
        <v>0.461762801194601</v>
      </c>
      <c r="Z254" t="s">
        <v>11</v>
      </c>
      <c r="AA254" t="s">
        <v>662</v>
      </c>
      <c r="AB254" t="s">
        <v>639</v>
      </c>
      <c r="AC254">
        <v>0</v>
      </c>
      <c r="AD254" t="s">
        <v>14</v>
      </c>
      <c r="AE254" t="s">
        <v>15</v>
      </c>
      <c r="AF254" t="s">
        <v>666</v>
      </c>
      <c r="AG254" t="s">
        <v>667</v>
      </c>
      <c r="AH254">
        <v>0</v>
      </c>
      <c r="AI254" t="s">
        <v>18</v>
      </c>
    </row>
    <row r="255" spans="1:35" x14ac:dyDescent="0.3">
      <c r="A255" t="str">
        <f>_xlfn.TEXTJOIN(", ", FALSE, C255,D255,E255,F255,G255,H255,I255,J255)</f>
        <v>alltime_{'C',  [('number', 7.5,  1),  ('number', 10,  -1)]}_[35,  70]_2</v>
      </c>
      <c r="B255" t="s">
        <v>898</v>
      </c>
      <c r="C255" t="s">
        <v>0</v>
      </c>
      <c r="D255" t="s">
        <v>587</v>
      </c>
      <c r="E255">
        <v>7.5</v>
      </c>
      <c r="F255" t="s">
        <v>588</v>
      </c>
      <c r="G255" t="s">
        <v>589</v>
      </c>
      <c r="H255">
        <v>10</v>
      </c>
      <c r="I255" t="s">
        <v>605</v>
      </c>
      <c r="J255" t="s">
        <v>40</v>
      </c>
      <c r="K255" t="s">
        <v>4</v>
      </c>
      <c r="L255">
        <v>3810</v>
      </c>
      <c r="M255" t="s">
        <v>5</v>
      </c>
      <c r="N255">
        <v>917</v>
      </c>
      <c r="O255" s="2">
        <f>N255/L255</f>
        <v>0.24068241469816273</v>
      </c>
      <c r="P255" t="s">
        <v>6</v>
      </c>
      <c r="Q255">
        <v>-45.215767800500103</v>
      </c>
      <c r="R255" t="s">
        <v>7</v>
      </c>
      <c r="S255">
        <v>-1.18676555906824E-2</v>
      </c>
      <c r="T255" t="s">
        <v>8</v>
      </c>
      <c r="U255">
        <v>1.51026662359166</v>
      </c>
      <c r="V255" t="s">
        <v>9</v>
      </c>
      <c r="W255">
        <v>-0.49434160443624497</v>
      </c>
      <c r="X255" t="s">
        <v>10</v>
      </c>
      <c r="Y255">
        <v>2.09648753425172</v>
      </c>
      <c r="Z255" t="s">
        <v>11</v>
      </c>
      <c r="AA255" t="s">
        <v>646</v>
      </c>
      <c r="AB255" t="s">
        <v>647</v>
      </c>
      <c r="AC255">
        <v>0</v>
      </c>
      <c r="AD255" t="s">
        <v>14</v>
      </c>
      <c r="AE255" t="s">
        <v>15</v>
      </c>
      <c r="AF255" t="s">
        <v>649</v>
      </c>
      <c r="AG255" t="s">
        <v>650</v>
      </c>
      <c r="AH255">
        <v>0</v>
      </c>
      <c r="AI255" t="s">
        <v>18</v>
      </c>
    </row>
    <row r="256" spans="1:35" x14ac:dyDescent="0.3">
      <c r="A256" t="str">
        <f>_xlfn.TEXTJOIN(", ", FALSE, C256,D256,E256,F256,G256,H256,I256,J256)</f>
        <v>alltime_{'C',  [('number', 5,  1),  ('number', 7.5,  -1)]}_[7,  35]_2</v>
      </c>
      <c r="B256" t="s">
        <v>878</v>
      </c>
      <c r="C256" t="s">
        <v>0</v>
      </c>
      <c r="D256" t="s">
        <v>587</v>
      </c>
      <c r="E256">
        <v>5</v>
      </c>
      <c r="F256" t="s">
        <v>588</v>
      </c>
      <c r="G256" t="s">
        <v>589</v>
      </c>
      <c r="H256">
        <v>7.5</v>
      </c>
      <c r="I256" t="s">
        <v>590</v>
      </c>
      <c r="J256" t="s">
        <v>19</v>
      </c>
      <c r="K256" t="s">
        <v>4</v>
      </c>
      <c r="L256">
        <v>3073</v>
      </c>
      <c r="M256" t="s">
        <v>5</v>
      </c>
      <c r="N256">
        <v>701</v>
      </c>
      <c r="O256" s="2">
        <f>N256/L256</f>
        <v>0.22811584770582494</v>
      </c>
      <c r="P256" t="s">
        <v>6</v>
      </c>
      <c r="Q256">
        <v>-45.6099999999998</v>
      </c>
      <c r="R256" t="s">
        <v>7</v>
      </c>
      <c r="S256">
        <v>-1.48421737715586E-2</v>
      </c>
      <c r="T256" t="s">
        <v>8</v>
      </c>
      <c r="U256">
        <v>1.3786162624821601</v>
      </c>
      <c r="V256" t="s">
        <v>9</v>
      </c>
      <c r="W256">
        <v>-0.42665261382799302</v>
      </c>
      <c r="X256" t="s">
        <v>10</v>
      </c>
      <c r="Y256">
        <v>2.1022711138918999</v>
      </c>
      <c r="Z256" t="s">
        <v>11</v>
      </c>
      <c r="AA256" t="s">
        <v>591</v>
      </c>
      <c r="AB256" t="s">
        <v>50</v>
      </c>
      <c r="AC256">
        <v>0</v>
      </c>
      <c r="AD256" t="s">
        <v>14</v>
      </c>
      <c r="AE256" t="s">
        <v>15</v>
      </c>
      <c r="AF256" t="s">
        <v>623</v>
      </c>
      <c r="AG256" t="s">
        <v>21</v>
      </c>
      <c r="AH256">
        <v>0</v>
      </c>
      <c r="AI256" t="s">
        <v>18</v>
      </c>
    </row>
    <row r="257" spans="1:35" x14ac:dyDescent="0.3">
      <c r="A257" t="str">
        <f>_xlfn.TEXTJOIN(", ", FALSE, C257,D257,E257,F257,G257,H257,I257,J257)</f>
        <v>alltime_{'C',  [('number', 5,  1),  ('number', 7.5,  -1)]}_[7,  35]_3</v>
      </c>
      <c r="B257" t="s">
        <v>879</v>
      </c>
      <c r="C257" t="s">
        <v>0</v>
      </c>
      <c r="D257" t="s">
        <v>587</v>
      </c>
      <c r="E257">
        <v>5</v>
      </c>
      <c r="F257" t="s">
        <v>588</v>
      </c>
      <c r="G257" t="s">
        <v>589</v>
      </c>
      <c r="H257">
        <v>7.5</v>
      </c>
      <c r="I257" t="s">
        <v>590</v>
      </c>
      <c r="J257" t="s">
        <v>23</v>
      </c>
      <c r="K257" t="s">
        <v>4</v>
      </c>
      <c r="L257">
        <v>3073</v>
      </c>
      <c r="M257" t="s">
        <v>5</v>
      </c>
      <c r="N257">
        <v>645</v>
      </c>
      <c r="O257" s="2">
        <f>N257/L257</f>
        <v>0.20989261308167914</v>
      </c>
      <c r="P257" t="s">
        <v>6</v>
      </c>
      <c r="Q257">
        <v>-46.690000000000097</v>
      </c>
      <c r="R257" t="s">
        <v>7</v>
      </c>
      <c r="S257">
        <v>-1.51936218678815E-2</v>
      </c>
      <c r="T257" t="s">
        <v>8</v>
      </c>
      <c r="U257">
        <v>1.52919379844961</v>
      </c>
      <c r="V257" t="s">
        <v>9</v>
      </c>
      <c r="W257">
        <v>-0.42546128500823699</v>
      </c>
      <c r="X257" t="s">
        <v>10</v>
      </c>
      <c r="Y257">
        <v>2.2358666120644601</v>
      </c>
      <c r="Z257" t="s">
        <v>11</v>
      </c>
      <c r="AA257" t="s">
        <v>591</v>
      </c>
      <c r="AB257" t="s">
        <v>50</v>
      </c>
      <c r="AC257">
        <v>0</v>
      </c>
      <c r="AD257" t="s">
        <v>14</v>
      </c>
      <c r="AE257" t="s">
        <v>15</v>
      </c>
      <c r="AF257" t="s">
        <v>624</v>
      </c>
      <c r="AG257" t="s">
        <v>21</v>
      </c>
      <c r="AH257">
        <v>0</v>
      </c>
      <c r="AI257" t="s">
        <v>18</v>
      </c>
    </row>
    <row r="258" spans="1:35" x14ac:dyDescent="0.3">
      <c r="A258" t="str">
        <f>_xlfn.TEXTJOIN(", ", FALSE, C258,D258,E258,F258,G258,H258,I258,J258)</f>
        <v>alltime_{'C',  [('number', 7.5,  1),  ('number', 10,  -1)]}_[7,  35]_1</v>
      </c>
      <c r="B258" t="s">
        <v>889</v>
      </c>
      <c r="C258" t="s">
        <v>0</v>
      </c>
      <c r="D258" t="s">
        <v>587</v>
      </c>
      <c r="E258">
        <v>7.5</v>
      </c>
      <c r="F258" t="s">
        <v>588</v>
      </c>
      <c r="G258" t="s">
        <v>589</v>
      </c>
      <c r="H258">
        <v>10</v>
      </c>
      <c r="I258" t="s">
        <v>590</v>
      </c>
      <c r="J258" t="s">
        <v>3</v>
      </c>
      <c r="K258" t="s">
        <v>4</v>
      </c>
      <c r="L258">
        <v>3073</v>
      </c>
      <c r="M258" t="s">
        <v>5</v>
      </c>
      <c r="N258">
        <v>898</v>
      </c>
      <c r="O258" s="2">
        <f>N258/L258</f>
        <v>0.2922225837943378</v>
      </c>
      <c r="P258" t="s">
        <v>6</v>
      </c>
      <c r="Q258">
        <v>-48.6499999999998</v>
      </c>
      <c r="R258" t="s">
        <v>7</v>
      </c>
      <c r="S258">
        <v>-1.5831435079726501E-2</v>
      </c>
      <c r="T258" t="s">
        <v>8</v>
      </c>
      <c r="U258">
        <v>0.626380846325166</v>
      </c>
      <c r="V258" t="s">
        <v>9</v>
      </c>
      <c r="W258">
        <v>-0.28098390804597601</v>
      </c>
      <c r="X258" t="s">
        <v>10</v>
      </c>
      <c r="Y258">
        <v>1.12130029556528</v>
      </c>
      <c r="Z258" t="s">
        <v>11</v>
      </c>
      <c r="AA258" t="s">
        <v>636</v>
      </c>
      <c r="AB258" t="s">
        <v>21</v>
      </c>
      <c r="AC258">
        <v>0</v>
      </c>
      <c r="AD258" t="s">
        <v>14</v>
      </c>
      <c r="AE258" t="s">
        <v>15</v>
      </c>
      <c r="AF258" t="s">
        <v>637</v>
      </c>
      <c r="AG258" t="s">
        <v>611</v>
      </c>
      <c r="AH258">
        <v>0</v>
      </c>
      <c r="AI258" t="s">
        <v>18</v>
      </c>
    </row>
    <row r="259" spans="1:35" x14ac:dyDescent="0.3">
      <c r="A259" t="str">
        <f>_xlfn.TEXTJOIN(", ", FALSE, C259,D259,E259,F259,G259,H259,I259,J259)</f>
        <v>alltime_{'C',  [('number', 7.5,  1),  ('number', 10,  -1)]}_[21,  49]_2</v>
      </c>
      <c r="B259" t="s">
        <v>894</v>
      </c>
      <c r="C259" t="s">
        <v>0</v>
      </c>
      <c r="D259" t="s">
        <v>587</v>
      </c>
      <c r="E259">
        <v>7.5</v>
      </c>
      <c r="F259" t="s">
        <v>588</v>
      </c>
      <c r="G259" t="s">
        <v>589</v>
      </c>
      <c r="H259">
        <v>10</v>
      </c>
      <c r="I259" t="s">
        <v>599</v>
      </c>
      <c r="J259" t="s">
        <v>30</v>
      </c>
      <c r="K259" t="s">
        <v>4</v>
      </c>
      <c r="L259">
        <v>3050</v>
      </c>
      <c r="M259" t="s">
        <v>5</v>
      </c>
      <c r="N259">
        <v>664</v>
      </c>
      <c r="O259" s="2">
        <f>N259/L259</f>
        <v>0.21770491803278688</v>
      </c>
      <c r="P259" t="s">
        <v>6</v>
      </c>
      <c r="Q259">
        <v>-54.169999999999803</v>
      </c>
      <c r="R259" t="s">
        <v>7</v>
      </c>
      <c r="S259">
        <v>-1.77606557377048E-2</v>
      </c>
      <c r="T259" t="s">
        <v>8</v>
      </c>
      <c r="U259">
        <v>1.3411203227056301</v>
      </c>
      <c r="V259" t="s">
        <v>9</v>
      </c>
      <c r="W259">
        <v>-0.39592367740005802</v>
      </c>
      <c r="X259" t="s">
        <v>10</v>
      </c>
      <c r="Y259">
        <v>1.82790192442983</v>
      </c>
      <c r="Z259" t="s">
        <v>11</v>
      </c>
      <c r="AA259" t="s">
        <v>638</v>
      </c>
      <c r="AB259" t="s">
        <v>639</v>
      </c>
      <c r="AC259">
        <v>0</v>
      </c>
      <c r="AD259" t="s">
        <v>14</v>
      </c>
      <c r="AE259" t="s">
        <v>15</v>
      </c>
      <c r="AF259" t="s">
        <v>643</v>
      </c>
      <c r="AG259" t="s">
        <v>21</v>
      </c>
      <c r="AH259">
        <v>0</v>
      </c>
      <c r="AI259" t="s">
        <v>18</v>
      </c>
    </row>
    <row r="260" spans="1:35" x14ac:dyDescent="0.3">
      <c r="A260" t="str">
        <f>_xlfn.TEXTJOIN(", ", FALSE, C260,D260,E260,F260,G260,H260,I260,J260)</f>
        <v>bbands_{'C',  [('number', 0,  1),  ('number', 2.5,  -1)]}_[35,  70]_4</v>
      </c>
      <c r="B260" t="s">
        <v>912</v>
      </c>
      <c r="C260" t="s">
        <v>113</v>
      </c>
      <c r="D260" t="s">
        <v>587</v>
      </c>
      <c r="E260">
        <v>0</v>
      </c>
      <c r="F260" t="s">
        <v>588</v>
      </c>
      <c r="G260" t="s">
        <v>589</v>
      </c>
      <c r="H260">
        <v>2.5</v>
      </c>
      <c r="I260" t="s">
        <v>605</v>
      </c>
      <c r="J260" t="s">
        <v>44</v>
      </c>
      <c r="K260" t="s">
        <v>4</v>
      </c>
      <c r="L260">
        <v>247</v>
      </c>
      <c r="M260" t="s">
        <v>5</v>
      </c>
      <c r="N260">
        <v>78</v>
      </c>
      <c r="O260" s="2">
        <f>N260/L260</f>
        <v>0.31578947368421051</v>
      </c>
      <c r="P260" t="s">
        <v>6</v>
      </c>
      <c r="Q260">
        <v>-60.766042572525997</v>
      </c>
      <c r="R260" t="s">
        <v>7</v>
      </c>
      <c r="S260">
        <v>-0.24601636669038801</v>
      </c>
      <c r="T260" t="s">
        <v>8</v>
      </c>
      <c r="U260">
        <v>1.2802740926603899</v>
      </c>
      <c r="V260" t="s">
        <v>9</v>
      </c>
      <c r="W260">
        <v>-0.95045811715997996</v>
      </c>
      <c r="X260" t="s">
        <v>10</v>
      </c>
      <c r="Y260">
        <v>0.47899917096884798</v>
      </c>
      <c r="Z260" t="s">
        <v>11</v>
      </c>
      <c r="AA260" t="s">
        <v>662</v>
      </c>
      <c r="AB260" t="s">
        <v>639</v>
      </c>
      <c r="AC260">
        <v>0</v>
      </c>
      <c r="AD260" t="s">
        <v>14</v>
      </c>
      <c r="AE260" t="s">
        <v>15</v>
      </c>
      <c r="AF260" t="s">
        <v>663</v>
      </c>
      <c r="AG260" t="s">
        <v>664</v>
      </c>
      <c r="AH260">
        <v>0</v>
      </c>
      <c r="AI260" t="s">
        <v>18</v>
      </c>
    </row>
    <row r="261" spans="1:35" x14ac:dyDescent="0.3">
      <c r="A261" t="str">
        <f>_xlfn.TEXTJOIN(", ", FALSE, C261,D261,E261,F261,G261,H261,I261,J261)</f>
        <v>alltime_{'C',  [('number', 7.5,  1),  ('number', 10,  -1)]}_[21,  49]_3</v>
      </c>
      <c r="B261" t="s">
        <v>895</v>
      </c>
      <c r="C261" t="s">
        <v>0</v>
      </c>
      <c r="D261" t="s">
        <v>587</v>
      </c>
      <c r="E261">
        <v>7.5</v>
      </c>
      <c r="F261" t="s">
        <v>588</v>
      </c>
      <c r="G261" t="s">
        <v>589</v>
      </c>
      <c r="H261">
        <v>10</v>
      </c>
      <c r="I261" t="s">
        <v>599</v>
      </c>
      <c r="J261" t="s">
        <v>33</v>
      </c>
      <c r="K261" t="s">
        <v>4</v>
      </c>
      <c r="L261">
        <v>3050</v>
      </c>
      <c r="M261" t="s">
        <v>5</v>
      </c>
      <c r="N261">
        <v>555</v>
      </c>
      <c r="O261" s="2">
        <f>N261/L261</f>
        <v>0.18196721311475411</v>
      </c>
      <c r="P261" t="s">
        <v>6</v>
      </c>
      <c r="Q261">
        <v>-103.195113170092</v>
      </c>
      <c r="R261" t="s">
        <v>7</v>
      </c>
      <c r="S261">
        <v>-3.3834463334456402E-2</v>
      </c>
      <c r="T261" t="s">
        <v>8</v>
      </c>
      <c r="U261">
        <v>1.60100978704722</v>
      </c>
      <c r="V261" t="s">
        <v>9</v>
      </c>
      <c r="W261">
        <v>-0.39749721241735497</v>
      </c>
      <c r="X261" t="s">
        <v>10</v>
      </c>
      <c r="Y261">
        <v>2.0203611783848601</v>
      </c>
      <c r="Z261" t="s">
        <v>11</v>
      </c>
      <c r="AA261" t="s">
        <v>629</v>
      </c>
      <c r="AB261" t="s">
        <v>77</v>
      </c>
      <c r="AC261">
        <v>0</v>
      </c>
      <c r="AD261" t="s">
        <v>14</v>
      </c>
      <c r="AE261" t="s">
        <v>15</v>
      </c>
      <c r="AF261" t="s">
        <v>644</v>
      </c>
      <c r="AG261" t="s">
        <v>21</v>
      </c>
      <c r="AH261">
        <v>0</v>
      </c>
      <c r="AI261" t="s">
        <v>18</v>
      </c>
    </row>
    <row r="262" spans="1:35" x14ac:dyDescent="0.3">
      <c r="A262" t="str">
        <f>_xlfn.TEXTJOIN(", ", FALSE, C262,D262,E262,F262,G262,H262,I262,J262)</f>
        <v>alltime_{'C',  [('number', 2.5,  1),  ('number', 5,  -1)]}_[7,  35]_1</v>
      </c>
      <c r="B262" t="s">
        <v>865</v>
      </c>
      <c r="C262" t="s">
        <v>0</v>
      </c>
      <c r="D262" t="s">
        <v>587</v>
      </c>
      <c r="E262">
        <v>2.5</v>
      </c>
      <c r="F262" t="s">
        <v>588</v>
      </c>
      <c r="G262" t="s">
        <v>589</v>
      </c>
      <c r="H262">
        <v>5</v>
      </c>
      <c r="I262" t="s">
        <v>590</v>
      </c>
      <c r="J262" t="s">
        <v>3</v>
      </c>
      <c r="K262" t="s">
        <v>4</v>
      </c>
      <c r="L262">
        <v>3073</v>
      </c>
      <c r="M262" t="s">
        <v>5</v>
      </c>
      <c r="N262">
        <v>1029</v>
      </c>
      <c r="O262" s="2">
        <f>N262/L262</f>
        <v>0.33485193621867881</v>
      </c>
      <c r="P262" t="s">
        <v>6</v>
      </c>
      <c r="Q262">
        <v>-103.8</v>
      </c>
      <c r="R262" t="s">
        <v>7</v>
      </c>
      <c r="S262">
        <v>-3.3778067035470302E-2</v>
      </c>
      <c r="T262" t="s">
        <v>8</v>
      </c>
      <c r="U262">
        <v>1.1036540330417799</v>
      </c>
      <c r="V262" t="s">
        <v>9</v>
      </c>
      <c r="W262">
        <v>-0.60638943248532395</v>
      </c>
      <c r="X262" t="s">
        <v>10</v>
      </c>
      <c r="Y262">
        <v>2.1924527140260199</v>
      </c>
      <c r="Z262" t="s">
        <v>11</v>
      </c>
      <c r="AA262" t="s">
        <v>591</v>
      </c>
      <c r="AB262" t="s">
        <v>50</v>
      </c>
      <c r="AC262">
        <v>0</v>
      </c>
      <c r="AD262" t="s">
        <v>14</v>
      </c>
      <c r="AE262" t="s">
        <v>15</v>
      </c>
      <c r="AF262" t="s">
        <v>610</v>
      </c>
      <c r="AG262" t="s">
        <v>611</v>
      </c>
      <c r="AH262">
        <v>0</v>
      </c>
      <c r="AI262" t="s">
        <v>18</v>
      </c>
    </row>
    <row r="263" spans="1:35" x14ac:dyDescent="0.3">
      <c r="A263" t="str">
        <f>_xlfn.TEXTJOIN(", ", FALSE, C263,D263,E263,F263,G263,H263,I263,J263)</f>
        <v>alltime_{'C',  [('number', 2.5,  1),  ('number', 5,  -1)]}_[7,  35]_2</v>
      </c>
      <c r="B263" t="s">
        <v>866</v>
      </c>
      <c r="C263" t="s">
        <v>0</v>
      </c>
      <c r="D263" t="s">
        <v>587</v>
      </c>
      <c r="E263">
        <v>2.5</v>
      </c>
      <c r="F263" t="s">
        <v>588</v>
      </c>
      <c r="G263" t="s">
        <v>589</v>
      </c>
      <c r="H263">
        <v>5</v>
      </c>
      <c r="I263" t="s">
        <v>590</v>
      </c>
      <c r="J263" t="s">
        <v>19</v>
      </c>
      <c r="K263" t="s">
        <v>4</v>
      </c>
      <c r="L263">
        <v>3073</v>
      </c>
      <c r="M263" t="s">
        <v>5</v>
      </c>
      <c r="N263">
        <v>838</v>
      </c>
      <c r="O263" s="2">
        <f>N263/L263</f>
        <v>0.27269768955418155</v>
      </c>
      <c r="P263" t="s">
        <v>6</v>
      </c>
      <c r="Q263">
        <v>-107.729999999999</v>
      </c>
      <c r="R263" t="s">
        <v>7</v>
      </c>
      <c r="S263">
        <v>-3.5056947608200301E-2</v>
      </c>
      <c r="T263" t="s">
        <v>8</v>
      </c>
      <c r="U263">
        <v>1.4970405727923599</v>
      </c>
      <c r="V263" t="s">
        <v>9</v>
      </c>
      <c r="W263">
        <v>-0.60950782997762898</v>
      </c>
      <c r="X263" t="s">
        <v>10</v>
      </c>
      <c r="Y263">
        <v>2.6466512403529601</v>
      </c>
      <c r="Z263" t="s">
        <v>11</v>
      </c>
      <c r="AA263" t="s">
        <v>591</v>
      </c>
      <c r="AB263" t="s">
        <v>50</v>
      </c>
      <c r="AC263">
        <v>0</v>
      </c>
      <c r="AD263" t="s">
        <v>14</v>
      </c>
      <c r="AE263" t="s">
        <v>15</v>
      </c>
      <c r="AF263" t="s">
        <v>612</v>
      </c>
      <c r="AG263" t="s">
        <v>21</v>
      </c>
      <c r="AH263">
        <v>0</v>
      </c>
      <c r="AI263" t="s">
        <v>18</v>
      </c>
    </row>
    <row r="264" spans="1:35" x14ac:dyDescent="0.3">
      <c r="A264" t="str">
        <f>_xlfn.TEXTJOIN(", ", FALSE, C264,D264,E264,F264,G264,H264,I264,J264)</f>
        <v>alltime_{'C',  [('number', 5,  1),  ('number', 7.5,  -1)]}_[21,  49]_2</v>
      </c>
      <c r="B264" t="s">
        <v>882</v>
      </c>
      <c r="C264" t="s">
        <v>0</v>
      </c>
      <c r="D264" t="s">
        <v>587</v>
      </c>
      <c r="E264">
        <v>5</v>
      </c>
      <c r="F264" t="s">
        <v>588</v>
      </c>
      <c r="G264" t="s">
        <v>589</v>
      </c>
      <c r="H264">
        <v>7.5</v>
      </c>
      <c r="I264" t="s">
        <v>599</v>
      </c>
      <c r="J264" t="s">
        <v>30</v>
      </c>
      <c r="K264" t="s">
        <v>4</v>
      </c>
      <c r="L264">
        <v>3050</v>
      </c>
      <c r="M264" t="s">
        <v>5</v>
      </c>
      <c r="N264">
        <v>736</v>
      </c>
      <c r="O264" s="2">
        <f>N264/L264</f>
        <v>0.24131147540983608</v>
      </c>
      <c r="P264" t="s">
        <v>6</v>
      </c>
      <c r="Q264">
        <v>-111.553621339286</v>
      </c>
      <c r="R264" t="s">
        <v>7</v>
      </c>
      <c r="S264">
        <v>-3.6574957816159402E-2</v>
      </c>
      <c r="T264" t="s">
        <v>8</v>
      </c>
      <c r="U264">
        <v>1.5003943925777901</v>
      </c>
      <c r="V264" t="s">
        <v>9</v>
      </c>
      <c r="W264">
        <v>-0.52542951351622202</v>
      </c>
      <c r="X264" t="s">
        <v>10</v>
      </c>
      <c r="Y264">
        <v>2.21259648698764</v>
      </c>
      <c r="Z264" t="s">
        <v>11</v>
      </c>
      <c r="AA264" t="s">
        <v>591</v>
      </c>
      <c r="AB264" t="s">
        <v>50</v>
      </c>
      <c r="AC264">
        <v>0</v>
      </c>
      <c r="AD264" t="s">
        <v>14</v>
      </c>
      <c r="AE264" t="s">
        <v>15</v>
      </c>
      <c r="AF264" t="s">
        <v>627</v>
      </c>
      <c r="AG264" t="s">
        <v>21</v>
      </c>
      <c r="AH264">
        <v>0</v>
      </c>
      <c r="AI264" t="s">
        <v>18</v>
      </c>
    </row>
    <row r="265" spans="1:35" x14ac:dyDescent="0.3">
      <c r="A265" t="str">
        <f>_xlfn.TEXTJOIN(", ", FALSE, C265,D265,E265,F265,G265,H265,I265,J265)</f>
        <v>alltime_{'C',  [('number', 2.5,  1),  ('number', 5,  -1)]}_[7,  35]_4</v>
      </c>
      <c r="B265" t="s">
        <v>868</v>
      </c>
      <c r="C265" t="s">
        <v>0</v>
      </c>
      <c r="D265" t="s">
        <v>587</v>
      </c>
      <c r="E265">
        <v>2.5</v>
      </c>
      <c r="F265" t="s">
        <v>588</v>
      </c>
      <c r="G265" t="s">
        <v>589</v>
      </c>
      <c r="H265">
        <v>5</v>
      </c>
      <c r="I265" t="s">
        <v>590</v>
      </c>
      <c r="J265" t="s">
        <v>26</v>
      </c>
      <c r="K265" t="s">
        <v>4</v>
      </c>
      <c r="L265">
        <v>3073</v>
      </c>
      <c r="M265" t="s">
        <v>5</v>
      </c>
      <c r="N265">
        <v>827</v>
      </c>
      <c r="O265" s="2">
        <f>N265/L265</f>
        <v>0.26911812561015297</v>
      </c>
      <c r="P265" t="s">
        <v>6</v>
      </c>
      <c r="Q265">
        <v>-114.079999999999</v>
      </c>
      <c r="R265" t="s">
        <v>7</v>
      </c>
      <c r="S265">
        <v>-3.71233322486169E-2</v>
      </c>
      <c r="T265" t="s">
        <v>8</v>
      </c>
      <c r="U265">
        <v>1.52272067714631</v>
      </c>
      <c r="V265" t="s">
        <v>9</v>
      </c>
      <c r="W265">
        <v>-0.61147373107747205</v>
      </c>
      <c r="X265" t="s">
        <v>10</v>
      </c>
      <c r="Y265">
        <v>2.7023001443857702</v>
      </c>
      <c r="Z265" t="s">
        <v>11</v>
      </c>
      <c r="AA265" t="s">
        <v>594</v>
      </c>
      <c r="AB265" t="s">
        <v>595</v>
      </c>
      <c r="AC265">
        <v>0</v>
      </c>
      <c r="AD265" t="s">
        <v>14</v>
      </c>
      <c r="AE265" t="s">
        <v>15</v>
      </c>
      <c r="AF265" t="s">
        <v>612</v>
      </c>
      <c r="AG265" t="s">
        <v>21</v>
      </c>
      <c r="AH265">
        <v>0</v>
      </c>
      <c r="AI265" t="s">
        <v>18</v>
      </c>
    </row>
    <row r="266" spans="1:35" x14ac:dyDescent="0.3">
      <c r="A266" t="str">
        <f>_xlfn.TEXTJOIN(", ", FALSE, C266,D266,E266,F266,G266,H266,I266,J266)</f>
        <v>alltime_{'C',  [('number', 2.5,  1),  ('number', 5,  -1)]}_[7,  35]_3</v>
      </c>
      <c r="B266" t="s">
        <v>867</v>
      </c>
      <c r="C266" t="s">
        <v>0</v>
      </c>
      <c r="D266" t="s">
        <v>587</v>
      </c>
      <c r="E266">
        <v>2.5</v>
      </c>
      <c r="F266" t="s">
        <v>588</v>
      </c>
      <c r="G266" t="s">
        <v>589</v>
      </c>
      <c r="H266">
        <v>5</v>
      </c>
      <c r="I266" t="s">
        <v>590</v>
      </c>
      <c r="J266" t="s">
        <v>23</v>
      </c>
      <c r="K266" t="s">
        <v>4</v>
      </c>
      <c r="L266">
        <v>3073</v>
      </c>
      <c r="M266" t="s">
        <v>5</v>
      </c>
      <c r="N266">
        <v>828</v>
      </c>
      <c r="O266" s="2">
        <f>N266/L266</f>
        <v>0.26944354051415553</v>
      </c>
      <c r="P266" t="s">
        <v>6</v>
      </c>
      <c r="Q266">
        <v>-115.099999999999</v>
      </c>
      <c r="R266" t="s">
        <v>7</v>
      </c>
      <c r="S266">
        <v>-3.7455255450699498E-2</v>
      </c>
      <c r="T266" t="s">
        <v>8</v>
      </c>
      <c r="U266">
        <v>1.51927536231883</v>
      </c>
      <c r="V266" t="s">
        <v>9</v>
      </c>
      <c r="W266">
        <v>-0.61160801781737295</v>
      </c>
      <c r="X266" t="s">
        <v>10</v>
      </c>
      <c r="Y266">
        <v>2.7011421701314799</v>
      </c>
      <c r="Z266" t="s">
        <v>11</v>
      </c>
      <c r="AA266" t="s">
        <v>594</v>
      </c>
      <c r="AB266" t="s">
        <v>595</v>
      </c>
      <c r="AC266">
        <v>0</v>
      </c>
      <c r="AD266" t="s">
        <v>14</v>
      </c>
      <c r="AE266" t="s">
        <v>15</v>
      </c>
      <c r="AF266" t="s">
        <v>612</v>
      </c>
      <c r="AG266" t="s">
        <v>21</v>
      </c>
      <c r="AH266">
        <v>0</v>
      </c>
      <c r="AI266" t="s">
        <v>18</v>
      </c>
    </row>
    <row r="267" spans="1:35" x14ac:dyDescent="0.3">
      <c r="A267" t="str">
        <f>_xlfn.TEXTJOIN(", ", FALSE, C267,D267,E267,F267,G267,H267,I267,J267)</f>
        <v>alltime_{'C',  [('number', 2.5,  1),  ('number', 5,  -1)]}_[21,  49]_2</v>
      </c>
      <c r="B267" t="s">
        <v>870</v>
      </c>
      <c r="C267" t="s">
        <v>0</v>
      </c>
      <c r="D267" t="s">
        <v>587</v>
      </c>
      <c r="E267">
        <v>2.5</v>
      </c>
      <c r="F267" t="s">
        <v>588</v>
      </c>
      <c r="G267" t="s">
        <v>589</v>
      </c>
      <c r="H267">
        <v>5</v>
      </c>
      <c r="I267" t="s">
        <v>599</v>
      </c>
      <c r="J267" t="s">
        <v>30</v>
      </c>
      <c r="K267" t="s">
        <v>4</v>
      </c>
      <c r="L267">
        <v>3050</v>
      </c>
      <c r="M267" t="s">
        <v>5</v>
      </c>
      <c r="N267">
        <v>875</v>
      </c>
      <c r="O267" s="2">
        <f>N267/L267</f>
        <v>0.28688524590163933</v>
      </c>
      <c r="P267" t="s">
        <v>6</v>
      </c>
      <c r="Q267">
        <v>-115.39311574932999</v>
      </c>
      <c r="R267" t="s">
        <v>7</v>
      </c>
      <c r="S267">
        <v>-3.7833808442403298E-2</v>
      </c>
      <c r="T267" t="s">
        <v>8</v>
      </c>
      <c r="U267">
        <v>1.53402563240898</v>
      </c>
      <c r="V267" t="s">
        <v>9</v>
      </c>
      <c r="W267">
        <v>-0.67019105476192797</v>
      </c>
      <c r="X267" t="s">
        <v>10</v>
      </c>
      <c r="Y267">
        <v>2.5322420102219798</v>
      </c>
      <c r="Z267" t="s">
        <v>11</v>
      </c>
      <c r="AA267" t="s">
        <v>594</v>
      </c>
      <c r="AB267" t="s">
        <v>595</v>
      </c>
      <c r="AC267">
        <v>0</v>
      </c>
      <c r="AD267" t="s">
        <v>14</v>
      </c>
      <c r="AE267" t="s">
        <v>15</v>
      </c>
      <c r="AF267" t="s">
        <v>615</v>
      </c>
      <c r="AG267" t="s">
        <v>601</v>
      </c>
      <c r="AH267">
        <v>0</v>
      </c>
      <c r="AI267" t="s">
        <v>18</v>
      </c>
    </row>
    <row r="268" spans="1:35" x14ac:dyDescent="0.3">
      <c r="A268" t="str">
        <f>_xlfn.TEXTJOIN(", ", FALSE, C268,D268,E268,F268,G268,H268,I268,J268)</f>
        <v>alltime_{'C',  [('number', 0,  1),  ('number', 2.5,  -1)]}_[21,  49]_2</v>
      </c>
      <c r="B268" t="s">
        <v>858</v>
      </c>
      <c r="C268" t="s">
        <v>0</v>
      </c>
      <c r="D268" t="s">
        <v>587</v>
      </c>
      <c r="E268">
        <v>0</v>
      </c>
      <c r="F268" t="s">
        <v>588</v>
      </c>
      <c r="G268" t="s">
        <v>589</v>
      </c>
      <c r="H268">
        <v>2.5</v>
      </c>
      <c r="I268" t="s">
        <v>599</v>
      </c>
      <c r="J268" t="s">
        <v>30</v>
      </c>
      <c r="K268" t="s">
        <v>4</v>
      </c>
      <c r="L268">
        <v>3050</v>
      </c>
      <c r="M268" t="s">
        <v>5</v>
      </c>
      <c r="N268">
        <v>1087</v>
      </c>
      <c r="O268" s="2">
        <f>N268/L268</f>
        <v>0.35639344262295081</v>
      </c>
      <c r="P268" t="s">
        <v>6</v>
      </c>
      <c r="Q268">
        <v>-125.802019385051</v>
      </c>
      <c r="R268" t="s">
        <v>7</v>
      </c>
      <c r="S268">
        <v>-4.1246563732803901E-2</v>
      </c>
      <c r="T268" t="s">
        <v>8</v>
      </c>
      <c r="U268">
        <v>1.34202791034872</v>
      </c>
      <c r="V268" t="s">
        <v>9</v>
      </c>
      <c r="W268">
        <v>-0.80722687617631805</v>
      </c>
      <c r="X268" t="s">
        <v>10</v>
      </c>
      <c r="Y268">
        <v>2.7555020708536002</v>
      </c>
      <c r="Z268" t="s">
        <v>11</v>
      </c>
      <c r="AA268" t="s">
        <v>594</v>
      </c>
      <c r="AB268" t="s">
        <v>595</v>
      </c>
      <c r="AC268">
        <v>0</v>
      </c>
      <c r="AD268" t="s">
        <v>14</v>
      </c>
      <c r="AE268" t="s">
        <v>15</v>
      </c>
      <c r="AF268" t="s">
        <v>602</v>
      </c>
      <c r="AG268" t="s">
        <v>603</v>
      </c>
      <c r="AH268">
        <v>0</v>
      </c>
      <c r="AI268" t="s">
        <v>18</v>
      </c>
    </row>
    <row r="269" spans="1:35" x14ac:dyDescent="0.3">
      <c r="A269" t="str">
        <f>_xlfn.TEXTJOIN(", ", FALSE, C269,D269,E269,F269,G269,H269,I269,J269)</f>
        <v>alltime_{'C',  [('number', 7.5,  1),  ('number', 10,  -1)]}_[21,  49]_4</v>
      </c>
      <c r="B269" t="s">
        <v>896</v>
      </c>
      <c r="C269" t="s">
        <v>0</v>
      </c>
      <c r="D269" t="s">
        <v>587</v>
      </c>
      <c r="E269">
        <v>7.5</v>
      </c>
      <c r="F269" t="s">
        <v>588</v>
      </c>
      <c r="G269" t="s">
        <v>589</v>
      </c>
      <c r="H269">
        <v>10</v>
      </c>
      <c r="I269" t="s">
        <v>599</v>
      </c>
      <c r="J269" t="s">
        <v>36</v>
      </c>
      <c r="K269" t="s">
        <v>4</v>
      </c>
      <c r="L269">
        <v>3050</v>
      </c>
      <c r="M269" t="s">
        <v>5</v>
      </c>
      <c r="N269">
        <v>523</v>
      </c>
      <c r="O269" s="2">
        <f>N269/L269</f>
        <v>0.17147540983606557</v>
      </c>
      <c r="P269" t="s">
        <v>6</v>
      </c>
      <c r="Q269">
        <v>-137.01445599200201</v>
      </c>
      <c r="R269" t="s">
        <v>7</v>
      </c>
      <c r="S269">
        <v>-4.4922772456394103E-2</v>
      </c>
      <c r="T269" t="s">
        <v>8</v>
      </c>
      <c r="U269">
        <v>1.68431697484664</v>
      </c>
      <c r="V269" t="s">
        <v>9</v>
      </c>
      <c r="W269">
        <v>-0.40281449696746902</v>
      </c>
      <c r="X269" t="s">
        <v>10</v>
      </c>
      <c r="Y269">
        <v>2.0902296913313401</v>
      </c>
      <c r="Z269" t="s">
        <v>11</v>
      </c>
      <c r="AA269" t="s">
        <v>594</v>
      </c>
      <c r="AB269" t="s">
        <v>595</v>
      </c>
      <c r="AC269">
        <v>0</v>
      </c>
      <c r="AD269" t="s">
        <v>14</v>
      </c>
      <c r="AE269" t="s">
        <v>15</v>
      </c>
      <c r="AF269" t="s">
        <v>645</v>
      </c>
      <c r="AG269" t="s">
        <v>21</v>
      </c>
      <c r="AH269">
        <v>0</v>
      </c>
      <c r="AI269" t="s">
        <v>18</v>
      </c>
    </row>
    <row r="270" spans="1:35" x14ac:dyDescent="0.3">
      <c r="A270" t="str">
        <f>_xlfn.TEXTJOIN(", ", FALSE, C270,D270,E270,F270,G270,H270,I270,J270)</f>
        <v>alltime_{'C',  [('number', 5,  1),  ('number', 7.5,  -1)]}_[21,  49]_3</v>
      </c>
      <c r="B270" t="s">
        <v>883</v>
      </c>
      <c r="C270" t="s">
        <v>0</v>
      </c>
      <c r="D270" t="s">
        <v>587</v>
      </c>
      <c r="E270">
        <v>5</v>
      </c>
      <c r="F270" t="s">
        <v>588</v>
      </c>
      <c r="G270" t="s">
        <v>589</v>
      </c>
      <c r="H270">
        <v>7.5</v>
      </c>
      <c r="I270" t="s">
        <v>599</v>
      </c>
      <c r="J270" t="s">
        <v>33</v>
      </c>
      <c r="K270" t="s">
        <v>4</v>
      </c>
      <c r="L270">
        <v>3050</v>
      </c>
      <c r="M270" t="s">
        <v>5</v>
      </c>
      <c r="N270">
        <v>692</v>
      </c>
      <c r="O270" s="2">
        <f>N270/L270</f>
        <v>0.22688524590163933</v>
      </c>
      <c r="P270" t="s">
        <v>6</v>
      </c>
      <c r="Q270">
        <v>-164.84834517325001</v>
      </c>
      <c r="R270" t="s">
        <v>7</v>
      </c>
      <c r="S270">
        <v>-5.4048637761721301E-2</v>
      </c>
      <c r="T270" t="s">
        <v>8</v>
      </c>
      <c r="U270">
        <v>1.5697431184375501</v>
      </c>
      <c r="V270" t="s">
        <v>9</v>
      </c>
      <c r="W270">
        <v>-0.530581248147597</v>
      </c>
      <c r="X270" t="s">
        <v>10</v>
      </c>
      <c r="Y270">
        <v>2.3148253589324201</v>
      </c>
      <c r="Z270" t="s">
        <v>11</v>
      </c>
      <c r="AA270" t="s">
        <v>591</v>
      </c>
      <c r="AB270" t="s">
        <v>50</v>
      </c>
      <c r="AC270">
        <v>0</v>
      </c>
      <c r="AD270" t="s">
        <v>14</v>
      </c>
      <c r="AE270" t="s">
        <v>15</v>
      </c>
      <c r="AF270" t="s">
        <v>628</v>
      </c>
      <c r="AG270" t="s">
        <v>21</v>
      </c>
      <c r="AH270">
        <v>0</v>
      </c>
      <c r="AI270" t="s">
        <v>18</v>
      </c>
    </row>
    <row r="271" spans="1:35" x14ac:dyDescent="0.3">
      <c r="A271" t="str">
        <f>_xlfn.TEXTJOIN(", ", FALSE, C271,D271,E271,F271,G271,H271,I271,J271)</f>
        <v>alltime_{'C',  [('number', 2.5,  1),  ('number', 5,  -1)]}_[21,  49]_3</v>
      </c>
      <c r="B271" t="s">
        <v>871</v>
      </c>
      <c r="C271" t="s">
        <v>0</v>
      </c>
      <c r="D271" t="s">
        <v>587</v>
      </c>
      <c r="E271">
        <v>2.5</v>
      </c>
      <c r="F271" t="s">
        <v>588</v>
      </c>
      <c r="G271" t="s">
        <v>589</v>
      </c>
      <c r="H271">
        <v>5</v>
      </c>
      <c r="I271" t="s">
        <v>599</v>
      </c>
      <c r="J271" t="s">
        <v>33</v>
      </c>
      <c r="K271" t="s">
        <v>4</v>
      </c>
      <c r="L271">
        <v>3050</v>
      </c>
      <c r="M271" t="s">
        <v>5</v>
      </c>
      <c r="N271">
        <v>863</v>
      </c>
      <c r="O271" s="2">
        <f>N271/L271</f>
        <v>0.28295081967213115</v>
      </c>
      <c r="P271" t="s">
        <v>6</v>
      </c>
      <c r="Q271">
        <v>-164.91311574932999</v>
      </c>
      <c r="R271" t="s">
        <v>7</v>
      </c>
      <c r="S271">
        <v>-5.4069874016173802E-2</v>
      </c>
      <c r="T271" t="s">
        <v>8</v>
      </c>
      <c r="U271">
        <v>1.5212426748063299</v>
      </c>
      <c r="V271" t="s">
        <v>9</v>
      </c>
      <c r="W271">
        <v>-0.675695264795242</v>
      </c>
      <c r="X271" t="s">
        <v>10</v>
      </c>
      <c r="Y271">
        <v>2.57961420644315</v>
      </c>
      <c r="Z271" t="s">
        <v>11</v>
      </c>
      <c r="AA271" t="s">
        <v>594</v>
      </c>
      <c r="AB271" t="s">
        <v>595</v>
      </c>
      <c r="AC271">
        <v>0</v>
      </c>
      <c r="AD271" t="s">
        <v>14</v>
      </c>
      <c r="AE271" t="s">
        <v>15</v>
      </c>
      <c r="AF271" t="s">
        <v>615</v>
      </c>
      <c r="AG271" t="s">
        <v>601</v>
      </c>
      <c r="AH271">
        <v>0</v>
      </c>
      <c r="AI271" t="s">
        <v>18</v>
      </c>
    </row>
    <row r="272" spans="1:35" x14ac:dyDescent="0.3">
      <c r="A272" t="str">
        <f>_xlfn.TEXTJOIN(", ", FALSE, C272,D272,E272,F272,G272,H272,I272,J272)</f>
        <v>alltime_{'C',  [('number', 2.5,  1),  ('number', 5,  -1)]}_[21,  49]_4</v>
      </c>
      <c r="B272" t="s">
        <v>872</v>
      </c>
      <c r="C272" t="s">
        <v>0</v>
      </c>
      <c r="D272" t="s">
        <v>587</v>
      </c>
      <c r="E272">
        <v>2.5</v>
      </c>
      <c r="F272" t="s">
        <v>588</v>
      </c>
      <c r="G272" t="s">
        <v>589</v>
      </c>
      <c r="H272">
        <v>5</v>
      </c>
      <c r="I272" t="s">
        <v>599</v>
      </c>
      <c r="J272" t="s">
        <v>36</v>
      </c>
      <c r="K272" t="s">
        <v>4</v>
      </c>
      <c r="L272">
        <v>3050</v>
      </c>
      <c r="M272" t="s">
        <v>5</v>
      </c>
      <c r="N272">
        <v>862</v>
      </c>
      <c r="O272" s="2">
        <f>N272/L272</f>
        <v>0.28262295081967215</v>
      </c>
      <c r="P272" t="s">
        <v>6</v>
      </c>
      <c r="Q272">
        <v>-169.83311574933001</v>
      </c>
      <c r="R272" t="s">
        <v>7</v>
      </c>
      <c r="S272">
        <v>-5.5682988770272203E-2</v>
      </c>
      <c r="T272" t="s">
        <v>8</v>
      </c>
      <c r="U272">
        <v>1.52028123939427</v>
      </c>
      <c r="V272" t="s">
        <v>9</v>
      </c>
      <c r="W272">
        <v>-0.67656103478391005</v>
      </c>
      <c r="X272" t="s">
        <v>10</v>
      </c>
      <c r="Y272">
        <v>2.6065045234263899</v>
      </c>
      <c r="Z272" t="s">
        <v>11</v>
      </c>
      <c r="AA272" t="s">
        <v>594</v>
      </c>
      <c r="AB272" t="s">
        <v>595</v>
      </c>
      <c r="AC272">
        <v>0</v>
      </c>
      <c r="AD272" t="s">
        <v>14</v>
      </c>
      <c r="AE272" t="s">
        <v>15</v>
      </c>
      <c r="AF272" t="s">
        <v>615</v>
      </c>
      <c r="AG272" t="s">
        <v>601</v>
      </c>
      <c r="AH272">
        <v>0</v>
      </c>
      <c r="AI272" t="s">
        <v>18</v>
      </c>
    </row>
    <row r="273" spans="1:35" x14ac:dyDescent="0.3">
      <c r="A273" t="str">
        <f>_xlfn.TEXTJOIN(", ", FALSE, C273,D273,E273,F273,G273,H273,I273,J273)</f>
        <v>alltime_{'C',  [('number', 5,  1),  ('number', 7.5,  -1)]}_[21,  49]_4</v>
      </c>
      <c r="B273" t="s">
        <v>884</v>
      </c>
      <c r="C273" t="s">
        <v>0</v>
      </c>
      <c r="D273" t="s">
        <v>587</v>
      </c>
      <c r="E273">
        <v>5</v>
      </c>
      <c r="F273" t="s">
        <v>588</v>
      </c>
      <c r="G273" t="s">
        <v>589</v>
      </c>
      <c r="H273">
        <v>7.5</v>
      </c>
      <c r="I273" t="s">
        <v>599</v>
      </c>
      <c r="J273" t="s">
        <v>36</v>
      </c>
      <c r="K273" t="s">
        <v>4</v>
      </c>
      <c r="L273">
        <v>3050</v>
      </c>
      <c r="M273" t="s">
        <v>5</v>
      </c>
      <c r="N273">
        <v>684</v>
      </c>
      <c r="O273" s="2">
        <f>N273/L273</f>
        <v>0.22426229508196721</v>
      </c>
      <c r="P273" t="s">
        <v>6</v>
      </c>
      <c r="Q273">
        <v>-181.768024478602</v>
      </c>
      <c r="R273" t="s">
        <v>7</v>
      </c>
      <c r="S273">
        <v>-5.9596073599541902E-2</v>
      </c>
      <c r="T273" t="s">
        <v>8</v>
      </c>
      <c r="U273">
        <v>1.5706762553412701</v>
      </c>
      <c r="V273" t="s">
        <v>9</v>
      </c>
      <c r="W273">
        <v>-0.53090050005580403</v>
      </c>
      <c r="X273" t="s">
        <v>10</v>
      </c>
      <c r="Y273">
        <v>2.3480335397933798</v>
      </c>
      <c r="Z273" t="s">
        <v>11</v>
      </c>
      <c r="AA273" t="s">
        <v>591</v>
      </c>
      <c r="AB273" t="s">
        <v>50</v>
      </c>
      <c r="AC273">
        <v>0</v>
      </c>
      <c r="AD273" t="s">
        <v>14</v>
      </c>
      <c r="AE273" t="s">
        <v>15</v>
      </c>
      <c r="AF273" t="s">
        <v>628</v>
      </c>
      <c r="AG273" t="s">
        <v>21</v>
      </c>
      <c r="AH273">
        <v>0</v>
      </c>
      <c r="AI273" t="s">
        <v>18</v>
      </c>
    </row>
    <row r="274" spans="1:35" x14ac:dyDescent="0.3">
      <c r="A274" t="str">
        <f>_xlfn.TEXTJOIN(", ", FALSE, C274,D274,E274,F274,G274,H274,I274,J274)</f>
        <v>alltime_{'C',  [('number', 0,  1),  ('number', 2.5,  -1)]}_[21,  49]_3</v>
      </c>
      <c r="B274" t="s">
        <v>859</v>
      </c>
      <c r="C274" t="s">
        <v>0</v>
      </c>
      <c r="D274" t="s">
        <v>587</v>
      </c>
      <c r="E274">
        <v>0</v>
      </c>
      <c r="F274" t="s">
        <v>588</v>
      </c>
      <c r="G274" t="s">
        <v>589</v>
      </c>
      <c r="H274">
        <v>2.5</v>
      </c>
      <c r="I274" t="s">
        <v>599</v>
      </c>
      <c r="J274" t="s">
        <v>33</v>
      </c>
      <c r="K274" t="s">
        <v>4</v>
      </c>
      <c r="L274">
        <v>3050</v>
      </c>
      <c r="M274" t="s">
        <v>5</v>
      </c>
      <c r="N274">
        <v>1074</v>
      </c>
      <c r="O274" s="2">
        <f>N274/L274</f>
        <v>0.35213114754098362</v>
      </c>
      <c r="P274" t="s">
        <v>6</v>
      </c>
      <c r="Q274">
        <v>-193.143133749057</v>
      </c>
      <c r="R274" t="s">
        <v>7</v>
      </c>
      <c r="S274">
        <v>-6.3325617622641703E-2</v>
      </c>
      <c r="T274" t="s">
        <v>8</v>
      </c>
      <c r="U274">
        <v>1.31696092129636</v>
      </c>
      <c r="V274" t="s">
        <v>9</v>
      </c>
      <c r="W274">
        <v>-0.813542086650483</v>
      </c>
      <c r="X274" t="s">
        <v>10</v>
      </c>
      <c r="Y274">
        <v>2.80613690521167</v>
      </c>
      <c r="Z274" t="s">
        <v>11</v>
      </c>
      <c r="AA274" t="s">
        <v>594</v>
      </c>
      <c r="AB274" t="s">
        <v>595</v>
      </c>
      <c r="AC274">
        <v>0</v>
      </c>
      <c r="AD274" t="s">
        <v>14</v>
      </c>
      <c r="AE274" t="s">
        <v>15</v>
      </c>
      <c r="AF274" t="s">
        <v>602</v>
      </c>
      <c r="AG274" t="s">
        <v>603</v>
      </c>
      <c r="AH274">
        <v>0</v>
      </c>
      <c r="AI274" t="s">
        <v>18</v>
      </c>
    </row>
    <row r="275" spans="1:35" x14ac:dyDescent="0.3">
      <c r="A275" t="str">
        <f>_xlfn.TEXTJOIN(", ", FALSE, C275,D275,E275,F275,G275,H275,I275,J275)</f>
        <v>alltime_{'C',  [('number', 7.5,  1),  ('number', 10,  -1)]}_[35,  70]_3</v>
      </c>
      <c r="B275" t="s">
        <v>899</v>
      </c>
      <c r="C275" t="s">
        <v>0</v>
      </c>
      <c r="D275" t="s">
        <v>587</v>
      </c>
      <c r="E275">
        <v>7.5</v>
      </c>
      <c r="F275" t="s">
        <v>588</v>
      </c>
      <c r="G275" t="s">
        <v>589</v>
      </c>
      <c r="H275">
        <v>10</v>
      </c>
      <c r="I275" t="s">
        <v>605</v>
      </c>
      <c r="J275" t="s">
        <v>42</v>
      </c>
      <c r="K275" t="s">
        <v>4</v>
      </c>
      <c r="L275">
        <v>3810</v>
      </c>
      <c r="M275" t="s">
        <v>5</v>
      </c>
      <c r="N275">
        <v>765</v>
      </c>
      <c r="O275" s="2">
        <f>N275/L275</f>
        <v>0.20078740157480315</v>
      </c>
      <c r="P275" t="s">
        <v>6</v>
      </c>
      <c r="Q275">
        <v>-194.93541307865701</v>
      </c>
      <c r="R275" t="s">
        <v>7</v>
      </c>
      <c r="S275">
        <v>-5.1164150414345903E-2</v>
      </c>
      <c r="T275" t="s">
        <v>8</v>
      </c>
      <c r="U275">
        <v>1.7437845322990599</v>
      </c>
      <c r="V275" t="s">
        <v>9</v>
      </c>
      <c r="W275">
        <v>-0.50211184902707595</v>
      </c>
      <c r="X275" t="s">
        <v>10</v>
      </c>
      <c r="Y275">
        <v>2.3605804802987298</v>
      </c>
      <c r="Z275" t="s">
        <v>11</v>
      </c>
      <c r="AA275" t="s">
        <v>651</v>
      </c>
      <c r="AB275" t="s">
        <v>635</v>
      </c>
      <c r="AC275">
        <v>0</v>
      </c>
      <c r="AD275" t="s">
        <v>14</v>
      </c>
      <c r="AE275" t="s">
        <v>15</v>
      </c>
      <c r="AF275" t="s">
        <v>652</v>
      </c>
      <c r="AG275" t="s">
        <v>650</v>
      </c>
      <c r="AH275">
        <v>0</v>
      </c>
      <c r="AI275" t="s">
        <v>18</v>
      </c>
    </row>
    <row r="276" spans="1:35" x14ac:dyDescent="0.3">
      <c r="A276" t="str">
        <f>_xlfn.TEXTJOIN(", ", FALSE, C276,D276,E276,F276,G276,H276,I276,J276)</f>
        <v>alltime_{'C',  [('number', 2.5,  1),  ('number', 5,  -1)]}_[35,  70]_2</v>
      </c>
      <c r="B276" t="s">
        <v>874</v>
      </c>
      <c r="C276" t="s">
        <v>0</v>
      </c>
      <c r="D276" t="s">
        <v>587</v>
      </c>
      <c r="E276">
        <v>2.5</v>
      </c>
      <c r="F276" t="s">
        <v>588</v>
      </c>
      <c r="G276" t="s">
        <v>589</v>
      </c>
      <c r="H276">
        <v>5</v>
      </c>
      <c r="I276" t="s">
        <v>605</v>
      </c>
      <c r="J276" t="s">
        <v>40</v>
      </c>
      <c r="K276" t="s">
        <v>4</v>
      </c>
      <c r="L276">
        <v>3810</v>
      </c>
      <c r="M276" t="s">
        <v>5</v>
      </c>
      <c r="N276">
        <v>1102</v>
      </c>
      <c r="O276" s="2">
        <f>N276/L276</f>
        <v>0.28923884514435694</v>
      </c>
      <c r="P276" t="s">
        <v>6</v>
      </c>
      <c r="Q276">
        <v>-237.55401405965199</v>
      </c>
      <c r="R276" t="s">
        <v>7</v>
      </c>
      <c r="S276">
        <v>-6.2350134923793203E-2</v>
      </c>
      <c r="T276" t="s">
        <v>8</v>
      </c>
      <c r="U276">
        <v>1.5755934345954701</v>
      </c>
      <c r="V276" t="s">
        <v>9</v>
      </c>
      <c r="W276">
        <v>-0.72889881055534</v>
      </c>
      <c r="X276" t="s">
        <v>10</v>
      </c>
      <c r="Y276">
        <v>2.6261204003457301</v>
      </c>
      <c r="Z276" t="s">
        <v>11</v>
      </c>
      <c r="AA276" t="s">
        <v>594</v>
      </c>
      <c r="AB276" t="s">
        <v>619</v>
      </c>
    </row>
    <row r="277" spans="1:35" x14ac:dyDescent="0.3">
      <c r="A277" t="str">
        <f>_xlfn.TEXTJOIN(", ", FALSE, C277,D277,E277,F277,G277,H277,I277,J277)</f>
        <v>alltime_{'C',  [('number', 0,  1),  ('number', 2.5,  -1)]}_[21,  49]_4</v>
      </c>
      <c r="B277" t="s">
        <v>860</v>
      </c>
      <c r="C277" t="s">
        <v>0</v>
      </c>
      <c r="D277" t="s">
        <v>587</v>
      </c>
      <c r="E277">
        <v>0</v>
      </c>
      <c r="F277" t="s">
        <v>588</v>
      </c>
      <c r="G277" t="s">
        <v>589</v>
      </c>
      <c r="H277">
        <v>2.5</v>
      </c>
      <c r="I277" t="s">
        <v>599</v>
      </c>
      <c r="J277" t="s">
        <v>36</v>
      </c>
      <c r="K277" t="s">
        <v>4</v>
      </c>
      <c r="L277">
        <v>3050</v>
      </c>
      <c r="M277" t="s">
        <v>5</v>
      </c>
      <c r="N277">
        <v>1066</v>
      </c>
      <c r="O277" s="2">
        <f>N277/L277</f>
        <v>0.34950819672131145</v>
      </c>
      <c r="P277" t="s">
        <v>6</v>
      </c>
      <c r="Q277">
        <v>-238.76090088556299</v>
      </c>
      <c r="R277" t="s">
        <v>7</v>
      </c>
      <c r="S277">
        <v>-7.8282262585430695E-2</v>
      </c>
      <c r="T277" t="s">
        <v>8</v>
      </c>
      <c r="U277">
        <v>1.30921037742569</v>
      </c>
      <c r="V277" t="s">
        <v>9</v>
      </c>
      <c r="W277">
        <v>-0.82377982017205298</v>
      </c>
      <c r="X277" t="s">
        <v>10</v>
      </c>
      <c r="Y277">
        <v>2.8512385522377999</v>
      </c>
      <c r="Z277" t="s">
        <v>11</v>
      </c>
      <c r="AA277" t="s">
        <v>597</v>
      </c>
      <c r="AB277" t="s">
        <v>77</v>
      </c>
      <c r="AC277">
        <v>0</v>
      </c>
      <c r="AD277" t="s">
        <v>14</v>
      </c>
      <c r="AE277" t="s">
        <v>15</v>
      </c>
      <c r="AF277" t="s">
        <v>604</v>
      </c>
      <c r="AG277" t="s">
        <v>77</v>
      </c>
      <c r="AH277">
        <v>0</v>
      </c>
      <c r="AI277" t="s">
        <v>18</v>
      </c>
    </row>
    <row r="278" spans="1:35" x14ac:dyDescent="0.3">
      <c r="A278" t="str">
        <f>_xlfn.TEXTJOIN(", ", FALSE, C278,D278,E278,F278,G278,H278,I278,J278)</f>
        <v>alltime_{'C',  [('number', 0,  1),  ('number', 2.5,  -1)]}_[7,  35]_2</v>
      </c>
      <c r="B278" t="s">
        <v>854</v>
      </c>
      <c r="C278" t="s">
        <v>0</v>
      </c>
      <c r="D278" t="s">
        <v>587</v>
      </c>
      <c r="E278">
        <v>0</v>
      </c>
      <c r="F278" t="s">
        <v>588</v>
      </c>
      <c r="G278" t="s">
        <v>589</v>
      </c>
      <c r="H278">
        <v>2.5</v>
      </c>
      <c r="I278" t="s">
        <v>590</v>
      </c>
      <c r="J278" t="s">
        <v>19</v>
      </c>
      <c r="K278" t="s">
        <v>4</v>
      </c>
      <c r="L278">
        <v>3073</v>
      </c>
      <c r="M278" t="s">
        <v>5</v>
      </c>
      <c r="N278">
        <v>1076</v>
      </c>
      <c r="O278" s="2">
        <f>N278/L278</f>
        <v>0.35014643670680118</v>
      </c>
      <c r="P278" t="s">
        <v>6</v>
      </c>
      <c r="Q278">
        <v>-246.28</v>
      </c>
      <c r="R278" t="s">
        <v>7</v>
      </c>
      <c r="S278">
        <v>-8.0143182557761206E-2</v>
      </c>
      <c r="T278" t="s">
        <v>8</v>
      </c>
      <c r="U278">
        <v>1.2778252788104101</v>
      </c>
      <c r="V278" t="s">
        <v>9</v>
      </c>
      <c r="W278">
        <v>-0.811827741612419</v>
      </c>
      <c r="X278" t="s">
        <v>10</v>
      </c>
      <c r="Y278">
        <v>3.02927281531931</v>
      </c>
      <c r="Z278" t="s">
        <v>11</v>
      </c>
      <c r="AA278" t="s">
        <v>594</v>
      </c>
      <c r="AB278" t="s">
        <v>595</v>
      </c>
      <c r="AC278">
        <v>0</v>
      </c>
      <c r="AD278" t="s">
        <v>14</v>
      </c>
      <c r="AE278" t="s">
        <v>15</v>
      </c>
      <c r="AF278" t="s">
        <v>596</v>
      </c>
      <c r="AG278" t="s">
        <v>21</v>
      </c>
      <c r="AH278">
        <v>0</v>
      </c>
      <c r="AI278" t="s">
        <v>18</v>
      </c>
    </row>
    <row r="279" spans="1:35" x14ac:dyDescent="0.3">
      <c r="A279" t="str">
        <f>_xlfn.TEXTJOIN(", ", FALSE, C279,D279,E279,F279,G279,H279,I279,J279)</f>
        <v>alltime_{'C',  [('number', 0,  1),  ('number', 2.5,  -1)]}_[35,  70]_2</v>
      </c>
      <c r="B279" t="s">
        <v>862</v>
      </c>
      <c r="C279" t="s">
        <v>0</v>
      </c>
      <c r="D279" t="s">
        <v>587</v>
      </c>
      <c r="E279">
        <v>0</v>
      </c>
      <c r="F279" t="s">
        <v>588</v>
      </c>
      <c r="G279" t="s">
        <v>589</v>
      </c>
      <c r="H279">
        <v>2.5</v>
      </c>
      <c r="I279" t="s">
        <v>605</v>
      </c>
      <c r="J279" t="s">
        <v>40</v>
      </c>
      <c r="K279" t="s">
        <v>4</v>
      </c>
      <c r="L279">
        <v>3810</v>
      </c>
      <c r="M279" t="s">
        <v>5</v>
      </c>
      <c r="N279">
        <v>1285</v>
      </c>
      <c r="O279" s="2">
        <f>N279/L279</f>
        <v>0.33727034120734906</v>
      </c>
      <c r="P279" t="s">
        <v>6</v>
      </c>
      <c r="Q279">
        <v>-258.84885978473898</v>
      </c>
      <c r="R279" t="s">
        <v>7</v>
      </c>
      <c r="S279">
        <v>-6.7939333276834296E-2</v>
      </c>
      <c r="T279" t="s">
        <v>8</v>
      </c>
      <c r="U279">
        <v>1.4630963991224</v>
      </c>
      <c r="V279" t="s">
        <v>9</v>
      </c>
      <c r="W279">
        <v>-0.84710009214139703</v>
      </c>
      <c r="X279" t="s">
        <v>10</v>
      </c>
      <c r="Y279">
        <v>2.7530820246490602</v>
      </c>
      <c r="Z279" t="s">
        <v>11</v>
      </c>
      <c r="AA279" t="s">
        <v>606</v>
      </c>
      <c r="AB279" t="s">
        <v>607</v>
      </c>
    </row>
    <row r="280" spans="1:35" x14ac:dyDescent="0.3">
      <c r="A280" t="str">
        <f>_xlfn.TEXTJOIN(", ", FALSE, C280,D280,E280,F280,G280,H280,I280,J280)</f>
        <v>alltime_{'C',  [('number', 0,  1),  ('number', 2.5,  -1)]}_[7,  35]_3</v>
      </c>
      <c r="B280" t="s">
        <v>855</v>
      </c>
      <c r="C280" t="s">
        <v>0</v>
      </c>
      <c r="D280" t="s">
        <v>587</v>
      </c>
      <c r="E280">
        <v>0</v>
      </c>
      <c r="F280" t="s">
        <v>588</v>
      </c>
      <c r="G280" t="s">
        <v>589</v>
      </c>
      <c r="H280">
        <v>2.5</v>
      </c>
      <c r="I280" t="s">
        <v>590</v>
      </c>
      <c r="J280" t="s">
        <v>23</v>
      </c>
      <c r="K280" t="s">
        <v>4</v>
      </c>
      <c r="L280">
        <v>3073</v>
      </c>
      <c r="M280" t="s">
        <v>5</v>
      </c>
      <c r="N280">
        <v>1074</v>
      </c>
      <c r="O280" s="2">
        <f>N280/L280</f>
        <v>0.34949560689879594</v>
      </c>
      <c r="P280" t="s">
        <v>6</v>
      </c>
      <c r="Q280">
        <v>-259.23</v>
      </c>
      <c r="R280" t="s">
        <v>7</v>
      </c>
      <c r="S280">
        <v>-8.4357305564594906E-2</v>
      </c>
      <c r="T280" t="s">
        <v>8</v>
      </c>
      <c r="U280">
        <v>1.2755865921787699</v>
      </c>
      <c r="V280" t="s">
        <v>9</v>
      </c>
      <c r="W280">
        <v>-0.81501250625312704</v>
      </c>
      <c r="X280" t="s">
        <v>10</v>
      </c>
      <c r="Y280">
        <v>3.0622051734399598</v>
      </c>
      <c r="Z280" t="s">
        <v>11</v>
      </c>
      <c r="AA280" t="s">
        <v>104</v>
      </c>
      <c r="AB280" t="s">
        <v>77</v>
      </c>
      <c r="AC280">
        <v>0</v>
      </c>
      <c r="AD280" t="s">
        <v>14</v>
      </c>
      <c r="AE280" t="s">
        <v>15</v>
      </c>
      <c r="AF280" t="s">
        <v>596</v>
      </c>
      <c r="AG280" t="s">
        <v>21</v>
      </c>
      <c r="AH280">
        <v>0</v>
      </c>
      <c r="AI280" t="s">
        <v>18</v>
      </c>
    </row>
    <row r="281" spans="1:35" x14ac:dyDescent="0.3">
      <c r="A281" t="str">
        <f>_xlfn.TEXTJOIN(", ", FALSE, C281,D281,E281,F281,G281,H281,I281,J281)</f>
        <v>alltime_{'C',  [('number', 5,  1),  ('number', 7.5,  -1)]}_[35,  70]_2</v>
      </c>
      <c r="B281" t="s">
        <v>886</v>
      </c>
      <c r="C281" t="s">
        <v>0</v>
      </c>
      <c r="D281" t="s">
        <v>587</v>
      </c>
      <c r="E281">
        <v>5</v>
      </c>
      <c r="F281" t="s">
        <v>588</v>
      </c>
      <c r="G281" t="s">
        <v>589</v>
      </c>
      <c r="H281">
        <v>7.5</v>
      </c>
      <c r="I281" t="s">
        <v>605</v>
      </c>
      <c r="J281" t="s">
        <v>40</v>
      </c>
      <c r="K281" t="s">
        <v>4</v>
      </c>
      <c r="L281">
        <v>3810</v>
      </c>
      <c r="M281" t="s">
        <v>5</v>
      </c>
      <c r="N281">
        <v>942</v>
      </c>
      <c r="O281" s="2">
        <f>N281/L281</f>
        <v>0.24724409448818899</v>
      </c>
      <c r="P281" t="s">
        <v>6</v>
      </c>
      <c r="Q281">
        <v>-270.76911859902702</v>
      </c>
      <c r="R281" t="s">
        <v>7</v>
      </c>
      <c r="S281">
        <v>-7.1068010130978396E-2</v>
      </c>
      <c r="T281" t="s">
        <v>8</v>
      </c>
      <c r="U281">
        <v>1.5859148621521599</v>
      </c>
      <c r="V281" t="s">
        <v>9</v>
      </c>
      <c r="W281">
        <v>-0.61530715437460204</v>
      </c>
      <c r="X281" t="s">
        <v>10</v>
      </c>
      <c r="Y281">
        <v>2.4146889277974299</v>
      </c>
      <c r="Z281" t="s">
        <v>11</v>
      </c>
      <c r="AA281" t="s">
        <v>631</v>
      </c>
      <c r="AB281" t="s">
        <v>632</v>
      </c>
      <c r="AC281">
        <v>0</v>
      </c>
      <c r="AD281" t="s">
        <v>14</v>
      </c>
      <c r="AE281" t="s">
        <v>15</v>
      </c>
      <c r="AF281" t="s">
        <v>633</v>
      </c>
      <c r="AG281" t="s">
        <v>601</v>
      </c>
      <c r="AH281">
        <v>0</v>
      </c>
      <c r="AI281" t="s">
        <v>18</v>
      </c>
    </row>
    <row r="282" spans="1:35" x14ac:dyDescent="0.3">
      <c r="A282" t="str">
        <f>_xlfn.TEXTJOIN(", ", FALSE, C282,D282,E282,F282,G282,H282,I282,J282)</f>
        <v>alltime_{'C',  [('number', 0,  1),  ('number', 2.5,  -1)]}_[7,  35]_4</v>
      </c>
      <c r="B282" t="s">
        <v>856</v>
      </c>
      <c r="C282" t="s">
        <v>0</v>
      </c>
      <c r="D282" t="s">
        <v>587</v>
      </c>
      <c r="E282">
        <v>0</v>
      </c>
      <c r="F282" t="s">
        <v>588</v>
      </c>
      <c r="G282" t="s">
        <v>589</v>
      </c>
      <c r="H282">
        <v>2.5</v>
      </c>
      <c r="I282" t="s">
        <v>590</v>
      </c>
      <c r="J282" t="s">
        <v>26</v>
      </c>
      <c r="K282" t="s">
        <v>4</v>
      </c>
      <c r="L282">
        <v>3073</v>
      </c>
      <c r="M282" t="s">
        <v>5</v>
      </c>
      <c r="N282">
        <v>1071</v>
      </c>
      <c r="O282" s="2">
        <f>N282/L282</f>
        <v>0.34851936218678814</v>
      </c>
      <c r="P282" t="s">
        <v>6</v>
      </c>
      <c r="Q282">
        <v>-272.88</v>
      </c>
      <c r="R282" t="s">
        <v>7</v>
      </c>
      <c r="S282">
        <v>-8.8799219004230295E-2</v>
      </c>
      <c r="T282" t="s">
        <v>8</v>
      </c>
      <c r="U282">
        <v>1.2826610644257701</v>
      </c>
      <c r="V282" t="s">
        <v>9</v>
      </c>
      <c r="W282">
        <v>-0.82248251748251799</v>
      </c>
      <c r="X282" t="s">
        <v>10</v>
      </c>
      <c r="Y282">
        <v>3.1061370114269402</v>
      </c>
      <c r="Z282" t="s">
        <v>11</v>
      </c>
      <c r="AA282" t="s">
        <v>597</v>
      </c>
      <c r="AB282" t="s">
        <v>77</v>
      </c>
      <c r="AC282">
        <v>0</v>
      </c>
      <c r="AD282" t="s">
        <v>14</v>
      </c>
      <c r="AE282" t="s">
        <v>15</v>
      </c>
      <c r="AF282" t="s">
        <v>598</v>
      </c>
      <c r="AG282" t="s">
        <v>77</v>
      </c>
      <c r="AH282">
        <v>0</v>
      </c>
      <c r="AI282" t="s">
        <v>18</v>
      </c>
    </row>
    <row r="283" spans="1:35" s="11" customFormat="1" x14ac:dyDescent="0.3">
      <c r="A283" s="11" t="str">
        <f>_xlfn.TEXTJOIN(", ", FALSE, C283,D283,E283,F283,G283,H283,I283,J283)</f>
        <v>alltime_{'C',  [('number', 7.5,  1),  ('number', 10,  -1)]}_[35,  70]_4</v>
      </c>
      <c r="B283" s="11" t="s">
        <v>900</v>
      </c>
      <c r="C283" s="11" t="s">
        <v>0</v>
      </c>
      <c r="D283" s="11" t="s">
        <v>587</v>
      </c>
      <c r="E283" s="11">
        <v>7.5</v>
      </c>
      <c r="F283" s="11" t="s">
        <v>588</v>
      </c>
      <c r="G283" s="11" t="s">
        <v>589</v>
      </c>
      <c r="H283" s="11">
        <v>10</v>
      </c>
      <c r="I283" s="11" t="s">
        <v>605</v>
      </c>
      <c r="J283" s="11" t="s">
        <v>44</v>
      </c>
      <c r="K283" s="11" t="s">
        <v>4</v>
      </c>
      <c r="L283" s="11">
        <v>3810</v>
      </c>
      <c r="M283" s="11" t="s">
        <v>5</v>
      </c>
      <c r="N283" s="11">
        <v>724</v>
      </c>
      <c r="O283" s="12">
        <f>N283/L283</f>
        <v>0.1900262467191601</v>
      </c>
      <c r="P283" s="11" t="s">
        <v>6</v>
      </c>
      <c r="Q283" s="11">
        <v>-276.122687696009</v>
      </c>
      <c r="R283" s="11" t="s">
        <v>7</v>
      </c>
      <c r="S283" s="11">
        <v>-7.2473146376905204E-2</v>
      </c>
      <c r="T283" s="11" t="s">
        <v>8</v>
      </c>
      <c r="U283" s="11">
        <v>1.7734522387859699</v>
      </c>
      <c r="V283" s="11" t="s">
        <v>9</v>
      </c>
      <c r="W283" s="11">
        <v>-0.50554183686878096</v>
      </c>
      <c r="X283" s="11" t="s">
        <v>10</v>
      </c>
      <c r="Y283" s="11">
        <v>2.44895009995337</v>
      </c>
      <c r="Z283" s="11" t="s">
        <v>11</v>
      </c>
      <c r="AA283" s="11" t="s">
        <v>594</v>
      </c>
      <c r="AB283" s="11" t="s">
        <v>595</v>
      </c>
      <c r="AC283" s="11">
        <v>0</v>
      </c>
      <c r="AD283" s="11" t="s">
        <v>14</v>
      </c>
      <c r="AE283" s="11" t="s">
        <v>15</v>
      </c>
      <c r="AF283" s="11" t="s">
        <v>653</v>
      </c>
      <c r="AG283" s="11" t="s">
        <v>650</v>
      </c>
      <c r="AH283" s="11">
        <v>0</v>
      </c>
      <c r="AI283" s="11" t="s">
        <v>18</v>
      </c>
    </row>
    <row r="284" spans="1:35" x14ac:dyDescent="0.3">
      <c r="A284" t="str">
        <f>_xlfn.TEXTJOIN(", ", FALSE, C284,D284,E284,F284,G284,H284,I284,J284)</f>
        <v>alltime_{'C',  [('number', 2.5,  1),  ('number', 5,  -1)]}_[35,  70]_3</v>
      </c>
      <c r="B284" t="s">
        <v>875</v>
      </c>
      <c r="C284" t="s">
        <v>0</v>
      </c>
      <c r="D284" t="s">
        <v>587</v>
      </c>
      <c r="E284">
        <v>2.5</v>
      </c>
      <c r="F284" t="s">
        <v>588</v>
      </c>
      <c r="G284" t="s">
        <v>589</v>
      </c>
      <c r="H284">
        <v>5</v>
      </c>
      <c r="I284" t="s">
        <v>605</v>
      </c>
      <c r="J284" t="s">
        <v>42</v>
      </c>
      <c r="K284" t="s">
        <v>4</v>
      </c>
      <c r="L284">
        <v>3810</v>
      </c>
      <c r="M284" t="s">
        <v>5</v>
      </c>
      <c r="N284">
        <v>1057</v>
      </c>
      <c r="O284" s="2">
        <f>N284/L284</f>
        <v>0.27742782152230971</v>
      </c>
      <c r="P284" t="s">
        <v>6</v>
      </c>
      <c r="Q284">
        <v>-392.664535779255</v>
      </c>
      <c r="R284" t="s">
        <v>7</v>
      </c>
      <c r="S284">
        <v>-0.10306155794731101</v>
      </c>
      <c r="T284" t="s">
        <v>8</v>
      </c>
      <c r="U284">
        <v>1.54202413838323</v>
      </c>
      <c r="V284" t="s">
        <v>9</v>
      </c>
      <c r="W284">
        <v>-0.73468363605170195</v>
      </c>
      <c r="X284" t="s">
        <v>10</v>
      </c>
      <c r="Y284">
        <v>2.7165495269131701</v>
      </c>
      <c r="Z284" t="s">
        <v>11</v>
      </c>
      <c r="AA284" t="s">
        <v>594</v>
      </c>
      <c r="AB284" t="s">
        <v>619</v>
      </c>
    </row>
    <row r="285" spans="1:35" s="11" customFormat="1" x14ac:dyDescent="0.3">
      <c r="A285" s="11" t="str">
        <f>_xlfn.TEXTJOIN(", ", FALSE, C285,D285,E285,F285,G285,H285,I285,J285)</f>
        <v>alltime_{'C',  [('number', 5,  1),  ('number', 7.5,  -1)]}_[35,  70]_3</v>
      </c>
      <c r="B285" s="11" t="s">
        <v>887</v>
      </c>
      <c r="C285" s="11" t="s">
        <v>0</v>
      </c>
      <c r="D285" s="11" t="s">
        <v>587</v>
      </c>
      <c r="E285" s="11">
        <v>5</v>
      </c>
      <c r="F285" s="11" t="s">
        <v>588</v>
      </c>
      <c r="G285" s="11" t="s">
        <v>589</v>
      </c>
      <c r="H285" s="11">
        <v>7.5</v>
      </c>
      <c r="I285" s="11" t="s">
        <v>605</v>
      </c>
      <c r="J285" s="11" t="s">
        <v>42</v>
      </c>
      <c r="K285" s="11" t="s">
        <v>4</v>
      </c>
      <c r="L285" s="11">
        <v>3810</v>
      </c>
      <c r="M285" s="11" t="s">
        <v>5</v>
      </c>
      <c r="N285" s="11">
        <v>873</v>
      </c>
      <c r="O285" s="12">
        <f>N285/L285</f>
        <v>0.22913385826771654</v>
      </c>
      <c r="P285" s="11" t="s">
        <v>6</v>
      </c>
      <c r="Q285" s="11">
        <v>-403.55591029367503</v>
      </c>
      <c r="R285" s="11" t="s">
        <v>7</v>
      </c>
      <c r="S285" s="11">
        <v>-0.10592018642878601</v>
      </c>
      <c r="T285" s="11" t="s">
        <v>8</v>
      </c>
      <c r="U285" s="11">
        <v>1.6388977723328999</v>
      </c>
      <c r="V285" s="11" t="s">
        <v>9</v>
      </c>
      <c r="W285" s="11">
        <v>-0.62455351227112699</v>
      </c>
      <c r="X285" s="11" t="s">
        <v>10</v>
      </c>
      <c r="Y285" s="11">
        <v>2.5765685503384601</v>
      </c>
      <c r="Z285" s="11" t="s">
        <v>11</v>
      </c>
      <c r="AA285" s="11" t="s">
        <v>631</v>
      </c>
      <c r="AB285" s="11" t="s">
        <v>632</v>
      </c>
      <c r="AC285" s="11">
        <v>0</v>
      </c>
      <c r="AD285" s="11" t="s">
        <v>14</v>
      </c>
      <c r="AE285" s="11" t="s">
        <v>15</v>
      </c>
      <c r="AF285" s="11" t="s">
        <v>634</v>
      </c>
      <c r="AG285" s="11" t="s">
        <v>635</v>
      </c>
      <c r="AH285" s="11">
        <v>0</v>
      </c>
      <c r="AI285" s="11" t="s">
        <v>18</v>
      </c>
    </row>
    <row r="286" spans="1:35" x14ac:dyDescent="0.3">
      <c r="A286" t="str">
        <f>_xlfn.TEXTJOIN(", ", FALSE, C286,D286,E286,F286,G286,H286,I286,J286)</f>
        <v>alltime_{'C',  [('number', 0,  1),  ('number', 2.5,  -1)]}_[35,  70]_3</v>
      </c>
      <c r="B286" t="s">
        <v>863</v>
      </c>
      <c r="C286" t="s">
        <v>0</v>
      </c>
      <c r="D286" t="s">
        <v>587</v>
      </c>
      <c r="E286">
        <v>0</v>
      </c>
      <c r="F286" t="s">
        <v>588</v>
      </c>
      <c r="G286" t="s">
        <v>589</v>
      </c>
      <c r="H286">
        <v>2.5</v>
      </c>
      <c r="I286" t="s">
        <v>605</v>
      </c>
      <c r="J286" t="s">
        <v>42</v>
      </c>
      <c r="K286" t="s">
        <v>4</v>
      </c>
      <c r="L286">
        <v>3810</v>
      </c>
      <c r="M286" t="s">
        <v>5</v>
      </c>
      <c r="N286">
        <v>1237</v>
      </c>
      <c r="O286" s="2">
        <f>N286/L286</f>
        <v>0.32467191601049866</v>
      </c>
      <c r="P286" t="s">
        <v>6</v>
      </c>
      <c r="Q286">
        <v>-427.25261944718</v>
      </c>
      <c r="R286" t="s">
        <v>7</v>
      </c>
      <c r="S286">
        <v>-0.11213979513049301</v>
      </c>
      <c r="T286" t="s">
        <v>8</v>
      </c>
      <c r="U286">
        <v>1.4275233835052099</v>
      </c>
      <c r="V286" t="s">
        <v>9</v>
      </c>
      <c r="W286">
        <v>-0.85235096962422197</v>
      </c>
      <c r="X286" t="s">
        <v>10</v>
      </c>
      <c r="Y286">
        <v>2.8629976192328401</v>
      </c>
      <c r="Z286" t="s">
        <v>11</v>
      </c>
      <c r="AA286" t="s">
        <v>594</v>
      </c>
      <c r="AB286" t="s">
        <v>608</v>
      </c>
    </row>
    <row r="287" spans="1:35" s="13" customFormat="1" x14ac:dyDescent="0.3">
      <c r="A287" s="13" t="str">
        <f>_xlfn.TEXTJOIN(", ", FALSE, C287,D287,E287,F287,G287,H287,I287,J287)</f>
        <v>alltime_{'C',  [('number', 5,  1),  ('number', 7.5,  -1)]}_[35,  70]_4</v>
      </c>
      <c r="B287" s="13" t="s">
        <v>888</v>
      </c>
      <c r="C287" s="13" t="s">
        <v>0</v>
      </c>
      <c r="D287" s="13" t="s">
        <v>587</v>
      </c>
      <c r="E287" s="13">
        <v>5</v>
      </c>
      <c r="F287" s="13" t="s">
        <v>588</v>
      </c>
      <c r="G287" s="13" t="s">
        <v>589</v>
      </c>
      <c r="H287" s="13">
        <v>7.5</v>
      </c>
      <c r="I287" s="13" t="s">
        <v>605</v>
      </c>
      <c r="J287" s="13" t="s">
        <v>44</v>
      </c>
      <c r="K287" s="13" t="s">
        <v>4</v>
      </c>
      <c r="L287" s="13">
        <v>3810</v>
      </c>
      <c r="M287" s="13" t="s">
        <v>5</v>
      </c>
      <c r="N287" s="13">
        <v>847</v>
      </c>
      <c r="O287" s="14">
        <f>N287/L287</f>
        <v>0.22230971128608923</v>
      </c>
      <c r="P287" s="13" t="s">
        <v>6</v>
      </c>
      <c r="Q287" s="13">
        <v>-455.21839125485502</v>
      </c>
      <c r="R287" s="13" t="s">
        <v>7</v>
      </c>
      <c r="S287" s="13">
        <v>-0.119479892717809</v>
      </c>
      <c r="T287" s="13" t="s">
        <v>8</v>
      </c>
      <c r="U287" s="13">
        <v>1.6455717888873</v>
      </c>
      <c r="V287" s="13" t="s">
        <v>9</v>
      </c>
      <c r="W287" s="13">
        <v>-0.62403567210340705</v>
      </c>
      <c r="X287" s="13" t="s">
        <v>10</v>
      </c>
      <c r="Y287" s="13">
        <v>2.6376232916299398</v>
      </c>
      <c r="Z287" s="13" t="s">
        <v>11</v>
      </c>
      <c r="AA287" s="13" t="s">
        <v>631</v>
      </c>
      <c r="AB287" s="13" t="s">
        <v>632</v>
      </c>
      <c r="AC287" s="13">
        <v>0</v>
      </c>
      <c r="AD287" s="13" t="s">
        <v>14</v>
      </c>
      <c r="AE287" s="13" t="s">
        <v>15</v>
      </c>
      <c r="AF287" s="13" t="s">
        <v>634</v>
      </c>
      <c r="AG287" s="13" t="s">
        <v>635</v>
      </c>
      <c r="AH287" s="13">
        <v>0</v>
      </c>
      <c r="AI287" s="13" t="s">
        <v>18</v>
      </c>
    </row>
    <row r="288" spans="1:35" x14ac:dyDescent="0.3">
      <c r="A288" t="str">
        <f>_xlfn.TEXTJOIN(", ", FALSE, C288,D288,E288,F288,G288,H288,I288,J288)</f>
        <v>alltime_{'C',  [('number', 2.5,  1),  ('number', 5,  -1)]}_[35,  70]_4</v>
      </c>
      <c r="B288" t="s">
        <v>876</v>
      </c>
      <c r="C288" t="s">
        <v>0</v>
      </c>
      <c r="D288" t="s">
        <v>587</v>
      </c>
      <c r="E288">
        <v>2.5</v>
      </c>
      <c r="F288" t="s">
        <v>588</v>
      </c>
      <c r="G288" t="s">
        <v>589</v>
      </c>
      <c r="H288">
        <v>5</v>
      </c>
      <c r="I288" t="s">
        <v>605</v>
      </c>
      <c r="J288" t="s">
        <v>44</v>
      </c>
      <c r="K288" t="s">
        <v>4</v>
      </c>
      <c r="L288">
        <v>3810</v>
      </c>
      <c r="M288" t="s">
        <v>5</v>
      </c>
      <c r="N288">
        <v>1044</v>
      </c>
      <c r="O288" s="2">
        <f>N288/L288</f>
        <v>0.27401574803149609</v>
      </c>
      <c r="P288" t="s">
        <v>6</v>
      </c>
      <c r="Q288">
        <v>-461.57771543205899</v>
      </c>
      <c r="R288" t="s">
        <v>7</v>
      </c>
      <c r="S288">
        <v>-0.12114900667508099</v>
      </c>
      <c r="T288" t="s">
        <v>8</v>
      </c>
      <c r="U288">
        <v>1.52108919818064</v>
      </c>
      <c r="V288" t="s">
        <v>9</v>
      </c>
      <c r="W288">
        <v>-0.74099596469004003</v>
      </c>
      <c r="X288" t="s">
        <v>10</v>
      </c>
      <c r="Y288">
        <v>2.7755838492287399</v>
      </c>
      <c r="Z288" t="s">
        <v>11</v>
      </c>
      <c r="AA288" t="s">
        <v>620</v>
      </c>
      <c r="AB288" t="s">
        <v>621</v>
      </c>
    </row>
    <row r="289" spans="1:28" x14ac:dyDescent="0.3">
      <c r="A289" t="str">
        <f>_xlfn.TEXTJOIN(", ", FALSE, C289,D289,E289,F289,G289,H289,I289,J289)</f>
        <v>alltime_{'C',  [('number', 0,  1),  ('number', 2.5,  -1)]}_[35,  70]_4</v>
      </c>
      <c r="B289" t="s">
        <v>864</v>
      </c>
      <c r="C289" t="s">
        <v>0</v>
      </c>
      <c r="D289" t="s">
        <v>587</v>
      </c>
      <c r="E289">
        <v>0</v>
      </c>
      <c r="F289" t="s">
        <v>588</v>
      </c>
      <c r="G289" t="s">
        <v>589</v>
      </c>
      <c r="H289">
        <v>2.5</v>
      </c>
      <c r="I289" t="s">
        <v>605</v>
      </c>
      <c r="J289" t="s">
        <v>44</v>
      </c>
      <c r="K289" t="s">
        <v>4</v>
      </c>
      <c r="L289">
        <v>3810</v>
      </c>
      <c r="M289" t="s">
        <v>5</v>
      </c>
      <c r="N289">
        <v>1223</v>
      </c>
      <c r="O289" s="2">
        <f>N289/L289</f>
        <v>0.32099737532808398</v>
      </c>
      <c r="P289" t="s">
        <v>6</v>
      </c>
      <c r="Q289">
        <v>-499.90287710437502</v>
      </c>
      <c r="R289" t="s">
        <v>7</v>
      </c>
      <c r="S289">
        <v>-0.13120810422686999</v>
      </c>
      <c r="T289" t="s">
        <v>8</v>
      </c>
      <c r="U289">
        <v>1.4022166242628</v>
      </c>
      <c r="V289" t="s">
        <v>9</v>
      </c>
      <c r="W289">
        <v>-0.856132125464933</v>
      </c>
      <c r="X289" t="s">
        <v>10</v>
      </c>
      <c r="Y289">
        <v>2.88872694107088</v>
      </c>
      <c r="Z289" t="s">
        <v>11</v>
      </c>
      <c r="AA289" t="s">
        <v>597</v>
      </c>
      <c r="AB289" t="s">
        <v>609</v>
      </c>
    </row>
  </sheetData>
  <autoFilter ref="A2:AI289" xr:uid="{82135E08-5999-4A67-9EFB-BA941BB888F5}">
    <sortState xmlns:xlrd2="http://schemas.microsoft.com/office/spreadsheetml/2017/richdata2" ref="A3:AI289">
      <sortCondition descending="1" ref="Q2:Q289"/>
    </sortState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216B-A07D-4074-A183-C0B28FDA024F}">
  <sheetPr>
    <tabColor rgb="FFFF0000"/>
  </sheetPr>
  <dimension ref="A2:AI68"/>
  <sheetViews>
    <sheetView zoomScale="70" zoomScaleNormal="70" workbookViewId="0">
      <selection activeCell="D20" sqref="D20"/>
    </sheetView>
  </sheetViews>
  <sheetFormatPr defaultRowHeight="16.5" x14ac:dyDescent="0.3"/>
  <cols>
    <col min="1" max="1" width="61.75" customWidth="1"/>
    <col min="2" max="2" width="11.625" customWidth="1"/>
  </cols>
  <sheetData>
    <row r="2" spans="1:35" x14ac:dyDescent="0.3">
      <c r="A2" t="s">
        <v>861</v>
      </c>
      <c r="B2" t="s">
        <v>861</v>
      </c>
      <c r="C2" t="s">
        <v>0</v>
      </c>
      <c r="D2" t="s">
        <v>587</v>
      </c>
      <c r="E2">
        <v>0</v>
      </c>
      <c r="F2" t="s">
        <v>588</v>
      </c>
      <c r="G2" t="s">
        <v>589</v>
      </c>
      <c r="H2">
        <v>2.5</v>
      </c>
      <c r="I2" t="s">
        <v>605</v>
      </c>
      <c r="J2" t="s">
        <v>38</v>
      </c>
      <c r="K2" t="s">
        <v>4</v>
      </c>
      <c r="L2">
        <v>3810</v>
      </c>
      <c r="M2" t="s">
        <v>5</v>
      </c>
      <c r="N2">
        <v>1538</v>
      </c>
      <c r="O2" s="2">
        <f>N2/L2</f>
        <v>0.40367454068241471</v>
      </c>
      <c r="P2" t="s">
        <v>6</v>
      </c>
      <c r="Q2">
        <v>130.14468102157599</v>
      </c>
      <c r="R2" t="s">
        <v>7</v>
      </c>
      <c r="S2">
        <v>3.4158708929547497E-2</v>
      </c>
      <c r="T2" t="s">
        <v>8</v>
      </c>
      <c r="U2">
        <v>1.32608803154239</v>
      </c>
      <c r="V2" t="s">
        <v>9</v>
      </c>
      <c r="W2">
        <v>-0.84039555963495505</v>
      </c>
      <c r="X2" t="s">
        <v>10</v>
      </c>
      <c r="Y2">
        <v>2.30887136720792</v>
      </c>
      <c r="Z2" t="s">
        <v>11</v>
      </c>
      <c r="AA2" t="s">
        <v>606</v>
      </c>
      <c r="AB2" t="s">
        <v>607</v>
      </c>
    </row>
    <row r="3" spans="1:35" x14ac:dyDescent="0.3">
      <c r="A3" t="s">
        <v>873</v>
      </c>
      <c r="B3" t="s">
        <v>873</v>
      </c>
      <c r="C3" t="s">
        <v>0</v>
      </c>
      <c r="D3" t="s">
        <v>587</v>
      </c>
      <c r="E3">
        <v>2.5</v>
      </c>
      <c r="F3" t="s">
        <v>588</v>
      </c>
      <c r="G3" t="s">
        <v>589</v>
      </c>
      <c r="H3">
        <v>5</v>
      </c>
      <c r="I3" t="s">
        <v>605</v>
      </c>
      <c r="J3" t="s">
        <v>38</v>
      </c>
      <c r="K3" t="s">
        <v>4</v>
      </c>
      <c r="L3">
        <v>3810</v>
      </c>
      <c r="M3" t="s">
        <v>5</v>
      </c>
      <c r="N3">
        <v>1455</v>
      </c>
      <c r="O3" s="2">
        <f t="shared" ref="O3:O66" si="0">N3/L3</f>
        <v>0.38188976377952755</v>
      </c>
      <c r="P3" t="s">
        <v>6</v>
      </c>
      <c r="Q3">
        <v>124.991331273105</v>
      </c>
      <c r="R3" t="s">
        <v>7</v>
      </c>
      <c r="S3">
        <v>3.2806123693728498E-2</v>
      </c>
      <c r="T3" t="s">
        <v>8</v>
      </c>
      <c r="U3">
        <v>1.23484616246247</v>
      </c>
      <c r="V3" t="s">
        <v>9</v>
      </c>
      <c r="W3">
        <v>-0.70985555630988895</v>
      </c>
      <c r="X3" t="s">
        <v>10</v>
      </c>
      <c r="Y3">
        <v>2.1330692937125502</v>
      </c>
      <c r="Z3" t="s">
        <v>11</v>
      </c>
      <c r="AA3" t="s">
        <v>616</v>
      </c>
      <c r="AB3" t="s">
        <v>595</v>
      </c>
      <c r="AC3">
        <v>0</v>
      </c>
      <c r="AD3" t="s">
        <v>14</v>
      </c>
      <c r="AE3" t="s">
        <v>15</v>
      </c>
      <c r="AF3" t="s">
        <v>617</v>
      </c>
      <c r="AG3" t="s">
        <v>618</v>
      </c>
      <c r="AH3">
        <v>0</v>
      </c>
      <c r="AI3" t="s">
        <v>18</v>
      </c>
    </row>
    <row r="4" spans="1:35" x14ac:dyDescent="0.3">
      <c r="A4" t="s">
        <v>857</v>
      </c>
      <c r="B4" t="s">
        <v>857</v>
      </c>
      <c r="C4" t="s">
        <v>0</v>
      </c>
      <c r="D4" t="s">
        <v>587</v>
      </c>
      <c r="E4">
        <v>0</v>
      </c>
      <c r="F4" t="s">
        <v>588</v>
      </c>
      <c r="G4" t="s">
        <v>589</v>
      </c>
      <c r="H4">
        <v>2.5</v>
      </c>
      <c r="I4" t="s">
        <v>599</v>
      </c>
      <c r="J4" t="s">
        <v>28</v>
      </c>
      <c r="K4" t="s">
        <v>4</v>
      </c>
      <c r="L4">
        <v>3050</v>
      </c>
      <c r="M4" t="s">
        <v>5</v>
      </c>
      <c r="N4">
        <v>1194</v>
      </c>
      <c r="O4" s="2">
        <f t="shared" si="0"/>
        <v>0.39147540983606555</v>
      </c>
      <c r="P4" t="s">
        <v>6</v>
      </c>
      <c r="Q4">
        <v>38.267833457275202</v>
      </c>
      <c r="R4" t="s">
        <v>7</v>
      </c>
      <c r="S4">
        <v>1.25468306417295E-2</v>
      </c>
      <c r="T4" t="s">
        <v>8</v>
      </c>
      <c r="U4">
        <v>1.2677496429319699</v>
      </c>
      <c r="V4" t="s">
        <v>9</v>
      </c>
      <c r="W4">
        <v>-0.79494894407516303</v>
      </c>
      <c r="X4" t="s">
        <v>10</v>
      </c>
      <c r="Y4">
        <v>2.4561766564187999</v>
      </c>
      <c r="Z4" t="s">
        <v>11</v>
      </c>
      <c r="AA4" t="s">
        <v>591</v>
      </c>
      <c r="AB4" t="s">
        <v>50</v>
      </c>
      <c r="AC4">
        <v>0</v>
      </c>
      <c r="AD4" t="s">
        <v>14</v>
      </c>
      <c r="AE4" t="s">
        <v>15</v>
      </c>
      <c r="AF4" t="s">
        <v>600</v>
      </c>
      <c r="AG4" t="s">
        <v>601</v>
      </c>
      <c r="AH4">
        <v>0</v>
      </c>
      <c r="AI4" t="s">
        <v>18</v>
      </c>
    </row>
    <row r="5" spans="1:35" s="7" customFormat="1" x14ac:dyDescent="0.3">
      <c r="A5" s="7" t="s">
        <v>921</v>
      </c>
      <c r="B5" s="7" t="s">
        <v>921</v>
      </c>
      <c r="C5" s="7" t="s">
        <v>113</v>
      </c>
      <c r="D5" s="7" t="s">
        <v>587</v>
      </c>
      <c r="E5" s="7">
        <v>2.5</v>
      </c>
      <c r="F5" s="7" t="s">
        <v>588</v>
      </c>
      <c r="G5" s="7" t="s">
        <v>589</v>
      </c>
      <c r="H5" s="7">
        <v>5</v>
      </c>
      <c r="I5" s="7" t="s">
        <v>605</v>
      </c>
      <c r="J5" s="7" t="s">
        <v>38</v>
      </c>
      <c r="K5" s="7" t="s">
        <v>4</v>
      </c>
      <c r="L5" s="7">
        <v>247</v>
      </c>
      <c r="M5" s="7" t="s">
        <v>5</v>
      </c>
      <c r="N5" s="7">
        <v>106</v>
      </c>
      <c r="O5" s="8">
        <f t="shared" si="0"/>
        <v>0.4291497975708502</v>
      </c>
      <c r="P5" s="7" t="s">
        <v>6</v>
      </c>
      <c r="Q5" s="7">
        <v>36.292922892013799</v>
      </c>
      <c r="R5" s="7" t="s">
        <v>7</v>
      </c>
      <c r="S5" s="7">
        <v>0.146934910493983</v>
      </c>
      <c r="T5" s="7" t="s">
        <v>8</v>
      </c>
      <c r="U5" s="7">
        <v>1.39528806996094</v>
      </c>
      <c r="V5" s="7" t="s">
        <v>9</v>
      </c>
      <c r="W5" s="7">
        <v>-0.79154335123295005</v>
      </c>
      <c r="X5" s="7" t="s">
        <v>10</v>
      </c>
      <c r="Y5" s="7">
        <v>0.33463843952852801</v>
      </c>
      <c r="Z5" s="7" t="s">
        <v>11</v>
      </c>
      <c r="AA5" s="7" t="s">
        <v>681</v>
      </c>
      <c r="AB5" s="7" t="s">
        <v>682</v>
      </c>
    </row>
    <row r="6" spans="1:35" s="7" customFormat="1" x14ac:dyDescent="0.3">
      <c r="A6" s="7" t="s">
        <v>1101</v>
      </c>
      <c r="B6" s="7" t="s">
        <v>1101</v>
      </c>
      <c r="C6" s="7" t="s">
        <v>262</v>
      </c>
      <c r="D6" s="7" t="s">
        <v>587</v>
      </c>
      <c r="E6" s="7">
        <v>0</v>
      </c>
      <c r="F6" s="7" t="s">
        <v>588</v>
      </c>
      <c r="G6" s="7" t="s">
        <v>589</v>
      </c>
      <c r="H6" s="7">
        <v>2.5</v>
      </c>
      <c r="I6" s="7" t="s">
        <v>605</v>
      </c>
      <c r="J6" s="7" t="s">
        <v>38</v>
      </c>
      <c r="K6" s="7" t="s">
        <v>4</v>
      </c>
      <c r="L6" s="7">
        <v>291</v>
      </c>
      <c r="M6" s="7" t="s">
        <v>5</v>
      </c>
      <c r="N6" s="7">
        <v>128</v>
      </c>
      <c r="O6" s="8">
        <f t="shared" si="0"/>
        <v>0.43986254295532645</v>
      </c>
      <c r="P6" s="7" t="s">
        <v>6</v>
      </c>
      <c r="Q6" s="7">
        <v>31.607850344312801</v>
      </c>
      <c r="R6" s="7" t="s">
        <v>7</v>
      </c>
      <c r="S6" s="7">
        <v>0.108618042420319</v>
      </c>
      <c r="T6" s="7" t="s">
        <v>8</v>
      </c>
      <c r="U6" s="7">
        <v>1.38391219428379</v>
      </c>
      <c r="V6" s="7" t="s">
        <v>9</v>
      </c>
      <c r="W6" s="7">
        <v>-0.89283994186511095</v>
      </c>
      <c r="X6" s="7" t="s">
        <v>10</v>
      </c>
      <c r="Y6" s="7">
        <v>0.40351728324946101</v>
      </c>
      <c r="Z6" s="7" t="s">
        <v>11</v>
      </c>
      <c r="AA6" s="7" t="s">
        <v>817</v>
      </c>
      <c r="AB6" s="7" t="s">
        <v>818</v>
      </c>
    </row>
    <row r="7" spans="1:35" x14ac:dyDescent="0.3">
      <c r="A7" t="s">
        <v>897</v>
      </c>
      <c r="B7" t="s">
        <v>897</v>
      </c>
      <c r="C7" t="s">
        <v>0</v>
      </c>
      <c r="D7" t="s">
        <v>587</v>
      </c>
      <c r="E7">
        <v>7.5</v>
      </c>
      <c r="F7" t="s">
        <v>588</v>
      </c>
      <c r="G7" t="s">
        <v>589</v>
      </c>
      <c r="H7">
        <v>10</v>
      </c>
      <c r="I7" t="s">
        <v>605</v>
      </c>
      <c r="J7" t="s">
        <v>38</v>
      </c>
      <c r="K7" t="s">
        <v>4</v>
      </c>
      <c r="L7">
        <v>3810</v>
      </c>
      <c r="M7" t="s">
        <v>5</v>
      </c>
      <c r="N7">
        <v>1346</v>
      </c>
      <c r="O7" s="2">
        <f t="shared" si="0"/>
        <v>0.35328083989501313</v>
      </c>
      <c r="P7" t="s">
        <v>6</v>
      </c>
      <c r="Q7">
        <v>29.0472044091734</v>
      </c>
      <c r="R7" t="s">
        <v>7</v>
      </c>
      <c r="S7">
        <v>7.6239381651373702E-3</v>
      </c>
      <c r="T7" t="s">
        <v>8</v>
      </c>
      <c r="U7">
        <v>0.91084298715243595</v>
      </c>
      <c r="V7" t="s">
        <v>9</v>
      </c>
      <c r="W7">
        <v>-0.485774129991074</v>
      </c>
      <c r="X7" t="s">
        <v>10</v>
      </c>
      <c r="Y7">
        <v>1.5998649985590301</v>
      </c>
      <c r="Z7" t="s">
        <v>11</v>
      </c>
      <c r="AA7" t="s">
        <v>646</v>
      </c>
      <c r="AB7" t="s">
        <v>647</v>
      </c>
      <c r="AC7">
        <v>0</v>
      </c>
      <c r="AD7" t="s">
        <v>14</v>
      </c>
      <c r="AE7" t="s">
        <v>15</v>
      </c>
      <c r="AF7" t="s">
        <v>648</v>
      </c>
      <c r="AG7" t="s">
        <v>618</v>
      </c>
      <c r="AH7">
        <v>0</v>
      </c>
      <c r="AI7" t="s">
        <v>18</v>
      </c>
    </row>
    <row r="8" spans="1:35" s="5" customFormat="1" x14ac:dyDescent="0.3">
      <c r="A8" s="5" t="s">
        <v>905</v>
      </c>
      <c r="B8" s="5" t="s">
        <v>905</v>
      </c>
      <c r="C8" s="5" t="s">
        <v>113</v>
      </c>
      <c r="D8" s="5" t="s">
        <v>587</v>
      </c>
      <c r="E8" s="5">
        <v>0</v>
      </c>
      <c r="F8" s="5" t="s">
        <v>588</v>
      </c>
      <c r="G8" s="5" t="s">
        <v>589</v>
      </c>
      <c r="H8" s="5">
        <v>2.5</v>
      </c>
      <c r="I8" s="5" t="s">
        <v>599</v>
      </c>
      <c r="J8" s="5" t="s">
        <v>28</v>
      </c>
      <c r="K8" s="5" t="s">
        <v>4</v>
      </c>
      <c r="L8" s="5">
        <v>200</v>
      </c>
      <c r="M8" s="5" t="s">
        <v>5</v>
      </c>
      <c r="N8" s="5">
        <v>89</v>
      </c>
      <c r="O8" s="6">
        <f t="shared" si="0"/>
        <v>0.44500000000000001</v>
      </c>
      <c r="P8" s="5" t="s">
        <v>6</v>
      </c>
      <c r="Q8" s="5">
        <v>27.166424943649901</v>
      </c>
      <c r="R8" s="5" t="s">
        <v>7</v>
      </c>
      <c r="S8" s="5">
        <v>0.13583212471824899</v>
      </c>
      <c r="T8" s="5" t="s">
        <v>8</v>
      </c>
      <c r="U8" s="5">
        <v>1.3150160106027999</v>
      </c>
      <c r="V8" s="5" t="s">
        <v>9</v>
      </c>
      <c r="W8" s="5">
        <v>-0.80963963963963903</v>
      </c>
      <c r="X8" s="5" t="s">
        <v>10</v>
      </c>
      <c r="Y8" s="5">
        <v>0.30765017758576302</v>
      </c>
      <c r="Z8" s="5" t="s">
        <v>11</v>
      </c>
      <c r="AA8" s="5" t="s">
        <v>659</v>
      </c>
      <c r="AB8" s="5" t="s">
        <v>660</v>
      </c>
      <c r="AC8" s="5">
        <v>0</v>
      </c>
      <c r="AD8" s="5" t="s">
        <v>14</v>
      </c>
      <c r="AE8" s="5" t="s">
        <v>15</v>
      </c>
      <c r="AF8" s="5" t="s">
        <v>661</v>
      </c>
      <c r="AG8" s="5" t="s">
        <v>611</v>
      </c>
      <c r="AH8" s="5">
        <v>0</v>
      </c>
      <c r="AI8" s="5" t="s">
        <v>18</v>
      </c>
    </row>
    <row r="9" spans="1:35" s="5" customFormat="1" x14ac:dyDescent="0.3">
      <c r="A9" s="5" t="s">
        <v>1102</v>
      </c>
      <c r="B9" s="5" t="s">
        <v>1102</v>
      </c>
      <c r="C9" s="5" t="s">
        <v>262</v>
      </c>
      <c r="D9" s="5" t="s">
        <v>587</v>
      </c>
      <c r="E9" s="5">
        <v>5</v>
      </c>
      <c r="F9" s="5" t="s">
        <v>588</v>
      </c>
      <c r="G9" s="5" t="s">
        <v>589</v>
      </c>
      <c r="H9" s="5">
        <v>7.5</v>
      </c>
      <c r="I9" s="5" t="s">
        <v>605</v>
      </c>
      <c r="J9" s="5" t="s">
        <v>38</v>
      </c>
      <c r="K9" s="5" t="s">
        <v>4</v>
      </c>
      <c r="L9" s="5">
        <v>291</v>
      </c>
      <c r="M9" s="5" t="s">
        <v>5</v>
      </c>
      <c r="N9" s="5">
        <v>122</v>
      </c>
      <c r="O9" s="6">
        <f t="shared" si="0"/>
        <v>0.41924398625429554</v>
      </c>
      <c r="P9" s="5" t="s">
        <v>6</v>
      </c>
      <c r="Q9" s="5">
        <v>26.897627247047499</v>
      </c>
      <c r="R9" s="5" t="s">
        <v>7</v>
      </c>
      <c r="S9" s="5">
        <v>9.2431708752740496E-2</v>
      </c>
      <c r="T9" s="5" t="s">
        <v>8</v>
      </c>
      <c r="U9" s="5">
        <v>1.0783662554468001</v>
      </c>
      <c r="V9" s="5" t="s">
        <v>9</v>
      </c>
      <c r="W9" s="5">
        <v>-0.61930802318025302</v>
      </c>
      <c r="X9" s="5" t="s">
        <v>10</v>
      </c>
      <c r="Y9" s="5">
        <v>0.291215177864175</v>
      </c>
      <c r="Z9" s="5" t="s">
        <v>11</v>
      </c>
      <c r="AA9" s="5" t="s">
        <v>834</v>
      </c>
      <c r="AB9" s="5" t="s">
        <v>835</v>
      </c>
    </row>
    <row r="10" spans="1:35" x14ac:dyDescent="0.3">
      <c r="A10" t="s">
        <v>885</v>
      </c>
      <c r="B10" t="s">
        <v>885</v>
      </c>
      <c r="C10" t="s">
        <v>0</v>
      </c>
      <c r="D10" t="s">
        <v>587</v>
      </c>
      <c r="E10">
        <v>5</v>
      </c>
      <c r="F10" t="s">
        <v>588</v>
      </c>
      <c r="G10" t="s">
        <v>589</v>
      </c>
      <c r="H10">
        <v>7.5</v>
      </c>
      <c r="I10" t="s">
        <v>605</v>
      </c>
      <c r="J10" t="s">
        <v>38</v>
      </c>
      <c r="K10" t="s">
        <v>4</v>
      </c>
      <c r="L10">
        <v>3810</v>
      </c>
      <c r="M10" t="s">
        <v>5</v>
      </c>
      <c r="N10">
        <v>1384</v>
      </c>
      <c r="O10" s="2">
        <f t="shared" si="0"/>
        <v>0.36325459317585301</v>
      </c>
      <c r="P10" t="s">
        <v>6</v>
      </c>
      <c r="Q10">
        <v>24.348239372627202</v>
      </c>
      <c r="R10" t="s">
        <v>7</v>
      </c>
      <c r="S10">
        <v>6.3906140085635797E-3</v>
      </c>
      <c r="T10" t="s">
        <v>8</v>
      </c>
      <c r="U10">
        <v>1.06928335629628</v>
      </c>
      <c r="V10" t="s">
        <v>9</v>
      </c>
      <c r="W10">
        <v>-0.599975237321279</v>
      </c>
      <c r="X10" t="s">
        <v>10</v>
      </c>
      <c r="Y10">
        <v>1.8338259887183299</v>
      </c>
      <c r="Z10" t="s">
        <v>11</v>
      </c>
      <c r="AA10" t="s">
        <v>629</v>
      </c>
      <c r="AB10" t="s">
        <v>630</v>
      </c>
    </row>
    <row r="11" spans="1:35" s="7" customFormat="1" x14ac:dyDescent="0.3">
      <c r="A11" s="7" t="s">
        <v>909</v>
      </c>
      <c r="B11" s="7" t="s">
        <v>909</v>
      </c>
      <c r="C11" s="7" t="s">
        <v>113</v>
      </c>
      <c r="D11" s="7" t="s">
        <v>587</v>
      </c>
      <c r="E11" s="7">
        <v>0</v>
      </c>
      <c r="F11" s="7" t="s">
        <v>588</v>
      </c>
      <c r="G11" s="7" t="s">
        <v>589</v>
      </c>
      <c r="H11" s="7">
        <v>2.5</v>
      </c>
      <c r="I11" s="7" t="s">
        <v>605</v>
      </c>
      <c r="J11" s="7" t="s">
        <v>38</v>
      </c>
      <c r="K11" s="7" t="s">
        <v>4</v>
      </c>
      <c r="L11" s="7">
        <v>247</v>
      </c>
      <c r="M11" s="7" t="s">
        <v>5</v>
      </c>
      <c r="N11" s="7">
        <v>106</v>
      </c>
      <c r="O11" s="8">
        <f t="shared" si="0"/>
        <v>0.4291497975708502</v>
      </c>
      <c r="P11" s="7" t="s">
        <v>6</v>
      </c>
      <c r="Q11" s="7">
        <v>23.729230269402901</v>
      </c>
      <c r="R11" s="7" t="s">
        <v>7</v>
      </c>
      <c r="S11" s="7">
        <v>9.6069758175720596E-2</v>
      </c>
      <c r="T11" s="7" t="s">
        <v>8</v>
      </c>
      <c r="U11" s="7">
        <v>1.43585726147676</v>
      </c>
      <c r="V11" s="7" t="s">
        <v>9</v>
      </c>
      <c r="W11" s="7">
        <v>-0.91114637905769003</v>
      </c>
      <c r="X11" s="7" t="s">
        <v>10</v>
      </c>
      <c r="Y11" s="7">
        <v>0.36608925687127303</v>
      </c>
      <c r="Z11" s="7" t="s">
        <v>11</v>
      </c>
      <c r="AA11" s="7" t="s">
        <v>665</v>
      </c>
      <c r="AB11" s="7" t="s">
        <v>13</v>
      </c>
      <c r="AC11" s="7">
        <v>0</v>
      </c>
      <c r="AD11" s="7" t="s">
        <v>14</v>
      </c>
      <c r="AE11" s="7" t="s">
        <v>15</v>
      </c>
      <c r="AF11" s="7" t="s">
        <v>666</v>
      </c>
      <c r="AG11" s="7" t="s">
        <v>667</v>
      </c>
      <c r="AH11" s="7">
        <v>0</v>
      </c>
      <c r="AI11" s="7" t="s">
        <v>18</v>
      </c>
    </row>
    <row r="12" spans="1:35" s="7" customFormat="1" x14ac:dyDescent="0.3">
      <c r="A12" s="7" t="s">
        <v>929</v>
      </c>
      <c r="B12" s="7" t="s">
        <v>929</v>
      </c>
      <c r="C12" s="7" t="s">
        <v>113</v>
      </c>
      <c r="D12" s="7" t="s">
        <v>587</v>
      </c>
      <c r="E12" s="7">
        <v>5</v>
      </c>
      <c r="F12" s="7" t="s">
        <v>588</v>
      </c>
      <c r="G12" s="7" t="s">
        <v>589</v>
      </c>
      <c r="H12" s="7">
        <v>7.5</v>
      </c>
      <c r="I12" s="7" t="s">
        <v>599</v>
      </c>
      <c r="J12" s="7" t="s">
        <v>28</v>
      </c>
      <c r="K12" s="7" t="s">
        <v>4</v>
      </c>
      <c r="L12" s="7">
        <v>200</v>
      </c>
      <c r="M12" s="7" t="s">
        <v>5</v>
      </c>
      <c r="N12" s="7">
        <v>81</v>
      </c>
      <c r="O12" s="8">
        <f t="shared" si="0"/>
        <v>0.40500000000000003</v>
      </c>
      <c r="P12" s="7" t="s">
        <v>6</v>
      </c>
      <c r="Q12" s="7">
        <v>20.9499999999999</v>
      </c>
      <c r="R12" s="7" t="s">
        <v>7</v>
      </c>
      <c r="S12" s="7">
        <v>0.104749999999999</v>
      </c>
      <c r="T12" s="7" t="s">
        <v>8</v>
      </c>
      <c r="U12" s="7">
        <v>1.09481481481481</v>
      </c>
      <c r="V12" s="7" t="s">
        <v>9</v>
      </c>
      <c r="W12" s="7">
        <v>-0.56915966386554595</v>
      </c>
      <c r="X12" s="7" t="s">
        <v>10</v>
      </c>
      <c r="Y12" s="7">
        <v>0.22505466746810299</v>
      </c>
      <c r="Z12" s="7" t="s">
        <v>11</v>
      </c>
      <c r="AA12" s="7" t="s">
        <v>690</v>
      </c>
      <c r="AB12" s="7" t="s">
        <v>691</v>
      </c>
      <c r="AC12" s="7">
        <v>0</v>
      </c>
      <c r="AD12" s="7" t="s">
        <v>14</v>
      </c>
      <c r="AE12" s="7" t="s">
        <v>15</v>
      </c>
      <c r="AF12" s="7" t="s">
        <v>692</v>
      </c>
      <c r="AG12" s="7" t="s">
        <v>611</v>
      </c>
      <c r="AH12" s="7">
        <v>0</v>
      </c>
      <c r="AI12" s="7" t="s">
        <v>18</v>
      </c>
    </row>
    <row r="13" spans="1:35" s="7" customFormat="1" x14ac:dyDescent="0.3">
      <c r="A13" s="7" t="s">
        <v>969</v>
      </c>
      <c r="B13" s="7" t="s">
        <v>969</v>
      </c>
      <c r="C13" s="7" t="s">
        <v>134</v>
      </c>
      <c r="D13" s="7" t="s">
        <v>587</v>
      </c>
      <c r="E13" s="7">
        <v>2.5</v>
      </c>
      <c r="F13" s="7" t="s">
        <v>588</v>
      </c>
      <c r="G13" s="7" t="s">
        <v>589</v>
      </c>
      <c r="H13" s="7">
        <v>5</v>
      </c>
      <c r="I13" s="7" t="s">
        <v>605</v>
      </c>
      <c r="J13" s="7" t="s">
        <v>38</v>
      </c>
      <c r="K13" s="7" t="s">
        <v>4</v>
      </c>
      <c r="L13" s="7">
        <v>177</v>
      </c>
      <c r="M13" s="7" t="s">
        <v>5</v>
      </c>
      <c r="N13" s="7">
        <v>75</v>
      </c>
      <c r="O13" s="8">
        <f t="shared" si="0"/>
        <v>0.42372881355932202</v>
      </c>
      <c r="P13" s="7" t="s">
        <v>6</v>
      </c>
      <c r="Q13" s="7">
        <v>17.3570816523894</v>
      </c>
      <c r="R13" s="7" t="s">
        <v>7</v>
      </c>
      <c r="S13" s="7">
        <v>9.8062608205589805E-2</v>
      </c>
      <c r="T13" s="7" t="s">
        <v>8</v>
      </c>
      <c r="U13" s="7">
        <v>1.18561958628208</v>
      </c>
      <c r="V13" s="7" t="s">
        <v>9</v>
      </c>
      <c r="W13" s="7">
        <v>-0.70161164038006496</v>
      </c>
      <c r="X13" s="7" t="s">
        <v>10</v>
      </c>
      <c r="Y13" s="7">
        <v>0.238601146893793</v>
      </c>
      <c r="Z13" s="7" t="s">
        <v>11</v>
      </c>
      <c r="AA13" s="7" t="s">
        <v>722</v>
      </c>
      <c r="AB13" s="7" t="s">
        <v>723</v>
      </c>
    </row>
    <row r="14" spans="1:35" s="7" customFormat="1" x14ac:dyDescent="0.3">
      <c r="A14" s="7" t="s">
        <v>981</v>
      </c>
      <c r="B14" s="7" t="s">
        <v>981</v>
      </c>
      <c r="C14" s="7" t="s">
        <v>134</v>
      </c>
      <c r="D14" s="7" t="s">
        <v>587</v>
      </c>
      <c r="E14" s="7">
        <v>5</v>
      </c>
      <c r="F14" s="7" t="s">
        <v>588</v>
      </c>
      <c r="G14" s="7" t="s">
        <v>589</v>
      </c>
      <c r="H14" s="7">
        <v>7.5</v>
      </c>
      <c r="I14" s="7" t="s">
        <v>605</v>
      </c>
      <c r="J14" s="7" t="s">
        <v>38</v>
      </c>
      <c r="K14" s="7" t="s">
        <v>4</v>
      </c>
      <c r="L14" s="7">
        <v>177</v>
      </c>
      <c r="M14" s="7" t="s">
        <v>5</v>
      </c>
      <c r="N14" s="7">
        <v>73</v>
      </c>
      <c r="O14" s="8">
        <f t="shared" si="0"/>
        <v>0.41242937853107342</v>
      </c>
      <c r="P14" s="7" t="s">
        <v>6</v>
      </c>
      <c r="Q14" s="7">
        <v>17.255841015695999</v>
      </c>
      <c r="R14" s="7" t="s">
        <v>7</v>
      </c>
      <c r="S14" s="7">
        <v>9.7490627207322406E-2</v>
      </c>
      <c r="T14" s="7" t="s">
        <v>8</v>
      </c>
      <c r="U14" s="7">
        <v>1.01669899970107</v>
      </c>
      <c r="V14" s="7" t="s">
        <v>9</v>
      </c>
      <c r="W14" s="7">
        <v>-0.54772294194694704</v>
      </c>
      <c r="X14" s="7" t="s">
        <v>10</v>
      </c>
      <c r="Y14" s="7">
        <v>0.214265279250897</v>
      </c>
      <c r="Z14" s="7" t="s">
        <v>11</v>
      </c>
      <c r="AA14" s="7" t="s">
        <v>734</v>
      </c>
      <c r="AB14" s="7" t="s">
        <v>735</v>
      </c>
    </row>
    <row r="15" spans="1:35" s="7" customFormat="1" x14ac:dyDescent="0.3">
      <c r="A15" s="7" t="s">
        <v>922</v>
      </c>
      <c r="B15" s="7" t="s">
        <v>922</v>
      </c>
      <c r="C15" s="7" t="s">
        <v>113</v>
      </c>
      <c r="D15" s="7" t="s">
        <v>587</v>
      </c>
      <c r="E15" s="7">
        <v>2.5</v>
      </c>
      <c r="F15" s="7" t="s">
        <v>588</v>
      </c>
      <c r="G15" s="7" t="s">
        <v>589</v>
      </c>
      <c r="H15" s="7">
        <v>5</v>
      </c>
      <c r="I15" s="7" t="s">
        <v>605</v>
      </c>
      <c r="J15" s="7" t="s">
        <v>40</v>
      </c>
      <c r="K15" s="7" t="s">
        <v>4</v>
      </c>
      <c r="L15" s="7">
        <v>247</v>
      </c>
      <c r="M15" s="7" t="s">
        <v>5</v>
      </c>
      <c r="N15" s="7">
        <v>88</v>
      </c>
      <c r="O15" s="8">
        <f t="shared" si="0"/>
        <v>0.35627530364372467</v>
      </c>
      <c r="P15" s="7" t="s">
        <v>6</v>
      </c>
      <c r="Q15" s="7">
        <v>16.445384126231001</v>
      </c>
      <c r="R15" s="7" t="s">
        <v>7</v>
      </c>
      <c r="S15" s="7">
        <v>6.6580502535348404E-2</v>
      </c>
      <c r="T15" s="7" t="s">
        <v>8</v>
      </c>
      <c r="U15" s="7">
        <v>1.6370948657654001</v>
      </c>
      <c r="V15" s="7" t="s">
        <v>9</v>
      </c>
      <c r="W15" s="7">
        <v>-0.80263499409512296</v>
      </c>
      <c r="X15" s="7" t="s">
        <v>10</v>
      </c>
      <c r="Y15" s="7">
        <v>0.40148305627097802</v>
      </c>
      <c r="Z15" s="7" t="s">
        <v>11</v>
      </c>
      <c r="AA15" s="7" t="s">
        <v>681</v>
      </c>
      <c r="AB15" s="7" t="s">
        <v>683</v>
      </c>
    </row>
    <row r="16" spans="1:35" s="7" customFormat="1" x14ac:dyDescent="0.3">
      <c r="A16" s="7" t="s">
        <v>917</v>
      </c>
      <c r="B16" s="7" t="s">
        <v>917</v>
      </c>
      <c r="C16" s="7" t="s">
        <v>113</v>
      </c>
      <c r="D16" s="7" t="s">
        <v>587</v>
      </c>
      <c r="E16" s="7">
        <v>2.5</v>
      </c>
      <c r="F16" s="7" t="s">
        <v>588</v>
      </c>
      <c r="G16" s="7" t="s">
        <v>589</v>
      </c>
      <c r="H16" s="7">
        <v>5</v>
      </c>
      <c r="I16" s="7" t="s">
        <v>599</v>
      </c>
      <c r="J16" s="7" t="s">
        <v>28</v>
      </c>
      <c r="K16" s="7" t="s">
        <v>4</v>
      </c>
      <c r="L16" s="7">
        <v>200</v>
      </c>
      <c r="M16" s="7" t="s">
        <v>5</v>
      </c>
      <c r="N16" s="7">
        <v>80</v>
      </c>
      <c r="O16" s="8">
        <f t="shared" si="0"/>
        <v>0.4</v>
      </c>
      <c r="P16" s="7" t="s">
        <v>6</v>
      </c>
      <c r="Q16" s="7">
        <v>16.272478047249699</v>
      </c>
      <c r="R16" s="7" t="s">
        <v>7</v>
      </c>
      <c r="S16" s="7">
        <v>8.13623902362485E-2</v>
      </c>
      <c r="T16" s="7" t="s">
        <v>8</v>
      </c>
      <c r="U16" s="7">
        <v>1.24253097559062</v>
      </c>
      <c r="V16" s="7" t="s">
        <v>9</v>
      </c>
      <c r="W16" s="7">
        <v>-0.69274999999999898</v>
      </c>
      <c r="X16" s="7" t="s">
        <v>10</v>
      </c>
      <c r="Y16" s="7">
        <v>0.259539548987747</v>
      </c>
      <c r="Z16" s="7" t="s">
        <v>11</v>
      </c>
      <c r="AA16" s="7" t="s">
        <v>671</v>
      </c>
      <c r="AB16" s="7" t="s">
        <v>672</v>
      </c>
      <c r="AC16" s="7">
        <v>0</v>
      </c>
      <c r="AD16" s="7" t="s">
        <v>14</v>
      </c>
      <c r="AE16" s="7" t="s">
        <v>15</v>
      </c>
      <c r="AF16" s="7" t="s">
        <v>673</v>
      </c>
      <c r="AG16" s="7" t="s">
        <v>611</v>
      </c>
      <c r="AH16" s="7">
        <v>0</v>
      </c>
      <c r="AI16" s="7" t="s">
        <v>18</v>
      </c>
    </row>
    <row r="17" spans="1:35" s="7" customFormat="1" x14ac:dyDescent="0.3">
      <c r="A17" s="7" t="s">
        <v>1103</v>
      </c>
      <c r="B17" s="7" t="s">
        <v>1103</v>
      </c>
      <c r="C17" s="7" t="s">
        <v>262</v>
      </c>
      <c r="D17" s="7" t="s">
        <v>587</v>
      </c>
      <c r="E17" s="7">
        <v>2.5</v>
      </c>
      <c r="F17" s="7" t="s">
        <v>588</v>
      </c>
      <c r="G17" s="7" t="s">
        <v>589</v>
      </c>
      <c r="H17" s="7">
        <v>5</v>
      </c>
      <c r="I17" s="7" t="s">
        <v>605</v>
      </c>
      <c r="J17" s="7" t="s">
        <v>38</v>
      </c>
      <c r="K17" s="7" t="s">
        <v>4</v>
      </c>
      <c r="L17" s="7">
        <v>291</v>
      </c>
      <c r="M17" s="7" t="s">
        <v>5</v>
      </c>
      <c r="N17" s="7">
        <v>114</v>
      </c>
      <c r="O17" s="8">
        <f t="shared" si="0"/>
        <v>0.39175257731958762</v>
      </c>
      <c r="P17" s="7" t="s">
        <v>6</v>
      </c>
      <c r="Q17" s="7">
        <v>14.181119085647</v>
      </c>
      <c r="R17" s="7" t="s">
        <v>7</v>
      </c>
      <c r="S17" s="7">
        <v>4.8732367991914299E-2</v>
      </c>
      <c r="T17" s="7" t="s">
        <v>8</v>
      </c>
      <c r="U17" s="7">
        <v>1.2882019023873501</v>
      </c>
      <c r="V17" s="7" t="s">
        <v>9</v>
      </c>
      <c r="W17" s="7">
        <v>-0.74957004399159299</v>
      </c>
      <c r="X17" s="7" t="s">
        <v>10</v>
      </c>
      <c r="Y17" s="7">
        <v>0.35658615702117102</v>
      </c>
      <c r="Z17" s="7" t="s">
        <v>11</v>
      </c>
      <c r="AA17" s="7" t="s">
        <v>825</v>
      </c>
      <c r="AB17" s="7" t="s">
        <v>13</v>
      </c>
      <c r="AC17" s="7">
        <v>0</v>
      </c>
      <c r="AD17" s="7" t="s">
        <v>14</v>
      </c>
      <c r="AE17" s="7" t="s">
        <v>15</v>
      </c>
      <c r="AF17" s="7" t="s">
        <v>825</v>
      </c>
      <c r="AG17" s="7" t="s">
        <v>13</v>
      </c>
      <c r="AH17" s="7">
        <v>0</v>
      </c>
      <c r="AI17" s="7" t="s">
        <v>18</v>
      </c>
    </row>
    <row r="18" spans="1:35" s="7" customFormat="1" x14ac:dyDescent="0.3">
      <c r="A18" s="7" t="s">
        <v>957</v>
      </c>
      <c r="B18" s="7" t="s">
        <v>957</v>
      </c>
      <c r="C18" s="7" t="s">
        <v>134</v>
      </c>
      <c r="D18" s="7" t="s">
        <v>587</v>
      </c>
      <c r="E18" s="7">
        <v>0</v>
      </c>
      <c r="F18" s="7" t="s">
        <v>588</v>
      </c>
      <c r="G18" s="7" t="s">
        <v>589</v>
      </c>
      <c r="H18" s="7">
        <v>2.5</v>
      </c>
      <c r="I18" s="7" t="s">
        <v>605</v>
      </c>
      <c r="J18" s="7" t="s">
        <v>38</v>
      </c>
      <c r="K18" s="7" t="s">
        <v>4</v>
      </c>
      <c r="L18" s="7">
        <v>177</v>
      </c>
      <c r="M18" s="7" t="s">
        <v>5</v>
      </c>
      <c r="N18" s="7">
        <v>75</v>
      </c>
      <c r="O18" s="8">
        <f t="shared" si="0"/>
        <v>0.42372881355932202</v>
      </c>
      <c r="P18" s="7" t="s">
        <v>6</v>
      </c>
      <c r="Q18" s="7">
        <v>13.7920072567976</v>
      </c>
      <c r="R18" s="7" t="s">
        <v>7</v>
      </c>
      <c r="S18" s="7">
        <v>7.7920944953659199E-2</v>
      </c>
      <c r="T18" s="7" t="s">
        <v>8</v>
      </c>
      <c r="U18" s="7">
        <v>1.33300591895489</v>
      </c>
      <c r="V18" s="7" t="s">
        <v>9</v>
      </c>
      <c r="W18" s="7">
        <v>-0.84493565357665801</v>
      </c>
      <c r="X18" s="7" t="s">
        <v>10</v>
      </c>
      <c r="Y18" s="7">
        <v>0.30411774186507001</v>
      </c>
      <c r="Z18" s="7" t="s">
        <v>11</v>
      </c>
      <c r="AA18" s="7" t="s">
        <v>678</v>
      </c>
      <c r="AB18" s="7" t="s">
        <v>711</v>
      </c>
      <c r="AC18" s="7">
        <v>0</v>
      </c>
      <c r="AD18" s="7" t="s">
        <v>14</v>
      </c>
      <c r="AE18" s="7" t="s">
        <v>15</v>
      </c>
      <c r="AF18" s="7" t="s">
        <v>678</v>
      </c>
      <c r="AG18" s="7" t="s">
        <v>711</v>
      </c>
      <c r="AH18" s="7">
        <v>0</v>
      </c>
      <c r="AI18" s="7" t="s">
        <v>18</v>
      </c>
    </row>
    <row r="19" spans="1:35" x14ac:dyDescent="0.3">
      <c r="A19" t="s">
        <v>1065</v>
      </c>
      <c r="B19" t="s">
        <v>1065</v>
      </c>
      <c r="C19" t="s">
        <v>221</v>
      </c>
      <c r="D19" t="s">
        <v>587</v>
      </c>
      <c r="E19">
        <v>2.5</v>
      </c>
      <c r="F19" t="s">
        <v>588</v>
      </c>
      <c r="G19" t="s">
        <v>589</v>
      </c>
      <c r="H19">
        <v>5</v>
      </c>
      <c r="I19" t="s">
        <v>605</v>
      </c>
      <c r="J19" t="s">
        <v>38</v>
      </c>
      <c r="K19" t="s">
        <v>4</v>
      </c>
      <c r="L19">
        <v>40</v>
      </c>
      <c r="M19" t="s">
        <v>5</v>
      </c>
      <c r="N19">
        <v>21</v>
      </c>
      <c r="O19" s="2">
        <f t="shared" si="0"/>
        <v>0.52500000000000002</v>
      </c>
      <c r="P19" t="s">
        <v>6</v>
      </c>
      <c r="Q19">
        <v>13.664495997076299</v>
      </c>
      <c r="R19" t="s">
        <v>7</v>
      </c>
      <c r="S19">
        <v>0.34161239992690901</v>
      </c>
      <c r="T19" t="s">
        <v>8</v>
      </c>
      <c r="U19">
        <v>1.3272137077869299</v>
      </c>
      <c r="V19" t="s">
        <v>9</v>
      </c>
      <c r="W19">
        <v>-0.747736414023639</v>
      </c>
      <c r="X19" t="s">
        <v>10</v>
      </c>
      <c r="Y19">
        <v>0.107059166281309</v>
      </c>
      <c r="Z19" t="s">
        <v>11</v>
      </c>
      <c r="AA19" t="s">
        <v>779</v>
      </c>
      <c r="AB19" t="s">
        <v>780</v>
      </c>
      <c r="AC19">
        <v>0</v>
      </c>
      <c r="AD19" t="s">
        <v>14</v>
      </c>
      <c r="AE19" t="s">
        <v>15</v>
      </c>
      <c r="AF19" t="s">
        <v>779</v>
      </c>
      <c r="AG19" t="s">
        <v>780</v>
      </c>
      <c r="AH19">
        <v>0</v>
      </c>
      <c r="AI19" t="s">
        <v>18</v>
      </c>
    </row>
    <row r="20" spans="1:35" x14ac:dyDescent="0.3">
      <c r="A20" t="s">
        <v>953</v>
      </c>
      <c r="B20" t="s">
        <v>953</v>
      </c>
      <c r="C20" t="s">
        <v>134</v>
      </c>
      <c r="D20" t="s">
        <v>587</v>
      </c>
      <c r="E20">
        <v>0</v>
      </c>
      <c r="F20" t="s">
        <v>588</v>
      </c>
      <c r="G20" t="s">
        <v>589</v>
      </c>
      <c r="H20">
        <v>2.5</v>
      </c>
      <c r="I20" t="s">
        <v>599</v>
      </c>
      <c r="J20" t="s">
        <v>28</v>
      </c>
      <c r="K20" t="s">
        <v>4</v>
      </c>
      <c r="L20">
        <v>136</v>
      </c>
      <c r="M20" t="s">
        <v>5</v>
      </c>
      <c r="N20">
        <v>58</v>
      </c>
      <c r="O20" s="2">
        <f t="shared" si="0"/>
        <v>0.4264705882352941</v>
      </c>
      <c r="P20" t="s">
        <v>6</v>
      </c>
      <c r="Q20">
        <v>13.08</v>
      </c>
      <c r="R20" t="s">
        <v>7</v>
      </c>
      <c r="S20">
        <v>9.6176470588235696E-2</v>
      </c>
      <c r="T20" t="s">
        <v>8</v>
      </c>
      <c r="U20">
        <v>1.23310344827586</v>
      </c>
      <c r="V20" t="s">
        <v>9</v>
      </c>
      <c r="W20">
        <v>-0.74923076923076903</v>
      </c>
      <c r="X20" t="s">
        <v>10</v>
      </c>
      <c r="Y20">
        <v>0.202160466120583</v>
      </c>
      <c r="Z20" t="s">
        <v>11</v>
      </c>
      <c r="AA20" t="s">
        <v>708</v>
      </c>
      <c r="AB20" t="s">
        <v>601</v>
      </c>
      <c r="AC20">
        <v>0</v>
      </c>
      <c r="AD20" t="s">
        <v>14</v>
      </c>
      <c r="AE20" t="s">
        <v>15</v>
      </c>
      <c r="AF20" t="s">
        <v>709</v>
      </c>
      <c r="AG20" t="s">
        <v>618</v>
      </c>
      <c r="AH20">
        <v>0</v>
      </c>
      <c r="AI20" t="s">
        <v>18</v>
      </c>
    </row>
    <row r="21" spans="1:35" x14ac:dyDescent="0.3">
      <c r="A21" t="s">
        <v>925</v>
      </c>
      <c r="B21" t="s">
        <v>925</v>
      </c>
      <c r="C21" t="s">
        <v>113</v>
      </c>
      <c r="D21" t="s">
        <v>587</v>
      </c>
      <c r="E21">
        <v>5</v>
      </c>
      <c r="F21" t="s">
        <v>588</v>
      </c>
      <c r="G21" t="s">
        <v>589</v>
      </c>
      <c r="H21">
        <v>7.5</v>
      </c>
      <c r="I21" t="s">
        <v>590</v>
      </c>
      <c r="J21" t="s">
        <v>3</v>
      </c>
      <c r="K21" t="s">
        <v>4</v>
      </c>
      <c r="L21">
        <v>191</v>
      </c>
      <c r="M21" t="s">
        <v>5</v>
      </c>
      <c r="N21">
        <v>70</v>
      </c>
      <c r="O21" s="2">
        <f t="shared" si="0"/>
        <v>0.36649214659685864</v>
      </c>
      <c r="P21" t="s">
        <v>6</v>
      </c>
      <c r="Q21">
        <v>13.06</v>
      </c>
      <c r="R21" t="s">
        <v>7</v>
      </c>
      <c r="S21">
        <v>6.83769633507854E-2</v>
      </c>
      <c r="T21" t="s">
        <v>8</v>
      </c>
      <c r="U21">
        <v>0.997571428571428</v>
      </c>
      <c r="V21" t="s">
        <v>9</v>
      </c>
      <c r="W21">
        <v>-0.46917355371900799</v>
      </c>
      <c r="X21" t="s">
        <v>10</v>
      </c>
      <c r="Y21">
        <v>0.192264995860979</v>
      </c>
      <c r="Z21" t="s">
        <v>11</v>
      </c>
      <c r="AA21" t="s">
        <v>684</v>
      </c>
      <c r="AB21" t="s">
        <v>611</v>
      </c>
      <c r="AC21">
        <v>0</v>
      </c>
      <c r="AD21" t="s">
        <v>14</v>
      </c>
      <c r="AE21" t="s">
        <v>15</v>
      </c>
      <c r="AF21" t="s">
        <v>685</v>
      </c>
      <c r="AG21" t="s">
        <v>611</v>
      </c>
      <c r="AH21">
        <v>0</v>
      </c>
      <c r="AI21" t="s">
        <v>18</v>
      </c>
    </row>
    <row r="22" spans="1:35" x14ac:dyDescent="0.3">
      <c r="A22" t="s">
        <v>1066</v>
      </c>
      <c r="B22" t="s">
        <v>1066</v>
      </c>
      <c r="C22" t="s">
        <v>221</v>
      </c>
      <c r="D22" t="s">
        <v>587</v>
      </c>
      <c r="E22">
        <v>2.5</v>
      </c>
      <c r="F22" t="s">
        <v>588</v>
      </c>
      <c r="G22" t="s">
        <v>589</v>
      </c>
      <c r="H22">
        <v>5</v>
      </c>
      <c r="I22" t="s">
        <v>605</v>
      </c>
      <c r="J22" t="s">
        <v>40</v>
      </c>
      <c r="K22" t="s">
        <v>4</v>
      </c>
      <c r="L22">
        <v>40</v>
      </c>
      <c r="M22" t="s">
        <v>5</v>
      </c>
      <c r="N22">
        <v>18</v>
      </c>
      <c r="O22" s="2">
        <f t="shared" si="0"/>
        <v>0.45</v>
      </c>
      <c r="P22" t="s">
        <v>6</v>
      </c>
      <c r="Q22">
        <v>12.5544959970763</v>
      </c>
      <c r="R22" t="s">
        <v>7</v>
      </c>
      <c r="S22">
        <v>0.31386239992690901</v>
      </c>
      <c r="T22" t="s">
        <v>8</v>
      </c>
      <c r="U22">
        <v>1.63897154797364</v>
      </c>
      <c r="V22" t="s">
        <v>9</v>
      </c>
      <c r="W22">
        <v>-0.770317812111325</v>
      </c>
      <c r="X22" t="s">
        <v>10</v>
      </c>
      <c r="Y22">
        <v>0.12969154465866101</v>
      </c>
      <c r="Z22" t="s">
        <v>11</v>
      </c>
      <c r="AA22" t="s">
        <v>779</v>
      </c>
      <c r="AB22" t="s">
        <v>780</v>
      </c>
      <c r="AC22">
        <v>0</v>
      </c>
      <c r="AD22" t="s">
        <v>14</v>
      </c>
      <c r="AE22" t="s">
        <v>15</v>
      </c>
      <c r="AF22" t="s">
        <v>781</v>
      </c>
      <c r="AG22" t="s">
        <v>782</v>
      </c>
      <c r="AH22">
        <v>0</v>
      </c>
      <c r="AI22" t="s">
        <v>18</v>
      </c>
    </row>
    <row r="23" spans="1:35" x14ac:dyDescent="0.3">
      <c r="A23" t="s">
        <v>982</v>
      </c>
      <c r="B23" t="s">
        <v>982</v>
      </c>
      <c r="C23" t="s">
        <v>134</v>
      </c>
      <c r="D23" t="s">
        <v>587</v>
      </c>
      <c r="E23">
        <v>5</v>
      </c>
      <c r="F23" t="s">
        <v>588</v>
      </c>
      <c r="G23" t="s">
        <v>589</v>
      </c>
      <c r="H23">
        <v>7.5</v>
      </c>
      <c r="I23" t="s">
        <v>605</v>
      </c>
      <c r="J23" t="s">
        <v>40</v>
      </c>
      <c r="K23" t="s">
        <v>4</v>
      </c>
      <c r="L23">
        <v>177</v>
      </c>
      <c r="M23" t="s">
        <v>5</v>
      </c>
      <c r="N23">
        <v>51</v>
      </c>
      <c r="O23" s="2">
        <f t="shared" si="0"/>
        <v>0.28813559322033899</v>
      </c>
      <c r="P23" t="s">
        <v>6</v>
      </c>
      <c r="Q23">
        <v>10.855841015696001</v>
      </c>
      <c r="R23" t="s">
        <v>7</v>
      </c>
      <c r="S23">
        <v>6.1332435116926598E-2</v>
      </c>
      <c r="T23" t="s">
        <v>8</v>
      </c>
      <c r="U23">
        <v>1.56835898907835</v>
      </c>
      <c r="V23" t="s">
        <v>9</v>
      </c>
      <c r="W23">
        <v>-0.54865450339126998</v>
      </c>
      <c r="X23" t="s">
        <v>10</v>
      </c>
      <c r="Y23">
        <v>0.26735972000401598</v>
      </c>
      <c r="Z23" t="s">
        <v>11</v>
      </c>
      <c r="AA23" t="s">
        <v>708</v>
      </c>
      <c r="AB23" t="s">
        <v>601</v>
      </c>
      <c r="AC23">
        <v>0</v>
      </c>
      <c r="AD23" t="s">
        <v>14</v>
      </c>
      <c r="AE23" t="s">
        <v>15</v>
      </c>
      <c r="AF23" t="s">
        <v>736</v>
      </c>
      <c r="AG23" t="s">
        <v>737</v>
      </c>
      <c r="AH23">
        <v>0</v>
      </c>
      <c r="AI23" t="s">
        <v>18</v>
      </c>
    </row>
    <row r="24" spans="1:35" x14ac:dyDescent="0.3">
      <c r="A24" t="s">
        <v>1049</v>
      </c>
      <c r="B24" t="s">
        <v>1049</v>
      </c>
      <c r="C24" t="s">
        <v>221</v>
      </c>
      <c r="D24" t="s">
        <v>587</v>
      </c>
      <c r="E24">
        <v>0</v>
      </c>
      <c r="F24" t="s">
        <v>588</v>
      </c>
      <c r="G24" t="s">
        <v>589</v>
      </c>
      <c r="H24">
        <v>2.5</v>
      </c>
      <c r="I24" t="s">
        <v>599</v>
      </c>
      <c r="J24" t="s">
        <v>28</v>
      </c>
      <c r="K24" t="s">
        <v>4</v>
      </c>
      <c r="L24">
        <v>33</v>
      </c>
      <c r="M24" t="s">
        <v>5</v>
      </c>
      <c r="N24">
        <v>18</v>
      </c>
      <c r="O24" s="2">
        <f t="shared" si="0"/>
        <v>0.54545454545454541</v>
      </c>
      <c r="P24" t="s">
        <v>6</v>
      </c>
      <c r="Q24">
        <v>10.08</v>
      </c>
      <c r="R24" t="s">
        <v>7</v>
      </c>
      <c r="S24">
        <v>0.30545454545454598</v>
      </c>
      <c r="T24" t="s">
        <v>8</v>
      </c>
      <c r="U24">
        <v>1.25111111111111</v>
      </c>
      <c r="V24" t="s">
        <v>9</v>
      </c>
      <c r="W24">
        <v>-0.82933333333333104</v>
      </c>
      <c r="X24" t="s">
        <v>10</v>
      </c>
      <c r="Y24">
        <v>9.1658726827943696E-2</v>
      </c>
      <c r="Z24" t="s">
        <v>11</v>
      </c>
      <c r="AA24" t="s">
        <v>770</v>
      </c>
      <c r="AB24" t="s">
        <v>593</v>
      </c>
      <c r="AC24">
        <v>0</v>
      </c>
      <c r="AD24" t="s">
        <v>14</v>
      </c>
      <c r="AE24" t="s">
        <v>15</v>
      </c>
      <c r="AF24" t="s">
        <v>770</v>
      </c>
      <c r="AG24" t="s">
        <v>593</v>
      </c>
      <c r="AH24">
        <v>0</v>
      </c>
      <c r="AI24" t="s">
        <v>18</v>
      </c>
    </row>
    <row r="25" spans="1:35" x14ac:dyDescent="0.3">
      <c r="A25" t="s">
        <v>1045</v>
      </c>
      <c r="B25" t="s">
        <v>1045</v>
      </c>
      <c r="C25" t="s">
        <v>221</v>
      </c>
      <c r="D25" t="s">
        <v>587</v>
      </c>
      <c r="E25">
        <v>0</v>
      </c>
      <c r="F25" t="s">
        <v>588</v>
      </c>
      <c r="G25" t="s">
        <v>589</v>
      </c>
      <c r="H25">
        <v>2.5</v>
      </c>
      <c r="I25" t="s">
        <v>590</v>
      </c>
      <c r="J25" t="s">
        <v>3</v>
      </c>
      <c r="K25" t="s">
        <v>4</v>
      </c>
      <c r="L25">
        <v>35</v>
      </c>
      <c r="M25" t="s">
        <v>5</v>
      </c>
      <c r="N25">
        <v>19</v>
      </c>
      <c r="O25" s="2">
        <f t="shared" si="0"/>
        <v>0.54285714285714282</v>
      </c>
      <c r="P25" t="s">
        <v>6</v>
      </c>
      <c r="Q25">
        <v>9.6100000000000492</v>
      </c>
      <c r="R25" t="s">
        <v>7</v>
      </c>
      <c r="S25">
        <v>0.27457142857143002</v>
      </c>
      <c r="T25" t="s">
        <v>8</v>
      </c>
      <c r="U25">
        <v>1.1768421052631499</v>
      </c>
      <c r="V25" t="s">
        <v>9</v>
      </c>
      <c r="W25">
        <v>-0.796874999999998</v>
      </c>
      <c r="X25" t="s">
        <v>10</v>
      </c>
      <c r="Y25">
        <v>8.4675135295033704E-2</v>
      </c>
      <c r="Z25" t="s">
        <v>11</v>
      </c>
      <c r="AA25" t="s">
        <v>770</v>
      </c>
      <c r="AB25" t="s">
        <v>593</v>
      </c>
      <c r="AC25">
        <v>0</v>
      </c>
      <c r="AD25" t="s">
        <v>14</v>
      </c>
      <c r="AE25" t="s">
        <v>15</v>
      </c>
      <c r="AF25" t="s">
        <v>770</v>
      </c>
      <c r="AG25" t="s">
        <v>593</v>
      </c>
      <c r="AH25">
        <v>0</v>
      </c>
      <c r="AI25" t="s">
        <v>18</v>
      </c>
    </row>
    <row r="26" spans="1:35" x14ac:dyDescent="0.3">
      <c r="A26" t="s">
        <v>933</v>
      </c>
      <c r="B26" t="s">
        <v>933</v>
      </c>
      <c r="C26" t="s">
        <v>113</v>
      </c>
      <c r="D26" t="s">
        <v>587</v>
      </c>
      <c r="E26">
        <v>5</v>
      </c>
      <c r="F26" t="s">
        <v>588</v>
      </c>
      <c r="G26" t="s">
        <v>589</v>
      </c>
      <c r="H26">
        <v>7.5</v>
      </c>
      <c r="I26" t="s">
        <v>605</v>
      </c>
      <c r="J26" t="s">
        <v>38</v>
      </c>
      <c r="K26" t="s">
        <v>4</v>
      </c>
      <c r="L26">
        <v>247</v>
      </c>
      <c r="M26" t="s">
        <v>5</v>
      </c>
      <c r="N26">
        <v>97</v>
      </c>
      <c r="O26" s="2">
        <f t="shared" si="0"/>
        <v>0.39271255060728744</v>
      </c>
      <c r="P26" t="s">
        <v>6</v>
      </c>
      <c r="Q26">
        <v>8.7246844277388593</v>
      </c>
      <c r="R26" t="s">
        <v>7</v>
      </c>
      <c r="S26">
        <v>3.5322609019185602E-2</v>
      </c>
      <c r="T26" t="s">
        <v>8</v>
      </c>
      <c r="U26">
        <v>1.1404757217033199</v>
      </c>
      <c r="V26" t="s">
        <v>9</v>
      </c>
      <c r="W26">
        <v>-0.67934307051655396</v>
      </c>
      <c r="X26" t="s">
        <v>10</v>
      </c>
      <c r="Y26">
        <v>0.27088335596671798</v>
      </c>
      <c r="Z26" t="s">
        <v>11</v>
      </c>
      <c r="AA26" t="s">
        <v>699</v>
      </c>
      <c r="AB26" t="s">
        <v>700</v>
      </c>
    </row>
    <row r="27" spans="1:35" x14ac:dyDescent="0.3">
      <c r="A27" t="s">
        <v>1067</v>
      </c>
      <c r="B27" t="s">
        <v>1067</v>
      </c>
      <c r="C27" t="s">
        <v>221</v>
      </c>
      <c r="D27" t="s">
        <v>587</v>
      </c>
      <c r="E27">
        <v>2.5</v>
      </c>
      <c r="F27" t="s">
        <v>588</v>
      </c>
      <c r="G27" t="s">
        <v>589</v>
      </c>
      <c r="H27">
        <v>5</v>
      </c>
      <c r="I27" t="s">
        <v>605</v>
      </c>
      <c r="J27" t="s">
        <v>42</v>
      </c>
      <c r="K27" t="s">
        <v>4</v>
      </c>
      <c r="L27">
        <v>40</v>
      </c>
      <c r="M27" t="s">
        <v>5</v>
      </c>
      <c r="N27">
        <v>17</v>
      </c>
      <c r="O27" s="2">
        <f t="shared" si="0"/>
        <v>0.42499999999999999</v>
      </c>
      <c r="P27" t="s">
        <v>6</v>
      </c>
      <c r="Q27">
        <v>8.6652970821095607</v>
      </c>
      <c r="R27" t="s">
        <v>7</v>
      </c>
      <c r="S27">
        <v>0.216632427052739</v>
      </c>
      <c r="T27" t="s">
        <v>8</v>
      </c>
      <c r="U27">
        <v>1.5348405263858</v>
      </c>
      <c r="V27" t="s">
        <v>9</v>
      </c>
      <c r="W27">
        <v>-0.75769529854126705</v>
      </c>
      <c r="X27" t="s">
        <v>10</v>
      </c>
      <c r="Y27">
        <v>0.154727014285827</v>
      </c>
      <c r="Z27" t="s">
        <v>11</v>
      </c>
      <c r="AA27" t="s">
        <v>783</v>
      </c>
      <c r="AB27" t="s">
        <v>228</v>
      </c>
      <c r="AC27">
        <v>0</v>
      </c>
      <c r="AD27" t="s">
        <v>14</v>
      </c>
      <c r="AE27" t="s">
        <v>15</v>
      </c>
      <c r="AF27" t="s">
        <v>784</v>
      </c>
      <c r="AG27" t="s">
        <v>785</v>
      </c>
      <c r="AH27">
        <v>0</v>
      </c>
      <c r="AI27" t="s">
        <v>18</v>
      </c>
    </row>
    <row r="28" spans="1:35" x14ac:dyDescent="0.3">
      <c r="A28" t="s">
        <v>1046</v>
      </c>
      <c r="B28" t="s">
        <v>1046</v>
      </c>
      <c r="C28" t="s">
        <v>221</v>
      </c>
      <c r="D28" t="s">
        <v>587</v>
      </c>
      <c r="E28">
        <v>0</v>
      </c>
      <c r="F28" t="s">
        <v>588</v>
      </c>
      <c r="G28" t="s">
        <v>589</v>
      </c>
      <c r="H28">
        <v>2.5</v>
      </c>
      <c r="I28" t="s">
        <v>590</v>
      </c>
      <c r="J28" t="s">
        <v>19</v>
      </c>
      <c r="K28" t="s">
        <v>4</v>
      </c>
      <c r="L28">
        <v>35</v>
      </c>
      <c r="M28" t="s">
        <v>5</v>
      </c>
      <c r="N28">
        <v>18</v>
      </c>
      <c r="O28" s="2">
        <f t="shared" si="0"/>
        <v>0.51428571428571423</v>
      </c>
      <c r="P28" t="s">
        <v>6</v>
      </c>
      <c r="Q28">
        <v>8.4200000000000301</v>
      </c>
      <c r="R28" t="s">
        <v>7</v>
      </c>
      <c r="S28">
        <v>0.24057142857142899</v>
      </c>
      <c r="T28" t="s">
        <v>8</v>
      </c>
      <c r="U28">
        <v>1.2083333333333299</v>
      </c>
      <c r="V28" t="s">
        <v>9</v>
      </c>
      <c r="W28">
        <v>-0.78411764705882103</v>
      </c>
      <c r="X28" t="s">
        <v>10</v>
      </c>
      <c r="Y28">
        <v>8.7910667223607603E-2</v>
      </c>
      <c r="Z28" t="s">
        <v>11</v>
      </c>
      <c r="AA28" t="s">
        <v>770</v>
      </c>
      <c r="AB28" t="s">
        <v>593</v>
      </c>
      <c r="AC28">
        <v>0</v>
      </c>
      <c r="AD28" t="s">
        <v>14</v>
      </c>
      <c r="AE28" t="s">
        <v>15</v>
      </c>
      <c r="AF28" t="s">
        <v>770</v>
      </c>
      <c r="AG28" t="s">
        <v>593</v>
      </c>
      <c r="AH28">
        <v>0</v>
      </c>
      <c r="AI28" t="s">
        <v>18</v>
      </c>
    </row>
    <row r="29" spans="1:35" x14ac:dyDescent="0.3">
      <c r="A29" t="s">
        <v>1047</v>
      </c>
      <c r="B29" t="s">
        <v>1047</v>
      </c>
      <c r="C29" t="s">
        <v>221</v>
      </c>
      <c r="D29" t="s">
        <v>587</v>
      </c>
      <c r="E29">
        <v>0</v>
      </c>
      <c r="F29" t="s">
        <v>588</v>
      </c>
      <c r="G29" t="s">
        <v>589</v>
      </c>
      <c r="H29">
        <v>2.5</v>
      </c>
      <c r="I29" t="s">
        <v>590</v>
      </c>
      <c r="J29" t="s">
        <v>23</v>
      </c>
      <c r="K29" t="s">
        <v>4</v>
      </c>
      <c r="L29">
        <v>35</v>
      </c>
      <c r="M29" t="s">
        <v>5</v>
      </c>
      <c r="N29">
        <v>18</v>
      </c>
      <c r="O29" s="2">
        <f t="shared" si="0"/>
        <v>0.51428571428571423</v>
      </c>
      <c r="P29" t="s">
        <v>6</v>
      </c>
      <c r="Q29">
        <v>8.4200000000000301</v>
      </c>
      <c r="R29" t="s">
        <v>7</v>
      </c>
      <c r="S29">
        <v>0.24057142857142899</v>
      </c>
      <c r="T29" t="s">
        <v>8</v>
      </c>
      <c r="U29">
        <v>1.2083333333333299</v>
      </c>
      <c r="V29" t="s">
        <v>9</v>
      </c>
      <c r="W29">
        <v>-0.78411764705882103</v>
      </c>
      <c r="X29" t="s">
        <v>10</v>
      </c>
      <c r="Y29">
        <v>8.7910667223607603E-2</v>
      </c>
      <c r="Z29" t="s">
        <v>11</v>
      </c>
      <c r="AA29" t="s">
        <v>770</v>
      </c>
      <c r="AB29" t="s">
        <v>593</v>
      </c>
      <c r="AC29">
        <v>0</v>
      </c>
      <c r="AD29" t="s">
        <v>14</v>
      </c>
      <c r="AE29" t="s">
        <v>15</v>
      </c>
      <c r="AF29" t="s">
        <v>770</v>
      </c>
      <c r="AG29" t="s">
        <v>593</v>
      </c>
      <c r="AH29">
        <v>0</v>
      </c>
      <c r="AI29" t="s">
        <v>18</v>
      </c>
    </row>
    <row r="30" spans="1:35" x14ac:dyDescent="0.3">
      <c r="A30" t="s">
        <v>1048</v>
      </c>
      <c r="B30" t="s">
        <v>1048</v>
      </c>
      <c r="C30" t="s">
        <v>221</v>
      </c>
      <c r="D30" t="s">
        <v>587</v>
      </c>
      <c r="E30">
        <v>0</v>
      </c>
      <c r="F30" t="s">
        <v>588</v>
      </c>
      <c r="G30" t="s">
        <v>589</v>
      </c>
      <c r="H30">
        <v>2.5</v>
      </c>
      <c r="I30" t="s">
        <v>590</v>
      </c>
      <c r="J30" t="s">
        <v>26</v>
      </c>
      <c r="K30" t="s">
        <v>4</v>
      </c>
      <c r="L30">
        <v>35</v>
      </c>
      <c r="M30" t="s">
        <v>5</v>
      </c>
      <c r="N30">
        <v>18</v>
      </c>
      <c r="O30" s="2">
        <f t="shared" si="0"/>
        <v>0.51428571428571423</v>
      </c>
      <c r="P30" t="s">
        <v>6</v>
      </c>
      <c r="Q30">
        <v>8.4200000000000301</v>
      </c>
      <c r="R30" t="s">
        <v>7</v>
      </c>
      <c r="S30">
        <v>0.24057142857142899</v>
      </c>
      <c r="T30" t="s">
        <v>8</v>
      </c>
      <c r="U30">
        <v>1.2083333333333299</v>
      </c>
      <c r="V30" t="s">
        <v>9</v>
      </c>
      <c r="W30">
        <v>-0.78411764705882103</v>
      </c>
      <c r="X30" t="s">
        <v>10</v>
      </c>
      <c r="Y30">
        <v>8.7910667223607603E-2</v>
      </c>
      <c r="Z30" t="s">
        <v>11</v>
      </c>
      <c r="AA30" t="s">
        <v>770</v>
      </c>
      <c r="AB30" t="s">
        <v>593</v>
      </c>
      <c r="AC30">
        <v>0</v>
      </c>
      <c r="AD30" t="s">
        <v>14</v>
      </c>
      <c r="AE30" t="s">
        <v>15</v>
      </c>
      <c r="AF30" t="s">
        <v>770</v>
      </c>
      <c r="AG30" t="s">
        <v>593</v>
      </c>
      <c r="AH30">
        <v>0</v>
      </c>
      <c r="AI30" t="s">
        <v>18</v>
      </c>
    </row>
    <row r="31" spans="1:35" x14ac:dyDescent="0.3">
      <c r="A31" t="s">
        <v>1062</v>
      </c>
      <c r="B31" t="s">
        <v>1062</v>
      </c>
      <c r="C31" t="s">
        <v>221</v>
      </c>
      <c r="D31" t="s">
        <v>587</v>
      </c>
      <c r="E31">
        <v>2.5</v>
      </c>
      <c r="F31" t="s">
        <v>588</v>
      </c>
      <c r="G31" t="s">
        <v>589</v>
      </c>
      <c r="H31">
        <v>5</v>
      </c>
      <c r="I31" t="s">
        <v>599</v>
      </c>
      <c r="J31" t="s">
        <v>30</v>
      </c>
      <c r="K31" t="s">
        <v>4</v>
      </c>
      <c r="L31">
        <v>33</v>
      </c>
      <c r="M31" t="s">
        <v>5</v>
      </c>
      <c r="N31">
        <v>15</v>
      </c>
      <c r="O31" s="2">
        <f t="shared" si="0"/>
        <v>0.45454545454545453</v>
      </c>
      <c r="P31" t="s">
        <v>6</v>
      </c>
      <c r="Q31">
        <v>8.1600000000000197</v>
      </c>
      <c r="R31" t="s">
        <v>7</v>
      </c>
      <c r="S31">
        <v>0.24727272727272701</v>
      </c>
      <c r="T31" t="s">
        <v>8</v>
      </c>
      <c r="U31">
        <v>1.42733333333333</v>
      </c>
      <c r="V31" t="s">
        <v>9</v>
      </c>
      <c r="W31">
        <v>-0.73611111111111105</v>
      </c>
      <c r="X31" t="s">
        <v>10</v>
      </c>
      <c r="Y31">
        <v>9.0003706984656803E-2</v>
      </c>
      <c r="Z31" t="s">
        <v>11</v>
      </c>
      <c r="AA31" t="s">
        <v>778</v>
      </c>
      <c r="AB31" t="s">
        <v>197</v>
      </c>
      <c r="AC31">
        <v>0</v>
      </c>
      <c r="AD31" t="s">
        <v>14</v>
      </c>
      <c r="AE31" t="s">
        <v>15</v>
      </c>
      <c r="AF31" t="s">
        <v>776</v>
      </c>
      <c r="AG31" t="s">
        <v>777</v>
      </c>
      <c r="AH31">
        <v>0</v>
      </c>
      <c r="AI31" t="s">
        <v>18</v>
      </c>
    </row>
    <row r="32" spans="1:35" x14ac:dyDescent="0.3">
      <c r="A32" t="s">
        <v>1063</v>
      </c>
      <c r="B32" t="s">
        <v>1063</v>
      </c>
      <c r="C32" t="s">
        <v>221</v>
      </c>
      <c r="D32" t="s">
        <v>587</v>
      </c>
      <c r="E32">
        <v>2.5</v>
      </c>
      <c r="F32" t="s">
        <v>588</v>
      </c>
      <c r="G32" t="s">
        <v>589</v>
      </c>
      <c r="H32">
        <v>5</v>
      </c>
      <c r="I32" t="s">
        <v>599</v>
      </c>
      <c r="J32" t="s">
        <v>33</v>
      </c>
      <c r="K32" t="s">
        <v>4</v>
      </c>
      <c r="L32">
        <v>33</v>
      </c>
      <c r="M32" t="s">
        <v>5</v>
      </c>
      <c r="N32">
        <v>15</v>
      </c>
      <c r="O32" s="2">
        <f t="shared" si="0"/>
        <v>0.45454545454545453</v>
      </c>
      <c r="P32" t="s">
        <v>6</v>
      </c>
      <c r="Q32">
        <v>8.1600000000000197</v>
      </c>
      <c r="R32" t="s">
        <v>7</v>
      </c>
      <c r="S32">
        <v>0.24727272727272701</v>
      </c>
      <c r="T32" t="s">
        <v>8</v>
      </c>
      <c r="U32">
        <v>1.42733333333333</v>
      </c>
      <c r="V32" t="s">
        <v>9</v>
      </c>
      <c r="W32">
        <v>-0.73611111111111105</v>
      </c>
      <c r="X32" t="s">
        <v>10</v>
      </c>
      <c r="Y32">
        <v>9.0003706984656803E-2</v>
      </c>
      <c r="Z32" t="s">
        <v>11</v>
      </c>
      <c r="AA32" t="s">
        <v>778</v>
      </c>
      <c r="AB32" t="s">
        <v>197</v>
      </c>
      <c r="AC32">
        <v>0</v>
      </c>
      <c r="AD32" t="s">
        <v>14</v>
      </c>
      <c r="AE32" t="s">
        <v>15</v>
      </c>
      <c r="AF32" t="s">
        <v>776</v>
      </c>
      <c r="AG32" t="s">
        <v>777</v>
      </c>
      <c r="AH32">
        <v>0</v>
      </c>
      <c r="AI32" t="s">
        <v>18</v>
      </c>
    </row>
    <row r="33" spans="1:35" x14ac:dyDescent="0.3">
      <c r="A33" t="s">
        <v>1064</v>
      </c>
      <c r="B33" t="s">
        <v>1064</v>
      </c>
      <c r="C33" t="s">
        <v>221</v>
      </c>
      <c r="D33" t="s">
        <v>587</v>
      </c>
      <c r="E33">
        <v>2.5</v>
      </c>
      <c r="F33" t="s">
        <v>588</v>
      </c>
      <c r="G33" t="s">
        <v>589</v>
      </c>
      <c r="H33">
        <v>5</v>
      </c>
      <c r="I33" t="s">
        <v>599</v>
      </c>
      <c r="J33" t="s">
        <v>36</v>
      </c>
      <c r="K33" t="s">
        <v>4</v>
      </c>
      <c r="L33">
        <v>33</v>
      </c>
      <c r="M33" t="s">
        <v>5</v>
      </c>
      <c r="N33">
        <v>15</v>
      </c>
      <c r="O33" s="2">
        <f t="shared" si="0"/>
        <v>0.45454545454545453</v>
      </c>
      <c r="P33" t="s">
        <v>6</v>
      </c>
      <c r="Q33">
        <v>8.1600000000000197</v>
      </c>
      <c r="R33" t="s">
        <v>7</v>
      </c>
      <c r="S33">
        <v>0.24727272727272701</v>
      </c>
      <c r="T33" t="s">
        <v>8</v>
      </c>
      <c r="U33">
        <v>1.42733333333333</v>
      </c>
      <c r="V33" t="s">
        <v>9</v>
      </c>
      <c r="W33">
        <v>-0.73611111111111105</v>
      </c>
      <c r="X33" t="s">
        <v>10</v>
      </c>
      <c r="Y33">
        <v>9.0003706984656803E-2</v>
      </c>
      <c r="Z33" t="s">
        <v>11</v>
      </c>
      <c r="AA33" t="s">
        <v>778</v>
      </c>
      <c r="AB33" t="s">
        <v>197</v>
      </c>
      <c r="AC33">
        <v>0</v>
      </c>
      <c r="AD33" t="s">
        <v>14</v>
      </c>
      <c r="AE33" t="s">
        <v>15</v>
      </c>
      <c r="AF33" t="s">
        <v>776</v>
      </c>
      <c r="AG33" t="s">
        <v>777</v>
      </c>
      <c r="AH33">
        <v>0</v>
      </c>
      <c r="AI33" t="s">
        <v>18</v>
      </c>
    </row>
    <row r="34" spans="1:35" x14ac:dyDescent="0.3">
      <c r="A34" t="s">
        <v>992</v>
      </c>
      <c r="B34" t="s">
        <v>992</v>
      </c>
      <c r="C34" t="s">
        <v>134</v>
      </c>
      <c r="D34" t="s">
        <v>587</v>
      </c>
      <c r="E34">
        <v>7.5</v>
      </c>
      <c r="F34" t="s">
        <v>588</v>
      </c>
      <c r="G34" t="s">
        <v>589</v>
      </c>
      <c r="H34">
        <v>10</v>
      </c>
      <c r="I34" t="s">
        <v>599</v>
      </c>
      <c r="J34" t="s">
        <v>36</v>
      </c>
      <c r="K34" t="s">
        <v>4</v>
      </c>
      <c r="L34">
        <v>136</v>
      </c>
      <c r="M34" t="s">
        <v>5</v>
      </c>
      <c r="N34">
        <v>26</v>
      </c>
      <c r="O34" s="2">
        <f t="shared" si="0"/>
        <v>0.19117647058823528</v>
      </c>
      <c r="P34" t="s">
        <v>6</v>
      </c>
      <c r="Q34">
        <v>8.1538835682532902</v>
      </c>
      <c r="R34" t="s">
        <v>7</v>
      </c>
      <c r="S34">
        <v>5.9955026237156497E-2</v>
      </c>
      <c r="T34" t="s">
        <v>8</v>
      </c>
      <c r="U34">
        <v>1.9666878295482</v>
      </c>
      <c r="V34" t="s">
        <v>9</v>
      </c>
      <c r="W34">
        <v>-0.39072727272727198</v>
      </c>
      <c r="X34" t="s">
        <v>10</v>
      </c>
      <c r="Y34">
        <v>0.192249297762081</v>
      </c>
      <c r="Z34" t="s">
        <v>11</v>
      </c>
      <c r="AA34" t="s">
        <v>746</v>
      </c>
      <c r="AB34" t="s">
        <v>21</v>
      </c>
      <c r="AC34">
        <v>0</v>
      </c>
      <c r="AD34" t="s">
        <v>14</v>
      </c>
      <c r="AE34" t="s">
        <v>15</v>
      </c>
      <c r="AF34" t="s">
        <v>746</v>
      </c>
      <c r="AG34" t="s">
        <v>21</v>
      </c>
      <c r="AH34">
        <v>0</v>
      </c>
      <c r="AI34" t="s">
        <v>18</v>
      </c>
    </row>
    <row r="35" spans="1:35" x14ac:dyDescent="0.3">
      <c r="A35" t="s">
        <v>1050</v>
      </c>
      <c r="B35" t="s">
        <v>1050</v>
      </c>
      <c r="C35" t="s">
        <v>221</v>
      </c>
      <c r="D35" t="s">
        <v>587</v>
      </c>
      <c r="E35">
        <v>0</v>
      </c>
      <c r="F35" t="s">
        <v>588</v>
      </c>
      <c r="G35" t="s">
        <v>589</v>
      </c>
      <c r="H35">
        <v>2.5</v>
      </c>
      <c r="I35" t="s">
        <v>599</v>
      </c>
      <c r="J35" t="s">
        <v>30</v>
      </c>
      <c r="K35" t="s">
        <v>4</v>
      </c>
      <c r="L35">
        <v>33</v>
      </c>
      <c r="M35" t="s">
        <v>5</v>
      </c>
      <c r="N35">
        <v>17</v>
      </c>
      <c r="O35" s="2">
        <f t="shared" si="0"/>
        <v>0.51515151515151514</v>
      </c>
      <c r="P35" t="s">
        <v>6</v>
      </c>
      <c r="Q35">
        <v>7.7000000000000304</v>
      </c>
      <c r="R35" t="s">
        <v>7</v>
      </c>
      <c r="S35">
        <v>0.233333333333334</v>
      </c>
      <c r="T35" t="s">
        <v>8</v>
      </c>
      <c r="U35">
        <v>1.21882352941176</v>
      </c>
      <c r="V35" t="s">
        <v>9</v>
      </c>
      <c r="W35">
        <v>-0.81374999999999797</v>
      </c>
      <c r="X35" t="s">
        <v>10</v>
      </c>
      <c r="Y35">
        <v>9.8967309727971201E-2</v>
      </c>
      <c r="Z35" t="s">
        <v>11</v>
      </c>
      <c r="AA35" t="s">
        <v>770</v>
      </c>
      <c r="AB35" t="s">
        <v>593</v>
      </c>
      <c r="AC35">
        <v>0</v>
      </c>
      <c r="AD35" t="s">
        <v>14</v>
      </c>
      <c r="AE35" t="s">
        <v>15</v>
      </c>
      <c r="AF35" t="s">
        <v>770</v>
      </c>
      <c r="AG35" t="s">
        <v>593</v>
      </c>
      <c r="AH35">
        <v>0</v>
      </c>
      <c r="AI35" t="s">
        <v>18</v>
      </c>
    </row>
    <row r="36" spans="1:35" x14ac:dyDescent="0.3">
      <c r="A36" t="s">
        <v>1051</v>
      </c>
      <c r="B36" t="s">
        <v>1051</v>
      </c>
      <c r="C36" t="s">
        <v>221</v>
      </c>
      <c r="D36" t="s">
        <v>587</v>
      </c>
      <c r="E36">
        <v>0</v>
      </c>
      <c r="F36" t="s">
        <v>588</v>
      </c>
      <c r="G36" t="s">
        <v>589</v>
      </c>
      <c r="H36">
        <v>2.5</v>
      </c>
      <c r="I36" t="s">
        <v>599</v>
      </c>
      <c r="J36" t="s">
        <v>33</v>
      </c>
      <c r="K36" t="s">
        <v>4</v>
      </c>
      <c r="L36">
        <v>33</v>
      </c>
      <c r="M36" t="s">
        <v>5</v>
      </c>
      <c r="N36">
        <v>17</v>
      </c>
      <c r="O36" s="2">
        <f t="shared" si="0"/>
        <v>0.51515151515151514</v>
      </c>
      <c r="P36" t="s">
        <v>6</v>
      </c>
      <c r="Q36">
        <v>7.7000000000000304</v>
      </c>
      <c r="R36" t="s">
        <v>7</v>
      </c>
      <c r="S36">
        <v>0.233333333333334</v>
      </c>
      <c r="T36" t="s">
        <v>8</v>
      </c>
      <c r="U36">
        <v>1.21882352941176</v>
      </c>
      <c r="V36" t="s">
        <v>9</v>
      </c>
      <c r="W36">
        <v>-0.81374999999999797</v>
      </c>
      <c r="X36" t="s">
        <v>10</v>
      </c>
      <c r="Y36">
        <v>9.8967309727971201E-2</v>
      </c>
      <c r="Z36" t="s">
        <v>11</v>
      </c>
      <c r="AA36" t="s">
        <v>770</v>
      </c>
      <c r="AB36" t="s">
        <v>593</v>
      </c>
      <c r="AC36">
        <v>0</v>
      </c>
      <c r="AD36" t="s">
        <v>14</v>
      </c>
      <c r="AE36" t="s">
        <v>15</v>
      </c>
      <c r="AF36" t="s">
        <v>770</v>
      </c>
      <c r="AG36" t="s">
        <v>593</v>
      </c>
      <c r="AH36">
        <v>0</v>
      </c>
      <c r="AI36" t="s">
        <v>18</v>
      </c>
    </row>
    <row r="37" spans="1:35" x14ac:dyDescent="0.3">
      <c r="A37" t="s">
        <v>1052</v>
      </c>
      <c r="B37" t="s">
        <v>1052</v>
      </c>
      <c r="C37" t="s">
        <v>221</v>
      </c>
      <c r="D37" t="s">
        <v>587</v>
      </c>
      <c r="E37">
        <v>0</v>
      </c>
      <c r="F37" t="s">
        <v>588</v>
      </c>
      <c r="G37" t="s">
        <v>589</v>
      </c>
      <c r="H37">
        <v>2.5</v>
      </c>
      <c r="I37" t="s">
        <v>599</v>
      </c>
      <c r="J37" t="s">
        <v>36</v>
      </c>
      <c r="K37" t="s">
        <v>4</v>
      </c>
      <c r="L37">
        <v>33</v>
      </c>
      <c r="M37" t="s">
        <v>5</v>
      </c>
      <c r="N37">
        <v>17</v>
      </c>
      <c r="O37" s="2">
        <f t="shared" si="0"/>
        <v>0.51515151515151514</v>
      </c>
      <c r="P37" t="s">
        <v>6</v>
      </c>
      <c r="Q37">
        <v>7.7000000000000304</v>
      </c>
      <c r="R37" t="s">
        <v>7</v>
      </c>
      <c r="S37">
        <v>0.233333333333334</v>
      </c>
      <c r="T37" t="s">
        <v>8</v>
      </c>
      <c r="U37">
        <v>1.21882352941176</v>
      </c>
      <c r="V37" t="s">
        <v>9</v>
      </c>
      <c r="W37">
        <v>-0.81374999999999797</v>
      </c>
      <c r="X37" t="s">
        <v>10</v>
      </c>
      <c r="Y37">
        <v>9.8967309727971201E-2</v>
      </c>
      <c r="Z37" t="s">
        <v>11</v>
      </c>
      <c r="AA37" t="s">
        <v>770</v>
      </c>
      <c r="AB37" t="s">
        <v>593</v>
      </c>
      <c r="AC37">
        <v>0</v>
      </c>
      <c r="AD37" t="s">
        <v>14</v>
      </c>
      <c r="AE37" t="s">
        <v>15</v>
      </c>
      <c r="AF37" t="s">
        <v>770</v>
      </c>
      <c r="AG37" t="s">
        <v>593</v>
      </c>
      <c r="AH37">
        <v>0</v>
      </c>
      <c r="AI37" t="s">
        <v>18</v>
      </c>
    </row>
    <row r="38" spans="1:35" x14ac:dyDescent="0.3">
      <c r="A38" t="s">
        <v>991</v>
      </c>
      <c r="B38" t="s">
        <v>991</v>
      </c>
      <c r="C38" t="s">
        <v>134</v>
      </c>
      <c r="D38" t="s">
        <v>587</v>
      </c>
      <c r="E38">
        <v>7.5</v>
      </c>
      <c r="F38" t="s">
        <v>588</v>
      </c>
      <c r="G38" t="s">
        <v>589</v>
      </c>
      <c r="H38">
        <v>10</v>
      </c>
      <c r="I38" t="s">
        <v>599</v>
      </c>
      <c r="J38" t="s">
        <v>33</v>
      </c>
      <c r="K38" t="s">
        <v>4</v>
      </c>
      <c r="L38">
        <v>136</v>
      </c>
      <c r="M38" t="s">
        <v>5</v>
      </c>
      <c r="N38">
        <v>28</v>
      </c>
      <c r="O38" s="2">
        <f t="shared" si="0"/>
        <v>0.20588235294117646</v>
      </c>
      <c r="P38" t="s">
        <v>6</v>
      </c>
      <c r="Q38">
        <v>7.5938835682532702</v>
      </c>
      <c r="R38" t="s">
        <v>7</v>
      </c>
      <c r="S38">
        <v>5.5837379178332897E-2</v>
      </c>
      <c r="T38" t="s">
        <v>8</v>
      </c>
      <c r="U38">
        <v>1.7869244131519</v>
      </c>
      <c r="V38" t="s">
        <v>9</v>
      </c>
      <c r="W38">
        <v>-0.39296296296296301</v>
      </c>
      <c r="X38" t="s">
        <v>10</v>
      </c>
      <c r="Y38">
        <v>0.18817840838374</v>
      </c>
      <c r="Z38" t="s">
        <v>11</v>
      </c>
      <c r="AA38" t="s">
        <v>746</v>
      </c>
      <c r="AB38" t="s">
        <v>21</v>
      </c>
      <c r="AC38">
        <v>0</v>
      </c>
      <c r="AD38" t="s">
        <v>14</v>
      </c>
      <c r="AE38" t="s">
        <v>15</v>
      </c>
      <c r="AF38" t="s">
        <v>746</v>
      </c>
      <c r="AG38" t="s">
        <v>21</v>
      </c>
      <c r="AH38">
        <v>0</v>
      </c>
      <c r="AI38" t="s">
        <v>18</v>
      </c>
    </row>
    <row r="39" spans="1:35" x14ac:dyDescent="0.3">
      <c r="A39" t="s">
        <v>1077</v>
      </c>
      <c r="B39" t="s">
        <v>1077</v>
      </c>
      <c r="C39" t="s">
        <v>221</v>
      </c>
      <c r="D39" t="s">
        <v>587</v>
      </c>
      <c r="E39">
        <v>5</v>
      </c>
      <c r="F39" t="s">
        <v>588</v>
      </c>
      <c r="G39" t="s">
        <v>589</v>
      </c>
      <c r="H39">
        <v>7.5</v>
      </c>
      <c r="I39" t="s">
        <v>605</v>
      </c>
      <c r="J39" t="s">
        <v>38</v>
      </c>
      <c r="K39" t="s">
        <v>4</v>
      </c>
      <c r="L39">
        <v>40</v>
      </c>
      <c r="M39" t="s">
        <v>5</v>
      </c>
      <c r="N39">
        <v>19</v>
      </c>
      <c r="O39" s="2">
        <f t="shared" si="0"/>
        <v>0.47499999999999998</v>
      </c>
      <c r="P39" t="s">
        <v>6</v>
      </c>
      <c r="Q39">
        <v>7.5045252151846196</v>
      </c>
      <c r="R39" t="s">
        <v>7</v>
      </c>
      <c r="S39">
        <v>0.187613130379615</v>
      </c>
      <c r="T39" t="s">
        <v>8</v>
      </c>
      <c r="U39">
        <v>1.1204235027762399</v>
      </c>
      <c r="V39" t="s">
        <v>9</v>
      </c>
      <c r="W39">
        <v>-0.65635815893161897</v>
      </c>
      <c r="X39" t="s">
        <v>10</v>
      </c>
      <c r="Y39">
        <v>7.9200374946633206E-2</v>
      </c>
      <c r="Z39" t="s">
        <v>11</v>
      </c>
      <c r="AA39" t="s">
        <v>790</v>
      </c>
      <c r="AB39" t="s">
        <v>614</v>
      </c>
      <c r="AC39">
        <v>0</v>
      </c>
      <c r="AD39" t="s">
        <v>14</v>
      </c>
      <c r="AE39" t="s">
        <v>15</v>
      </c>
      <c r="AF39" t="s">
        <v>795</v>
      </c>
      <c r="AG39" t="s">
        <v>675</v>
      </c>
      <c r="AH39">
        <v>0</v>
      </c>
      <c r="AI39" t="s">
        <v>18</v>
      </c>
    </row>
    <row r="40" spans="1:35" x14ac:dyDescent="0.3">
      <c r="A40" t="s">
        <v>1061</v>
      </c>
      <c r="B40" t="s">
        <v>1061</v>
      </c>
      <c r="C40" t="s">
        <v>221</v>
      </c>
      <c r="D40" t="s">
        <v>587</v>
      </c>
      <c r="E40">
        <v>2.5</v>
      </c>
      <c r="F40" t="s">
        <v>588</v>
      </c>
      <c r="G40" t="s">
        <v>589</v>
      </c>
      <c r="H40">
        <v>5</v>
      </c>
      <c r="I40" t="s">
        <v>599</v>
      </c>
      <c r="J40" t="s">
        <v>28</v>
      </c>
      <c r="K40" t="s">
        <v>4</v>
      </c>
      <c r="L40">
        <v>33</v>
      </c>
      <c r="M40" t="s">
        <v>5</v>
      </c>
      <c r="N40">
        <v>16</v>
      </c>
      <c r="O40" s="2">
        <f t="shared" si="0"/>
        <v>0.48484848484848486</v>
      </c>
      <c r="P40" t="s">
        <v>6</v>
      </c>
      <c r="Q40">
        <v>6.6200000000000196</v>
      </c>
      <c r="R40" t="s">
        <v>7</v>
      </c>
      <c r="S40">
        <v>0.20060606060606101</v>
      </c>
      <c r="T40" t="s">
        <v>8</v>
      </c>
      <c r="U40">
        <v>1.2112499999999999</v>
      </c>
      <c r="V40" t="s">
        <v>9</v>
      </c>
      <c r="W40">
        <v>-0.750588235294117</v>
      </c>
      <c r="X40" t="s">
        <v>10</v>
      </c>
      <c r="Y40">
        <v>8.3520903773447397E-2</v>
      </c>
      <c r="Z40" t="s">
        <v>11</v>
      </c>
      <c r="AA40" t="s">
        <v>775</v>
      </c>
      <c r="AB40" t="s">
        <v>614</v>
      </c>
      <c r="AC40">
        <v>0</v>
      </c>
      <c r="AD40" t="s">
        <v>14</v>
      </c>
      <c r="AE40" t="s">
        <v>15</v>
      </c>
      <c r="AF40" t="s">
        <v>776</v>
      </c>
      <c r="AG40" t="s">
        <v>777</v>
      </c>
      <c r="AH40">
        <v>0</v>
      </c>
      <c r="AI40" t="s">
        <v>18</v>
      </c>
    </row>
    <row r="41" spans="1:35" x14ac:dyDescent="0.3">
      <c r="A41" t="s">
        <v>918</v>
      </c>
      <c r="B41" t="s">
        <v>918</v>
      </c>
      <c r="C41" t="s">
        <v>113</v>
      </c>
      <c r="D41" t="s">
        <v>587</v>
      </c>
      <c r="E41">
        <v>2.5</v>
      </c>
      <c r="F41" t="s">
        <v>588</v>
      </c>
      <c r="G41" t="s">
        <v>589</v>
      </c>
      <c r="H41">
        <v>5</v>
      </c>
      <c r="I41" t="s">
        <v>599</v>
      </c>
      <c r="J41" t="s">
        <v>30</v>
      </c>
      <c r="K41" t="s">
        <v>4</v>
      </c>
      <c r="L41">
        <v>200</v>
      </c>
      <c r="M41" t="s">
        <v>5</v>
      </c>
      <c r="N41">
        <v>68</v>
      </c>
      <c r="O41" s="2">
        <f t="shared" si="0"/>
        <v>0.34</v>
      </c>
      <c r="P41" t="s">
        <v>6</v>
      </c>
      <c r="Q41">
        <v>6.4407785272103402</v>
      </c>
      <c r="R41" t="s">
        <v>7</v>
      </c>
      <c r="S41">
        <v>3.2203892636051702E-2</v>
      </c>
      <c r="T41" t="s">
        <v>8</v>
      </c>
      <c r="U41">
        <v>1.4525357111450601</v>
      </c>
      <c r="V41" t="s">
        <v>9</v>
      </c>
      <c r="W41">
        <v>-0.69948219568677095</v>
      </c>
      <c r="X41" t="s">
        <v>10</v>
      </c>
      <c r="Y41">
        <v>0.31141931347297902</v>
      </c>
      <c r="Z41" t="s">
        <v>11</v>
      </c>
      <c r="AA41" t="s">
        <v>674</v>
      </c>
      <c r="AB41" t="s">
        <v>675</v>
      </c>
      <c r="AC41">
        <v>0</v>
      </c>
      <c r="AD41" t="s">
        <v>14</v>
      </c>
      <c r="AE41" t="s">
        <v>15</v>
      </c>
      <c r="AF41" t="s">
        <v>676</v>
      </c>
      <c r="AG41" t="s">
        <v>677</v>
      </c>
      <c r="AH41">
        <v>0</v>
      </c>
      <c r="AI41" t="s">
        <v>18</v>
      </c>
    </row>
    <row r="42" spans="1:35" x14ac:dyDescent="0.3">
      <c r="A42" t="s">
        <v>965</v>
      </c>
      <c r="B42" t="s">
        <v>965</v>
      </c>
      <c r="C42" t="s">
        <v>134</v>
      </c>
      <c r="D42" t="s">
        <v>587</v>
      </c>
      <c r="E42">
        <v>2.5</v>
      </c>
      <c r="F42" t="s">
        <v>588</v>
      </c>
      <c r="G42" t="s">
        <v>589</v>
      </c>
      <c r="H42">
        <v>5</v>
      </c>
      <c r="I42" t="s">
        <v>599</v>
      </c>
      <c r="J42" t="s">
        <v>28</v>
      </c>
      <c r="K42" t="s">
        <v>4</v>
      </c>
      <c r="L42">
        <v>136</v>
      </c>
      <c r="M42" t="s">
        <v>5</v>
      </c>
      <c r="N42">
        <v>52</v>
      </c>
      <c r="O42" s="2">
        <f t="shared" si="0"/>
        <v>0.38235294117647056</v>
      </c>
      <c r="P42" t="s">
        <v>6</v>
      </c>
      <c r="Q42">
        <v>6.4099999999999904</v>
      </c>
      <c r="R42" t="s">
        <v>7</v>
      </c>
      <c r="S42">
        <v>4.7132352941176403E-2</v>
      </c>
      <c r="T42" t="s">
        <v>8</v>
      </c>
      <c r="U42">
        <v>1.1551923076923001</v>
      </c>
      <c r="V42" t="s">
        <v>9</v>
      </c>
      <c r="W42">
        <v>-0.63880952380952305</v>
      </c>
      <c r="X42" t="s">
        <v>10</v>
      </c>
      <c r="Y42">
        <v>0.18077103927431601</v>
      </c>
      <c r="Z42" t="s">
        <v>11</v>
      </c>
      <c r="AA42" t="s">
        <v>714</v>
      </c>
      <c r="AB42" t="s">
        <v>715</v>
      </c>
      <c r="AC42">
        <v>0</v>
      </c>
      <c r="AD42" t="s">
        <v>14</v>
      </c>
      <c r="AE42" t="s">
        <v>15</v>
      </c>
      <c r="AF42" t="s">
        <v>716</v>
      </c>
      <c r="AG42" t="s">
        <v>232</v>
      </c>
      <c r="AH42">
        <v>0</v>
      </c>
      <c r="AI42" t="s">
        <v>18</v>
      </c>
    </row>
    <row r="43" spans="1:35" x14ac:dyDescent="0.3">
      <c r="A43" t="s">
        <v>977</v>
      </c>
      <c r="B43" t="s">
        <v>977</v>
      </c>
      <c r="C43" t="s">
        <v>134</v>
      </c>
      <c r="D43" t="s">
        <v>587</v>
      </c>
      <c r="E43">
        <v>5</v>
      </c>
      <c r="F43" t="s">
        <v>588</v>
      </c>
      <c r="G43" t="s">
        <v>589</v>
      </c>
      <c r="H43">
        <v>7.5</v>
      </c>
      <c r="I43" t="s">
        <v>599</v>
      </c>
      <c r="J43" t="s">
        <v>28</v>
      </c>
      <c r="K43" t="s">
        <v>4</v>
      </c>
      <c r="L43">
        <v>136</v>
      </c>
      <c r="M43" t="s">
        <v>5</v>
      </c>
      <c r="N43">
        <v>52</v>
      </c>
      <c r="O43" s="2">
        <f t="shared" si="0"/>
        <v>0.38235294117647056</v>
      </c>
      <c r="P43" t="s">
        <v>6</v>
      </c>
      <c r="Q43">
        <v>5.6400000000000299</v>
      </c>
      <c r="R43" t="s">
        <v>7</v>
      </c>
      <c r="S43">
        <v>4.1470588235294301E-2</v>
      </c>
      <c r="T43" t="s">
        <v>8</v>
      </c>
      <c r="U43">
        <v>0.91884615384615398</v>
      </c>
      <c r="V43" t="s">
        <v>9</v>
      </c>
      <c r="W43">
        <v>-0.50166666666666604</v>
      </c>
      <c r="X43" t="s">
        <v>10</v>
      </c>
      <c r="Y43">
        <v>0.14734267111962901</v>
      </c>
      <c r="Z43" t="s">
        <v>11</v>
      </c>
      <c r="AA43" t="s">
        <v>289</v>
      </c>
      <c r="AB43" t="s">
        <v>730</v>
      </c>
      <c r="AC43">
        <v>0</v>
      </c>
      <c r="AD43" t="s">
        <v>14</v>
      </c>
      <c r="AE43" t="s">
        <v>15</v>
      </c>
      <c r="AF43" t="s">
        <v>289</v>
      </c>
      <c r="AG43" t="s">
        <v>730</v>
      </c>
      <c r="AH43">
        <v>0</v>
      </c>
      <c r="AI43" t="s">
        <v>18</v>
      </c>
    </row>
    <row r="44" spans="1:35" x14ac:dyDescent="0.3">
      <c r="A44" t="s">
        <v>1068</v>
      </c>
      <c r="B44" t="s">
        <v>1068</v>
      </c>
      <c r="C44" t="s">
        <v>221</v>
      </c>
      <c r="D44" t="s">
        <v>587</v>
      </c>
      <c r="E44">
        <v>2.5</v>
      </c>
      <c r="F44" t="s">
        <v>588</v>
      </c>
      <c r="G44" t="s">
        <v>589</v>
      </c>
      <c r="H44">
        <v>5</v>
      </c>
      <c r="I44" t="s">
        <v>605</v>
      </c>
      <c r="J44" t="s">
        <v>44</v>
      </c>
      <c r="K44" t="s">
        <v>4</v>
      </c>
      <c r="L44">
        <v>40</v>
      </c>
      <c r="M44" t="s">
        <v>5</v>
      </c>
      <c r="N44">
        <v>17</v>
      </c>
      <c r="O44" s="2">
        <f t="shared" si="0"/>
        <v>0.42499999999999999</v>
      </c>
      <c r="P44" t="s">
        <v>6</v>
      </c>
      <c r="Q44">
        <v>5.4544959970763696</v>
      </c>
      <c r="R44" t="s">
        <v>7</v>
      </c>
      <c r="S44">
        <v>0.13636239992690899</v>
      </c>
      <c r="T44" t="s">
        <v>8</v>
      </c>
      <c r="U44">
        <v>1.3459698743250299</v>
      </c>
      <c r="V44" t="s">
        <v>9</v>
      </c>
      <c r="W44">
        <v>-0.75769529854126705</v>
      </c>
      <c r="X44" t="s">
        <v>10</v>
      </c>
      <c r="Y44">
        <v>0.15974875562509899</v>
      </c>
      <c r="Z44" t="s">
        <v>11</v>
      </c>
      <c r="AA44" t="s">
        <v>786</v>
      </c>
      <c r="AB44" t="s">
        <v>787</v>
      </c>
    </row>
    <row r="45" spans="1:35" x14ac:dyDescent="0.3">
      <c r="A45" t="s">
        <v>1053</v>
      </c>
      <c r="B45" t="s">
        <v>1053</v>
      </c>
      <c r="C45" t="s">
        <v>221</v>
      </c>
      <c r="D45" t="s">
        <v>587</v>
      </c>
      <c r="E45">
        <v>0</v>
      </c>
      <c r="F45" t="s">
        <v>588</v>
      </c>
      <c r="G45" t="s">
        <v>589</v>
      </c>
      <c r="H45">
        <v>2.5</v>
      </c>
      <c r="I45" t="s">
        <v>605</v>
      </c>
      <c r="J45" t="s">
        <v>38</v>
      </c>
      <c r="K45" t="s">
        <v>4</v>
      </c>
      <c r="L45">
        <v>40</v>
      </c>
      <c r="M45" t="s">
        <v>5</v>
      </c>
      <c r="N45">
        <v>19</v>
      </c>
      <c r="O45" s="2">
        <f t="shared" si="0"/>
        <v>0.47499999999999998</v>
      </c>
      <c r="P45" t="s">
        <v>6</v>
      </c>
      <c r="Q45">
        <v>5.2677238729465303</v>
      </c>
      <c r="R45" t="s">
        <v>7</v>
      </c>
      <c r="S45">
        <v>0.13169309682366301</v>
      </c>
      <c r="T45" t="s">
        <v>8</v>
      </c>
      <c r="U45">
        <v>1.3402978412472599</v>
      </c>
      <c r="V45" t="s">
        <v>9</v>
      </c>
      <c r="W45">
        <v>-0.96180643384530995</v>
      </c>
      <c r="X45" t="s">
        <v>10</v>
      </c>
      <c r="Y45">
        <v>0.15201013189654999</v>
      </c>
      <c r="Z45" t="s">
        <v>11</v>
      </c>
      <c r="AA45" t="s">
        <v>678</v>
      </c>
      <c r="AB45" t="s">
        <v>711</v>
      </c>
      <c r="AC45">
        <v>0</v>
      </c>
      <c r="AD45" t="s">
        <v>14</v>
      </c>
      <c r="AE45" t="s">
        <v>15</v>
      </c>
      <c r="AF45" t="s">
        <v>678</v>
      </c>
      <c r="AG45" t="s">
        <v>711</v>
      </c>
      <c r="AH45">
        <v>0</v>
      </c>
      <c r="AI45" t="s">
        <v>18</v>
      </c>
    </row>
    <row r="46" spans="1:35" x14ac:dyDescent="0.3">
      <c r="A46" t="s">
        <v>1029</v>
      </c>
      <c r="B46" t="s">
        <v>1029</v>
      </c>
      <c r="C46" t="s">
        <v>175</v>
      </c>
      <c r="D46" t="s">
        <v>587</v>
      </c>
      <c r="E46">
        <v>5</v>
      </c>
      <c r="F46" t="s">
        <v>588</v>
      </c>
      <c r="G46" t="s">
        <v>589</v>
      </c>
      <c r="H46">
        <v>7.5</v>
      </c>
      <c r="I46" t="s">
        <v>605</v>
      </c>
      <c r="J46" t="s">
        <v>38</v>
      </c>
      <c r="K46" t="s">
        <v>4</v>
      </c>
      <c r="L46">
        <v>130</v>
      </c>
      <c r="M46" t="s">
        <v>5</v>
      </c>
      <c r="N46">
        <v>49</v>
      </c>
      <c r="O46" s="2">
        <f t="shared" si="0"/>
        <v>0.37692307692307692</v>
      </c>
      <c r="P46" t="s">
        <v>6</v>
      </c>
      <c r="Q46">
        <v>4.6734876121900299</v>
      </c>
      <c r="R46" t="s">
        <v>7</v>
      </c>
      <c r="S46">
        <v>3.5949904709153997E-2</v>
      </c>
      <c r="T46" t="s">
        <v>8</v>
      </c>
      <c r="U46">
        <v>0.95883154109117397</v>
      </c>
      <c r="V46" t="s">
        <v>9</v>
      </c>
      <c r="W46">
        <v>-0.52233651729972197</v>
      </c>
      <c r="X46" t="s">
        <v>10</v>
      </c>
      <c r="Y46">
        <v>0.13803546840008199</v>
      </c>
      <c r="Z46" t="s">
        <v>11</v>
      </c>
      <c r="AA46" t="s">
        <v>289</v>
      </c>
      <c r="AB46" t="s">
        <v>730</v>
      </c>
      <c r="AC46">
        <v>0</v>
      </c>
      <c r="AD46" t="s">
        <v>14</v>
      </c>
      <c r="AE46" t="s">
        <v>15</v>
      </c>
      <c r="AF46" t="s">
        <v>289</v>
      </c>
      <c r="AG46" t="s">
        <v>730</v>
      </c>
      <c r="AH46">
        <v>0</v>
      </c>
      <c r="AI46" t="s">
        <v>18</v>
      </c>
    </row>
    <row r="47" spans="1:35" x14ac:dyDescent="0.3">
      <c r="A47" t="s">
        <v>1017</v>
      </c>
      <c r="B47" t="s">
        <v>1017</v>
      </c>
      <c r="C47" t="s">
        <v>175</v>
      </c>
      <c r="D47" t="s">
        <v>587</v>
      </c>
      <c r="E47">
        <v>2.5</v>
      </c>
      <c r="F47" t="s">
        <v>588</v>
      </c>
      <c r="G47" t="s">
        <v>589</v>
      </c>
      <c r="H47">
        <v>5</v>
      </c>
      <c r="I47" t="s">
        <v>605</v>
      </c>
      <c r="J47" t="s">
        <v>38</v>
      </c>
      <c r="K47" t="s">
        <v>4</v>
      </c>
      <c r="L47">
        <v>130</v>
      </c>
      <c r="M47" t="s">
        <v>5</v>
      </c>
      <c r="N47">
        <v>51</v>
      </c>
      <c r="O47" s="2">
        <f t="shared" si="0"/>
        <v>0.3923076923076923</v>
      </c>
      <c r="P47" t="s">
        <v>6</v>
      </c>
      <c r="Q47">
        <v>4.3541087795361797</v>
      </c>
      <c r="R47" t="s">
        <v>7</v>
      </c>
      <c r="S47">
        <v>3.3493144457970601E-2</v>
      </c>
      <c r="T47" t="s">
        <v>8</v>
      </c>
      <c r="U47">
        <v>1.1386274492731401</v>
      </c>
      <c r="V47" t="s">
        <v>9</v>
      </c>
      <c r="W47">
        <v>-0.67994798903030795</v>
      </c>
      <c r="X47" t="s">
        <v>10</v>
      </c>
      <c r="Y47">
        <v>0.16319681507021</v>
      </c>
      <c r="Z47" t="s">
        <v>11</v>
      </c>
      <c r="AA47" t="s">
        <v>722</v>
      </c>
      <c r="AB47" t="s">
        <v>723</v>
      </c>
    </row>
    <row r="48" spans="1:35" x14ac:dyDescent="0.3">
      <c r="A48" t="s">
        <v>990</v>
      </c>
      <c r="B48" t="s">
        <v>990</v>
      </c>
      <c r="C48" t="s">
        <v>134</v>
      </c>
      <c r="D48" t="s">
        <v>587</v>
      </c>
      <c r="E48">
        <v>7.5</v>
      </c>
      <c r="F48" t="s">
        <v>588</v>
      </c>
      <c r="G48" t="s">
        <v>589</v>
      </c>
      <c r="H48">
        <v>10</v>
      </c>
      <c r="I48" t="s">
        <v>599</v>
      </c>
      <c r="J48" t="s">
        <v>30</v>
      </c>
      <c r="K48" t="s">
        <v>4</v>
      </c>
      <c r="L48">
        <v>136</v>
      </c>
      <c r="M48" t="s">
        <v>5</v>
      </c>
      <c r="N48">
        <v>33</v>
      </c>
      <c r="O48" s="2">
        <f t="shared" si="0"/>
        <v>0.24264705882352941</v>
      </c>
      <c r="P48" t="s">
        <v>6</v>
      </c>
      <c r="Q48">
        <v>4.24</v>
      </c>
      <c r="R48" t="s">
        <v>7</v>
      </c>
      <c r="S48">
        <v>3.1176470588235299E-2</v>
      </c>
      <c r="T48" t="s">
        <v>8</v>
      </c>
      <c r="U48">
        <v>1.34424242424242</v>
      </c>
      <c r="V48" t="s">
        <v>9</v>
      </c>
      <c r="W48">
        <v>-0.389514563106796</v>
      </c>
      <c r="X48" t="s">
        <v>10</v>
      </c>
      <c r="Y48">
        <v>0.15587953476914501</v>
      </c>
      <c r="Z48" t="s">
        <v>11</v>
      </c>
      <c r="AA48" t="s">
        <v>746</v>
      </c>
      <c r="AB48" t="s">
        <v>21</v>
      </c>
      <c r="AC48">
        <v>0</v>
      </c>
      <c r="AD48" t="s">
        <v>14</v>
      </c>
      <c r="AE48" t="s">
        <v>15</v>
      </c>
      <c r="AF48" t="s">
        <v>746</v>
      </c>
      <c r="AG48" t="s">
        <v>21</v>
      </c>
      <c r="AH48">
        <v>0</v>
      </c>
      <c r="AI48" t="s">
        <v>18</v>
      </c>
    </row>
    <row r="49" spans="1:35" x14ac:dyDescent="0.3">
      <c r="A49" t="s">
        <v>919</v>
      </c>
      <c r="B49" t="s">
        <v>919</v>
      </c>
      <c r="C49" t="s">
        <v>113</v>
      </c>
      <c r="D49" t="s">
        <v>587</v>
      </c>
      <c r="E49">
        <v>2.5</v>
      </c>
      <c r="F49" t="s">
        <v>588</v>
      </c>
      <c r="G49" t="s">
        <v>589</v>
      </c>
      <c r="H49">
        <v>5</v>
      </c>
      <c r="I49" t="s">
        <v>599</v>
      </c>
      <c r="J49" t="s">
        <v>33</v>
      </c>
      <c r="K49" t="s">
        <v>4</v>
      </c>
      <c r="L49">
        <v>200</v>
      </c>
      <c r="M49" t="s">
        <v>5</v>
      </c>
      <c r="N49">
        <v>66</v>
      </c>
      <c r="O49" s="2">
        <f t="shared" si="0"/>
        <v>0.33</v>
      </c>
      <c r="P49" t="s">
        <v>6</v>
      </c>
      <c r="Q49">
        <v>4.0607785272103403</v>
      </c>
      <c r="R49" t="s">
        <v>7</v>
      </c>
      <c r="S49">
        <v>2.0303892636051701E-2</v>
      </c>
      <c r="T49" t="s">
        <v>8</v>
      </c>
      <c r="U49">
        <v>1.4821580054221799</v>
      </c>
      <c r="V49" t="s">
        <v>9</v>
      </c>
      <c r="W49">
        <v>-0.69971380470637101</v>
      </c>
      <c r="X49" t="s">
        <v>10</v>
      </c>
      <c r="Y49">
        <v>0.32398903804674201</v>
      </c>
      <c r="Z49" t="s">
        <v>11</v>
      </c>
      <c r="AA49" t="s">
        <v>678</v>
      </c>
      <c r="AB49" t="s">
        <v>679</v>
      </c>
      <c r="AC49">
        <v>0</v>
      </c>
      <c r="AD49" t="s">
        <v>14</v>
      </c>
      <c r="AE49" t="s">
        <v>15</v>
      </c>
      <c r="AF49" t="s">
        <v>676</v>
      </c>
      <c r="AG49" t="s">
        <v>677</v>
      </c>
      <c r="AH49">
        <v>0</v>
      </c>
      <c r="AI49" t="s">
        <v>18</v>
      </c>
    </row>
    <row r="50" spans="1:35" x14ac:dyDescent="0.3">
      <c r="A50" t="s">
        <v>988</v>
      </c>
      <c r="B50" t="s">
        <v>988</v>
      </c>
      <c r="C50" t="s">
        <v>134</v>
      </c>
      <c r="D50" t="s">
        <v>587</v>
      </c>
      <c r="E50">
        <v>7.5</v>
      </c>
      <c r="F50" t="s">
        <v>588</v>
      </c>
      <c r="G50" t="s">
        <v>589</v>
      </c>
      <c r="H50">
        <v>10</v>
      </c>
      <c r="I50" t="s">
        <v>590</v>
      </c>
      <c r="J50" t="s">
        <v>26</v>
      </c>
      <c r="K50" t="s">
        <v>4</v>
      </c>
      <c r="L50">
        <v>140</v>
      </c>
      <c r="M50" t="s">
        <v>5</v>
      </c>
      <c r="N50">
        <v>22</v>
      </c>
      <c r="O50" s="2">
        <f t="shared" si="0"/>
        <v>0.15714285714285714</v>
      </c>
      <c r="P50" t="s">
        <v>6</v>
      </c>
      <c r="Q50">
        <v>3.9000000000000101</v>
      </c>
      <c r="R50" t="s">
        <v>7</v>
      </c>
      <c r="S50">
        <v>2.78571428571429E-2</v>
      </c>
      <c r="T50" t="s">
        <v>8</v>
      </c>
      <c r="U50">
        <v>1.5295454545454501</v>
      </c>
      <c r="V50" t="s">
        <v>9</v>
      </c>
      <c r="W50">
        <v>-0.25211864406779599</v>
      </c>
      <c r="X50" t="s">
        <v>10</v>
      </c>
      <c r="Y50">
        <v>0.14358648524748199</v>
      </c>
      <c r="Z50" t="s">
        <v>11</v>
      </c>
      <c r="AA50" t="s">
        <v>741</v>
      </c>
      <c r="AB50" t="s">
        <v>742</v>
      </c>
      <c r="AC50">
        <v>0</v>
      </c>
      <c r="AD50" t="s">
        <v>14</v>
      </c>
      <c r="AE50" t="s">
        <v>15</v>
      </c>
      <c r="AF50" t="s">
        <v>741</v>
      </c>
      <c r="AG50" t="s">
        <v>742</v>
      </c>
      <c r="AH50">
        <v>0</v>
      </c>
      <c r="AI50" t="s">
        <v>18</v>
      </c>
    </row>
    <row r="51" spans="1:35" x14ac:dyDescent="0.3">
      <c r="A51" t="s">
        <v>978</v>
      </c>
      <c r="B51" t="s">
        <v>978</v>
      </c>
      <c r="C51" t="s">
        <v>134</v>
      </c>
      <c r="D51" t="s">
        <v>587</v>
      </c>
      <c r="E51">
        <v>5</v>
      </c>
      <c r="F51" t="s">
        <v>588</v>
      </c>
      <c r="G51" t="s">
        <v>589</v>
      </c>
      <c r="H51">
        <v>7.5</v>
      </c>
      <c r="I51" t="s">
        <v>599</v>
      </c>
      <c r="J51" t="s">
        <v>30</v>
      </c>
      <c r="K51" t="s">
        <v>4</v>
      </c>
      <c r="L51">
        <v>136</v>
      </c>
      <c r="M51" t="s">
        <v>5</v>
      </c>
      <c r="N51">
        <v>37</v>
      </c>
      <c r="O51" s="2">
        <f t="shared" si="0"/>
        <v>0.27205882352941174</v>
      </c>
      <c r="P51" t="s">
        <v>6</v>
      </c>
      <c r="Q51">
        <v>3.6300000000000199</v>
      </c>
      <c r="R51" t="s">
        <v>7</v>
      </c>
      <c r="S51">
        <v>2.6691176470588301E-2</v>
      </c>
      <c r="T51" t="s">
        <v>8</v>
      </c>
      <c r="U51">
        <v>1.44081081081081</v>
      </c>
      <c r="V51" t="s">
        <v>9</v>
      </c>
      <c r="W51">
        <v>-0.50181818181818105</v>
      </c>
      <c r="X51" t="s">
        <v>10</v>
      </c>
      <c r="Y51">
        <v>0.19442922341223101</v>
      </c>
      <c r="Z51" t="s">
        <v>11</v>
      </c>
      <c r="AA51" t="s">
        <v>731</v>
      </c>
      <c r="AB51" t="s">
        <v>21</v>
      </c>
      <c r="AC51">
        <v>0</v>
      </c>
      <c r="AD51" t="s">
        <v>14</v>
      </c>
      <c r="AE51" t="s">
        <v>15</v>
      </c>
      <c r="AF51" t="s">
        <v>731</v>
      </c>
      <c r="AG51" t="s">
        <v>21</v>
      </c>
      <c r="AH51">
        <v>0</v>
      </c>
      <c r="AI51" t="s">
        <v>18</v>
      </c>
    </row>
    <row r="52" spans="1:35" x14ac:dyDescent="0.3">
      <c r="A52" t="s">
        <v>1059</v>
      </c>
      <c r="B52" t="s">
        <v>1059</v>
      </c>
      <c r="C52" t="s">
        <v>221</v>
      </c>
      <c r="D52" t="s">
        <v>587</v>
      </c>
      <c r="E52">
        <v>2.5</v>
      </c>
      <c r="F52" t="s">
        <v>588</v>
      </c>
      <c r="G52" t="s">
        <v>589</v>
      </c>
      <c r="H52">
        <v>5</v>
      </c>
      <c r="I52" t="s">
        <v>590</v>
      </c>
      <c r="J52" t="s">
        <v>23</v>
      </c>
      <c r="K52" t="s">
        <v>4</v>
      </c>
      <c r="L52">
        <v>35</v>
      </c>
      <c r="M52" t="s">
        <v>5</v>
      </c>
      <c r="N52">
        <v>13</v>
      </c>
      <c r="O52" s="2">
        <f t="shared" si="0"/>
        <v>0.37142857142857144</v>
      </c>
      <c r="P52" t="s">
        <v>6</v>
      </c>
      <c r="Q52">
        <v>3.5999999999999899</v>
      </c>
      <c r="R52" t="s">
        <v>7</v>
      </c>
      <c r="S52">
        <v>0.10285714285714199</v>
      </c>
      <c r="T52" t="s">
        <v>8</v>
      </c>
      <c r="U52">
        <v>1.5084615384615301</v>
      </c>
      <c r="V52" t="s">
        <v>9</v>
      </c>
      <c r="W52">
        <v>-0.727727272727272</v>
      </c>
      <c r="X52" t="s">
        <v>10</v>
      </c>
      <c r="Y52">
        <v>8.4909189933297602E-2</v>
      </c>
      <c r="Z52" t="s">
        <v>11</v>
      </c>
      <c r="AA52" t="s">
        <v>674</v>
      </c>
      <c r="AB52" t="s">
        <v>675</v>
      </c>
      <c r="AC52">
        <v>0</v>
      </c>
      <c r="AD52" t="s">
        <v>14</v>
      </c>
      <c r="AE52" t="s">
        <v>15</v>
      </c>
      <c r="AF52" t="s">
        <v>674</v>
      </c>
      <c r="AG52" t="s">
        <v>675</v>
      </c>
      <c r="AH52">
        <v>0</v>
      </c>
      <c r="AI52" t="s">
        <v>18</v>
      </c>
    </row>
    <row r="53" spans="1:35" x14ac:dyDescent="0.3">
      <c r="A53" t="s">
        <v>1060</v>
      </c>
      <c r="B53" t="s">
        <v>1060</v>
      </c>
      <c r="C53" t="s">
        <v>221</v>
      </c>
      <c r="D53" t="s">
        <v>587</v>
      </c>
      <c r="E53">
        <v>2.5</v>
      </c>
      <c r="F53" t="s">
        <v>588</v>
      </c>
      <c r="G53" t="s">
        <v>589</v>
      </c>
      <c r="H53">
        <v>5</v>
      </c>
      <c r="I53" t="s">
        <v>590</v>
      </c>
      <c r="J53" t="s">
        <v>26</v>
      </c>
      <c r="K53" t="s">
        <v>4</v>
      </c>
      <c r="L53">
        <v>35</v>
      </c>
      <c r="M53" t="s">
        <v>5</v>
      </c>
      <c r="N53">
        <v>13</v>
      </c>
      <c r="O53" s="2">
        <f t="shared" si="0"/>
        <v>0.37142857142857144</v>
      </c>
      <c r="P53" t="s">
        <v>6</v>
      </c>
      <c r="Q53">
        <v>3.5999999999999899</v>
      </c>
      <c r="R53" t="s">
        <v>7</v>
      </c>
      <c r="S53">
        <v>0.10285714285714199</v>
      </c>
      <c r="T53" t="s">
        <v>8</v>
      </c>
      <c r="U53">
        <v>1.5084615384615301</v>
      </c>
      <c r="V53" t="s">
        <v>9</v>
      </c>
      <c r="W53">
        <v>-0.727727272727272</v>
      </c>
      <c r="X53" t="s">
        <v>10</v>
      </c>
      <c r="Y53">
        <v>8.4909189933297602E-2</v>
      </c>
      <c r="Z53" t="s">
        <v>11</v>
      </c>
      <c r="AA53" t="s">
        <v>674</v>
      </c>
      <c r="AB53" t="s">
        <v>675</v>
      </c>
      <c r="AC53">
        <v>0</v>
      </c>
      <c r="AD53" t="s">
        <v>14</v>
      </c>
      <c r="AE53" t="s">
        <v>15</v>
      </c>
      <c r="AF53" t="s">
        <v>674</v>
      </c>
      <c r="AG53" t="s">
        <v>675</v>
      </c>
      <c r="AH53">
        <v>0</v>
      </c>
      <c r="AI53" t="s">
        <v>18</v>
      </c>
    </row>
    <row r="54" spans="1:35" x14ac:dyDescent="0.3">
      <c r="A54" t="s">
        <v>1058</v>
      </c>
      <c r="B54" t="s">
        <v>1058</v>
      </c>
      <c r="C54" t="s">
        <v>221</v>
      </c>
      <c r="D54" t="s">
        <v>587</v>
      </c>
      <c r="E54">
        <v>2.5</v>
      </c>
      <c r="F54" t="s">
        <v>588</v>
      </c>
      <c r="G54" t="s">
        <v>589</v>
      </c>
      <c r="H54">
        <v>5</v>
      </c>
      <c r="I54" t="s">
        <v>590</v>
      </c>
      <c r="J54" t="s">
        <v>19</v>
      </c>
      <c r="K54" t="s">
        <v>4</v>
      </c>
      <c r="L54">
        <v>35</v>
      </c>
      <c r="M54" t="s">
        <v>5</v>
      </c>
      <c r="N54">
        <v>13</v>
      </c>
      <c r="O54" s="2">
        <f t="shared" si="0"/>
        <v>0.37142857142857144</v>
      </c>
      <c r="P54" t="s">
        <v>6</v>
      </c>
      <c r="Q54">
        <v>3.44999999999999</v>
      </c>
      <c r="R54" t="s">
        <v>7</v>
      </c>
      <c r="S54">
        <v>9.8571428571428393E-2</v>
      </c>
      <c r="T54" t="s">
        <v>8</v>
      </c>
      <c r="U54">
        <v>1.4969230769230699</v>
      </c>
      <c r="V54" t="s">
        <v>9</v>
      </c>
      <c r="W54">
        <v>-0.727727272727272</v>
      </c>
      <c r="X54" t="s">
        <v>10</v>
      </c>
      <c r="Y54">
        <v>8.48974738325321E-2</v>
      </c>
      <c r="Z54" t="s">
        <v>11</v>
      </c>
      <c r="AA54" t="s">
        <v>674</v>
      </c>
      <c r="AB54" t="s">
        <v>675</v>
      </c>
      <c r="AC54">
        <v>0</v>
      </c>
      <c r="AD54" t="s">
        <v>14</v>
      </c>
      <c r="AE54" t="s">
        <v>15</v>
      </c>
      <c r="AF54" t="s">
        <v>674</v>
      </c>
      <c r="AG54" t="s">
        <v>675</v>
      </c>
      <c r="AH54">
        <v>0</v>
      </c>
      <c r="AI54" t="s">
        <v>18</v>
      </c>
    </row>
    <row r="55" spans="1:35" x14ac:dyDescent="0.3">
      <c r="A55" t="s">
        <v>937</v>
      </c>
      <c r="B55" t="s">
        <v>937</v>
      </c>
      <c r="C55" t="s">
        <v>113</v>
      </c>
      <c r="D55" t="s">
        <v>587</v>
      </c>
      <c r="E55">
        <v>7.5</v>
      </c>
      <c r="F55" t="s">
        <v>588</v>
      </c>
      <c r="G55" t="s">
        <v>589</v>
      </c>
      <c r="H55">
        <v>10</v>
      </c>
      <c r="I55" t="s">
        <v>590</v>
      </c>
      <c r="J55" t="s">
        <v>3</v>
      </c>
      <c r="K55" t="s">
        <v>4</v>
      </c>
      <c r="L55">
        <v>191</v>
      </c>
      <c r="M55" t="s">
        <v>5</v>
      </c>
      <c r="N55">
        <v>64</v>
      </c>
      <c r="O55" s="2">
        <f t="shared" si="0"/>
        <v>0.33507853403141363</v>
      </c>
      <c r="P55" t="s">
        <v>6</v>
      </c>
      <c r="Q55">
        <v>3.1400000000000099</v>
      </c>
      <c r="R55" t="s">
        <v>7</v>
      </c>
      <c r="S55">
        <v>1.6439790575916199E-2</v>
      </c>
      <c r="T55" t="s">
        <v>8</v>
      </c>
      <c r="U55">
        <v>0.75343749999999998</v>
      </c>
      <c r="V55" t="s">
        <v>9</v>
      </c>
      <c r="W55">
        <v>-0.35496062992125899</v>
      </c>
      <c r="X55" t="s">
        <v>10</v>
      </c>
      <c r="Y55">
        <v>0.15360505257490201</v>
      </c>
      <c r="Z55" t="s">
        <v>11</v>
      </c>
      <c r="AA55" t="s">
        <v>701</v>
      </c>
      <c r="AB55" t="s">
        <v>658</v>
      </c>
      <c r="AC55">
        <v>0</v>
      </c>
      <c r="AD55" t="s">
        <v>14</v>
      </c>
      <c r="AE55" t="s">
        <v>15</v>
      </c>
      <c r="AF55" t="s">
        <v>702</v>
      </c>
      <c r="AG55" t="s">
        <v>611</v>
      </c>
      <c r="AH55">
        <v>0</v>
      </c>
      <c r="AI55" t="s">
        <v>18</v>
      </c>
    </row>
    <row r="56" spans="1:35" x14ac:dyDescent="0.3">
      <c r="A56" t="s">
        <v>869</v>
      </c>
      <c r="B56" t="s">
        <v>869</v>
      </c>
      <c r="C56" t="s">
        <v>0</v>
      </c>
      <c r="D56" t="s">
        <v>587</v>
      </c>
      <c r="E56">
        <v>2.5</v>
      </c>
      <c r="F56" t="s">
        <v>588</v>
      </c>
      <c r="G56" t="s">
        <v>589</v>
      </c>
      <c r="H56">
        <v>5</v>
      </c>
      <c r="I56" t="s">
        <v>599</v>
      </c>
      <c r="J56" t="s">
        <v>28</v>
      </c>
      <c r="K56" t="s">
        <v>4</v>
      </c>
      <c r="L56">
        <v>3050</v>
      </c>
      <c r="M56" t="s">
        <v>5</v>
      </c>
      <c r="N56">
        <v>1100</v>
      </c>
      <c r="O56" s="2">
        <f t="shared" si="0"/>
        <v>0.36065573770491804</v>
      </c>
      <c r="P56" t="s">
        <v>6</v>
      </c>
      <c r="Q56">
        <v>3.0280873957638601</v>
      </c>
      <c r="R56" t="s">
        <v>7</v>
      </c>
      <c r="S56">
        <v>9.9281553959471003E-4</v>
      </c>
      <c r="T56" t="s">
        <v>8</v>
      </c>
      <c r="U56">
        <v>1.16785634697482</v>
      </c>
      <c r="V56" t="s">
        <v>9</v>
      </c>
      <c r="W56">
        <v>-0.65723789450078995</v>
      </c>
      <c r="X56" t="s">
        <v>10</v>
      </c>
      <c r="Y56">
        <v>2.1134696662169601</v>
      </c>
      <c r="Z56" t="s">
        <v>11</v>
      </c>
      <c r="AA56" t="s">
        <v>591</v>
      </c>
      <c r="AB56" t="s">
        <v>50</v>
      </c>
      <c r="AC56">
        <v>0</v>
      </c>
      <c r="AD56" t="s">
        <v>14</v>
      </c>
      <c r="AE56" t="s">
        <v>15</v>
      </c>
      <c r="AF56" t="s">
        <v>613</v>
      </c>
      <c r="AG56" t="s">
        <v>614</v>
      </c>
      <c r="AH56">
        <v>0</v>
      </c>
      <c r="AI56" t="s">
        <v>18</v>
      </c>
    </row>
    <row r="57" spans="1:35" x14ac:dyDescent="0.3">
      <c r="A57" t="s">
        <v>1089</v>
      </c>
      <c r="B57" t="s">
        <v>1089</v>
      </c>
      <c r="C57" t="s">
        <v>221</v>
      </c>
      <c r="D57" t="s">
        <v>587</v>
      </c>
      <c r="E57">
        <v>7.5</v>
      </c>
      <c r="F57" t="s">
        <v>588</v>
      </c>
      <c r="G57" t="s">
        <v>589</v>
      </c>
      <c r="H57">
        <v>10</v>
      </c>
      <c r="I57" t="s">
        <v>605</v>
      </c>
      <c r="J57" t="s">
        <v>38</v>
      </c>
      <c r="K57" t="s">
        <v>4</v>
      </c>
      <c r="L57">
        <v>40</v>
      </c>
      <c r="M57" t="s">
        <v>5</v>
      </c>
      <c r="N57">
        <v>18</v>
      </c>
      <c r="O57" s="2">
        <f t="shared" si="0"/>
        <v>0.45</v>
      </c>
      <c r="P57" t="s">
        <v>6</v>
      </c>
      <c r="Q57">
        <v>2.90076350568867</v>
      </c>
      <c r="R57" t="s">
        <v>7</v>
      </c>
      <c r="S57">
        <v>7.2519087642216901E-2</v>
      </c>
      <c r="T57" t="s">
        <v>8</v>
      </c>
      <c r="U57">
        <v>0.89555555555555499</v>
      </c>
      <c r="V57" t="s">
        <v>9</v>
      </c>
      <c r="W57">
        <v>-0.60087438610506005</v>
      </c>
      <c r="X57" t="s">
        <v>10</v>
      </c>
      <c r="Y57">
        <v>7.6366759333552303E-2</v>
      </c>
      <c r="Z57" t="s">
        <v>11</v>
      </c>
      <c r="AA57" t="s">
        <v>806</v>
      </c>
      <c r="AB57" t="s">
        <v>807</v>
      </c>
    </row>
    <row r="58" spans="1:35" x14ac:dyDescent="0.3">
      <c r="A58" t="s">
        <v>1057</v>
      </c>
      <c r="B58" t="s">
        <v>1057</v>
      </c>
      <c r="C58" t="s">
        <v>221</v>
      </c>
      <c r="D58" t="s">
        <v>587</v>
      </c>
      <c r="E58">
        <v>2.5</v>
      </c>
      <c r="F58" t="s">
        <v>588</v>
      </c>
      <c r="G58" t="s">
        <v>589</v>
      </c>
      <c r="H58">
        <v>5</v>
      </c>
      <c r="I58" t="s">
        <v>590</v>
      </c>
      <c r="J58" t="s">
        <v>3</v>
      </c>
      <c r="K58" t="s">
        <v>4</v>
      </c>
      <c r="L58">
        <v>35</v>
      </c>
      <c r="M58" t="s">
        <v>5</v>
      </c>
      <c r="N58">
        <v>15</v>
      </c>
      <c r="O58" s="2">
        <f t="shared" si="0"/>
        <v>0.42857142857142855</v>
      </c>
      <c r="P58" t="s">
        <v>6</v>
      </c>
      <c r="Q58">
        <v>2.8799999999999901</v>
      </c>
      <c r="R58" t="s">
        <v>7</v>
      </c>
      <c r="S58">
        <v>8.2285714285714198E-2</v>
      </c>
      <c r="T58" t="s">
        <v>8</v>
      </c>
      <c r="U58">
        <v>1.15333333333333</v>
      </c>
      <c r="V58" t="s">
        <v>9</v>
      </c>
      <c r="W58">
        <v>-0.72099999999999997</v>
      </c>
      <c r="X58" t="s">
        <v>10</v>
      </c>
      <c r="Y58">
        <v>7.4564648764479394E-2</v>
      </c>
      <c r="Z58" t="s">
        <v>11</v>
      </c>
      <c r="AA58" t="s">
        <v>771</v>
      </c>
      <c r="AB58" t="s">
        <v>772</v>
      </c>
      <c r="AC58">
        <v>0</v>
      </c>
      <c r="AD58" t="s">
        <v>14</v>
      </c>
      <c r="AE58" t="s">
        <v>15</v>
      </c>
      <c r="AF58" t="s">
        <v>773</v>
      </c>
      <c r="AG58" t="s">
        <v>774</v>
      </c>
      <c r="AH58">
        <v>0</v>
      </c>
      <c r="AI58" t="s">
        <v>18</v>
      </c>
    </row>
    <row r="59" spans="1:35" x14ac:dyDescent="0.3">
      <c r="A59" t="s">
        <v>966</v>
      </c>
      <c r="B59" t="s">
        <v>966</v>
      </c>
      <c r="C59" t="s">
        <v>134</v>
      </c>
      <c r="D59" t="s">
        <v>587</v>
      </c>
      <c r="E59">
        <v>2.5</v>
      </c>
      <c r="F59" t="s">
        <v>588</v>
      </c>
      <c r="G59" t="s">
        <v>589</v>
      </c>
      <c r="H59">
        <v>5</v>
      </c>
      <c r="I59" t="s">
        <v>599</v>
      </c>
      <c r="J59" t="s">
        <v>30</v>
      </c>
      <c r="K59" t="s">
        <v>4</v>
      </c>
      <c r="L59">
        <v>136</v>
      </c>
      <c r="M59" t="s">
        <v>5</v>
      </c>
      <c r="N59">
        <v>42</v>
      </c>
      <c r="O59" s="2">
        <f t="shared" si="0"/>
        <v>0.30882352941176472</v>
      </c>
      <c r="P59" t="s">
        <v>6</v>
      </c>
      <c r="Q59">
        <v>2.3799999999999701</v>
      </c>
      <c r="R59" t="s">
        <v>7</v>
      </c>
      <c r="S59">
        <v>1.74999999999997E-2</v>
      </c>
      <c r="T59" t="s">
        <v>8</v>
      </c>
      <c r="U59">
        <v>1.5052380952380899</v>
      </c>
      <c r="V59" t="s">
        <v>9</v>
      </c>
      <c r="W59">
        <v>-0.64723404255319195</v>
      </c>
      <c r="X59" t="s">
        <v>10</v>
      </c>
      <c r="Y59">
        <v>0.214529207955407</v>
      </c>
      <c r="Z59" t="s">
        <v>11</v>
      </c>
      <c r="AA59" t="s">
        <v>717</v>
      </c>
      <c r="AB59" t="s">
        <v>718</v>
      </c>
      <c r="AC59">
        <v>0</v>
      </c>
      <c r="AD59" t="s">
        <v>14</v>
      </c>
      <c r="AE59" t="s">
        <v>15</v>
      </c>
      <c r="AF59" t="s">
        <v>717</v>
      </c>
      <c r="AG59" t="s">
        <v>718</v>
      </c>
      <c r="AH59">
        <v>0</v>
      </c>
      <c r="AI59" t="s">
        <v>18</v>
      </c>
    </row>
    <row r="60" spans="1:35" x14ac:dyDescent="0.3">
      <c r="A60" t="s">
        <v>930</v>
      </c>
      <c r="B60" t="s">
        <v>930</v>
      </c>
      <c r="C60" t="s">
        <v>113</v>
      </c>
      <c r="D60" t="s">
        <v>587</v>
      </c>
      <c r="E60">
        <v>5</v>
      </c>
      <c r="F60" t="s">
        <v>588</v>
      </c>
      <c r="G60" t="s">
        <v>589</v>
      </c>
      <c r="H60">
        <v>7.5</v>
      </c>
      <c r="I60" t="s">
        <v>599</v>
      </c>
      <c r="J60" t="s">
        <v>30</v>
      </c>
      <c r="K60" t="s">
        <v>4</v>
      </c>
      <c r="L60">
        <v>200</v>
      </c>
      <c r="M60" t="s">
        <v>5</v>
      </c>
      <c r="N60">
        <v>57</v>
      </c>
      <c r="O60" s="2">
        <f t="shared" si="0"/>
        <v>0.28499999999999998</v>
      </c>
      <c r="P60" t="s">
        <v>6</v>
      </c>
      <c r="Q60">
        <v>2.1202729372544602</v>
      </c>
      <c r="R60" t="s">
        <v>7</v>
      </c>
      <c r="S60">
        <v>1.06013646862723E-2</v>
      </c>
      <c r="T60" t="s">
        <v>8</v>
      </c>
      <c r="U60">
        <v>1.4859697006535799</v>
      </c>
      <c r="V60" t="s">
        <v>9</v>
      </c>
      <c r="W60">
        <v>-0.577482517482517</v>
      </c>
      <c r="X60" t="s">
        <v>10</v>
      </c>
      <c r="Y60">
        <v>0.29262945094572701</v>
      </c>
      <c r="Z60" t="s">
        <v>11</v>
      </c>
      <c r="AA60" t="s">
        <v>693</v>
      </c>
      <c r="AB60" t="s">
        <v>694</v>
      </c>
      <c r="AC60">
        <v>0</v>
      </c>
      <c r="AD60" t="s">
        <v>14</v>
      </c>
      <c r="AE60" t="s">
        <v>15</v>
      </c>
      <c r="AF60" t="s">
        <v>695</v>
      </c>
      <c r="AG60" t="s">
        <v>611</v>
      </c>
      <c r="AH60">
        <v>0</v>
      </c>
      <c r="AI60" t="s">
        <v>18</v>
      </c>
    </row>
    <row r="61" spans="1:35" x14ac:dyDescent="0.3">
      <c r="A61" t="s">
        <v>955</v>
      </c>
      <c r="B61" t="s">
        <v>955</v>
      </c>
      <c r="C61" t="s">
        <v>134</v>
      </c>
      <c r="D61" t="s">
        <v>587</v>
      </c>
      <c r="E61">
        <v>0</v>
      </c>
      <c r="F61" t="s">
        <v>588</v>
      </c>
      <c r="G61" t="s">
        <v>589</v>
      </c>
      <c r="H61">
        <v>2.5</v>
      </c>
      <c r="I61" t="s">
        <v>599</v>
      </c>
      <c r="J61" t="s">
        <v>33</v>
      </c>
      <c r="K61" t="s">
        <v>4</v>
      </c>
      <c r="L61">
        <v>136</v>
      </c>
      <c r="M61" t="s">
        <v>5</v>
      </c>
      <c r="N61">
        <v>51</v>
      </c>
      <c r="O61" s="2">
        <f t="shared" si="0"/>
        <v>0.375</v>
      </c>
      <c r="P61" t="s">
        <v>6</v>
      </c>
      <c r="Q61">
        <v>2.1100000000000598</v>
      </c>
      <c r="R61" t="s">
        <v>7</v>
      </c>
      <c r="S61">
        <v>1.5514705882353401E-2</v>
      </c>
      <c r="T61" t="s">
        <v>8</v>
      </c>
      <c r="U61">
        <v>1.34490196078431</v>
      </c>
      <c r="V61" t="s">
        <v>9</v>
      </c>
      <c r="W61">
        <v>-0.78211764705882303</v>
      </c>
      <c r="X61" t="s">
        <v>10</v>
      </c>
      <c r="Y61">
        <v>0.25542533471527401</v>
      </c>
      <c r="Z61" t="s">
        <v>11</v>
      </c>
      <c r="AA61" t="s">
        <v>710</v>
      </c>
      <c r="AB61" t="s">
        <v>706</v>
      </c>
      <c r="AC61">
        <v>0</v>
      </c>
      <c r="AD61" t="s">
        <v>14</v>
      </c>
      <c r="AE61" t="s">
        <v>15</v>
      </c>
      <c r="AF61" t="s">
        <v>710</v>
      </c>
      <c r="AG61" t="s">
        <v>706</v>
      </c>
      <c r="AH61">
        <v>0</v>
      </c>
      <c r="AI61" t="s">
        <v>18</v>
      </c>
    </row>
    <row r="62" spans="1:35" x14ac:dyDescent="0.3">
      <c r="A62" t="s">
        <v>941</v>
      </c>
      <c r="B62" t="s">
        <v>941</v>
      </c>
      <c r="C62" t="s">
        <v>113</v>
      </c>
      <c r="D62" t="s">
        <v>587</v>
      </c>
      <c r="E62">
        <v>7.5</v>
      </c>
      <c r="F62" t="s">
        <v>588</v>
      </c>
      <c r="G62" t="s">
        <v>589</v>
      </c>
      <c r="H62">
        <v>10</v>
      </c>
      <c r="I62" t="s">
        <v>599</v>
      </c>
      <c r="J62" t="s">
        <v>28</v>
      </c>
      <c r="K62" t="s">
        <v>4</v>
      </c>
      <c r="L62">
        <v>200</v>
      </c>
      <c r="M62" t="s">
        <v>5</v>
      </c>
      <c r="N62">
        <v>69</v>
      </c>
      <c r="O62" s="2">
        <f t="shared" si="0"/>
        <v>0.34499999999999997</v>
      </c>
      <c r="P62" t="s">
        <v>6</v>
      </c>
      <c r="Q62">
        <v>1.75000000000001</v>
      </c>
      <c r="R62" t="s">
        <v>7</v>
      </c>
      <c r="S62">
        <v>8.7500000000000598E-3</v>
      </c>
      <c r="T62" t="s">
        <v>8</v>
      </c>
      <c r="U62">
        <v>0.88449275362318802</v>
      </c>
      <c r="V62" t="s">
        <v>9</v>
      </c>
      <c r="W62">
        <v>-0.452519083969465</v>
      </c>
      <c r="X62" t="s">
        <v>10</v>
      </c>
      <c r="Y62">
        <v>0.172510912256197</v>
      </c>
      <c r="Z62" t="s">
        <v>11</v>
      </c>
      <c r="AA62" t="s">
        <v>701</v>
      </c>
      <c r="AB62" t="s">
        <v>658</v>
      </c>
      <c r="AC62">
        <v>0</v>
      </c>
      <c r="AD62" t="s">
        <v>14</v>
      </c>
      <c r="AE62" t="s">
        <v>15</v>
      </c>
      <c r="AF62" t="s">
        <v>702</v>
      </c>
      <c r="AG62" t="s">
        <v>611</v>
      </c>
      <c r="AH62">
        <v>0</v>
      </c>
      <c r="AI62" t="s">
        <v>18</v>
      </c>
    </row>
    <row r="63" spans="1:35" x14ac:dyDescent="0.3">
      <c r="A63" t="s">
        <v>970</v>
      </c>
      <c r="B63" t="s">
        <v>970</v>
      </c>
      <c r="C63" t="s">
        <v>134</v>
      </c>
      <c r="D63" t="s">
        <v>587</v>
      </c>
      <c r="E63">
        <v>2.5</v>
      </c>
      <c r="F63" t="s">
        <v>588</v>
      </c>
      <c r="G63" t="s">
        <v>589</v>
      </c>
      <c r="H63">
        <v>5</v>
      </c>
      <c r="I63" t="s">
        <v>605</v>
      </c>
      <c r="J63" t="s">
        <v>40</v>
      </c>
      <c r="K63" t="s">
        <v>4</v>
      </c>
      <c r="L63">
        <v>177</v>
      </c>
      <c r="M63" t="s">
        <v>5</v>
      </c>
      <c r="N63">
        <v>57</v>
      </c>
      <c r="O63" s="2">
        <f t="shared" si="0"/>
        <v>0.32203389830508472</v>
      </c>
      <c r="P63" t="s">
        <v>6</v>
      </c>
      <c r="Q63">
        <v>1.4167612398068601</v>
      </c>
      <c r="R63" t="s">
        <v>7</v>
      </c>
      <c r="S63">
        <v>8.0043007898693095E-3</v>
      </c>
      <c r="T63" t="s">
        <v>8</v>
      </c>
      <c r="U63">
        <v>1.53352892208023</v>
      </c>
      <c r="V63" t="s">
        <v>9</v>
      </c>
      <c r="W63">
        <v>-0.71661989432305495</v>
      </c>
      <c r="X63" t="s">
        <v>10</v>
      </c>
      <c r="Y63">
        <v>0.29795662415134599</v>
      </c>
      <c r="Z63" t="s">
        <v>11</v>
      </c>
      <c r="AA63" t="s">
        <v>717</v>
      </c>
      <c r="AB63" t="s">
        <v>718</v>
      </c>
      <c r="AC63">
        <v>0</v>
      </c>
      <c r="AD63" t="s">
        <v>14</v>
      </c>
      <c r="AE63" t="s">
        <v>15</v>
      </c>
      <c r="AF63" t="s">
        <v>717</v>
      </c>
      <c r="AG63" t="s">
        <v>718</v>
      </c>
      <c r="AH63">
        <v>0</v>
      </c>
      <c r="AI63" t="s">
        <v>18</v>
      </c>
    </row>
    <row r="64" spans="1:35" x14ac:dyDescent="0.3">
      <c r="A64" t="s">
        <v>1097</v>
      </c>
      <c r="B64" t="s">
        <v>1097</v>
      </c>
      <c r="C64" t="s">
        <v>262</v>
      </c>
      <c r="D64" t="s">
        <v>587</v>
      </c>
      <c r="E64">
        <v>0</v>
      </c>
      <c r="F64" t="s">
        <v>588</v>
      </c>
      <c r="G64" t="s">
        <v>589</v>
      </c>
      <c r="H64">
        <v>2.5</v>
      </c>
      <c r="I64" t="s">
        <v>599</v>
      </c>
      <c r="J64" t="s">
        <v>28</v>
      </c>
      <c r="K64" t="s">
        <v>4</v>
      </c>
      <c r="L64">
        <v>230</v>
      </c>
      <c r="M64" t="s">
        <v>5</v>
      </c>
      <c r="N64">
        <v>91</v>
      </c>
      <c r="O64" s="2">
        <f t="shared" si="0"/>
        <v>0.39565217391304347</v>
      </c>
      <c r="P64" t="s">
        <v>6</v>
      </c>
      <c r="Q64">
        <v>1.27000000000001</v>
      </c>
      <c r="R64" t="s">
        <v>7</v>
      </c>
      <c r="S64">
        <v>5.5217391304348499E-3</v>
      </c>
      <c r="T64" t="s">
        <v>8</v>
      </c>
      <c r="U64">
        <v>1.2437362637362599</v>
      </c>
      <c r="V64" t="s">
        <v>9</v>
      </c>
      <c r="W64">
        <v>-0.80510791366906398</v>
      </c>
      <c r="X64" t="s">
        <v>10</v>
      </c>
      <c r="Y64">
        <v>0.32292655921121399</v>
      </c>
      <c r="Z64" t="s">
        <v>11</v>
      </c>
      <c r="AA64" t="s">
        <v>770</v>
      </c>
      <c r="AB64" t="s">
        <v>593</v>
      </c>
      <c r="AC64">
        <v>0</v>
      </c>
      <c r="AD64" t="s">
        <v>14</v>
      </c>
      <c r="AE64" t="s">
        <v>15</v>
      </c>
      <c r="AF64" t="s">
        <v>812</v>
      </c>
      <c r="AG64" t="s">
        <v>593</v>
      </c>
      <c r="AH64">
        <v>0</v>
      </c>
      <c r="AI64" t="s">
        <v>18</v>
      </c>
    </row>
    <row r="65" spans="1:35" x14ac:dyDescent="0.3">
      <c r="A65" t="s">
        <v>954</v>
      </c>
      <c r="B65" t="s">
        <v>954</v>
      </c>
      <c r="C65" t="s">
        <v>134</v>
      </c>
      <c r="D65" t="s">
        <v>587</v>
      </c>
      <c r="E65">
        <v>0</v>
      </c>
      <c r="F65" t="s">
        <v>588</v>
      </c>
      <c r="G65" t="s">
        <v>589</v>
      </c>
      <c r="H65">
        <v>2.5</v>
      </c>
      <c r="I65" t="s">
        <v>599</v>
      </c>
      <c r="J65" t="s">
        <v>30</v>
      </c>
      <c r="K65" t="s">
        <v>4</v>
      </c>
      <c r="L65">
        <v>136</v>
      </c>
      <c r="M65" t="s">
        <v>5</v>
      </c>
      <c r="N65">
        <v>51</v>
      </c>
      <c r="O65" s="2">
        <f t="shared" si="0"/>
        <v>0.375</v>
      </c>
      <c r="P65" t="s">
        <v>6</v>
      </c>
      <c r="Q65">
        <v>1.11000000000006</v>
      </c>
      <c r="R65" t="s">
        <v>7</v>
      </c>
      <c r="S65">
        <v>8.1617647058828298E-3</v>
      </c>
      <c r="T65" t="s">
        <v>8</v>
      </c>
      <c r="U65">
        <v>1.3252941176470501</v>
      </c>
      <c r="V65" t="s">
        <v>9</v>
      </c>
      <c r="W65">
        <v>-0.78211764705882303</v>
      </c>
      <c r="X65" t="s">
        <v>10</v>
      </c>
      <c r="Y65">
        <v>0.24878960370848199</v>
      </c>
      <c r="Z65" t="s">
        <v>11</v>
      </c>
      <c r="AA65" t="s">
        <v>710</v>
      </c>
      <c r="AB65" t="s">
        <v>706</v>
      </c>
      <c r="AC65">
        <v>0</v>
      </c>
      <c r="AD65" t="s">
        <v>14</v>
      </c>
      <c r="AE65" t="s">
        <v>15</v>
      </c>
      <c r="AF65" t="s">
        <v>710</v>
      </c>
      <c r="AG65" t="s">
        <v>706</v>
      </c>
      <c r="AH65">
        <v>0</v>
      </c>
      <c r="AI65" t="s">
        <v>18</v>
      </c>
    </row>
    <row r="66" spans="1:35" x14ac:dyDescent="0.3">
      <c r="A66" t="s">
        <v>976</v>
      </c>
      <c r="B66" t="s">
        <v>976</v>
      </c>
      <c r="C66" t="s">
        <v>134</v>
      </c>
      <c r="D66" t="s">
        <v>587</v>
      </c>
      <c r="E66">
        <v>5</v>
      </c>
      <c r="F66" t="s">
        <v>588</v>
      </c>
      <c r="G66" t="s">
        <v>589</v>
      </c>
      <c r="H66">
        <v>7.5</v>
      </c>
      <c r="I66" t="s">
        <v>590</v>
      </c>
      <c r="J66" t="s">
        <v>26</v>
      </c>
      <c r="K66" t="s">
        <v>4</v>
      </c>
      <c r="L66">
        <v>140</v>
      </c>
      <c r="M66" t="s">
        <v>5</v>
      </c>
      <c r="N66">
        <v>28</v>
      </c>
      <c r="O66" s="2">
        <f t="shared" si="0"/>
        <v>0.2</v>
      </c>
      <c r="P66" t="s">
        <v>6</v>
      </c>
      <c r="Q66">
        <v>0.10000000000004899</v>
      </c>
      <c r="R66" t="s">
        <v>7</v>
      </c>
      <c r="S66">
        <v>7.1428571428606698E-4</v>
      </c>
      <c r="T66" t="s">
        <v>8</v>
      </c>
      <c r="U66">
        <v>1.5942857142857101</v>
      </c>
      <c r="V66" t="s">
        <v>9</v>
      </c>
      <c r="W66">
        <v>-0.39767857142857099</v>
      </c>
      <c r="X66" t="s">
        <v>10</v>
      </c>
      <c r="Y66">
        <v>0.17426631072778401</v>
      </c>
      <c r="Z66" t="s">
        <v>11</v>
      </c>
      <c r="AA66" t="s">
        <v>728</v>
      </c>
      <c r="AB66" t="s">
        <v>729</v>
      </c>
      <c r="AC66">
        <v>0</v>
      </c>
      <c r="AD66" t="s">
        <v>14</v>
      </c>
      <c r="AE66" t="s">
        <v>15</v>
      </c>
      <c r="AF66" t="s">
        <v>728</v>
      </c>
      <c r="AG66" t="s">
        <v>729</v>
      </c>
      <c r="AH66">
        <v>0</v>
      </c>
      <c r="AI66" t="s">
        <v>18</v>
      </c>
    </row>
    <row r="67" spans="1:35" x14ac:dyDescent="0.3">
      <c r="A67" t="s">
        <v>1075</v>
      </c>
      <c r="B67" t="s">
        <v>1075</v>
      </c>
      <c r="C67" t="s">
        <v>221</v>
      </c>
      <c r="D67" t="s">
        <v>587</v>
      </c>
      <c r="E67">
        <v>5</v>
      </c>
      <c r="F67" t="s">
        <v>588</v>
      </c>
      <c r="G67" t="s">
        <v>589</v>
      </c>
      <c r="H67">
        <v>7.5</v>
      </c>
      <c r="I67" t="s">
        <v>599</v>
      </c>
      <c r="J67" t="s">
        <v>33</v>
      </c>
      <c r="K67" t="s">
        <v>4</v>
      </c>
      <c r="L67">
        <v>33</v>
      </c>
      <c r="M67" t="s">
        <v>5</v>
      </c>
      <c r="N67">
        <v>9</v>
      </c>
      <c r="O67" s="2">
        <f t="shared" ref="O67:O68" si="1">N67/L67</f>
        <v>0.27272727272727271</v>
      </c>
      <c r="P67" t="s">
        <v>6</v>
      </c>
      <c r="Q67">
        <v>5.9999999999988E-2</v>
      </c>
      <c r="R67" t="s">
        <v>7</v>
      </c>
      <c r="S67">
        <v>1.81818181818145E-3</v>
      </c>
      <c r="T67" t="s">
        <v>8</v>
      </c>
      <c r="U67">
        <v>1.5833333333333299</v>
      </c>
      <c r="V67" t="s">
        <v>9</v>
      </c>
      <c r="W67">
        <v>-0.59124999999999905</v>
      </c>
      <c r="X67" t="s">
        <v>10</v>
      </c>
      <c r="Y67">
        <v>8.3196279084614994E-2</v>
      </c>
      <c r="Z67" t="s">
        <v>11</v>
      </c>
      <c r="AA67" t="s">
        <v>792</v>
      </c>
      <c r="AB67" t="s">
        <v>183</v>
      </c>
      <c r="AC67">
        <v>0</v>
      </c>
      <c r="AD67" t="s">
        <v>14</v>
      </c>
      <c r="AE67" t="s">
        <v>15</v>
      </c>
      <c r="AF67" t="s">
        <v>793</v>
      </c>
      <c r="AG67" t="s">
        <v>794</v>
      </c>
      <c r="AH67">
        <v>0</v>
      </c>
      <c r="AI67" t="s">
        <v>18</v>
      </c>
    </row>
    <row r="68" spans="1:35" x14ac:dyDescent="0.3">
      <c r="A68" t="s">
        <v>1076</v>
      </c>
      <c r="B68" t="s">
        <v>1076</v>
      </c>
      <c r="C68" t="s">
        <v>221</v>
      </c>
      <c r="D68" t="s">
        <v>587</v>
      </c>
      <c r="E68">
        <v>5</v>
      </c>
      <c r="F68" t="s">
        <v>588</v>
      </c>
      <c r="G68" t="s">
        <v>589</v>
      </c>
      <c r="H68">
        <v>7.5</v>
      </c>
      <c r="I68" t="s">
        <v>599</v>
      </c>
      <c r="J68" t="s">
        <v>36</v>
      </c>
      <c r="K68" t="s">
        <v>4</v>
      </c>
      <c r="L68">
        <v>33</v>
      </c>
      <c r="M68" t="s">
        <v>5</v>
      </c>
      <c r="N68">
        <v>9</v>
      </c>
      <c r="O68" s="2">
        <f t="shared" si="1"/>
        <v>0.27272727272727271</v>
      </c>
      <c r="P68" t="s">
        <v>6</v>
      </c>
      <c r="Q68">
        <v>5.9999999999988E-2</v>
      </c>
      <c r="R68" t="s">
        <v>7</v>
      </c>
      <c r="S68">
        <v>1.81818181818145E-3</v>
      </c>
      <c r="T68" t="s">
        <v>8</v>
      </c>
      <c r="U68">
        <v>1.5833333333333299</v>
      </c>
      <c r="V68" t="s">
        <v>9</v>
      </c>
      <c r="W68">
        <v>-0.59124999999999905</v>
      </c>
      <c r="X68" t="s">
        <v>10</v>
      </c>
      <c r="Y68">
        <v>8.3196279084614994E-2</v>
      </c>
      <c r="Z68" t="s">
        <v>11</v>
      </c>
      <c r="AA68" t="s">
        <v>792</v>
      </c>
      <c r="AB68" t="s">
        <v>183</v>
      </c>
      <c r="AC68">
        <v>0</v>
      </c>
      <c r="AD68" t="s">
        <v>14</v>
      </c>
      <c r="AE68" t="s">
        <v>15</v>
      </c>
      <c r="AF68" t="s">
        <v>793</v>
      </c>
      <c r="AG68" t="s">
        <v>794</v>
      </c>
      <c r="AH68">
        <v>0</v>
      </c>
      <c r="AI68" t="s">
        <v>18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3331-3217-4297-9DE4-71FACA6569AE}">
  <dimension ref="A1:AI35"/>
  <sheetViews>
    <sheetView zoomScale="70" zoomScaleNormal="70" workbookViewId="0">
      <selection activeCell="L47" sqref="L47"/>
    </sheetView>
  </sheetViews>
  <sheetFormatPr defaultRowHeight="16.5" x14ac:dyDescent="0.3"/>
  <sheetData>
    <row r="1" spans="1:28" x14ac:dyDescent="0.3">
      <c r="A1" s="4" t="s">
        <v>1141</v>
      </c>
    </row>
    <row r="2" spans="1:28" x14ac:dyDescent="0.3">
      <c r="A2" s="4" t="s">
        <v>1142</v>
      </c>
      <c r="O2" s="2"/>
    </row>
    <row r="3" spans="1:28" x14ac:dyDescent="0.3">
      <c r="A3" s="4"/>
      <c r="O3" s="2"/>
    </row>
    <row r="4" spans="1:28" s="7" customFormat="1" x14ac:dyDescent="0.3">
      <c r="A4" s="7" t="s">
        <v>921</v>
      </c>
      <c r="B4" s="7" t="s">
        <v>921</v>
      </c>
      <c r="C4" s="7" t="s">
        <v>113</v>
      </c>
      <c r="D4" s="7" t="s">
        <v>587</v>
      </c>
      <c r="E4" s="7">
        <v>2.5</v>
      </c>
      <c r="F4" s="7" t="s">
        <v>588</v>
      </c>
      <c r="G4" s="7" t="s">
        <v>589</v>
      </c>
      <c r="H4" s="7">
        <v>5</v>
      </c>
      <c r="I4" s="7" t="s">
        <v>605</v>
      </c>
      <c r="J4" s="7" t="s">
        <v>38</v>
      </c>
      <c r="K4" s="7" t="s">
        <v>4</v>
      </c>
      <c r="L4" s="7">
        <v>247</v>
      </c>
      <c r="M4" s="7" t="s">
        <v>5</v>
      </c>
      <c r="N4" s="7">
        <v>106</v>
      </c>
      <c r="O4" s="8">
        <f t="shared" ref="O4:O5" si="0">N4/L4</f>
        <v>0.4291497975708502</v>
      </c>
      <c r="P4" s="7" t="s">
        <v>6</v>
      </c>
      <c r="Q4" s="7">
        <v>36.292922892013799</v>
      </c>
      <c r="R4" s="7" t="s">
        <v>7</v>
      </c>
      <c r="S4" s="7">
        <v>0.146934910493983</v>
      </c>
      <c r="T4" s="7" t="s">
        <v>8</v>
      </c>
      <c r="U4" s="7">
        <v>1.39528806996094</v>
      </c>
      <c r="V4" s="7" t="s">
        <v>9</v>
      </c>
      <c r="W4" s="7">
        <v>-0.79154335123295005</v>
      </c>
      <c r="X4" s="7" t="s">
        <v>10</v>
      </c>
      <c r="Y4" s="7">
        <v>0.33463843952852801</v>
      </c>
      <c r="Z4" s="7" t="s">
        <v>11</v>
      </c>
      <c r="AA4" s="7" t="s">
        <v>681</v>
      </c>
      <c r="AB4" s="7" t="s">
        <v>682</v>
      </c>
    </row>
    <row r="5" spans="1:28" s="7" customFormat="1" x14ac:dyDescent="0.3">
      <c r="A5" s="7" t="s">
        <v>1101</v>
      </c>
      <c r="B5" s="7" t="s">
        <v>1101</v>
      </c>
      <c r="C5" s="7" t="s">
        <v>262</v>
      </c>
      <c r="D5" s="7" t="s">
        <v>587</v>
      </c>
      <c r="E5" s="7">
        <v>0</v>
      </c>
      <c r="F5" s="7" t="s">
        <v>588</v>
      </c>
      <c r="G5" s="7" t="s">
        <v>589</v>
      </c>
      <c r="H5" s="7">
        <v>2.5</v>
      </c>
      <c r="I5" s="7" t="s">
        <v>605</v>
      </c>
      <c r="J5" s="7" t="s">
        <v>38</v>
      </c>
      <c r="K5" s="7" t="s">
        <v>4</v>
      </c>
      <c r="L5" s="7">
        <v>291</v>
      </c>
      <c r="M5" s="7" t="s">
        <v>5</v>
      </c>
      <c r="N5" s="7">
        <v>128</v>
      </c>
      <c r="O5" s="8">
        <f t="shared" si="0"/>
        <v>0.43986254295532645</v>
      </c>
      <c r="P5" s="7" t="s">
        <v>6</v>
      </c>
      <c r="Q5" s="7">
        <v>31.607850344312801</v>
      </c>
      <c r="R5" s="7" t="s">
        <v>7</v>
      </c>
      <c r="S5" s="7">
        <v>0.108618042420319</v>
      </c>
      <c r="T5" s="7" t="s">
        <v>8</v>
      </c>
      <c r="U5" s="7">
        <v>1.38391219428379</v>
      </c>
      <c r="V5" s="7" t="s">
        <v>9</v>
      </c>
      <c r="W5" s="7">
        <v>-0.89283994186511095</v>
      </c>
      <c r="X5" s="7" t="s">
        <v>10</v>
      </c>
      <c r="Y5" s="7">
        <v>0.40351728324946101</v>
      </c>
      <c r="Z5" s="7" t="s">
        <v>11</v>
      </c>
      <c r="AA5" s="7" t="s">
        <v>817</v>
      </c>
      <c r="AB5" s="7" t="s">
        <v>818</v>
      </c>
    </row>
    <row r="6" spans="1:28" x14ac:dyDescent="0.3">
      <c r="O6" s="2"/>
    </row>
    <row r="7" spans="1:28" x14ac:dyDescent="0.3">
      <c r="O7" s="2"/>
    </row>
    <row r="8" spans="1:28" x14ac:dyDescent="0.3">
      <c r="O8" s="2"/>
    </row>
    <row r="9" spans="1:28" x14ac:dyDescent="0.3">
      <c r="O9" s="2"/>
    </row>
    <row r="10" spans="1:28" x14ac:dyDescent="0.3">
      <c r="O10" s="2"/>
    </row>
    <row r="11" spans="1:28" x14ac:dyDescent="0.3">
      <c r="O11" s="2"/>
    </row>
    <row r="12" spans="1:28" x14ac:dyDescent="0.3">
      <c r="O12" s="2"/>
    </row>
    <row r="13" spans="1:28" x14ac:dyDescent="0.3">
      <c r="O13" s="2"/>
    </row>
    <row r="14" spans="1:28" x14ac:dyDescent="0.3">
      <c r="O14" s="2"/>
    </row>
    <row r="15" spans="1:28" x14ac:dyDescent="0.3">
      <c r="O15" s="2"/>
    </row>
    <row r="16" spans="1:28" x14ac:dyDescent="0.3">
      <c r="O16" s="2"/>
    </row>
    <row r="17" spans="1:35" x14ac:dyDescent="0.3">
      <c r="O17" s="2"/>
    </row>
    <row r="18" spans="1:35" x14ac:dyDescent="0.3">
      <c r="O18" s="2"/>
    </row>
    <row r="19" spans="1:35" x14ac:dyDescent="0.3">
      <c r="O19" s="2"/>
    </row>
    <row r="20" spans="1:35" x14ac:dyDescent="0.3">
      <c r="O20" s="2"/>
    </row>
    <row r="21" spans="1:35" x14ac:dyDescent="0.3">
      <c r="O21" s="2"/>
    </row>
    <row r="22" spans="1:35" x14ac:dyDescent="0.3">
      <c r="O22" s="2"/>
    </row>
    <row r="23" spans="1:35" x14ac:dyDescent="0.3">
      <c r="O23" s="2"/>
    </row>
    <row r="24" spans="1:35" x14ac:dyDescent="0.3">
      <c r="O24" s="2"/>
    </row>
    <row r="25" spans="1:35" x14ac:dyDescent="0.3">
      <c r="O25" s="2"/>
    </row>
    <row r="26" spans="1:35" x14ac:dyDescent="0.3">
      <c r="O26" s="2"/>
    </row>
    <row r="27" spans="1:35" x14ac:dyDescent="0.3">
      <c r="O27" s="2"/>
    </row>
    <row r="28" spans="1:35" x14ac:dyDescent="0.3">
      <c r="O28" s="2"/>
    </row>
    <row r="29" spans="1:35" x14ac:dyDescent="0.3">
      <c r="O29" s="2"/>
    </row>
    <row r="30" spans="1:35" x14ac:dyDescent="0.3">
      <c r="A30" s="4" t="s">
        <v>1974</v>
      </c>
      <c r="O30" s="2"/>
    </row>
    <row r="31" spans="1:35" s="13" customFormat="1" x14ac:dyDescent="0.3">
      <c r="A31" s="13" t="str">
        <f t="shared" ref="A31" si="1">_xlfn.TEXTJOIN(", ", FALSE, C31,D31,E31,F31,G31,H31,I31,J31)</f>
        <v>alltime_{'C',  [('number', 5,  1),  ('number', 7.5,  -1)]}_[35,  70]_4</v>
      </c>
      <c r="B31" s="13" t="s">
        <v>888</v>
      </c>
      <c r="C31" s="13" t="s">
        <v>0</v>
      </c>
      <c r="D31" s="13" t="s">
        <v>587</v>
      </c>
      <c r="E31" s="13">
        <v>5</v>
      </c>
      <c r="F31" s="13" t="s">
        <v>588</v>
      </c>
      <c r="G31" s="13" t="s">
        <v>589</v>
      </c>
      <c r="H31" s="13">
        <v>7.5</v>
      </c>
      <c r="I31" s="13" t="s">
        <v>605</v>
      </c>
      <c r="J31" s="13" t="s">
        <v>44</v>
      </c>
      <c r="K31" s="13" t="s">
        <v>4</v>
      </c>
      <c r="L31" s="13">
        <v>3810</v>
      </c>
      <c r="M31" s="13" t="s">
        <v>5</v>
      </c>
      <c r="N31" s="13">
        <v>847</v>
      </c>
      <c r="O31" s="14">
        <f t="shared" ref="O31" si="2">N31/L31</f>
        <v>0.22230971128608923</v>
      </c>
      <c r="P31" s="13" t="s">
        <v>6</v>
      </c>
      <c r="Q31" s="13">
        <v>-455.21839125485502</v>
      </c>
      <c r="R31" s="13" t="s">
        <v>7</v>
      </c>
      <c r="S31" s="13">
        <v>-0.119479892717809</v>
      </c>
      <c r="T31" s="13" t="s">
        <v>8</v>
      </c>
      <c r="U31" s="13">
        <v>1.6455717888873</v>
      </c>
      <c r="V31" s="13" t="s">
        <v>9</v>
      </c>
      <c r="W31" s="13">
        <v>-0.62403567210340705</v>
      </c>
      <c r="X31" s="13" t="s">
        <v>10</v>
      </c>
      <c r="Y31" s="13">
        <v>2.6376232916299398</v>
      </c>
      <c r="Z31" s="13" t="s">
        <v>11</v>
      </c>
      <c r="AA31" s="13" t="s">
        <v>631</v>
      </c>
      <c r="AB31" s="13" t="s">
        <v>632</v>
      </c>
      <c r="AC31" s="13">
        <v>0</v>
      </c>
      <c r="AD31" s="13" t="s">
        <v>14</v>
      </c>
      <c r="AE31" s="13" t="s">
        <v>15</v>
      </c>
      <c r="AF31" s="13" t="s">
        <v>634</v>
      </c>
      <c r="AG31" s="13" t="s">
        <v>635</v>
      </c>
      <c r="AH31" s="13">
        <v>0</v>
      </c>
      <c r="AI31" s="13" t="s">
        <v>18</v>
      </c>
    </row>
    <row r="32" spans="1:35" x14ac:dyDescent="0.3">
      <c r="A32" s="4" t="s">
        <v>1976</v>
      </c>
    </row>
    <row r="33" spans="1:15" x14ac:dyDescent="0.3">
      <c r="A33" s="4" t="s">
        <v>1975</v>
      </c>
      <c r="O33" s="2"/>
    </row>
    <row r="34" spans="1:15" x14ac:dyDescent="0.3">
      <c r="A34" s="4" t="s">
        <v>1977</v>
      </c>
    </row>
    <row r="35" spans="1:15" x14ac:dyDescent="0.3">
      <c r="A35" s="15" t="s">
        <v>1978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3CDA4-8C9B-48F0-886A-87F4E16854F2}">
  <sheetPr>
    <tabColor rgb="FFFF0000"/>
  </sheetPr>
  <dimension ref="A2:AB451"/>
  <sheetViews>
    <sheetView zoomScale="85" zoomScaleNormal="85" workbookViewId="0">
      <selection activeCell="L10" sqref="L10"/>
    </sheetView>
  </sheetViews>
  <sheetFormatPr defaultRowHeight="16.5" x14ac:dyDescent="0.3"/>
  <cols>
    <col min="1" max="1" width="16.5" customWidth="1"/>
    <col min="2" max="2" width="46.375" bestFit="1" customWidth="1"/>
    <col min="3" max="3" width="46.375" customWidth="1"/>
    <col min="4" max="4" width="3.875" bestFit="1" customWidth="1"/>
    <col min="5" max="5" width="6.375" bestFit="1" customWidth="1"/>
    <col min="6" max="6" width="6.25" bestFit="1" customWidth="1"/>
    <col min="7" max="7" width="6.375" bestFit="1" customWidth="1"/>
    <col min="8" max="8" width="6.75" bestFit="1" customWidth="1"/>
    <col min="9" max="9" width="9.75" bestFit="1" customWidth="1"/>
    <col min="10" max="10" width="15.125" bestFit="1" customWidth="1"/>
    <col min="11" max="11" width="9.25" bestFit="1" customWidth="1"/>
    <col min="12" max="12" width="15.125" bestFit="1" customWidth="1"/>
    <col min="13" max="13" width="9.75" bestFit="1" customWidth="1"/>
    <col min="14" max="14" width="14.25" bestFit="1" customWidth="1"/>
    <col min="15" max="15" width="10" bestFit="1" customWidth="1"/>
    <col min="16" max="16" width="15.125" bestFit="1" customWidth="1"/>
    <col min="17" max="17" width="5.875" bestFit="1" customWidth="1"/>
    <col min="18" max="18" width="14.25" bestFit="1" customWidth="1"/>
    <col min="19" max="19" width="17.625" bestFit="1" customWidth="1"/>
    <col min="20" max="20" width="24.25" bestFit="1" customWidth="1"/>
    <col min="21" max="21" width="27.125" bestFit="1" customWidth="1"/>
    <col min="22" max="22" width="3.125" bestFit="1" customWidth="1"/>
    <col min="23" max="23" width="5.625" bestFit="1" customWidth="1"/>
    <col min="24" max="24" width="13.5" bestFit="1" customWidth="1"/>
    <col min="25" max="25" width="24.25" bestFit="1" customWidth="1"/>
    <col min="26" max="26" width="27.125" bestFit="1" customWidth="1"/>
    <col min="27" max="27" width="3.125" bestFit="1" customWidth="1"/>
    <col min="28" max="28" width="6.25" bestFit="1" customWidth="1"/>
  </cols>
  <sheetData>
    <row r="2" spans="1:28" x14ac:dyDescent="0.3">
      <c r="A2" t="s">
        <v>1143</v>
      </c>
      <c r="B2" t="s">
        <v>1193</v>
      </c>
      <c r="C2" t="s">
        <v>1953</v>
      </c>
      <c r="D2" t="s">
        <v>1224</v>
      </c>
      <c r="E2">
        <v>3073</v>
      </c>
      <c r="F2" t="s">
        <v>5</v>
      </c>
      <c r="G2">
        <v>2015</v>
      </c>
      <c r="H2" s="2">
        <f>G2/E2</f>
        <v>0.65571103156524568</v>
      </c>
      <c r="I2" t="s">
        <v>6</v>
      </c>
      <c r="J2">
        <v>558.301119251876</v>
      </c>
      <c r="K2" t="s">
        <v>7</v>
      </c>
      <c r="L2">
        <v>0.18167950512589501</v>
      </c>
      <c r="M2" t="s">
        <v>8</v>
      </c>
      <c r="N2">
        <v>0.89062693285221795</v>
      </c>
      <c r="O2" t="s">
        <v>9</v>
      </c>
      <c r="P2">
        <v>-1.1718598582420301</v>
      </c>
      <c r="Q2" t="s">
        <v>10</v>
      </c>
      <c r="R2">
        <v>3.7589177469727502</v>
      </c>
      <c r="S2" t="s">
        <v>11</v>
      </c>
      <c r="T2" t="s">
        <v>1246</v>
      </c>
      <c r="U2" t="s">
        <v>230</v>
      </c>
      <c r="V2">
        <v>0</v>
      </c>
      <c r="W2" t="s">
        <v>14</v>
      </c>
      <c r="X2" t="s">
        <v>15</v>
      </c>
      <c r="Y2" t="s">
        <v>1279</v>
      </c>
      <c r="Z2" t="s">
        <v>1262</v>
      </c>
      <c r="AA2">
        <v>0</v>
      </c>
      <c r="AB2" t="s">
        <v>18</v>
      </c>
    </row>
    <row r="3" spans="1:28" x14ac:dyDescent="0.3">
      <c r="A3" t="s">
        <v>1143</v>
      </c>
      <c r="B3" s="10" t="s">
        <v>1950</v>
      </c>
      <c r="C3" t="s">
        <v>1565</v>
      </c>
      <c r="D3" t="s">
        <v>1224</v>
      </c>
      <c r="E3">
        <v>3073</v>
      </c>
      <c r="F3" t="s">
        <v>5</v>
      </c>
      <c r="G3">
        <v>866</v>
      </c>
      <c r="H3" s="2">
        <f t="shared" ref="H3:H66" si="0">G3/E3</f>
        <v>0.28180930686625449</v>
      </c>
      <c r="I3" t="s">
        <v>6</v>
      </c>
      <c r="J3">
        <v>521.77625723582503</v>
      </c>
      <c r="K3" t="s">
        <v>7</v>
      </c>
      <c r="L3">
        <v>0.16979377065923301</v>
      </c>
      <c r="M3" t="s">
        <v>8</v>
      </c>
      <c r="N3">
        <v>2.8853002309468798</v>
      </c>
      <c r="O3" t="s">
        <v>9</v>
      </c>
      <c r="P3">
        <v>-0.89614403570452095</v>
      </c>
      <c r="Q3" t="s">
        <v>10</v>
      </c>
      <c r="R3">
        <v>5.7169194583389702</v>
      </c>
      <c r="S3" t="s">
        <v>11</v>
      </c>
      <c r="T3" t="s">
        <v>1293</v>
      </c>
      <c r="U3" t="s">
        <v>742</v>
      </c>
      <c r="V3">
        <v>0</v>
      </c>
      <c r="W3" t="s">
        <v>14</v>
      </c>
      <c r="X3" t="s">
        <v>15</v>
      </c>
      <c r="Y3" t="s">
        <v>1294</v>
      </c>
      <c r="Z3" t="s">
        <v>1295</v>
      </c>
      <c r="AA3">
        <v>0</v>
      </c>
      <c r="AB3" t="s">
        <v>18</v>
      </c>
    </row>
    <row r="4" spans="1:28" x14ac:dyDescent="0.3">
      <c r="A4" t="s">
        <v>1143</v>
      </c>
      <c r="B4" t="s">
        <v>1163</v>
      </c>
      <c r="C4" t="s">
        <v>1521</v>
      </c>
      <c r="D4" t="s">
        <v>1224</v>
      </c>
      <c r="E4">
        <v>3073</v>
      </c>
      <c r="F4" t="s">
        <v>5</v>
      </c>
      <c r="G4">
        <v>1897</v>
      </c>
      <c r="H4" s="2">
        <f t="shared" si="0"/>
        <v>0.61731207289293855</v>
      </c>
      <c r="I4" t="s">
        <v>6</v>
      </c>
      <c r="J4">
        <v>505.70365112129798</v>
      </c>
      <c r="K4" t="s">
        <v>7</v>
      </c>
      <c r="L4">
        <v>0.16456350508340301</v>
      </c>
      <c r="M4" t="s">
        <v>8</v>
      </c>
      <c r="N4">
        <v>1.2282201640070101</v>
      </c>
      <c r="O4" t="s">
        <v>9</v>
      </c>
      <c r="P4">
        <v>-1.55253617021276</v>
      </c>
      <c r="Q4" t="s">
        <v>10</v>
      </c>
      <c r="R4">
        <v>4.4961482293005597</v>
      </c>
      <c r="S4" t="s">
        <v>11</v>
      </c>
      <c r="T4" t="s">
        <v>1234</v>
      </c>
      <c r="U4" t="s">
        <v>154</v>
      </c>
      <c r="V4">
        <v>0</v>
      </c>
      <c r="W4" t="s">
        <v>14</v>
      </c>
      <c r="X4" t="s">
        <v>15</v>
      </c>
      <c r="Y4" t="s">
        <v>1247</v>
      </c>
      <c r="Z4" t="s">
        <v>158</v>
      </c>
      <c r="AA4">
        <v>0</v>
      </c>
      <c r="AB4" t="s">
        <v>18</v>
      </c>
    </row>
    <row r="5" spans="1:28" x14ac:dyDescent="0.3">
      <c r="A5" t="s">
        <v>1143</v>
      </c>
      <c r="B5" t="s">
        <v>1148</v>
      </c>
      <c r="C5" t="s">
        <v>1506</v>
      </c>
      <c r="D5" t="s">
        <v>1224</v>
      </c>
      <c r="E5">
        <v>3073</v>
      </c>
      <c r="F5" t="s">
        <v>5</v>
      </c>
      <c r="G5">
        <v>1716</v>
      </c>
      <c r="H5" s="2">
        <f t="shared" si="0"/>
        <v>0.55841197526846731</v>
      </c>
      <c r="I5" t="s">
        <v>6</v>
      </c>
      <c r="J5">
        <v>490.391211369926</v>
      </c>
      <c r="K5" t="s">
        <v>7</v>
      </c>
      <c r="L5">
        <v>0.15958060897166501</v>
      </c>
      <c r="M5" t="s">
        <v>8</v>
      </c>
      <c r="N5">
        <v>1.6530044114140701</v>
      </c>
      <c r="O5" t="s">
        <v>9</v>
      </c>
      <c r="P5">
        <v>-1.72893467842049</v>
      </c>
      <c r="Q5" t="s">
        <v>10</v>
      </c>
      <c r="R5">
        <v>4.8656921059365397</v>
      </c>
      <c r="S5" t="s">
        <v>11</v>
      </c>
      <c r="T5" t="s">
        <v>1234</v>
      </c>
      <c r="U5" t="s">
        <v>154</v>
      </c>
      <c r="V5">
        <v>0</v>
      </c>
      <c r="W5" t="s">
        <v>14</v>
      </c>
      <c r="X5" t="s">
        <v>15</v>
      </c>
      <c r="Y5" t="s">
        <v>1235</v>
      </c>
      <c r="Z5" t="s">
        <v>230</v>
      </c>
      <c r="AA5">
        <v>0</v>
      </c>
      <c r="AB5" t="s">
        <v>18</v>
      </c>
    </row>
    <row r="6" spans="1:28" x14ac:dyDescent="0.3">
      <c r="A6" t="s">
        <v>1143</v>
      </c>
      <c r="B6" t="s">
        <v>1192</v>
      </c>
      <c r="C6" t="s">
        <v>1550</v>
      </c>
      <c r="D6" t="s">
        <v>1224</v>
      </c>
      <c r="E6">
        <v>3073</v>
      </c>
      <c r="F6" t="s">
        <v>5</v>
      </c>
      <c r="G6">
        <v>2017</v>
      </c>
      <c r="H6" s="2">
        <f t="shared" si="0"/>
        <v>0.65636186137325092</v>
      </c>
      <c r="I6" t="s">
        <v>6</v>
      </c>
      <c r="J6">
        <v>485.63111925187599</v>
      </c>
      <c r="K6" t="s">
        <v>7</v>
      </c>
      <c r="L6">
        <v>0.15803160405202599</v>
      </c>
      <c r="M6" t="s">
        <v>8</v>
      </c>
      <c r="N6">
        <v>0.85223265726188302</v>
      </c>
      <c r="O6" t="s">
        <v>9</v>
      </c>
      <c r="P6">
        <v>-1.1712461067857001</v>
      </c>
      <c r="Q6" t="s">
        <v>10</v>
      </c>
      <c r="R6">
        <v>3.4875682753359301</v>
      </c>
      <c r="S6" t="s">
        <v>11</v>
      </c>
      <c r="T6" t="s">
        <v>1246</v>
      </c>
      <c r="U6" t="s">
        <v>230</v>
      </c>
      <c r="V6">
        <v>0</v>
      </c>
      <c r="W6" t="s">
        <v>14</v>
      </c>
      <c r="X6" t="s">
        <v>15</v>
      </c>
      <c r="Y6" t="s">
        <v>1279</v>
      </c>
      <c r="Z6" t="s">
        <v>1262</v>
      </c>
      <c r="AA6">
        <v>0</v>
      </c>
      <c r="AB6" t="s">
        <v>18</v>
      </c>
    </row>
    <row r="7" spans="1:28" x14ac:dyDescent="0.3">
      <c r="A7" t="s">
        <v>1143</v>
      </c>
      <c r="B7" t="s">
        <v>1162</v>
      </c>
      <c r="C7" t="s">
        <v>1520</v>
      </c>
      <c r="D7" t="s">
        <v>1224</v>
      </c>
      <c r="E7">
        <v>3073</v>
      </c>
      <c r="F7" t="s">
        <v>5</v>
      </c>
      <c r="G7">
        <v>1902</v>
      </c>
      <c r="H7" s="2">
        <f t="shared" si="0"/>
        <v>0.61893914741295153</v>
      </c>
      <c r="I7" t="s">
        <v>6</v>
      </c>
      <c r="J7">
        <v>446.933651121298</v>
      </c>
      <c r="K7" t="s">
        <v>7</v>
      </c>
      <c r="L7">
        <v>0.14543887117516999</v>
      </c>
      <c r="M7" t="s">
        <v>8</v>
      </c>
      <c r="N7">
        <v>1.1921207419144499</v>
      </c>
      <c r="O7" t="s">
        <v>9</v>
      </c>
      <c r="P7">
        <v>-1.5559658119658</v>
      </c>
      <c r="Q7" t="s">
        <v>10</v>
      </c>
      <c r="R7">
        <v>4.2454427479467798</v>
      </c>
      <c r="S7" t="s">
        <v>11</v>
      </c>
      <c r="T7" t="s">
        <v>1234</v>
      </c>
      <c r="U7" t="s">
        <v>154</v>
      </c>
      <c r="V7">
        <v>0</v>
      </c>
      <c r="W7" t="s">
        <v>14</v>
      </c>
      <c r="X7" t="s">
        <v>15</v>
      </c>
      <c r="Y7" t="s">
        <v>1247</v>
      </c>
      <c r="Z7" t="s">
        <v>158</v>
      </c>
      <c r="AA7">
        <v>0</v>
      </c>
      <c r="AB7" t="s">
        <v>18</v>
      </c>
    </row>
    <row r="8" spans="1:28" x14ac:dyDescent="0.3">
      <c r="A8" t="s">
        <v>1143</v>
      </c>
      <c r="B8" t="s">
        <v>1191</v>
      </c>
      <c r="C8" t="s">
        <v>1549</v>
      </c>
      <c r="D8" t="s">
        <v>1224</v>
      </c>
      <c r="E8">
        <v>3073</v>
      </c>
      <c r="F8" t="s">
        <v>5</v>
      </c>
      <c r="G8">
        <v>2029</v>
      </c>
      <c r="H8" s="2">
        <f t="shared" si="0"/>
        <v>0.66026684022128213</v>
      </c>
      <c r="I8" t="s">
        <v>6</v>
      </c>
      <c r="J8">
        <v>410.28111925187602</v>
      </c>
      <c r="K8" t="s">
        <v>7</v>
      </c>
      <c r="L8">
        <v>0.13351159103543001</v>
      </c>
      <c r="M8" t="s">
        <v>8</v>
      </c>
      <c r="N8">
        <v>0.80175617037812597</v>
      </c>
      <c r="O8" t="s">
        <v>9</v>
      </c>
      <c r="P8">
        <v>-1.1685707497073401</v>
      </c>
      <c r="Q8" t="s">
        <v>10</v>
      </c>
      <c r="R8">
        <v>3.11244194333517</v>
      </c>
      <c r="S8" t="s">
        <v>11</v>
      </c>
      <c r="T8" t="s">
        <v>1246</v>
      </c>
      <c r="U8" t="s">
        <v>230</v>
      </c>
      <c r="V8">
        <v>0</v>
      </c>
      <c r="W8" t="s">
        <v>14</v>
      </c>
      <c r="X8" t="s">
        <v>15</v>
      </c>
      <c r="Y8" t="s">
        <v>1279</v>
      </c>
      <c r="Z8" t="s">
        <v>1262</v>
      </c>
      <c r="AA8">
        <v>0</v>
      </c>
      <c r="AB8" t="s">
        <v>18</v>
      </c>
    </row>
    <row r="9" spans="1:28" x14ac:dyDescent="0.3">
      <c r="A9" t="s">
        <v>1143</v>
      </c>
      <c r="B9" t="s">
        <v>1144</v>
      </c>
      <c r="C9" t="s">
        <v>1502</v>
      </c>
      <c r="D9" t="s">
        <v>1224</v>
      </c>
      <c r="E9">
        <v>3073</v>
      </c>
      <c r="F9" t="s">
        <v>5</v>
      </c>
      <c r="G9">
        <v>1943</v>
      </c>
      <c r="H9" s="2">
        <f t="shared" si="0"/>
        <v>0.63228115847705824</v>
      </c>
      <c r="I9" t="s">
        <v>6</v>
      </c>
      <c r="J9">
        <v>398.93121136992698</v>
      </c>
      <c r="K9" t="s">
        <v>7</v>
      </c>
      <c r="L9">
        <v>0.12981816185158701</v>
      </c>
      <c r="M9" t="s">
        <v>8</v>
      </c>
      <c r="N9">
        <v>1.1916755378211701</v>
      </c>
      <c r="O9" t="s">
        <v>9</v>
      </c>
      <c r="P9">
        <v>-1.6960127067403601</v>
      </c>
      <c r="Q9" t="s">
        <v>10</v>
      </c>
      <c r="R9">
        <v>3.4391342946757102</v>
      </c>
      <c r="S9" t="s">
        <v>11</v>
      </c>
      <c r="T9" t="s">
        <v>1225</v>
      </c>
      <c r="U9" t="s">
        <v>1226</v>
      </c>
      <c r="V9">
        <v>0</v>
      </c>
      <c r="W9" t="s">
        <v>14</v>
      </c>
      <c r="X9" t="s">
        <v>15</v>
      </c>
      <c r="Y9" t="s">
        <v>1227</v>
      </c>
      <c r="Z9" t="s">
        <v>1228</v>
      </c>
      <c r="AA9">
        <v>0</v>
      </c>
      <c r="AB9" t="s">
        <v>18</v>
      </c>
    </row>
    <row r="10" spans="1:28" x14ac:dyDescent="0.3">
      <c r="A10" t="s">
        <v>1143</v>
      </c>
      <c r="B10" t="s">
        <v>1161</v>
      </c>
      <c r="C10" t="s">
        <v>1519</v>
      </c>
      <c r="D10" t="s">
        <v>1224</v>
      </c>
      <c r="E10">
        <v>3073</v>
      </c>
      <c r="F10" t="s">
        <v>5</v>
      </c>
      <c r="G10">
        <v>1921</v>
      </c>
      <c r="H10" s="2">
        <f t="shared" si="0"/>
        <v>0.62512203058900095</v>
      </c>
      <c r="I10" t="s">
        <v>6</v>
      </c>
      <c r="J10">
        <v>391.36365112129801</v>
      </c>
      <c r="K10" t="s">
        <v>7</v>
      </c>
      <c r="L10">
        <v>0.12735556495974501</v>
      </c>
      <c r="M10" t="s">
        <v>8</v>
      </c>
      <c r="N10">
        <v>1.1350149146909401</v>
      </c>
      <c r="O10" t="s">
        <v>9</v>
      </c>
      <c r="P10">
        <v>-1.5543006081668</v>
      </c>
      <c r="Q10" t="s">
        <v>10</v>
      </c>
      <c r="R10">
        <v>3.8092478628783502</v>
      </c>
      <c r="S10" t="s">
        <v>11</v>
      </c>
      <c r="T10" t="s">
        <v>1246</v>
      </c>
      <c r="U10" t="s">
        <v>230</v>
      </c>
      <c r="V10">
        <v>0</v>
      </c>
      <c r="W10" t="s">
        <v>14</v>
      </c>
      <c r="X10" t="s">
        <v>15</v>
      </c>
      <c r="Y10" t="s">
        <v>1245</v>
      </c>
      <c r="Z10" t="s">
        <v>1237</v>
      </c>
      <c r="AA10">
        <v>0</v>
      </c>
      <c r="AB10" t="s">
        <v>18</v>
      </c>
    </row>
    <row r="11" spans="1:28" x14ac:dyDescent="0.3">
      <c r="A11" t="s">
        <v>1143</v>
      </c>
      <c r="B11" t="s">
        <v>1207</v>
      </c>
      <c r="C11" t="s">
        <v>1564</v>
      </c>
      <c r="D11" t="s">
        <v>1224</v>
      </c>
      <c r="E11">
        <v>3073</v>
      </c>
      <c r="F11" t="s">
        <v>5</v>
      </c>
      <c r="G11">
        <v>889</v>
      </c>
      <c r="H11" s="2">
        <f t="shared" si="0"/>
        <v>0.28929384965831434</v>
      </c>
      <c r="I11" t="s">
        <v>6</v>
      </c>
      <c r="J11">
        <v>387.71625723582503</v>
      </c>
      <c r="K11" t="s">
        <v>7</v>
      </c>
      <c r="L11">
        <v>0.12616864862864399</v>
      </c>
      <c r="M11" t="s">
        <v>8</v>
      </c>
      <c r="N11">
        <v>2.6164467122421899</v>
      </c>
      <c r="O11" t="s">
        <v>9</v>
      </c>
      <c r="P11">
        <v>-0.88790878146930297</v>
      </c>
      <c r="Q11" t="s">
        <v>10</v>
      </c>
      <c r="R11">
        <v>5.16839522576708</v>
      </c>
      <c r="S11" t="s">
        <v>11</v>
      </c>
      <c r="T11" t="s">
        <v>1263</v>
      </c>
      <c r="U11" t="s">
        <v>230</v>
      </c>
      <c r="V11">
        <v>0</v>
      </c>
      <c r="W11" t="s">
        <v>14</v>
      </c>
      <c r="X11" t="s">
        <v>15</v>
      </c>
      <c r="Y11" t="s">
        <v>1291</v>
      </c>
      <c r="Z11" t="s">
        <v>1292</v>
      </c>
      <c r="AA11">
        <v>0</v>
      </c>
      <c r="AB11" t="s">
        <v>18</v>
      </c>
    </row>
    <row r="12" spans="1:28" x14ac:dyDescent="0.3">
      <c r="A12" t="s">
        <v>1143</v>
      </c>
      <c r="B12" t="s">
        <v>1147</v>
      </c>
      <c r="C12" t="s">
        <v>1505</v>
      </c>
      <c r="D12" t="s">
        <v>1224</v>
      </c>
      <c r="E12">
        <v>3073</v>
      </c>
      <c r="F12" t="s">
        <v>5</v>
      </c>
      <c r="G12">
        <v>1719</v>
      </c>
      <c r="H12" s="2">
        <f t="shared" si="0"/>
        <v>0.55938821998047505</v>
      </c>
      <c r="I12" t="s">
        <v>6</v>
      </c>
      <c r="J12">
        <v>383.52121136992702</v>
      </c>
      <c r="K12" t="s">
        <v>7</v>
      </c>
      <c r="L12">
        <v>0.124803518180907</v>
      </c>
      <c r="M12" t="s">
        <v>8</v>
      </c>
      <c r="N12">
        <v>1.5822312798060101</v>
      </c>
      <c r="O12" t="s">
        <v>9</v>
      </c>
      <c r="P12">
        <v>-1.72550543472423</v>
      </c>
      <c r="Q12" t="s">
        <v>10</v>
      </c>
      <c r="R12">
        <v>4.5519491013414903</v>
      </c>
      <c r="S12" t="s">
        <v>11</v>
      </c>
      <c r="T12" t="s">
        <v>1234</v>
      </c>
      <c r="U12" t="s">
        <v>154</v>
      </c>
      <c r="V12">
        <v>0</v>
      </c>
      <c r="W12" t="s">
        <v>14</v>
      </c>
      <c r="X12" t="s">
        <v>15</v>
      </c>
      <c r="Y12" t="s">
        <v>1235</v>
      </c>
      <c r="Z12" t="s">
        <v>230</v>
      </c>
      <c r="AA12">
        <v>0</v>
      </c>
      <c r="AB12" t="s">
        <v>18</v>
      </c>
    </row>
    <row r="13" spans="1:28" x14ac:dyDescent="0.3">
      <c r="A13" t="s">
        <v>1143</v>
      </c>
      <c r="B13" t="s">
        <v>1160</v>
      </c>
      <c r="C13" t="s">
        <v>1518</v>
      </c>
      <c r="D13" t="s">
        <v>1224</v>
      </c>
      <c r="E13">
        <v>3073</v>
      </c>
      <c r="F13" t="s">
        <v>5</v>
      </c>
      <c r="G13">
        <v>1947</v>
      </c>
      <c r="H13" s="2">
        <f t="shared" si="0"/>
        <v>0.63358281809306871</v>
      </c>
      <c r="I13" t="s">
        <v>6</v>
      </c>
      <c r="J13">
        <v>371.67365112129897</v>
      </c>
      <c r="K13" t="s">
        <v>7</v>
      </c>
      <c r="L13">
        <v>0.120948145499934</v>
      </c>
      <c r="M13" t="s">
        <v>8</v>
      </c>
      <c r="N13">
        <v>1.0844189271295801</v>
      </c>
      <c r="O13" t="s">
        <v>9</v>
      </c>
      <c r="P13">
        <v>-1.5463911111110999</v>
      </c>
      <c r="Q13" t="s">
        <v>10</v>
      </c>
      <c r="R13">
        <v>3.58728951233803</v>
      </c>
      <c r="S13" t="s">
        <v>11</v>
      </c>
      <c r="T13" t="s">
        <v>1246</v>
      </c>
      <c r="U13" t="s">
        <v>230</v>
      </c>
      <c r="V13">
        <v>0</v>
      </c>
      <c r="W13" t="s">
        <v>14</v>
      </c>
      <c r="X13" t="s">
        <v>15</v>
      </c>
      <c r="Y13" t="s">
        <v>1245</v>
      </c>
      <c r="Z13" t="s">
        <v>1237</v>
      </c>
      <c r="AA13">
        <v>0</v>
      </c>
      <c r="AB13" t="s">
        <v>18</v>
      </c>
    </row>
    <row r="14" spans="1:28" x14ac:dyDescent="0.3">
      <c r="A14" t="s">
        <v>1143</v>
      </c>
      <c r="B14" t="s">
        <v>1190</v>
      </c>
      <c r="C14" t="s">
        <v>1548</v>
      </c>
      <c r="D14" t="s">
        <v>1224</v>
      </c>
      <c r="E14">
        <v>3073</v>
      </c>
      <c r="F14" t="s">
        <v>5</v>
      </c>
      <c r="G14">
        <v>2046</v>
      </c>
      <c r="H14" s="2">
        <f t="shared" si="0"/>
        <v>0.66579889358932642</v>
      </c>
      <c r="I14" t="s">
        <v>6</v>
      </c>
      <c r="J14">
        <v>365.801119251876</v>
      </c>
      <c r="K14" t="s">
        <v>7</v>
      </c>
      <c r="L14">
        <v>0.119037136105394</v>
      </c>
      <c r="M14" t="s">
        <v>8</v>
      </c>
      <c r="N14">
        <v>0.76069074765259903</v>
      </c>
      <c r="O14" t="s">
        <v>9</v>
      </c>
      <c r="P14">
        <v>-1.16266811566928</v>
      </c>
      <c r="Q14" t="s">
        <v>10</v>
      </c>
      <c r="R14">
        <v>2.7920132649057599</v>
      </c>
      <c r="S14" t="s">
        <v>11</v>
      </c>
      <c r="T14" t="s">
        <v>1246</v>
      </c>
      <c r="U14" t="s">
        <v>230</v>
      </c>
      <c r="V14">
        <v>0</v>
      </c>
      <c r="W14" t="s">
        <v>14</v>
      </c>
      <c r="X14" t="s">
        <v>15</v>
      </c>
      <c r="Y14" t="s">
        <v>1279</v>
      </c>
      <c r="Z14" t="s">
        <v>1262</v>
      </c>
      <c r="AA14">
        <v>0</v>
      </c>
      <c r="AB14" t="s">
        <v>18</v>
      </c>
    </row>
    <row r="15" spans="1:28" x14ac:dyDescent="0.3">
      <c r="A15" t="s">
        <v>1143</v>
      </c>
      <c r="B15" t="s">
        <v>1198</v>
      </c>
      <c r="C15" t="s">
        <v>1555</v>
      </c>
      <c r="D15" t="s">
        <v>1224</v>
      </c>
      <c r="E15">
        <v>3050</v>
      </c>
      <c r="F15" t="s">
        <v>5</v>
      </c>
      <c r="G15">
        <v>1914</v>
      </c>
      <c r="H15" s="2">
        <f t="shared" si="0"/>
        <v>0.62754098360655741</v>
      </c>
      <c r="I15" t="s">
        <v>6</v>
      </c>
      <c r="J15">
        <v>358.30530840599801</v>
      </c>
      <c r="K15" t="s">
        <v>7</v>
      </c>
      <c r="L15">
        <v>0.117477150297048</v>
      </c>
      <c r="M15" t="s">
        <v>8</v>
      </c>
      <c r="N15">
        <v>1.0282831249074</v>
      </c>
      <c r="O15" t="s">
        <v>9</v>
      </c>
      <c r="P15">
        <v>-1.41835118296631</v>
      </c>
      <c r="Q15" t="s">
        <v>10</v>
      </c>
      <c r="R15">
        <v>3.66505917840106</v>
      </c>
      <c r="S15" t="s">
        <v>11</v>
      </c>
      <c r="T15" t="s">
        <v>1248</v>
      </c>
      <c r="U15" t="s">
        <v>1249</v>
      </c>
      <c r="V15">
        <v>0</v>
      </c>
      <c r="W15" t="s">
        <v>14</v>
      </c>
      <c r="X15" t="s">
        <v>15</v>
      </c>
      <c r="Y15" t="s">
        <v>1280</v>
      </c>
      <c r="Z15" t="s">
        <v>1262</v>
      </c>
      <c r="AA15">
        <v>0</v>
      </c>
      <c r="AB15" t="s">
        <v>18</v>
      </c>
    </row>
    <row r="16" spans="1:28" x14ac:dyDescent="0.3">
      <c r="A16" t="s">
        <v>1143</v>
      </c>
      <c r="B16" t="s">
        <v>1145</v>
      </c>
      <c r="C16" t="s">
        <v>1503</v>
      </c>
      <c r="D16" t="s">
        <v>1224</v>
      </c>
      <c r="E16">
        <v>3073</v>
      </c>
      <c r="F16" t="s">
        <v>5</v>
      </c>
      <c r="G16">
        <v>1771</v>
      </c>
      <c r="H16" s="2">
        <f t="shared" si="0"/>
        <v>0.57630979498861046</v>
      </c>
      <c r="I16" t="s">
        <v>6</v>
      </c>
      <c r="J16">
        <v>340.20121136992702</v>
      </c>
      <c r="K16" t="s">
        <v>7</v>
      </c>
      <c r="L16">
        <v>0.11070654453951401</v>
      </c>
      <c r="M16" t="s">
        <v>8</v>
      </c>
      <c r="N16">
        <v>1.45551980236394</v>
      </c>
      <c r="O16" t="s">
        <v>9</v>
      </c>
      <c r="P16">
        <v>-1.7185286932539201</v>
      </c>
      <c r="Q16" t="s">
        <v>10</v>
      </c>
      <c r="R16">
        <v>4.1135533327534102</v>
      </c>
      <c r="S16" t="s">
        <v>11</v>
      </c>
      <c r="T16" t="s">
        <v>1229</v>
      </c>
      <c r="U16" t="s">
        <v>1230</v>
      </c>
      <c r="V16">
        <v>0</v>
      </c>
      <c r="W16" t="s">
        <v>14</v>
      </c>
      <c r="X16" t="s">
        <v>15</v>
      </c>
      <c r="Y16" t="s">
        <v>1231</v>
      </c>
      <c r="Z16" t="s">
        <v>1232</v>
      </c>
      <c r="AA16">
        <v>0</v>
      </c>
      <c r="AB16" t="s">
        <v>18</v>
      </c>
    </row>
    <row r="17" spans="1:28" x14ac:dyDescent="0.3">
      <c r="A17" t="s">
        <v>1143</v>
      </c>
      <c r="B17" t="s">
        <v>1197</v>
      </c>
      <c r="C17" t="s">
        <v>1554</v>
      </c>
      <c r="D17" t="s">
        <v>1224</v>
      </c>
      <c r="E17">
        <v>3050</v>
      </c>
      <c r="F17" t="s">
        <v>5</v>
      </c>
      <c r="G17">
        <v>1925</v>
      </c>
      <c r="H17" s="2">
        <f t="shared" si="0"/>
        <v>0.63114754098360659</v>
      </c>
      <c r="I17" t="s">
        <v>6</v>
      </c>
      <c r="J17">
        <v>334.995308405998</v>
      </c>
      <c r="K17" t="s">
        <v>7</v>
      </c>
      <c r="L17">
        <v>0.10983452734622901</v>
      </c>
      <c r="M17" t="s">
        <v>8</v>
      </c>
      <c r="N17">
        <v>0.99965916938845101</v>
      </c>
      <c r="O17" t="s">
        <v>9</v>
      </c>
      <c r="P17">
        <v>-1.4140112034401799</v>
      </c>
      <c r="Q17" t="s">
        <v>10</v>
      </c>
      <c r="R17">
        <v>3.44294173051478</v>
      </c>
      <c r="S17" t="s">
        <v>11</v>
      </c>
      <c r="T17" t="s">
        <v>1248</v>
      </c>
      <c r="U17" t="s">
        <v>1249</v>
      </c>
      <c r="V17">
        <v>0</v>
      </c>
      <c r="W17" t="s">
        <v>14</v>
      </c>
      <c r="X17" t="s">
        <v>15</v>
      </c>
      <c r="Y17" t="s">
        <v>1280</v>
      </c>
      <c r="Z17" t="s">
        <v>1262</v>
      </c>
      <c r="AA17">
        <v>0</v>
      </c>
      <c r="AB17" t="s">
        <v>18</v>
      </c>
    </row>
    <row r="18" spans="1:28" x14ac:dyDescent="0.3">
      <c r="A18" t="s">
        <v>1143</v>
      </c>
      <c r="B18" t="s">
        <v>1146</v>
      </c>
      <c r="C18" t="s">
        <v>1504</v>
      </c>
      <c r="D18" t="s">
        <v>1224</v>
      </c>
      <c r="E18">
        <v>3073</v>
      </c>
      <c r="F18" t="s">
        <v>5</v>
      </c>
      <c r="G18">
        <v>1738</v>
      </c>
      <c r="H18" s="2">
        <f t="shared" si="0"/>
        <v>0.56557110315652459</v>
      </c>
      <c r="I18" t="s">
        <v>6</v>
      </c>
      <c r="J18">
        <v>329.93121136992698</v>
      </c>
      <c r="K18" t="s">
        <v>7</v>
      </c>
      <c r="L18">
        <v>0.107364533475407</v>
      </c>
      <c r="M18" t="s">
        <v>8</v>
      </c>
      <c r="N18">
        <v>1.5124082681165301</v>
      </c>
      <c r="O18" t="s">
        <v>9</v>
      </c>
      <c r="P18">
        <v>-1.7218234896004601</v>
      </c>
      <c r="Q18" t="s">
        <v>10</v>
      </c>
      <c r="R18">
        <v>4.2899910125201099</v>
      </c>
      <c r="S18" t="s">
        <v>11</v>
      </c>
      <c r="T18" t="s">
        <v>1229</v>
      </c>
      <c r="U18" t="s">
        <v>1230</v>
      </c>
      <c r="V18">
        <v>0</v>
      </c>
      <c r="W18" t="s">
        <v>14</v>
      </c>
      <c r="X18" t="s">
        <v>15</v>
      </c>
      <c r="Y18" t="s">
        <v>1233</v>
      </c>
      <c r="Z18" t="s">
        <v>230</v>
      </c>
      <c r="AA18">
        <v>0</v>
      </c>
      <c r="AB18" t="s">
        <v>18</v>
      </c>
    </row>
    <row r="19" spans="1:28" x14ac:dyDescent="0.3">
      <c r="A19" t="s">
        <v>1143</v>
      </c>
      <c r="B19" t="s">
        <v>1196</v>
      </c>
      <c r="C19" t="s">
        <v>1553</v>
      </c>
      <c r="D19" t="s">
        <v>1224</v>
      </c>
      <c r="E19">
        <v>3050</v>
      </c>
      <c r="F19" t="s">
        <v>5</v>
      </c>
      <c r="G19">
        <v>1953</v>
      </c>
      <c r="H19" s="2">
        <f t="shared" si="0"/>
        <v>0.64032786885245907</v>
      </c>
      <c r="I19" t="s">
        <v>6</v>
      </c>
      <c r="J19">
        <v>327.65530840599803</v>
      </c>
      <c r="K19" t="s">
        <v>7</v>
      </c>
      <c r="L19">
        <v>0.107427969969179</v>
      </c>
      <c r="M19" t="s">
        <v>8</v>
      </c>
      <c r="N19">
        <v>0.96192212036496105</v>
      </c>
      <c r="O19" t="s">
        <v>9</v>
      </c>
      <c r="P19">
        <v>-1.4151264531631</v>
      </c>
      <c r="Q19" t="s">
        <v>10</v>
      </c>
      <c r="R19">
        <v>3.1618716410042098</v>
      </c>
      <c r="S19" t="s">
        <v>11</v>
      </c>
      <c r="T19" t="s">
        <v>1248</v>
      </c>
      <c r="U19" t="s">
        <v>1249</v>
      </c>
      <c r="V19">
        <v>0</v>
      </c>
      <c r="W19" t="s">
        <v>14</v>
      </c>
      <c r="X19" t="s">
        <v>15</v>
      </c>
      <c r="Y19" t="s">
        <v>1280</v>
      </c>
      <c r="Z19" t="s">
        <v>1262</v>
      </c>
      <c r="AA19">
        <v>0</v>
      </c>
      <c r="AB19" t="s">
        <v>18</v>
      </c>
    </row>
    <row r="20" spans="1:28" x14ac:dyDescent="0.3">
      <c r="A20" t="s">
        <v>1143</v>
      </c>
      <c r="B20" t="s">
        <v>1178</v>
      </c>
      <c r="C20" t="s">
        <v>1536</v>
      </c>
      <c r="D20" t="s">
        <v>1224</v>
      </c>
      <c r="E20">
        <v>3073</v>
      </c>
      <c r="F20" t="s">
        <v>5</v>
      </c>
      <c r="G20">
        <v>929</v>
      </c>
      <c r="H20" s="2">
        <f t="shared" si="0"/>
        <v>0.30231044581841848</v>
      </c>
      <c r="I20" t="s">
        <v>6</v>
      </c>
      <c r="J20">
        <v>318.27047668195002</v>
      </c>
      <c r="K20" t="s">
        <v>7</v>
      </c>
      <c r="L20">
        <v>0.103569956616319</v>
      </c>
      <c r="M20" t="s">
        <v>8</v>
      </c>
      <c r="N20">
        <v>3.19467983896712</v>
      </c>
      <c r="O20" t="s">
        <v>9</v>
      </c>
      <c r="P20">
        <v>-1.2363915509652399</v>
      </c>
      <c r="Q20" t="s">
        <v>10</v>
      </c>
      <c r="R20">
        <v>6.2038198623012804</v>
      </c>
      <c r="S20" t="s">
        <v>11</v>
      </c>
      <c r="T20" t="s">
        <v>1266</v>
      </c>
      <c r="U20" t="s">
        <v>230</v>
      </c>
      <c r="V20">
        <v>0</v>
      </c>
      <c r="W20" t="s">
        <v>14</v>
      </c>
      <c r="X20" t="s">
        <v>15</v>
      </c>
      <c r="Y20" t="s">
        <v>1265</v>
      </c>
      <c r="Z20" t="s">
        <v>25</v>
      </c>
      <c r="AA20">
        <v>0</v>
      </c>
      <c r="AB20" t="s">
        <v>18</v>
      </c>
    </row>
    <row r="21" spans="1:28" x14ac:dyDescent="0.3">
      <c r="A21" t="s">
        <v>1143</v>
      </c>
      <c r="B21" t="s">
        <v>1168</v>
      </c>
      <c r="C21" t="s">
        <v>1526</v>
      </c>
      <c r="D21" t="s">
        <v>1224</v>
      </c>
      <c r="E21">
        <v>3050</v>
      </c>
      <c r="F21" t="s">
        <v>5</v>
      </c>
      <c r="G21">
        <v>1733</v>
      </c>
      <c r="H21" s="2">
        <f t="shared" si="0"/>
        <v>0.56819672131147536</v>
      </c>
      <c r="I21" t="s">
        <v>6</v>
      </c>
      <c r="J21">
        <v>309.15321111059802</v>
      </c>
      <c r="K21" t="s">
        <v>7</v>
      </c>
      <c r="L21">
        <v>0.101361708560851</v>
      </c>
      <c r="M21" t="s">
        <v>8</v>
      </c>
      <c r="N21">
        <v>1.5007875709128</v>
      </c>
      <c r="O21" t="s">
        <v>9</v>
      </c>
      <c r="P21">
        <v>-1.7400999614892001</v>
      </c>
      <c r="Q21" t="s">
        <v>10</v>
      </c>
      <c r="R21">
        <v>4.3410644580636699</v>
      </c>
      <c r="S21" t="s">
        <v>11</v>
      </c>
      <c r="T21" t="s">
        <v>1234</v>
      </c>
      <c r="U21" t="s">
        <v>154</v>
      </c>
      <c r="V21">
        <v>0</v>
      </c>
      <c r="W21" t="s">
        <v>14</v>
      </c>
      <c r="X21" t="s">
        <v>15</v>
      </c>
      <c r="Y21" t="s">
        <v>1250</v>
      </c>
      <c r="Z21" t="s">
        <v>1237</v>
      </c>
      <c r="AA21">
        <v>0</v>
      </c>
      <c r="AB21" t="s">
        <v>18</v>
      </c>
    </row>
    <row r="22" spans="1:28" x14ac:dyDescent="0.3">
      <c r="A22" t="s">
        <v>1143</v>
      </c>
      <c r="B22" t="s">
        <v>1205</v>
      </c>
      <c r="C22" t="s">
        <v>1562</v>
      </c>
      <c r="D22" t="s">
        <v>1224</v>
      </c>
      <c r="E22">
        <v>3073</v>
      </c>
      <c r="F22" t="s">
        <v>5</v>
      </c>
      <c r="G22">
        <v>1016</v>
      </c>
      <c r="H22" s="2">
        <f t="shared" si="0"/>
        <v>0.33062154246664499</v>
      </c>
      <c r="I22" t="s">
        <v>6</v>
      </c>
      <c r="J22">
        <v>299.28625723582502</v>
      </c>
      <c r="K22" t="s">
        <v>7</v>
      </c>
      <c r="L22">
        <v>9.7392208667694505E-2</v>
      </c>
      <c r="M22" t="s">
        <v>8</v>
      </c>
      <c r="N22">
        <v>1.9790857551016801</v>
      </c>
      <c r="O22" t="s">
        <v>9</v>
      </c>
      <c r="P22">
        <v>-0.83242454763982898</v>
      </c>
      <c r="Q22" t="s">
        <v>10</v>
      </c>
      <c r="R22">
        <v>3.9325752883213299</v>
      </c>
      <c r="S22" t="s">
        <v>11</v>
      </c>
      <c r="T22" t="s">
        <v>1263</v>
      </c>
      <c r="U22" t="s">
        <v>230</v>
      </c>
      <c r="V22">
        <v>0</v>
      </c>
      <c r="W22" t="s">
        <v>14</v>
      </c>
      <c r="X22" t="s">
        <v>15</v>
      </c>
      <c r="Y22" t="s">
        <v>1289</v>
      </c>
      <c r="Z22" t="s">
        <v>1262</v>
      </c>
      <c r="AA22">
        <v>0</v>
      </c>
      <c r="AB22" t="s">
        <v>18</v>
      </c>
    </row>
    <row r="23" spans="1:28" x14ac:dyDescent="0.3">
      <c r="A23" t="s">
        <v>1143</v>
      </c>
      <c r="B23" t="s">
        <v>1213</v>
      </c>
      <c r="C23" t="s">
        <v>1570</v>
      </c>
      <c r="D23" t="s">
        <v>1224</v>
      </c>
      <c r="E23">
        <v>3050</v>
      </c>
      <c r="F23" t="s">
        <v>5</v>
      </c>
      <c r="G23">
        <v>730</v>
      </c>
      <c r="H23" s="2">
        <f t="shared" si="0"/>
        <v>0.23934426229508196</v>
      </c>
      <c r="I23" t="s">
        <v>6</v>
      </c>
      <c r="J23">
        <v>298.79245136422099</v>
      </c>
      <c r="K23" t="s">
        <v>7</v>
      </c>
      <c r="L23">
        <v>9.7964738152203704E-2</v>
      </c>
      <c r="M23" t="s">
        <v>8</v>
      </c>
      <c r="N23">
        <v>3.7040292878738001</v>
      </c>
      <c r="O23" t="s">
        <v>9</v>
      </c>
      <c r="P23">
        <v>-1.0380444232989401</v>
      </c>
      <c r="Q23" t="s">
        <v>10</v>
      </c>
      <c r="R23">
        <v>5.24787835757507</v>
      </c>
      <c r="S23" t="s">
        <v>11</v>
      </c>
      <c r="T23" t="s">
        <v>1298</v>
      </c>
      <c r="U23" t="s">
        <v>75</v>
      </c>
      <c r="V23">
        <v>0</v>
      </c>
      <c r="W23" t="s">
        <v>14</v>
      </c>
      <c r="X23" t="s">
        <v>15</v>
      </c>
      <c r="Y23" t="s">
        <v>1300</v>
      </c>
      <c r="Z23" t="s">
        <v>206</v>
      </c>
      <c r="AA23">
        <v>0</v>
      </c>
      <c r="AB23" t="s">
        <v>18</v>
      </c>
    </row>
    <row r="24" spans="1:28" x14ac:dyDescent="0.3">
      <c r="A24" t="s">
        <v>1143</v>
      </c>
      <c r="B24" t="s">
        <v>1159</v>
      </c>
      <c r="C24" t="s">
        <v>1517</v>
      </c>
      <c r="D24" t="s">
        <v>1224</v>
      </c>
      <c r="E24">
        <v>3073</v>
      </c>
      <c r="F24" t="s">
        <v>5</v>
      </c>
      <c r="G24">
        <v>2026</v>
      </c>
      <c r="H24" s="2">
        <f t="shared" si="0"/>
        <v>0.65929059550927438</v>
      </c>
      <c r="I24" t="s">
        <v>6</v>
      </c>
      <c r="J24">
        <v>289.01365112129901</v>
      </c>
      <c r="K24" t="s">
        <v>7</v>
      </c>
      <c r="L24">
        <v>9.4049349535079402E-2</v>
      </c>
      <c r="M24" t="s">
        <v>8</v>
      </c>
      <c r="N24">
        <v>0.93234138752285101</v>
      </c>
      <c r="O24" t="s">
        <v>9</v>
      </c>
      <c r="P24">
        <v>-1.5295506692160501</v>
      </c>
      <c r="Q24" t="s">
        <v>10</v>
      </c>
      <c r="R24">
        <v>3.10502667490436</v>
      </c>
      <c r="S24" t="s">
        <v>11</v>
      </c>
      <c r="T24" t="s">
        <v>133</v>
      </c>
      <c r="U24" t="s">
        <v>1230</v>
      </c>
      <c r="V24">
        <v>0</v>
      </c>
      <c r="W24" t="s">
        <v>14</v>
      </c>
      <c r="X24" t="s">
        <v>15</v>
      </c>
      <c r="Y24" t="s">
        <v>1245</v>
      </c>
      <c r="Z24" t="s">
        <v>1237</v>
      </c>
      <c r="AA24">
        <v>0</v>
      </c>
      <c r="AB24" t="s">
        <v>18</v>
      </c>
    </row>
    <row r="25" spans="1:28" x14ac:dyDescent="0.3">
      <c r="A25" t="s">
        <v>1143</v>
      </c>
      <c r="B25" t="s">
        <v>1189</v>
      </c>
      <c r="C25" t="s">
        <v>1547</v>
      </c>
      <c r="D25" t="s">
        <v>1224</v>
      </c>
      <c r="E25">
        <v>3073</v>
      </c>
      <c r="F25" t="s">
        <v>5</v>
      </c>
      <c r="G25">
        <v>2092</v>
      </c>
      <c r="H25" s="2">
        <f t="shared" si="0"/>
        <v>0.68076797917344611</v>
      </c>
      <c r="I25" t="s">
        <v>6</v>
      </c>
      <c r="J25">
        <v>272.50111925187599</v>
      </c>
      <c r="K25" t="s">
        <v>7</v>
      </c>
      <c r="L25">
        <v>8.8675925561951294E-2</v>
      </c>
      <c r="M25" t="s">
        <v>8</v>
      </c>
      <c r="N25">
        <v>0.67118703140402403</v>
      </c>
      <c r="O25" t="s">
        <v>9</v>
      </c>
      <c r="P25">
        <v>-1.1570778634410399</v>
      </c>
      <c r="Q25" t="s">
        <v>10</v>
      </c>
      <c r="R25">
        <v>2.4937920693486699</v>
      </c>
      <c r="S25" t="s">
        <v>11</v>
      </c>
      <c r="T25" t="s">
        <v>1277</v>
      </c>
      <c r="U25" t="s">
        <v>1278</v>
      </c>
      <c r="V25">
        <v>0</v>
      </c>
      <c r="W25" t="s">
        <v>14</v>
      </c>
      <c r="X25" t="s">
        <v>15</v>
      </c>
      <c r="Y25" t="s">
        <v>1279</v>
      </c>
      <c r="Z25" t="s">
        <v>1262</v>
      </c>
      <c r="AA25">
        <v>0</v>
      </c>
      <c r="AB25" t="s">
        <v>18</v>
      </c>
    </row>
    <row r="26" spans="1:28" x14ac:dyDescent="0.3">
      <c r="A26" t="s">
        <v>1143</v>
      </c>
      <c r="B26" t="s">
        <v>1206</v>
      </c>
      <c r="C26" t="s">
        <v>1563</v>
      </c>
      <c r="D26" t="s">
        <v>1224</v>
      </c>
      <c r="E26">
        <v>3073</v>
      </c>
      <c r="F26" t="s">
        <v>5</v>
      </c>
      <c r="G26">
        <v>930</v>
      </c>
      <c r="H26" s="2">
        <f t="shared" si="0"/>
        <v>0.3026358607224211</v>
      </c>
      <c r="I26" t="s">
        <v>6</v>
      </c>
      <c r="J26">
        <v>257.096257235824</v>
      </c>
      <c r="K26" t="s">
        <v>7</v>
      </c>
      <c r="L26">
        <v>8.3662953867824505E-2</v>
      </c>
      <c r="M26" t="s">
        <v>8</v>
      </c>
      <c r="N26">
        <v>2.2685818571863501</v>
      </c>
      <c r="O26" t="s">
        <v>9</v>
      </c>
      <c r="P26">
        <v>-0.86493224554037695</v>
      </c>
      <c r="Q26" t="s">
        <v>10</v>
      </c>
      <c r="R26">
        <v>4.4429368437841603</v>
      </c>
      <c r="S26" t="s">
        <v>11</v>
      </c>
      <c r="T26" t="s">
        <v>1263</v>
      </c>
      <c r="U26" t="s">
        <v>230</v>
      </c>
      <c r="V26">
        <v>0</v>
      </c>
      <c r="W26" t="s">
        <v>14</v>
      </c>
      <c r="X26" t="s">
        <v>15</v>
      </c>
      <c r="Y26" t="s">
        <v>1290</v>
      </c>
      <c r="Z26" t="s">
        <v>25</v>
      </c>
      <c r="AA26">
        <v>0</v>
      </c>
      <c r="AB26" t="s">
        <v>18</v>
      </c>
    </row>
    <row r="27" spans="1:28" x14ac:dyDescent="0.3">
      <c r="A27" t="s">
        <v>1143</v>
      </c>
      <c r="B27" t="s">
        <v>1167</v>
      </c>
      <c r="C27" t="s">
        <v>1525</v>
      </c>
      <c r="D27" t="s">
        <v>1224</v>
      </c>
      <c r="E27">
        <v>3050</v>
      </c>
      <c r="F27" t="s">
        <v>5</v>
      </c>
      <c r="G27">
        <v>1741</v>
      </c>
      <c r="H27" s="2">
        <f t="shared" si="0"/>
        <v>0.57081967213114759</v>
      </c>
      <c r="I27" t="s">
        <v>6</v>
      </c>
      <c r="J27">
        <v>222.88321111059801</v>
      </c>
      <c r="K27" t="s">
        <v>7</v>
      </c>
      <c r="L27">
        <v>7.3076462659212499E-2</v>
      </c>
      <c r="M27" t="s">
        <v>8</v>
      </c>
      <c r="N27">
        <v>1.4362865366983799</v>
      </c>
      <c r="O27" t="s">
        <v>9</v>
      </c>
      <c r="P27">
        <v>-1.7400241782133501</v>
      </c>
      <c r="Q27" t="s">
        <v>10</v>
      </c>
      <c r="R27">
        <v>4.1247576008967304</v>
      </c>
      <c r="S27" t="s">
        <v>11</v>
      </c>
      <c r="T27" t="s">
        <v>1234</v>
      </c>
      <c r="U27" t="s">
        <v>154</v>
      </c>
      <c r="V27">
        <v>0</v>
      </c>
      <c r="W27" t="s">
        <v>14</v>
      </c>
      <c r="X27" t="s">
        <v>15</v>
      </c>
      <c r="Y27" t="s">
        <v>1250</v>
      </c>
      <c r="Z27" t="s">
        <v>1237</v>
      </c>
      <c r="AA27">
        <v>0</v>
      </c>
      <c r="AB27" t="s">
        <v>18</v>
      </c>
    </row>
    <row r="28" spans="1:28" x14ac:dyDescent="0.3">
      <c r="A28" t="s">
        <v>1143</v>
      </c>
      <c r="B28" t="s">
        <v>1177</v>
      </c>
      <c r="C28" t="s">
        <v>1535</v>
      </c>
      <c r="D28" t="s">
        <v>1224</v>
      </c>
      <c r="E28">
        <v>3073</v>
      </c>
      <c r="F28" t="s">
        <v>5</v>
      </c>
      <c r="G28">
        <v>949</v>
      </c>
      <c r="H28" s="2">
        <f t="shared" si="0"/>
        <v>0.30881874389847053</v>
      </c>
      <c r="I28" t="s">
        <v>6</v>
      </c>
      <c r="J28">
        <v>197.58047668194899</v>
      </c>
      <c r="K28" t="s">
        <v>7</v>
      </c>
      <c r="L28">
        <v>6.42956318522451E-2</v>
      </c>
      <c r="M28" t="s">
        <v>8</v>
      </c>
      <c r="N28">
        <v>2.96348532181291</v>
      </c>
      <c r="O28" t="s">
        <v>9</v>
      </c>
      <c r="P28">
        <v>-1.23163782087541</v>
      </c>
      <c r="Q28" t="s">
        <v>10</v>
      </c>
      <c r="R28">
        <v>5.7730508482270402</v>
      </c>
      <c r="S28" t="s">
        <v>11</v>
      </c>
      <c r="T28" t="s">
        <v>1263</v>
      </c>
      <c r="U28" t="s">
        <v>230</v>
      </c>
      <c r="V28">
        <v>0</v>
      </c>
      <c r="W28" t="s">
        <v>14</v>
      </c>
      <c r="X28" t="s">
        <v>15</v>
      </c>
      <c r="Y28" t="s">
        <v>1265</v>
      </c>
      <c r="Z28" t="s">
        <v>25</v>
      </c>
      <c r="AA28">
        <v>0</v>
      </c>
      <c r="AB28" t="s">
        <v>18</v>
      </c>
    </row>
    <row r="29" spans="1:28" x14ac:dyDescent="0.3">
      <c r="A29" t="s">
        <v>1143</v>
      </c>
      <c r="B29" t="s">
        <v>1195</v>
      </c>
      <c r="C29" t="s">
        <v>1552</v>
      </c>
      <c r="D29" t="s">
        <v>1224</v>
      </c>
      <c r="E29">
        <v>3050</v>
      </c>
      <c r="F29" t="s">
        <v>5</v>
      </c>
      <c r="G29">
        <v>1972</v>
      </c>
      <c r="H29" s="2">
        <f t="shared" si="0"/>
        <v>0.64655737704918037</v>
      </c>
      <c r="I29" t="s">
        <v>6</v>
      </c>
      <c r="J29">
        <v>189.245308405998</v>
      </c>
      <c r="K29" t="s">
        <v>7</v>
      </c>
      <c r="L29">
        <v>6.2047642100327399E-2</v>
      </c>
      <c r="M29" t="s">
        <v>8</v>
      </c>
      <c r="N29">
        <v>0.86518960500647502</v>
      </c>
      <c r="O29" t="s">
        <v>9</v>
      </c>
      <c r="P29">
        <v>-1.40845737480665</v>
      </c>
      <c r="Q29" t="s">
        <v>10</v>
      </c>
      <c r="R29">
        <v>2.8013006858952401</v>
      </c>
      <c r="S29" t="s">
        <v>11</v>
      </c>
      <c r="T29" t="s">
        <v>1248</v>
      </c>
      <c r="U29" t="s">
        <v>1249</v>
      </c>
      <c r="V29">
        <v>0</v>
      </c>
      <c r="W29" t="s">
        <v>14</v>
      </c>
      <c r="X29" t="s">
        <v>15</v>
      </c>
      <c r="Y29" t="s">
        <v>1280</v>
      </c>
      <c r="Z29" t="s">
        <v>1262</v>
      </c>
      <c r="AA29">
        <v>0</v>
      </c>
      <c r="AB29" t="s">
        <v>18</v>
      </c>
    </row>
    <row r="30" spans="1:28" x14ac:dyDescent="0.3">
      <c r="A30" t="s">
        <v>1143</v>
      </c>
      <c r="B30" t="s">
        <v>1153</v>
      </c>
      <c r="C30" t="s">
        <v>1511</v>
      </c>
      <c r="D30" t="s">
        <v>1224</v>
      </c>
      <c r="E30">
        <v>3050</v>
      </c>
      <c r="F30" t="s">
        <v>5</v>
      </c>
      <c r="G30">
        <v>1501</v>
      </c>
      <c r="H30" s="2">
        <f t="shared" si="0"/>
        <v>0.49213114754098358</v>
      </c>
      <c r="I30" t="s">
        <v>6</v>
      </c>
      <c r="J30">
        <v>185.627410627166</v>
      </c>
      <c r="K30" t="s">
        <v>7</v>
      </c>
      <c r="L30">
        <v>6.0861446107267798E-2</v>
      </c>
      <c r="M30" t="s">
        <v>8</v>
      </c>
      <c r="N30">
        <v>2.0119757295046901</v>
      </c>
      <c r="O30" t="s">
        <v>9</v>
      </c>
      <c r="P30">
        <v>-1.8297922268298099</v>
      </c>
      <c r="Q30" t="s">
        <v>10</v>
      </c>
      <c r="R30">
        <v>4.9150480995435597</v>
      </c>
      <c r="S30" t="s">
        <v>11</v>
      </c>
      <c r="T30" t="s">
        <v>1234</v>
      </c>
      <c r="U30" t="s">
        <v>154</v>
      </c>
      <c r="V30">
        <v>0</v>
      </c>
      <c r="W30" t="s">
        <v>14</v>
      </c>
      <c r="X30" t="s">
        <v>15</v>
      </c>
      <c r="Y30" t="s">
        <v>1239</v>
      </c>
      <c r="Z30" t="s">
        <v>1240</v>
      </c>
      <c r="AA30">
        <v>0</v>
      </c>
      <c r="AB30" t="s">
        <v>18</v>
      </c>
    </row>
    <row r="31" spans="1:28" x14ac:dyDescent="0.3">
      <c r="A31" t="s">
        <v>1143</v>
      </c>
      <c r="B31" t="s">
        <v>1166</v>
      </c>
      <c r="C31" t="s">
        <v>1524</v>
      </c>
      <c r="D31" t="s">
        <v>1224</v>
      </c>
      <c r="E31">
        <v>3050</v>
      </c>
      <c r="F31" t="s">
        <v>5</v>
      </c>
      <c r="G31">
        <v>1776</v>
      </c>
      <c r="H31" s="2">
        <f t="shared" si="0"/>
        <v>0.58229508196721314</v>
      </c>
      <c r="I31" t="s">
        <v>6</v>
      </c>
      <c r="J31">
        <v>160.97321111059799</v>
      </c>
      <c r="K31" t="s">
        <v>7</v>
      </c>
      <c r="L31">
        <v>5.2778102003474901E-2</v>
      </c>
      <c r="M31" t="s">
        <v>8</v>
      </c>
      <c r="N31">
        <v>1.33726625022065</v>
      </c>
      <c r="O31" t="s">
        <v>9</v>
      </c>
      <c r="P31">
        <v>-1.7378427388393101</v>
      </c>
      <c r="Q31" t="s">
        <v>10</v>
      </c>
      <c r="R31">
        <v>3.7302903136990002</v>
      </c>
      <c r="S31" t="s">
        <v>11</v>
      </c>
      <c r="T31" t="s">
        <v>1229</v>
      </c>
      <c r="U31" t="s">
        <v>1230</v>
      </c>
      <c r="V31">
        <v>0</v>
      </c>
      <c r="W31" t="s">
        <v>14</v>
      </c>
      <c r="X31" t="s">
        <v>15</v>
      </c>
      <c r="Y31" t="s">
        <v>1250</v>
      </c>
      <c r="Z31" t="s">
        <v>1237</v>
      </c>
      <c r="AA31">
        <v>0</v>
      </c>
      <c r="AB31" t="s">
        <v>18</v>
      </c>
    </row>
    <row r="32" spans="1:28" x14ac:dyDescent="0.3">
      <c r="A32" t="s">
        <v>1143</v>
      </c>
      <c r="B32" t="s">
        <v>1212</v>
      </c>
      <c r="C32" t="s">
        <v>1569</v>
      </c>
      <c r="D32" t="s">
        <v>1224</v>
      </c>
      <c r="E32">
        <v>3050</v>
      </c>
      <c r="F32" t="s">
        <v>5</v>
      </c>
      <c r="G32">
        <v>767</v>
      </c>
      <c r="H32" s="2">
        <f t="shared" si="0"/>
        <v>0.25147540983606559</v>
      </c>
      <c r="I32" t="s">
        <v>6</v>
      </c>
      <c r="J32">
        <v>158.40245136422101</v>
      </c>
      <c r="K32" t="s">
        <v>7</v>
      </c>
      <c r="L32">
        <v>5.1935229955482401E-2</v>
      </c>
      <c r="M32" t="s">
        <v>8</v>
      </c>
      <c r="N32">
        <v>3.2530019652297102</v>
      </c>
      <c r="O32" t="s">
        <v>9</v>
      </c>
      <c r="P32">
        <v>-1.02484651577498</v>
      </c>
      <c r="Q32" t="s">
        <v>10</v>
      </c>
      <c r="R32">
        <v>4.6062166885163096</v>
      </c>
      <c r="S32" t="s">
        <v>11</v>
      </c>
      <c r="T32" t="s">
        <v>1298</v>
      </c>
      <c r="U32" t="s">
        <v>75</v>
      </c>
      <c r="V32">
        <v>0</v>
      </c>
      <c r="W32" t="s">
        <v>14</v>
      </c>
      <c r="X32" t="s">
        <v>15</v>
      </c>
      <c r="Y32" t="s">
        <v>1300</v>
      </c>
      <c r="Z32" t="s">
        <v>206</v>
      </c>
      <c r="AA32">
        <v>0</v>
      </c>
      <c r="AB32" t="s">
        <v>18</v>
      </c>
    </row>
    <row r="33" spans="1:28" x14ac:dyDescent="0.3">
      <c r="A33" t="s">
        <v>1143</v>
      </c>
      <c r="B33" t="s">
        <v>1149</v>
      </c>
      <c r="C33" t="s">
        <v>1507</v>
      </c>
      <c r="D33" t="s">
        <v>1224</v>
      </c>
      <c r="E33">
        <v>3050</v>
      </c>
      <c r="F33" t="s">
        <v>5</v>
      </c>
      <c r="G33">
        <v>1844</v>
      </c>
      <c r="H33" s="2">
        <f t="shared" si="0"/>
        <v>0.60459016393442622</v>
      </c>
      <c r="I33" t="s">
        <v>6</v>
      </c>
      <c r="J33">
        <v>151.88498226930301</v>
      </c>
      <c r="K33" t="s">
        <v>7</v>
      </c>
      <c r="L33">
        <v>4.9798354842394497E-2</v>
      </c>
      <c r="M33" t="s">
        <v>8</v>
      </c>
      <c r="N33">
        <v>1.24851580348627</v>
      </c>
      <c r="O33" t="s">
        <v>9</v>
      </c>
      <c r="P33">
        <v>-1.7830664671304901</v>
      </c>
      <c r="Q33" t="s">
        <v>10</v>
      </c>
      <c r="R33">
        <v>3.0562754847745301</v>
      </c>
      <c r="S33" t="s">
        <v>11</v>
      </c>
      <c r="T33" t="s">
        <v>133</v>
      </c>
      <c r="U33" t="s">
        <v>1230</v>
      </c>
      <c r="V33">
        <v>0</v>
      </c>
      <c r="W33" t="s">
        <v>14</v>
      </c>
      <c r="X33" t="s">
        <v>15</v>
      </c>
      <c r="Y33" t="s">
        <v>1236</v>
      </c>
      <c r="Z33" t="s">
        <v>1237</v>
      </c>
      <c r="AA33">
        <v>0</v>
      </c>
      <c r="AB33" t="s">
        <v>18</v>
      </c>
    </row>
    <row r="34" spans="1:28" x14ac:dyDescent="0.3">
      <c r="A34" t="s">
        <v>1143</v>
      </c>
      <c r="B34" t="s">
        <v>1194</v>
      </c>
      <c r="C34" t="s">
        <v>1551</v>
      </c>
      <c r="D34" t="s">
        <v>1224</v>
      </c>
      <c r="E34">
        <v>3050</v>
      </c>
      <c r="F34" t="s">
        <v>5</v>
      </c>
      <c r="G34">
        <v>2054</v>
      </c>
      <c r="H34" s="2">
        <f t="shared" si="0"/>
        <v>0.67344262295081969</v>
      </c>
      <c r="I34" t="s">
        <v>6</v>
      </c>
      <c r="J34">
        <v>144.71541367725899</v>
      </c>
      <c r="K34" t="s">
        <v>7</v>
      </c>
      <c r="L34">
        <v>4.7447676615494899E-2</v>
      </c>
      <c r="M34" t="s">
        <v>8</v>
      </c>
      <c r="N34">
        <v>0.74837601571785395</v>
      </c>
      <c r="O34" t="s">
        <v>9</v>
      </c>
      <c r="P34">
        <v>-1.3994461533740801</v>
      </c>
      <c r="Q34" t="s">
        <v>10</v>
      </c>
      <c r="R34">
        <v>2.4949736137945</v>
      </c>
      <c r="S34" t="s">
        <v>11</v>
      </c>
      <c r="T34" t="s">
        <v>1248</v>
      </c>
      <c r="U34" t="s">
        <v>1249</v>
      </c>
      <c r="V34">
        <v>0</v>
      </c>
      <c r="W34" t="s">
        <v>14</v>
      </c>
      <c r="X34" t="s">
        <v>15</v>
      </c>
      <c r="Y34" t="s">
        <v>1280</v>
      </c>
      <c r="Z34" t="s">
        <v>1262</v>
      </c>
      <c r="AA34">
        <v>0</v>
      </c>
      <c r="AB34" t="s">
        <v>18</v>
      </c>
    </row>
    <row r="35" spans="1:28" x14ac:dyDescent="0.3">
      <c r="A35" t="s">
        <v>1143</v>
      </c>
      <c r="B35" t="s">
        <v>1150</v>
      </c>
      <c r="C35" t="s">
        <v>1508</v>
      </c>
      <c r="D35" t="s">
        <v>1224</v>
      </c>
      <c r="E35">
        <v>3050</v>
      </c>
      <c r="F35" t="s">
        <v>5</v>
      </c>
      <c r="G35">
        <v>1619</v>
      </c>
      <c r="H35" s="2">
        <f t="shared" si="0"/>
        <v>0.53081967213114756</v>
      </c>
      <c r="I35" t="s">
        <v>6</v>
      </c>
      <c r="J35">
        <v>123.727410627167</v>
      </c>
      <c r="K35" t="s">
        <v>7</v>
      </c>
      <c r="L35">
        <v>4.0566364140054899E-2</v>
      </c>
      <c r="M35" t="s">
        <v>8</v>
      </c>
      <c r="N35">
        <v>1.68007138356179</v>
      </c>
      <c r="O35" t="s">
        <v>9</v>
      </c>
      <c r="P35">
        <v>-1.81433134825952</v>
      </c>
      <c r="Q35" t="s">
        <v>10</v>
      </c>
      <c r="R35">
        <v>3.9897249381697999</v>
      </c>
      <c r="S35" t="s">
        <v>11</v>
      </c>
      <c r="T35" t="s">
        <v>1229</v>
      </c>
      <c r="U35" t="s">
        <v>1230</v>
      </c>
      <c r="V35">
        <v>0</v>
      </c>
      <c r="W35" t="s">
        <v>14</v>
      </c>
      <c r="X35" t="s">
        <v>15</v>
      </c>
      <c r="Y35" t="s">
        <v>1238</v>
      </c>
      <c r="Z35" t="s">
        <v>1230</v>
      </c>
      <c r="AA35">
        <v>0</v>
      </c>
      <c r="AB35" t="s">
        <v>18</v>
      </c>
    </row>
    <row r="36" spans="1:28" x14ac:dyDescent="0.3">
      <c r="A36" t="s">
        <v>1143</v>
      </c>
      <c r="B36" t="s">
        <v>1165</v>
      </c>
      <c r="C36" t="s">
        <v>1523</v>
      </c>
      <c r="D36" t="s">
        <v>1224</v>
      </c>
      <c r="E36">
        <v>3050</v>
      </c>
      <c r="F36" t="s">
        <v>5</v>
      </c>
      <c r="G36">
        <v>1817</v>
      </c>
      <c r="H36" s="2">
        <f t="shared" si="0"/>
        <v>0.5957377049180328</v>
      </c>
      <c r="I36" t="s">
        <v>6</v>
      </c>
      <c r="J36">
        <v>123.29321111059799</v>
      </c>
      <c r="K36" t="s">
        <v>7</v>
      </c>
      <c r="L36">
        <v>4.0424003642819097E-2</v>
      </c>
      <c r="M36" t="s">
        <v>8</v>
      </c>
      <c r="N36">
        <v>1.24065760065596</v>
      </c>
      <c r="O36" t="s">
        <v>9</v>
      </c>
      <c r="P36">
        <v>-1.7282900642995001</v>
      </c>
      <c r="Q36" t="s">
        <v>10</v>
      </c>
      <c r="R36">
        <v>3.4700501020176699</v>
      </c>
      <c r="S36" t="s">
        <v>11</v>
      </c>
      <c r="T36" t="s">
        <v>1229</v>
      </c>
      <c r="U36" t="s">
        <v>1230</v>
      </c>
      <c r="V36">
        <v>0</v>
      </c>
      <c r="W36" t="s">
        <v>14</v>
      </c>
      <c r="X36" t="s">
        <v>15</v>
      </c>
      <c r="Y36" t="s">
        <v>1250</v>
      </c>
      <c r="Z36" t="s">
        <v>1237</v>
      </c>
      <c r="AA36">
        <v>0</v>
      </c>
      <c r="AB36" t="s">
        <v>18</v>
      </c>
    </row>
    <row r="37" spans="1:28" x14ac:dyDescent="0.3">
      <c r="A37" t="s">
        <v>1143</v>
      </c>
      <c r="B37" t="s">
        <v>1152</v>
      </c>
      <c r="C37" t="s">
        <v>1510</v>
      </c>
      <c r="D37" t="s">
        <v>1224</v>
      </c>
      <c r="E37">
        <v>3050</v>
      </c>
      <c r="F37" t="s">
        <v>5</v>
      </c>
      <c r="G37">
        <v>1513</v>
      </c>
      <c r="H37" s="2">
        <f t="shared" si="0"/>
        <v>0.49606557377049182</v>
      </c>
      <c r="I37" t="s">
        <v>6</v>
      </c>
      <c r="J37">
        <v>115.247410627167</v>
      </c>
      <c r="K37" t="s">
        <v>7</v>
      </c>
      <c r="L37">
        <v>3.77860362712025E-2</v>
      </c>
      <c r="M37" t="s">
        <v>8</v>
      </c>
      <c r="N37">
        <v>1.93424690679877</v>
      </c>
      <c r="O37" t="s">
        <v>9</v>
      </c>
      <c r="P37">
        <v>-1.82906191240037</v>
      </c>
      <c r="Q37" t="s">
        <v>10</v>
      </c>
      <c r="R37">
        <v>4.6897670542745198</v>
      </c>
      <c r="S37" t="s">
        <v>11</v>
      </c>
      <c r="T37" t="s">
        <v>1234</v>
      </c>
      <c r="U37" t="s">
        <v>154</v>
      </c>
      <c r="V37">
        <v>0</v>
      </c>
      <c r="W37" t="s">
        <v>14</v>
      </c>
      <c r="X37" t="s">
        <v>15</v>
      </c>
      <c r="Y37" t="s">
        <v>1239</v>
      </c>
      <c r="Z37" t="s">
        <v>1240</v>
      </c>
      <c r="AA37">
        <v>0</v>
      </c>
      <c r="AB37" t="s">
        <v>18</v>
      </c>
    </row>
    <row r="38" spans="1:28" x14ac:dyDescent="0.3">
      <c r="A38" t="s">
        <v>1143</v>
      </c>
      <c r="B38" t="s">
        <v>1164</v>
      </c>
      <c r="C38" t="s">
        <v>1522</v>
      </c>
      <c r="D38" t="s">
        <v>1224</v>
      </c>
      <c r="E38">
        <v>3050</v>
      </c>
      <c r="F38" t="s">
        <v>5</v>
      </c>
      <c r="G38">
        <v>1950</v>
      </c>
      <c r="H38" s="2">
        <f t="shared" si="0"/>
        <v>0.63934426229508201</v>
      </c>
      <c r="I38" t="s">
        <v>6</v>
      </c>
      <c r="J38">
        <v>114.90598027775199</v>
      </c>
      <c r="K38" t="s">
        <v>7</v>
      </c>
      <c r="L38">
        <v>3.7674091894344897E-2</v>
      </c>
      <c r="M38" t="s">
        <v>8</v>
      </c>
      <c r="N38">
        <v>1.01557827156873</v>
      </c>
      <c r="O38" t="s">
        <v>9</v>
      </c>
      <c r="P38">
        <v>-1.69588331752844</v>
      </c>
      <c r="Q38" t="s">
        <v>10</v>
      </c>
      <c r="R38">
        <v>2.8808878416333301</v>
      </c>
      <c r="S38" t="s">
        <v>11</v>
      </c>
      <c r="T38" t="s">
        <v>1248</v>
      </c>
      <c r="U38" t="s">
        <v>1249</v>
      </c>
      <c r="V38">
        <v>0</v>
      </c>
      <c r="W38" t="s">
        <v>14</v>
      </c>
      <c r="X38" t="s">
        <v>15</v>
      </c>
      <c r="Y38" t="s">
        <v>1250</v>
      </c>
      <c r="Z38" t="s">
        <v>1237</v>
      </c>
      <c r="AA38">
        <v>0</v>
      </c>
      <c r="AB38" t="s">
        <v>18</v>
      </c>
    </row>
    <row r="39" spans="1:28" x14ac:dyDescent="0.3">
      <c r="A39" t="s">
        <v>1143</v>
      </c>
      <c r="B39" t="s">
        <v>1204</v>
      </c>
      <c r="C39" t="s">
        <v>1561</v>
      </c>
      <c r="D39" t="s">
        <v>1224</v>
      </c>
      <c r="E39">
        <v>3073</v>
      </c>
      <c r="F39" t="s">
        <v>5</v>
      </c>
      <c r="G39">
        <v>1166</v>
      </c>
      <c r="H39" s="2">
        <f t="shared" si="0"/>
        <v>0.37943377806703549</v>
      </c>
      <c r="I39" t="s">
        <v>6</v>
      </c>
      <c r="J39">
        <v>112.366257235825</v>
      </c>
      <c r="K39" t="s">
        <v>7</v>
      </c>
      <c r="L39">
        <v>3.6565654811527799E-2</v>
      </c>
      <c r="M39" t="s">
        <v>8</v>
      </c>
      <c r="N39">
        <v>1.3964384021570799</v>
      </c>
      <c r="O39" t="s">
        <v>9</v>
      </c>
      <c r="P39">
        <v>-0.79532052449073198</v>
      </c>
      <c r="Q39" t="s">
        <v>10</v>
      </c>
      <c r="R39">
        <v>2.8967929919939799</v>
      </c>
      <c r="S39" t="s">
        <v>11</v>
      </c>
      <c r="T39" t="s">
        <v>1259</v>
      </c>
      <c r="U39" t="s">
        <v>1260</v>
      </c>
      <c r="V39">
        <v>0</v>
      </c>
      <c r="W39" t="s">
        <v>14</v>
      </c>
      <c r="X39" t="s">
        <v>15</v>
      </c>
      <c r="Y39" t="s">
        <v>1288</v>
      </c>
      <c r="Z39" t="s">
        <v>1262</v>
      </c>
      <c r="AA39">
        <v>0</v>
      </c>
      <c r="AB39" t="s">
        <v>18</v>
      </c>
    </row>
    <row r="40" spans="1:28" x14ac:dyDescent="0.3">
      <c r="A40" t="s">
        <v>1143</v>
      </c>
      <c r="B40" t="s">
        <v>1211</v>
      </c>
      <c r="C40" t="s">
        <v>1568</v>
      </c>
      <c r="D40" t="s">
        <v>1224</v>
      </c>
      <c r="E40">
        <v>3050</v>
      </c>
      <c r="F40" t="s">
        <v>5</v>
      </c>
      <c r="G40">
        <v>839</v>
      </c>
      <c r="H40" s="2">
        <f t="shared" si="0"/>
        <v>0.27508196721311473</v>
      </c>
      <c r="I40" t="s">
        <v>6</v>
      </c>
      <c r="J40">
        <v>110.47245136422001</v>
      </c>
      <c r="K40" t="s">
        <v>7</v>
      </c>
      <c r="L40">
        <v>3.6220475857121397E-2</v>
      </c>
      <c r="M40" t="s">
        <v>8</v>
      </c>
      <c r="N40">
        <v>2.7676787930049902</v>
      </c>
      <c r="O40" t="s">
        <v>9</v>
      </c>
      <c r="P40">
        <v>-1.0016349891154701</v>
      </c>
      <c r="Q40" t="s">
        <v>10</v>
      </c>
      <c r="R40">
        <v>4.0343457635892097</v>
      </c>
      <c r="S40" t="s">
        <v>11</v>
      </c>
      <c r="T40" t="s">
        <v>1298</v>
      </c>
      <c r="U40" t="s">
        <v>75</v>
      </c>
      <c r="V40">
        <v>0</v>
      </c>
      <c r="W40" t="s">
        <v>14</v>
      </c>
      <c r="X40" t="s">
        <v>15</v>
      </c>
      <c r="Y40" t="s">
        <v>1299</v>
      </c>
      <c r="Z40" t="s">
        <v>1237</v>
      </c>
      <c r="AA40">
        <v>0</v>
      </c>
      <c r="AB40" t="s">
        <v>18</v>
      </c>
    </row>
    <row r="41" spans="1:28" x14ac:dyDescent="0.3">
      <c r="A41" t="s">
        <v>1143</v>
      </c>
      <c r="B41" t="s">
        <v>1202</v>
      </c>
      <c r="C41" t="s">
        <v>1559</v>
      </c>
      <c r="D41" t="s">
        <v>1224</v>
      </c>
      <c r="E41">
        <v>3062</v>
      </c>
      <c r="F41" t="s">
        <v>5</v>
      </c>
      <c r="G41">
        <v>1831</v>
      </c>
      <c r="H41" s="2">
        <f t="shared" si="0"/>
        <v>0.59797517962116264</v>
      </c>
      <c r="I41" t="s">
        <v>6</v>
      </c>
      <c r="J41">
        <v>107.13490847675</v>
      </c>
      <c r="K41" t="s">
        <v>7</v>
      </c>
      <c r="L41">
        <v>3.49885396723549E-2</v>
      </c>
      <c r="M41" t="s">
        <v>8</v>
      </c>
      <c r="N41">
        <v>1.1446278714912199</v>
      </c>
      <c r="O41" t="s">
        <v>9</v>
      </c>
      <c r="P41">
        <v>-1.61681197091355</v>
      </c>
      <c r="Q41" t="s">
        <v>10</v>
      </c>
      <c r="R41">
        <v>3.5437351518051199</v>
      </c>
      <c r="S41" t="s">
        <v>11</v>
      </c>
      <c r="T41" t="s">
        <v>1281</v>
      </c>
      <c r="U41" t="s">
        <v>595</v>
      </c>
      <c r="V41">
        <v>0</v>
      </c>
      <c r="W41" t="s">
        <v>14</v>
      </c>
      <c r="X41" t="s">
        <v>15</v>
      </c>
      <c r="Y41" t="s">
        <v>1283</v>
      </c>
      <c r="Z41" t="s">
        <v>1284</v>
      </c>
      <c r="AA41">
        <v>0</v>
      </c>
      <c r="AB41" t="s">
        <v>18</v>
      </c>
    </row>
    <row r="42" spans="1:28" x14ac:dyDescent="0.3">
      <c r="A42" t="s">
        <v>1143</v>
      </c>
      <c r="B42" t="s">
        <v>1151</v>
      </c>
      <c r="C42" t="s">
        <v>1509</v>
      </c>
      <c r="D42" t="s">
        <v>1224</v>
      </c>
      <c r="E42">
        <v>3050</v>
      </c>
      <c r="F42" t="s">
        <v>5</v>
      </c>
      <c r="G42">
        <v>1552</v>
      </c>
      <c r="H42" s="2">
        <f t="shared" si="0"/>
        <v>0.50885245901639342</v>
      </c>
      <c r="I42" t="s">
        <v>6</v>
      </c>
      <c r="J42">
        <v>96.917410627167698</v>
      </c>
      <c r="K42" t="s">
        <v>7</v>
      </c>
      <c r="L42">
        <v>3.1776200205628699E-2</v>
      </c>
      <c r="M42" t="s">
        <v>8</v>
      </c>
      <c r="N42">
        <v>1.82377936210473</v>
      </c>
      <c r="O42" t="s">
        <v>9</v>
      </c>
      <c r="P42">
        <v>-1.82482520651493</v>
      </c>
      <c r="Q42" t="s">
        <v>10</v>
      </c>
      <c r="R42">
        <v>4.3471796768332904</v>
      </c>
      <c r="S42" t="s">
        <v>11</v>
      </c>
      <c r="T42" t="s">
        <v>1229</v>
      </c>
      <c r="U42" t="s">
        <v>1230</v>
      </c>
      <c r="V42">
        <v>0</v>
      </c>
      <c r="W42" t="s">
        <v>14</v>
      </c>
      <c r="X42" t="s">
        <v>15</v>
      </c>
      <c r="Y42" t="s">
        <v>1239</v>
      </c>
      <c r="Z42" t="s">
        <v>1240</v>
      </c>
      <c r="AA42">
        <v>0</v>
      </c>
      <c r="AB42" t="s">
        <v>18</v>
      </c>
    </row>
    <row r="43" spans="1:28" x14ac:dyDescent="0.3">
      <c r="A43" t="s">
        <v>1143</v>
      </c>
      <c r="B43" t="s">
        <v>1203</v>
      </c>
      <c r="C43" t="s">
        <v>1560</v>
      </c>
      <c r="D43" t="s">
        <v>1224</v>
      </c>
      <c r="E43">
        <v>3062</v>
      </c>
      <c r="F43" t="s">
        <v>5</v>
      </c>
      <c r="G43">
        <v>1812</v>
      </c>
      <c r="H43" s="2">
        <f t="shared" si="0"/>
        <v>0.59177008491182237</v>
      </c>
      <c r="I43" t="s">
        <v>6</v>
      </c>
      <c r="J43">
        <v>86.674144103609706</v>
      </c>
      <c r="K43" t="s">
        <v>7</v>
      </c>
      <c r="L43">
        <v>2.83063827902056E-2</v>
      </c>
      <c r="M43" t="s">
        <v>8</v>
      </c>
      <c r="N43">
        <v>1.16692123020334</v>
      </c>
      <c r="O43" t="s">
        <v>9</v>
      </c>
      <c r="P43">
        <v>-1.62352852283814</v>
      </c>
      <c r="Q43" t="s">
        <v>10</v>
      </c>
      <c r="R43">
        <v>3.7838957085420701</v>
      </c>
      <c r="S43" t="s">
        <v>11</v>
      </c>
      <c r="T43" t="s">
        <v>1285</v>
      </c>
      <c r="U43" t="s">
        <v>158</v>
      </c>
      <c r="V43">
        <v>0</v>
      </c>
      <c r="W43" t="s">
        <v>14</v>
      </c>
      <c r="X43" t="s">
        <v>15</v>
      </c>
      <c r="Y43" t="s">
        <v>1286</v>
      </c>
      <c r="Z43" t="s">
        <v>1287</v>
      </c>
      <c r="AA43">
        <v>0</v>
      </c>
      <c r="AB43" t="s">
        <v>18</v>
      </c>
    </row>
    <row r="44" spans="1:28" x14ac:dyDescent="0.3">
      <c r="A44" t="s">
        <v>1143</v>
      </c>
      <c r="B44" t="s">
        <v>1201</v>
      </c>
      <c r="C44" t="s">
        <v>1558</v>
      </c>
      <c r="D44" t="s">
        <v>1224</v>
      </c>
      <c r="E44">
        <v>3062</v>
      </c>
      <c r="F44" t="s">
        <v>5</v>
      </c>
      <c r="G44">
        <v>1854</v>
      </c>
      <c r="H44" s="2">
        <f t="shared" si="0"/>
        <v>0.60548661005878512</v>
      </c>
      <c r="I44" t="s">
        <v>6</v>
      </c>
      <c r="J44">
        <v>75.237733206383496</v>
      </c>
      <c r="K44" t="s">
        <v>7</v>
      </c>
      <c r="L44">
        <v>2.4571434750615101E-2</v>
      </c>
      <c r="M44" t="s">
        <v>8</v>
      </c>
      <c r="N44">
        <v>1.09260092851418</v>
      </c>
      <c r="O44" t="s">
        <v>9</v>
      </c>
      <c r="P44">
        <v>-1.61594398364449</v>
      </c>
      <c r="Q44" t="s">
        <v>10</v>
      </c>
      <c r="R44">
        <v>3.3950327003777301</v>
      </c>
      <c r="S44" t="s">
        <v>11</v>
      </c>
      <c r="T44" t="s">
        <v>1281</v>
      </c>
      <c r="U44" t="s">
        <v>595</v>
      </c>
      <c r="V44">
        <v>0</v>
      </c>
      <c r="W44" t="s">
        <v>14</v>
      </c>
      <c r="X44" t="s">
        <v>15</v>
      </c>
      <c r="Y44" t="s">
        <v>1283</v>
      </c>
      <c r="Z44" t="s">
        <v>1284</v>
      </c>
      <c r="AA44">
        <v>0</v>
      </c>
      <c r="AB44" t="s">
        <v>18</v>
      </c>
    </row>
    <row r="45" spans="1:28" x14ac:dyDescent="0.3">
      <c r="A45" t="s">
        <v>1219</v>
      </c>
      <c r="B45" t="s">
        <v>1193</v>
      </c>
      <c r="C45" t="s">
        <v>1624</v>
      </c>
      <c r="D45" t="s">
        <v>1224</v>
      </c>
      <c r="E45">
        <v>191</v>
      </c>
      <c r="F45" t="s">
        <v>5</v>
      </c>
      <c r="G45">
        <v>114</v>
      </c>
      <c r="H45" s="2">
        <f t="shared" si="0"/>
        <v>0.59685863874345546</v>
      </c>
      <c r="I45" t="s">
        <v>6</v>
      </c>
      <c r="J45">
        <v>55.03</v>
      </c>
      <c r="K45" t="s">
        <v>7</v>
      </c>
      <c r="L45">
        <v>0.28811518324607299</v>
      </c>
      <c r="M45" t="s">
        <v>8</v>
      </c>
      <c r="N45">
        <v>1.28535087719298</v>
      </c>
      <c r="O45" t="s">
        <v>9</v>
      </c>
      <c r="P45">
        <v>-1.20394736842105</v>
      </c>
      <c r="Q45" t="s">
        <v>10</v>
      </c>
      <c r="R45">
        <v>0.52261778666688796</v>
      </c>
      <c r="S45" t="s">
        <v>11</v>
      </c>
      <c r="T45" t="s">
        <v>1348</v>
      </c>
      <c r="U45" t="s">
        <v>1232</v>
      </c>
      <c r="V45">
        <v>0</v>
      </c>
      <c r="W45" t="s">
        <v>14</v>
      </c>
      <c r="X45" t="s">
        <v>15</v>
      </c>
      <c r="Y45" t="s">
        <v>1349</v>
      </c>
      <c r="Z45" t="s">
        <v>1350</v>
      </c>
      <c r="AA45">
        <v>0</v>
      </c>
      <c r="AB45" t="s">
        <v>18</v>
      </c>
    </row>
    <row r="46" spans="1:28" x14ac:dyDescent="0.3">
      <c r="A46" t="s">
        <v>1219</v>
      </c>
      <c r="B46" t="s">
        <v>1198</v>
      </c>
      <c r="C46" t="s">
        <v>1629</v>
      </c>
      <c r="D46" t="s">
        <v>1224</v>
      </c>
      <c r="E46">
        <v>200</v>
      </c>
      <c r="F46" t="s">
        <v>5</v>
      </c>
      <c r="G46">
        <v>117</v>
      </c>
      <c r="H46" s="2">
        <f t="shared" si="0"/>
        <v>0.58499999999999996</v>
      </c>
      <c r="I46" t="s">
        <v>6</v>
      </c>
      <c r="J46">
        <v>48.89</v>
      </c>
      <c r="K46" t="s">
        <v>7</v>
      </c>
      <c r="L46">
        <v>0.24445</v>
      </c>
      <c r="M46" t="s">
        <v>8</v>
      </c>
      <c r="N46">
        <v>1.368547008547</v>
      </c>
      <c r="O46" t="s">
        <v>9</v>
      </c>
      <c r="P46">
        <v>-1.3564634146341401</v>
      </c>
      <c r="Q46" t="s">
        <v>10</v>
      </c>
      <c r="R46">
        <v>0.48878044747573701</v>
      </c>
      <c r="S46" t="s">
        <v>11</v>
      </c>
      <c r="T46" t="s">
        <v>133</v>
      </c>
      <c r="U46" t="s">
        <v>1230</v>
      </c>
      <c r="V46">
        <v>0</v>
      </c>
      <c r="W46" t="s">
        <v>14</v>
      </c>
      <c r="X46" t="s">
        <v>15</v>
      </c>
      <c r="Y46" t="s">
        <v>1351</v>
      </c>
      <c r="Z46" t="s">
        <v>1230</v>
      </c>
      <c r="AA46">
        <v>0</v>
      </c>
      <c r="AB46" t="s">
        <v>18</v>
      </c>
    </row>
    <row r="47" spans="1:28" x14ac:dyDescent="0.3">
      <c r="A47" t="s">
        <v>1220</v>
      </c>
      <c r="B47" t="s">
        <v>1178</v>
      </c>
      <c r="C47" t="s">
        <v>1684</v>
      </c>
      <c r="D47" t="s">
        <v>1224</v>
      </c>
      <c r="E47">
        <v>140</v>
      </c>
      <c r="F47" t="s">
        <v>5</v>
      </c>
      <c r="G47">
        <v>48</v>
      </c>
      <c r="H47" s="2">
        <f t="shared" si="0"/>
        <v>0.34285714285714286</v>
      </c>
      <c r="I47" t="s">
        <v>6</v>
      </c>
      <c r="J47">
        <v>48.479999999999897</v>
      </c>
      <c r="K47" t="s">
        <v>7</v>
      </c>
      <c r="L47">
        <v>0.34628571428571298</v>
      </c>
      <c r="M47" t="s">
        <v>8</v>
      </c>
      <c r="N47">
        <v>3.3572916666666601</v>
      </c>
      <c r="O47" t="s">
        <v>9</v>
      </c>
      <c r="P47">
        <v>-1.2246739130434701</v>
      </c>
      <c r="Q47" t="s">
        <v>10</v>
      </c>
      <c r="R47">
        <v>0.60832696668392205</v>
      </c>
      <c r="S47" t="s">
        <v>11</v>
      </c>
      <c r="T47" t="s">
        <v>1398</v>
      </c>
      <c r="U47" t="s">
        <v>1399</v>
      </c>
      <c r="V47">
        <v>0</v>
      </c>
      <c r="W47" t="s">
        <v>14</v>
      </c>
      <c r="X47" t="s">
        <v>15</v>
      </c>
      <c r="Y47" t="s">
        <v>1398</v>
      </c>
      <c r="Z47" t="s">
        <v>1399</v>
      </c>
      <c r="AA47">
        <v>0</v>
      </c>
      <c r="AB47" t="s">
        <v>18</v>
      </c>
    </row>
    <row r="48" spans="1:28" x14ac:dyDescent="0.3">
      <c r="A48" t="s">
        <v>1143</v>
      </c>
      <c r="B48" t="s">
        <v>1210</v>
      </c>
      <c r="C48" t="s">
        <v>1567</v>
      </c>
      <c r="D48" t="s">
        <v>1224</v>
      </c>
      <c r="E48">
        <v>3050</v>
      </c>
      <c r="F48" t="s">
        <v>5</v>
      </c>
      <c r="G48">
        <v>964</v>
      </c>
      <c r="H48" s="2">
        <f t="shared" si="0"/>
        <v>0.31606557377049183</v>
      </c>
      <c r="I48" t="s">
        <v>6</v>
      </c>
      <c r="J48">
        <v>44.122451364221199</v>
      </c>
      <c r="K48" t="s">
        <v>7</v>
      </c>
      <c r="L48">
        <v>1.44663774964659E-2</v>
      </c>
      <c r="M48" t="s">
        <v>8</v>
      </c>
      <c r="N48">
        <v>2.1506146341609802</v>
      </c>
      <c r="O48" t="s">
        <v>9</v>
      </c>
      <c r="P48">
        <v>-0.97410948438164402</v>
      </c>
      <c r="Q48" t="s">
        <v>10</v>
      </c>
      <c r="R48">
        <v>3.2992060350682602</v>
      </c>
      <c r="S48" t="s">
        <v>11</v>
      </c>
      <c r="T48" t="s">
        <v>1298</v>
      </c>
      <c r="U48" t="s">
        <v>75</v>
      </c>
      <c r="V48">
        <v>0</v>
      </c>
      <c r="W48" t="s">
        <v>14</v>
      </c>
      <c r="X48" t="s">
        <v>15</v>
      </c>
      <c r="Y48" t="s">
        <v>1299</v>
      </c>
      <c r="Z48" t="s">
        <v>1237</v>
      </c>
      <c r="AA48">
        <v>0</v>
      </c>
      <c r="AB48" t="s">
        <v>18</v>
      </c>
    </row>
    <row r="49" spans="1:28" x14ac:dyDescent="0.3">
      <c r="A49" t="s">
        <v>1219</v>
      </c>
      <c r="B49" t="s">
        <v>1192</v>
      </c>
      <c r="C49" t="s">
        <v>1623</v>
      </c>
      <c r="D49" t="s">
        <v>1224</v>
      </c>
      <c r="E49">
        <v>191</v>
      </c>
      <c r="F49" t="s">
        <v>5</v>
      </c>
      <c r="G49">
        <v>114</v>
      </c>
      <c r="H49" s="2">
        <f t="shared" si="0"/>
        <v>0.59685863874345546</v>
      </c>
      <c r="I49" t="s">
        <v>6</v>
      </c>
      <c r="J49">
        <v>37.07</v>
      </c>
      <c r="K49" t="s">
        <v>7</v>
      </c>
      <c r="L49">
        <v>0.19408376963350801</v>
      </c>
      <c r="M49" t="s">
        <v>8</v>
      </c>
      <c r="N49">
        <v>1.1278070175438599</v>
      </c>
      <c r="O49" t="s">
        <v>9</v>
      </c>
      <c r="P49">
        <v>-1.20394736842105</v>
      </c>
      <c r="Q49" t="s">
        <v>10</v>
      </c>
      <c r="R49">
        <v>0.43448311801351103</v>
      </c>
      <c r="S49" t="s">
        <v>11</v>
      </c>
      <c r="T49" t="s">
        <v>1348</v>
      </c>
      <c r="U49" t="s">
        <v>1232</v>
      </c>
      <c r="V49">
        <v>0</v>
      </c>
      <c r="W49" t="s">
        <v>14</v>
      </c>
      <c r="X49" t="s">
        <v>15</v>
      </c>
      <c r="Y49" t="s">
        <v>1349</v>
      </c>
      <c r="Z49" t="s">
        <v>1350</v>
      </c>
      <c r="AA49">
        <v>0</v>
      </c>
      <c r="AB49" t="s">
        <v>18</v>
      </c>
    </row>
    <row r="50" spans="1:28" x14ac:dyDescent="0.3">
      <c r="A50" t="s">
        <v>1143</v>
      </c>
      <c r="B50" t="s">
        <v>1176</v>
      </c>
      <c r="C50" t="s">
        <v>1534</v>
      </c>
      <c r="D50" t="s">
        <v>1224</v>
      </c>
      <c r="E50">
        <v>3073</v>
      </c>
      <c r="F50" t="s">
        <v>5</v>
      </c>
      <c r="G50">
        <v>1006</v>
      </c>
      <c r="H50" s="2">
        <f t="shared" si="0"/>
        <v>0.32736739342661891</v>
      </c>
      <c r="I50" t="s">
        <v>6</v>
      </c>
      <c r="J50">
        <v>36.760476681948198</v>
      </c>
      <c r="K50" t="s">
        <v>7</v>
      </c>
      <c r="L50">
        <v>1.19624069905461E-2</v>
      </c>
      <c r="M50" t="s">
        <v>8</v>
      </c>
      <c r="N50">
        <v>2.52846676978176</v>
      </c>
      <c r="O50" t="s">
        <v>9</v>
      </c>
      <c r="P50">
        <v>-1.21339646356171</v>
      </c>
      <c r="Q50" t="s">
        <v>10</v>
      </c>
      <c r="R50">
        <v>4.8090825459252802</v>
      </c>
      <c r="S50" t="s">
        <v>11</v>
      </c>
      <c r="T50" t="s">
        <v>1263</v>
      </c>
      <c r="U50" t="s">
        <v>230</v>
      </c>
      <c r="V50">
        <v>0</v>
      </c>
      <c r="W50" t="s">
        <v>14</v>
      </c>
      <c r="X50" t="s">
        <v>15</v>
      </c>
      <c r="Y50" t="s">
        <v>1264</v>
      </c>
      <c r="Z50" t="s">
        <v>25</v>
      </c>
      <c r="AA50">
        <v>0</v>
      </c>
      <c r="AB50" t="s">
        <v>18</v>
      </c>
    </row>
    <row r="51" spans="1:28" x14ac:dyDescent="0.3">
      <c r="A51" t="s">
        <v>1220</v>
      </c>
      <c r="B51" t="s">
        <v>1163</v>
      </c>
      <c r="C51" t="s">
        <v>1669</v>
      </c>
      <c r="D51" t="s">
        <v>1224</v>
      </c>
      <c r="E51">
        <v>140</v>
      </c>
      <c r="F51" t="s">
        <v>5</v>
      </c>
      <c r="G51">
        <v>89</v>
      </c>
      <c r="H51" s="2">
        <f t="shared" si="0"/>
        <v>0.63571428571428568</v>
      </c>
      <c r="I51" t="s">
        <v>6</v>
      </c>
      <c r="J51">
        <v>35.019999999999897</v>
      </c>
      <c r="K51" t="s">
        <v>7</v>
      </c>
      <c r="L51">
        <v>0.250142857142857</v>
      </c>
      <c r="M51" t="s">
        <v>8</v>
      </c>
      <c r="N51">
        <v>1.22977528089887</v>
      </c>
      <c r="O51" t="s">
        <v>9</v>
      </c>
      <c r="P51">
        <v>-1.45941176470588</v>
      </c>
      <c r="Q51" t="s">
        <v>10</v>
      </c>
      <c r="R51">
        <v>0.36606963009156701</v>
      </c>
      <c r="S51" t="s">
        <v>11</v>
      </c>
      <c r="T51" t="s">
        <v>1277</v>
      </c>
      <c r="U51" t="s">
        <v>1278</v>
      </c>
      <c r="V51">
        <v>0</v>
      </c>
      <c r="W51" t="s">
        <v>14</v>
      </c>
      <c r="X51" t="s">
        <v>15</v>
      </c>
      <c r="Y51" t="s">
        <v>1277</v>
      </c>
      <c r="Z51" t="s">
        <v>1278</v>
      </c>
      <c r="AA51">
        <v>0</v>
      </c>
      <c r="AB51" t="s">
        <v>18</v>
      </c>
    </row>
    <row r="52" spans="1:28" x14ac:dyDescent="0.3">
      <c r="A52" t="s">
        <v>1221</v>
      </c>
      <c r="B52" t="s">
        <v>1178</v>
      </c>
      <c r="C52" t="s">
        <v>1759</v>
      </c>
      <c r="D52" t="s">
        <v>1224</v>
      </c>
      <c r="E52">
        <v>102</v>
      </c>
      <c r="F52" t="s">
        <v>5</v>
      </c>
      <c r="G52">
        <v>36</v>
      </c>
      <c r="H52" s="2">
        <f t="shared" si="0"/>
        <v>0.35294117647058826</v>
      </c>
      <c r="I52" t="s">
        <v>6</v>
      </c>
      <c r="J52">
        <v>33.849999999999902</v>
      </c>
      <c r="K52" t="s">
        <v>7</v>
      </c>
      <c r="L52">
        <v>0.33186274509803798</v>
      </c>
      <c r="M52" t="s">
        <v>8</v>
      </c>
      <c r="N52">
        <v>3.0419444444444399</v>
      </c>
      <c r="O52" t="s">
        <v>9</v>
      </c>
      <c r="P52">
        <v>-1.14636363636363</v>
      </c>
      <c r="Q52" t="s">
        <v>10</v>
      </c>
      <c r="R52">
        <v>0.39756333031740498</v>
      </c>
      <c r="S52" t="s">
        <v>11</v>
      </c>
      <c r="T52" t="s">
        <v>1422</v>
      </c>
      <c r="U52" t="s">
        <v>1423</v>
      </c>
      <c r="V52">
        <v>0</v>
      </c>
      <c r="W52" t="s">
        <v>14</v>
      </c>
      <c r="X52" t="s">
        <v>15</v>
      </c>
      <c r="Y52" t="s">
        <v>1422</v>
      </c>
      <c r="Z52" t="s">
        <v>1423</v>
      </c>
      <c r="AA52">
        <v>0</v>
      </c>
      <c r="AB52" t="s">
        <v>18</v>
      </c>
    </row>
    <row r="53" spans="1:28" x14ac:dyDescent="0.3">
      <c r="A53" t="s">
        <v>1220</v>
      </c>
      <c r="B53" t="s">
        <v>1177</v>
      </c>
      <c r="C53" t="s">
        <v>1683</v>
      </c>
      <c r="D53" t="s">
        <v>1224</v>
      </c>
      <c r="E53">
        <v>140</v>
      </c>
      <c r="F53" t="s">
        <v>5</v>
      </c>
      <c r="G53">
        <v>49</v>
      </c>
      <c r="H53" s="2">
        <f t="shared" si="0"/>
        <v>0.35</v>
      </c>
      <c r="I53" t="s">
        <v>6</v>
      </c>
      <c r="J53">
        <v>32.469999999999899</v>
      </c>
      <c r="K53" t="s">
        <v>7</v>
      </c>
      <c r="L53">
        <v>0.23192857142857101</v>
      </c>
      <c r="M53" t="s">
        <v>8</v>
      </c>
      <c r="N53">
        <v>2.9157142857142802</v>
      </c>
      <c r="O53" t="s">
        <v>9</v>
      </c>
      <c r="P53">
        <v>-1.21318681318681</v>
      </c>
      <c r="Q53" t="s">
        <v>10</v>
      </c>
      <c r="R53">
        <v>0.53179566160129998</v>
      </c>
      <c r="S53" t="s">
        <v>11</v>
      </c>
      <c r="T53" t="s">
        <v>1397</v>
      </c>
      <c r="U53" t="s">
        <v>742</v>
      </c>
      <c r="V53">
        <v>0</v>
      </c>
      <c r="W53" t="s">
        <v>14</v>
      </c>
      <c r="X53" t="s">
        <v>15</v>
      </c>
      <c r="Y53" t="s">
        <v>1397</v>
      </c>
      <c r="Z53" t="s">
        <v>742</v>
      </c>
      <c r="AA53">
        <v>0</v>
      </c>
      <c r="AB53" t="s">
        <v>18</v>
      </c>
    </row>
    <row r="54" spans="1:28" x14ac:dyDescent="0.3">
      <c r="A54" t="s">
        <v>1219</v>
      </c>
      <c r="B54" t="s">
        <v>1163</v>
      </c>
      <c r="C54" t="s">
        <v>1594</v>
      </c>
      <c r="D54" t="s">
        <v>1224</v>
      </c>
      <c r="E54">
        <v>191</v>
      </c>
      <c r="F54" t="s">
        <v>5</v>
      </c>
      <c r="G54">
        <v>110</v>
      </c>
      <c r="H54" s="2">
        <f t="shared" si="0"/>
        <v>0.5759162303664922</v>
      </c>
      <c r="I54" t="s">
        <v>6</v>
      </c>
      <c r="J54">
        <v>31.630000000000098</v>
      </c>
      <c r="K54" t="s">
        <v>7</v>
      </c>
      <c r="L54">
        <v>0.16560209424083799</v>
      </c>
      <c r="M54" t="s">
        <v>8</v>
      </c>
      <c r="N54">
        <v>1.4663636363636301</v>
      </c>
      <c r="O54" t="s">
        <v>9</v>
      </c>
      <c r="P54">
        <v>-1.60086419753086</v>
      </c>
      <c r="Q54" t="s">
        <v>10</v>
      </c>
      <c r="R54">
        <v>0.54845430547759899</v>
      </c>
      <c r="S54" t="s">
        <v>11</v>
      </c>
      <c r="T54" t="s">
        <v>1329</v>
      </c>
      <c r="U54" t="s">
        <v>1232</v>
      </c>
      <c r="V54">
        <v>0</v>
      </c>
      <c r="W54" t="s">
        <v>14</v>
      </c>
      <c r="X54" t="s">
        <v>15</v>
      </c>
      <c r="Y54" t="s">
        <v>1332</v>
      </c>
      <c r="Z54" t="s">
        <v>647</v>
      </c>
      <c r="AA54">
        <v>0</v>
      </c>
      <c r="AB54" t="s">
        <v>18</v>
      </c>
    </row>
    <row r="55" spans="1:28" x14ac:dyDescent="0.3">
      <c r="A55" t="s">
        <v>1220</v>
      </c>
      <c r="B55" t="s">
        <v>1174</v>
      </c>
      <c r="C55" t="s">
        <v>1680</v>
      </c>
      <c r="D55" t="s">
        <v>1224</v>
      </c>
      <c r="E55">
        <v>140</v>
      </c>
      <c r="F55" t="s">
        <v>5</v>
      </c>
      <c r="G55">
        <v>64</v>
      </c>
      <c r="H55" s="2">
        <f t="shared" si="0"/>
        <v>0.45714285714285713</v>
      </c>
      <c r="I55" t="s">
        <v>6</v>
      </c>
      <c r="J55">
        <v>30.8799999999999</v>
      </c>
      <c r="K55" t="s">
        <v>7</v>
      </c>
      <c r="L55">
        <v>0.220571428571428</v>
      </c>
      <c r="M55" t="s">
        <v>8</v>
      </c>
      <c r="N55">
        <v>1.7534375</v>
      </c>
      <c r="O55" t="s">
        <v>9</v>
      </c>
      <c r="P55">
        <v>-1.0702631578947299</v>
      </c>
      <c r="Q55" t="s">
        <v>10</v>
      </c>
      <c r="R55">
        <v>0.38410400721838001</v>
      </c>
      <c r="S55" t="s">
        <v>11</v>
      </c>
      <c r="T55" t="s">
        <v>1395</v>
      </c>
      <c r="U55" t="s">
        <v>1262</v>
      </c>
      <c r="V55">
        <v>0</v>
      </c>
      <c r="W55" t="s">
        <v>14</v>
      </c>
      <c r="X55" t="s">
        <v>15</v>
      </c>
      <c r="Y55" t="s">
        <v>1395</v>
      </c>
      <c r="Z55" t="s">
        <v>1262</v>
      </c>
      <c r="AA55">
        <v>0</v>
      </c>
      <c r="AB55" t="s">
        <v>18</v>
      </c>
    </row>
    <row r="56" spans="1:28" x14ac:dyDescent="0.3">
      <c r="A56" t="s">
        <v>1220</v>
      </c>
      <c r="B56" t="s">
        <v>1162</v>
      </c>
      <c r="C56" t="s">
        <v>1668</v>
      </c>
      <c r="D56" t="s">
        <v>1224</v>
      </c>
      <c r="E56">
        <v>140</v>
      </c>
      <c r="F56" t="s">
        <v>5</v>
      </c>
      <c r="G56">
        <v>89</v>
      </c>
      <c r="H56" s="2">
        <f t="shared" si="0"/>
        <v>0.63571428571428568</v>
      </c>
      <c r="I56" t="s">
        <v>6</v>
      </c>
      <c r="J56">
        <v>30.309999999999899</v>
      </c>
      <c r="K56" t="s">
        <v>7</v>
      </c>
      <c r="L56">
        <v>0.216499999999999</v>
      </c>
      <c r="M56" t="s">
        <v>8</v>
      </c>
      <c r="N56">
        <v>1.17685393258426</v>
      </c>
      <c r="O56" t="s">
        <v>9</v>
      </c>
      <c r="P56">
        <v>-1.45941176470588</v>
      </c>
      <c r="Q56" t="s">
        <v>10</v>
      </c>
      <c r="R56">
        <v>0.359136225622879</v>
      </c>
      <c r="S56" t="s">
        <v>11</v>
      </c>
      <c r="T56" t="s">
        <v>1277</v>
      </c>
      <c r="U56" t="s">
        <v>1278</v>
      </c>
      <c r="V56">
        <v>0</v>
      </c>
      <c r="W56" t="s">
        <v>14</v>
      </c>
      <c r="X56" t="s">
        <v>15</v>
      </c>
      <c r="Y56" t="s">
        <v>1277</v>
      </c>
      <c r="Z56" t="s">
        <v>1278</v>
      </c>
      <c r="AA56">
        <v>0</v>
      </c>
      <c r="AB56" t="s">
        <v>18</v>
      </c>
    </row>
    <row r="57" spans="1:28" x14ac:dyDescent="0.3">
      <c r="A57" t="s">
        <v>1221</v>
      </c>
      <c r="B57" t="s">
        <v>1210</v>
      </c>
      <c r="C57" t="s">
        <v>1791</v>
      </c>
      <c r="D57" t="s">
        <v>1224</v>
      </c>
      <c r="E57">
        <v>98</v>
      </c>
      <c r="F57" t="s">
        <v>5</v>
      </c>
      <c r="G57">
        <v>36</v>
      </c>
      <c r="H57" s="2">
        <f t="shared" si="0"/>
        <v>0.36734693877551022</v>
      </c>
      <c r="I57" t="s">
        <v>6</v>
      </c>
      <c r="J57">
        <v>30.258425287395301</v>
      </c>
      <c r="K57" t="s">
        <v>7</v>
      </c>
      <c r="L57">
        <v>0.30875944170811498</v>
      </c>
      <c r="M57" t="s">
        <v>8</v>
      </c>
      <c r="N57">
        <v>2.2661111111111101</v>
      </c>
      <c r="O57" t="s">
        <v>9</v>
      </c>
      <c r="P57">
        <v>-0.82776733407426795</v>
      </c>
      <c r="Q57" t="s">
        <v>10</v>
      </c>
      <c r="R57">
        <v>0.27088858883854799</v>
      </c>
      <c r="S57" t="s">
        <v>11</v>
      </c>
      <c r="T57" t="s">
        <v>1414</v>
      </c>
      <c r="U57" t="s">
        <v>1249</v>
      </c>
      <c r="V57">
        <v>0</v>
      </c>
      <c r="W57" t="s">
        <v>14</v>
      </c>
      <c r="X57" t="s">
        <v>15</v>
      </c>
      <c r="Y57" t="s">
        <v>1414</v>
      </c>
      <c r="Z57" t="s">
        <v>1249</v>
      </c>
      <c r="AA57">
        <v>0</v>
      </c>
      <c r="AB57" t="s">
        <v>18</v>
      </c>
    </row>
    <row r="58" spans="1:28" x14ac:dyDescent="0.3">
      <c r="A58" t="s">
        <v>1221</v>
      </c>
      <c r="B58" t="s">
        <v>1186</v>
      </c>
      <c r="C58" t="s">
        <v>1767</v>
      </c>
      <c r="D58" t="s">
        <v>1224</v>
      </c>
      <c r="E58">
        <v>108</v>
      </c>
      <c r="F58" t="s">
        <v>5</v>
      </c>
      <c r="G58">
        <v>36</v>
      </c>
      <c r="H58" s="2">
        <f t="shared" si="0"/>
        <v>0.33333333333333331</v>
      </c>
      <c r="I58" t="s">
        <v>6</v>
      </c>
      <c r="J58">
        <v>29.6839744501467</v>
      </c>
      <c r="K58" t="s">
        <v>7</v>
      </c>
      <c r="L58">
        <v>0.27485161527913599</v>
      </c>
      <c r="M58" t="s">
        <v>8</v>
      </c>
      <c r="N58">
        <v>3.2338888888888802</v>
      </c>
      <c r="O58" t="s">
        <v>9</v>
      </c>
      <c r="P58">
        <v>-1.20466702152574</v>
      </c>
      <c r="Q58" t="s">
        <v>10</v>
      </c>
      <c r="R58">
        <v>0.34037663426141501</v>
      </c>
      <c r="S58" t="s">
        <v>11</v>
      </c>
      <c r="T58" t="s">
        <v>1400</v>
      </c>
      <c r="U58" t="s">
        <v>1390</v>
      </c>
      <c r="V58">
        <v>0</v>
      </c>
      <c r="W58" t="s">
        <v>14</v>
      </c>
      <c r="X58" t="s">
        <v>15</v>
      </c>
      <c r="Y58" t="s">
        <v>1401</v>
      </c>
      <c r="Z58" t="s">
        <v>206</v>
      </c>
      <c r="AA58">
        <v>0</v>
      </c>
      <c r="AB58" t="s">
        <v>18</v>
      </c>
    </row>
    <row r="59" spans="1:28" x14ac:dyDescent="0.3">
      <c r="A59" t="s">
        <v>1220</v>
      </c>
      <c r="B59" t="s">
        <v>1207</v>
      </c>
      <c r="C59" t="s">
        <v>1713</v>
      </c>
      <c r="D59" t="s">
        <v>1224</v>
      </c>
      <c r="E59">
        <v>140</v>
      </c>
      <c r="F59" t="s">
        <v>5</v>
      </c>
      <c r="G59">
        <v>51</v>
      </c>
      <c r="H59" s="2">
        <f t="shared" si="0"/>
        <v>0.36428571428571427</v>
      </c>
      <c r="I59" t="s">
        <v>6</v>
      </c>
      <c r="J59">
        <v>29.448425287395199</v>
      </c>
      <c r="K59" t="s">
        <v>7</v>
      </c>
      <c r="L59">
        <v>0.210345894909966</v>
      </c>
      <c r="M59" t="s">
        <v>8</v>
      </c>
      <c r="N59">
        <v>2.0335294117646998</v>
      </c>
      <c r="O59" t="s">
        <v>9</v>
      </c>
      <c r="P59">
        <v>-0.83439971587196105</v>
      </c>
      <c r="Q59" t="s">
        <v>10</v>
      </c>
      <c r="R59">
        <v>0.46167042731657598</v>
      </c>
      <c r="S59" t="s">
        <v>11</v>
      </c>
      <c r="T59" t="s">
        <v>1413</v>
      </c>
      <c r="U59" t="s">
        <v>1399</v>
      </c>
      <c r="V59">
        <v>0</v>
      </c>
      <c r="W59" t="s">
        <v>14</v>
      </c>
      <c r="X59" t="s">
        <v>15</v>
      </c>
      <c r="Y59" t="s">
        <v>1413</v>
      </c>
      <c r="Z59" t="s">
        <v>1399</v>
      </c>
      <c r="AA59">
        <v>0</v>
      </c>
      <c r="AB59" t="s">
        <v>18</v>
      </c>
    </row>
    <row r="60" spans="1:28" x14ac:dyDescent="0.3">
      <c r="A60" t="s">
        <v>1220</v>
      </c>
      <c r="B60" t="s">
        <v>1208</v>
      </c>
      <c r="C60" t="s">
        <v>1714</v>
      </c>
      <c r="D60" t="s">
        <v>1224</v>
      </c>
      <c r="E60">
        <v>140</v>
      </c>
      <c r="F60" t="s">
        <v>5</v>
      </c>
      <c r="G60">
        <v>50</v>
      </c>
      <c r="H60" s="2">
        <f t="shared" si="0"/>
        <v>0.35714285714285715</v>
      </c>
      <c r="I60" t="s">
        <v>6</v>
      </c>
      <c r="J60">
        <v>29.118425287395201</v>
      </c>
      <c r="K60" t="s">
        <v>7</v>
      </c>
      <c r="L60">
        <v>0.20798875205282299</v>
      </c>
      <c r="M60" t="s">
        <v>8</v>
      </c>
      <c r="N60">
        <v>2.0765999999999898</v>
      </c>
      <c r="O60" t="s">
        <v>9</v>
      </c>
      <c r="P60">
        <v>-0.83012860791782905</v>
      </c>
      <c r="Q60" t="s">
        <v>10</v>
      </c>
      <c r="R60">
        <v>0.47448804452042598</v>
      </c>
      <c r="S60" t="s">
        <v>11</v>
      </c>
      <c r="T60" t="s">
        <v>1413</v>
      </c>
      <c r="U60" t="s">
        <v>1399</v>
      </c>
      <c r="V60">
        <v>0</v>
      </c>
      <c r="W60" t="s">
        <v>14</v>
      </c>
      <c r="X60" t="s">
        <v>15</v>
      </c>
      <c r="Y60" t="s">
        <v>1413</v>
      </c>
      <c r="Z60" t="s">
        <v>1399</v>
      </c>
      <c r="AA60">
        <v>0</v>
      </c>
      <c r="AB60" t="s">
        <v>18</v>
      </c>
    </row>
    <row r="61" spans="1:28" x14ac:dyDescent="0.3">
      <c r="A61" t="s">
        <v>1220</v>
      </c>
      <c r="B61" t="s">
        <v>1144</v>
      </c>
      <c r="C61" t="s">
        <v>1650</v>
      </c>
      <c r="D61" t="s">
        <v>1224</v>
      </c>
      <c r="E61">
        <v>140</v>
      </c>
      <c r="F61" t="s">
        <v>5</v>
      </c>
      <c r="G61">
        <v>92</v>
      </c>
      <c r="H61" s="2">
        <f t="shared" si="0"/>
        <v>0.65714285714285714</v>
      </c>
      <c r="I61" t="s">
        <v>6</v>
      </c>
      <c r="J61">
        <v>28.98</v>
      </c>
      <c r="K61" t="s">
        <v>7</v>
      </c>
      <c r="L61">
        <v>0.20699999999999999</v>
      </c>
      <c r="M61" t="s">
        <v>8</v>
      </c>
      <c r="N61">
        <v>1.1986956521739101</v>
      </c>
      <c r="O61" t="s">
        <v>9</v>
      </c>
      <c r="P61">
        <v>-1.6937499999999901</v>
      </c>
      <c r="Q61" t="s">
        <v>10</v>
      </c>
      <c r="R61">
        <v>0.352428326917197</v>
      </c>
      <c r="S61" t="s">
        <v>11</v>
      </c>
      <c r="T61" t="s">
        <v>1329</v>
      </c>
      <c r="U61" t="s">
        <v>1232</v>
      </c>
      <c r="V61">
        <v>0</v>
      </c>
      <c r="W61" t="s">
        <v>14</v>
      </c>
      <c r="X61" t="s">
        <v>15</v>
      </c>
      <c r="Y61" t="s">
        <v>1329</v>
      </c>
      <c r="Z61" t="s">
        <v>1232</v>
      </c>
      <c r="AA61">
        <v>0</v>
      </c>
      <c r="AB61" t="s">
        <v>18</v>
      </c>
    </row>
    <row r="62" spans="1:28" x14ac:dyDescent="0.3">
      <c r="A62" t="s">
        <v>1221</v>
      </c>
      <c r="B62" t="s">
        <v>1205</v>
      </c>
      <c r="C62" t="s">
        <v>1786</v>
      </c>
      <c r="D62" t="s">
        <v>1224</v>
      </c>
      <c r="E62">
        <v>102</v>
      </c>
      <c r="F62" t="s">
        <v>5</v>
      </c>
      <c r="G62">
        <v>42</v>
      </c>
      <c r="H62" s="2">
        <f t="shared" si="0"/>
        <v>0.41176470588235292</v>
      </c>
      <c r="I62" t="s">
        <v>6</v>
      </c>
      <c r="J62">
        <v>28.5884252873952</v>
      </c>
      <c r="K62" t="s">
        <v>7</v>
      </c>
      <c r="L62">
        <v>0.280278679288189</v>
      </c>
      <c r="M62" t="s">
        <v>8</v>
      </c>
      <c r="N62">
        <v>1.69428571428571</v>
      </c>
      <c r="O62" t="s">
        <v>9</v>
      </c>
      <c r="P62">
        <v>-0.70952624521007701</v>
      </c>
      <c r="Q62" t="s">
        <v>10</v>
      </c>
      <c r="R62">
        <v>0.28182793128674499</v>
      </c>
      <c r="S62" t="s">
        <v>11</v>
      </c>
      <c r="T62" t="s">
        <v>1410</v>
      </c>
      <c r="U62" t="s">
        <v>1386</v>
      </c>
      <c r="V62">
        <v>0</v>
      </c>
      <c r="W62" t="s">
        <v>14</v>
      </c>
      <c r="X62" t="s">
        <v>15</v>
      </c>
      <c r="Y62" t="s">
        <v>1410</v>
      </c>
      <c r="Z62" t="s">
        <v>1386</v>
      </c>
      <c r="AA62">
        <v>0</v>
      </c>
      <c r="AB62" t="s">
        <v>18</v>
      </c>
    </row>
    <row r="63" spans="1:28" x14ac:dyDescent="0.3">
      <c r="A63" t="s">
        <v>1221</v>
      </c>
      <c r="B63" t="s">
        <v>1206</v>
      </c>
      <c r="C63" t="s">
        <v>1787</v>
      </c>
      <c r="D63" t="s">
        <v>1224</v>
      </c>
      <c r="E63">
        <v>102</v>
      </c>
      <c r="F63" t="s">
        <v>5</v>
      </c>
      <c r="G63">
        <v>40</v>
      </c>
      <c r="H63" s="2">
        <f t="shared" si="0"/>
        <v>0.39215686274509803</v>
      </c>
      <c r="I63" t="s">
        <v>6</v>
      </c>
      <c r="J63">
        <v>28.5684252873952</v>
      </c>
      <c r="K63" t="s">
        <v>7</v>
      </c>
      <c r="L63">
        <v>0.28008260085681602</v>
      </c>
      <c r="M63" t="s">
        <v>8</v>
      </c>
      <c r="N63">
        <v>1.8139999999999901</v>
      </c>
      <c r="O63" t="s">
        <v>9</v>
      </c>
      <c r="P63">
        <v>-0.70954152762265499</v>
      </c>
      <c r="Q63" t="s">
        <v>10</v>
      </c>
      <c r="R63">
        <v>0.29470260621392902</v>
      </c>
      <c r="S63" t="s">
        <v>11</v>
      </c>
      <c r="T63" t="s">
        <v>1410</v>
      </c>
      <c r="U63" t="s">
        <v>1386</v>
      </c>
      <c r="V63">
        <v>0</v>
      </c>
      <c r="W63" t="s">
        <v>14</v>
      </c>
      <c r="X63" t="s">
        <v>15</v>
      </c>
      <c r="Y63" t="s">
        <v>1410</v>
      </c>
      <c r="Z63" t="s">
        <v>1386</v>
      </c>
      <c r="AA63">
        <v>0</v>
      </c>
      <c r="AB63" t="s">
        <v>18</v>
      </c>
    </row>
    <row r="64" spans="1:28" x14ac:dyDescent="0.3">
      <c r="A64" t="s">
        <v>1220</v>
      </c>
      <c r="B64" t="s">
        <v>1161</v>
      </c>
      <c r="C64" t="s">
        <v>1667</v>
      </c>
      <c r="D64" t="s">
        <v>1224</v>
      </c>
      <c r="E64">
        <v>140</v>
      </c>
      <c r="F64" t="s">
        <v>5</v>
      </c>
      <c r="G64">
        <v>90</v>
      </c>
      <c r="H64" s="2">
        <f t="shared" si="0"/>
        <v>0.6428571428571429</v>
      </c>
      <c r="I64" t="s">
        <v>6</v>
      </c>
      <c r="J64">
        <v>28.219999999999899</v>
      </c>
      <c r="K64" t="s">
        <v>7</v>
      </c>
      <c r="L64">
        <v>0.20157142857142801</v>
      </c>
      <c r="M64" t="s">
        <v>8</v>
      </c>
      <c r="N64">
        <v>1.13022222222222</v>
      </c>
      <c r="O64" t="s">
        <v>9</v>
      </c>
      <c r="P64">
        <v>-1.46999999999999</v>
      </c>
      <c r="Q64" t="s">
        <v>10</v>
      </c>
      <c r="R64">
        <v>0.323369325045266</v>
      </c>
      <c r="S64" t="s">
        <v>11</v>
      </c>
      <c r="T64" t="s">
        <v>1277</v>
      </c>
      <c r="U64" t="s">
        <v>1278</v>
      </c>
      <c r="V64">
        <v>0</v>
      </c>
      <c r="W64" t="s">
        <v>14</v>
      </c>
      <c r="X64" t="s">
        <v>15</v>
      </c>
      <c r="Y64" t="s">
        <v>1277</v>
      </c>
      <c r="Z64" t="s">
        <v>1278</v>
      </c>
      <c r="AA64">
        <v>0</v>
      </c>
      <c r="AB64" t="s">
        <v>18</v>
      </c>
    </row>
    <row r="65" spans="1:28" x14ac:dyDescent="0.3">
      <c r="A65" t="s">
        <v>1221</v>
      </c>
      <c r="B65" t="s">
        <v>1187</v>
      </c>
      <c r="C65" t="s">
        <v>1768</v>
      </c>
      <c r="D65" t="s">
        <v>1224</v>
      </c>
      <c r="E65">
        <v>108</v>
      </c>
      <c r="F65" t="s">
        <v>5</v>
      </c>
      <c r="G65">
        <v>32</v>
      </c>
      <c r="H65" s="2">
        <f t="shared" si="0"/>
        <v>0.29629629629629628</v>
      </c>
      <c r="I65" t="s">
        <v>6</v>
      </c>
      <c r="J65">
        <v>27.583974450146702</v>
      </c>
      <c r="K65" t="s">
        <v>7</v>
      </c>
      <c r="L65">
        <v>0.255407170834692</v>
      </c>
      <c r="M65" t="s">
        <v>8</v>
      </c>
      <c r="N65">
        <v>3.8374999999999999</v>
      </c>
      <c r="O65" t="s">
        <v>9</v>
      </c>
      <c r="P65">
        <v>-1.25284244144543</v>
      </c>
      <c r="Q65" t="s">
        <v>10</v>
      </c>
      <c r="R65">
        <v>0.37083758929634703</v>
      </c>
      <c r="S65" t="s">
        <v>11</v>
      </c>
      <c r="T65" t="s">
        <v>1402</v>
      </c>
      <c r="U65" t="s">
        <v>212</v>
      </c>
      <c r="V65">
        <v>0</v>
      </c>
      <c r="W65" t="s">
        <v>14</v>
      </c>
      <c r="X65" t="s">
        <v>15</v>
      </c>
      <c r="Y65" t="s">
        <v>1401</v>
      </c>
      <c r="Z65" t="s">
        <v>206</v>
      </c>
      <c r="AA65">
        <v>0</v>
      </c>
      <c r="AB65" t="s">
        <v>18</v>
      </c>
    </row>
    <row r="66" spans="1:28" x14ac:dyDescent="0.3">
      <c r="A66" t="s">
        <v>1221</v>
      </c>
      <c r="B66" t="s">
        <v>1188</v>
      </c>
      <c r="C66" t="s">
        <v>1769</v>
      </c>
      <c r="D66" t="s">
        <v>1224</v>
      </c>
      <c r="E66">
        <v>108</v>
      </c>
      <c r="F66" t="s">
        <v>5</v>
      </c>
      <c r="G66">
        <v>30</v>
      </c>
      <c r="H66" s="2">
        <f t="shared" si="0"/>
        <v>0.27777777777777779</v>
      </c>
      <c r="I66" t="s">
        <v>6</v>
      </c>
      <c r="J66">
        <v>27.013974450146701</v>
      </c>
      <c r="K66" t="s">
        <v>7</v>
      </c>
      <c r="L66">
        <v>0.25012939305691401</v>
      </c>
      <c r="M66" t="s">
        <v>8</v>
      </c>
      <c r="N66">
        <v>4.1839999999999904</v>
      </c>
      <c r="O66" t="s">
        <v>9</v>
      </c>
      <c r="P66">
        <v>-1.2628977634596501</v>
      </c>
      <c r="Q66" t="s">
        <v>10</v>
      </c>
      <c r="R66">
        <v>0.40478845677346298</v>
      </c>
      <c r="S66" t="s">
        <v>11</v>
      </c>
      <c r="T66" t="s">
        <v>1424</v>
      </c>
      <c r="U66" t="s">
        <v>1425</v>
      </c>
      <c r="V66">
        <v>0</v>
      </c>
      <c r="W66" t="s">
        <v>14</v>
      </c>
      <c r="X66" t="s">
        <v>15</v>
      </c>
      <c r="Y66" t="s">
        <v>1401</v>
      </c>
      <c r="Z66" t="s">
        <v>206</v>
      </c>
      <c r="AA66">
        <v>0</v>
      </c>
      <c r="AB66" t="s">
        <v>18</v>
      </c>
    </row>
    <row r="67" spans="1:28" x14ac:dyDescent="0.3">
      <c r="A67" t="s">
        <v>1221</v>
      </c>
      <c r="B67" t="s">
        <v>1163</v>
      </c>
      <c r="C67" t="s">
        <v>1744</v>
      </c>
      <c r="D67" t="s">
        <v>1224</v>
      </c>
      <c r="E67">
        <v>102</v>
      </c>
      <c r="F67" t="s">
        <v>5</v>
      </c>
      <c r="G67">
        <v>69</v>
      </c>
      <c r="H67" s="2">
        <f t="shared" ref="H67:H130" si="1">G67/E67</f>
        <v>0.67647058823529416</v>
      </c>
      <c r="I67" t="s">
        <v>6</v>
      </c>
      <c r="J67">
        <v>26.829999999999899</v>
      </c>
      <c r="K67" t="s">
        <v>7</v>
      </c>
      <c r="L67">
        <v>0.26303921568627397</v>
      </c>
      <c r="M67" t="s">
        <v>8</v>
      </c>
      <c r="N67">
        <v>1.06391304347826</v>
      </c>
      <c r="O67" t="s">
        <v>9</v>
      </c>
      <c r="P67">
        <v>-1.4115151515151501</v>
      </c>
      <c r="Q67" t="s">
        <v>10</v>
      </c>
      <c r="R67">
        <v>0.25887611653380099</v>
      </c>
      <c r="S67" t="s">
        <v>11</v>
      </c>
      <c r="T67" t="s">
        <v>1277</v>
      </c>
      <c r="U67" t="s">
        <v>1278</v>
      </c>
      <c r="V67">
        <v>0</v>
      </c>
      <c r="W67" t="s">
        <v>14</v>
      </c>
      <c r="X67" t="s">
        <v>15</v>
      </c>
      <c r="Y67" t="s">
        <v>1277</v>
      </c>
      <c r="Z67" t="s">
        <v>1278</v>
      </c>
      <c r="AA67">
        <v>0</v>
      </c>
      <c r="AB67" t="s">
        <v>18</v>
      </c>
    </row>
    <row r="68" spans="1:28" x14ac:dyDescent="0.3">
      <c r="A68" t="s">
        <v>1221</v>
      </c>
      <c r="B68" t="s">
        <v>1174</v>
      </c>
      <c r="C68" t="s">
        <v>1755</v>
      </c>
      <c r="D68" t="s">
        <v>1224</v>
      </c>
      <c r="E68">
        <v>102</v>
      </c>
      <c r="F68" t="s">
        <v>5</v>
      </c>
      <c r="G68">
        <v>48</v>
      </c>
      <c r="H68" s="2">
        <f t="shared" si="1"/>
        <v>0.47058823529411764</v>
      </c>
      <c r="I68" t="s">
        <v>6</v>
      </c>
      <c r="J68">
        <v>26.5399999999999</v>
      </c>
      <c r="K68" t="s">
        <v>7</v>
      </c>
      <c r="L68">
        <v>0.26019607843137199</v>
      </c>
      <c r="M68" t="s">
        <v>8</v>
      </c>
      <c r="N68">
        <v>1.6968749999999899</v>
      </c>
      <c r="O68" t="s">
        <v>9</v>
      </c>
      <c r="P68">
        <v>-1.0168518518518499</v>
      </c>
      <c r="Q68" t="s">
        <v>10</v>
      </c>
      <c r="R68">
        <v>0.286384626621984</v>
      </c>
      <c r="S68" t="s">
        <v>11</v>
      </c>
      <c r="T68" t="s">
        <v>1395</v>
      </c>
      <c r="U68" t="s">
        <v>1262</v>
      </c>
      <c r="V68">
        <v>0</v>
      </c>
      <c r="W68" t="s">
        <v>14</v>
      </c>
      <c r="X68" t="s">
        <v>15</v>
      </c>
      <c r="Y68" t="s">
        <v>1395</v>
      </c>
      <c r="Z68" t="s">
        <v>1262</v>
      </c>
      <c r="AA68">
        <v>0</v>
      </c>
      <c r="AB68" t="s">
        <v>18</v>
      </c>
    </row>
    <row r="69" spans="1:28" x14ac:dyDescent="0.3">
      <c r="A69" t="s">
        <v>1221</v>
      </c>
      <c r="B69" t="s">
        <v>1211</v>
      </c>
      <c r="C69" t="s">
        <v>1792</v>
      </c>
      <c r="D69" t="s">
        <v>1224</v>
      </c>
      <c r="E69">
        <v>98</v>
      </c>
      <c r="F69" t="s">
        <v>5</v>
      </c>
      <c r="G69">
        <v>31</v>
      </c>
      <c r="H69" s="2">
        <f t="shared" si="1"/>
        <v>0.31632653061224492</v>
      </c>
      <c r="I69" t="s">
        <v>6</v>
      </c>
      <c r="J69">
        <v>26.178425287395299</v>
      </c>
      <c r="K69" t="s">
        <v>7</v>
      </c>
      <c r="L69">
        <v>0.26712678864689099</v>
      </c>
      <c r="M69" t="s">
        <v>8</v>
      </c>
      <c r="N69">
        <v>2.6948387096774198</v>
      </c>
      <c r="O69" t="s">
        <v>9</v>
      </c>
      <c r="P69">
        <v>-0.85614290615827804</v>
      </c>
      <c r="Q69" t="s">
        <v>10</v>
      </c>
      <c r="R69">
        <v>0.29412658347267101</v>
      </c>
      <c r="S69" t="s">
        <v>11</v>
      </c>
      <c r="T69" t="s">
        <v>1414</v>
      </c>
      <c r="U69" t="s">
        <v>1249</v>
      </c>
      <c r="V69">
        <v>0</v>
      </c>
      <c r="W69" t="s">
        <v>14</v>
      </c>
      <c r="X69" t="s">
        <v>15</v>
      </c>
      <c r="Y69" t="s">
        <v>1414</v>
      </c>
      <c r="Z69" t="s">
        <v>1249</v>
      </c>
      <c r="AA69">
        <v>0</v>
      </c>
      <c r="AB69" t="s">
        <v>18</v>
      </c>
    </row>
    <row r="70" spans="1:28" x14ac:dyDescent="0.3">
      <c r="A70" t="s">
        <v>1220</v>
      </c>
      <c r="B70" t="s">
        <v>1160</v>
      </c>
      <c r="C70" t="s">
        <v>1666</v>
      </c>
      <c r="D70" t="s">
        <v>1224</v>
      </c>
      <c r="E70">
        <v>140</v>
      </c>
      <c r="F70" t="s">
        <v>5</v>
      </c>
      <c r="G70">
        <v>90</v>
      </c>
      <c r="H70" s="2">
        <f t="shared" si="1"/>
        <v>0.6428571428571429</v>
      </c>
      <c r="I70" t="s">
        <v>6</v>
      </c>
      <c r="J70">
        <v>25.719999999999899</v>
      </c>
      <c r="K70" t="s">
        <v>7</v>
      </c>
      <c r="L70">
        <v>0.183714285714285</v>
      </c>
      <c r="M70" t="s">
        <v>8</v>
      </c>
      <c r="N70">
        <v>1.1024444444444399</v>
      </c>
      <c r="O70" t="s">
        <v>9</v>
      </c>
      <c r="P70">
        <v>-1.46999999999999</v>
      </c>
      <c r="Q70" t="s">
        <v>10</v>
      </c>
      <c r="R70">
        <v>0.31682890293477001</v>
      </c>
      <c r="S70" t="s">
        <v>11</v>
      </c>
      <c r="T70" t="s">
        <v>1277</v>
      </c>
      <c r="U70" t="s">
        <v>1278</v>
      </c>
      <c r="V70">
        <v>0</v>
      </c>
      <c r="W70" t="s">
        <v>14</v>
      </c>
      <c r="X70" t="s">
        <v>15</v>
      </c>
      <c r="Y70" t="s">
        <v>1277</v>
      </c>
      <c r="Z70" t="s">
        <v>1278</v>
      </c>
      <c r="AA70">
        <v>0</v>
      </c>
      <c r="AB70" t="s">
        <v>18</v>
      </c>
    </row>
    <row r="71" spans="1:28" x14ac:dyDescent="0.3">
      <c r="A71" t="s">
        <v>1220</v>
      </c>
      <c r="B71" t="s">
        <v>1164</v>
      </c>
      <c r="C71" t="s">
        <v>1670</v>
      </c>
      <c r="D71" t="s">
        <v>1224</v>
      </c>
      <c r="E71">
        <v>136</v>
      </c>
      <c r="F71" t="s">
        <v>5</v>
      </c>
      <c r="G71">
        <v>90</v>
      </c>
      <c r="H71" s="2">
        <f t="shared" si="1"/>
        <v>0.66176470588235292</v>
      </c>
      <c r="I71" t="s">
        <v>6</v>
      </c>
      <c r="J71">
        <v>25.382859936576502</v>
      </c>
      <c r="K71" t="s">
        <v>7</v>
      </c>
      <c r="L71">
        <v>0.186638676004239</v>
      </c>
      <c r="M71" t="s">
        <v>8</v>
      </c>
      <c r="N71">
        <v>1.11903177707307</v>
      </c>
      <c r="O71" t="s">
        <v>9</v>
      </c>
      <c r="P71">
        <v>-1.63760869565217</v>
      </c>
      <c r="Q71" t="s">
        <v>10</v>
      </c>
      <c r="R71">
        <v>0.27345916567332001</v>
      </c>
      <c r="S71" t="s">
        <v>11</v>
      </c>
      <c r="T71" t="s">
        <v>1388</v>
      </c>
      <c r="U71" t="s">
        <v>1262</v>
      </c>
      <c r="V71">
        <v>0</v>
      </c>
      <c r="W71" t="s">
        <v>14</v>
      </c>
      <c r="X71" t="s">
        <v>15</v>
      </c>
      <c r="Y71" t="s">
        <v>1388</v>
      </c>
      <c r="Z71" t="s">
        <v>1262</v>
      </c>
      <c r="AA71">
        <v>0</v>
      </c>
      <c r="AB71" t="s">
        <v>18</v>
      </c>
    </row>
    <row r="72" spans="1:28" x14ac:dyDescent="0.3">
      <c r="A72" t="s">
        <v>1221</v>
      </c>
      <c r="B72" t="s">
        <v>1164</v>
      </c>
      <c r="C72" t="s">
        <v>1745</v>
      </c>
      <c r="D72" t="s">
        <v>1224</v>
      </c>
      <c r="E72">
        <v>98</v>
      </c>
      <c r="F72" t="s">
        <v>5</v>
      </c>
      <c r="G72">
        <v>69</v>
      </c>
      <c r="H72" s="2">
        <f t="shared" si="1"/>
        <v>0.70408163265306123</v>
      </c>
      <c r="I72" t="s">
        <v>6</v>
      </c>
      <c r="J72">
        <v>25.369999999999902</v>
      </c>
      <c r="K72" t="s">
        <v>7</v>
      </c>
      <c r="L72">
        <v>0.25887755102040799</v>
      </c>
      <c r="M72" t="s">
        <v>8</v>
      </c>
      <c r="N72">
        <v>1.0114492753623101</v>
      </c>
      <c r="O72" t="s">
        <v>9</v>
      </c>
      <c r="P72">
        <v>-1.53172413793103</v>
      </c>
      <c r="Q72" t="s">
        <v>10</v>
      </c>
      <c r="R72">
        <v>0.18748106958665001</v>
      </c>
      <c r="S72" t="s">
        <v>11</v>
      </c>
      <c r="T72" t="s">
        <v>1388</v>
      </c>
      <c r="U72" t="s">
        <v>1262</v>
      </c>
      <c r="V72">
        <v>0</v>
      </c>
      <c r="W72" t="s">
        <v>14</v>
      </c>
      <c r="X72" t="s">
        <v>15</v>
      </c>
      <c r="Y72" t="s">
        <v>1388</v>
      </c>
      <c r="Z72" t="s">
        <v>1262</v>
      </c>
      <c r="AA72">
        <v>0</v>
      </c>
      <c r="AB72" t="s">
        <v>18</v>
      </c>
    </row>
    <row r="73" spans="1:28" x14ac:dyDescent="0.3">
      <c r="A73" t="s">
        <v>1221</v>
      </c>
      <c r="B73" t="s">
        <v>1207</v>
      </c>
      <c r="C73" t="s">
        <v>1788</v>
      </c>
      <c r="D73" t="s">
        <v>1224</v>
      </c>
      <c r="E73">
        <v>102</v>
      </c>
      <c r="F73" t="s">
        <v>5</v>
      </c>
      <c r="G73">
        <v>40</v>
      </c>
      <c r="H73" s="2">
        <f t="shared" si="1"/>
        <v>0.39215686274509803</v>
      </c>
      <c r="I73" t="s">
        <v>6</v>
      </c>
      <c r="J73">
        <v>25.138425287395201</v>
      </c>
      <c r="K73" t="s">
        <v>7</v>
      </c>
      <c r="L73">
        <v>0.246455149876424</v>
      </c>
      <c r="M73" t="s">
        <v>8</v>
      </c>
      <c r="N73">
        <v>1.7282499999999901</v>
      </c>
      <c r="O73" t="s">
        <v>9</v>
      </c>
      <c r="P73">
        <v>-0.70954152762265499</v>
      </c>
      <c r="Q73" t="s">
        <v>10</v>
      </c>
      <c r="R73">
        <v>0.31246774204465</v>
      </c>
      <c r="S73" t="s">
        <v>11</v>
      </c>
      <c r="T73" t="s">
        <v>1429</v>
      </c>
      <c r="U73" t="s">
        <v>1376</v>
      </c>
      <c r="V73">
        <v>0</v>
      </c>
      <c r="W73" t="s">
        <v>14</v>
      </c>
      <c r="X73" t="s">
        <v>15</v>
      </c>
      <c r="Y73" t="s">
        <v>1416</v>
      </c>
      <c r="Z73" t="s">
        <v>1376</v>
      </c>
      <c r="AA73">
        <v>0</v>
      </c>
      <c r="AB73" t="s">
        <v>18</v>
      </c>
    </row>
    <row r="74" spans="1:28" x14ac:dyDescent="0.3">
      <c r="A74" t="s">
        <v>1221</v>
      </c>
      <c r="B74" t="s">
        <v>1190</v>
      </c>
      <c r="C74" t="s">
        <v>1771</v>
      </c>
      <c r="D74" t="s">
        <v>1224</v>
      </c>
      <c r="E74">
        <v>102</v>
      </c>
      <c r="F74" t="s">
        <v>5</v>
      </c>
      <c r="G74">
        <v>68</v>
      </c>
      <c r="H74" s="2">
        <f t="shared" si="1"/>
        <v>0.66666666666666663</v>
      </c>
      <c r="I74" t="s">
        <v>6</v>
      </c>
      <c r="J74">
        <v>24.8089501915969</v>
      </c>
      <c r="K74" t="s">
        <v>7</v>
      </c>
      <c r="L74">
        <v>0.24322500187840099</v>
      </c>
      <c r="M74" t="s">
        <v>8</v>
      </c>
      <c r="N74">
        <v>0.78895514987642501</v>
      </c>
      <c r="O74" t="s">
        <v>9</v>
      </c>
      <c r="P74">
        <v>-0.84823529411764598</v>
      </c>
      <c r="Q74" t="s">
        <v>10</v>
      </c>
      <c r="R74">
        <v>0.196764965454998</v>
      </c>
      <c r="S74" t="s">
        <v>11</v>
      </c>
      <c r="T74" t="s">
        <v>1426</v>
      </c>
      <c r="U74" t="s">
        <v>1278</v>
      </c>
      <c r="V74">
        <v>0</v>
      </c>
      <c r="W74" t="s">
        <v>14</v>
      </c>
      <c r="X74" t="s">
        <v>15</v>
      </c>
      <c r="Y74" t="s">
        <v>1426</v>
      </c>
      <c r="Z74" t="s">
        <v>1278</v>
      </c>
      <c r="AA74">
        <v>0</v>
      </c>
      <c r="AB74" t="s">
        <v>18</v>
      </c>
    </row>
    <row r="75" spans="1:28" x14ac:dyDescent="0.3">
      <c r="A75" t="s">
        <v>1221</v>
      </c>
      <c r="B75" t="s">
        <v>1208</v>
      </c>
      <c r="C75" t="s">
        <v>1789</v>
      </c>
      <c r="D75" t="s">
        <v>1224</v>
      </c>
      <c r="E75">
        <v>102</v>
      </c>
      <c r="F75" t="s">
        <v>5</v>
      </c>
      <c r="G75">
        <v>39</v>
      </c>
      <c r="H75" s="2">
        <f t="shared" si="1"/>
        <v>0.38235294117647056</v>
      </c>
      <c r="I75" t="s">
        <v>6</v>
      </c>
      <c r="J75">
        <v>24.808425287395199</v>
      </c>
      <c r="K75" t="s">
        <v>7</v>
      </c>
      <c r="L75">
        <v>0.243219855758777</v>
      </c>
      <c r="M75" t="s">
        <v>8</v>
      </c>
      <c r="N75">
        <v>1.77564102564102</v>
      </c>
      <c r="O75" t="s">
        <v>9</v>
      </c>
      <c r="P75">
        <v>-0.70542182083499405</v>
      </c>
      <c r="Q75" t="s">
        <v>10</v>
      </c>
      <c r="R75">
        <v>0.327138360686342</v>
      </c>
      <c r="S75" t="s">
        <v>11</v>
      </c>
      <c r="T75" t="s">
        <v>1429</v>
      </c>
      <c r="U75" t="s">
        <v>1376</v>
      </c>
      <c r="V75">
        <v>0</v>
      </c>
      <c r="W75" t="s">
        <v>14</v>
      </c>
      <c r="X75" t="s">
        <v>15</v>
      </c>
      <c r="Y75" t="s">
        <v>1416</v>
      </c>
      <c r="Z75" t="s">
        <v>1376</v>
      </c>
      <c r="AA75">
        <v>0</v>
      </c>
      <c r="AB75" t="s">
        <v>18</v>
      </c>
    </row>
    <row r="76" spans="1:28" x14ac:dyDescent="0.3">
      <c r="A76" t="s">
        <v>1221</v>
      </c>
      <c r="B76" t="s">
        <v>1183</v>
      </c>
      <c r="C76" t="s">
        <v>1764</v>
      </c>
      <c r="D76" t="s">
        <v>1224</v>
      </c>
      <c r="E76">
        <v>98</v>
      </c>
      <c r="F76" t="s">
        <v>5</v>
      </c>
      <c r="G76">
        <v>31</v>
      </c>
      <c r="H76" s="2">
        <f t="shared" si="1"/>
        <v>0.31632653061224492</v>
      </c>
      <c r="I76" t="s">
        <v>6</v>
      </c>
      <c r="J76">
        <v>24.719999999999899</v>
      </c>
      <c r="K76" t="s">
        <v>7</v>
      </c>
      <c r="L76">
        <v>0.25224489795918298</v>
      </c>
      <c r="M76" t="s">
        <v>8</v>
      </c>
      <c r="N76">
        <v>3.7083870967741901</v>
      </c>
      <c r="O76" t="s">
        <v>9</v>
      </c>
      <c r="P76">
        <v>-1.3468656716417899</v>
      </c>
      <c r="Q76" t="s">
        <v>10</v>
      </c>
      <c r="R76">
        <v>0.37560645781909702</v>
      </c>
      <c r="S76" t="s">
        <v>11</v>
      </c>
      <c r="T76" t="s">
        <v>1296</v>
      </c>
      <c r="U76" t="s">
        <v>1249</v>
      </c>
      <c r="V76">
        <v>0</v>
      </c>
      <c r="W76" t="s">
        <v>14</v>
      </c>
      <c r="X76" t="s">
        <v>15</v>
      </c>
      <c r="Y76" t="s">
        <v>1296</v>
      </c>
      <c r="Z76" t="s">
        <v>1249</v>
      </c>
      <c r="AA76">
        <v>0</v>
      </c>
      <c r="AB76" t="s">
        <v>18</v>
      </c>
    </row>
    <row r="77" spans="1:28" x14ac:dyDescent="0.3">
      <c r="A77" t="s">
        <v>1221</v>
      </c>
      <c r="B77" t="s">
        <v>1162</v>
      </c>
      <c r="C77" t="s">
        <v>1743</v>
      </c>
      <c r="D77" t="s">
        <v>1224</v>
      </c>
      <c r="E77">
        <v>102</v>
      </c>
      <c r="F77" t="s">
        <v>5</v>
      </c>
      <c r="G77">
        <v>69</v>
      </c>
      <c r="H77" s="2">
        <f t="shared" si="1"/>
        <v>0.67647058823529416</v>
      </c>
      <c r="I77" t="s">
        <v>6</v>
      </c>
      <c r="J77">
        <v>24.669999999999899</v>
      </c>
      <c r="K77" t="s">
        <v>7</v>
      </c>
      <c r="L77">
        <v>0.24186274509803801</v>
      </c>
      <c r="M77" t="s">
        <v>8</v>
      </c>
      <c r="N77">
        <v>1.0326086956521701</v>
      </c>
      <c r="O77" t="s">
        <v>9</v>
      </c>
      <c r="P77">
        <v>-1.4115151515151501</v>
      </c>
      <c r="Q77" t="s">
        <v>10</v>
      </c>
      <c r="R77">
        <v>0.257103671940975</v>
      </c>
      <c r="S77" t="s">
        <v>11</v>
      </c>
      <c r="T77" t="s">
        <v>1277</v>
      </c>
      <c r="U77" t="s">
        <v>1278</v>
      </c>
      <c r="V77">
        <v>0</v>
      </c>
      <c r="W77" t="s">
        <v>14</v>
      </c>
      <c r="X77" t="s">
        <v>15</v>
      </c>
      <c r="Y77" t="s">
        <v>1277</v>
      </c>
      <c r="Z77" t="s">
        <v>1278</v>
      </c>
      <c r="AA77">
        <v>0</v>
      </c>
      <c r="AB77" t="s">
        <v>18</v>
      </c>
    </row>
    <row r="78" spans="1:28" x14ac:dyDescent="0.3">
      <c r="A78" t="s">
        <v>1220</v>
      </c>
      <c r="B78" t="s">
        <v>1205</v>
      </c>
      <c r="C78" t="s">
        <v>1711</v>
      </c>
      <c r="D78" t="s">
        <v>1224</v>
      </c>
      <c r="E78">
        <v>140</v>
      </c>
      <c r="F78" t="s">
        <v>5</v>
      </c>
      <c r="G78">
        <v>55</v>
      </c>
      <c r="H78" s="2">
        <f t="shared" si="1"/>
        <v>0.39285714285714285</v>
      </c>
      <c r="I78" t="s">
        <v>6</v>
      </c>
      <c r="J78">
        <v>24.5684252873952</v>
      </c>
      <c r="K78" t="s">
        <v>7</v>
      </c>
      <c r="L78">
        <v>0.17548875205282299</v>
      </c>
      <c r="M78" t="s">
        <v>8</v>
      </c>
      <c r="N78">
        <v>1.67363636363636</v>
      </c>
      <c r="O78" t="s">
        <v>9</v>
      </c>
      <c r="P78">
        <v>-0.79390087897181805</v>
      </c>
      <c r="Q78" t="s">
        <v>10</v>
      </c>
      <c r="R78">
        <v>0.37423387693723398</v>
      </c>
      <c r="S78" t="s">
        <v>11</v>
      </c>
      <c r="T78" t="s">
        <v>1411</v>
      </c>
      <c r="U78" t="s">
        <v>1412</v>
      </c>
      <c r="V78">
        <v>0</v>
      </c>
      <c r="W78" t="s">
        <v>14</v>
      </c>
      <c r="X78" t="s">
        <v>15</v>
      </c>
      <c r="Y78" t="s">
        <v>1411</v>
      </c>
      <c r="Z78" t="s">
        <v>1412</v>
      </c>
      <c r="AA78">
        <v>0</v>
      </c>
      <c r="AB78" t="s">
        <v>18</v>
      </c>
    </row>
    <row r="79" spans="1:28" x14ac:dyDescent="0.3">
      <c r="A79" t="s">
        <v>1220</v>
      </c>
      <c r="B79" t="s">
        <v>1198</v>
      </c>
      <c r="C79" t="s">
        <v>1704</v>
      </c>
      <c r="D79" t="s">
        <v>1224</v>
      </c>
      <c r="E79">
        <v>136</v>
      </c>
      <c r="F79" t="s">
        <v>5</v>
      </c>
      <c r="G79">
        <v>81</v>
      </c>
      <c r="H79" s="2">
        <f t="shared" si="1"/>
        <v>0.59558823529411764</v>
      </c>
      <c r="I79" t="s">
        <v>6</v>
      </c>
      <c r="J79">
        <v>24.518274497286502</v>
      </c>
      <c r="K79" t="s">
        <v>7</v>
      </c>
      <c r="L79">
        <v>0.18028143012710601</v>
      </c>
      <c r="M79" t="s">
        <v>8</v>
      </c>
      <c r="N79">
        <v>1.23811973702849</v>
      </c>
      <c r="O79" t="s">
        <v>9</v>
      </c>
      <c r="P79">
        <v>-1.3776258945822</v>
      </c>
      <c r="Q79" t="s">
        <v>10</v>
      </c>
      <c r="R79">
        <v>0.35026785772833402</v>
      </c>
      <c r="S79" t="s">
        <v>11</v>
      </c>
      <c r="T79" t="s">
        <v>1405</v>
      </c>
      <c r="U79" t="s">
        <v>1406</v>
      </c>
      <c r="V79">
        <v>0</v>
      </c>
      <c r="W79" t="s">
        <v>14</v>
      </c>
      <c r="X79" t="s">
        <v>15</v>
      </c>
      <c r="Y79" t="s">
        <v>1405</v>
      </c>
      <c r="Z79" t="s">
        <v>1406</v>
      </c>
      <c r="AA79">
        <v>0</v>
      </c>
      <c r="AB79" t="s">
        <v>18</v>
      </c>
    </row>
    <row r="80" spans="1:28" x14ac:dyDescent="0.3">
      <c r="A80" t="s">
        <v>1221</v>
      </c>
      <c r="B80" t="s">
        <v>1215</v>
      </c>
      <c r="C80" t="s">
        <v>1796</v>
      </c>
      <c r="D80" t="s">
        <v>1224</v>
      </c>
      <c r="E80">
        <v>108</v>
      </c>
      <c r="F80" t="s">
        <v>5</v>
      </c>
      <c r="G80">
        <v>37</v>
      </c>
      <c r="H80" s="2">
        <f t="shared" si="1"/>
        <v>0.34259259259259262</v>
      </c>
      <c r="I80" t="s">
        <v>6</v>
      </c>
      <c r="J80">
        <v>24.2940402475543</v>
      </c>
      <c r="K80" t="s">
        <v>7</v>
      </c>
      <c r="L80">
        <v>0.224944817106984</v>
      </c>
      <c r="M80" t="s">
        <v>8</v>
      </c>
      <c r="N80">
        <v>2.39024379418208</v>
      </c>
      <c r="O80" t="s">
        <v>9</v>
      </c>
      <c r="P80">
        <v>-0.90345042446736201</v>
      </c>
      <c r="Q80" t="s">
        <v>10</v>
      </c>
      <c r="R80">
        <v>0.251125966718444</v>
      </c>
      <c r="S80" t="s">
        <v>11</v>
      </c>
      <c r="T80" t="s">
        <v>1430</v>
      </c>
      <c r="U80" t="s">
        <v>1431</v>
      </c>
      <c r="V80">
        <v>0</v>
      </c>
      <c r="W80" t="s">
        <v>14</v>
      </c>
      <c r="X80" t="s">
        <v>15</v>
      </c>
      <c r="Y80" t="s">
        <v>1430</v>
      </c>
      <c r="Z80" t="s">
        <v>1431</v>
      </c>
      <c r="AA80">
        <v>0</v>
      </c>
      <c r="AB80" t="s">
        <v>18</v>
      </c>
    </row>
    <row r="81" spans="1:28" x14ac:dyDescent="0.3">
      <c r="A81" t="s">
        <v>1221</v>
      </c>
      <c r="B81" t="s">
        <v>1177</v>
      </c>
      <c r="C81" t="s">
        <v>1758</v>
      </c>
      <c r="D81" t="s">
        <v>1224</v>
      </c>
      <c r="E81">
        <v>102</v>
      </c>
      <c r="F81" t="s">
        <v>5</v>
      </c>
      <c r="G81">
        <v>36</v>
      </c>
      <c r="H81" s="2">
        <f t="shared" si="1"/>
        <v>0.35294117647058826</v>
      </c>
      <c r="I81" t="s">
        <v>6</v>
      </c>
      <c r="J81">
        <v>23.499999999999901</v>
      </c>
      <c r="K81" t="s">
        <v>7</v>
      </c>
      <c r="L81">
        <v>0.230392156862744</v>
      </c>
      <c r="M81" t="s">
        <v>8</v>
      </c>
      <c r="N81">
        <v>2.7544444444444398</v>
      </c>
      <c r="O81" t="s">
        <v>9</v>
      </c>
      <c r="P81">
        <v>-1.14636363636363</v>
      </c>
      <c r="Q81" t="s">
        <v>10</v>
      </c>
      <c r="R81">
        <v>0.38324592606929903</v>
      </c>
      <c r="S81" t="s">
        <v>11</v>
      </c>
      <c r="T81" t="s">
        <v>1422</v>
      </c>
      <c r="U81" t="s">
        <v>1423</v>
      </c>
      <c r="V81">
        <v>0</v>
      </c>
      <c r="W81" t="s">
        <v>14</v>
      </c>
      <c r="X81" t="s">
        <v>15</v>
      </c>
      <c r="Y81" t="s">
        <v>1422</v>
      </c>
      <c r="Z81" t="s">
        <v>1423</v>
      </c>
      <c r="AA81">
        <v>0</v>
      </c>
      <c r="AB81" t="s">
        <v>18</v>
      </c>
    </row>
    <row r="82" spans="1:28" x14ac:dyDescent="0.3">
      <c r="A82" t="s">
        <v>1221</v>
      </c>
      <c r="B82" t="s">
        <v>1212</v>
      </c>
      <c r="C82" t="s">
        <v>1793</v>
      </c>
      <c r="D82" t="s">
        <v>1224</v>
      </c>
      <c r="E82">
        <v>98</v>
      </c>
      <c r="F82" t="s">
        <v>5</v>
      </c>
      <c r="G82">
        <v>30</v>
      </c>
      <c r="H82" s="2">
        <f t="shared" si="1"/>
        <v>0.30612244897959184</v>
      </c>
      <c r="I82" t="s">
        <v>6</v>
      </c>
      <c r="J82">
        <v>23.1584252873953</v>
      </c>
      <c r="K82" t="s">
        <v>7</v>
      </c>
      <c r="L82">
        <v>0.23631046211627799</v>
      </c>
      <c r="M82" t="s">
        <v>8</v>
      </c>
      <c r="N82">
        <v>2.7546666666666599</v>
      </c>
      <c r="O82" t="s">
        <v>9</v>
      </c>
      <c r="P82">
        <v>-0.87472903989124395</v>
      </c>
      <c r="Q82" t="s">
        <v>10</v>
      </c>
      <c r="R82">
        <v>0.32012033623609998</v>
      </c>
      <c r="S82" t="s">
        <v>11</v>
      </c>
      <c r="T82" t="s">
        <v>1429</v>
      </c>
      <c r="U82" t="s">
        <v>1376</v>
      </c>
      <c r="V82">
        <v>0</v>
      </c>
      <c r="W82" t="s">
        <v>14</v>
      </c>
      <c r="X82" t="s">
        <v>15</v>
      </c>
      <c r="Y82" t="s">
        <v>1416</v>
      </c>
      <c r="Z82" t="s">
        <v>1376</v>
      </c>
      <c r="AA82">
        <v>0</v>
      </c>
      <c r="AB82" t="s">
        <v>18</v>
      </c>
    </row>
    <row r="83" spans="1:28" x14ac:dyDescent="0.3">
      <c r="A83" t="s">
        <v>1220</v>
      </c>
      <c r="B83" t="s">
        <v>1206</v>
      </c>
      <c r="C83" t="s">
        <v>1712</v>
      </c>
      <c r="D83" t="s">
        <v>1224</v>
      </c>
      <c r="E83">
        <v>140</v>
      </c>
      <c r="F83" t="s">
        <v>5</v>
      </c>
      <c r="G83">
        <v>51</v>
      </c>
      <c r="H83" s="2">
        <f t="shared" si="1"/>
        <v>0.36428571428571427</v>
      </c>
      <c r="I83" t="s">
        <v>6</v>
      </c>
      <c r="J83">
        <v>23.138425287395201</v>
      </c>
      <c r="K83" t="s">
        <v>7</v>
      </c>
      <c r="L83">
        <v>0.16527446633853701</v>
      </c>
      <c r="M83" t="s">
        <v>8</v>
      </c>
      <c r="N83">
        <v>1.90980392156862</v>
      </c>
      <c r="O83" t="s">
        <v>9</v>
      </c>
      <c r="P83">
        <v>-0.83439971587196105</v>
      </c>
      <c r="Q83" t="s">
        <v>10</v>
      </c>
      <c r="R83">
        <v>0.41639187156165097</v>
      </c>
      <c r="S83" t="s">
        <v>11</v>
      </c>
      <c r="T83" t="s">
        <v>1413</v>
      </c>
      <c r="U83" t="s">
        <v>1399</v>
      </c>
      <c r="V83">
        <v>0</v>
      </c>
      <c r="W83" t="s">
        <v>14</v>
      </c>
      <c r="X83" t="s">
        <v>15</v>
      </c>
      <c r="Y83" t="s">
        <v>1413</v>
      </c>
      <c r="Z83" t="s">
        <v>1399</v>
      </c>
      <c r="AA83">
        <v>0</v>
      </c>
      <c r="AB83" t="s">
        <v>18</v>
      </c>
    </row>
    <row r="84" spans="1:28" x14ac:dyDescent="0.3">
      <c r="A84" t="s">
        <v>1221</v>
      </c>
      <c r="B84" t="s">
        <v>1185</v>
      </c>
      <c r="C84" t="s">
        <v>1766</v>
      </c>
      <c r="D84" t="s">
        <v>1224</v>
      </c>
      <c r="E84">
        <v>108</v>
      </c>
      <c r="F84" t="s">
        <v>5</v>
      </c>
      <c r="G84">
        <v>44</v>
      </c>
      <c r="H84" s="2">
        <f t="shared" si="1"/>
        <v>0.40740740740740738</v>
      </c>
      <c r="I84" t="s">
        <v>6</v>
      </c>
      <c r="J84">
        <v>23.013974450146701</v>
      </c>
      <c r="K84" t="s">
        <v>7</v>
      </c>
      <c r="L84">
        <v>0.213092356019877</v>
      </c>
      <c r="M84" t="s">
        <v>8</v>
      </c>
      <c r="N84">
        <v>2.24522727272727</v>
      </c>
      <c r="O84" t="s">
        <v>9</v>
      </c>
      <c r="P84">
        <v>-1.1840003992164501</v>
      </c>
      <c r="Q84" t="s">
        <v>10</v>
      </c>
      <c r="R84">
        <v>0.27005254366658299</v>
      </c>
      <c r="S84" t="s">
        <v>11</v>
      </c>
      <c r="T84" t="s">
        <v>1400</v>
      </c>
      <c r="U84" t="s">
        <v>1390</v>
      </c>
      <c r="V84">
        <v>0</v>
      </c>
      <c r="W84" t="s">
        <v>14</v>
      </c>
      <c r="X84" t="s">
        <v>15</v>
      </c>
      <c r="Y84" t="s">
        <v>1400</v>
      </c>
      <c r="Z84" t="s">
        <v>1390</v>
      </c>
      <c r="AA84">
        <v>0</v>
      </c>
      <c r="AB84" t="s">
        <v>18</v>
      </c>
    </row>
    <row r="85" spans="1:28" x14ac:dyDescent="0.3">
      <c r="A85" t="s">
        <v>1221</v>
      </c>
      <c r="B85" t="s">
        <v>1161</v>
      </c>
      <c r="C85" t="s">
        <v>1742</v>
      </c>
      <c r="D85" t="s">
        <v>1224</v>
      </c>
      <c r="E85">
        <v>102</v>
      </c>
      <c r="F85" t="s">
        <v>5</v>
      </c>
      <c r="G85">
        <v>70</v>
      </c>
      <c r="H85" s="2">
        <f t="shared" si="1"/>
        <v>0.68627450980392157</v>
      </c>
      <c r="I85" t="s">
        <v>6</v>
      </c>
      <c r="J85">
        <v>22.579999999999899</v>
      </c>
      <c r="K85" t="s">
        <v>7</v>
      </c>
      <c r="L85">
        <v>0.22137254901960701</v>
      </c>
      <c r="M85" t="s">
        <v>8</v>
      </c>
      <c r="N85">
        <v>0.97471428571428398</v>
      </c>
      <c r="O85" t="s">
        <v>9</v>
      </c>
      <c r="P85">
        <v>-1.42656249999999</v>
      </c>
      <c r="Q85" t="s">
        <v>10</v>
      </c>
      <c r="R85">
        <v>0.21843123653688101</v>
      </c>
      <c r="S85" t="s">
        <v>11</v>
      </c>
      <c r="T85" t="s">
        <v>1277</v>
      </c>
      <c r="U85" t="s">
        <v>1278</v>
      </c>
      <c r="V85">
        <v>0</v>
      </c>
      <c r="W85" t="s">
        <v>14</v>
      </c>
      <c r="X85" t="s">
        <v>15</v>
      </c>
      <c r="Y85" t="s">
        <v>1277</v>
      </c>
      <c r="Z85" t="s">
        <v>1278</v>
      </c>
      <c r="AA85">
        <v>0</v>
      </c>
      <c r="AB85" t="s">
        <v>18</v>
      </c>
    </row>
    <row r="86" spans="1:28" x14ac:dyDescent="0.3">
      <c r="A86" t="s">
        <v>1220</v>
      </c>
      <c r="B86" t="s">
        <v>1212</v>
      </c>
      <c r="C86" t="s">
        <v>1718</v>
      </c>
      <c r="D86" t="s">
        <v>1224</v>
      </c>
      <c r="E86">
        <v>136</v>
      </c>
      <c r="F86" t="s">
        <v>5</v>
      </c>
      <c r="G86">
        <v>40</v>
      </c>
      <c r="H86" s="2">
        <f t="shared" si="1"/>
        <v>0.29411764705882354</v>
      </c>
      <c r="I86" t="s">
        <v>6</v>
      </c>
      <c r="J86">
        <v>22.409580262734099</v>
      </c>
      <c r="K86" t="s">
        <v>7</v>
      </c>
      <c r="L86">
        <v>0.16477632546127999</v>
      </c>
      <c r="M86" t="s">
        <v>8</v>
      </c>
      <c r="N86">
        <v>2.9772500000000002</v>
      </c>
      <c r="O86" t="s">
        <v>9</v>
      </c>
      <c r="P86">
        <v>-1.0070877055965199</v>
      </c>
      <c r="Q86" t="s">
        <v>10</v>
      </c>
      <c r="R86">
        <v>0.42513481386734397</v>
      </c>
      <c r="S86" t="s">
        <v>11</v>
      </c>
      <c r="T86" t="s">
        <v>1415</v>
      </c>
      <c r="U86" t="s">
        <v>158</v>
      </c>
      <c r="V86">
        <v>0</v>
      </c>
      <c r="W86" t="s">
        <v>14</v>
      </c>
      <c r="X86" t="s">
        <v>15</v>
      </c>
      <c r="Y86" t="s">
        <v>1416</v>
      </c>
      <c r="Z86" t="s">
        <v>1376</v>
      </c>
      <c r="AA86">
        <v>0</v>
      </c>
      <c r="AB86" t="s">
        <v>18</v>
      </c>
    </row>
    <row r="87" spans="1:28" x14ac:dyDescent="0.3">
      <c r="A87" t="s">
        <v>1219</v>
      </c>
      <c r="B87" t="s">
        <v>1197</v>
      </c>
      <c r="C87" t="s">
        <v>1628</v>
      </c>
      <c r="D87" t="s">
        <v>1224</v>
      </c>
      <c r="E87">
        <v>200</v>
      </c>
      <c r="F87" t="s">
        <v>5</v>
      </c>
      <c r="G87">
        <v>117</v>
      </c>
      <c r="H87" s="2">
        <f t="shared" si="1"/>
        <v>0.58499999999999996</v>
      </c>
      <c r="I87" t="s">
        <v>6</v>
      </c>
      <c r="J87">
        <v>21.89</v>
      </c>
      <c r="K87" t="s">
        <v>7</v>
      </c>
      <c r="L87">
        <v>0.10945000000000001</v>
      </c>
      <c r="M87" t="s">
        <v>8</v>
      </c>
      <c r="N87">
        <v>1.13777777777777</v>
      </c>
      <c r="O87" t="s">
        <v>9</v>
      </c>
      <c r="P87">
        <v>-1.3564634146341401</v>
      </c>
      <c r="Q87" t="s">
        <v>10</v>
      </c>
      <c r="R87">
        <v>0.399997701300154</v>
      </c>
      <c r="S87" t="s">
        <v>11</v>
      </c>
      <c r="T87" t="s">
        <v>133</v>
      </c>
      <c r="U87" t="s">
        <v>1230</v>
      </c>
      <c r="V87">
        <v>0</v>
      </c>
      <c r="W87" t="s">
        <v>14</v>
      </c>
      <c r="X87" t="s">
        <v>15</v>
      </c>
      <c r="Y87" t="s">
        <v>1351</v>
      </c>
      <c r="Z87" t="s">
        <v>1230</v>
      </c>
      <c r="AA87">
        <v>0</v>
      </c>
      <c r="AB87" t="s">
        <v>18</v>
      </c>
    </row>
    <row r="88" spans="1:28" x14ac:dyDescent="0.3">
      <c r="A88" t="s">
        <v>1221</v>
      </c>
      <c r="B88" t="s">
        <v>1160</v>
      </c>
      <c r="C88" t="s">
        <v>1741</v>
      </c>
      <c r="D88" t="s">
        <v>1224</v>
      </c>
      <c r="E88">
        <v>102</v>
      </c>
      <c r="F88" t="s">
        <v>5</v>
      </c>
      <c r="G88">
        <v>70</v>
      </c>
      <c r="H88" s="2">
        <f t="shared" si="1"/>
        <v>0.68627450980392157</v>
      </c>
      <c r="I88" t="s">
        <v>6</v>
      </c>
      <c r="J88">
        <v>21.8799999999999</v>
      </c>
      <c r="K88" t="s">
        <v>7</v>
      </c>
      <c r="L88">
        <v>0.21450980392156799</v>
      </c>
      <c r="M88" t="s">
        <v>8</v>
      </c>
      <c r="N88">
        <v>0.96471428571428497</v>
      </c>
      <c r="O88" t="s">
        <v>9</v>
      </c>
      <c r="P88">
        <v>-1.42656249999999</v>
      </c>
      <c r="Q88" t="s">
        <v>10</v>
      </c>
      <c r="R88">
        <v>0.21227057241421199</v>
      </c>
      <c r="S88" t="s">
        <v>11</v>
      </c>
      <c r="T88" t="s">
        <v>1277</v>
      </c>
      <c r="U88" t="s">
        <v>1278</v>
      </c>
      <c r="V88">
        <v>0</v>
      </c>
      <c r="W88" t="s">
        <v>14</v>
      </c>
      <c r="X88" t="s">
        <v>15</v>
      </c>
      <c r="Y88" t="s">
        <v>1277</v>
      </c>
      <c r="Z88" t="s">
        <v>1278</v>
      </c>
      <c r="AA88">
        <v>0</v>
      </c>
      <c r="AB88" t="s">
        <v>18</v>
      </c>
    </row>
    <row r="89" spans="1:28" x14ac:dyDescent="0.3">
      <c r="A89" t="s">
        <v>1219</v>
      </c>
      <c r="B89" t="s">
        <v>1162</v>
      </c>
      <c r="C89" t="s">
        <v>1593</v>
      </c>
      <c r="D89" t="s">
        <v>1224</v>
      </c>
      <c r="E89">
        <v>191</v>
      </c>
      <c r="F89" t="s">
        <v>5</v>
      </c>
      <c r="G89">
        <v>110</v>
      </c>
      <c r="H89" s="2">
        <f t="shared" si="1"/>
        <v>0.5759162303664922</v>
      </c>
      <c r="I89" t="s">
        <v>6</v>
      </c>
      <c r="J89">
        <v>21.740000000000101</v>
      </c>
      <c r="K89" t="s">
        <v>7</v>
      </c>
      <c r="L89">
        <v>0.11382198952879601</v>
      </c>
      <c r="M89" t="s">
        <v>8</v>
      </c>
      <c r="N89">
        <v>1.37645454545454</v>
      </c>
      <c r="O89" t="s">
        <v>9</v>
      </c>
      <c r="P89">
        <v>-1.60086419753086</v>
      </c>
      <c r="Q89" t="s">
        <v>10</v>
      </c>
      <c r="R89">
        <v>0.54306804525182495</v>
      </c>
      <c r="S89" t="s">
        <v>11</v>
      </c>
      <c r="T89" t="s">
        <v>1329</v>
      </c>
      <c r="U89" t="s">
        <v>1232</v>
      </c>
      <c r="V89">
        <v>0</v>
      </c>
      <c r="W89" t="s">
        <v>14</v>
      </c>
      <c r="X89" t="s">
        <v>15</v>
      </c>
      <c r="Y89" t="s">
        <v>1332</v>
      </c>
      <c r="Z89" t="s">
        <v>647</v>
      </c>
      <c r="AA89">
        <v>0</v>
      </c>
      <c r="AB89" t="s">
        <v>18</v>
      </c>
    </row>
    <row r="90" spans="1:28" x14ac:dyDescent="0.3">
      <c r="A90" t="s">
        <v>1220</v>
      </c>
      <c r="B90" t="s">
        <v>1197</v>
      </c>
      <c r="C90" t="s">
        <v>1703</v>
      </c>
      <c r="D90" t="s">
        <v>1224</v>
      </c>
      <c r="E90">
        <v>136</v>
      </c>
      <c r="F90" t="s">
        <v>5</v>
      </c>
      <c r="G90">
        <v>81</v>
      </c>
      <c r="H90" s="2">
        <f t="shared" si="1"/>
        <v>0.59558823529411764</v>
      </c>
      <c r="I90" t="s">
        <v>6</v>
      </c>
      <c r="J90">
        <v>21.568274497286499</v>
      </c>
      <c r="K90" t="s">
        <v>7</v>
      </c>
      <c r="L90">
        <v>0.15859025365651799</v>
      </c>
      <c r="M90" t="s">
        <v>8</v>
      </c>
      <c r="N90">
        <v>1.2016999839420699</v>
      </c>
      <c r="O90" t="s">
        <v>9</v>
      </c>
      <c r="P90">
        <v>-1.3776258945822</v>
      </c>
      <c r="Q90" t="s">
        <v>10</v>
      </c>
      <c r="R90">
        <v>0.347780213930245</v>
      </c>
      <c r="S90" t="s">
        <v>11</v>
      </c>
      <c r="T90" t="s">
        <v>1405</v>
      </c>
      <c r="U90" t="s">
        <v>1406</v>
      </c>
      <c r="V90">
        <v>0</v>
      </c>
      <c r="W90" t="s">
        <v>14</v>
      </c>
      <c r="X90" t="s">
        <v>15</v>
      </c>
      <c r="Y90" t="s">
        <v>1405</v>
      </c>
      <c r="Z90" t="s">
        <v>1406</v>
      </c>
      <c r="AA90">
        <v>0</v>
      </c>
      <c r="AB90" t="s">
        <v>18</v>
      </c>
    </row>
    <row r="91" spans="1:28" x14ac:dyDescent="0.3">
      <c r="A91" t="s">
        <v>1221</v>
      </c>
      <c r="B91" t="s">
        <v>1155</v>
      </c>
      <c r="C91" t="s">
        <v>1736</v>
      </c>
      <c r="D91" t="s">
        <v>1224</v>
      </c>
      <c r="E91">
        <v>108</v>
      </c>
      <c r="F91" t="s">
        <v>5</v>
      </c>
      <c r="G91">
        <v>62</v>
      </c>
      <c r="H91" s="2">
        <f t="shared" si="1"/>
        <v>0.57407407407407407</v>
      </c>
      <c r="I91" t="s">
        <v>6</v>
      </c>
      <c r="J91">
        <v>21.007549529475099</v>
      </c>
      <c r="K91" t="s">
        <v>7</v>
      </c>
      <c r="L91">
        <v>0.19451434749513999</v>
      </c>
      <c r="M91" t="s">
        <v>8</v>
      </c>
      <c r="N91">
        <v>1.6786300147494599</v>
      </c>
      <c r="O91" t="s">
        <v>9</v>
      </c>
      <c r="P91">
        <v>-1.80581546489112</v>
      </c>
      <c r="Q91" t="s">
        <v>10</v>
      </c>
      <c r="R91">
        <v>0.26771122080426102</v>
      </c>
      <c r="S91" t="s">
        <v>11</v>
      </c>
      <c r="T91" t="s">
        <v>1420</v>
      </c>
      <c r="U91" t="s">
        <v>1386</v>
      </c>
      <c r="V91">
        <v>0</v>
      </c>
      <c r="W91" t="s">
        <v>14</v>
      </c>
      <c r="X91" t="s">
        <v>15</v>
      </c>
      <c r="Y91" t="s">
        <v>1385</v>
      </c>
      <c r="Z91" t="s">
        <v>1386</v>
      </c>
      <c r="AA91">
        <v>0</v>
      </c>
      <c r="AB91" t="s">
        <v>18</v>
      </c>
    </row>
    <row r="92" spans="1:28" x14ac:dyDescent="0.3">
      <c r="A92" t="s">
        <v>1221</v>
      </c>
      <c r="B92" t="s">
        <v>1191</v>
      </c>
      <c r="C92" t="s">
        <v>1772</v>
      </c>
      <c r="D92" t="s">
        <v>1224</v>
      </c>
      <c r="E92">
        <v>102</v>
      </c>
      <c r="F92" t="s">
        <v>5</v>
      </c>
      <c r="G92">
        <v>67</v>
      </c>
      <c r="H92" s="2">
        <f t="shared" si="1"/>
        <v>0.65686274509803921</v>
      </c>
      <c r="I92" t="s">
        <v>6</v>
      </c>
      <c r="J92">
        <v>20.078950191596899</v>
      </c>
      <c r="K92" t="s">
        <v>7</v>
      </c>
      <c r="L92">
        <v>0.19685245285879299</v>
      </c>
      <c r="M92" t="s">
        <v>8</v>
      </c>
      <c r="N92">
        <v>0.76282015211338705</v>
      </c>
      <c r="O92" t="s">
        <v>9</v>
      </c>
      <c r="P92">
        <v>-0.88657142857142801</v>
      </c>
      <c r="Q92" t="s">
        <v>10</v>
      </c>
      <c r="R92">
        <v>0.19966614920397599</v>
      </c>
      <c r="S92" t="s">
        <v>11</v>
      </c>
      <c r="T92" t="s">
        <v>1426</v>
      </c>
      <c r="U92" t="s">
        <v>1278</v>
      </c>
      <c r="V92">
        <v>0</v>
      </c>
      <c r="W92" t="s">
        <v>14</v>
      </c>
      <c r="X92" t="s">
        <v>15</v>
      </c>
      <c r="Y92" t="s">
        <v>1426</v>
      </c>
      <c r="Z92" t="s">
        <v>1278</v>
      </c>
      <c r="AA92">
        <v>0</v>
      </c>
      <c r="AB92" t="s">
        <v>18</v>
      </c>
    </row>
    <row r="93" spans="1:28" x14ac:dyDescent="0.3">
      <c r="A93" t="s">
        <v>1220</v>
      </c>
      <c r="B93" t="s">
        <v>1190</v>
      </c>
      <c r="C93" t="s">
        <v>1696</v>
      </c>
      <c r="D93" t="s">
        <v>1224</v>
      </c>
      <c r="E93">
        <v>140</v>
      </c>
      <c r="F93" t="s">
        <v>5</v>
      </c>
      <c r="G93">
        <v>92</v>
      </c>
      <c r="H93" s="2">
        <f t="shared" si="1"/>
        <v>0.65714285714285714</v>
      </c>
      <c r="I93" t="s">
        <v>6</v>
      </c>
      <c r="J93">
        <v>19.5189501915969</v>
      </c>
      <c r="K93" t="s">
        <v>7</v>
      </c>
      <c r="L93">
        <v>0.13942107279712099</v>
      </c>
      <c r="M93" t="s">
        <v>8</v>
      </c>
      <c r="N93">
        <v>0.76118424121300998</v>
      </c>
      <c r="O93" t="s">
        <v>9</v>
      </c>
      <c r="P93">
        <v>-1.05229166666666</v>
      </c>
      <c r="Q93" t="s">
        <v>10</v>
      </c>
      <c r="R93">
        <v>0.267526206562472</v>
      </c>
      <c r="S93" t="s">
        <v>11</v>
      </c>
      <c r="T93" t="s">
        <v>1404</v>
      </c>
      <c r="U93" t="s">
        <v>1399</v>
      </c>
      <c r="V93">
        <v>0</v>
      </c>
      <c r="W93" t="s">
        <v>14</v>
      </c>
      <c r="X93" t="s">
        <v>15</v>
      </c>
      <c r="Y93" t="s">
        <v>1404</v>
      </c>
      <c r="Z93" t="s">
        <v>1399</v>
      </c>
      <c r="AA93">
        <v>0</v>
      </c>
      <c r="AB93" t="s">
        <v>18</v>
      </c>
    </row>
    <row r="94" spans="1:28" x14ac:dyDescent="0.3">
      <c r="A94" t="s">
        <v>1221</v>
      </c>
      <c r="B94" t="s">
        <v>1144</v>
      </c>
      <c r="C94" t="s">
        <v>1725</v>
      </c>
      <c r="D94" t="s">
        <v>1224</v>
      </c>
      <c r="E94">
        <v>102</v>
      </c>
      <c r="F94" t="s">
        <v>5</v>
      </c>
      <c r="G94">
        <v>68</v>
      </c>
      <c r="H94" s="2">
        <f t="shared" si="1"/>
        <v>0.66666666666666663</v>
      </c>
      <c r="I94" t="s">
        <v>6</v>
      </c>
      <c r="J94">
        <v>18.8</v>
      </c>
      <c r="K94" t="s">
        <v>7</v>
      </c>
      <c r="L94">
        <v>0.18431372549019601</v>
      </c>
      <c r="M94" t="s">
        <v>8</v>
      </c>
      <c r="N94">
        <v>1.11323529411764</v>
      </c>
      <c r="O94" t="s">
        <v>9</v>
      </c>
      <c r="P94">
        <v>-1.6735294117646999</v>
      </c>
      <c r="Q94" t="s">
        <v>10</v>
      </c>
      <c r="R94">
        <v>0.23634472830143299</v>
      </c>
      <c r="S94" t="s">
        <v>11</v>
      </c>
      <c r="T94" t="s">
        <v>1329</v>
      </c>
      <c r="U94" t="s">
        <v>1232</v>
      </c>
      <c r="V94">
        <v>0</v>
      </c>
      <c r="W94" t="s">
        <v>14</v>
      </c>
      <c r="X94" t="s">
        <v>15</v>
      </c>
      <c r="Y94" t="s">
        <v>1329</v>
      </c>
      <c r="Z94" t="s">
        <v>1232</v>
      </c>
      <c r="AA94">
        <v>0</v>
      </c>
      <c r="AB94" t="s">
        <v>18</v>
      </c>
    </row>
    <row r="95" spans="1:28" x14ac:dyDescent="0.3">
      <c r="A95" t="s">
        <v>1221</v>
      </c>
      <c r="B95" t="s">
        <v>1159</v>
      </c>
      <c r="C95" t="s">
        <v>1740</v>
      </c>
      <c r="D95" t="s">
        <v>1224</v>
      </c>
      <c r="E95">
        <v>102</v>
      </c>
      <c r="F95" t="s">
        <v>5</v>
      </c>
      <c r="G95">
        <v>71</v>
      </c>
      <c r="H95" s="2">
        <f t="shared" si="1"/>
        <v>0.69607843137254899</v>
      </c>
      <c r="I95" t="s">
        <v>6</v>
      </c>
      <c r="J95">
        <v>18.779999999999902</v>
      </c>
      <c r="K95" t="s">
        <v>7</v>
      </c>
      <c r="L95">
        <v>0.184117647058823</v>
      </c>
      <c r="M95" t="s">
        <v>8</v>
      </c>
      <c r="N95">
        <v>0.88380281690140705</v>
      </c>
      <c r="O95" t="s">
        <v>9</v>
      </c>
      <c r="P95">
        <v>-1.4183870967741901</v>
      </c>
      <c r="Q95" t="s">
        <v>10</v>
      </c>
      <c r="R95">
        <v>0.19921118374358299</v>
      </c>
      <c r="S95" t="s">
        <v>11</v>
      </c>
      <c r="T95" t="s">
        <v>1277</v>
      </c>
      <c r="U95" t="s">
        <v>1278</v>
      </c>
      <c r="V95">
        <v>0</v>
      </c>
      <c r="W95" t="s">
        <v>14</v>
      </c>
      <c r="X95" t="s">
        <v>15</v>
      </c>
      <c r="Y95" t="s">
        <v>1277</v>
      </c>
      <c r="Z95" t="s">
        <v>1278</v>
      </c>
      <c r="AA95">
        <v>0</v>
      </c>
      <c r="AB95" t="s">
        <v>18</v>
      </c>
    </row>
    <row r="96" spans="1:28" x14ac:dyDescent="0.3">
      <c r="A96" t="s">
        <v>1221</v>
      </c>
      <c r="B96" t="s">
        <v>1214</v>
      </c>
      <c r="C96" t="s">
        <v>1795</v>
      </c>
      <c r="D96" t="s">
        <v>1224</v>
      </c>
      <c r="E96">
        <v>108</v>
      </c>
      <c r="F96" t="s">
        <v>5</v>
      </c>
      <c r="G96">
        <v>49</v>
      </c>
      <c r="H96" s="2">
        <f t="shared" si="1"/>
        <v>0.45370370370370372</v>
      </c>
      <c r="I96" t="s">
        <v>6</v>
      </c>
      <c r="J96">
        <v>18.174040247554299</v>
      </c>
      <c r="K96" t="s">
        <v>7</v>
      </c>
      <c r="L96">
        <v>0.16827815044031699</v>
      </c>
      <c r="M96" t="s">
        <v>8</v>
      </c>
      <c r="N96">
        <v>1.41887663159099</v>
      </c>
      <c r="O96" t="s">
        <v>9</v>
      </c>
      <c r="P96">
        <v>-0.87035448644753199</v>
      </c>
      <c r="Q96" t="s">
        <v>10</v>
      </c>
      <c r="R96">
        <v>0.20957285688692301</v>
      </c>
      <c r="S96" t="s">
        <v>11</v>
      </c>
      <c r="T96" t="s">
        <v>1430</v>
      </c>
      <c r="U96" t="s">
        <v>1431</v>
      </c>
      <c r="V96">
        <v>0</v>
      </c>
      <c r="W96" t="s">
        <v>14</v>
      </c>
      <c r="X96" t="s">
        <v>15</v>
      </c>
      <c r="Y96" t="s">
        <v>1430</v>
      </c>
      <c r="Z96" t="s">
        <v>1431</v>
      </c>
      <c r="AA96">
        <v>0</v>
      </c>
      <c r="AB96" t="s">
        <v>18</v>
      </c>
    </row>
    <row r="97" spans="1:28" x14ac:dyDescent="0.3">
      <c r="A97" t="s">
        <v>1220</v>
      </c>
      <c r="B97" t="s">
        <v>1213</v>
      </c>
      <c r="C97" t="s">
        <v>1719</v>
      </c>
      <c r="D97" t="s">
        <v>1224</v>
      </c>
      <c r="E97">
        <v>136</v>
      </c>
      <c r="F97" t="s">
        <v>5</v>
      </c>
      <c r="G97">
        <v>37</v>
      </c>
      <c r="H97" s="2">
        <f t="shared" si="1"/>
        <v>0.27205882352941174</v>
      </c>
      <c r="I97" t="s">
        <v>6</v>
      </c>
      <c r="J97">
        <v>18.169580262734002</v>
      </c>
      <c r="K97" t="s">
        <v>7</v>
      </c>
      <c r="L97">
        <v>0.13359985487304399</v>
      </c>
      <c r="M97" t="s">
        <v>8</v>
      </c>
      <c r="N97">
        <v>3.2151351351351298</v>
      </c>
      <c r="O97" t="s">
        <v>9</v>
      </c>
      <c r="P97">
        <v>-1.01808504785117</v>
      </c>
      <c r="Q97" t="s">
        <v>10</v>
      </c>
      <c r="R97">
        <v>0.45320902037403499</v>
      </c>
      <c r="S97" t="s">
        <v>11</v>
      </c>
      <c r="T97" t="s">
        <v>1415</v>
      </c>
      <c r="U97" t="s">
        <v>158</v>
      </c>
      <c r="V97">
        <v>0</v>
      </c>
      <c r="W97" t="s">
        <v>14</v>
      </c>
      <c r="X97" t="s">
        <v>15</v>
      </c>
      <c r="Y97" t="s">
        <v>1416</v>
      </c>
      <c r="Z97" t="s">
        <v>1376</v>
      </c>
      <c r="AA97">
        <v>0</v>
      </c>
      <c r="AB97" t="s">
        <v>18</v>
      </c>
    </row>
    <row r="98" spans="1:28" x14ac:dyDescent="0.3">
      <c r="A98" t="s">
        <v>1221</v>
      </c>
      <c r="B98" t="s">
        <v>1156</v>
      </c>
      <c r="C98" t="s">
        <v>1737</v>
      </c>
      <c r="D98" t="s">
        <v>1224</v>
      </c>
      <c r="E98">
        <v>108</v>
      </c>
      <c r="F98" t="s">
        <v>5</v>
      </c>
      <c r="G98">
        <v>57</v>
      </c>
      <c r="H98" s="2">
        <f t="shared" si="1"/>
        <v>0.52777777777777779</v>
      </c>
      <c r="I98" t="s">
        <v>6</v>
      </c>
      <c r="J98">
        <v>17.9675495294751</v>
      </c>
      <c r="K98" t="s">
        <v>7</v>
      </c>
      <c r="L98">
        <v>0.16636619934699101</v>
      </c>
      <c r="M98" t="s">
        <v>8</v>
      </c>
      <c r="N98">
        <v>1.9255273844643299</v>
      </c>
      <c r="O98" t="s">
        <v>9</v>
      </c>
      <c r="P98">
        <v>-1.7997551251959101</v>
      </c>
      <c r="Q98" t="s">
        <v>10</v>
      </c>
      <c r="R98">
        <v>0.285645814785005</v>
      </c>
      <c r="S98" t="s">
        <v>11</v>
      </c>
      <c r="T98" t="s">
        <v>1420</v>
      </c>
      <c r="U98" t="s">
        <v>1386</v>
      </c>
      <c r="V98">
        <v>0</v>
      </c>
      <c r="W98" t="s">
        <v>14</v>
      </c>
      <c r="X98" t="s">
        <v>15</v>
      </c>
      <c r="Y98" t="s">
        <v>1385</v>
      </c>
      <c r="Z98" t="s">
        <v>1386</v>
      </c>
      <c r="AA98">
        <v>0</v>
      </c>
      <c r="AB98" t="s">
        <v>18</v>
      </c>
    </row>
    <row r="99" spans="1:28" x14ac:dyDescent="0.3">
      <c r="A99" t="s">
        <v>1220</v>
      </c>
      <c r="B99" t="s">
        <v>1159</v>
      </c>
      <c r="C99" t="s">
        <v>1665</v>
      </c>
      <c r="D99" t="s">
        <v>1224</v>
      </c>
      <c r="E99">
        <v>140</v>
      </c>
      <c r="F99" t="s">
        <v>5</v>
      </c>
      <c r="G99">
        <v>92</v>
      </c>
      <c r="H99" s="2">
        <f t="shared" si="1"/>
        <v>0.65714285714285714</v>
      </c>
      <c r="I99" t="s">
        <v>6</v>
      </c>
      <c r="J99">
        <v>17.849999999999898</v>
      </c>
      <c r="K99" t="s">
        <v>7</v>
      </c>
      <c r="L99">
        <v>0.127499999999999</v>
      </c>
      <c r="M99" t="s">
        <v>8</v>
      </c>
      <c r="N99">
        <v>0.96836956521739004</v>
      </c>
      <c r="O99" t="s">
        <v>9</v>
      </c>
      <c r="P99">
        <v>-1.48416666666666</v>
      </c>
      <c r="Q99" t="s">
        <v>10</v>
      </c>
      <c r="R99">
        <v>0.29272203941112601</v>
      </c>
      <c r="S99" t="s">
        <v>11</v>
      </c>
      <c r="T99" t="s">
        <v>1277</v>
      </c>
      <c r="U99" t="s">
        <v>1278</v>
      </c>
      <c r="V99">
        <v>0</v>
      </c>
      <c r="W99" t="s">
        <v>14</v>
      </c>
      <c r="X99" t="s">
        <v>15</v>
      </c>
      <c r="Y99" t="s">
        <v>1277</v>
      </c>
      <c r="Z99" t="s">
        <v>1278</v>
      </c>
      <c r="AA99">
        <v>0</v>
      </c>
      <c r="AB99" t="s">
        <v>18</v>
      </c>
    </row>
    <row r="100" spans="1:28" x14ac:dyDescent="0.3">
      <c r="A100" t="s">
        <v>1221</v>
      </c>
      <c r="B100" t="s">
        <v>1149</v>
      </c>
      <c r="C100" t="s">
        <v>1730</v>
      </c>
      <c r="D100" t="s">
        <v>1224</v>
      </c>
      <c r="E100">
        <v>98</v>
      </c>
      <c r="F100" t="s">
        <v>5</v>
      </c>
      <c r="G100">
        <v>65</v>
      </c>
      <c r="H100" s="2">
        <f t="shared" si="1"/>
        <v>0.66326530612244894</v>
      </c>
      <c r="I100" t="s">
        <v>6</v>
      </c>
      <c r="J100">
        <v>17.440000000000001</v>
      </c>
      <c r="K100" t="s">
        <v>7</v>
      </c>
      <c r="L100">
        <v>0.177959183673469</v>
      </c>
      <c r="M100" t="s">
        <v>8</v>
      </c>
      <c r="N100">
        <v>1.1627692307692299</v>
      </c>
      <c r="O100" t="s">
        <v>9</v>
      </c>
      <c r="P100">
        <v>-1.76181818181818</v>
      </c>
      <c r="Q100" t="s">
        <v>10</v>
      </c>
      <c r="R100">
        <v>0.230003947059089</v>
      </c>
      <c r="S100" t="s">
        <v>11</v>
      </c>
      <c r="T100" t="s">
        <v>1375</v>
      </c>
      <c r="U100" t="s">
        <v>1376</v>
      </c>
      <c r="V100">
        <v>0</v>
      </c>
      <c r="W100" t="s">
        <v>14</v>
      </c>
      <c r="X100" t="s">
        <v>15</v>
      </c>
      <c r="Y100" t="s">
        <v>1377</v>
      </c>
      <c r="Z100" t="s">
        <v>1376</v>
      </c>
      <c r="AA100">
        <v>0</v>
      </c>
      <c r="AB100" t="s">
        <v>18</v>
      </c>
    </row>
    <row r="101" spans="1:28" x14ac:dyDescent="0.3">
      <c r="A101" t="s">
        <v>1221</v>
      </c>
      <c r="B101" t="s">
        <v>1154</v>
      </c>
      <c r="C101" t="s">
        <v>1735</v>
      </c>
      <c r="D101" t="s">
        <v>1224</v>
      </c>
      <c r="E101">
        <v>108</v>
      </c>
      <c r="F101" t="s">
        <v>5</v>
      </c>
      <c r="G101">
        <v>70</v>
      </c>
      <c r="H101" s="2">
        <f t="shared" si="1"/>
        <v>0.64814814814814814</v>
      </c>
      <c r="I101" t="s">
        <v>6</v>
      </c>
      <c r="J101">
        <v>17.375235560470902</v>
      </c>
      <c r="K101" t="s">
        <v>7</v>
      </c>
      <c r="L101">
        <v>0.16088181074510099</v>
      </c>
      <c r="M101" t="s">
        <v>8</v>
      </c>
      <c r="N101">
        <v>1.2148963849351799</v>
      </c>
      <c r="O101" t="s">
        <v>9</v>
      </c>
      <c r="P101">
        <v>-1.78072398381557</v>
      </c>
      <c r="Q101" t="s">
        <v>10</v>
      </c>
      <c r="R101">
        <v>0.23453424442898599</v>
      </c>
      <c r="S101" t="s">
        <v>11</v>
      </c>
      <c r="T101" t="s">
        <v>1420</v>
      </c>
      <c r="U101" t="s">
        <v>1386</v>
      </c>
      <c r="V101">
        <v>0</v>
      </c>
      <c r="W101" t="s">
        <v>14</v>
      </c>
      <c r="X101" t="s">
        <v>15</v>
      </c>
      <c r="Y101" t="s">
        <v>1420</v>
      </c>
      <c r="Z101" t="s">
        <v>1386</v>
      </c>
      <c r="AA101">
        <v>0</v>
      </c>
      <c r="AB101" t="s">
        <v>18</v>
      </c>
    </row>
    <row r="102" spans="1:28" x14ac:dyDescent="0.3">
      <c r="A102" t="s">
        <v>1220</v>
      </c>
      <c r="B102" t="s">
        <v>1196</v>
      </c>
      <c r="C102" t="s">
        <v>1702</v>
      </c>
      <c r="D102" t="s">
        <v>1224</v>
      </c>
      <c r="E102">
        <v>136</v>
      </c>
      <c r="F102" t="s">
        <v>5</v>
      </c>
      <c r="G102">
        <v>83</v>
      </c>
      <c r="H102" s="2">
        <f t="shared" si="1"/>
        <v>0.61029411764705888</v>
      </c>
      <c r="I102" t="s">
        <v>6</v>
      </c>
      <c r="J102">
        <v>17.1682744972865</v>
      </c>
      <c r="K102" t="s">
        <v>7</v>
      </c>
      <c r="L102">
        <v>0.12623731248004799</v>
      </c>
      <c r="M102" t="s">
        <v>8</v>
      </c>
      <c r="N102">
        <v>1.11575540601575</v>
      </c>
      <c r="O102" t="s">
        <v>9</v>
      </c>
      <c r="P102">
        <v>-1.4233853623022801</v>
      </c>
      <c r="Q102" t="s">
        <v>10</v>
      </c>
      <c r="R102">
        <v>0.29032439778171998</v>
      </c>
      <c r="S102" t="s">
        <v>11</v>
      </c>
      <c r="T102" t="s">
        <v>1405</v>
      </c>
      <c r="U102" t="s">
        <v>1406</v>
      </c>
      <c r="V102">
        <v>0</v>
      </c>
      <c r="W102" t="s">
        <v>14</v>
      </c>
      <c r="X102" t="s">
        <v>15</v>
      </c>
      <c r="Y102" t="s">
        <v>1405</v>
      </c>
      <c r="Z102" t="s">
        <v>1406</v>
      </c>
      <c r="AA102">
        <v>0</v>
      </c>
      <c r="AB102" t="s">
        <v>18</v>
      </c>
    </row>
    <row r="103" spans="1:28" x14ac:dyDescent="0.3">
      <c r="A103" t="s">
        <v>1220</v>
      </c>
      <c r="B103" t="s">
        <v>1210</v>
      </c>
      <c r="C103" t="s">
        <v>1716</v>
      </c>
      <c r="D103" t="s">
        <v>1224</v>
      </c>
      <c r="E103">
        <v>136</v>
      </c>
      <c r="F103" t="s">
        <v>5</v>
      </c>
      <c r="G103">
        <v>48</v>
      </c>
      <c r="H103" s="2">
        <f t="shared" si="1"/>
        <v>0.35294117647058826</v>
      </c>
      <c r="I103" t="s">
        <v>6</v>
      </c>
      <c r="J103">
        <v>16.469580262733999</v>
      </c>
      <c r="K103" t="s">
        <v>7</v>
      </c>
      <c r="L103">
        <v>0.121099854873044</v>
      </c>
      <c r="M103" t="s">
        <v>8</v>
      </c>
      <c r="N103">
        <v>2.1202083333333301</v>
      </c>
      <c r="O103" t="s">
        <v>9</v>
      </c>
      <c r="P103">
        <v>-0.96932295155983905</v>
      </c>
      <c r="Q103" t="s">
        <v>10</v>
      </c>
      <c r="R103">
        <v>0.32847680900283899</v>
      </c>
      <c r="S103" t="s">
        <v>11</v>
      </c>
      <c r="T103" t="s">
        <v>1414</v>
      </c>
      <c r="U103" t="s">
        <v>1249</v>
      </c>
      <c r="V103">
        <v>0</v>
      </c>
      <c r="W103" t="s">
        <v>14</v>
      </c>
      <c r="X103" t="s">
        <v>15</v>
      </c>
      <c r="Y103" t="s">
        <v>1414</v>
      </c>
      <c r="Z103" t="s">
        <v>1249</v>
      </c>
      <c r="AA103">
        <v>0</v>
      </c>
      <c r="AB103" t="s">
        <v>18</v>
      </c>
    </row>
    <row r="104" spans="1:28" x14ac:dyDescent="0.3">
      <c r="A104" t="s">
        <v>1221</v>
      </c>
      <c r="B104" t="s">
        <v>1192</v>
      </c>
      <c r="C104" t="s">
        <v>1773</v>
      </c>
      <c r="D104" t="s">
        <v>1224</v>
      </c>
      <c r="E104">
        <v>102</v>
      </c>
      <c r="F104" t="s">
        <v>5</v>
      </c>
      <c r="G104">
        <v>66</v>
      </c>
      <c r="H104" s="2">
        <f t="shared" si="1"/>
        <v>0.6470588235294118</v>
      </c>
      <c r="I104" t="s">
        <v>6</v>
      </c>
      <c r="J104">
        <v>16.428950191596901</v>
      </c>
      <c r="K104" t="s">
        <v>7</v>
      </c>
      <c r="L104">
        <v>0.16106813913330301</v>
      </c>
      <c r="M104" t="s">
        <v>8</v>
      </c>
      <c r="N104">
        <v>0.71937803320601401</v>
      </c>
      <c r="O104" t="s">
        <v>9</v>
      </c>
      <c r="P104">
        <v>-0.86250000000000004</v>
      </c>
      <c r="Q104" t="s">
        <v>10</v>
      </c>
      <c r="R104">
        <v>0.204275854174198</v>
      </c>
      <c r="S104" t="s">
        <v>11</v>
      </c>
      <c r="T104" t="s">
        <v>1426</v>
      </c>
      <c r="U104" t="s">
        <v>1278</v>
      </c>
      <c r="V104">
        <v>0</v>
      </c>
      <c r="W104" t="s">
        <v>14</v>
      </c>
      <c r="X104" t="s">
        <v>15</v>
      </c>
      <c r="Y104" t="s">
        <v>1426</v>
      </c>
      <c r="Z104" t="s">
        <v>1278</v>
      </c>
      <c r="AA104">
        <v>0</v>
      </c>
      <c r="AB104" t="s">
        <v>18</v>
      </c>
    </row>
    <row r="105" spans="1:28" x14ac:dyDescent="0.3">
      <c r="A105" t="s">
        <v>1221</v>
      </c>
      <c r="B105" t="s">
        <v>1193</v>
      </c>
      <c r="C105" t="s">
        <v>1774</v>
      </c>
      <c r="D105" t="s">
        <v>1224</v>
      </c>
      <c r="E105">
        <v>102</v>
      </c>
      <c r="F105" t="s">
        <v>5</v>
      </c>
      <c r="G105">
        <v>66</v>
      </c>
      <c r="H105" s="2">
        <f t="shared" si="1"/>
        <v>0.6470588235294118</v>
      </c>
      <c r="I105" t="s">
        <v>6</v>
      </c>
      <c r="J105">
        <v>16.428950191596901</v>
      </c>
      <c r="K105" t="s">
        <v>7</v>
      </c>
      <c r="L105">
        <v>0.16106813913330301</v>
      </c>
      <c r="M105" t="s">
        <v>8</v>
      </c>
      <c r="N105">
        <v>0.71937803320601401</v>
      </c>
      <c r="O105" t="s">
        <v>9</v>
      </c>
      <c r="P105">
        <v>-0.86250000000000004</v>
      </c>
      <c r="Q105" t="s">
        <v>10</v>
      </c>
      <c r="R105">
        <v>0.204275854174198</v>
      </c>
      <c r="S105" t="s">
        <v>11</v>
      </c>
      <c r="T105" t="s">
        <v>1426</v>
      </c>
      <c r="U105" t="s">
        <v>1278</v>
      </c>
      <c r="V105">
        <v>0</v>
      </c>
      <c r="W105" t="s">
        <v>14</v>
      </c>
      <c r="X105" t="s">
        <v>15</v>
      </c>
      <c r="Y105" t="s">
        <v>1426</v>
      </c>
      <c r="Z105" t="s">
        <v>1278</v>
      </c>
      <c r="AA105">
        <v>0</v>
      </c>
      <c r="AB105" t="s">
        <v>18</v>
      </c>
    </row>
    <row r="106" spans="1:28" x14ac:dyDescent="0.3">
      <c r="A106" t="s">
        <v>1221</v>
      </c>
      <c r="B106" t="s">
        <v>1195</v>
      </c>
      <c r="C106" t="s">
        <v>1776</v>
      </c>
      <c r="D106" t="s">
        <v>1224</v>
      </c>
      <c r="E106">
        <v>98</v>
      </c>
      <c r="F106" t="s">
        <v>5</v>
      </c>
      <c r="G106">
        <v>62</v>
      </c>
      <c r="H106" s="2">
        <f t="shared" si="1"/>
        <v>0.63265306122448983</v>
      </c>
      <c r="I106" t="s">
        <v>6</v>
      </c>
      <c r="J106">
        <v>16.428950191596901</v>
      </c>
      <c r="K106" t="s">
        <v>7</v>
      </c>
      <c r="L106">
        <v>0.16764234889384599</v>
      </c>
      <c r="M106" t="s">
        <v>8</v>
      </c>
      <c r="N106">
        <v>0.93417661599349899</v>
      </c>
      <c r="O106" t="s">
        <v>9</v>
      </c>
      <c r="P106">
        <v>-1.1525000000000001</v>
      </c>
      <c r="Q106" t="s">
        <v>10</v>
      </c>
      <c r="R106">
        <v>0.202113822919193</v>
      </c>
      <c r="S106" t="s">
        <v>11</v>
      </c>
      <c r="T106" t="s">
        <v>1427</v>
      </c>
      <c r="U106" t="s">
        <v>1249</v>
      </c>
      <c r="V106">
        <v>0</v>
      </c>
      <c r="W106" t="s">
        <v>14</v>
      </c>
      <c r="X106" t="s">
        <v>15</v>
      </c>
      <c r="Y106" t="s">
        <v>1427</v>
      </c>
      <c r="Z106" t="s">
        <v>1249</v>
      </c>
      <c r="AA106">
        <v>0</v>
      </c>
      <c r="AB106" t="s">
        <v>18</v>
      </c>
    </row>
    <row r="107" spans="1:28" x14ac:dyDescent="0.3">
      <c r="A107" t="s">
        <v>1221</v>
      </c>
      <c r="B107" t="s">
        <v>1196</v>
      </c>
      <c r="C107" t="s">
        <v>1777</v>
      </c>
      <c r="D107" t="s">
        <v>1224</v>
      </c>
      <c r="E107">
        <v>98</v>
      </c>
      <c r="F107" t="s">
        <v>5</v>
      </c>
      <c r="G107">
        <v>61</v>
      </c>
      <c r="H107" s="2">
        <f t="shared" si="1"/>
        <v>0.62244897959183676</v>
      </c>
      <c r="I107" t="s">
        <v>6</v>
      </c>
      <c r="J107">
        <v>16.048950191596902</v>
      </c>
      <c r="K107" t="s">
        <v>7</v>
      </c>
      <c r="L107">
        <v>0.16376479787343801</v>
      </c>
      <c r="M107" t="s">
        <v>8</v>
      </c>
      <c r="N107">
        <v>0.97916311789503196</v>
      </c>
      <c r="O107" t="s">
        <v>9</v>
      </c>
      <c r="P107">
        <v>-1.18054054054054</v>
      </c>
      <c r="Q107" t="s">
        <v>10</v>
      </c>
      <c r="R107">
        <v>0.210422469664928</v>
      </c>
      <c r="S107" t="s">
        <v>11</v>
      </c>
      <c r="T107" t="s">
        <v>1427</v>
      </c>
      <c r="U107" t="s">
        <v>1249</v>
      </c>
      <c r="V107">
        <v>0</v>
      </c>
      <c r="W107" t="s">
        <v>14</v>
      </c>
      <c r="X107" t="s">
        <v>15</v>
      </c>
      <c r="Y107" t="s">
        <v>1427</v>
      </c>
      <c r="Z107" t="s">
        <v>1249</v>
      </c>
      <c r="AA107">
        <v>0</v>
      </c>
      <c r="AB107" t="s">
        <v>18</v>
      </c>
    </row>
    <row r="108" spans="1:28" x14ac:dyDescent="0.3">
      <c r="A108" t="s">
        <v>1220</v>
      </c>
      <c r="B108" t="s">
        <v>1191</v>
      </c>
      <c r="C108" t="s">
        <v>1697</v>
      </c>
      <c r="D108" t="s">
        <v>1224</v>
      </c>
      <c r="E108">
        <v>140</v>
      </c>
      <c r="F108" t="s">
        <v>5</v>
      </c>
      <c r="G108">
        <v>91</v>
      </c>
      <c r="H108" s="2">
        <f t="shared" si="1"/>
        <v>0.65</v>
      </c>
      <c r="I108" t="s">
        <v>6</v>
      </c>
      <c r="J108">
        <v>15.988950191596899</v>
      </c>
      <c r="K108" t="s">
        <v>7</v>
      </c>
      <c r="L108">
        <v>0.11420678708283501</v>
      </c>
      <c r="M108" t="s">
        <v>8</v>
      </c>
      <c r="N108">
        <v>0.75482362847908702</v>
      </c>
      <c r="O108" t="s">
        <v>9</v>
      </c>
      <c r="P108">
        <v>-1.07551020408163</v>
      </c>
      <c r="Q108" t="s">
        <v>10</v>
      </c>
      <c r="R108">
        <v>0.27096333373290699</v>
      </c>
      <c r="S108" t="s">
        <v>11</v>
      </c>
      <c r="T108" t="s">
        <v>1404</v>
      </c>
      <c r="U108" t="s">
        <v>1399</v>
      </c>
      <c r="V108">
        <v>0</v>
      </c>
      <c r="W108" t="s">
        <v>14</v>
      </c>
      <c r="X108" t="s">
        <v>15</v>
      </c>
      <c r="Y108" t="s">
        <v>1404</v>
      </c>
      <c r="Z108" t="s">
        <v>1399</v>
      </c>
      <c r="AA108">
        <v>0</v>
      </c>
      <c r="AB108" t="s">
        <v>18</v>
      </c>
    </row>
    <row r="109" spans="1:28" x14ac:dyDescent="0.3">
      <c r="A109" t="s">
        <v>1220</v>
      </c>
      <c r="B109" t="s">
        <v>1175</v>
      </c>
      <c r="C109" t="s">
        <v>1681</v>
      </c>
      <c r="D109" t="s">
        <v>1224</v>
      </c>
      <c r="E109">
        <v>140</v>
      </c>
      <c r="F109" t="s">
        <v>5</v>
      </c>
      <c r="G109">
        <v>55</v>
      </c>
      <c r="H109" s="2">
        <f t="shared" si="1"/>
        <v>0.39285714285714285</v>
      </c>
      <c r="I109" t="s">
        <v>6</v>
      </c>
      <c r="J109">
        <v>15.75</v>
      </c>
      <c r="K109" t="s">
        <v>7</v>
      </c>
      <c r="L109">
        <v>0.1125</v>
      </c>
      <c r="M109" t="s">
        <v>8</v>
      </c>
      <c r="N109">
        <v>2.0589090909090899</v>
      </c>
      <c r="O109" t="s">
        <v>9</v>
      </c>
      <c r="P109">
        <v>-1.1469411764705799</v>
      </c>
      <c r="Q109" t="s">
        <v>10</v>
      </c>
      <c r="R109">
        <v>0.414937249214969</v>
      </c>
      <c r="S109" t="s">
        <v>11</v>
      </c>
      <c r="T109" t="s">
        <v>1396</v>
      </c>
      <c r="U109" t="s">
        <v>794</v>
      </c>
      <c r="V109">
        <v>0</v>
      </c>
      <c r="W109" t="s">
        <v>14</v>
      </c>
      <c r="X109" t="s">
        <v>15</v>
      </c>
      <c r="Y109" t="s">
        <v>1396</v>
      </c>
      <c r="Z109" t="s">
        <v>794</v>
      </c>
      <c r="AA109">
        <v>0</v>
      </c>
      <c r="AB109" t="s">
        <v>18</v>
      </c>
    </row>
    <row r="110" spans="1:28" x14ac:dyDescent="0.3">
      <c r="A110" t="s">
        <v>1221</v>
      </c>
      <c r="B110" t="s">
        <v>1145</v>
      </c>
      <c r="C110" t="s">
        <v>1726</v>
      </c>
      <c r="D110" t="s">
        <v>1224</v>
      </c>
      <c r="E110">
        <v>102</v>
      </c>
      <c r="F110" t="s">
        <v>5</v>
      </c>
      <c r="G110">
        <v>64</v>
      </c>
      <c r="H110" s="2">
        <f t="shared" si="1"/>
        <v>0.62745098039215685</v>
      </c>
      <c r="I110" t="s">
        <v>6</v>
      </c>
      <c r="J110">
        <v>15.63</v>
      </c>
      <c r="K110" t="s">
        <v>7</v>
      </c>
      <c r="L110">
        <v>0.153235294117647</v>
      </c>
      <c r="M110" t="s">
        <v>8</v>
      </c>
      <c r="N110">
        <v>1.23953125</v>
      </c>
      <c r="O110" t="s">
        <v>9</v>
      </c>
      <c r="P110">
        <v>-1.67631578947368</v>
      </c>
      <c r="Q110" t="s">
        <v>10</v>
      </c>
      <c r="R110">
        <v>0.24494650534837301</v>
      </c>
      <c r="S110" t="s">
        <v>11</v>
      </c>
      <c r="T110" t="s">
        <v>1329</v>
      </c>
      <c r="U110" t="s">
        <v>1232</v>
      </c>
      <c r="V110">
        <v>0</v>
      </c>
      <c r="W110" t="s">
        <v>14</v>
      </c>
      <c r="X110" t="s">
        <v>15</v>
      </c>
      <c r="Y110" t="s">
        <v>1329</v>
      </c>
      <c r="Z110" t="s">
        <v>1232</v>
      </c>
      <c r="AA110">
        <v>0</v>
      </c>
      <c r="AB110" t="s">
        <v>18</v>
      </c>
    </row>
    <row r="111" spans="1:28" x14ac:dyDescent="0.3">
      <c r="A111" t="s">
        <v>1221</v>
      </c>
      <c r="B111" t="s">
        <v>1168</v>
      </c>
      <c r="C111" t="s">
        <v>1749</v>
      </c>
      <c r="D111" t="s">
        <v>1224</v>
      </c>
      <c r="E111">
        <v>98</v>
      </c>
      <c r="F111" t="s">
        <v>5</v>
      </c>
      <c r="G111">
        <v>59</v>
      </c>
      <c r="H111" s="2">
        <f t="shared" si="1"/>
        <v>0.60204081632653061</v>
      </c>
      <c r="I111" t="s">
        <v>6</v>
      </c>
      <c r="J111">
        <v>15.56</v>
      </c>
      <c r="K111" t="s">
        <v>7</v>
      </c>
      <c r="L111">
        <v>0.15877551020408101</v>
      </c>
      <c r="M111" t="s">
        <v>8</v>
      </c>
      <c r="N111">
        <v>1.3408474576271101</v>
      </c>
      <c r="O111" t="s">
        <v>9</v>
      </c>
      <c r="P111">
        <v>-1.6294871794871699</v>
      </c>
      <c r="Q111" t="s">
        <v>10</v>
      </c>
      <c r="R111">
        <v>0.274986834820453</v>
      </c>
      <c r="S111" t="s">
        <v>11</v>
      </c>
      <c r="T111" t="s">
        <v>1248</v>
      </c>
      <c r="U111" t="s">
        <v>1249</v>
      </c>
      <c r="V111">
        <v>0</v>
      </c>
      <c r="W111" t="s">
        <v>14</v>
      </c>
      <c r="X111" t="s">
        <v>15</v>
      </c>
      <c r="Y111" t="s">
        <v>1248</v>
      </c>
      <c r="Z111" t="s">
        <v>1249</v>
      </c>
      <c r="AA111">
        <v>0</v>
      </c>
      <c r="AB111" t="s">
        <v>18</v>
      </c>
    </row>
    <row r="112" spans="1:28" x14ac:dyDescent="0.3">
      <c r="A112" t="s">
        <v>1220</v>
      </c>
      <c r="B112" t="s">
        <v>1193</v>
      </c>
      <c r="C112" t="s">
        <v>1699</v>
      </c>
      <c r="D112" t="s">
        <v>1224</v>
      </c>
      <c r="E112">
        <v>140</v>
      </c>
      <c r="F112" t="s">
        <v>5</v>
      </c>
      <c r="G112">
        <v>90</v>
      </c>
      <c r="H112" s="2">
        <f t="shared" si="1"/>
        <v>0.6428571428571429</v>
      </c>
      <c r="I112" t="s">
        <v>6</v>
      </c>
      <c r="J112">
        <v>15.5389501915969</v>
      </c>
      <c r="K112" t="s">
        <v>7</v>
      </c>
      <c r="L112">
        <v>0.110992501368549</v>
      </c>
      <c r="M112" t="s">
        <v>8</v>
      </c>
      <c r="N112">
        <v>0.75843277990663205</v>
      </c>
      <c r="O112" t="s">
        <v>9</v>
      </c>
      <c r="P112">
        <v>-1.0544</v>
      </c>
      <c r="Q112" t="s">
        <v>10</v>
      </c>
      <c r="R112">
        <v>0.29024561085901501</v>
      </c>
      <c r="S112" t="s">
        <v>11</v>
      </c>
      <c r="T112" t="s">
        <v>1404</v>
      </c>
      <c r="U112" t="s">
        <v>1399</v>
      </c>
      <c r="V112">
        <v>0</v>
      </c>
      <c r="W112" t="s">
        <v>14</v>
      </c>
      <c r="X112" t="s">
        <v>15</v>
      </c>
      <c r="Y112" t="s">
        <v>1404</v>
      </c>
      <c r="Z112" t="s">
        <v>1399</v>
      </c>
      <c r="AA112">
        <v>0</v>
      </c>
      <c r="AB112" t="s">
        <v>18</v>
      </c>
    </row>
    <row r="113" spans="1:28" x14ac:dyDescent="0.3">
      <c r="A113" t="s">
        <v>1221</v>
      </c>
      <c r="B113" t="s">
        <v>1217</v>
      </c>
      <c r="C113" t="s">
        <v>1798</v>
      </c>
      <c r="D113" t="s">
        <v>1224</v>
      </c>
      <c r="E113">
        <v>108</v>
      </c>
      <c r="F113" t="s">
        <v>5</v>
      </c>
      <c r="G113">
        <v>27</v>
      </c>
      <c r="H113" s="2">
        <f t="shared" si="1"/>
        <v>0.25</v>
      </c>
      <c r="I113" t="s">
        <v>6</v>
      </c>
      <c r="J113">
        <v>15.484040247554301</v>
      </c>
      <c r="K113" t="s">
        <v>7</v>
      </c>
      <c r="L113">
        <v>0.14337074303291</v>
      </c>
      <c r="M113" t="s">
        <v>8</v>
      </c>
      <c r="N113">
        <v>3.60111111111111</v>
      </c>
      <c r="O113" t="s">
        <v>9</v>
      </c>
      <c r="P113">
        <v>-1.00920937965982</v>
      </c>
      <c r="Q113" t="s">
        <v>10</v>
      </c>
      <c r="R113">
        <v>0.30696119302271302</v>
      </c>
      <c r="S113" t="s">
        <v>11</v>
      </c>
      <c r="T113" t="s">
        <v>1432</v>
      </c>
      <c r="U113" t="s">
        <v>206</v>
      </c>
      <c r="V113">
        <v>0</v>
      </c>
      <c r="W113" t="s">
        <v>14</v>
      </c>
      <c r="X113" t="s">
        <v>15</v>
      </c>
      <c r="Y113" t="s">
        <v>1419</v>
      </c>
      <c r="Z113" t="s">
        <v>206</v>
      </c>
      <c r="AA113">
        <v>0</v>
      </c>
      <c r="AB113" t="s">
        <v>18</v>
      </c>
    </row>
    <row r="114" spans="1:28" x14ac:dyDescent="0.3">
      <c r="A114" t="s">
        <v>1221</v>
      </c>
      <c r="B114" t="s">
        <v>1169</v>
      </c>
      <c r="C114" t="s">
        <v>1750</v>
      </c>
      <c r="D114" t="s">
        <v>1224</v>
      </c>
      <c r="E114">
        <v>108</v>
      </c>
      <c r="F114" t="s">
        <v>5</v>
      </c>
      <c r="G114">
        <v>73</v>
      </c>
      <c r="H114" s="2">
        <f t="shared" si="1"/>
        <v>0.67592592592592593</v>
      </c>
      <c r="I114" t="s">
        <v>6</v>
      </c>
      <c r="J114">
        <v>15.2829431003626</v>
      </c>
      <c r="K114" t="s">
        <v>7</v>
      </c>
      <c r="L114">
        <v>0.141508732410765</v>
      </c>
      <c r="M114" t="s">
        <v>8</v>
      </c>
      <c r="N114">
        <v>1.04785304938227</v>
      </c>
      <c r="O114" t="s">
        <v>9</v>
      </c>
      <c r="P114">
        <v>-1.74886655727266</v>
      </c>
      <c r="Q114" t="s">
        <v>10</v>
      </c>
      <c r="R114">
        <v>0.206758847989052</v>
      </c>
      <c r="S114" t="s">
        <v>11</v>
      </c>
      <c r="T114" t="s">
        <v>1389</v>
      </c>
      <c r="U114" t="s">
        <v>1390</v>
      </c>
      <c r="V114">
        <v>0</v>
      </c>
      <c r="W114" t="s">
        <v>14</v>
      </c>
      <c r="X114" t="s">
        <v>15</v>
      </c>
      <c r="Y114" t="s">
        <v>1389</v>
      </c>
      <c r="Z114" t="s">
        <v>1390</v>
      </c>
      <c r="AA114">
        <v>0</v>
      </c>
      <c r="AB114" t="s">
        <v>18</v>
      </c>
    </row>
    <row r="115" spans="1:28" x14ac:dyDescent="0.3">
      <c r="A115" t="s">
        <v>1221</v>
      </c>
      <c r="B115" t="s">
        <v>1189</v>
      </c>
      <c r="C115" t="s">
        <v>1770</v>
      </c>
      <c r="D115" t="s">
        <v>1224</v>
      </c>
      <c r="E115">
        <v>102</v>
      </c>
      <c r="F115" t="s">
        <v>5</v>
      </c>
      <c r="G115">
        <v>68</v>
      </c>
      <c r="H115" s="2">
        <f t="shared" si="1"/>
        <v>0.66666666666666663</v>
      </c>
      <c r="I115" t="s">
        <v>6</v>
      </c>
      <c r="J115">
        <v>15.148950191596899</v>
      </c>
      <c r="K115" t="s">
        <v>7</v>
      </c>
      <c r="L115">
        <v>0.14851911952546001</v>
      </c>
      <c r="M115" t="s">
        <v>8</v>
      </c>
      <c r="N115">
        <v>0.646896326347013</v>
      </c>
      <c r="O115" t="s">
        <v>9</v>
      </c>
      <c r="P115">
        <v>-0.84823529411764598</v>
      </c>
      <c r="Q115" t="s">
        <v>10</v>
      </c>
      <c r="R115">
        <v>0.163155489890775</v>
      </c>
      <c r="S115" t="s">
        <v>11</v>
      </c>
      <c r="T115" t="s">
        <v>1426</v>
      </c>
      <c r="U115" t="s">
        <v>1278</v>
      </c>
      <c r="V115">
        <v>0</v>
      </c>
      <c r="W115" t="s">
        <v>14</v>
      </c>
      <c r="X115" t="s">
        <v>15</v>
      </c>
      <c r="Y115" t="s">
        <v>1426</v>
      </c>
      <c r="Z115" t="s">
        <v>1278</v>
      </c>
      <c r="AA115">
        <v>0</v>
      </c>
      <c r="AB115" t="s">
        <v>18</v>
      </c>
    </row>
    <row r="116" spans="1:28" x14ac:dyDescent="0.3">
      <c r="A116" t="s">
        <v>1221</v>
      </c>
      <c r="B116" t="s">
        <v>1171</v>
      </c>
      <c r="C116" t="s">
        <v>1752</v>
      </c>
      <c r="D116" t="s">
        <v>1224</v>
      </c>
      <c r="E116">
        <v>108</v>
      </c>
      <c r="F116" t="s">
        <v>5</v>
      </c>
      <c r="G116">
        <v>65</v>
      </c>
      <c r="H116" s="2">
        <f t="shared" si="1"/>
        <v>0.60185185185185186</v>
      </c>
      <c r="I116" t="s">
        <v>6</v>
      </c>
      <c r="J116">
        <v>15.052943100362601</v>
      </c>
      <c r="K116" t="s">
        <v>7</v>
      </c>
      <c r="L116">
        <v>0.13937910278113499</v>
      </c>
      <c r="M116" t="s">
        <v>8</v>
      </c>
      <c r="N116">
        <v>1.3915888093062401</v>
      </c>
      <c r="O116" t="s">
        <v>9</v>
      </c>
      <c r="P116">
        <v>-1.75349603498937</v>
      </c>
      <c r="Q116" t="s">
        <v>10</v>
      </c>
      <c r="R116">
        <v>0.24829686533519599</v>
      </c>
      <c r="S116" t="s">
        <v>11</v>
      </c>
      <c r="T116" t="s">
        <v>1389</v>
      </c>
      <c r="U116" t="s">
        <v>1390</v>
      </c>
      <c r="V116">
        <v>0</v>
      </c>
      <c r="W116" t="s">
        <v>14</v>
      </c>
      <c r="X116" t="s">
        <v>15</v>
      </c>
      <c r="Y116" t="s">
        <v>1389</v>
      </c>
      <c r="Z116" t="s">
        <v>1390</v>
      </c>
      <c r="AA116">
        <v>0</v>
      </c>
      <c r="AB116" t="s">
        <v>18</v>
      </c>
    </row>
    <row r="117" spans="1:28" x14ac:dyDescent="0.3">
      <c r="A117" t="s">
        <v>1220</v>
      </c>
      <c r="B117" t="s">
        <v>1183</v>
      </c>
      <c r="C117" t="s">
        <v>1689</v>
      </c>
      <c r="D117" t="s">
        <v>1224</v>
      </c>
      <c r="E117">
        <v>136</v>
      </c>
      <c r="F117" t="s">
        <v>5</v>
      </c>
      <c r="G117">
        <v>39</v>
      </c>
      <c r="H117" s="2">
        <f t="shared" si="1"/>
        <v>0.28676470588235292</v>
      </c>
      <c r="I117" t="s">
        <v>6</v>
      </c>
      <c r="J117">
        <v>14.904289904864701</v>
      </c>
      <c r="K117" t="s">
        <v>7</v>
      </c>
      <c r="L117">
        <v>0.109590366947535</v>
      </c>
      <c r="M117" t="s">
        <v>8</v>
      </c>
      <c r="N117">
        <v>4.0115384615384597</v>
      </c>
      <c r="O117" t="s">
        <v>9</v>
      </c>
      <c r="P117">
        <v>-1.4592341246921099</v>
      </c>
      <c r="Q117" t="s">
        <v>10</v>
      </c>
      <c r="R117">
        <v>0.518988445401524</v>
      </c>
      <c r="S117" t="s">
        <v>11</v>
      </c>
      <c r="T117" t="s">
        <v>1296</v>
      </c>
      <c r="U117" t="s">
        <v>1249</v>
      </c>
      <c r="V117">
        <v>0</v>
      </c>
      <c r="W117" t="s">
        <v>14</v>
      </c>
      <c r="X117" t="s">
        <v>15</v>
      </c>
      <c r="Y117" t="s">
        <v>1296</v>
      </c>
      <c r="Z117" t="s">
        <v>1249</v>
      </c>
      <c r="AA117">
        <v>0</v>
      </c>
      <c r="AB117" t="s">
        <v>18</v>
      </c>
    </row>
    <row r="118" spans="1:28" x14ac:dyDescent="0.3">
      <c r="A118" t="s">
        <v>1220</v>
      </c>
      <c r="B118" t="s">
        <v>1173</v>
      </c>
      <c r="C118" t="s">
        <v>1679</v>
      </c>
      <c r="D118" t="s">
        <v>1224</v>
      </c>
      <c r="E118">
        <v>144</v>
      </c>
      <c r="F118" t="s">
        <v>5</v>
      </c>
      <c r="G118">
        <v>76</v>
      </c>
      <c r="H118" s="2">
        <f t="shared" si="1"/>
        <v>0.52777777777777779</v>
      </c>
      <c r="I118" t="s">
        <v>6</v>
      </c>
      <c r="J118">
        <v>14.835953786489499</v>
      </c>
      <c r="K118" t="s">
        <v>7</v>
      </c>
      <c r="L118">
        <v>0.10302745685062201</v>
      </c>
      <c r="M118" t="s">
        <v>8</v>
      </c>
      <c r="N118">
        <v>1.7857865291593</v>
      </c>
      <c r="O118" t="s">
        <v>9</v>
      </c>
      <c r="P118">
        <v>-1.7777032710237901</v>
      </c>
      <c r="Q118" t="s">
        <v>10</v>
      </c>
      <c r="R118">
        <v>0.40134738370240503</v>
      </c>
      <c r="S118" t="s">
        <v>11</v>
      </c>
      <c r="T118" t="s">
        <v>1393</v>
      </c>
      <c r="U118" t="s">
        <v>1394</v>
      </c>
      <c r="V118">
        <v>0</v>
      </c>
      <c r="W118" t="s">
        <v>14</v>
      </c>
      <c r="X118" t="s">
        <v>15</v>
      </c>
      <c r="Y118" t="s">
        <v>1393</v>
      </c>
      <c r="Z118" t="s">
        <v>1394</v>
      </c>
      <c r="AA118">
        <v>0</v>
      </c>
      <c r="AB118" t="s">
        <v>18</v>
      </c>
    </row>
    <row r="119" spans="1:28" x14ac:dyDescent="0.3">
      <c r="A119" t="s">
        <v>1220</v>
      </c>
      <c r="B119" t="s">
        <v>1171</v>
      </c>
      <c r="C119" t="s">
        <v>1677</v>
      </c>
      <c r="D119" t="s">
        <v>1224</v>
      </c>
      <c r="E119">
        <v>144</v>
      </c>
      <c r="F119" t="s">
        <v>5</v>
      </c>
      <c r="G119">
        <v>79</v>
      </c>
      <c r="H119" s="2">
        <f t="shared" si="1"/>
        <v>0.54861111111111116</v>
      </c>
      <c r="I119" t="s">
        <v>6</v>
      </c>
      <c r="J119">
        <v>14.635953786489599</v>
      </c>
      <c r="K119" t="s">
        <v>7</v>
      </c>
      <c r="L119">
        <v>0.101638567961733</v>
      </c>
      <c r="M119" t="s">
        <v>8</v>
      </c>
      <c r="N119">
        <v>1.6487313445076801</v>
      </c>
      <c r="O119" t="s">
        <v>9</v>
      </c>
      <c r="P119">
        <v>-1.77867419122488</v>
      </c>
      <c r="Q119" t="s">
        <v>10</v>
      </c>
      <c r="R119">
        <v>0.36110246201209001</v>
      </c>
      <c r="S119" t="s">
        <v>11</v>
      </c>
      <c r="T119" t="s">
        <v>1391</v>
      </c>
      <c r="U119" t="s">
        <v>230</v>
      </c>
      <c r="V119">
        <v>0</v>
      </c>
      <c r="W119" t="s">
        <v>14</v>
      </c>
      <c r="X119" t="s">
        <v>15</v>
      </c>
      <c r="Y119" t="s">
        <v>1391</v>
      </c>
      <c r="Z119" t="s">
        <v>230</v>
      </c>
      <c r="AA119">
        <v>0</v>
      </c>
      <c r="AB119" t="s">
        <v>18</v>
      </c>
    </row>
    <row r="120" spans="1:28" x14ac:dyDescent="0.3">
      <c r="A120" t="s">
        <v>1220</v>
      </c>
      <c r="B120" t="s">
        <v>1168</v>
      </c>
      <c r="C120" t="s">
        <v>1674</v>
      </c>
      <c r="D120" t="s">
        <v>1224</v>
      </c>
      <c r="E120">
        <v>136</v>
      </c>
      <c r="F120" t="s">
        <v>5</v>
      </c>
      <c r="G120">
        <v>75</v>
      </c>
      <c r="H120" s="2">
        <f t="shared" si="1"/>
        <v>0.55147058823529416</v>
      </c>
      <c r="I120" t="s">
        <v>6</v>
      </c>
      <c r="J120">
        <v>14.092859936576501</v>
      </c>
      <c r="K120" t="s">
        <v>7</v>
      </c>
      <c r="L120">
        <v>0.103623970121886</v>
      </c>
      <c r="M120" t="s">
        <v>8</v>
      </c>
      <c r="N120">
        <v>1.5687047991543499</v>
      </c>
      <c r="O120" t="s">
        <v>9</v>
      </c>
      <c r="P120">
        <v>-1.6977049180327799</v>
      </c>
      <c r="Q120" t="s">
        <v>10</v>
      </c>
      <c r="R120">
        <v>0.36445170990136899</v>
      </c>
      <c r="S120" t="s">
        <v>11</v>
      </c>
      <c r="T120" t="s">
        <v>1248</v>
      </c>
      <c r="U120" t="s">
        <v>1249</v>
      </c>
      <c r="V120">
        <v>0</v>
      </c>
      <c r="W120" t="s">
        <v>14</v>
      </c>
      <c r="X120" t="s">
        <v>15</v>
      </c>
      <c r="Y120" t="s">
        <v>1248</v>
      </c>
      <c r="Z120" t="s">
        <v>1249</v>
      </c>
      <c r="AA120">
        <v>0</v>
      </c>
      <c r="AB120" t="s">
        <v>18</v>
      </c>
    </row>
    <row r="121" spans="1:28" x14ac:dyDescent="0.3">
      <c r="A121" t="s">
        <v>1220</v>
      </c>
      <c r="B121" t="s">
        <v>1211</v>
      </c>
      <c r="C121" t="s">
        <v>1717</v>
      </c>
      <c r="D121" t="s">
        <v>1224</v>
      </c>
      <c r="E121">
        <v>136</v>
      </c>
      <c r="F121" t="s">
        <v>5</v>
      </c>
      <c r="G121">
        <v>41</v>
      </c>
      <c r="H121" s="2">
        <f t="shared" si="1"/>
        <v>0.3014705882352941</v>
      </c>
      <c r="I121" t="s">
        <v>6</v>
      </c>
      <c r="J121">
        <v>13.8995802627341</v>
      </c>
      <c r="K121" t="s">
        <v>7</v>
      </c>
      <c r="L121">
        <v>0.102202796049515</v>
      </c>
      <c r="M121" t="s">
        <v>8</v>
      </c>
      <c r="N121">
        <v>2.6453658536585301</v>
      </c>
      <c r="O121" t="s">
        <v>9</v>
      </c>
      <c r="P121">
        <v>-0.99537283933964105</v>
      </c>
      <c r="Q121" t="s">
        <v>10</v>
      </c>
      <c r="R121">
        <v>0.36806870784814499</v>
      </c>
      <c r="S121" t="s">
        <v>11</v>
      </c>
      <c r="T121" t="s">
        <v>1414</v>
      </c>
      <c r="U121" t="s">
        <v>1249</v>
      </c>
      <c r="V121">
        <v>0</v>
      </c>
      <c r="W121" t="s">
        <v>14</v>
      </c>
      <c r="X121" t="s">
        <v>15</v>
      </c>
      <c r="Y121" t="s">
        <v>1414</v>
      </c>
      <c r="Z121" t="s">
        <v>1249</v>
      </c>
      <c r="AA121">
        <v>0</v>
      </c>
      <c r="AB121" t="s">
        <v>18</v>
      </c>
    </row>
    <row r="122" spans="1:28" x14ac:dyDescent="0.3">
      <c r="A122" t="s">
        <v>1220</v>
      </c>
      <c r="B122" t="s">
        <v>1172</v>
      </c>
      <c r="C122" t="s">
        <v>1678</v>
      </c>
      <c r="D122" t="s">
        <v>1224</v>
      </c>
      <c r="E122">
        <v>144</v>
      </c>
      <c r="F122" t="s">
        <v>5</v>
      </c>
      <c r="G122">
        <v>77</v>
      </c>
      <c r="H122" s="2">
        <f t="shared" si="1"/>
        <v>0.53472222222222221</v>
      </c>
      <c r="I122" t="s">
        <v>6</v>
      </c>
      <c r="J122">
        <v>13.6059537864896</v>
      </c>
      <c r="K122" t="s">
        <v>7</v>
      </c>
      <c r="L122">
        <v>9.4485790183955504E-2</v>
      </c>
      <c r="M122" t="s">
        <v>8</v>
      </c>
      <c r="N122">
        <v>1.7171399508585301</v>
      </c>
      <c r="O122" t="s">
        <v>9</v>
      </c>
      <c r="P122">
        <v>-1.77035555865101</v>
      </c>
      <c r="Q122" t="s">
        <v>10</v>
      </c>
      <c r="R122">
        <v>0.37948132035891002</v>
      </c>
      <c r="S122" t="s">
        <v>11</v>
      </c>
      <c r="T122" t="s">
        <v>1391</v>
      </c>
      <c r="U122" t="s">
        <v>230</v>
      </c>
      <c r="V122">
        <v>0</v>
      </c>
      <c r="W122" t="s">
        <v>14</v>
      </c>
      <c r="X122" t="s">
        <v>15</v>
      </c>
      <c r="Y122" t="s">
        <v>1392</v>
      </c>
      <c r="Z122" t="s">
        <v>1284</v>
      </c>
      <c r="AA122">
        <v>0</v>
      </c>
      <c r="AB122" t="s">
        <v>18</v>
      </c>
    </row>
    <row r="123" spans="1:28" x14ac:dyDescent="0.3">
      <c r="A123" t="s">
        <v>1221</v>
      </c>
      <c r="B123" t="s">
        <v>1179</v>
      </c>
      <c r="C123" t="s">
        <v>1760</v>
      </c>
      <c r="D123" t="s">
        <v>1224</v>
      </c>
      <c r="E123">
        <v>98</v>
      </c>
      <c r="F123" t="s">
        <v>5</v>
      </c>
      <c r="G123">
        <v>49</v>
      </c>
      <c r="H123" s="2">
        <f t="shared" si="1"/>
        <v>0.5</v>
      </c>
      <c r="I123" t="s">
        <v>6</v>
      </c>
      <c r="J123">
        <v>13.47</v>
      </c>
      <c r="K123" t="s">
        <v>7</v>
      </c>
      <c r="L123">
        <v>0.137448979591836</v>
      </c>
      <c r="M123" t="s">
        <v>8</v>
      </c>
      <c r="N123">
        <v>1.4418367346938701</v>
      </c>
      <c r="O123" t="s">
        <v>9</v>
      </c>
      <c r="P123">
        <v>-1.1669387755102001</v>
      </c>
      <c r="Q123" t="s">
        <v>10</v>
      </c>
      <c r="R123">
        <v>0.244768808165583</v>
      </c>
      <c r="S123" t="s">
        <v>11</v>
      </c>
      <c r="T123" t="s">
        <v>1296</v>
      </c>
      <c r="U123" t="s">
        <v>1249</v>
      </c>
      <c r="V123">
        <v>0</v>
      </c>
      <c r="W123" t="s">
        <v>14</v>
      </c>
      <c r="X123" t="s">
        <v>15</v>
      </c>
      <c r="Y123" t="s">
        <v>1296</v>
      </c>
      <c r="Z123" t="s">
        <v>1249</v>
      </c>
      <c r="AA123">
        <v>0</v>
      </c>
      <c r="AB123" t="s">
        <v>18</v>
      </c>
    </row>
    <row r="124" spans="1:28" x14ac:dyDescent="0.3">
      <c r="A124" t="s">
        <v>1219</v>
      </c>
      <c r="B124" t="s">
        <v>1148</v>
      </c>
      <c r="C124" t="s">
        <v>1579</v>
      </c>
      <c r="D124" t="s">
        <v>1224</v>
      </c>
      <c r="E124">
        <v>191</v>
      </c>
      <c r="F124" t="s">
        <v>5</v>
      </c>
      <c r="G124">
        <v>97</v>
      </c>
      <c r="H124" s="2">
        <f t="shared" si="1"/>
        <v>0.50785340314136129</v>
      </c>
      <c r="I124" t="s">
        <v>6</v>
      </c>
      <c r="J124">
        <v>13.3700000000001</v>
      </c>
      <c r="K124" t="s">
        <v>7</v>
      </c>
      <c r="L124">
        <v>7.0000000000000603E-2</v>
      </c>
      <c r="M124" t="s">
        <v>8</v>
      </c>
      <c r="N124">
        <v>1.92546391752577</v>
      </c>
      <c r="O124" t="s">
        <v>9</v>
      </c>
      <c r="P124">
        <v>-1.84468085106382</v>
      </c>
      <c r="Q124" t="s">
        <v>10</v>
      </c>
      <c r="R124">
        <v>0.629237881421993</v>
      </c>
      <c r="S124" t="s">
        <v>11</v>
      </c>
      <c r="T124" t="s">
        <v>1315</v>
      </c>
      <c r="U124" t="s">
        <v>763</v>
      </c>
      <c r="V124">
        <v>0</v>
      </c>
      <c r="W124" t="s">
        <v>14</v>
      </c>
      <c r="X124" t="s">
        <v>15</v>
      </c>
      <c r="Y124" t="s">
        <v>1316</v>
      </c>
      <c r="Z124" t="s">
        <v>647</v>
      </c>
      <c r="AA124">
        <v>0</v>
      </c>
      <c r="AB124" t="s">
        <v>18</v>
      </c>
    </row>
    <row r="125" spans="1:28" x14ac:dyDescent="0.3">
      <c r="A125" t="s">
        <v>1221</v>
      </c>
      <c r="B125" t="s">
        <v>1182</v>
      </c>
      <c r="C125" t="s">
        <v>1763</v>
      </c>
      <c r="D125" t="s">
        <v>1224</v>
      </c>
      <c r="E125">
        <v>98</v>
      </c>
      <c r="F125" t="s">
        <v>5</v>
      </c>
      <c r="G125">
        <v>31</v>
      </c>
      <c r="H125" s="2">
        <f t="shared" si="1"/>
        <v>0.31632653061224492</v>
      </c>
      <c r="I125" t="s">
        <v>6</v>
      </c>
      <c r="J125">
        <v>13.15</v>
      </c>
      <c r="K125" t="s">
        <v>7</v>
      </c>
      <c r="L125">
        <v>0.134183673469387</v>
      </c>
      <c r="M125" t="s">
        <v>8</v>
      </c>
      <c r="N125">
        <v>3.33516129032258</v>
      </c>
      <c r="O125" t="s">
        <v>9</v>
      </c>
      <c r="P125">
        <v>-1.3468656716417899</v>
      </c>
      <c r="Q125" t="s">
        <v>10</v>
      </c>
      <c r="R125">
        <v>0.36135462409754798</v>
      </c>
      <c r="S125" t="s">
        <v>11</v>
      </c>
      <c r="T125" t="s">
        <v>1296</v>
      </c>
      <c r="U125" t="s">
        <v>1249</v>
      </c>
      <c r="V125">
        <v>0</v>
      </c>
      <c r="W125" t="s">
        <v>14</v>
      </c>
      <c r="X125" t="s">
        <v>15</v>
      </c>
      <c r="Y125" t="s">
        <v>1296</v>
      </c>
      <c r="Z125" t="s">
        <v>1249</v>
      </c>
      <c r="AA125">
        <v>0</v>
      </c>
      <c r="AB125" t="s">
        <v>18</v>
      </c>
    </row>
    <row r="126" spans="1:28" x14ac:dyDescent="0.3">
      <c r="A126" t="s">
        <v>1221</v>
      </c>
      <c r="B126" t="s">
        <v>1173</v>
      </c>
      <c r="C126" t="s">
        <v>1754</v>
      </c>
      <c r="D126" t="s">
        <v>1224</v>
      </c>
      <c r="E126">
        <v>108</v>
      </c>
      <c r="F126" t="s">
        <v>5</v>
      </c>
      <c r="G126">
        <v>62</v>
      </c>
      <c r="H126" s="2">
        <f t="shared" si="1"/>
        <v>0.57407407407407407</v>
      </c>
      <c r="I126" t="s">
        <v>6</v>
      </c>
      <c r="J126">
        <v>13.052943100362601</v>
      </c>
      <c r="K126" t="s">
        <v>7</v>
      </c>
      <c r="L126">
        <v>0.12086058426261601</v>
      </c>
      <c r="M126" t="s">
        <v>8</v>
      </c>
      <c r="N126">
        <v>1.5116656871759</v>
      </c>
      <c r="O126" t="s">
        <v>9</v>
      </c>
      <c r="P126">
        <v>-1.75370281531615</v>
      </c>
      <c r="Q126" t="s">
        <v>10</v>
      </c>
      <c r="R126">
        <v>0.29268171187325698</v>
      </c>
      <c r="S126" t="s">
        <v>11</v>
      </c>
      <c r="T126" t="s">
        <v>1393</v>
      </c>
      <c r="U126" t="s">
        <v>1394</v>
      </c>
      <c r="V126">
        <v>0</v>
      </c>
      <c r="W126" t="s">
        <v>14</v>
      </c>
      <c r="X126" t="s">
        <v>15</v>
      </c>
      <c r="Y126" t="s">
        <v>1393</v>
      </c>
      <c r="Z126" t="s">
        <v>1394</v>
      </c>
      <c r="AA126">
        <v>0</v>
      </c>
      <c r="AB126" t="s">
        <v>18</v>
      </c>
    </row>
    <row r="127" spans="1:28" x14ac:dyDescent="0.3">
      <c r="A127" t="s">
        <v>1221</v>
      </c>
      <c r="B127" t="s">
        <v>1172</v>
      </c>
      <c r="C127" t="s">
        <v>1753</v>
      </c>
      <c r="D127" t="s">
        <v>1224</v>
      </c>
      <c r="E127">
        <v>108</v>
      </c>
      <c r="F127" t="s">
        <v>5</v>
      </c>
      <c r="G127">
        <v>63</v>
      </c>
      <c r="H127" s="2">
        <f t="shared" si="1"/>
        <v>0.58333333333333337</v>
      </c>
      <c r="I127" t="s">
        <v>6</v>
      </c>
      <c r="J127">
        <v>12.9229431003626</v>
      </c>
      <c r="K127" t="s">
        <v>7</v>
      </c>
      <c r="L127">
        <v>0.11965688055891301</v>
      </c>
      <c r="M127" t="s">
        <v>8</v>
      </c>
      <c r="N127">
        <v>1.4495757556334199</v>
      </c>
      <c r="O127" t="s">
        <v>9</v>
      </c>
      <c r="P127">
        <v>-1.7422295445453999</v>
      </c>
      <c r="Q127" t="s">
        <v>10</v>
      </c>
      <c r="R127">
        <v>0.27114949094088697</v>
      </c>
      <c r="S127" t="s">
        <v>11</v>
      </c>
      <c r="T127" t="s">
        <v>1389</v>
      </c>
      <c r="U127" t="s">
        <v>1390</v>
      </c>
      <c r="V127">
        <v>0</v>
      </c>
      <c r="W127" t="s">
        <v>14</v>
      </c>
      <c r="X127" t="s">
        <v>15</v>
      </c>
      <c r="Y127" t="s">
        <v>1392</v>
      </c>
      <c r="Z127" t="s">
        <v>1284</v>
      </c>
      <c r="AA127">
        <v>0</v>
      </c>
      <c r="AB127" t="s">
        <v>18</v>
      </c>
    </row>
    <row r="128" spans="1:28" x14ac:dyDescent="0.3">
      <c r="A128" t="s">
        <v>1220</v>
      </c>
      <c r="B128" t="s">
        <v>1192</v>
      </c>
      <c r="C128" t="s">
        <v>1698</v>
      </c>
      <c r="D128" t="s">
        <v>1224</v>
      </c>
      <c r="E128">
        <v>140</v>
      </c>
      <c r="F128" t="s">
        <v>5</v>
      </c>
      <c r="G128">
        <v>90</v>
      </c>
      <c r="H128" s="2">
        <f t="shared" si="1"/>
        <v>0.6428571428571429</v>
      </c>
      <c r="I128" t="s">
        <v>6</v>
      </c>
      <c r="J128">
        <v>12.588950191596901</v>
      </c>
      <c r="K128" t="s">
        <v>7</v>
      </c>
      <c r="L128">
        <v>8.9921072797120805E-2</v>
      </c>
      <c r="M128" t="s">
        <v>8</v>
      </c>
      <c r="N128">
        <v>0.72565500212885503</v>
      </c>
      <c r="O128" t="s">
        <v>9</v>
      </c>
      <c r="P128">
        <v>-1.0544</v>
      </c>
      <c r="Q128" t="s">
        <v>10</v>
      </c>
      <c r="R128">
        <v>0.28628854256870501</v>
      </c>
      <c r="S128" t="s">
        <v>11</v>
      </c>
      <c r="T128" t="s">
        <v>1404</v>
      </c>
      <c r="U128" t="s">
        <v>1399</v>
      </c>
      <c r="V128">
        <v>0</v>
      </c>
      <c r="W128" t="s">
        <v>14</v>
      </c>
      <c r="X128" t="s">
        <v>15</v>
      </c>
      <c r="Y128" t="s">
        <v>1404</v>
      </c>
      <c r="Z128" t="s">
        <v>1399</v>
      </c>
      <c r="AA128">
        <v>0</v>
      </c>
      <c r="AB128" t="s">
        <v>18</v>
      </c>
    </row>
    <row r="129" spans="1:28" x14ac:dyDescent="0.3">
      <c r="A129" t="s">
        <v>1221</v>
      </c>
      <c r="B129" t="s">
        <v>1213</v>
      </c>
      <c r="C129" t="s">
        <v>1794</v>
      </c>
      <c r="D129" t="s">
        <v>1224</v>
      </c>
      <c r="E129">
        <v>98</v>
      </c>
      <c r="F129" t="s">
        <v>5</v>
      </c>
      <c r="G129">
        <v>27</v>
      </c>
      <c r="H129" s="2">
        <f t="shared" si="1"/>
        <v>0.27551020408163263</v>
      </c>
      <c r="I129" t="s">
        <v>6</v>
      </c>
      <c r="J129">
        <v>12.278425287395301</v>
      </c>
      <c r="K129" t="s">
        <v>7</v>
      </c>
      <c r="L129">
        <v>0.12529005395301299</v>
      </c>
      <c r="M129" t="s">
        <v>8</v>
      </c>
      <c r="N129">
        <v>2.81</v>
      </c>
      <c r="O129" t="s">
        <v>9</v>
      </c>
      <c r="P129">
        <v>-0.89565598186767104</v>
      </c>
      <c r="Q129" t="s">
        <v>10</v>
      </c>
      <c r="R129">
        <v>0.34016531517232101</v>
      </c>
      <c r="S129" t="s">
        <v>11</v>
      </c>
      <c r="T129" t="s">
        <v>1429</v>
      </c>
      <c r="U129" t="s">
        <v>1376</v>
      </c>
      <c r="V129">
        <v>0</v>
      </c>
      <c r="W129" t="s">
        <v>14</v>
      </c>
      <c r="X129" t="s">
        <v>15</v>
      </c>
      <c r="Y129" t="s">
        <v>1416</v>
      </c>
      <c r="Z129" t="s">
        <v>1376</v>
      </c>
      <c r="AA129">
        <v>0</v>
      </c>
      <c r="AB129" t="s">
        <v>18</v>
      </c>
    </row>
    <row r="130" spans="1:28" x14ac:dyDescent="0.3">
      <c r="A130" t="s">
        <v>1220</v>
      </c>
      <c r="B130" t="s">
        <v>1195</v>
      </c>
      <c r="C130" t="s">
        <v>1701</v>
      </c>
      <c r="D130" t="s">
        <v>1224</v>
      </c>
      <c r="E130">
        <v>136</v>
      </c>
      <c r="F130" t="s">
        <v>5</v>
      </c>
      <c r="G130">
        <v>84</v>
      </c>
      <c r="H130" s="2">
        <f t="shared" si="1"/>
        <v>0.61764705882352944</v>
      </c>
      <c r="I130" t="s">
        <v>6</v>
      </c>
      <c r="J130">
        <v>12.1982744972865</v>
      </c>
      <c r="K130" t="s">
        <v>7</v>
      </c>
      <c r="L130">
        <v>8.9693194832989404E-2</v>
      </c>
      <c r="M130" t="s">
        <v>8</v>
      </c>
      <c r="N130">
        <v>1.01723450832509</v>
      </c>
      <c r="O130" t="s">
        <v>9</v>
      </c>
      <c r="P130">
        <v>-1.40864277311579</v>
      </c>
      <c r="Q130" t="s">
        <v>10</v>
      </c>
      <c r="R130">
        <v>0.27217597381202702</v>
      </c>
      <c r="S130" t="s">
        <v>11</v>
      </c>
      <c r="T130" t="s">
        <v>1405</v>
      </c>
      <c r="U130" t="s">
        <v>1406</v>
      </c>
      <c r="V130">
        <v>0</v>
      </c>
      <c r="W130" t="s">
        <v>14</v>
      </c>
      <c r="X130" t="s">
        <v>15</v>
      </c>
      <c r="Y130" t="s">
        <v>1405</v>
      </c>
      <c r="Z130" t="s">
        <v>1406</v>
      </c>
      <c r="AA130">
        <v>0</v>
      </c>
      <c r="AB130" t="s">
        <v>18</v>
      </c>
    </row>
    <row r="131" spans="1:28" x14ac:dyDescent="0.3">
      <c r="A131" t="s">
        <v>1221</v>
      </c>
      <c r="B131" t="s">
        <v>1166</v>
      </c>
      <c r="C131" t="s">
        <v>1747</v>
      </c>
      <c r="D131" t="s">
        <v>1224</v>
      </c>
      <c r="E131">
        <v>98</v>
      </c>
      <c r="F131" t="s">
        <v>5</v>
      </c>
      <c r="G131">
        <v>61</v>
      </c>
      <c r="H131" s="2">
        <f t="shared" ref="H131:H194" si="2">G131/E131</f>
        <v>0.62244897959183676</v>
      </c>
      <c r="I131" t="s">
        <v>6</v>
      </c>
      <c r="J131">
        <v>11.749999999999901</v>
      </c>
      <c r="K131" t="s">
        <v>7</v>
      </c>
      <c r="L131">
        <v>0.11989795918367301</v>
      </c>
      <c r="M131" t="s">
        <v>8</v>
      </c>
      <c r="N131">
        <v>1.1834426229508099</v>
      </c>
      <c r="O131" t="s">
        <v>9</v>
      </c>
      <c r="P131">
        <v>-1.6335135135135099</v>
      </c>
      <c r="Q131" t="s">
        <v>10</v>
      </c>
      <c r="R131">
        <v>0.22741593547056699</v>
      </c>
      <c r="S131" t="s">
        <v>11</v>
      </c>
      <c r="T131" t="s">
        <v>1248</v>
      </c>
      <c r="U131" t="s">
        <v>1249</v>
      </c>
      <c r="V131">
        <v>0</v>
      </c>
      <c r="W131" t="s">
        <v>14</v>
      </c>
      <c r="X131" t="s">
        <v>15</v>
      </c>
      <c r="Y131" t="s">
        <v>1248</v>
      </c>
      <c r="Z131" t="s">
        <v>1249</v>
      </c>
      <c r="AA131">
        <v>0</v>
      </c>
      <c r="AB131" t="s">
        <v>18</v>
      </c>
    </row>
    <row r="132" spans="1:28" x14ac:dyDescent="0.3">
      <c r="A132" t="s">
        <v>1221</v>
      </c>
      <c r="B132" t="s">
        <v>1197</v>
      </c>
      <c r="C132" t="s">
        <v>1778</v>
      </c>
      <c r="D132" t="s">
        <v>1224</v>
      </c>
      <c r="E132">
        <v>98</v>
      </c>
      <c r="F132" t="s">
        <v>5</v>
      </c>
      <c r="G132">
        <v>59</v>
      </c>
      <c r="H132" s="2">
        <f t="shared" si="2"/>
        <v>0.60204081632653061</v>
      </c>
      <c r="I132" t="s">
        <v>6</v>
      </c>
      <c r="J132">
        <v>11.4489501915969</v>
      </c>
      <c r="K132" t="s">
        <v>7</v>
      </c>
      <c r="L132">
        <v>0.116826022363233</v>
      </c>
      <c r="M132" t="s">
        <v>8</v>
      </c>
      <c r="N132">
        <v>0.93998220663723597</v>
      </c>
      <c r="O132" t="s">
        <v>9</v>
      </c>
      <c r="P132">
        <v>-1.12846153846153</v>
      </c>
      <c r="Q132" t="s">
        <v>10</v>
      </c>
      <c r="R132">
        <v>0.21705515070088499</v>
      </c>
      <c r="S132" t="s">
        <v>11</v>
      </c>
      <c r="T132" t="s">
        <v>1427</v>
      </c>
      <c r="U132" t="s">
        <v>1249</v>
      </c>
      <c r="V132">
        <v>0</v>
      </c>
      <c r="W132" t="s">
        <v>14</v>
      </c>
      <c r="X132" t="s">
        <v>15</v>
      </c>
      <c r="Y132" t="s">
        <v>1427</v>
      </c>
      <c r="Z132" t="s">
        <v>1249</v>
      </c>
      <c r="AA132">
        <v>0</v>
      </c>
      <c r="AB132" t="s">
        <v>18</v>
      </c>
    </row>
    <row r="133" spans="1:28" x14ac:dyDescent="0.3">
      <c r="A133" t="s">
        <v>1221</v>
      </c>
      <c r="B133" t="s">
        <v>1198</v>
      </c>
      <c r="C133" t="s">
        <v>1779</v>
      </c>
      <c r="D133" t="s">
        <v>1224</v>
      </c>
      <c r="E133">
        <v>98</v>
      </c>
      <c r="F133" t="s">
        <v>5</v>
      </c>
      <c r="G133">
        <v>59</v>
      </c>
      <c r="H133" s="2">
        <f t="shared" si="2"/>
        <v>0.60204081632653061</v>
      </c>
      <c r="I133" t="s">
        <v>6</v>
      </c>
      <c r="J133">
        <v>11.4489501915969</v>
      </c>
      <c r="K133" t="s">
        <v>7</v>
      </c>
      <c r="L133">
        <v>0.116826022363233</v>
      </c>
      <c r="M133" t="s">
        <v>8</v>
      </c>
      <c r="N133">
        <v>0.93998220663723597</v>
      </c>
      <c r="O133" t="s">
        <v>9</v>
      </c>
      <c r="P133">
        <v>-1.12846153846153</v>
      </c>
      <c r="Q133" t="s">
        <v>10</v>
      </c>
      <c r="R133">
        <v>0.21705515070088499</v>
      </c>
      <c r="S133" t="s">
        <v>11</v>
      </c>
      <c r="T133" t="s">
        <v>1427</v>
      </c>
      <c r="U133" t="s">
        <v>1249</v>
      </c>
      <c r="V133">
        <v>0</v>
      </c>
      <c r="W133" t="s">
        <v>14</v>
      </c>
      <c r="X133" t="s">
        <v>15</v>
      </c>
      <c r="Y133" t="s">
        <v>1427</v>
      </c>
      <c r="Z133" t="s">
        <v>1249</v>
      </c>
      <c r="AA133">
        <v>0</v>
      </c>
      <c r="AB133" t="s">
        <v>18</v>
      </c>
    </row>
    <row r="134" spans="1:28" x14ac:dyDescent="0.3">
      <c r="A134" t="s">
        <v>1221</v>
      </c>
      <c r="B134" t="s">
        <v>1218</v>
      </c>
      <c r="C134" t="s">
        <v>1799</v>
      </c>
      <c r="D134" t="s">
        <v>1224</v>
      </c>
      <c r="E134">
        <v>108</v>
      </c>
      <c r="F134" t="s">
        <v>5</v>
      </c>
      <c r="G134">
        <v>25</v>
      </c>
      <c r="H134" s="2">
        <f t="shared" si="2"/>
        <v>0.23148148148148148</v>
      </c>
      <c r="I134" t="s">
        <v>6</v>
      </c>
      <c r="J134">
        <v>11.224040247554299</v>
      </c>
      <c r="K134" t="s">
        <v>7</v>
      </c>
      <c r="L134">
        <v>0.103926298588466</v>
      </c>
      <c r="M134" t="s">
        <v>8</v>
      </c>
      <c r="N134">
        <v>3.87</v>
      </c>
      <c r="O134" t="s">
        <v>9</v>
      </c>
      <c r="P134">
        <v>-1.03043325002946</v>
      </c>
      <c r="Q134" t="s">
        <v>10</v>
      </c>
      <c r="R134">
        <v>0.32474364000053102</v>
      </c>
      <c r="S134" t="s">
        <v>11</v>
      </c>
      <c r="T134" t="s">
        <v>1433</v>
      </c>
      <c r="U134" t="s">
        <v>1434</v>
      </c>
      <c r="V134">
        <v>0</v>
      </c>
      <c r="W134" t="s">
        <v>14</v>
      </c>
      <c r="X134" t="s">
        <v>15</v>
      </c>
      <c r="Y134" t="s">
        <v>1419</v>
      </c>
      <c r="Z134" t="s">
        <v>206</v>
      </c>
      <c r="AA134">
        <v>0</v>
      </c>
      <c r="AB134" t="s">
        <v>18</v>
      </c>
    </row>
    <row r="135" spans="1:28" x14ac:dyDescent="0.3">
      <c r="A135" t="s">
        <v>1223</v>
      </c>
      <c r="B135" t="s">
        <v>1144</v>
      </c>
      <c r="C135" t="s">
        <v>1875</v>
      </c>
      <c r="D135" t="s">
        <v>1224</v>
      </c>
      <c r="E135">
        <v>224</v>
      </c>
      <c r="F135" t="s">
        <v>5</v>
      </c>
      <c r="G135">
        <v>138</v>
      </c>
      <c r="H135" s="2">
        <f t="shared" si="2"/>
        <v>0.6160714285714286</v>
      </c>
      <c r="I135" t="s">
        <v>6</v>
      </c>
      <c r="J135">
        <v>11</v>
      </c>
      <c r="K135" t="s">
        <v>7</v>
      </c>
      <c r="L135">
        <v>4.9107142857143002E-2</v>
      </c>
      <c r="M135" t="s">
        <v>8</v>
      </c>
      <c r="N135">
        <v>1.1576086956521701</v>
      </c>
      <c r="O135" t="s">
        <v>9</v>
      </c>
      <c r="P135">
        <v>-1.7296511627906901</v>
      </c>
      <c r="Q135" t="s">
        <v>10</v>
      </c>
      <c r="R135">
        <v>0.41496696594665999</v>
      </c>
      <c r="S135" t="s">
        <v>11</v>
      </c>
      <c r="T135" t="s">
        <v>1329</v>
      </c>
      <c r="U135" t="s">
        <v>1232</v>
      </c>
      <c r="V135">
        <v>0</v>
      </c>
      <c r="W135" t="s">
        <v>14</v>
      </c>
      <c r="X135" t="s">
        <v>15</v>
      </c>
      <c r="Y135" t="s">
        <v>1461</v>
      </c>
      <c r="Z135" t="s">
        <v>1320</v>
      </c>
      <c r="AA135">
        <v>0</v>
      </c>
      <c r="AB135" t="s">
        <v>18</v>
      </c>
    </row>
    <row r="136" spans="1:28" x14ac:dyDescent="0.3">
      <c r="A136" t="s">
        <v>1220</v>
      </c>
      <c r="B136" t="s">
        <v>1189</v>
      </c>
      <c r="C136" t="s">
        <v>1695</v>
      </c>
      <c r="D136" t="s">
        <v>1224</v>
      </c>
      <c r="E136">
        <v>140</v>
      </c>
      <c r="F136" t="s">
        <v>5</v>
      </c>
      <c r="G136">
        <v>92</v>
      </c>
      <c r="H136" s="2">
        <f t="shared" si="2"/>
        <v>0.65714285714285714</v>
      </c>
      <c r="I136" t="s">
        <v>6</v>
      </c>
      <c r="J136">
        <v>10.8789501915969</v>
      </c>
      <c r="K136" t="s">
        <v>7</v>
      </c>
      <c r="L136">
        <v>7.7706787082835196E-2</v>
      </c>
      <c r="M136" t="s">
        <v>8</v>
      </c>
      <c r="N136">
        <v>0.66727119773474897</v>
      </c>
      <c r="O136" t="s">
        <v>9</v>
      </c>
      <c r="P136">
        <v>-1.05229166666666</v>
      </c>
      <c r="Q136" t="s">
        <v>10</v>
      </c>
      <c r="R136">
        <v>0.23375511913896799</v>
      </c>
      <c r="S136" t="s">
        <v>11</v>
      </c>
      <c r="T136" t="s">
        <v>1404</v>
      </c>
      <c r="U136" t="s">
        <v>1399</v>
      </c>
      <c r="V136">
        <v>0</v>
      </c>
      <c r="W136" t="s">
        <v>14</v>
      </c>
      <c r="X136" t="s">
        <v>15</v>
      </c>
      <c r="Y136" t="s">
        <v>1404</v>
      </c>
      <c r="Z136" t="s">
        <v>1399</v>
      </c>
      <c r="AA136">
        <v>0</v>
      </c>
      <c r="AB136" t="s">
        <v>18</v>
      </c>
    </row>
    <row r="137" spans="1:28" x14ac:dyDescent="0.3">
      <c r="A137" t="s">
        <v>1220</v>
      </c>
      <c r="B137" t="s">
        <v>1145</v>
      </c>
      <c r="C137" t="s">
        <v>1651</v>
      </c>
      <c r="D137" t="s">
        <v>1224</v>
      </c>
      <c r="E137">
        <v>140</v>
      </c>
      <c r="F137" t="s">
        <v>5</v>
      </c>
      <c r="G137">
        <v>83</v>
      </c>
      <c r="H137" s="2">
        <f t="shared" si="2"/>
        <v>0.59285714285714286</v>
      </c>
      <c r="I137" t="s">
        <v>6</v>
      </c>
      <c r="J137">
        <v>10.45</v>
      </c>
      <c r="K137" t="s">
        <v>7</v>
      </c>
      <c r="L137">
        <v>7.4642857142857302E-2</v>
      </c>
      <c r="M137" t="s">
        <v>8</v>
      </c>
      <c r="N137">
        <v>1.34</v>
      </c>
      <c r="O137" t="s">
        <v>9</v>
      </c>
      <c r="P137">
        <v>-1.7678947368421001</v>
      </c>
      <c r="Q137" t="s">
        <v>10</v>
      </c>
      <c r="R137">
        <v>0.37592836391135498</v>
      </c>
      <c r="S137" t="s">
        <v>11</v>
      </c>
      <c r="T137" t="s">
        <v>1374</v>
      </c>
      <c r="U137" t="s">
        <v>742</v>
      </c>
      <c r="V137">
        <v>0</v>
      </c>
      <c r="W137" t="s">
        <v>14</v>
      </c>
      <c r="X137" t="s">
        <v>15</v>
      </c>
      <c r="Y137" t="s">
        <v>1374</v>
      </c>
      <c r="Z137" t="s">
        <v>742</v>
      </c>
      <c r="AA137">
        <v>0</v>
      </c>
      <c r="AB137" t="s">
        <v>18</v>
      </c>
    </row>
    <row r="138" spans="1:28" x14ac:dyDescent="0.3">
      <c r="A138" t="s">
        <v>1221</v>
      </c>
      <c r="B138" t="s">
        <v>1184</v>
      </c>
      <c r="C138" t="s">
        <v>1765</v>
      </c>
      <c r="D138" t="s">
        <v>1224</v>
      </c>
      <c r="E138">
        <v>108</v>
      </c>
      <c r="F138" t="s">
        <v>5</v>
      </c>
      <c r="G138">
        <v>55</v>
      </c>
      <c r="H138" s="2">
        <f t="shared" si="2"/>
        <v>0.5092592592592593</v>
      </c>
      <c r="I138" t="s">
        <v>6</v>
      </c>
      <c r="J138">
        <v>10.023974450146699</v>
      </c>
      <c r="K138" t="s">
        <v>7</v>
      </c>
      <c r="L138">
        <v>9.2814578242099294E-2</v>
      </c>
      <c r="M138" t="s">
        <v>8</v>
      </c>
      <c r="N138">
        <v>1.29176861447527</v>
      </c>
      <c r="O138" t="s">
        <v>9</v>
      </c>
      <c r="P138">
        <v>-1.15138300652817</v>
      </c>
      <c r="Q138" t="s">
        <v>10</v>
      </c>
      <c r="R138">
        <v>0.21188405951363601</v>
      </c>
      <c r="S138" t="s">
        <v>11</v>
      </c>
      <c r="T138" t="s">
        <v>1400</v>
      </c>
      <c r="U138" t="s">
        <v>1390</v>
      </c>
      <c r="V138">
        <v>0</v>
      </c>
      <c r="W138" t="s">
        <v>14</v>
      </c>
      <c r="X138" t="s">
        <v>15</v>
      </c>
      <c r="Y138" t="s">
        <v>1400</v>
      </c>
      <c r="Z138" t="s">
        <v>1390</v>
      </c>
      <c r="AA138">
        <v>0</v>
      </c>
      <c r="AB138" t="s">
        <v>18</v>
      </c>
    </row>
    <row r="139" spans="1:28" x14ac:dyDescent="0.3">
      <c r="A139" t="s">
        <v>1221</v>
      </c>
      <c r="B139" t="s">
        <v>1170</v>
      </c>
      <c r="C139" t="s">
        <v>1751</v>
      </c>
      <c r="D139" t="s">
        <v>1224</v>
      </c>
      <c r="E139">
        <v>108</v>
      </c>
      <c r="F139" t="s">
        <v>5</v>
      </c>
      <c r="G139">
        <v>66</v>
      </c>
      <c r="H139" s="2">
        <f t="shared" si="2"/>
        <v>0.61111111111111116</v>
      </c>
      <c r="I139" t="s">
        <v>6</v>
      </c>
      <c r="J139">
        <v>9.7429431003626199</v>
      </c>
      <c r="K139" t="s">
        <v>7</v>
      </c>
      <c r="L139">
        <v>9.0212436114468705E-2</v>
      </c>
      <c r="M139" t="s">
        <v>8</v>
      </c>
      <c r="N139">
        <v>1.2670192818925099</v>
      </c>
      <c r="O139" t="s">
        <v>9</v>
      </c>
      <c r="P139">
        <v>-1.7590554643938801</v>
      </c>
      <c r="Q139" t="s">
        <v>10</v>
      </c>
      <c r="R139">
        <v>0.22756678056957899</v>
      </c>
      <c r="S139" t="s">
        <v>11</v>
      </c>
      <c r="T139" t="s">
        <v>1389</v>
      </c>
      <c r="U139" t="s">
        <v>1390</v>
      </c>
      <c r="V139">
        <v>0</v>
      </c>
      <c r="W139" t="s">
        <v>14</v>
      </c>
      <c r="X139" t="s">
        <v>15</v>
      </c>
      <c r="Y139" t="s">
        <v>1389</v>
      </c>
      <c r="Z139" t="s">
        <v>1390</v>
      </c>
      <c r="AA139">
        <v>0</v>
      </c>
      <c r="AB139" t="s">
        <v>18</v>
      </c>
    </row>
    <row r="140" spans="1:28" x14ac:dyDescent="0.3">
      <c r="A140" t="s">
        <v>1221</v>
      </c>
      <c r="B140" t="s">
        <v>1175</v>
      </c>
      <c r="C140" t="s">
        <v>1756</v>
      </c>
      <c r="D140" t="s">
        <v>1224</v>
      </c>
      <c r="E140">
        <v>102</v>
      </c>
      <c r="F140" t="s">
        <v>5</v>
      </c>
      <c r="G140">
        <v>40</v>
      </c>
      <c r="H140" s="2">
        <f t="shared" si="2"/>
        <v>0.39215686274509803</v>
      </c>
      <c r="I140" t="s">
        <v>6</v>
      </c>
      <c r="J140">
        <v>9.4000000000000199</v>
      </c>
      <c r="K140" t="s">
        <v>7</v>
      </c>
      <c r="L140">
        <v>9.2156862745098295E-2</v>
      </c>
      <c r="M140" t="s">
        <v>8</v>
      </c>
      <c r="N140">
        <v>1.9677500000000001</v>
      </c>
      <c r="O140" t="s">
        <v>9</v>
      </c>
      <c r="P140">
        <v>-1.1179032258064501</v>
      </c>
      <c r="Q140" t="s">
        <v>10</v>
      </c>
      <c r="R140">
        <v>0.31241006767658303</v>
      </c>
      <c r="S140" t="s">
        <v>11</v>
      </c>
      <c r="T140" t="s">
        <v>1396</v>
      </c>
      <c r="U140" t="s">
        <v>794</v>
      </c>
      <c r="V140">
        <v>0</v>
      </c>
      <c r="W140" t="s">
        <v>14</v>
      </c>
      <c r="X140" t="s">
        <v>15</v>
      </c>
      <c r="Y140" t="s">
        <v>1396</v>
      </c>
      <c r="Z140" t="s">
        <v>794</v>
      </c>
      <c r="AA140">
        <v>0</v>
      </c>
      <c r="AB140" t="s">
        <v>18</v>
      </c>
    </row>
    <row r="141" spans="1:28" x14ac:dyDescent="0.3">
      <c r="A141" t="s">
        <v>1219</v>
      </c>
      <c r="B141" t="s">
        <v>1191</v>
      </c>
      <c r="C141" t="s">
        <v>1622</v>
      </c>
      <c r="D141" t="s">
        <v>1224</v>
      </c>
      <c r="E141">
        <v>191</v>
      </c>
      <c r="F141" t="s">
        <v>5</v>
      </c>
      <c r="G141">
        <v>114</v>
      </c>
      <c r="H141" s="2">
        <f t="shared" si="2"/>
        <v>0.59685863874345546</v>
      </c>
      <c r="I141" t="s">
        <v>6</v>
      </c>
      <c r="J141">
        <v>9.2900000000000595</v>
      </c>
      <c r="K141" t="s">
        <v>7</v>
      </c>
      <c r="L141">
        <v>4.86387434554977E-2</v>
      </c>
      <c r="M141" t="s">
        <v>8</v>
      </c>
      <c r="N141">
        <v>0.88412280701754398</v>
      </c>
      <c r="O141" t="s">
        <v>9</v>
      </c>
      <c r="P141">
        <v>-1.20394736842105</v>
      </c>
      <c r="Q141" t="s">
        <v>10</v>
      </c>
      <c r="R141">
        <v>0.329889619154072</v>
      </c>
      <c r="S141" t="s">
        <v>11</v>
      </c>
      <c r="T141" t="s">
        <v>1348</v>
      </c>
      <c r="U141" t="s">
        <v>1232</v>
      </c>
      <c r="V141">
        <v>0</v>
      </c>
      <c r="W141" t="s">
        <v>14</v>
      </c>
      <c r="X141" t="s">
        <v>15</v>
      </c>
      <c r="Y141" t="s">
        <v>1349</v>
      </c>
      <c r="Z141" t="s">
        <v>1350</v>
      </c>
      <c r="AA141">
        <v>0</v>
      </c>
      <c r="AB141" t="s">
        <v>18</v>
      </c>
    </row>
    <row r="142" spans="1:28" x14ac:dyDescent="0.3">
      <c r="A142" t="s">
        <v>1221</v>
      </c>
      <c r="B142" t="s">
        <v>1157</v>
      </c>
      <c r="C142" t="s">
        <v>1738</v>
      </c>
      <c r="D142" t="s">
        <v>1224</v>
      </c>
      <c r="E142">
        <v>108</v>
      </c>
      <c r="F142" t="s">
        <v>5</v>
      </c>
      <c r="G142">
        <v>54</v>
      </c>
      <c r="H142" s="2">
        <f t="shared" si="2"/>
        <v>0.5</v>
      </c>
      <c r="I142" t="s">
        <v>6</v>
      </c>
      <c r="J142">
        <v>8.7675495294750903</v>
      </c>
      <c r="K142" t="s">
        <v>7</v>
      </c>
      <c r="L142">
        <v>8.1181014161806397E-2</v>
      </c>
      <c r="M142" t="s">
        <v>8</v>
      </c>
      <c r="N142">
        <v>1.9536122391567901</v>
      </c>
      <c r="O142" t="s">
        <v>9</v>
      </c>
      <c r="P142">
        <v>-1.79125021083318</v>
      </c>
      <c r="Q142" t="s">
        <v>10</v>
      </c>
      <c r="R142">
        <v>0.302482831231697</v>
      </c>
      <c r="S142" t="s">
        <v>11</v>
      </c>
      <c r="T142" t="s">
        <v>746</v>
      </c>
      <c r="U142" t="s">
        <v>1421</v>
      </c>
      <c r="V142">
        <v>0</v>
      </c>
      <c r="W142" t="s">
        <v>14</v>
      </c>
      <c r="X142" t="s">
        <v>15</v>
      </c>
      <c r="Y142" t="s">
        <v>1385</v>
      </c>
      <c r="Z142" t="s">
        <v>1386</v>
      </c>
      <c r="AA142">
        <v>0</v>
      </c>
      <c r="AB142" t="s">
        <v>18</v>
      </c>
    </row>
    <row r="143" spans="1:28" x14ac:dyDescent="0.3">
      <c r="A143" t="s">
        <v>1221</v>
      </c>
      <c r="B143" t="s">
        <v>1167</v>
      </c>
      <c r="C143" t="s">
        <v>1748</v>
      </c>
      <c r="D143" t="s">
        <v>1224</v>
      </c>
      <c r="E143">
        <v>98</v>
      </c>
      <c r="F143" t="s">
        <v>5</v>
      </c>
      <c r="G143">
        <v>59</v>
      </c>
      <c r="H143" s="2">
        <f t="shared" si="2"/>
        <v>0.60204081632653061</v>
      </c>
      <c r="I143" t="s">
        <v>6</v>
      </c>
      <c r="J143">
        <v>8.2799999999999994</v>
      </c>
      <c r="K143" t="s">
        <v>7</v>
      </c>
      <c r="L143">
        <v>8.4489795918367402E-2</v>
      </c>
      <c r="M143" t="s">
        <v>8</v>
      </c>
      <c r="N143">
        <v>1.2174576271186399</v>
      </c>
      <c r="O143" t="s">
        <v>9</v>
      </c>
      <c r="P143">
        <v>-1.6294871794871699</v>
      </c>
      <c r="Q143" t="s">
        <v>10</v>
      </c>
      <c r="R143">
        <v>0.26679320964526398</v>
      </c>
      <c r="S143" t="s">
        <v>11</v>
      </c>
      <c r="T143" t="s">
        <v>1248</v>
      </c>
      <c r="U143" t="s">
        <v>1249</v>
      </c>
      <c r="V143">
        <v>0</v>
      </c>
      <c r="W143" t="s">
        <v>14</v>
      </c>
      <c r="X143" t="s">
        <v>15</v>
      </c>
      <c r="Y143" t="s">
        <v>1248</v>
      </c>
      <c r="Z143" t="s">
        <v>1249</v>
      </c>
      <c r="AA143">
        <v>0</v>
      </c>
      <c r="AB143" t="s">
        <v>18</v>
      </c>
    </row>
    <row r="144" spans="1:28" x14ac:dyDescent="0.3">
      <c r="A144" t="s">
        <v>1221</v>
      </c>
      <c r="B144" t="s">
        <v>1150</v>
      </c>
      <c r="C144" t="s">
        <v>1731</v>
      </c>
      <c r="D144" t="s">
        <v>1224</v>
      </c>
      <c r="E144">
        <v>98</v>
      </c>
      <c r="F144" t="s">
        <v>5</v>
      </c>
      <c r="G144">
        <v>57</v>
      </c>
      <c r="H144" s="2">
        <f t="shared" si="2"/>
        <v>0.58163265306122447</v>
      </c>
      <c r="I144" t="s">
        <v>6</v>
      </c>
      <c r="J144">
        <v>8.1300000000000505</v>
      </c>
      <c r="K144" t="s">
        <v>7</v>
      </c>
      <c r="L144">
        <v>8.2959183673469897E-2</v>
      </c>
      <c r="M144" t="s">
        <v>8</v>
      </c>
      <c r="N144">
        <v>1.4350877192982401</v>
      </c>
      <c r="O144" t="s">
        <v>9</v>
      </c>
      <c r="P144">
        <v>-1.7968292682926801</v>
      </c>
      <c r="Q144" t="s">
        <v>10</v>
      </c>
      <c r="R144">
        <v>0.24625303788863201</v>
      </c>
      <c r="S144" t="s">
        <v>11</v>
      </c>
      <c r="T144" t="s">
        <v>1375</v>
      </c>
      <c r="U144" t="s">
        <v>1376</v>
      </c>
      <c r="V144">
        <v>0</v>
      </c>
      <c r="W144" t="s">
        <v>14</v>
      </c>
      <c r="X144" t="s">
        <v>15</v>
      </c>
      <c r="Y144" t="s">
        <v>1377</v>
      </c>
      <c r="Z144" t="s">
        <v>1376</v>
      </c>
      <c r="AA144">
        <v>0</v>
      </c>
      <c r="AB144" t="s">
        <v>18</v>
      </c>
    </row>
    <row r="145" spans="1:28" x14ac:dyDescent="0.3">
      <c r="A145" t="s">
        <v>1221</v>
      </c>
      <c r="B145" t="s">
        <v>1146</v>
      </c>
      <c r="C145" t="s">
        <v>1727</v>
      </c>
      <c r="D145" t="s">
        <v>1224</v>
      </c>
      <c r="E145">
        <v>102</v>
      </c>
      <c r="F145" t="s">
        <v>5</v>
      </c>
      <c r="G145">
        <v>62</v>
      </c>
      <c r="H145" s="2">
        <f t="shared" si="2"/>
        <v>0.60784313725490191</v>
      </c>
      <c r="I145" t="s">
        <v>6</v>
      </c>
      <c r="J145">
        <v>8.0900000000000301</v>
      </c>
      <c r="K145" t="s">
        <v>7</v>
      </c>
      <c r="L145">
        <v>7.9313725490196399E-2</v>
      </c>
      <c r="M145" t="s">
        <v>8</v>
      </c>
      <c r="N145">
        <v>1.2229032258064501</v>
      </c>
      <c r="O145" t="s">
        <v>9</v>
      </c>
      <c r="P145">
        <v>-1.6932499999999899</v>
      </c>
      <c r="Q145" t="s">
        <v>10</v>
      </c>
      <c r="R145">
        <v>0.25356470312993701</v>
      </c>
      <c r="S145" t="s">
        <v>11</v>
      </c>
      <c r="T145" t="s">
        <v>1329</v>
      </c>
      <c r="U145" t="s">
        <v>1232</v>
      </c>
      <c r="V145">
        <v>0</v>
      </c>
      <c r="W145" t="s">
        <v>14</v>
      </c>
      <c r="X145" t="s">
        <v>15</v>
      </c>
      <c r="Y145" t="s">
        <v>1329</v>
      </c>
      <c r="Z145" t="s">
        <v>1232</v>
      </c>
      <c r="AA145">
        <v>0</v>
      </c>
      <c r="AB145" t="s">
        <v>18</v>
      </c>
    </row>
    <row r="146" spans="1:28" x14ac:dyDescent="0.3">
      <c r="A146" t="s">
        <v>1220</v>
      </c>
      <c r="B146" t="s">
        <v>1188</v>
      </c>
      <c r="C146" t="s">
        <v>1694</v>
      </c>
      <c r="D146" t="s">
        <v>1224</v>
      </c>
      <c r="E146">
        <v>144</v>
      </c>
      <c r="F146" t="s">
        <v>5</v>
      </c>
      <c r="G146">
        <v>35</v>
      </c>
      <c r="H146" s="2">
        <f t="shared" si="2"/>
        <v>0.24305555555555555</v>
      </c>
      <c r="I146" t="s">
        <v>6</v>
      </c>
      <c r="J146">
        <v>7.8676278479738704</v>
      </c>
      <c r="K146" t="s">
        <v>7</v>
      </c>
      <c r="L146">
        <v>5.4636304499818503E-2</v>
      </c>
      <c r="M146" t="s">
        <v>8</v>
      </c>
      <c r="N146">
        <v>4.49771428571428</v>
      </c>
      <c r="O146" t="s">
        <v>9</v>
      </c>
      <c r="P146">
        <v>-1.37204011148647</v>
      </c>
      <c r="Q146" t="s">
        <v>10</v>
      </c>
      <c r="R146">
        <v>0.52429018531668203</v>
      </c>
      <c r="S146" t="s">
        <v>11</v>
      </c>
      <c r="T146" t="s">
        <v>1403</v>
      </c>
      <c r="U146" t="s">
        <v>158</v>
      </c>
      <c r="V146">
        <v>0</v>
      </c>
      <c r="W146" t="s">
        <v>14</v>
      </c>
      <c r="X146" t="s">
        <v>15</v>
      </c>
      <c r="Y146" t="s">
        <v>1401</v>
      </c>
      <c r="Z146" t="s">
        <v>206</v>
      </c>
      <c r="AA146">
        <v>0</v>
      </c>
      <c r="AB146" t="s">
        <v>18</v>
      </c>
    </row>
    <row r="147" spans="1:28" x14ac:dyDescent="0.3">
      <c r="A147" t="s">
        <v>1220</v>
      </c>
      <c r="B147" t="s">
        <v>1169</v>
      </c>
      <c r="C147" t="s">
        <v>1675</v>
      </c>
      <c r="D147" t="s">
        <v>1224</v>
      </c>
      <c r="E147">
        <v>144</v>
      </c>
      <c r="F147" t="s">
        <v>5</v>
      </c>
      <c r="G147">
        <v>91</v>
      </c>
      <c r="H147" s="2">
        <f t="shared" si="2"/>
        <v>0.63194444444444442</v>
      </c>
      <c r="I147" t="s">
        <v>6</v>
      </c>
      <c r="J147">
        <v>7.8259537864895998</v>
      </c>
      <c r="K147" t="s">
        <v>7</v>
      </c>
      <c r="L147">
        <v>5.4346901295066599E-2</v>
      </c>
      <c r="M147" t="s">
        <v>8</v>
      </c>
      <c r="N147">
        <v>1.1177997386385401</v>
      </c>
      <c r="O147" t="s">
        <v>9</v>
      </c>
      <c r="P147">
        <v>-1.7715815552758001</v>
      </c>
      <c r="Q147" t="s">
        <v>10</v>
      </c>
      <c r="R147">
        <v>0.281190353830782</v>
      </c>
      <c r="S147" t="s">
        <v>11</v>
      </c>
      <c r="T147" t="s">
        <v>1389</v>
      </c>
      <c r="U147" t="s">
        <v>1390</v>
      </c>
      <c r="V147">
        <v>0</v>
      </c>
      <c r="W147" t="s">
        <v>14</v>
      </c>
      <c r="X147" t="s">
        <v>15</v>
      </c>
      <c r="Y147" t="s">
        <v>1389</v>
      </c>
      <c r="Z147" t="s">
        <v>1390</v>
      </c>
      <c r="AA147">
        <v>0</v>
      </c>
      <c r="AB147" t="s">
        <v>18</v>
      </c>
    </row>
    <row r="148" spans="1:28" x14ac:dyDescent="0.3">
      <c r="A148" t="s">
        <v>1221</v>
      </c>
      <c r="B148" t="s">
        <v>1147</v>
      </c>
      <c r="C148" t="s">
        <v>1728</v>
      </c>
      <c r="D148" t="s">
        <v>1224</v>
      </c>
      <c r="E148">
        <v>102</v>
      </c>
      <c r="F148" t="s">
        <v>5</v>
      </c>
      <c r="G148">
        <v>62</v>
      </c>
      <c r="H148" s="2">
        <f t="shared" si="2"/>
        <v>0.60784313725490191</v>
      </c>
      <c r="I148" t="s">
        <v>6</v>
      </c>
      <c r="J148">
        <v>7.73000000000002</v>
      </c>
      <c r="K148" t="s">
        <v>7</v>
      </c>
      <c r="L148">
        <v>7.5784313725490396E-2</v>
      </c>
      <c r="M148" t="s">
        <v>8</v>
      </c>
      <c r="N148">
        <v>1.2170967741935399</v>
      </c>
      <c r="O148" t="s">
        <v>9</v>
      </c>
      <c r="P148">
        <v>-1.6932499999999899</v>
      </c>
      <c r="Q148" t="s">
        <v>10</v>
      </c>
      <c r="R148">
        <v>0.26057489758145003</v>
      </c>
      <c r="S148" t="s">
        <v>11</v>
      </c>
      <c r="T148" t="s">
        <v>1329</v>
      </c>
      <c r="U148" t="s">
        <v>1232</v>
      </c>
      <c r="V148">
        <v>0</v>
      </c>
      <c r="W148" t="s">
        <v>14</v>
      </c>
      <c r="X148" t="s">
        <v>15</v>
      </c>
      <c r="Y148" t="s">
        <v>1329</v>
      </c>
      <c r="Z148" t="s">
        <v>1232</v>
      </c>
      <c r="AA148">
        <v>0</v>
      </c>
      <c r="AB148" t="s">
        <v>18</v>
      </c>
    </row>
    <row r="149" spans="1:28" x14ac:dyDescent="0.3">
      <c r="A149" t="s">
        <v>1221</v>
      </c>
      <c r="B149" t="s">
        <v>1148</v>
      </c>
      <c r="C149" t="s">
        <v>1729</v>
      </c>
      <c r="D149" t="s">
        <v>1224</v>
      </c>
      <c r="E149">
        <v>102</v>
      </c>
      <c r="F149" t="s">
        <v>5</v>
      </c>
      <c r="G149">
        <v>62</v>
      </c>
      <c r="H149" s="2">
        <f t="shared" si="2"/>
        <v>0.60784313725490191</v>
      </c>
      <c r="I149" t="s">
        <v>6</v>
      </c>
      <c r="J149">
        <v>7.7200000000000104</v>
      </c>
      <c r="K149" t="s">
        <v>7</v>
      </c>
      <c r="L149">
        <v>7.5686274509804002E-2</v>
      </c>
      <c r="M149" t="s">
        <v>8</v>
      </c>
      <c r="N149">
        <v>1.2169354838709601</v>
      </c>
      <c r="O149" t="s">
        <v>9</v>
      </c>
      <c r="P149">
        <v>-1.6932499999999899</v>
      </c>
      <c r="Q149" t="s">
        <v>10</v>
      </c>
      <c r="R149">
        <v>0.26084622797289903</v>
      </c>
      <c r="S149" t="s">
        <v>11</v>
      </c>
      <c r="T149" t="s">
        <v>1329</v>
      </c>
      <c r="U149" t="s">
        <v>1232</v>
      </c>
      <c r="V149">
        <v>0</v>
      </c>
      <c r="W149" t="s">
        <v>14</v>
      </c>
      <c r="X149" t="s">
        <v>15</v>
      </c>
      <c r="Y149" t="s">
        <v>1329</v>
      </c>
      <c r="Z149" t="s">
        <v>1232</v>
      </c>
      <c r="AA149">
        <v>0</v>
      </c>
      <c r="AB149" t="s">
        <v>18</v>
      </c>
    </row>
    <row r="150" spans="1:28" x14ac:dyDescent="0.3">
      <c r="A150" t="s">
        <v>1223</v>
      </c>
      <c r="B150" t="s">
        <v>1160</v>
      </c>
      <c r="C150" t="s">
        <v>1891</v>
      </c>
      <c r="D150" t="s">
        <v>1224</v>
      </c>
      <c r="E150">
        <v>224</v>
      </c>
      <c r="F150" t="s">
        <v>5</v>
      </c>
      <c r="G150">
        <v>139</v>
      </c>
      <c r="H150" s="2">
        <f t="shared" si="2"/>
        <v>0.6205357142857143</v>
      </c>
      <c r="I150" t="s">
        <v>6</v>
      </c>
      <c r="J150">
        <v>7.6200000000000996</v>
      </c>
      <c r="K150" t="s">
        <v>7</v>
      </c>
      <c r="L150">
        <v>3.4017857142857599E-2</v>
      </c>
      <c r="M150" t="s">
        <v>8</v>
      </c>
      <c r="N150">
        <v>1.0720143884891999</v>
      </c>
      <c r="O150" t="s">
        <v>9</v>
      </c>
      <c r="P150">
        <v>-1.68321428571428</v>
      </c>
      <c r="Q150" t="s">
        <v>10</v>
      </c>
      <c r="R150">
        <v>0.42655464237103902</v>
      </c>
      <c r="S150" t="s">
        <v>11</v>
      </c>
      <c r="T150" t="s">
        <v>133</v>
      </c>
      <c r="U150" t="s">
        <v>1230</v>
      </c>
      <c r="V150">
        <v>0</v>
      </c>
      <c r="W150" t="s">
        <v>14</v>
      </c>
      <c r="X150" t="s">
        <v>15</v>
      </c>
      <c r="Y150" t="s">
        <v>1470</v>
      </c>
      <c r="Z150" t="s">
        <v>1320</v>
      </c>
      <c r="AA150">
        <v>0</v>
      </c>
      <c r="AB150" t="s">
        <v>18</v>
      </c>
    </row>
    <row r="151" spans="1:28" x14ac:dyDescent="0.3">
      <c r="A151" t="s">
        <v>1220</v>
      </c>
      <c r="B151" t="s">
        <v>1187</v>
      </c>
      <c r="C151" t="s">
        <v>1693</v>
      </c>
      <c r="D151" t="s">
        <v>1224</v>
      </c>
      <c r="E151">
        <v>144</v>
      </c>
      <c r="F151" t="s">
        <v>5</v>
      </c>
      <c r="G151">
        <v>37</v>
      </c>
      <c r="H151" s="2">
        <f t="shared" si="2"/>
        <v>0.25694444444444442</v>
      </c>
      <c r="I151" t="s">
        <v>6</v>
      </c>
      <c r="J151">
        <v>7.5076278479738798</v>
      </c>
      <c r="K151" t="s">
        <v>7</v>
      </c>
      <c r="L151">
        <v>5.2136304499818598E-2</v>
      </c>
      <c r="M151" t="s">
        <v>8</v>
      </c>
      <c r="N151">
        <v>4.1559459459459402</v>
      </c>
      <c r="O151" t="s">
        <v>9</v>
      </c>
      <c r="P151">
        <v>-1.3669380574955701</v>
      </c>
      <c r="Q151" t="s">
        <v>10</v>
      </c>
      <c r="R151">
        <v>0.48322412918561197</v>
      </c>
      <c r="S151" t="s">
        <v>11</v>
      </c>
      <c r="T151" t="s">
        <v>1402</v>
      </c>
      <c r="U151" t="s">
        <v>212</v>
      </c>
      <c r="V151">
        <v>0</v>
      </c>
      <c r="W151" t="s">
        <v>14</v>
      </c>
      <c r="X151" t="s">
        <v>15</v>
      </c>
      <c r="Y151" t="s">
        <v>1401</v>
      </c>
      <c r="Z151" t="s">
        <v>206</v>
      </c>
      <c r="AA151">
        <v>0</v>
      </c>
      <c r="AB151" t="s">
        <v>18</v>
      </c>
    </row>
    <row r="152" spans="1:28" x14ac:dyDescent="0.3">
      <c r="A152" t="s">
        <v>1221</v>
      </c>
      <c r="B152" t="s">
        <v>1216</v>
      </c>
      <c r="C152" t="s">
        <v>1797</v>
      </c>
      <c r="D152" t="s">
        <v>1224</v>
      </c>
      <c r="E152">
        <v>108</v>
      </c>
      <c r="F152" t="s">
        <v>5</v>
      </c>
      <c r="G152">
        <v>29</v>
      </c>
      <c r="H152" s="2">
        <f t="shared" si="2"/>
        <v>0.26851851851851855</v>
      </c>
      <c r="I152" t="s">
        <v>6</v>
      </c>
      <c r="J152">
        <v>7.4840402475543204</v>
      </c>
      <c r="K152" t="s">
        <v>7</v>
      </c>
      <c r="L152">
        <v>6.9296668958836294E-2</v>
      </c>
      <c r="M152" t="s">
        <v>8</v>
      </c>
      <c r="N152">
        <v>2.9641379310344802</v>
      </c>
      <c r="O152" t="s">
        <v>9</v>
      </c>
      <c r="P152">
        <v>-0.99336657914488102</v>
      </c>
      <c r="Q152" t="s">
        <v>10</v>
      </c>
      <c r="R152">
        <v>0.28061963957997499</v>
      </c>
      <c r="S152" t="s">
        <v>11</v>
      </c>
      <c r="T152" t="s">
        <v>1432</v>
      </c>
      <c r="U152" t="s">
        <v>206</v>
      </c>
      <c r="V152">
        <v>0</v>
      </c>
      <c r="W152" t="s">
        <v>14</v>
      </c>
      <c r="X152" t="s">
        <v>15</v>
      </c>
      <c r="Y152" t="s">
        <v>1419</v>
      </c>
      <c r="Z152" t="s">
        <v>206</v>
      </c>
      <c r="AA152">
        <v>0</v>
      </c>
      <c r="AB152" t="s">
        <v>18</v>
      </c>
    </row>
    <row r="153" spans="1:28" x14ac:dyDescent="0.3">
      <c r="A153" t="s">
        <v>1221</v>
      </c>
      <c r="B153" t="s">
        <v>1199</v>
      </c>
      <c r="C153" t="s">
        <v>1780</v>
      </c>
      <c r="D153" t="s">
        <v>1224</v>
      </c>
      <c r="E153">
        <v>108</v>
      </c>
      <c r="F153" t="s">
        <v>5</v>
      </c>
      <c r="G153">
        <v>77</v>
      </c>
      <c r="H153" s="2">
        <f t="shared" si="2"/>
        <v>0.71296296296296291</v>
      </c>
      <c r="I153" t="s">
        <v>6</v>
      </c>
      <c r="J153">
        <v>7.38056068104164</v>
      </c>
      <c r="K153" t="s">
        <v>7</v>
      </c>
      <c r="L153">
        <v>6.8338524824459596E-2</v>
      </c>
      <c r="M153" t="s">
        <v>8</v>
      </c>
      <c r="N153">
        <v>0.68102010756429798</v>
      </c>
      <c r="O153" t="s">
        <v>9</v>
      </c>
      <c r="P153">
        <v>-1.4534834710132001</v>
      </c>
      <c r="Q153" t="s">
        <v>10</v>
      </c>
      <c r="R153">
        <v>0.157990272758817</v>
      </c>
      <c r="S153" t="s">
        <v>11</v>
      </c>
      <c r="T153" t="s">
        <v>1428</v>
      </c>
      <c r="U153" t="s">
        <v>220</v>
      </c>
      <c r="V153">
        <v>0</v>
      </c>
      <c r="W153" t="s">
        <v>14</v>
      </c>
      <c r="X153" t="s">
        <v>15</v>
      </c>
      <c r="Y153" t="s">
        <v>1428</v>
      </c>
      <c r="Z153" t="s">
        <v>220</v>
      </c>
      <c r="AA153">
        <v>0</v>
      </c>
      <c r="AB153" t="s">
        <v>18</v>
      </c>
    </row>
    <row r="154" spans="1:28" x14ac:dyDescent="0.3">
      <c r="A154" t="s">
        <v>1221</v>
      </c>
      <c r="B154" t="s">
        <v>1165</v>
      </c>
      <c r="C154" t="s">
        <v>1746</v>
      </c>
      <c r="D154" t="s">
        <v>1224</v>
      </c>
      <c r="E154">
        <v>98</v>
      </c>
      <c r="F154" t="s">
        <v>5</v>
      </c>
      <c r="G154">
        <v>61</v>
      </c>
      <c r="H154" s="2">
        <f t="shared" si="2"/>
        <v>0.62244897959183676</v>
      </c>
      <c r="I154" t="s">
        <v>6</v>
      </c>
      <c r="J154">
        <v>7.26999999999998</v>
      </c>
      <c r="K154" t="s">
        <v>7</v>
      </c>
      <c r="L154">
        <v>7.4183673469387507E-2</v>
      </c>
      <c r="M154" t="s">
        <v>8</v>
      </c>
      <c r="N154">
        <v>1.1099999999999901</v>
      </c>
      <c r="O154" t="s">
        <v>9</v>
      </c>
      <c r="P154">
        <v>-1.6335135135135099</v>
      </c>
      <c r="Q154" t="s">
        <v>10</v>
      </c>
      <c r="R154">
        <v>0.21947916124946101</v>
      </c>
      <c r="S154" t="s">
        <v>11</v>
      </c>
      <c r="T154" t="s">
        <v>1248</v>
      </c>
      <c r="U154" t="s">
        <v>1249</v>
      </c>
      <c r="V154">
        <v>0</v>
      </c>
      <c r="W154" t="s">
        <v>14</v>
      </c>
      <c r="X154" t="s">
        <v>15</v>
      </c>
      <c r="Y154" t="s">
        <v>1248</v>
      </c>
      <c r="Z154" t="s">
        <v>1249</v>
      </c>
      <c r="AA154">
        <v>0</v>
      </c>
      <c r="AB154" t="s">
        <v>18</v>
      </c>
    </row>
    <row r="155" spans="1:28" x14ac:dyDescent="0.3">
      <c r="A155" t="s">
        <v>1219</v>
      </c>
      <c r="B155" t="s">
        <v>1160</v>
      </c>
      <c r="C155" t="s">
        <v>1591</v>
      </c>
      <c r="D155" t="s">
        <v>1224</v>
      </c>
      <c r="E155">
        <v>191</v>
      </c>
      <c r="F155" t="s">
        <v>5</v>
      </c>
      <c r="G155">
        <v>113</v>
      </c>
      <c r="H155" s="2">
        <f t="shared" si="2"/>
        <v>0.59162303664921467</v>
      </c>
      <c r="I155" t="s">
        <v>6</v>
      </c>
      <c r="J155">
        <v>6.90000000000013</v>
      </c>
      <c r="K155" t="s">
        <v>7</v>
      </c>
      <c r="L155">
        <v>3.6125654450262397E-2</v>
      </c>
      <c r="M155" t="s">
        <v>8</v>
      </c>
      <c r="N155">
        <v>1.1599115044247701</v>
      </c>
      <c r="O155" t="s">
        <v>9</v>
      </c>
      <c r="P155">
        <v>-1.5919230769230699</v>
      </c>
      <c r="Q155" t="s">
        <v>10</v>
      </c>
      <c r="R155">
        <v>0.48622509338508402</v>
      </c>
      <c r="S155" t="s">
        <v>11</v>
      </c>
      <c r="T155" t="s">
        <v>1329</v>
      </c>
      <c r="U155" t="s">
        <v>1232</v>
      </c>
      <c r="V155">
        <v>0</v>
      </c>
      <c r="W155" t="s">
        <v>14</v>
      </c>
      <c r="X155" t="s">
        <v>15</v>
      </c>
      <c r="Y155" t="s">
        <v>1332</v>
      </c>
      <c r="Z155" t="s">
        <v>647</v>
      </c>
      <c r="AA155">
        <v>0</v>
      </c>
      <c r="AB155" t="s">
        <v>18</v>
      </c>
    </row>
    <row r="156" spans="1:28" x14ac:dyDescent="0.3">
      <c r="A156" t="s">
        <v>1220</v>
      </c>
      <c r="B156" t="s">
        <v>1179</v>
      </c>
      <c r="C156" t="s">
        <v>1685</v>
      </c>
      <c r="D156" t="s">
        <v>1224</v>
      </c>
      <c r="E156">
        <v>136</v>
      </c>
      <c r="F156" t="s">
        <v>5</v>
      </c>
      <c r="G156">
        <v>64</v>
      </c>
      <c r="H156" s="2">
        <f t="shared" si="2"/>
        <v>0.47058823529411764</v>
      </c>
      <c r="I156" t="s">
        <v>6</v>
      </c>
      <c r="J156">
        <v>6.7742899048648004</v>
      </c>
      <c r="K156" t="s">
        <v>7</v>
      </c>
      <c r="L156">
        <v>4.9810955182829401E-2</v>
      </c>
      <c r="M156" t="s">
        <v>8</v>
      </c>
      <c r="N156">
        <v>1.59671875</v>
      </c>
      <c r="O156" t="s">
        <v>9</v>
      </c>
      <c r="P156">
        <v>-1.3252181957657601</v>
      </c>
      <c r="Q156" t="s">
        <v>10</v>
      </c>
      <c r="R156">
        <v>0.32675445239065898</v>
      </c>
      <c r="S156" t="s">
        <v>11</v>
      </c>
      <c r="T156" t="s">
        <v>1296</v>
      </c>
      <c r="U156" t="s">
        <v>1249</v>
      </c>
      <c r="V156">
        <v>0</v>
      </c>
      <c r="W156" t="s">
        <v>14</v>
      </c>
      <c r="X156" t="s">
        <v>15</v>
      </c>
      <c r="Y156" t="s">
        <v>1296</v>
      </c>
      <c r="Z156" t="s">
        <v>1249</v>
      </c>
      <c r="AA156">
        <v>0</v>
      </c>
      <c r="AB156" t="s">
        <v>18</v>
      </c>
    </row>
    <row r="157" spans="1:28" x14ac:dyDescent="0.3">
      <c r="A157" t="s">
        <v>1220</v>
      </c>
      <c r="B157" t="s">
        <v>1217</v>
      </c>
      <c r="C157" t="s">
        <v>1723</v>
      </c>
      <c r="D157" t="s">
        <v>1224</v>
      </c>
      <c r="E157">
        <v>144</v>
      </c>
      <c r="F157" t="s">
        <v>5</v>
      </c>
      <c r="G157">
        <v>34</v>
      </c>
      <c r="H157" s="2">
        <f t="shared" si="2"/>
        <v>0.2361111111111111</v>
      </c>
      <c r="I157" t="s">
        <v>6</v>
      </c>
      <c r="J157">
        <v>6.7391628407591604</v>
      </c>
      <c r="K157" t="s">
        <v>7</v>
      </c>
      <c r="L157">
        <v>4.6799741949716402E-2</v>
      </c>
      <c r="M157" t="s">
        <v>8</v>
      </c>
      <c r="N157">
        <v>3.8191176470588202</v>
      </c>
      <c r="O157" t="s">
        <v>9</v>
      </c>
      <c r="P157">
        <v>-1.1191894287203701</v>
      </c>
      <c r="Q157" t="s">
        <v>10</v>
      </c>
      <c r="R157">
        <v>0.38839883565171601</v>
      </c>
      <c r="S157" t="s">
        <v>11</v>
      </c>
      <c r="T157" t="s">
        <v>1415</v>
      </c>
      <c r="U157" t="s">
        <v>158</v>
      </c>
      <c r="V157">
        <v>0</v>
      </c>
      <c r="W157" t="s">
        <v>14</v>
      </c>
      <c r="X157" t="s">
        <v>15</v>
      </c>
      <c r="Y157" t="s">
        <v>1419</v>
      </c>
      <c r="Z157" t="s">
        <v>206</v>
      </c>
      <c r="AA157">
        <v>0</v>
      </c>
      <c r="AB157" t="s">
        <v>18</v>
      </c>
    </row>
    <row r="158" spans="1:28" x14ac:dyDescent="0.3">
      <c r="A158" t="s">
        <v>1143</v>
      </c>
      <c r="B158" t="s">
        <v>1183</v>
      </c>
      <c r="C158" t="s">
        <v>1541</v>
      </c>
      <c r="D158" t="s">
        <v>1224</v>
      </c>
      <c r="E158">
        <v>3050</v>
      </c>
      <c r="F158" t="s">
        <v>5</v>
      </c>
      <c r="G158">
        <v>802</v>
      </c>
      <c r="H158" s="2">
        <f t="shared" si="2"/>
        <v>0.26295081967213113</v>
      </c>
      <c r="I158" t="s">
        <v>6</v>
      </c>
      <c r="J158">
        <v>6.1385799896365603</v>
      </c>
      <c r="K158" t="s">
        <v>7</v>
      </c>
      <c r="L158">
        <v>2.0126491769300201E-3</v>
      </c>
      <c r="M158" t="s">
        <v>8</v>
      </c>
      <c r="N158">
        <v>3.7801957498779801</v>
      </c>
      <c r="O158" t="s">
        <v>9</v>
      </c>
      <c r="P158">
        <v>-1.3470963541462599</v>
      </c>
      <c r="Q158" t="s">
        <v>10</v>
      </c>
      <c r="R158">
        <v>5.6396997691424904</v>
      </c>
      <c r="S158" t="s">
        <v>11</v>
      </c>
      <c r="T158" t="s">
        <v>1268</v>
      </c>
      <c r="U158" t="s">
        <v>75</v>
      </c>
      <c r="V158">
        <v>0</v>
      </c>
      <c r="W158" t="s">
        <v>14</v>
      </c>
      <c r="X158" t="s">
        <v>15</v>
      </c>
      <c r="Y158" t="s">
        <v>1269</v>
      </c>
      <c r="Z158" t="s">
        <v>1270</v>
      </c>
      <c r="AA158">
        <v>0</v>
      </c>
      <c r="AB158" t="s">
        <v>18</v>
      </c>
    </row>
    <row r="159" spans="1:28" x14ac:dyDescent="0.3">
      <c r="A159" t="s">
        <v>1220</v>
      </c>
      <c r="B159" t="s">
        <v>1166</v>
      </c>
      <c r="C159" t="s">
        <v>1672</v>
      </c>
      <c r="D159" t="s">
        <v>1224</v>
      </c>
      <c r="E159">
        <v>136</v>
      </c>
      <c r="F159" t="s">
        <v>5</v>
      </c>
      <c r="G159">
        <v>77</v>
      </c>
      <c r="H159" s="2">
        <f t="shared" si="2"/>
        <v>0.56617647058823528</v>
      </c>
      <c r="I159" t="s">
        <v>6</v>
      </c>
      <c r="J159">
        <v>6.1328599365764997</v>
      </c>
      <c r="K159" t="s">
        <v>7</v>
      </c>
      <c r="L159">
        <v>4.5094558357180098E-2</v>
      </c>
      <c r="M159" t="s">
        <v>8</v>
      </c>
      <c r="N159">
        <v>1.3841929861893001</v>
      </c>
      <c r="O159" t="s">
        <v>9</v>
      </c>
      <c r="P159">
        <v>-1.70254237288135</v>
      </c>
      <c r="Q159" t="s">
        <v>10</v>
      </c>
      <c r="R159">
        <v>0.31967797452607499</v>
      </c>
      <c r="S159" t="s">
        <v>11</v>
      </c>
      <c r="T159" t="s">
        <v>1248</v>
      </c>
      <c r="U159" t="s">
        <v>1249</v>
      </c>
      <c r="V159">
        <v>0</v>
      </c>
      <c r="W159" t="s">
        <v>14</v>
      </c>
      <c r="X159" t="s">
        <v>15</v>
      </c>
      <c r="Y159" t="s">
        <v>1248</v>
      </c>
      <c r="Z159" t="s">
        <v>1249</v>
      </c>
      <c r="AA159">
        <v>0</v>
      </c>
      <c r="AB159" t="s">
        <v>18</v>
      </c>
    </row>
    <row r="160" spans="1:28" x14ac:dyDescent="0.3">
      <c r="A160" t="s">
        <v>1221</v>
      </c>
      <c r="B160" t="s">
        <v>1194</v>
      </c>
      <c r="C160" t="s">
        <v>1775</v>
      </c>
      <c r="D160" t="s">
        <v>1224</v>
      </c>
      <c r="E160">
        <v>98</v>
      </c>
      <c r="F160" t="s">
        <v>5</v>
      </c>
      <c r="G160">
        <v>63</v>
      </c>
      <c r="H160" s="2">
        <f t="shared" si="2"/>
        <v>0.6428571428571429</v>
      </c>
      <c r="I160" t="s">
        <v>6</v>
      </c>
      <c r="J160">
        <v>6.0489501915969299</v>
      </c>
      <c r="K160" t="s">
        <v>7</v>
      </c>
      <c r="L160">
        <v>6.1723981546907399E-2</v>
      </c>
      <c r="M160" t="s">
        <v>8</v>
      </c>
      <c r="N160">
        <v>0.72315793954915697</v>
      </c>
      <c r="O160" t="s">
        <v>9</v>
      </c>
      <c r="P160">
        <v>-1.1288571428571399</v>
      </c>
      <c r="Q160" t="s">
        <v>10</v>
      </c>
      <c r="R160">
        <v>0.16433675989312799</v>
      </c>
      <c r="S160" t="s">
        <v>11</v>
      </c>
      <c r="T160" t="s">
        <v>1427</v>
      </c>
      <c r="U160" t="s">
        <v>1249</v>
      </c>
      <c r="V160">
        <v>0</v>
      </c>
      <c r="W160" t="s">
        <v>14</v>
      </c>
      <c r="X160" t="s">
        <v>15</v>
      </c>
      <c r="Y160" t="s">
        <v>1427</v>
      </c>
      <c r="Z160" t="s">
        <v>1249</v>
      </c>
      <c r="AA160">
        <v>0</v>
      </c>
      <c r="AB160" t="s">
        <v>18</v>
      </c>
    </row>
    <row r="161" spans="1:28" x14ac:dyDescent="0.3">
      <c r="A161" t="s">
        <v>1220</v>
      </c>
      <c r="B161" t="s">
        <v>1185</v>
      </c>
      <c r="C161" t="s">
        <v>1691</v>
      </c>
      <c r="D161" t="s">
        <v>1224</v>
      </c>
      <c r="E161">
        <v>144</v>
      </c>
      <c r="F161" t="s">
        <v>5</v>
      </c>
      <c r="G161">
        <v>54</v>
      </c>
      <c r="H161" s="2">
        <f t="shared" si="2"/>
        <v>0.375</v>
      </c>
      <c r="I161" t="s">
        <v>6</v>
      </c>
      <c r="J161">
        <v>6.0476278479738799</v>
      </c>
      <c r="K161" t="s">
        <v>7</v>
      </c>
      <c r="L161">
        <v>4.1997415610929699E-2</v>
      </c>
      <c r="M161" t="s">
        <v>8</v>
      </c>
      <c r="N161">
        <v>2.3059259259259202</v>
      </c>
      <c r="O161" t="s">
        <v>9</v>
      </c>
      <c r="P161">
        <v>-1.3163596905780599</v>
      </c>
      <c r="Q161" t="s">
        <v>10</v>
      </c>
      <c r="R161">
        <v>0.35346729918488401</v>
      </c>
      <c r="S161" t="s">
        <v>11</v>
      </c>
      <c r="T161" t="s">
        <v>1400</v>
      </c>
      <c r="U161" t="s">
        <v>1390</v>
      </c>
      <c r="V161">
        <v>0</v>
      </c>
      <c r="W161" t="s">
        <v>14</v>
      </c>
      <c r="X161" t="s">
        <v>15</v>
      </c>
      <c r="Y161" t="s">
        <v>1400</v>
      </c>
      <c r="Z161" t="s">
        <v>1390</v>
      </c>
      <c r="AA161">
        <v>0</v>
      </c>
      <c r="AB161" t="s">
        <v>18</v>
      </c>
    </row>
    <row r="162" spans="1:28" x14ac:dyDescent="0.3">
      <c r="A162" t="s">
        <v>1219</v>
      </c>
      <c r="B162" t="s">
        <v>1196</v>
      </c>
      <c r="C162" t="s">
        <v>1627</v>
      </c>
      <c r="D162" t="s">
        <v>1224</v>
      </c>
      <c r="E162">
        <v>200</v>
      </c>
      <c r="F162" t="s">
        <v>5</v>
      </c>
      <c r="G162">
        <v>117</v>
      </c>
      <c r="H162" s="2">
        <f t="shared" si="2"/>
        <v>0.58499999999999996</v>
      </c>
      <c r="I162" t="s">
        <v>6</v>
      </c>
      <c r="J162">
        <v>5.9000000000000199</v>
      </c>
      <c r="K162" t="s">
        <v>7</v>
      </c>
      <c r="L162">
        <v>2.9500000000000099E-2</v>
      </c>
      <c r="M162" t="s">
        <v>8</v>
      </c>
      <c r="N162">
        <v>1.00111111111111</v>
      </c>
      <c r="O162" t="s">
        <v>9</v>
      </c>
      <c r="P162">
        <v>-1.3564634146341401</v>
      </c>
      <c r="Q162" t="s">
        <v>10</v>
      </c>
      <c r="R162">
        <v>0.38031929608302101</v>
      </c>
      <c r="S162" t="s">
        <v>11</v>
      </c>
      <c r="T162" t="s">
        <v>133</v>
      </c>
      <c r="U162" t="s">
        <v>1230</v>
      </c>
      <c r="V162">
        <v>0</v>
      </c>
      <c r="W162" t="s">
        <v>14</v>
      </c>
      <c r="X162" t="s">
        <v>15</v>
      </c>
      <c r="Y162" t="s">
        <v>1351</v>
      </c>
      <c r="Z162" t="s">
        <v>1230</v>
      </c>
      <c r="AA162">
        <v>0</v>
      </c>
      <c r="AB162" t="s">
        <v>18</v>
      </c>
    </row>
    <row r="163" spans="1:28" x14ac:dyDescent="0.3">
      <c r="A163" t="s">
        <v>1223</v>
      </c>
      <c r="B163" t="s">
        <v>1149</v>
      </c>
      <c r="C163" t="s">
        <v>1880</v>
      </c>
      <c r="D163" t="s">
        <v>1224</v>
      </c>
      <c r="E163">
        <v>230</v>
      </c>
      <c r="F163" t="s">
        <v>5</v>
      </c>
      <c r="G163">
        <v>140</v>
      </c>
      <c r="H163" s="2">
        <f t="shared" si="2"/>
        <v>0.60869565217391308</v>
      </c>
      <c r="I163" t="s">
        <v>6</v>
      </c>
      <c r="J163">
        <v>5.8699999999999903</v>
      </c>
      <c r="K163" t="s">
        <v>7</v>
      </c>
      <c r="L163">
        <v>2.5521739130434699E-2</v>
      </c>
      <c r="M163" t="s">
        <v>8</v>
      </c>
      <c r="N163">
        <v>1.19607142857142</v>
      </c>
      <c r="O163" t="s">
        <v>9</v>
      </c>
      <c r="P163">
        <v>-1.7953333333333299</v>
      </c>
      <c r="Q163" t="s">
        <v>10</v>
      </c>
      <c r="R163">
        <v>0.45395182960577202</v>
      </c>
      <c r="S163" t="s">
        <v>11</v>
      </c>
      <c r="T163" t="s">
        <v>1317</v>
      </c>
      <c r="U163" t="s">
        <v>1318</v>
      </c>
      <c r="V163">
        <v>0</v>
      </c>
      <c r="W163" t="s">
        <v>14</v>
      </c>
      <c r="X163" t="s">
        <v>15</v>
      </c>
      <c r="Y163" t="s">
        <v>1461</v>
      </c>
      <c r="Z163" t="s">
        <v>1320</v>
      </c>
      <c r="AA163">
        <v>0</v>
      </c>
      <c r="AB163" t="s">
        <v>18</v>
      </c>
    </row>
    <row r="164" spans="1:28" x14ac:dyDescent="0.3">
      <c r="A164" t="s">
        <v>1219</v>
      </c>
      <c r="B164" t="s">
        <v>1200</v>
      </c>
      <c r="C164" t="s">
        <v>1631</v>
      </c>
      <c r="D164" t="s">
        <v>1224</v>
      </c>
      <c r="E164">
        <v>197</v>
      </c>
      <c r="F164" t="s">
        <v>5</v>
      </c>
      <c r="G164">
        <v>115</v>
      </c>
      <c r="H164" s="2">
        <f t="shared" si="2"/>
        <v>0.58375634517766495</v>
      </c>
      <c r="I164" t="s">
        <v>6</v>
      </c>
      <c r="J164">
        <v>5.7619788604129996</v>
      </c>
      <c r="K164" t="s">
        <v>7</v>
      </c>
      <c r="L164">
        <v>2.9248623656918701E-2</v>
      </c>
      <c r="M164" t="s">
        <v>8</v>
      </c>
      <c r="N164">
        <v>1.12483114830249</v>
      </c>
      <c r="O164" t="s">
        <v>9</v>
      </c>
      <c r="P164">
        <v>-1.50723906334602</v>
      </c>
      <c r="Q164" t="s">
        <v>10</v>
      </c>
      <c r="R164">
        <v>0.37682617613719599</v>
      </c>
      <c r="S164" t="s">
        <v>11</v>
      </c>
      <c r="T164" t="s">
        <v>1352</v>
      </c>
      <c r="U164" t="s">
        <v>1353</v>
      </c>
      <c r="V164">
        <v>0</v>
      </c>
      <c r="W164" t="s">
        <v>14</v>
      </c>
      <c r="X164" t="s">
        <v>15</v>
      </c>
      <c r="Y164" t="s">
        <v>1354</v>
      </c>
      <c r="Z164" t="s">
        <v>1353</v>
      </c>
      <c r="AA164">
        <v>0</v>
      </c>
      <c r="AB164" t="s">
        <v>18</v>
      </c>
    </row>
    <row r="165" spans="1:28" x14ac:dyDescent="0.3">
      <c r="A165" t="s">
        <v>1223</v>
      </c>
      <c r="B165" t="s">
        <v>1194</v>
      </c>
      <c r="C165" t="s">
        <v>1925</v>
      </c>
      <c r="D165" t="s">
        <v>1224</v>
      </c>
      <c r="E165">
        <v>230</v>
      </c>
      <c r="F165" t="s">
        <v>5</v>
      </c>
      <c r="G165">
        <v>154</v>
      </c>
      <c r="H165" s="2">
        <f t="shared" si="2"/>
        <v>0.66956521739130437</v>
      </c>
      <c r="I165" t="s">
        <v>6</v>
      </c>
      <c r="J165">
        <v>5.5899999999999901</v>
      </c>
      <c r="K165" t="s">
        <v>7</v>
      </c>
      <c r="L165">
        <v>2.4304347826086901E-2</v>
      </c>
      <c r="M165" t="s">
        <v>8</v>
      </c>
      <c r="N165">
        <v>0.70603896103896002</v>
      </c>
      <c r="O165" t="s">
        <v>9</v>
      </c>
      <c r="P165">
        <v>-1.3571052631578899</v>
      </c>
      <c r="Q165" t="s">
        <v>10</v>
      </c>
      <c r="R165">
        <v>0.31559613080209797</v>
      </c>
      <c r="S165" t="s">
        <v>11</v>
      </c>
      <c r="T165" t="s">
        <v>1427</v>
      </c>
      <c r="U165" t="s">
        <v>1249</v>
      </c>
      <c r="V165">
        <v>0</v>
      </c>
      <c r="W165" t="s">
        <v>14</v>
      </c>
      <c r="X165" t="s">
        <v>15</v>
      </c>
      <c r="Y165" t="s">
        <v>1427</v>
      </c>
      <c r="Z165" t="s">
        <v>1249</v>
      </c>
      <c r="AA165">
        <v>0</v>
      </c>
      <c r="AB165" t="s">
        <v>18</v>
      </c>
    </row>
    <row r="166" spans="1:28" x14ac:dyDescent="0.3">
      <c r="A166" t="s">
        <v>1223</v>
      </c>
      <c r="B166" t="s">
        <v>1191</v>
      </c>
      <c r="C166" t="s">
        <v>1922</v>
      </c>
      <c r="D166" t="s">
        <v>1224</v>
      </c>
      <c r="E166">
        <v>224</v>
      </c>
      <c r="F166" t="s">
        <v>5</v>
      </c>
      <c r="G166">
        <v>149</v>
      </c>
      <c r="H166" s="2">
        <f t="shared" si="2"/>
        <v>0.6651785714285714</v>
      </c>
      <c r="I166" t="s">
        <v>6</v>
      </c>
      <c r="J166">
        <v>5.1400000000000103</v>
      </c>
      <c r="K166" t="s">
        <v>7</v>
      </c>
      <c r="L166">
        <v>2.29464285714286E-2</v>
      </c>
      <c r="M166" t="s">
        <v>8</v>
      </c>
      <c r="N166">
        <v>0.65583892617449702</v>
      </c>
      <c r="O166" t="s">
        <v>9</v>
      </c>
      <c r="P166">
        <v>-1.2343999999999999</v>
      </c>
      <c r="Q166" t="s">
        <v>10</v>
      </c>
      <c r="R166">
        <v>0.309479646599087</v>
      </c>
      <c r="S166" t="s">
        <v>11</v>
      </c>
      <c r="T166" t="s">
        <v>1488</v>
      </c>
      <c r="U166" t="s">
        <v>1350</v>
      </c>
      <c r="V166">
        <v>0</v>
      </c>
      <c r="W166" t="s">
        <v>14</v>
      </c>
      <c r="X166" t="s">
        <v>15</v>
      </c>
      <c r="Y166" t="s">
        <v>1489</v>
      </c>
      <c r="Z166" t="s">
        <v>1350</v>
      </c>
      <c r="AA166">
        <v>0</v>
      </c>
      <c r="AB166" t="s">
        <v>18</v>
      </c>
    </row>
    <row r="167" spans="1:28" x14ac:dyDescent="0.3">
      <c r="A167" t="s">
        <v>1219</v>
      </c>
      <c r="B167" t="s">
        <v>1153</v>
      </c>
      <c r="C167" t="s">
        <v>1584</v>
      </c>
      <c r="D167" t="s">
        <v>1224</v>
      </c>
      <c r="E167">
        <v>200</v>
      </c>
      <c r="F167" t="s">
        <v>5</v>
      </c>
      <c r="G167">
        <v>92</v>
      </c>
      <c r="H167" s="2">
        <f t="shared" si="2"/>
        <v>0.46</v>
      </c>
      <c r="I167" t="s">
        <v>6</v>
      </c>
      <c r="J167">
        <v>5.0400000000000302</v>
      </c>
      <c r="K167" t="s">
        <v>7</v>
      </c>
      <c r="L167">
        <v>2.5200000000000101E-2</v>
      </c>
      <c r="M167" t="s">
        <v>8</v>
      </c>
      <c r="N167">
        <v>2.2431521739130398</v>
      </c>
      <c r="O167" t="s">
        <v>9</v>
      </c>
      <c r="P167">
        <v>-1.8641666666666601</v>
      </c>
      <c r="Q167" t="s">
        <v>10</v>
      </c>
      <c r="R167">
        <v>0.61291296045560895</v>
      </c>
      <c r="S167" t="s">
        <v>11</v>
      </c>
      <c r="T167" t="s">
        <v>1315</v>
      </c>
      <c r="U167" t="s">
        <v>763</v>
      </c>
      <c r="V167">
        <v>0</v>
      </c>
      <c r="W167" t="s">
        <v>14</v>
      </c>
      <c r="X167" t="s">
        <v>15</v>
      </c>
      <c r="Y167" t="s">
        <v>1324</v>
      </c>
      <c r="Z167" t="s">
        <v>647</v>
      </c>
      <c r="AA167">
        <v>0</v>
      </c>
      <c r="AB167" t="s">
        <v>18</v>
      </c>
    </row>
    <row r="168" spans="1:28" x14ac:dyDescent="0.3">
      <c r="A168" t="s">
        <v>1219</v>
      </c>
      <c r="B168" t="s">
        <v>1161</v>
      </c>
      <c r="C168" t="s">
        <v>1592</v>
      </c>
      <c r="D168" t="s">
        <v>1224</v>
      </c>
      <c r="E168">
        <v>191</v>
      </c>
      <c r="F168" t="s">
        <v>5</v>
      </c>
      <c r="G168">
        <v>111</v>
      </c>
      <c r="H168" s="2">
        <f t="shared" si="2"/>
        <v>0.58115183246073299</v>
      </c>
      <c r="I168" t="s">
        <v>6</v>
      </c>
      <c r="J168">
        <v>4.9900000000001299</v>
      </c>
      <c r="K168" t="s">
        <v>7</v>
      </c>
      <c r="L168">
        <v>2.6125654450262398E-2</v>
      </c>
      <c r="M168" t="s">
        <v>8</v>
      </c>
      <c r="N168">
        <v>1.2074774774774699</v>
      </c>
      <c r="O168" t="s">
        <v>9</v>
      </c>
      <c r="P168">
        <v>-1.61299999999999</v>
      </c>
      <c r="Q168" t="s">
        <v>10</v>
      </c>
      <c r="R168">
        <v>0.49435346666166802</v>
      </c>
      <c r="S168" t="s">
        <v>11</v>
      </c>
      <c r="T168" t="s">
        <v>1329</v>
      </c>
      <c r="U168" t="s">
        <v>1232</v>
      </c>
      <c r="V168">
        <v>0</v>
      </c>
      <c r="W168" t="s">
        <v>14</v>
      </c>
      <c r="X168" t="s">
        <v>15</v>
      </c>
      <c r="Y168" t="s">
        <v>1332</v>
      </c>
      <c r="Z168" t="s">
        <v>647</v>
      </c>
      <c r="AA168">
        <v>0</v>
      </c>
      <c r="AB168" t="s">
        <v>18</v>
      </c>
    </row>
    <row r="169" spans="1:28" x14ac:dyDescent="0.3">
      <c r="A169" t="s">
        <v>1221</v>
      </c>
      <c r="B169" t="s">
        <v>1158</v>
      </c>
      <c r="C169" t="s">
        <v>1739</v>
      </c>
      <c r="D169" t="s">
        <v>1224</v>
      </c>
      <c r="E169">
        <v>108</v>
      </c>
      <c r="F169" t="s">
        <v>5</v>
      </c>
      <c r="G169">
        <v>53</v>
      </c>
      <c r="H169" s="2">
        <f t="shared" si="2"/>
        <v>0.49074074074074076</v>
      </c>
      <c r="I169" t="s">
        <v>6</v>
      </c>
      <c r="J169">
        <v>4.9175495294751004</v>
      </c>
      <c r="K169" t="s">
        <v>7</v>
      </c>
      <c r="L169">
        <v>4.5532866013658302E-2</v>
      </c>
      <c r="M169" t="s">
        <v>8</v>
      </c>
      <c r="N169">
        <v>1.9755671870654099</v>
      </c>
      <c r="O169" t="s">
        <v>9</v>
      </c>
      <c r="P169">
        <v>-1.8143183888180301</v>
      </c>
      <c r="Q169" t="s">
        <v>10</v>
      </c>
      <c r="R169">
        <v>0.32322332245035501</v>
      </c>
      <c r="S169" t="s">
        <v>11</v>
      </c>
      <c r="T169" t="s">
        <v>1387</v>
      </c>
      <c r="U169" t="s">
        <v>56</v>
      </c>
      <c r="V169">
        <v>0</v>
      </c>
      <c r="W169" t="s">
        <v>14</v>
      </c>
      <c r="X169" t="s">
        <v>15</v>
      </c>
      <c r="Y169" t="s">
        <v>1387</v>
      </c>
      <c r="Z169" t="s">
        <v>56</v>
      </c>
      <c r="AA169">
        <v>0</v>
      </c>
      <c r="AB169" t="s">
        <v>18</v>
      </c>
    </row>
    <row r="170" spans="1:28" x14ac:dyDescent="0.3">
      <c r="A170" t="s">
        <v>1221</v>
      </c>
      <c r="B170" t="s">
        <v>1176</v>
      </c>
      <c r="C170" t="s">
        <v>1757</v>
      </c>
      <c r="D170" t="s">
        <v>1224</v>
      </c>
      <c r="E170">
        <v>102</v>
      </c>
      <c r="F170" t="s">
        <v>5</v>
      </c>
      <c r="G170">
        <v>36</v>
      </c>
      <c r="H170" s="2">
        <f t="shared" si="2"/>
        <v>0.35294117647058826</v>
      </c>
      <c r="I170" t="s">
        <v>6</v>
      </c>
      <c r="J170">
        <v>4.6599999999999699</v>
      </c>
      <c r="K170" t="s">
        <v>7</v>
      </c>
      <c r="L170">
        <v>4.5686274509803601E-2</v>
      </c>
      <c r="M170" t="s">
        <v>8</v>
      </c>
      <c r="N170">
        <v>2.2311111111111099</v>
      </c>
      <c r="O170" t="s">
        <v>9</v>
      </c>
      <c r="P170">
        <v>-1.14636363636363</v>
      </c>
      <c r="Q170" t="s">
        <v>10</v>
      </c>
      <c r="R170">
        <v>0.33610609762127203</v>
      </c>
      <c r="S170" t="s">
        <v>11</v>
      </c>
      <c r="T170" t="s">
        <v>1422</v>
      </c>
      <c r="U170" t="s">
        <v>1423</v>
      </c>
      <c r="V170">
        <v>0</v>
      </c>
      <c r="W170" t="s">
        <v>14</v>
      </c>
      <c r="X170" t="s">
        <v>15</v>
      </c>
      <c r="Y170" t="s">
        <v>1422</v>
      </c>
      <c r="Z170" t="s">
        <v>1423</v>
      </c>
      <c r="AA170">
        <v>0</v>
      </c>
      <c r="AB170" t="s">
        <v>18</v>
      </c>
    </row>
    <row r="171" spans="1:28" x14ac:dyDescent="0.3">
      <c r="A171" t="s">
        <v>1223</v>
      </c>
      <c r="B171" t="s">
        <v>1190</v>
      </c>
      <c r="C171" t="s">
        <v>1921</v>
      </c>
      <c r="D171" t="s">
        <v>1224</v>
      </c>
      <c r="E171">
        <v>224</v>
      </c>
      <c r="F171" t="s">
        <v>5</v>
      </c>
      <c r="G171">
        <v>149</v>
      </c>
      <c r="H171" s="2">
        <f t="shared" si="2"/>
        <v>0.6651785714285714</v>
      </c>
      <c r="I171" t="s">
        <v>6</v>
      </c>
      <c r="J171">
        <v>4.3600000000000403</v>
      </c>
      <c r="K171" t="s">
        <v>7</v>
      </c>
      <c r="L171">
        <v>1.9464285714285899E-2</v>
      </c>
      <c r="M171" t="s">
        <v>8</v>
      </c>
      <c r="N171">
        <v>0.65060402684563801</v>
      </c>
      <c r="O171" t="s">
        <v>9</v>
      </c>
      <c r="P171">
        <v>-1.2343999999999999</v>
      </c>
      <c r="Q171" t="s">
        <v>10</v>
      </c>
      <c r="R171">
        <v>0.30824427598888499</v>
      </c>
      <c r="S171" t="s">
        <v>11</v>
      </c>
      <c r="T171" t="s">
        <v>1488</v>
      </c>
      <c r="U171" t="s">
        <v>1350</v>
      </c>
      <c r="V171">
        <v>0</v>
      </c>
      <c r="W171" t="s">
        <v>14</v>
      </c>
      <c r="X171" t="s">
        <v>15</v>
      </c>
      <c r="Y171" t="s">
        <v>1489</v>
      </c>
      <c r="Z171" t="s">
        <v>1350</v>
      </c>
      <c r="AA171">
        <v>0</v>
      </c>
      <c r="AB171" t="s">
        <v>18</v>
      </c>
    </row>
    <row r="172" spans="1:28" x14ac:dyDescent="0.3">
      <c r="A172" t="s">
        <v>1220</v>
      </c>
      <c r="B172" t="s">
        <v>1218</v>
      </c>
      <c r="C172" t="s">
        <v>1724</v>
      </c>
      <c r="D172" t="s">
        <v>1224</v>
      </c>
      <c r="E172">
        <v>144</v>
      </c>
      <c r="F172" t="s">
        <v>5</v>
      </c>
      <c r="G172">
        <v>32</v>
      </c>
      <c r="H172" s="2">
        <f t="shared" si="2"/>
        <v>0.22222222222222221</v>
      </c>
      <c r="I172" t="s">
        <v>6</v>
      </c>
      <c r="J172">
        <v>4.1791628407591697</v>
      </c>
      <c r="K172" t="s">
        <v>7</v>
      </c>
      <c r="L172">
        <v>2.90219641719386E-2</v>
      </c>
      <c r="M172" t="s">
        <v>8</v>
      </c>
      <c r="N172">
        <v>4.0959374999999998</v>
      </c>
      <c r="O172" t="s">
        <v>9</v>
      </c>
      <c r="P172">
        <v>-1.1329539032075</v>
      </c>
      <c r="Q172" t="s">
        <v>10</v>
      </c>
      <c r="R172">
        <v>0.40558566246310102</v>
      </c>
      <c r="S172" t="s">
        <v>11</v>
      </c>
      <c r="T172" t="s">
        <v>1415</v>
      </c>
      <c r="U172" t="s">
        <v>158</v>
      </c>
      <c r="V172">
        <v>0</v>
      </c>
      <c r="W172" t="s">
        <v>14</v>
      </c>
      <c r="X172" t="s">
        <v>15</v>
      </c>
      <c r="Y172" t="s">
        <v>1419</v>
      </c>
      <c r="Z172" t="s">
        <v>206</v>
      </c>
      <c r="AA172">
        <v>0</v>
      </c>
      <c r="AB172" t="s">
        <v>18</v>
      </c>
    </row>
    <row r="173" spans="1:28" x14ac:dyDescent="0.3">
      <c r="A173" t="s">
        <v>1223</v>
      </c>
      <c r="B173" t="s">
        <v>1148</v>
      </c>
      <c r="C173" t="s">
        <v>1879</v>
      </c>
      <c r="D173" t="s">
        <v>1224</v>
      </c>
      <c r="E173">
        <v>224</v>
      </c>
      <c r="F173" t="s">
        <v>5</v>
      </c>
      <c r="G173">
        <v>118</v>
      </c>
      <c r="H173" s="2">
        <f t="shared" si="2"/>
        <v>0.5267857142857143</v>
      </c>
      <c r="I173" t="s">
        <v>6</v>
      </c>
      <c r="J173">
        <v>4.1700000000000799</v>
      </c>
      <c r="K173" t="s">
        <v>7</v>
      </c>
      <c r="L173">
        <v>1.8616071428571801E-2</v>
      </c>
      <c r="M173" t="s">
        <v>8</v>
      </c>
      <c r="N173">
        <v>1.6497457627118599</v>
      </c>
      <c r="O173" t="s">
        <v>9</v>
      </c>
      <c r="P173">
        <v>-1.7971698113207499</v>
      </c>
      <c r="Q173" t="s">
        <v>10</v>
      </c>
      <c r="R173">
        <v>0.56940929288709197</v>
      </c>
      <c r="S173" t="s">
        <v>11</v>
      </c>
      <c r="T173" t="s">
        <v>1229</v>
      </c>
      <c r="U173" t="s">
        <v>1230</v>
      </c>
      <c r="V173">
        <v>0</v>
      </c>
      <c r="W173" t="s">
        <v>14</v>
      </c>
      <c r="X173" t="s">
        <v>15</v>
      </c>
      <c r="Y173" t="s">
        <v>1293</v>
      </c>
      <c r="Z173" t="s">
        <v>851</v>
      </c>
      <c r="AA173">
        <v>0</v>
      </c>
      <c r="AB173" t="s">
        <v>18</v>
      </c>
    </row>
    <row r="174" spans="1:28" x14ac:dyDescent="0.3">
      <c r="A174" t="s">
        <v>1220</v>
      </c>
      <c r="B174" t="s">
        <v>1186</v>
      </c>
      <c r="C174" t="s">
        <v>1692</v>
      </c>
      <c r="D174" t="s">
        <v>1224</v>
      </c>
      <c r="E174">
        <v>144</v>
      </c>
      <c r="F174" t="s">
        <v>5</v>
      </c>
      <c r="G174">
        <v>43</v>
      </c>
      <c r="H174" s="2">
        <f t="shared" si="2"/>
        <v>0.2986111111111111</v>
      </c>
      <c r="I174" t="s">
        <v>6</v>
      </c>
      <c r="J174">
        <v>3.9476278479738802</v>
      </c>
      <c r="K174" t="s">
        <v>7</v>
      </c>
      <c r="L174">
        <v>2.7414082277596299E-2</v>
      </c>
      <c r="M174" t="s">
        <v>8</v>
      </c>
      <c r="N174">
        <v>3.2141860465116201</v>
      </c>
      <c r="O174" t="s">
        <v>9</v>
      </c>
      <c r="P174">
        <v>-1.3293304173467899</v>
      </c>
      <c r="Q174" t="s">
        <v>10</v>
      </c>
      <c r="R174">
        <v>0.42546542294483403</v>
      </c>
      <c r="S174" t="s">
        <v>11</v>
      </c>
      <c r="T174" t="s">
        <v>1400</v>
      </c>
      <c r="U174" t="s">
        <v>1390</v>
      </c>
      <c r="V174">
        <v>0</v>
      </c>
      <c r="W174" t="s">
        <v>14</v>
      </c>
      <c r="X174" t="s">
        <v>15</v>
      </c>
      <c r="Y174" t="s">
        <v>1401</v>
      </c>
      <c r="Z174" t="s">
        <v>206</v>
      </c>
      <c r="AA174">
        <v>0</v>
      </c>
      <c r="AB174" t="s">
        <v>18</v>
      </c>
    </row>
    <row r="175" spans="1:28" x14ac:dyDescent="0.3">
      <c r="A175" t="s">
        <v>1223</v>
      </c>
      <c r="B175" t="s">
        <v>1189</v>
      </c>
      <c r="C175" t="s">
        <v>1920</v>
      </c>
      <c r="D175" t="s">
        <v>1224</v>
      </c>
      <c r="E175">
        <v>224</v>
      </c>
      <c r="F175" t="s">
        <v>5</v>
      </c>
      <c r="G175">
        <v>152</v>
      </c>
      <c r="H175" s="2">
        <f t="shared" si="2"/>
        <v>0.6785714285714286</v>
      </c>
      <c r="I175" t="s">
        <v>6</v>
      </c>
      <c r="J175">
        <v>3.3199999999999901</v>
      </c>
      <c r="K175" t="s">
        <v>7</v>
      </c>
      <c r="L175">
        <v>1.4821428571428499E-2</v>
      </c>
      <c r="M175" t="s">
        <v>8</v>
      </c>
      <c r="N175">
        <v>0.60828947368421105</v>
      </c>
      <c r="O175" t="s">
        <v>9</v>
      </c>
      <c r="P175">
        <v>-1.2380555555555499</v>
      </c>
      <c r="Q175" t="s">
        <v>10</v>
      </c>
      <c r="R175">
        <v>0.30228248387696799</v>
      </c>
      <c r="S175" t="s">
        <v>11</v>
      </c>
      <c r="T175" t="s">
        <v>1488</v>
      </c>
      <c r="U175" t="s">
        <v>1350</v>
      </c>
      <c r="V175">
        <v>0</v>
      </c>
      <c r="W175" t="s">
        <v>14</v>
      </c>
      <c r="X175" t="s">
        <v>15</v>
      </c>
      <c r="Y175" t="s">
        <v>1489</v>
      </c>
      <c r="Z175" t="s">
        <v>1350</v>
      </c>
      <c r="AA175">
        <v>0</v>
      </c>
      <c r="AB175" t="s">
        <v>18</v>
      </c>
    </row>
    <row r="176" spans="1:28" x14ac:dyDescent="0.3">
      <c r="A176" t="s">
        <v>1220</v>
      </c>
      <c r="B176" t="s">
        <v>1167</v>
      </c>
      <c r="C176" t="s">
        <v>1673</v>
      </c>
      <c r="D176" t="s">
        <v>1224</v>
      </c>
      <c r="E176">
        <v>136</v>
      </c>
      <c r="F176" t="s">
        <v>5</v>
      </c>
      <c r="G176">
        <v>75</v>
      </c>
      <c r="H176" s="2">
        <f t="shared" si="2"/>
        <v>0.55147058823529416</v>
      </c>
      <c r="I176" t="s">
        <v>6</v>
      </c>
      <c r="J176">
        <v>2.66285993657652</v>
      </c>
      <c r="K176" t="s">
        <v>7</v>
      </c>
      <c r="L176">
        <v>1.9579852474827301E-2</v>
      </c>
      <c r="M176" t="s">
        <v>8</v>
      </c>
      <c r="N176">
        <v>1.41630479915435</v>
      </c>
      <c r="O176" t="s">
        <v>9</v>
      </c>
      <c r="P176">
        <v>-1.6977049180327799</v>
      </c>
      <c r="Q176" t="s">
        <v>10</v>
      </c>
      <c r="R176">
        <v>0.35371094344447401</v>
      </c>
      <c r="S176" t="s">
        <v>11</v>
      </c>
      <c r="T176" t="s">
        <v>1248</v>
      </c>
      <c r="U176" t="s">
        <v>1249</v>
      </c>
      <c r="V176">
        <v>0</v>
      </c>
      <c r="W176" t="s">
        <v>14</v>
      </c>
      <c r="X176" t="s">
        <v>15</v>
      </c>
      <c r="Y176" t="s">
        <v>1248</v>
      </c>
      <c r="Z176" t="s">
        <v>1249</v>
      </c>
      <c r="AA176">
        <v>0</v>
      </c>
      <c r="AB176" t="s">
        <v>18</v>
      </c>
    </row>
    <row r="177" spans="1:28" x14ac:dyDescent="0.3">
      <c r="A177" t="s">
        <v>1223</v>
      </c>
      <c r="B177" t="s">
        <v>1210</v>
      </c>
      <c r="C177" t="s">
        <v>1941</v>
      </c>
      <c r="D177" t="s">
        <v>1224</v>
      </c>
      <c r="E177">
        <v>230</v>
      </c>
      <c r="F177" t="s">
        <v>5</v>
      </c>
      <c r="G177">
        <v>79</v>
      </c>
      <c r="H177" s="2">
        <f t="shared" si="2"/>
        <v>0.34347826086956523</v>
      </c>
      <c r="I177" t="s">
        <v>6</v>
      </c>
      <c r="J177">
        <v>2.4700000000000801</v>
      </c>
      <c r="K177" t="s">
        <v>7</v>
      </c>
      <c r="L177">
        <v>1.07391304347829E-2</v>
      </c>
      <c r="M177" t="s">
        <v>8</v>
      </c>
      <c r="N177">
        <v>1.9401265822784799</v>
      </c>
      <c r="O177" t="s">
        <v>9</v>
      </c>
      <c r="P177">
        <v>-1.0053333333333301</v>
      </c>
      <c r="Q177" t="s">
        <v>10</v>
      </c>
      <c r="R177">
        <v>0.467995977474299</v>
      </c>
      <c r="S177" t="s">
        <v>11</v>
      </c>
      <c r="T177" t="s">
        <v>1360</v>
      </c>
      <c r="U177" t="s">
        <v>25</v>
      </c>
      <c r="V177">
        <v>0</v>
      </c>
      <c r="W177" t="s">
        <v>14</v>
      </c>
      <c r="X177" t="s">
        <v>15</v>
      </c>
      <c r="Y177" t="s">
        <v>182</v>
      </c>
      <c r="Z177" t="s">
        <v>266</v>
      </c>
      <c r="AA177">
        <v>0</v>
      </c>
      <c r="AB177" t="s">
        <v>18</v>
      </c>
    </row>
    <row r="178" spans="1:28" x14ac:dyDescent="0.3">
      <c r="A178" t="s">
        <v>1223</v>
      </c>
      <c r="B178" t="s">
        <v>1161</v>
      </c>
      <c r="C178" t="s">
        <v>1892</v>
      </c>
      <c r="D178" t="s">
        <v>1224</v>
      </c>
      <c r="E178">
        <v>224</v>
      </c>
      <c r="F178" t="s">
        <v>5</v>
      </c>
      <c r="G178">
        <v>138</v>
      </c>
      <c r="H178" s="2">
        <f t="shared" si="2"/>
        <v>0.6160714285714286</v>
      </c>
      <c r="I178" t="s">
        <v>6</v>
      </c>
      <c r="J178">
        <v>2.4200000000000998</v>
      </c>
      <c r="K178" t="s">
        <v>7</v>
      </c>
      <c r="L178">
        <v>1.08035714285719E-2</v>
      </c>
      <c r="M178" t="s">
        <v>8</v>
      </c>
      <c r="N178">
        <v>1.0631884057970999</v>
      </c>
      <c r="O178" t="s">
        <v>9</v>
      </c>
      <c r="P178">
        <v>-1.69764705882352</v>
      </c>
      <c r="Q178" t="s">
        <v>10</v>
      </c>
      <c r="R178">
        <v>0.43704118368886802</v>
      </c>
      <c r="S178" t="s">
        <v>11</v>
      </c>
      <c r="T178" t="s">
        <v>133</v>
      </c>
      <c r="U178" t="s">
        <v>1230</v>
      </c>
      <c r="V178">
        <v>0</v>
      </c>
      <c r="W178" t="s">
        <v>14</v>
      </c>
      <c r="X178" t="s">
        <v>15</v>
      </c>
      <c r="Y178" t="s">
        <v>1471</v>
      </c>
      <c r="Z178" t="s">
        <v>851</v>
      </c>
      <c r="AA178">
        <v>0</v>
      </c>
      <c r="AB178" t="s">
        <v>18</v>
      </c>
    </row>
    <row r="179" spans="1:28" x14ac:dyDescent="0.3">
      <c r="A179" t="s">
        <v>1219</v>
      </c>
      <c r="B179" t="s">
        <v>1159</v>
      </c>
      <c r="C179" t="s">
        <v>1590</v>
      </c>
      <c r="D179" t="s">
        <v>1224</v>
      </c>
      <c r="E179">
        <v>191</v>
      </c>
      <c r="F179" t="s">
        <v>5</v>
      </c>
      <c r="G179">
        <v>121</v>
      </c>
      <c r="H179" s="2">
        <f t="shared" si="2"/>
        <v>0.63350785340314131</v>
      </c>
      <c r="I179" t="s">
        <v>6</v>
      </c>
      <c r="J179">
        <v>2.0400000000001199</v>
      </c>
      <c r="K179" t="s">
        <v>7</v>
      </c>
      <c r="L179">
        <v>1.0680628272251899E-2</v>
      </c>
      <c r="M179" t="s">
        <v>8</v>
      </c>
      <c r="N179">
        <v>0.910661157024793</v>
      </c>
      <c r="O179" t="s">
        <v>9</v>
      </c>
      <c r="P179">
        <v>-1.5449999999999899</v>
      </c>
      <c r="Q179" t="s">
        <v>10</v>
      </c>
      <c r="R179">
        <v>0.334664511597078</v>
      </c>
      <c r="S179" t="s">
        <v>11</v>
      </c>
      <c r="T179" t="s">
        <v>1329</v>
      </c>
      <c r="U179" t="s">
        <v>1232</v>
      </c>
      <c r="V179">
        <v>0</v>
      </c>
      <c r="W179" t="s">
        <v>14</v>
      </c>
      <c r="X179" t="s">
        <v>15</v>
      </c>
      <c r="Y179" t="s">
        <v>1330</v>
      </c>
      <c r="Z179" t="s">
        <v>1331</v>
      </c>
      <c r="AA179">
        <v>0</v>
      </c>
      <c r="AB179" t="s">
        <v>18</v>
      </c>
    </row>
    <row r="180" spans="1:28" x14ac:dyDescent="0.3">
      <c r="A180" t="s">
        <v>1221</v>
      </c>
      <c r="B180" t="s">
        <v>1180</v>
      </c>
      <c r="C180" t="s">
        <v>1761</v>
      </c>
      <c r="D180" t="s">
        <v>1224</v>
      </c>
      <c r="E180">
        <v>98</v>
      </c>
      <c r="F180" t="s">
        <v>5</v>
      </c>
      <c r="G180">
        <v>38</v>
      </c>
      <c r="H180" s="2">
        <f t="shared" si="2"/>
        <v>0.38775510204081631</v>
      </c>
      <c r="I180" t="s">
        <v>6</v>
      </c>
      <c r="J180">
        <v>1.9300000000000399</v>
      </c>
      <c r="K180" t="s">
        <v>7</v>
      </c>
      <c r="L180">
        <v>1.96938775510208E-2</v>
      </c>
      <c r="M180" t="s">
        <v>8</v>
      </c>
      <c r="N180">
        <v>2.0828947368420998</v>
      </c>
      <c r="O180" t="s">
        <v>9</v>
      </c>
      <c r="P180">
        <v>-1.2869999999999999</v>
      </c>
      <c r="Q180" t="s">
        <v>10</v>
      </c>
      <c r="R180">
        <v>0.28547417982828699</v>
      </c>
      <c r="S180" t="s">
        <v>11</v>
      </c>
      <c r="T180" t="s">
        <v>1296</v>
      </c>
      <c r="U180" t="s">
        <v>1249</v>
      </c>
      <c r="V180">
        <v>0</v>
      </c>
      <c r="W180" t="s">
        <v>14</v>
      </c>
      <c r="X180" t="s">
        <v>15</v>
      </c>
      <c r="Y180" t="s">
        <v>1296</v>
      </c>
      <c r="Z180" t="s">
        <v>1249</v>
      </c>
      <c r="AA180">
        <v>0</v>
      </c>
      <c r="AB180" t="s">
        <v>18</v>
      </c>
    </row>
    <row r="181" spans="1:28" x14ac:dyDescent="0.3">
      <c r="A181" t="s">
        <v>1220</v>
      </c>
      <c r="B181" t="s">
        <v>1215</v>
      </c>
      <c r="C181" t="s">
        <v>1721</v>
      </c>
      <c r="D181" t="s">
        <v>1224</v>
      </c>
      <c r="E181">
        <v>144</v>
      </c>
      <c r="F181" t="s">
        <v>5</v>
      </c>
      <c r="G181">
        <v>45</v>
      </c>
      <c r="H181" s="2">
        <f t="shared" si="2"/>
        <v>0.3125</v>
      </c>
      <c r="I181" t="s">
        <v>6</v>
      </c>
      <c r="J181">
        <v>1.9291628407591701</v>
      </c>
      <c r="K181" t="s">
        <v>7</v>
      </c>
      <c r="L181">
        <v>1.33969641719387E-2</v>
      </c>
      <c r="M181" t="s">
        <v>8</v>
      </c>
      <c r="N181">
        <v>2.34931156410526</v>
      </c>
      <c r="O181" t="s">
        <v>9</v>
      </c>
      <c r="P181">
        <v>-1.0483823994341199</v>
      </c>
      <c r="Q181" t="s">
        <v>10</v>
      </c>
      <c r="R181">
        <v>0.30909499452932199</v>
      </c>
      <c r="S181" t="s">
        <v>11</v>
      </c>
      <c r="T181" t="s">
        <v>1417</v>
      </c>
      <c r="U181" t="s">
        <v>1418</v>
      </c>
      <c r="V181">
        <v>0</v>
      </c>
      <c r="W181" t="s">
        <v>14</v>
      </c>
      <c r="X181" t="s">
        <v>15</v>
      </c>
      <c r="Y181" t="s">
        <v>1417</v>
      </c>
      <c r="Z181" t="s">
        <v>1418</v>
      </c>
      <c r="AA181">
        <v>0</v>
      </c>
      <c r="AB181" t="s">
        <v>18</v>
      </c>
    </row>
    <row r="182" spans="1:28" x14ac:dyDescent="0.3">
      <c r="A182" t="s">
        <v>1223</v>
      </c>
      <c r="B182" t="s">
        <v>1196</v>
      </c>
      <c r="C182" t="s">
        <v>1927</v>
      </c>
      <c r="D182" t="s">
        <v>1224</v>
      </c>
      <c r="E182">
        <v>230</v>
      </c>
      <c r="F182" t="s">
        <v>5</v>
      </c>
      <c r="G182">
        <v>147</v>
      </c>
      <c r="H182" s="2">
        <f t="shared" si="2"/>
        <v>0.63913043478260867</v>
      </c>
      <c r="I182" t="s">
        <v>6</v>
      </c>
      <c r="J182">
        <v>1.89</v>
      </c>
      <c r="K182" t="s">
        <v>7</v>
      </c>
      <c r="L182">
        <v>8.2173913043478292E-3</v>
      </c>
      <c r="M182" t="s">
        <v>8</v>
      </c>
      <c r="N182">
        <v>0.80149659863945499</v>
      </c>
      <c r="O182" t="s">
        <v>9</v>
      </c>
      <c r="P182">
        <v>-1.3967469879518</v>
      </c>
      <c r="Q182" t="s">
        <v>10</v>
      </c>
      <c r="R182">
        <v>0.360732354595246</v>
      </c>
      <c r="S182" t="s">
        <v>11</v>
      </c>
      <c r="T182" t="s">
        <v>1490</v>
      </c>
      <c r="U182" t="s">
        <v>632</v>
      </c>
      <c r="V182">
        <v>0</v>
      </c>
      <c r="W182" t="s">
        <v>14</v>
      </c>
      <c r="X182" t="s">
        <v>15</v>
      </c>
      <c r="Y182" t="s">
        <v>1491</v>
      </c>
      <c r="Z182" t="s">
        <v>632</v>
      </c>
      <c r="AA182">
        <v>0</v>
      </c>
      <c r="AB182" t="s">
        <v>18</v>
      </c>
    </row>
    <row r="183" spans="1:28" x14ac:dyDescent="0.3">
      <c r="A183" t="s">
        <v>1223</v>
      </c>
      <c r="B183" t="s">
        <v>1193</v>
      </c>
      <c r="C183" t="s">
        <v>1924</v>
      </c>
      <c r="D183" t="s">
        <v>1224</v>
      </c>
      <c r="E183">
        <v>224</v>
      </c>
      <c r="F183" t="s">
        <v>5</v>
      </c>
      <c r="G183">
        <v>148</v>
      </c>
      <c r="H183" s="2">
        <f t="shared" si="2"/>
        <v>0.6607142857142857</v>
      </c>
      <c r="I183" t="s">
        <v>6</v>
      </c>
      <c r="J183">
        <v>1.76000000000002</v>
      </c>
      <c r="K183" t="s">
        <v>7</v>
      </c>
      <c r="L183">
        <v>7.8571428571429392E-3</v>
      </c>
      <c r="M183" t="s">
        <v>8</v>
      </c>
      <c r="N183">
        <v>0.65060810810810799</v>
      </c>
      <c r="O183" t="s">
        <v>9</v>
      </c>
      <c r="P183">
        <v>-1.2438157894736801</v>
      </c>
      <c r="Q183" t="s">
        <v>10</v>
      </c>
      <c r="R183">
        <v>0.32667340639472398</v>
      </c>
      <c r="S183" t="s">
        <v>11</v>
      </c>
      <c r="T183" t="s">
        <v>1488</v>
      </c>
      <c r="U183" t="s">
        <v>1350</v>
      </c>
      <c r="V183">
        <v>0</v>
      </c>
      <c r="W183" t="s">
        <v>14</v>
      </c>
      <c r="X183" t="s">
        <v>15</v>
      </c>
      <c r="Y183" t="s">
        <v>1489</v>
      </c>
      <c r="Z183" t="s">
        <v>1350</v>
      </c>
      <c r="AA183">
        <v>0</v>
      </c>
      <c r="AB183" t="s">
        <v>18</v>
      </c>
    </row>
    <row r="184" spans="1:28" x14ac:dyDescent="0.3">
      <c r="A184" t="s">
        <v>1221</v>
      </c>
      <c r="B184" t="s">
        <v>1209</v>
      </c>
      <c r="C184" t="s">
        <v>1790</v>
      </c>
      <c r="D184" t="s">
        <v>1224</v>
      </c>
      <c r="E184">
        <v>98</v>
      </c>
      <c r="F184" t="s">
        <v>5</v>
      </c>
      <c r="G184">
        <v>40</v>
      </c>
      <c r="H184" s="2">
        <f t="shared" si="2"/>
        <v>0.40816326530612246</v>
      </c>
      <c r="I184" t="s">
        <v>6</v>
      </c>
      <c r="J184">
        <v>1.7084252873952801</v>
      </c>
      <c r="K184" t="s">
        <v>7</v>
      </c>
      <c r="L184">
        <v>1.74329110958702E-2</v>
      </c>
      <c r="M184" t="s">
        <v>8</v>
      </c>
      <c r="N184">
        <v>1.1884999999999899</v>
      </c>
      <c r="O184" t="s">
        <v>9</v>
      </c>
      <c r="P184">
        <v>-0.79019956401042502</v>
      </c>
      <c r="Q184" t="s">
        <v>10</v>
      </c>
      <c r="R184">
        <v>0.187790609152995</v>
      </c>
      <c r="S184" t="s">
        <v>11</v>
      </c>
      <c r="T184" t="s">
        <v>1414</v>
      </c>
      <c r="U184" t="s">
        <v>1249</v>
      </c>
      <c r="V184">
        <v>0</v>
      </c>
      <c r="W184" t="s">
        <v>14</v>
      </c>
      <c r="X184" t="s">
        <v>15</v>
      </c>
      <c r="Y184" t="s">
        <v>1414</v>
      </c>
      <c r="Z184" t="s">
        <v>1249</v>
      </c>
      <c r="AA184">
        <v>0</v>
      </c>
      <c r="AB184" t="s">
        <v>18</v>
      </c>
    </row>
    <row r="185" spans="1:28" x14ac:dyDescent="0.3">
      <c r="A185" t="s">
        <v>1220</v>
      </c>
      <c r="B185" t="s">
        <v>1194</v>
      </c>
      <c r="C185" t="s">
        <v>1700</v>
      </c>
      <c r="D185" t="s">
        <v>1224</v>
      </c>
      <c r="E185">
        <v>136</v>
      </c>
      <c r="F185" t="s">
        <v>5</v>
      </c>
      <c r="G185">
        <v>86</v>
      </c>
      <c r="H185" s="2">
        <f t="shared" si="2"/>
        <v>0.63235294117647056</v>
      </c>
      <c r="I185" t="s">
        <v>6</v>
      </c>
      <c r="J185">
        <v>1.70827449728655</v>
      </c>
      <c r="K185" t="s">
        <v>7</v>
      </c>
      <c r="L185">
        <v>1.2560841891812899E-2</v>
      </c>
      <c r="M185" t="s">
        <v>8</v>
      </c>
      <c r="N185">
        <v>0.82950812441055499</v>
      </c>
      <c r="O185" t="s">
        <v>9</v>
      </c>
      <c r="P185">
        <v>-1.3925884840404199</v>
      </c>
      <c r="Q185" t="s">
        <v>10</v>
      </c>
      <c r="R185">
        <v>0.23189936983659101</v>
      </c>
      <c r="S185" t="s">
        <v>11</v>
      </c>
      <c r="T185" t="s">
        <v>1405</v>
      </c>
      <c r="U185" t="s">
        <v>1406</v>
      </c>
      <c r="V185">
        <v>0</v>
      </c>
      <c r="W185" t="s">
        <v>14</v>
      </c>
      <c r="X185" t="s">
        <v>15</v>
      </c>
      <c r="Y185" t="s">
        <v>1405</v>
      </c>
      <c r="Z185" t="s">
        <v>1406</v>
      </c>
      <c r="AA185">
        <v>0</v>
      </c>
      <c r="AB185" t="s">
        <v>18</v>
      </c>
    </row>
    <row r="186" spans="1:28" x14ac:dyDescent="0.3">
      <c r="A186" t="s">
        <v>1223</v>
      </c>
      <c r="B186" t="s">
        <v>1159</v>
      </c>
      <c r="C186" t="s">
        <v>1890</v>
      </c>
      <c r="D186" t="s">
        <v>1224</v>
      </c>
      <c r="E186">
        <v>224</v>
      </c>
      <c r="F186" t="s">
        <v>5</v>
      </c>
      <c r="G186">
        <v>145</v>
      </c>
      <c r="H186" s="2">
        <f t="shared" si="2"/>
        <v>0.6473214285714286</v>
      </c>
      <c r="I186" t="s">
        <v>6</v>
      </c>
      <c r="J186">
        <v>1.6700000000000099</v>
      </c>
      <c r="K186" t="s">
        <v>7</v>
      </c>
      <c r="L186">
        <v>7.4553571428572201E-3</v>
      </c>
      <c r="M186" t="s">
        <v>8</v>
      </c>
      <c r="N186">
        <v>0.93400000000000005</v>
      </c>
      <c r="O186" t="s">
        <v>9</v>
      </c>
      <c r="P186">
        <v>-1.71487179487179</v>
      </c>
      <c r="Q186" t="s">
        <v>10</v>
      </c>
      <c r="R186">
        <v>0.37885138904396398</v>
      </c>
      <c r="S186" t="s">
        <v>11</v>
      </c>
      <c r="T186" t="s">
        <v>133</v>
      </c>
      <c r="U186" t="s">
        <v>1230</v>
      </c>
      <c r="V186">
        <v>0</v>
      </c>
      <c r="W186" t="s">
        <v>14</v>
      </c>
      <c r="X186" t="s">
        <v>15</v>
      </c>
      <c r="Y186" t="s">
        <v>133</v>
      </c>
      <c r="Z186" t="s">
        <v>1230</v>
      </c>
      <c r="AA186">
        <v>0</v>
      </c>
      <c r="AB186" t="s">
        <v>18</v>
      </c>
    </row>
    <row r="187" spans="1:28" x14ac:dyDescent="0.3">
      <c r="A187" t="s">
        <v>1223</v>
      </c>
      <c r="B187" t="s">
        <v>1197</v>
      </c>
      <c r="C187" t="s">
        <v>1928</v>
      </c>
      <c r="D187" t="s">
        <v>1224</v>
      </c>
      <c r="E187">
        <v>230</v>
      </c>
      <c r="F187" t="s">
        <v>5</v>
      </c>
      <c r="G187">
        <v>146</v>
      </c>
      <c r="H187" s="2">
        <f t="shared" si="2"/>
        <v>0.63478260869565217</v>
      </c>
      <c r="I187" t="s">
        <v>6</v>
      </c>
      <c r="J187">
        <v>1.57000000000002</v>
      </c>
      <c r="K187" t="s">
        <v>7</v>
      </c>
      <c r="L187">
        <v>6.8260869565218499E-3</v>
      </c>
      <c r="M187" t="s">
        <v>8</v>
      </c>
      <c r="N187">
        <v>0.80958904109589003</v>
      </c>
      <c r="O187" t="s">
        <v>9</v>
      </c>
      <c r="P187">
        <v>-1.3884523809523801</v>
      </c>
      <c r="Q187" t="s">
        <v>10</v>
      </c>
      <c r="R187">
        <v>0.382360773952031</v>
      </c>
      <c r="S187" t="s">
        <v>11</v>
      </c>
      <c r="T187" t="s">
        <v>1492</v>
      </c>
      <c r="U187" t="s">
        <v>1381</v>
      </c>
      <c r="V187">
        <v>0</v>
      </c>
      <c r="W187" t="s">
        <v>14</v>
      </c>
      <c r="X187" t="s">
        <v>15</v>
      </c>
      <c r="Y187" t="s">
        <v>1491</v>
      </c>
      <c r="Z187" t="s">
        <v>632</v>
      </c>
      <c r="AA187">
        <v>0</v>
      </c>
      <c r="AB187" t="s">
        <v>18</v>
      </c>
    </row>
    <row r="188" spans="1:28" x14ac:dyDescent="0.3">
      <c r="A188" t="s">
        <v>1143</v>
      </c>
      <c r="B188" t="s">
        <v>1173</v>
      </c>
      <c r="C188" t="s">
        <v>1531</v>
      </c>
      <c r="D188" t="s">
        <v>1224</v>
      </c>
      <c r="E188">
        <v>3062</v>
      </c>
      <c r="F188" t="s">
        <v>5</v>
      </c>
      <c r="G188">
        <v>1527</v>
      </c>
      <c r="H188" s="2">
        <f t="shared" si="2"/>
        <v>0.49869366427171785</v>
      </c>
      <c r="I188" t="s">
        <v>6</v>
      </c>
      <c r="J188">
        <v>1.5386591864874</v>
      </c>
      <c r="K188" t="s">
        <v>7</v>
      </c>
      <c r="L188">
        <v>5.0250136723951899E-4</v>
      </c>
      <c r="M188" t="s">
        <v>8</v>
      </c>
      <c r="N188">
        <v>1.81524718685968</v>
      </c>
      <c r="O188" t="s">
        <v>9</v>
      </c>
      <c r="P188">
        <v>-1.80478423136694</v>
      </c>
      <c r="Q188" t="s">
        <v>10</v>
      </c>
      <c r="R188">
        <v>4.54602385644277</v>
      </c>
      <c r="S188" t="s">
        <v>11</v>
      </c>
      <c r="T188" t="s">
        <v>1254</v>
      </c>
      <c r="U188" t="s">
        <v>720</v>
      </c>
      <c r="V188">
        <v>0</v>
      </c>
      <c r="W188" t="s">
        <v>14</v>
      </c>
      <c r="X188" t="s">
        <v>15</v>
      </c>
      <c r="Y188" t="s">
        <v>1258</v>
      </c>
      <c r="Z188" t="s">
        <v>230</v>
      </c>
      <c r="AA188">
        <v>0</v>
      </c>
      <c r="AB188" t="s">
        <v>18</v>
      </c>
    </row>
    <row r="189" spans="1:28" x14ac:dyDescent="0.3">
      <c r="A189" t="s">
        <v>1221</v>
      </c>
      <c r="B189" t="s">
        <v>1201</v>
      </c>
      <c r="C189" t="s">
        <v>1782</v>
      </c>
      <c r="D189" t="s">
        <v>1224</v>
      </c>
      <c r="E189">
        <v>108</v>
      </c>
      <c r="F189" t="s">
        <v>5</v>
      </c>
      <c r="G189">
        <v>71</v>
      </c>
      <c r="H189" s="2">
        <f t="shared" si="2"/>
        <v>0.65740740740740744</v>
      </c>
      <c r="I189" t="s">
        <v>6</v>
      </c>
      <c r="J189">
        <v>1.45056068104164</v>
      </c>
      <c r="K189" t="s">
        <v>7</v>
      </c>
      <c r="L189">
        <v>1.3431117417052199E-2</v>
      </c>
      <c r="M189" t="s">
        <v>8</v>
      </c>
      <c r="N189">
        <v>0.81913448285142099</v>
      </c>
      <c r="O189" t="s">
        <v>9</v>
      </c>
      <c r="P189">
        <v>-1.5326483135516</v>
      </c>
      <c r="Q189" t="s">
        <v>10</v>
      </c>
      <c r="R189">
        <v>0.201865275835581</v>
      </c>
      <c r="S189" t="s">
        <v>11</v>
      </c>
      <c r="T189" t="s">
        <v>1428</v>
      </c>
      <c r="U189" t="s">
        <v>220</v>
      </c>
      <c r="V189">
        <v>0</v>
      </c>
      <c r="W189" t="s">
        <v>14</v>
      </c>
      <c r="X189" t="s">
        <v>15</v>
      </c>
      <c r="Y189" t="s">
        <v>1408</v>
      </c>
      <c r="Z189" t="s">
        <v>1284</v>
      </c>
      <c r="AA189">
        <v>0</v>
      </c>
      <c r="AB189" t="s">
        <v>18</v>
      </c>
    </row>
    <row r="190" spans="1:28" x14ac:dyDescent="0.3">
      <c r="A190" t="s">
        <v>1221</v>
      </c>
      <c r="B190" t="s">
        <v>1202</v>
      </c>
      <c r="C190" t="s">
        <v>1783</v>
      </c>
      <c r="D190" t="s">
        <v>1224</v>
      </c>
      <c r="E190">
        <v>108</v>
      </c>
      <c r="F190" t="s">
        <v>5</v>
      </c>
      <c r="G190">
        <v>71</v>
      </c>
      <c r="H190" s="2">
        <f t="shared" si="2"/>
        <v>0.65740740740740744</v>
      </c>
      <c r="I190" t="s">
        <v>6</v>
      </c>
      <c r="J190">
        <v>1.45056068104164</v>
      </c>
      <c r="K190" t="s">
        <v>7</v>
      </c>
      <c r="L190">
        <v>1.3431117417052199E-2</v>
      </c>
      <c r="M190" t="s">
        <v>8</v>
      </c>
      <c r="N190">
        <v>0.81913448285142099</v>
      </c>
      <c r="O190" t="s">
        <v>9</v>
      </c>
      <c r="P190">
        <v>-1.5326483135516</v>
      </c>
      <c r="Q190" t="s">
        <v>10</v>
      </c>
      <c r="R190">
        <v>0.201865275835581</v>
      </c>
      <c r="S190" t="s">
        <v>11</v>
      </c>
      <c r="T190" t="s">
        <v>1428</v>
      </c>
      <c r="U190" t="s">
        <v>220</v>
      </c>
      <c r="V190">
        <v>0</v>
      </c>
      <c r="W190" t="s">
        <v>14</v>
      </c>
      <c r="X190" t="s">
        <v>15</v>
      </c>
      <c r="Y190" t="s">
        <v>1408</v>
      </c>
      <c r="Z190" t="s">
        <v>1284</v>
      </c>
      <c r="AA190">
        <v>0</v>
      </c>
      <c r="AB190" t="s">
        <v>18</v>
      </c>
    </row>
    <row r="191" spans="1:28" x14ac:dyDescent="0.3">
      <c r="A191" t="s">
        <v>1220</v>
      </c>
      <c r="B191" t="s">
        <v>1165</v>
      </c>
      <c r="C191" t="s">
        <v>1671</v>
      </c>
      <c r="D191" t="s">
        <v>1224</v>
      </c>
      <c r="E191">
        <v>136</v>
      </c>
      <c r="F191" t="s">
        <v>5</v>
      </c>
      <c r="G191">
        <v>78</v>
      </c>
      <c r="H191" s="2">
        <f t="shared" si="2"/>
        <v>0.57352941176470584</v>
      </c>
      <c r="I191" t="s">
        <v>6</v>
      </c>
      <c r="J191">
        <v>1.1628599365765</v>
      </c>
      <c r="K191" t="s">
        <v>7</v>
      </c>
      <c r="L191">
        <v>8.5504407101213206E-3</v>
      </c>
      <c r="M191" t="s">
        <v>8</v>
      </c>
      <c r="N191">
        <v>1.2741392299561001</v>
      </c>
      <c r="O191" t="s">
        <v>9</v>
      </c>
      <c r="P191">
        <v>-1.6934482758620599</v>
      </c>
      <c r="Q191" t="s">
        <v>10</v>
      </c>
      <c r="R191">
        <v>0.30593610932862197</v>
      </c>
      <c r="S191" t="s">
        <v>11</v>
      </c>
      <c r="T191" t="s">
        <v>1248</v>
      </c>
      <c r="U191" t="s">
        <v>1249</v>
      </c>
      <c r="V191">
        <v>0</v>
      </c>
      <c r="W191" t="s">
        <v>14</v>
      </c>
      <c r="X191" t="s">
        <v>15</v>
      </c>
      <c r="Y191" t="s">
        <v>1248</v>
      </c>
      <c r="Z191" t="s">
        <v>1249</v>
      </c>
      <c r="AA191">
        <v>0</v>
      </c>
      <c r="AB191" t="s">
        <v>18</v>
      </c>
    </row>
    <row r="192" spans="1:28" x14ac:dyDescent="0.3">
      <c r="A192" t="s">
        <v>1221</v>
      </c>
      <c r="B192" t="s">
        <v>1204</v>
      </c>
      <c r="C192" t="s">
        <v>1785</v>
      </c>
      <c r="D192" t="s">
        <v>1224</v>
      </c>
      <c r="E192">
        <v>102</v>
      </c>
      <c r="F192" t="s">
        <v>5</v>
      </c>
      <c r="G192">
        <v>45</v>
      </c>
      <c r="H192" s="2">
        <f t="shared" si="2"/>
        <v>0.44117647058823528</v>
      </c>
      <c r="I192" t="s">
        <v>6</v>
      </c>
      <c r="J192">
        <v>0.92842528739521402</v>
      </c>
      <c r="K192" t="s">
        <v>7</v>
      </c>
      <c r="L192">
        <v>9.1022086999530804E-3</v>
      </c>
      <c r="M192" t="s">
        <v>8</v>
      </c>
      <c r="N192">
        <v>0.91044444444444195</v>
      </c>
      <c r="O192" t="s">
        <v>9</v>
      </c>
      <c r="P192">
        <v>-0.70248376688780101</v>
      </c>
      <c r="Q192" t="s">
        <v>10</v>
      </c>
      <c r="R192">
        <v>0.18034111404834</v>
      </c>
      <c r="S192" t="s">
        <v>11</v>
      </c>
      <c r="T192" t="s">
        <v>1410</v>
      </c>
      <c r="U192" t="s">
        <v>1386</v>
      </c>
      <c r="V192">
        <v>0</v>
      </c>
      <c r="W192" t="s">
        <v>14</v>
      </c>
      <c r="X192" t="s">
        <v>15</v>
      </c>
      <c r="Y192" t="s">
        <v>1410</v>
      </c>
      <c r="Z192" t="s">
        <v>1386</v>
      </c>
      <c r="AA192">
        <v>0</v>
      </c>
      <c r="AB192" t="s">
        <v>18</v>
      </c>
    </row>
    <row r="193" spans="1:28" x14ac:dyDescent="0.3">
      <c r="A193" t="s">
        <v>1223</v>
      </c>
      <c r="B193" t="s">
        <v>1192</v>
      </c>
      <c r="C193" t="s">
        <v>1923</v>
      </c>
      <c r="D193" t="s">
        <v>1224</v>
      </c>
      <c r="E193">
        <v>224</v>
      </c>
      <c r="F193" t="s">
        <v>5</v>
      </c>
      <c r="G193">
        <v>148</v>
      </c>
      <c r="H193" s="2">
        <f t="shared" si="2"/>
        <v>0.6607142857142857</v>
      </c>
      <c r="I193" t="s">
        <v>6</v>
      </c>
      <c r="J193">
        <v>0.76000000000002099</v>
      </c>
      <c r="K193" t="s">
        <v>7</v>
      </c>
      <c r="L193">
        <v>3.3928571428572399E-3</v>
      </c>
      <c r="M193" t="s">
        <v>8</v>
      </c>
      <c r="N193">
        <v>0.64385135135135096</v>
      </c>
      <c r="O193" t="s">
        <v>9</v>
      </c>
      <c r="P193">
        <v>-1.2438157894736801</v>
      </c>
      <c r="Q193" t="s">
        <v>10</v>
      </c>
      <c r="R193">
        <v>0.32692774060615498</v>
      </c>
      <c r="S193" t="s">
        <v>11</v>
      </c>
      <c r="T193" t="s">
        <v>1488</v>
      </c>
      <c r="U193" t="s">
        <v>1350</v>
      </c>
      <c r="V193">
        <v>0</v>
      </c>
      <c r="W193" t="s">
        <v>14</v>
      </c>
      <c r="X193" t="s">
        <v>15</v>
      </c>
      <c r="Y193" t="s">
        <v>1489</v>
      </c>
      <c r="Z193" t="s">
        <v>1350</v>
      </c>
      <c r="AA193">
        <v>0</v>
      </c>
      <c r="AB193" t="s">
        <v>18</v>
      </c>
    </row>
    <row r="194" spans="1:28" x14ac:dyDescent="0.3">
      <c r="A194" t="s">
        <v>1223</v>
      </c>
      <c r="B194" t="s">
        <v>1163</v>
      </c>
      <c r="C194" t="s">
        <v>1894</v>
      </c>
      <c r="D194" t="s">
        <v>1224</v>
      </c>
      <c r="E194">
        <v>224</v>
      </c>
      <c r="F194" t="s">
        <v>5</v>
      </c>
      <c r="G194">
        <v>137</v>
      </c>
      <c r="H194" s="2">
        <f t="shared" si="2"/>
        <v>0.6116071428571429</v>
      </c>
      <c r="I194" t="s">
        <v>6</v>
      </c>
      <c r="J194">
        <v>0.320000000000072</v>
      </c>
      <c r="K194" t="s">
        <v>7</v>
      </c>
      <c r="L194">
        <v>1.4285714285717499E-3</v>
      </c>
      <c r="M194" t="s">
        <v>8</v>
      </c>
      <c r="N194">
        <v>1.0703649635036401</v>
      </c>
      <c r="O194" t="s">
        <v>9</v>
      </c>
      <c r="P194">
        <v>-1.7013953488372</v>
      </c>
      <c r="Q194" t="s">
        <v>10</v>
      </c>
      <c r="R194">
        <v>0.435487886395514</v>
      </c>
      <c r="S194" t="s">
        <v>11</v>
      </c>
      <c r="T194" t="s">
        <v>133</v>
      </c>
      <c r="U194" t="s">
        <v>1230</v>
      </c>
      <c r="V194">
        <v>0</v>
      </c>
      <c r="W194" t="s">
        <v>14</v>
      </c>
      <c r="X194" t="s">
        <v>15</v>
      </c>
      <c r="Y194" t="s">
        <v>1471</v>
      </c>
      <c r="Z194" t="s">
        <v>851</v>
      </c>
      <c r="AA194">
        <v>0</v>
      </c>
      <c r="AB194" t="s">
        <v>18</v>
      </c>
    </row>
    <row r="195" spans="1:28" x14ac:dyDescent="0.3">
      <c r="A195" t="s">
        <v>1221</v>
      </c>
      <c r="B195" t="s">
        <v>1151</v>
      </c>
      <c r="C195" t="s">
        <v>1732</v>
      </c>
      <c r="D195" t="s">
        <v>1224</v>
      </c>
      <c r="E195">
        <v>98</v>
      </c>
      <c r="F195" t="s">
        <v>5</v>
      </c>
      <c r="G195">
        <v>54</v>
      </c>
      <c r="H195" s="2">
        <f t="shared" ref="H195:H258" si="3">G195/E195</f>
        <v>0.55102040816326525</v>
      </c>
      <c r="I195" t="s">
        <v>6</v>
      </c>
      <c r="J195">
        <v>1.00000000000446E-2</v>
      </c>
      <c r="K195" t="s">
        <v>7</v>
      </c>
      <c r="L195">
        <v>1.0204081632698599E-4</v>
      </c>
      <c r="M195" t="s">
        <v>8</v>
      </c>
      <c r="N195">
        <v>1.4970370370370301</v>
      </c>
      <c r="O195" t="s">
        <v>9</v>
      </c>
      <c r="P195">
        <v>-1.83704545454545</v>
      </c>
      <c r="Q195" t="s">
        <v>10</v>
      </c>
      <c r="R195">
        <v>0.26270237956314901</v>
      </c>
      <c r="S195" t="s">
        <v>11</v>
      </c>
      <c r="T195" t="s">
        <v>1380</v>
      </c>
      <c r="U195" t="s">
        <v>1381</v>
      </c>
      <c r="V195">
        <v>0</v>
      </c>
      <c r="W195" t="s">
        <v>14</v>
      </c>
      <c r="X195" t="s">
        <v>15</v>
      </c>
      <c r="Y195" t="s">
        <v>1377</v>
      </c>
      <c r="Z195" t="s">
        <v>1376</v>
      </c>
      <c r="AA195">
        <v>0</v>
      </c>
      <c r="AB195" t="s">
        <v>18</v>
      </c>
    </row>
    <row r="196" spans="1:28" x14ac:dyDescent="0.3">
      <c r="A196" t="s">
        <v>1220</v>
      </c>
      <c r="B196" t="s">
        <v>1176</v>
      </c>
      <c r="C196" t="s">
        <v>1682</v>
      </c>
      <c r="D196" t="s">
        <v>1224</v>
      </c>
      <c r="E196">
        <v>140</v>
      </c>
      <c r="F196" t="s">
        <v>5</v>
      </c>
      <c r="G196">
        <v>49</v>
      </c>
      <c r="H196" s="2">
        <f t="shared" si="3"/>
        <v>0.35</v>
      </c>
      <c r="I196" t="s">
        <v>6</v>
      </c>
      <c r="J196">
        <v>-0.28999999999999398</v>
      </c>
      <c r="K196" t="s">
        <v>7</v>
      </c>
      <c r="L196">
        <v>-2.0714285714285301E-3</v>
      </c>
      <c r="M196" t="s">
        <v>8</v>
      </c>
      <c r="N196">
        <v>2.2471428571428498</v>
      </c>
      <c r="O196" t="s">
        <v>9</v>
      </c>
      <c r="P196">
        <v>-1.21318681318681</v>
      </c>
      <c r="Q196" t="s">
        <v>10</v>
      </c>
      <c r="R196">
        <v>0.45028875842036997</v>
      </c>
      <c r="S196" t="s">
        <v>11</v>
      </c>
      <c r="T196" t="s">
        <v>1397</v>
      </c>
      <c r="U196" t="s">
        <v>742</v>
      </c>
      <c r="V196">
        <v>0</v>
      </c>
      <c r="W196" t="s">
        <v>14</v>
      </c>
      <c r="X196" t="s">
        <v>15</v>
      </c>
      <c r="Y196" t="s">
        <v>1397</v>
      </c>
      <c r="Z196" t="s">
        <v>742</v>
      </c>
      <c r="AA196">
        <v>0</v>
      </c>
      <c r="AB196" t="s">
        <v>18</v>
      </c>
    </row>
    <row r="197" spans="1:28" x14ac:dyDescent="0.3">
      <c r="A197" t="s">
        <v>1220</v>
      </c>
      <c r="B197" t="s">
        <v>1182</v>
      </c>
      <c r="C197" t="s">
        <v>1688</v>
      </c>
      <c r="D197" t="s">
        <v>1224</v>
      </c>
      <c r="E197">
        <v>136</v>
      </c>
      <c r="F197" t="s">
        <v>5</v>
      </c>
      <c r="G197">
        <v>39</v>
      </c>
      <c r="H197" s="2">
        <f t="shared" si="3"/>
        <v>0.28676470588235292</v>
      </c>
      <c r="I197" t="s">
        <v>6</v>
      </c>
      <c r="J197">
        <v>-0.73571009513521102</v>
      </c>
      <c r="K197" t="s">
        <v>7</v>
      </c>
      <c r="L197">
        <v>-5.40963305246479E-3</v>
      </c>
      <c r="M197" t="s">
        <v>8</v>
      </c>
      <c r="N197">
        <v>3.6105128205128199</v>
      </c>
      <c r="O197" t="s">
        <v>9</v>
      </c>
      <c r="P197">
        <v>-1.4592341246921099</v>
      </c>
      <c r="Q197" t="s">
        <v>10</v>
      </c>
      <c r="R197">
        <v>0.493475908140592</v>
      </c>
      <c r="S197" t="s">
        <v>11</v>
      </c>
      <c r="T197" t="s">
        <v>1296</v>
      </c>
      <c r="U197" t="s">
        <v>1249</v>
      </c>
      <c r="V197">
        <v>0</v>
      </c>
      <c r="W197" t="s">
        <v>14</v>
      </c>
      <c r="X197" t="s">
        <v>15</v>
      </c>
      <c r="Y197" t="s">
        <v>1296</v>
      </c>
      <c r="Z197" t="s">
        <v>1249</v>
      </c>
      <c r="AA197">
        <v>0</v>
      </c>
      <c r="AB197" t="s">
        <v>18</v>
      </c>
    </row>
    <row r="198" spans="1:28" x14ac:dyDescent="0.3">
      <c r="A198" t="s">
        <v>1220</v>
      </c>
      <c r="B198" t="s">
        <v>1202</v>
      </c>
      <c r="C198" t="s">
        <v>1708</v>
      </c>
      <c r="D198" t="s">
        <v>1224</v>
      </c>
      <c r="E198">
        <v>144</v>
      </c>
      <c r="F198" t="s">
        <v>5</v>
      </c>
      <c r="G198">
        <v>86</v>
      </c>
      <c r="H198" s="2">
        <f t="shared" si="3"/>
        <v>0.59722222222222221</v>
      </c>
      <c r="I198" t="s">
        <v>6</v>
      </c>
      <c r="J198">
        <v>-0.86875643229654098</v>
      </c>
      <c r="K198" t="s">
        <v>7</v>
      </c>
      <c r="L198">
        <v>-6.0330307798370899E-3</v>
      </c>
      <c r="M198" t="s">
        <v>8</v>
      </c>
      <c r="N198">
        <v>1.0823912428187401</v>
      </c>
      <c r="O198" t="s">
        <v>9</v>
      </c>
      <c r="P198">
        <v>-1.61990350542601</v>
      </c>
      <c r="Q198" t="s">
        <v>10</v>
      </c>
      <c r="R198">
        <v>0.28633161299175203</v>
      </c>
      <c r="S198" t="s">
        <v>11</v>
      </c>
      <c r="T198" t="s">
        <v>1407</v>
      </c>
      <c r="U198" t="s">
        <v>632</v>
      </c>
      <c r="V198">
        <v>0</v>
      </c>
      <c r="W198" t="s">
        <v>14</v>
      </c>
      <c r="X198" t="s">
        <v>15</v>
      </c>
      <c r="Y198" t="s">
        <v>1408</v>
      </c>
      <c r="Z198" t="s">
        <v>1284</v>
      </c>
      <c r="AA198">
        <v>0</v>
      </c>
      <c r="AB198" t="s">
        <v>18</v>
      </c>
    </row>
    <row r="199" spans="1:28" x14ac:dyDescent="0.3">
      <c r="A199" t="s">
        <v>1220</v>
      </c>
      <c r="B199" t="s">
        <v>1184</v>
      </c>
      <c r="C199" t="s">
        <v>1690</v>
      </c>
      <c r="D199" t="s">
        <v>1224</v>
      </c>
      <c r="E199">
        <v>144</v>
      </c>
      <c r="F199" t="s">
        <v>5</v>
      </c>
      <c r="G199">
        <v>69</v>
      </c>
      <c r="H199" s="2">
        <f t="shared" si="3"/>
        <v>0.47916666666666669</v>
      </c>
      <c r="I199" t="s">
        <v>6</v>
      </c>
      <c r="J199">
        <v>-0.92637401393885899</v>
      </c>
      <c r="K199" t="s">
        <v>7</v>
      </c>
      <c r="L199">
        <v>-6.4331528745754096E-3</v>
      </c>
      <c r="M199" t="s">
        <v>8</v>
      </c>
      <c r="N199">
        <v>1.38796454201359</v>
      </c>
      <c r="O199" t="s">
        <v>9</v>
      </c>
      <c r="P199">
        <v>-1.28927903217169</v>
      </c>
      <c r="Q199" t="s">
        <v>10</v>
      </c>
      <c r="R199">
        <v>0.29002354852404699</v>
      </c>
      <c r="S199" t="s">
        <v>11</v>
      </c>
      <c r="T199" t="s">
        <v>1400</v>
      </c>
      <c r="U199" t="s">
        <v>1390</v>
      </c>
      <c r="V199">
        <v>0</v>
      </c>
      <c r="W199" t="s">
        <v>14</v>
      </c>
      <c r="X199" t="s">
        <v>15</v>
      </c>
      <c r="Y199" t="s">
        <v>1400</v>
      </c>
      <c r="Z199" t="s">
        <v>1390</v>
      </c>
      <c r="AA199">
        <v>0</v>
      </c>
      <c r="AB199" t="s">
        <v>18</v>
      </c>
    </row>
    <row r="200" spans="1:28" x14ac:dyDescent="0.3">
      <c r="A200" t="s">
        <v>1220</v>
      </c>
      <c r="B200" t="s">
        <v>1170</v>
      </c>
      <c r="C200" t="s">
        <v>1676</v>
      </c>
      <c r="D200" t="s">
        <v>1224</v>
      </c>
      <c r="E200">
        <v>144</v>
      </c>
      <c r="F200" t="s">
        <v>5</v>
      </c>
      <c r="G200">
        <v>81</v>
      </c>
      <c r="H200" s="2">
        <f t="shared" si="3"/>
        <v>0.5625</v>
      </c>
      <c r="I200" t="s">
        <v>6</v>
      </c>
      <c r="J200">
        <v>-0.93404621351038897</v>
      </c>
      <c r="K200" t="s">
        <v>7</v>
      </c>
      <c r="L200">
        <v>-6.4864320382665899E-3</v>
      </c>
      <c r="M200" t="s">
        <v>8</v>
      </c>
      <c r="N200">
        <v>1.36950341007539</v>
      </c>
      <c r="O200" t="s">
        <v>9</v>
      </c>
      <c r="P200">
        <v>-1.77561622904155</v>
      </c>
      <c r="Q200" t="s">
        <v>10</v>
      </c>
      <c r="R200">
        <v>0.29744917927477399</v>
      </c>
      <c r="S200" t="s">
        <v>11</v>
      </c>
      <c r="T200" t="s">
        <v>1389</v>
      </c>
      <c r="U200" t="s">
        <v>1390</v>
      </c>
      <c r="V200">
        <v>0</v>
      </c>
      <c r="W200" t="s">
        <v>14</v>
      </c>
      <c r="X200" t="s">
        <v>15</v>
      </c>
      <c r="Y200" t="s">
        <v>1389</v>
      </c>
      <c r="Z200" t="s">
        <v>1390</v>
      </c>
      <c r="AA200">
        <v>0</v>
      </c>
      <c r="AB200" t="s">
        <v>18</v>
      </c>
    </row>
    <row r="201" spans="1:28" x14ac:dyDescent="0.3">
      <c r="A201" t="s">
        <v>1220</v>
      </c>
      <c r="B201" t="s">
        <v>1149</v>
      </c>
      <c r="C201" t="s">
        <v>1655</v>
      </c>
      <c r="D201" t="s">
        <v>1224</v>
      </c>
      <c r="E201">
        <v>136</v>
      </c>
      <c r="F201" t="s">
        <v>5</v>
      </c>
      <c r="G201">
        <v>79</v>
      </c>
      <c r="H201" s="2">
        <f t="shared" si="3"/>
        <v>0.58088235294117652</v>
      </c>
      <c r="I201" t="s">
        <v>6</v>
      </c>
      <c r="J201">
        <v>-1.0099999999999401</v>
      </c>
      <c r="K201" t="s">
        <v>7</v>
      </c>
      <c r="L201">
        <v>-7.4264705882349097E-3</v>
      </c>
      <c r="M201" t="s">
        <v>8</v>
      </c>
      <c r="N201">
        <v>1.2549367088607599</v>
      </c>
      <c r="O201" t="s">
        <v>9</v>
      </c>
      <c r="P201">
        <v>-1.75701754385964</v>
      </c>
      <c r="Q201" t="s">
        <v>10</v>
      </c>
      <c r="R201">
        <v>0.31841193263268103</v>
      </c>
      <c r="S201" t="s">
        <v>11</v>
      </c>
      <c r="T201" t="s">
        <v>1375</v>
      </c>
      <c r="U201" t="s">
        <v>1376</v>
      </c>
      <c r="V201">
        <v>0</v>
      </c>
      <c r="W201" t="s">
        <v>14</v>
      </c>
      <c r="X201" t="s">
        <v>15</v>
      </c>
      <c r="Y201" t="s">
        <v>1377</v>
      </c>
      <c r="Z201" t="s">
        <v>1376</v>
      </c>
      <c r="AA201">
        <v>0</v>
      </c>
      <c r="AB201" t="s">
        <v>18</v>
      </c>
    </row>
    <row r="202" spans="1:28" x14ac:dyDescent="0.3">
      <c r="A202" t="s">
        <v>1223</v>
      </c>
      <c r="B202" t="s">
        <v>1162</v>
      </c>
      <c r="C202" t="s">
        <v>1893</v>
      </c>
      <c r="D202" t="s">
        <v>1224</v>
      </c>
      <c r="E202">
        <v>224</v>
      </c>
      <c r="F202" t="s">
        <v>5</v>
      </c>
      <c r="G202">
        <v>137</v>
      </c>
      <c r="H202" s="2">
        <f t="shared" si="3"/>
        <v>0.6116071428571429</v>
      </c>
      <c r="I202" t="s">
        <v>6</v>
      </c>
      <c r="J202">
        <v>-1.14999999999992</v>
      </c>
      <c r="K202" t="s">
        <v>7</v>
      </c>
      <c r="L202">
        <v>-5.1339285714282496E-3</v>
      </c>
      <c r="M202" t="s">
        <v>8</v>
      </c>
      <c r="N202">
        <v>1.05963503649635</v>
      </c>
      <c r="O202" t="s">
        <v>9</v>
      </c>
      <c r="P202">
        <v>-1.7013953488372</v>
      </c>
      <c r="Q202" t="s">
        <v>10</v>
      </c>
      <c r="R202">
        <v>0.43526787519163801</v>
      </c>
      <c r="S202" t="s">
        <v>11</v>
      </c>
      <c r="T202" t="s">
        <v>133</v>
      </c>
      <c r="U202" t="s">
        <v>1230</v>
      </c>
      <c r="V202">
        <v>0</v>
      </c>
      <c r="W202" t="s">
        <v>14</v>
      </c>
      <c r="X202" t="s">
        <v>15</v>
      </c>
      <c r="Y202" t="s">
        <v>1471</v>
      </c>
      <c r="Z202" t="s">
        <v>851</v>
      </c>
      <c r="AA202">
        <v>0</v>
      </c>
      <c r="AB202" t="s">
        <v>18</v>
      </c>
    </row>
    <row r="203" spans="1:28" x14ac:dyDescent="0.3">
      <c r="A203" t="s">
        <v>1219</v>
      </c>
      <c r="B203" t="s">
        <v>1189</v>
      </c>
      <c r="C203" t="s">
        <v>1620</v>
      </c>
      <c r="D203" t="s">
        <v>1224</v>
      </c>
      <c r="E203">
        <v>191</v>
      </c>
      <c r="F203" t="s">
        <v>5</v>
      </c>
      <c r="G203">
        <v>119</v>
      </c>
      <c r="H203" s="2">
        <f t="shared" si="3"/>
        <v>0.62303664921465973</v>
      </c>
      <c r="I203" t="s">
        <v>6</v>
      </c>
      <c r="J203">
        <v>-1.16999999999993</v>
      </c>
      <c r="K203" t="s">
        <v>7</v>
      </c>
      <c r="L203">
        <v>-6.12565445026143E-3</v>
      </c>
      <c r="M203" t="s">
        <v>8</v>
      </c>
      <c r="N203">
        <v>0.69680672268907495</v>
      </c>
      <c r="O203" t="s">
        <v>9</v>
      </c>
      <c r="P203">
        <v>-1.1843661971830901</v>
      </c>
      <c r="Q203" t="s">
        <v>10</v>
      </c>
      <c r="R203">
        <v>0.28099440796869601</v>
      </c>
      <c r="S203" t="s">
        <v>11</v>
      </c>
      <c r="T203" t="s">
        <v>1348</v>
      </c>
      <c r="U203" t="s">
        <v>1232</v>
      </c>
      <c r="V203">
        <v>0</v>
      </c>
      <c r="W203" t="s">
        <v>14</v>
      </c>
      <c r="X203" t="s">
        <v>15</v>
      </c>
      <c r="Y203" t="s">
        <v>1349</v>
      </c>
      <c r="Z203" t="s">
        <v>1350</v>
      </c>
      <c r="AA203">
        <v>0</v>
      </c>
      <c r="AB203" t="s">
        <v>18</v>
      </c>
    </row>
    <row r="204" spans="1:28" x14ac:dyDescent="0.3">
      <c r="A204" t="s">
        <v>1221</v>
      </c>
      <c r="B204" t="s">
        <v>1181</v>
      </c>
      <c r="C204" t="s">
        <v>1762</v>
      </c>
      <c r="D204" t="s">
        <v>1224</v>
      </c>
      <c r="E204">
        <v>98</v>
      </c>
      <c r="F204" t="s">
        <v>5</v>
      </c>
      <c r="G204">
        <v>32</v>
      </c>
      <c r="H204" s="2">
        <f t="shared" si="3"/>
        <v>0.32653061224489793</v>
      </c>
      <c r="I204" t="s">
        <v>6</v>
      </c>
      <c r="J204">
        <v>-1.23999999999999</v>
      </c>
      <c r="K204" t="s">
        <v>7</v>
      </c>
      <c r="L204">
        <v>-1.26530612244897E-2</v>
      </c>
      <c r="M204" t="s">
        <v>8</v>
      </c>
      <c r="N204">
        <v>2.6803124999999901</v>
      </c>
      <c r="O204" t="s">
        <v>9</v>
      </c>
      <c r="P204">
        <v>-1.31833333333333</v>
      </c>
      <c r="Q204" t="s">
        <v>10</v>
      </c>
      <c r="R204">
        <v>0.320775286737984</v>
      </c>
      <c r="S204" t="s">
        <v>11</v>
      </c>
      <c r="T204" t="s">
        <v>1296</v>
      </c>
      <c r="U204" t="s">
        <v>1249</v>
      </c>
      <c r="V204">
        <v>0</v>
      </c>
      <c r="W204" t="s">
        <v>14</v>
      </c>
      <c r="X204" t="s">
        <v>15</v>
      </c>
      <c r="Y204" t="s">
        <v>1296</v>
      </c>
      <c r="Z204" t="s">
        <v>1249</v>
      </c>
      <c r="AA204">
        <v>0</v>
      </c>
      <c r="AB204" t="s">
        <v>18</v>
      </c>
    </row>
    <row r="205" spans="1:28" x14ac:dyDescent="0.3">
      <c r="A205" t="s">
        <v>1220</v>
      </c>
      <c r="B205" t="s">
        <v>1146</v>
      </c>
      <c r="C205" t="s">
        <v>1652</v>
      </c>
      <c r="D205" t="s">
        <v>1224</v>
      </c>
      <c r="E205">
        <v>140</v>
      </c>
      <c r="F205" t="s">
        <v>5</v>
      </c>
      <c r="G205">
        <v>80</v>
      </c>
      <c r="H205" s="2">
        <f t="shared" si="3"/>
        <v>0.5714285714285714</v>
      </c>
      <c r="I205" t="s">
        <v>6</v>
      </c>
      <c r="J205">
        <v>-1.2999999999999301</v>
      </c>
      <c r="K205" t="s">
        <v>7</v>
      </c>
      <c r="L205">
        <v>-9.2857142857138107E-3</v>
      </c>
      <c r="M205" t="s">
        <v>8</v>
      </c>
      <c r="N205">
        <v>1.3007500000000001</v>
      </c>
      <c r="O205" t="s">
        <v>9</v>
      </c>
      <c r="P205">
        <v>-1.756</v>
      </c>
      <c r="Q205" t="s">
        <v>10</v>
      </c>
      <c r="R205">
        <v>0.391634351741519</v>
      </c>
      <c r="S205" t="s">
        <v>11</v>
      </c>
      <c r="T205" t="s">
        <v>1374</v>
      </c>
      <c r="U205" t="s">
        <v>742</v>
      </c>
      <c r="V205">
        <v>0</v>
      </c>
      <c r="W205" t="s">
        <v>14</v>
      </c>
      <c r="X205" t="s">
        <v>15</v>
      </c>
      <c r="Y205" t="s">
        <v>1374</v>
      </c>
      <c r="Z205" t="s">
        <v>742</v>
      </c>
      <c r="AA205">
        <v>0</v>
      </c>
      <c r="AB205" t="s">
        <v>18</v>
      </c>
    </row>
    <row r="206" spans="1:28" x14ac:dyDescent="0.3">
      <c r="A206" t="s">
        <v>1223</v>
      </c>
      <c r="B206" t="s">
        <v>1198</v>
      </c>
      <c r="C206" t="s">
        <v>1929</v>
      </c>
      <c r="D206" t="s">
        <v>1224</v>
      </c>
      <c r="E206">
        <v>230</v>
      </c>
      <c r="F206" t="s">
        <v>5</v>
      </c>
      <c r="G206">
        <v>145</v>
      </c>
      <c r="H206" s="2">
        <f t="shared" si="3"/>
        <v>0.63043478260869568</v>
      </c>
      <c r="I206" t="s">
        <v>6</v>
      </c>
      <c r="J206">
        <v>-1.52999999999999</v>
      </c>
      <c r="K206" t="s">
        <v>7</v>
      </c>
      <c r="L206">
        <v>-6.6521739130434602E-3</v>
      </c>
      <c r="M206" t="s">
        <v>8</v>
      </c>
      <c r="N206">
        <v>0.80731034482758501</v>
      </c>
      <c r="O206" t="s">
        <v>9</v>
      </c>
      <c r="P206">
        <v>-1.3951764705882299</v>
      </c>
      <c r="Q206" t="s">
        <v>10</v>
      </c>
      <c r="R206">
        <v>0.39421981952889301</v>
      </c>
      <c r="S206" t="s">
        <v>11</v>
      </c>
      <c r="T206" t="s">
        <v>1493</v>
      </c>
      <c r="U206" t="s">
        <v>1383</v>
      </c>
      <c r="V206">
        <v>0</v>
      </c>
      <c r="W206" t="s">
        <v>14</v>
      </c>
      <c r="X206" t="s">
        <v>15</v>
      </c>
      <c r="Y206" t="s">
        <v>1491</v>
      </c>
      <c r="Z206" t="s">
        <v>632</v>
      </c>
      <c r="AA206">
        <v>0</v>
      </c>
      <c r="AB206" t="s">
        <v>18</v>
      </c>
    </row>
    <row r="207" spans="1:28" x14ac:dyDescent="0.3">
      <c r="A207" t="s">
        <v>1219</v>
      </c>
      <c r="B207" t="s">
        <v>1190</v>
      </c>
      <c r="C207" t="s">
        <v>1621</v>
      </c>
      <c r="D207" t="s">
        <v>1224</v>
      </c>
      <c r="E207">
        <v>191</v>
      </c>
      <c r="F207" t="s">
        <v>5</v>
      </c>
      <c r="G207">
        <v>114</v>
      </c>
      <c r="H207" s="2">
        <f t="shared" si="3"/>
        <v>0.59685863874345546</v>
      </c>
      <c r="I207" t="s">
        <v>6</v>
      </c>
      <c r="J207">
        <v>-1.75999999999996</v>
      </c>
      <c r="K207" t="s">
        <v>7</v>
      </c>
      <c r="L207">
        <v>-9.2146596858636905E-3</v>
      </c>
      <c r="M207" t="s">
        <v>8</v>
      </c>
      <c r="N207">
        <v>0.78719298245614</v>
      </c>
      <c r="O207" t="s">
        <v>9</v>
      </c>
      <c r="P207">
        <v>-1.20394736842105</v>
      </c>
      <c r="Q207" t="s">
        <v>10</v>
      </c>
      <c r="R207">
        <v>0.31196489585806603</v>
      </c>
      <c r="S207" t="s">
        <v>11</v>
      </c>
      <c r="T207" t="s">
        <v>1348</v>
      </c>
      <c r="U207" t="s">
        <v>1232</v>
      </c>
      <c r="V207">
        <v>0</v>
      </c>
      <c r="W207" t="s">
        <v>14</v>
      </c>
      <c r="X207" t="s">
        <v>15</v>
      </c>
      <c r="Y207" t="s">
        <v>1349</v>
      </c>
      <c r="Z207" t="s">
        <v>1350</v>
      </c>
      <c r="AA207">
        <v>0</v>
      </c>
      <c r="AB207" t="s">
        <v>18</v>
      </c>
    </row>
    <row r="208" spans="1:28" x14ac:dyDescent="0.3">
      <c r="A208" t="s">
        <v>1222</v>
      </c>
      <c r="B208" t="s">
        <v>1195</v>
      </c>
      <c r="C208" t="s">
        <v>1851</v>
      </c>
      <c r="D208" t="s">
        <v>1224</v>
      </c>
      <c r="E208">
        <v>33</v>
      </c>
      <c r="F208" t="s">
        <v>5</v>
      </c>
      <c r="G208">
        <v>20</v>
      </c>
      <c r="H208" s="2">
        <f t="shared" si="3"/>
        <v>0.60606060606060608</v>
      </c>
      <c r="I208" t="s">
        <v>6</v>
      </c>
      <c r="J208">
        <v>-2.3300000000000298</v>
      </c>
      <c r="K208" t="s">
        <v>7</v>
      </c>
      <c r="L208">
        <v>-7.0606060606061602E-2</v>
      </c>
      <c r="M208" t="s">
        <v>8</v>
      </c>
      <c r="N208">
        <v>0.750999999999997</v>
      </c>
      <c r="O208" t="s">
        <v>9</v>
      </c>
      <c r="P208">
        <v>-1.3346153846153801</v>
      </c>
      <c r="Q208" t="s">
        <v>10</v>
      </c>
      <c r="R208">
        <v>9.6797728214492396E-2</v>
      </c>
      <c r="S208" t="s">
        <v>11</v>
      </c>
      <c r="T208" t="s">
        <v>1454</v>
      </c>
      <c r="U208" t="s">
        <v>1228</v>
      </c>
      <c r="V208">
        <v>0</v>
      </c>
      <c r="W208" t="s">
        <v>14</v>
      </c>
      <c r="X208" t="s">
        <v>15</v>
      </c>
      <c r="Y208" t="s">
        <v>1454</v>
      </c>
      <c r="Z208" t="s">
        <v>1228</v>
      </c>
      <c r="AA208">
        <v>0</v>
      </c>
      <c r="AB208" t="s">
        <v>18</v>
      </c>
    </row>
    <row r="209" spans="1:28" x14ac:dyDescent="0.3">
      <c r="A209" t="s">
        <v>1222</v>
      </c>
      <c r="B209" t="s">
        <v>1196</v>
      </c>
      <c r="C209" t="s">
        <v>1852</v>
      </c>
      <c r="D209" t="s">
        <v>1224</v>
      </c>
      <c r="E209">
        <v>33</v>
      </c>
      <c r="F209" t="s">
        <v>5</v>
      </c>
      <c r="G209">
        <v>20</v>
      </c>
      <c r="H209" s="2">
        <f t="shared" si="3"/>
        <v>0.60606060606060608</v>
      </c>
      <c r="I209" t="s">
        <v>6</v>
      </c>
      <c r="J209">
        <v>-2.3300000000000298</v>
      </c>
      <c r="K209" t="s">
        <v>7</v>
      </c>
      <c r="L209">
        <v>-7.0606060606061602E-2</v>
      </c>
      <c r="M209" t="s">
        <v>8</v>
      </c>
      <c r="N209">
        <v>0.750999999999997</v>
      </c>
      <c r="O209" t="s">
        <v>9</v>
      </c>
      <c r="P209">
        <v>-1.3346153846153801</v>
      </c>
      <c r="Q209" t="s">
        <v>10</v>
      </c>
      <c r="R209">
        <v>9.6797728214492396E-2</v>
      </c>
      <c r="S209" t="s">
        <v>11</v>
      </c>
      <c r="T209" t="s">
        <v>1454</v>
      </c>
      <c r="U209" t="s">
        <v>1228</v>
      </c>
      <c r="V209">
        <v>0</v>
      </c>
      <c r="W209" t="s">
        <v>14</v>
      </c>
      <c r="X209" t="s">
        <v>15</v>
      </c>
      <c r="Y209" t="s">
        <v>1454</v>
      </c>
      <c r="Z209" t="s">
        <v>1228</v>
      </c>
      <c r="AA209">
        <v>0</v>
      </c>
      <c r="AB209" t="s">
        <v>18</v>
      </c>
    </row>
    <row r="210" spans="1:28" x14ac:dyDescent="0.3">
      <c r="A210" t="s">
        <v>1222</v>
      </c>
      <c r="B210" t="s">
        <v>1197</v>
      </c>
      <c r="C210" t="s">
        <v>1853</v>
      </c>
      <c r="D210" t="s">
        <v>1224</v>
      </c>
      <c r="E210">
        <v>33</v>
      </c>
      <c r="F210" t="s">
        <v>5</v>
      </c>
      <c r="G210">
        <v>20</v>
      </c>
      <c r="H210" s="2">
        <f t="shared" si="3"/>
        <v>0.60606060606060608</v>
      </c>
      <c r="I210" t="s">
        <v>6</v>
      </c>
      <c r="J210">
        <v>-2.3300000000000298</v>
      </c>
      <c r="K210" t="s">
        <v>7</v>
      </c>
      <c r="L210">
        <v>-7.0606060606061602E-2</v>
      </c>
      <c r="M210" t="s">
        <v>8</v>
      </c>
      <c r="N210">
        <v>0.750999999999997</v>
      </c>
      <c r="O210" t="s">
        <v>9</v>
      </c>
      <c r="P210">
        <v>-1.3346153846153801</v>
      </c>
      <c r="Q210" t="s">
        <v>10</v>
      </c>
      <c r="R210">
        <v>9.6797728214492396E-2</v>
      </c>
      <c r="S210" t="s">
        <v>11</v>
      </c>
      <c r="T210" t="s">
        <v>1454</v>
      </c>
      <c r="U210" t="s">
        <v>1228</v>
      </c>
      <c r="V210">
        <v>0</v>
      </c>
      <c r="W210" t="s">
        <v>14</v>
      </c>
      <c r="X210" t="s">
        <v>15</v>
      </c>
      <c r="Y210" t="s">
        <v>1454</v>
      </c>
      <c r="Z210" t="s">
        <v>1228</v>
      </c>
      <c r="AA210">
        <v>0</v>
      </c>
      <c r="AB210" t="s">
        <v>18</v>
      </c>
    </row>
    <row r="211" spans="1:28" x14ac:dyDescent="0.3">
      <c r="A211" t="s">
        <v>1222</v>
      </c>
      <c r="B211" t="s">
        <v>1198</v>
      </c>
      <c r="C211" t="s">
        <v>1854</v>
      </c>
      <c r="D211" t="s">
        <v>1224</v>
      </c>
      <c r="E211">
        <v>33</v>
      </c>
      <c r="F211" t="s">
        <v>5</v>
      </c>
      <c r="G211">
        <v>20</v>
      </c>
      <c r="H211" s="2">
        <f t="shared" si="3"/>
        <v>0.60606060606060608</v>
      </c>
      <c r="I211" t="s">
        <v>6</v>
      </c>
      <c r="J211">
        <v>-2.3300000000000298</v>
      </c>
      <c r="K211" t="s">
        <v>7</v>
      </c>
      <c r="L211">
        <v>-7.0606060606061602E-2</v>
      </c>
      <c r="M211" t="s">
        <v>8</v>
      </c>
      <c r="N211">
        <v>0.750999999999997</v>
      </c>
      <c r="O211" t="s">
        <v>9</v>
      </c>
      <c r="P211">
        <v>-1.3346153846153801</v>
      </c>
      <c r="Q211" t="s">
        <v>10</v>
      </c>
      <c r="R211">
        <v>9.6797728214492396E-2</v>
      </c>
      <c r="S211" t="s">
        <v>11</v>
      </c>
      <c r="T211" t="s">
        <v>1454</v>
      </c>
      <c r="U211" t="s">
        <v>1228</v>
      </c>
      <c r="V211">
        <v>0</v>
      </c>
      <c r="W211" t="s">
        <v>14</v>
      </c>
      <c r="X211" t="s">
        <v>15</v>
      </c>
      <c r="Y211" t="s">
        <v>1454</v>
      </c>
      <c r="Z211" t="s">
        <v>1228</v>
      </c>
      <c r="AA211">
        <v>0</v>
      </c>
      <c r="AB211" t="s">
        <v>18</v>
      </c>
    </row>
    <row r="212" spans="1:28" x14ac:dyDescent="0.3">
      <c r="A212" t="s">
        <v>1220</v>
      </c>
      <c r="B212" t="s">
        <v>1155</v>
      </c>
      <c r="C212" t="s">
        <v>1661</v>
      </c>
      <c r="D212" t="s">
        <v>1224</v>
      </c>
      <c r="E212">
        <v>144</v>
      </c>
      <c r="F212" t="s">
        <v>5</v>
      </c>
      <c r="G212">
        <v>73</v>
      </c>
      <c r="H212" s="2">
        <f t="shared" si="3"/>
        <v>0.50694444444444442</v>
      </c>
      <c r="I212" t="s">
        <v>6</v>
      </c>
      <c r="J212">
        <v>-2.3403695205437498</v>
      </c>
      <c r="K212" t="s">
        <v>7</v>
      </c>
      <c r="L212">
        <v>-1.62525661148872E-2</v>
      </c>
      <c r="M212" t="s">
        <v>8</v>
      </c>
      <c r="N212">
        <v>1.8149240283351999</v>
      </c>
      <c r="O212" t="s">
        <v>9</v>
      </c>
      <c r="P212">
        <v>-1.8990115998452599</v>
      </c>
      <c r="Q212" t="s">
        <v>10</v>
      </c>
      <c r="R212">
        <v>0.36439845682924599</v>
      </c>
      <c r="S212" t="s">
        <v>11</v>
      </c>
      <c r="T212" t="s">
        <v>1384</v>
      </c>
      <c r="U212" t="s">
        <v>632</v>
      </c>
      <c r="V212">
        <v>0</v>
      </c>
      <c r="W212" t="s">
        <v>14</v>
      </c>
      <c r="X212" t="s">
        <v>15</v>
      </c>
      <c r="Y212" t="s">
        <v>1385</v>
      </c>
      <c r="Z212" t="s">
        <v>1386</v>
      </c>
      <c r="AA212">
        <v>0</v>
      </c>
      <c r="AB212" t="s">
        <v>18</v>
      </c>
    </row>
    <row r="213" spans="1:28" x14ac:dyDescent="0.3">
      <c r="A213" t="s">
        <v>1219</v>
      </c>
      <c r="B213" t="s">
        <v>1147</v>
      </c>
      <c r="C213" t="s">
        <v>1578</v>
      </c>
      <c r="D213" t="s">
        <v>1224</v>
      </c>
      <c r="E213">
        <v>191</v>
      </c>
      <c r="F213" t="s">
        <v>5</v>
      </c>
      <c r="G213">
        <v>97</v>
      </c>
      <c r="H213" s="2">
        <f t="shared" si="3"/>
        <v>0.50785340314136129</v>
      </c>
      <c r="I213" t="s">
        <v>6</v>
      </c>
      <c r="J213">
        <v>-2.60999999999984</v>
      </c>
      <c r="K213" t="s">
        <v>7</v>
      </c>
      <c r="L213">
        <v>-1.36649214659677E-2</v>
      </c>
      <c r="M213" t="s">
        <v>8</v>
      </c>
      <c r="N213">
        <v>1.7607216494845299</v>
      </c>
      <c r="O213" t="s">
        <v>9</v>
      </c>
      <c r="P213">
        <v>-1.84468085106382</v>
      </c>
      <c r="Q213" t="s">
        <v>10</v>
      </c>
      <c r="R213">
        <v>0.61528958764695796</v>
      </c>
      <c r="S213" t="s">
        <v>11</v>
      </c>
      <c r="T213" t="s">
        <v>1315</v>
      </c>
      <c r="U213" t="s">
        <v>763</v>
      </c>
      <c r="V213">
        <v>0</v>
      </c>
      <c r="W213" t="s">
        <v>14</v>
      </c>
      <c r="X213" t="s">
        <v>15</v>
      </c>
      <c r="Y213" t="s">
        <v>1316</v>
      </c>
      <c r="Z213" t="s">
        <v>647</v>
      </c>
      <c r="AA213">
        <v>0</v>
      </c>
      <c r="AB213" t="s">
        <v>18</v>
      </c>
    </row>
    <row r="214" spans="1:28" x14ac:dyDescent="0.3">
      <c r="A214" t="s">
        <v>1219</v>
      </c>
      <c r="B214" t="s">
        <v>1203</v>
      </c>
      <c r="C214" t="s">
        <v>1634</v>
      </c>
      <c r="D214" t="s">
        <v>1224</v>
      </c>
      <c r="E214">
        <v>197</v>
      </c>
      <c r="F214" t="s">
        <v>5</v>
      </c>
      <c r="G214">
        <v>106</v>
      </c>
      <c r="H214" s="2">
        <f t="shared" si="3"/>
        <v>0.53807106598984766</v>
      </c>
      <c r="I214" t="s">
        <v>6</v>
      </c>
      <c r="J214">
        <v>-2.67966252290989</v>
      </c>
      <c r="K214" t="s">
        <v>7</v>
      </c>
      <c r="L214">
        <v>-1.3602347832029901E-2</v>
      </c>
      <c r="M214" t="s">
        <v>8</v>
      </c>
      <c r="N214">
        <v>1.30607491199494</v>
      </c>
      <c r="O214" t="s">
        <v>9</v>
      </c>
      <c r="P214">
        <v>-1.5508088263118001</v>
      </c>
      <c r="Q214" t="s">
        <v>10</v>
      </c>
      <c r="R214">
        <v>0.48127998423639601</v>
      </c>
      <c r="S214" t="s">
        <v>11</v>
      </c>
      <c r="T214" t="s">
        <v>1356</v>
      </c>
      <c r="U214" t="s">
        <v>1357</v>
      </c>
      <c r="V214">
        <v>0</v>
      </c>
      <c r="W214" t="s">
        <v>14</v>
      </c>
      <c r="X214" t="s">
        <v>15</v>
      </c>
      <c r="Y214" t="s">
        <v>1355</v>
      </c>
      <c r="Z214" t="s">
        <v>1284</v>
      </c>
      <c r="AA214">
        <v>0</v>
      </c>
      <c r="AB214" t="s">
        <v>18</v>
      </c>
    </row>
    <row r="215" spans="1:28" x14ac:dyDescent="0.3">
      <c r="A215" t="s">
        <v>1222</v>
      </c>
      <c r="B215" t="s">
        <v>1194</v>
      </c>
      <c r="C215" t="s">
        <v>1850</v>
      </c>
      <c r="D215" t="s">
        <v>1224</v>
      </c>
      <c r="E215">
        <v>33</v>
      </c>
      <c r="F215" t="s">
        <v>5</v>
      </c>
      <c r="G215">
        <v>20</v>
      </c>
      <c r="H215" s="2">
        <f t="shared" si="3"/>
        <v>0.60606060606060608</v>
      </c>
      <c r="I215" t="s">
        <v>6</v>
      </c>
      <c r="J215">
        <v>-2.8800000000000301</v>
      </c>
      <c r="K215" t="s">
        <v>7</v>
      </c>
      <c r="L215">
        <v>-8.7272727272728307E-2</v>
      </c>
      <c r="M215" t="s">
        <v>8</v>
      </c>
      <c r="N215">
        <v>0.72349999999999703</v>
      </c>
      <c r="O215" t="s">
        <v>9</v>
      </c>
      <c r="P215">
        <v>-1.3346153846153801</v>
      </c>
      <c r="Q215" t="s">
        <v>10</v>
      </c>
      <c r="R215">
        <v>9.66747080423314E-2</v>
      </c>
      <c r="S215" t="s">
        <v>11</v>
      </c>
      <c r="T215" t="s">
        <v>1454</v>
      </c>
      <c r="U215" t="s">
        <v>1228</v>
      </c>
      <c r="V215">
        <v>0</v>
      </c>
      <c r="W215" t="s">
        <v>14</v>
      </c>
      <c r="X215" t="s">
        <v>15</v>
      </c>
      <c r="Y215" t="s">
        <v>1454</v>
      </c>
      <c r="Z215" t="s">
        <v>1228</v>
      </c>
      <c r="AA215">
        <v>0</v>
      </c>
      <c r="AB215" t="s">
        <v>18</v>
      </c>
    </row>
    <row r="216" spans="1:28" x14ac:dyDescent="0.3">
      <c r="A216" t="s">
        <v>1219</v>
      </c>
      <c r="B216" t="s">
        <v>1145</v>
      </c>
      <c r="C216" t="s">
        <v>1576</v>
      </c>
      <c r="D216" t="s">
        <v>1224</v>
      </c>
      <c r="E216">
        <v>191</v>
      </c>
      <c r="F216" t="s">
        <v>5</v>
      </c>
      <c r="G216">
        <v>103</v>
      </c>
      <c r="H216" s="2">
        <f t="shared" si="3"/>
        <v>0.53926701570680624</v>
      </c>
      <c r="I216" t="s">
        <v>6</v>
      </c>
      <c r="J216">
        <v>-2.9899999999998799</v>
      </c>
      <c r="K216" t="s">
        <v>7</v>
      </c>
      <c r="L216">
        <v>-1.5654450261779401E-2</v>
      </c>
      <c r="M216" t="s">
        <v>8</v>
      </c>
      <c r="N216">
        <v>1.54019417475728</v>
      </c>
      <c r="O216" t="s">
        <v>9</v>
      </c>
      <c r="P216">
        <v>-1.8367045454545401</v>
      </c>
      <c r="Q216" t="s">
        <v>10</v>
      </c>
      <c r="R216">
        <v>0.48475370247096999</v>
      </c>
      <c r="S216" t="s">
        <v>11</v>
      </c>
      <c r="T216" t="s">
        <v>1225</v>
      </c>
      <c r="U216" t="s">
        <v>1226</v>
      </c>
      <c r="V216">
        <v>0</v>
      </c>
      <c r="W216" t="s">
        <v>14</v>
      </c>
      <c r="X216" t="s">
        <v>15</v>
      </c>
      <c r="Y216" t="s">
        <v>1314</v>
      </c>
      <c r="Z216" t="s">
        <v>1226</v>
      </c>
      <c r="AA216">
        <v>0</v>
      </c>
      <c r="AB216" t="s">
        <v>18</v>
      </c>
    </row>
    <row r="217" spans="1:28" x14ac:dyDescent="0.3">
      <c r="A217" t="s">
        <v>1221</v>
      </c>
      <c r="B217" t="s">
        <v>1203</v>
      </c>
      <c r="C217" t="s">
        <v>1784</v>
      </c>
      <c r="D217" t="s">
        <v>1224</v>
      </c>
      <c r="E217">
        <v>108</v>
      </c>
      <c r="F217" t="s">
        <v>5</v>
      </c>
      <c r="G217">
        <v>70</v>
      </c>
      <c r="H217" s="2">
        <f t="shared" si="3"/>
        <v>0.64814814814814814</v>
      </c>
      <c r="I217" t="s">
        <v>6</v>
      </c>
      <c r="J217">
        <v>-3.33943931895835</v>
      </c>
      <c r="K217" t="s">
        <v>7</v>
      </c>
      <c r="L217">
        <v>-3.09207344347995E-2</v>
      </c>
      <c r="M217" t="s">
        <v>8</v>
      </c>
      <c r="N217">
        <v>0.79455068974929899</v>
      </c>
      <c r="O217" t="s">
        <v>9</v>
      </c>
      <c r="P217">
        <v>-1.55152598951077</v>
      </c>
      <c r="Q217" t="s">
        <v>10</v>
      </c>
      <c r="R217">
        <v>0.21665455865632399</v>
      </c>
      <c r="S217" t="s">
        <v>11</v>
      </c>
      <c r="T217" t="s">
        <v>1409</v>
      </c>
      <c r="U217" t="s">
        <v>1394</v>
      </c>
      <c r="V217">
        <v>0</v>
      </c>
      <c r="W217" t="s">
        <v>14</v>
      </c>
      <c r="X217" t="s">
        <v>15</v>
      </c>
      <c r="Y217" t="s">
        <v>1408</v>
      </c>
      <c r="Z217" t="s">
        <v>1284</v>
      </c>
      <c r="AA217">
        <v>0</v>
      </c>
      <c r="AB217" t="s">
        <v>18</v>
      </c>
    </row>
    <row r="218" spans="1:28" x14ac:dyDescent="0.3">
      <c r="A218" t="s">
        <v>1222</v>
      </c>
      <c r="B218" t="s">
        <v>1211</v>
      </c>
      <c r="C218" t="s">
        <v>1867</v>
      </c>
      <c r="D218" t="s">
        <v>1224</v>
      </c>
      <c r="E218">
        <v>33</v>
      </c>
      <c r="F218" t="s">
        <v>5</v>
      </c>
      <c r="G218">
        <v>11</v>
      </c>
      <c r="H218" s="2">
        <f t="shared" si="3"/>
        <v>0.33333333333333331</v>
      </c>
      <c r="I218" t="s">
        <v>6</v>
      </c>
      <c r="J218">
        <v>-3.4900000000000801</v>
      </c>
      <c r="K218" t="s">
        <v>7</v>
      </c>
      <c r="L218">
        <v>-0.10575757575757801</v>
      </c>
      <c r="M218" t="s">
        <v>8</v>
      </c>
      <c r="N218">
        <v>1.6972727272727099</v>
      </c>
      <c r="O218" t="s">
        <v>9</v>
      </c>
      <c r="P218">
        <v>-1.00727272727272</v>
      </c>
      <c r="Q218" t="s">
        <v>10</v>
      </c>
      <c r="R218">
        <v>0.132150607173497</v>
      </c>
      <c r="S218" t="s">
        <v>11</v>
      </c>
      <c r="T218" t="s">
        <v>1459</v>
      </c>
      <c r="U218" t="s">
        <v>1228</v>
      </c>
      <c r="V218">
        <v>0</v>
      </c>
      <c r="W218" t="s">
        <v>14</v>
      </c>
      <c r="X218" t="s">
        <v>15</v>
      </c>
      <c r="Y218" t="s">
        <v>1459</v>
      </c>
      <c r="Z218" t="s">
        <v>1228</v>
      </c>
      <c r="AA218">
        <v>0</v>
      </c>
      <c r="AB218" t="s">
        <v>18</v>
      </c>
    </row>
    <row r="219" spans="1:28" x14ac:dyDescent="0.3">
      <c r="A219" t="s">
        <v>1220</v>
      </c>
      <c r="B219" t="s">
        <v>1203</v>
      </c>
      <c r="C219" t="s">
        <v>1709</v>
      </c>
      <c r="D219" t="s">
        <v>1224</v>
      </c>
      <c r="E219">
        <v>144</v>
      </c>
      <c r="F219" t="s">
        <v>5</v>
      </c>
      <c r="G219">
        <v>85</v>
      </c>
      <c r="H219" s="2">
        <f t="shared" si="3"/>
        <v>0.59027777777777779</v>
      </c>
      <c r="I219" t="s">
        <v>6</v>
      </c>
      <c r="J219">
        <v>-3.5587564322965299</v>
      </c>
      <c r="K219" t="s">
        <v>7</v>
      </c>
      <c r="L219">
        <v>-2.4713586335392598E-2</v>
      </c>
      <c r="M219" t="s">
        <v>8</v>
      </c>
      <c r="N219">
        <v>1.08994878685191</v>
      </c>
      <c r="O219" t="s">
        <v>9</v>
      </c>
      <c r="P219">
        <v>-1.63058310702896</v>
      </c>
      <c r="Q219" t="s">
        <v>10</v>
      </c>
      <c r="R219">
        <v>0.30180992501847598</v>
      </c>
      <c r="S219" t="s">
        <v>11</v>
      </c>
      <c r="T219" t="s">
        <v>1409</v>
      </c>
      <c r="U219" t="s">
        <v>1394</v>
      </c>
      <c r="V219">
        <v>0</v>
      </c>
      <c r="W219" t="s">
        <v>14</v>
      </c>
      <c r="X219" t="s">
        <v>15</v>
      </c>
      <c r="Y219" t="s">
        <v>1408</v>
      </c>
      <c r="Z219" t="s">
        <v>1284</v>
      </c>
      <c r="AA219">
        <v>0</v>
      </c>
      <c r="AB219" t="s">
        <v>18</v>
      </c>
    </row>
    <row r="220" spans="1:28" x14ac:dyDescent="0.3">
      <c r="A220" t="s">
        <v>1220</v>
      </c>
      <c r="B220" t="s">
        <v>1204</v>
      </c>
      <c r="C220" t="s">
        <v>1710</v>
      </c>
      <c r="D220" t="s">
        <v>1224</v>
      </c>
      <c r="E220">
        <v>140</v>
      </c>
      <c r="F220" t="s">
        <v>5</v>
      </c>
      <c r="G220">
        <v>60</v>
      </c>
      <c r="H220" s="2">
        <f t="shared" si="3"/>
        <v>0.42857142857142855</v>
      </c>
      <c r="I220" t="s">
        <v>6</v>
      </c>
      <c r="J220">
        <v>-3.64157471260476</v>
      </c>
      <c r="K220" t="s">
        <v>7</v>
      </c>
      <c r="L220">
        <v>-2.60112479471768E-2</v>
      </c>
      <c r="M220" t="s">
        <v>8</v>
      </c>
      <c r="N220">
        <v>0.98033333333333095</v>
      </c>
      <c r="O220" t="s">
        <v>9</v>
      </c>
      <c r="P220">
        <v>-0.78076968390755797</v>
      </c>
      <c r="Q220" t="s">
        <v>10</v>
      </c>
      <c r="R220">
        <v>0.24458747074350301</v>
      </c>
      <c r="S220" t="s">
        <v>11</v>
      </c>
      <c r="T220" t="s">
        <v>1410</v>
      </c>
      <c r="U220" t="s">
        <v>1386</v>
      </c>
      <c r="V220">
        <v>0</v>
      </c>
      <c r="W220" t="s">
        <v>14</v>
      </c>
      <c r="X220" t="s">
        <v>15</v>
      </c>
      <c r="Y220" t="s">
        <v>1410</v>
      </c>
      <c r="Z220" t="s">
        <v>1386</v>
      </c>
      <c r="AA220">
        <v>0</v>
      </c>
      <c r="AB220" t="s">
        <v>18</v>
      </c>
    </row>
    <row r="221" spans="1:28" x14ac:dyDescent="0.3">
      <c r="A221" t="s">
        <v>1219</v>
      </c>
      <c r="B221" t="s">
        <v>1194</v>
      </c>
      <c r="C221" t="s">
        <v>1625</v>
      </c>
      <c r="D221" t="s">
        <v>1224</v>
      </c>
      <c r="E221">
        <v>200</v>
      </c>
      <c r="F221" t="s">
        <v>5</v>
      </c>
      <c r="G221">
        <v>125</v>
      </c>
      <c r="H221" s="2">
        <f t="shared" si="3"/>
        <v>0.625</v>
      </c>
      <c r="I221" t="s">
        <v>6</v>
      </c>
      <c r="J221">
        <v>-4.4199999999999902</v>
      </c>
      <c r="K221" t="s">
        <v>7</v>
      </c>
      <c r="L221">
        <v>-2.2099999999999901E-2</v>
      </c>
      <c r="M221" t="s">
        <v>8</v>
      </c>
      <c r="N221">
        <v>0.78815999999999897</v>
      </c>
      <c r="O221" t="s">
        <v>9</v>
      </c>
      <c r="P221">
        <v>-1.3910810810810801</v>
      </c>
      <c r="Q221" t="s">
        <v>10</v>
      </c>
      <c r="R221">
        <v>0.32362085693089399</v>
      </c>
      <c r="S221" t="s">
        <v>11</v>
      </c>
      <c r="T221" t="s">
        <v>133</v>
      </c>
      <c r="U221" t="s">
        <v>1230</v>
      </c>
      <c r="V221">
        <v>0</v>
      </c>
      <c r="W221" t="s">
        <v>14</v>
      </c>
      <c r="X221" t="s">
        <v>15</v>
      </c>
      <c r="Y221" t="s">
        <v>1351</v>
      </c>
      <c r="Z221" t="s">
        <v>1230</v>
      </c>
      <c r="AA221">
        <v>0</v>
      </c>
      <c r="AB221" t="s">
        <v>18</v>
      </c>
    </row>
    <row r="222" spans="1:28" x14ac:dyDescent="0.3">
      <c r="A222" t="s">
        <v>1222</v>
      </c>
      <c r="B222" t="s">
        <v>1190</v>
      </c>
      <c r="C222" t="s">
        <v>1846</v>
      </c>
      <c r="D222" t="s">
        <v>1224</v>
      </c>
      <c r="E222">
        <v>35</v>
      </c>
      <c r="F222" t="s">
        <v>5</v>
      </c>
      <c r="G222">
        <v>22</v>
      </c>
      <c r="H222" s="2">
        <f t="shared" si="3"/>
        <v>0.62857142857142856</v>
      </c>
      <c r="I222" t="s">
        <v>6</v>
      </c>
      <c r="J222">
        <v>-4.6000000000000396</v>
      </c>
      <c r="K222" t="s">
        <v>7</v>
      </c>
      <c r="L222">
        <v>-0.13142857142857201</v>
      </c>
      <c r="M222" t="s">
        <v>8</v>
      </c>
      <c r="N222">
        <v>0.63318181818181596</v>
      </c>
      <c r="O222" t="s">
        <v>9</v>
      </c>
      <c r="P222">
        <v>-1.4253846153846099</v>
      </c>
      <c r="Q222" t="s">
        <v>10</v>
      </c>
      <c r="R222">
        <v>9.4786644178712604E-2</v>
      </c>
      <c r="S222" t="s">
        <v>11</v>
      </c>
      <c r="T222" t="s">
        <v>1453</v>
      </c>
      <c r="U222" t="s">
        <v>1350</v>
      </c>
      <c r="V222">
        <v>0</v>
      </c>
      <c r="W222" t="s">
        <v>14</v>
      </c>
      <c r="X222" t="s">
        <v>15</v>
      </c>
      <c r="Y222" t="s">
        <v>1453</v>
      </c>
      <c r="Z222" t="s">
        <v>1350</v>
      </c>
      <c r="AA222">
        <v>0</v>
      </c>
      <c r="AB222" t="s">
        <v>18</v>
      </c>
    </row>
    <row r="223" spans="1:28" x14ac:dyDescent="0.3">
      <c r="A223" t="s">
        <v>1222</v>
      </c>
      <c r="B223" t="s">
        <v>1191</v>
      </c>
      <c r="C223" t="s">
        <v>1847</v>
      </c>
      <c r="D223" t="s">
        <v>1224</v>
      </c>
      <c r="E223">
        <v>35</v>
      </c>
      <c r="F223" t="s">
        <v>5</v>
      </c>
      <c r="G223">
        <v>22</v>
      </c>
      <c r="H223" s="2">
        <f t="shared" si="3"/>
        <v>0.62857142857142856</v>
      </c>
      <c r="I223" t="s">
        <v>6</v>
      </c>
      <c r="J223">
        <v>-4.6000000000000396</v>
      </c>
      <c r="K223" t="s">
        <v>7</v>
      </c>
      <c r="L223">
        <v>-0.13142857142857201</v>
      </c>
      <c r="M223" t="s">
        <v>8</v>
      </c>
      <c r="N223">
        <v>0.63318181818181596</v>
      </c>
      <c r="O223" t="s">
        <v>9</v>
      </c>
      <c r="P223">
        <v>-1.4253846153846099</v>
      </c>
      <c r="Q223" t="s">
        <v>10</v>
      </c>
      <c r="R223">
        <v>9.4786644178712604E-2</v>
      </c>
      <c r="S223" t="s">
        <v>11</v>
      </c>
      <c r="T223" t="s">
        <v>1453</v>
      </c>
      <c r="U223" t="s">
        <v>1350</v>
      </c>
      <c r="V223">
        <v>0</v>
      </c>
      <c r="W223" t="s">
        <v>14</v>
      </c>
      <c r="X223" t="s">
        <v>15</v>
      </c>
      <c r="Y223" t="s">
        <v>1453</v>
      </c>
      <c r="Z223" t="s">
        <v>1350</v>
      </c>
      <c r="AA223">
        <v>0</v>
      </c>
      <c r="AB223" t="s">
        <v>18</v>
      </c>
    </row>
    <row r="224" spans="1:28" x14ac:dyDescent="0.3">
      <c r="A224" t="s">
        <v>1222</v>
      </c>
      <c r="B224" t="s">
        <v>1192</v>
      </c>
      <c r="C224" t="s">
        <v>1848</v>
      </c>
      <c r="D224" t="s">
        <v>1224</v>
      </c>
      <c r="E224">
        <v>35</v>
      </c>
      <c r="F224" t="s">
        <v>5</v>
      </c>
      <c r="G224">
        <v>22</v>
      </c>
      <c r="H224" s="2">
        <f t="shared" si="3"/>
        <v>0.62857142857142856</v>
      </c>
      <c r="I224" t="s">
        <v>6</v>
      </c>
      <c r="J224">
        <v>-4.6000000000000396</v>
      </c>
      <c r="K224" t="s">
        <v>7</v>
      </c>
      <c r="L224">
        <v>-0.13142857142857201</v>
      </c>
      <c r="M224" t="s">
        <v>8</v>
      </c>
      <c r="N224">
        <v>0.63318181818181596</v>
      </c>
      <c r="O224" t="s">
        <v>9</v>
      </c>
      <c r="P224">
        <v>-1.4253846153846099</v>
      </c>
      <c r="Q224" t="s">
        <v>10</v>
      </c>
      <c r="R224">
        <v>9.4786644178712604E-2</v>
      </c>
      <c r="S224" t="s">
        <v>11</v>
      </c>
      <c r="T224" t="s">
        <v>1453</v>
      </c>
      <c r="U224" t="s">
        <v>1350</v>
      </c>
      <c r="V224">
        <v>0</v>
      </c>
      <c r="W224" t="s">
        <v>14</v>
      </c>
      <c r="X224" t="s">
        <v>15</v>
      </c>
      <c r="Y224" t="s">
        <v>1453</v>
      </c>
      <c r="Z224" t="s">
        <v>1350</v>
      </c>
      <c r="AA224">
        <v>0</v>
      </c>
      <c r="AB224" t="s">
        <v>18</v>
      </c>
    </row>
    <row r="225" spans="1:28" x14ac:dyDescent="0.3">
      <c r="A225" t="s">
        <v>1222</v>
      </c>
      <c r="B225" t="s">
        <v>1193</v>
      </c>
      <c r="C225" t="s">
        <v>1849</v>
      </c>
      <c r="D225" t="s">
        <v>1224</v>
      </c>
      <c r="E225">
        <v>35</v>
      </c>
      <c r="F225" t="s">
        <v>5</v>
      </c>
      <c r="G225">
        <v>22</v>
      </c>
      <c r="H225" s="2">
        <f t="shared" si="3"/>
        <v>0.62857142857142856</v>
      </c>
      <c r="I225" t="s">
        <v>6</v>
      </c>
      <c r="J225">
        <v>-4.6000000000000396</v>
      </c>
      <c r="K225" t="s">
        <v>7</v>
      </c>
      <c r="L225">
        <v>-0.13142857142857201</v>
      </c>
      <c r="M225" t="s">
        <v>8</v>
      </c>
      <c r="N225">
        <v>0.63318181818181596</v>
      </c>
      <c r="O225" t="s">
        <v>9</v>
      </c>
      <c r="P225">
        <v>-1.4253846153846099</v>
      </c>
      <c r="Q225" t="s">
        <v>10</v>
      </c>
      <c r="R225">
        <v>9.4786644178712604E-2</v>
      </c>
      <c r="S225" t="s">
        <v>11</v>
      </c>
      <c r="T225" t="s">
        <v>1453</v>
      </c>
      <c r="U225" t="s">
        <v>1350</v>
      </c>
      <c r="V225">
        <v>0</v>
      </c>
      <c r="W225" t="s">
        <v>14</v>
      </c>
      <c r="X225" t="s">
        <v>15</v>
      </c>
      <c r="Y225" t="s">
        <v>1453</v>
      </c>
      <c r="Z225" t="s">
        <v>1350</v>
      </c>
      <c r="AA225">
        <v>0</v>
      </c>
      <c r="AB225" t="s">
        <v>18</v>
      </c>
    </row>
    <row r="226" spans="1:28" x14ac:dyDescent="0.3">
      <c r="A226" t="s">
        <v>1223</v>
      </c>
      <c r="B226" t="s">
        <v>1145</v>
      </c>
      <c r="C226" t="s">
        <v>1876</v>
      </c>
      <c r="D226" t="s">
        <v>1224</v>
      </c>
      <c r="E226">
        <v>224</v>
      </c>
      <c r="F226" t="s">
        <v>5</v>
      </c>
      <c r="G226">
        <v>122</v>
      </c>
      <c r="H226" s="2">
        <f t="shared" si="3"/>
        <v>0.5446428571428571</v>
      </c>
      <c r="I226" t="s">
        <v>6</v>
      </c>
      <c r="J226">
        <v>-4.6399999999998798</v>
      </c>
      <c r="K226" t="s">
        <v>7</v>
      </c>
      <c r="L226">
        <v>-2.0714285714285199E-2</v>
      </c>
      <c r="M226" t="s">
        <v>8</v>
      </c>
      <c r="N226">
        <v>1.4517213114754099</v>
      </c>
      <c r="O226" t="s">
        <v>9</v>
      </c>
      <c r="P226">
        <v>-1.78186274509803</v>
      </c>
      <c r="Q226" t="s">
        <v>10</v>
      </c>
      <c r="R226">
        <v>0.51033913667673803</v>
      </c>
      <c r="S226" t="s">
        <v>11</v>
      </c>
      <c r="T226" t="s">
        <v>1229</v>
      </c>
      <c r="U226" t="s">
        <v>1230</v>
      </c>
      <c r="V226">
        <v>0</v>
      </c>
      <c r="W226" t="s">
        <v>14</v>
      </c>
      <c r="X226" t="s">
        <v>15</v>
      </c>
      <c r="Y226" t="s">
        <v>1461</v>
      </c>
      <c r="Z226" t="s">
        <v>1320</v>
      </c>
      <c r="AA226">
        <v>0</v>
      </c>
      <c r="AB226" t="s">
        <v>18</v>
      </c>
    </row>
    <row r="227" spans="1:28" x14ac:dyDescent="0.3">
      <c r="A227" t="s">
        <v>1222</v>
      </c>
      <c r="B227" t="s">
        <v>1189</v>
      </c>
      <c r="C227" t="s">
        <v>1845</v>
      </c>
      <c r="D227" t="s">
        <v>1224</v>
      </c>
      <c r="E227">
        <v>35</v>
      </c>
      <c r="F227" t="s">
        <v>5</v>
      </c>
      <c r="G227">
        <v>22</v>
      </c>
      <c r="H227" s="2">
        <f t="shared" si="3"/>
        <v>0.62857142857142856</v>
      </c>
      <c r="I227" t="s">
        <v>6</v>
      </c>
      <c r="J227">
        <v>-4.7000000000000304</v>
      </c>
      <c r="K227" t="s">
        <v>7</v>
      </c>
      <c r="L227">
        <v>-0.13428571428571501</v>
      </c>
      <c r="M227" t="s">
        <v>8</v>
      </c>
      <c r="N227">
        <v>0.628636363636361</v>
      </c>
      <c r="O227" t="s">
        <v>9</v>
      </c>
      <c r="P227">
        <v>-1.4253846153846099</v>
      </c>
      <c r="Q227" t="s">
        <v>10</v>
      </c>
      <c r="R227">
        <v>9.4237609958929894E-2</v>
      </c>
      <c r="S227" t="s">
        <v>11</v>
      </c>
      <c r="T227" t="s">
        <v>1453</v>
      </c>
      <c r="U227" t="s">
        <v>1350</v>
      </c>
      <c r="V227">
        <v>0</v>
      </c>
      <c r="W227" t="s">
        <v>14</v>
      </c>
      <c r="X227" t="s">
        <v>15</v>
      </c>
      <c r="Y227" t="s">
        <v>1453</v>
      </c>
      <c r="Z227" t="s">
        <v>1350</v>
      </c>
      <c r="AA227">
        <v>0</v>
      </c>
      <c r="AB227" t="s">
        <v>18</v>
      </c>
    </row>
    <row r="228" spans="1:28" x14ac:dyDescent="0.3">
      <c r="A228" t="s">
        <v>1223</v>
      </c>
      <c r="B228" t="s">
        <v>1147</v>
      </c>
      <c r="C228" t="s">
        <v>1878</v>
      </c>
      <c r="D228" t="s">
        <v>1224</v>
      </c>
      <c r="E228">
        <v>224</v>
      </c>
      <c r="F228" t="s">
        <v>5</v>
      </c>
      <c r="G228">
        <v>118</v>
      </c>
      <c r="H228" s="2">
        <f t="shared" si="3"/>
        <v>0.5267857142857143</v>
      </c>
      <c r="I228" t="s">
        <v>6</v>
      </c>
      <c r="J228">
        <v>-5.4799999999999196</v>
      </c>
      <c r="K228" t="s">
        <v>7</v>
      </c>
      <c r="L228">
        <v>-2.44642857142853E-2</v>
      </c>
      <c r="M228" t="s">
        <v>8</v>
      </c>
      <c r="N228">
        <v>1.56796610169491</v>
      </c>
      <c r="O228" t="s">
        <v>9</v>
      </c>
      <c r="P228">
        <v>-1.7971698113207499</v>
      </c>
      <c r="Q228" t="s">
        <v>10</v>
      </c>
      <c r="R228">
        <v>0.55660363312644001</v>
      </c>
      <c r="S228" t="s">
        <v>11</v>
      </c>
      <c r="T228" t="s">
        <v>1229</v>
      </c>
      <c r="U228" t="s">
        <v>1230</v>
      </c>
      <c r="V228">
        <v>0</v>
      </c>
      <c r="W228" t="s">
        <v>14</v>
      </c>
      <c r="X228" t="s">
        <v>15</v>
      </c>
      <c r="Y228" t="s">
        <v>1293</v>
      </c>
      <c r="Z228" t="s">
        <v>851</v>
      </c>
      <c r="AA228">
        <v>0</v>
      </c>
      <c r="AB228" t="s">
        <v>18</v>
      </c>
    </row>
    <row r="229" spans="1:28" x14ac:dyDescent="0.3">
      <c r="A229" t="s">
        <v>1223</v>
      </c>
      <c r="B229" t="s">
        <v>1205</v>
      </c>
      <c r="C229" t="s">
        <v>1936</v>
      </c>
      <c r="D229" t="s">
        <v>1224</v>
      </c>
      <c r="E229">
        <v>224</v>
      </c>
      <c r="F229" t="s">
        <v>5</v>
      </c>
      <c r="G229">
        <v>73</v>
      </c>
      <c r="H229" s="2">
        <f t="shared" si="3"/>
        <v>0.32589285714285715</v>
      </c>
      <c r="I229" t="s">
        <v>6</v>
      </c>
      <c r="J229">
        <v>-5.7599999999999598</v>
      </c>
      <c r="K229" t="s">
        <v>7</v>
      </c>
      <c r="L229">
        <v>-2.5714285714285499E-2</v>
      </c>
      <c r="M229" t="s">
        <v>8</v>
      </c>
      <c r="N229">
        <v>1.7930136986301299</v>
      </c>
      <c r="O229" t="s">
        <v>9</v>
      </c>
      <c r="P229">
        <v>-0.90496688741721898</v>
      </c>
      <c r="Q229" t="s">
        <v>10</v>
      </c>
      <c r="R229">
        <v>0.49240510842544</v>
      </c>
      <c r="S229" t="s">
        <v>11</v>
      </c>
      <c r="T229" t="s">
        <v>1481</v>
      </c>
      <c r="U229" t="s">
        <v>1482</v>
      </c>
      <c r="V229">
        <v>0</v>
      </c>
      <c r="W229" t="s">
        <v>14</v>
      </c>
      <c r="X229" t="s">
        <v>15</v>
      </c>
      <c r="Y229" t="s">
        <v>1495</v>
      </c>
      <c r="Z229" t="s">
        <v>1482</v>
      </c>
      <c r="AA229">
        <v>0</v>
      </c>
      <c r="AB229" t="s">
        <v>18</v>
      </c>
    </row>
    <row r="230" spans="1:28" x14ac:dyDescent="0.3">
      <c r="A230" t="s">
        <v>1221</v>
      </c>
      <c r="B230" t="s">
        <v>1153</v>
      </c>
      <c r="C230" t="s">
        <v>1734</v>
      </c>
      <c r="D230" t="s">
        <v>1224</v>
      </c>
      <c r="E230">
        <v>98</v>
      </c>
      <c r="F230" t="s">
        <v>5</v>
      </c>
      <c r="G230">
        <v>51</v>
      </c>
      <c r="H230" s="2">
        <f t="shared" si="3"/>
        <v>0.52040816326530615</v>
      </c>
      <c r="I230" t="s">
        <v>6</v>
      </c>
      <c r="J230">
        <v>-5.7599999999999696</v>
      </c>
      <c r="K230" t="s">
        <v>7</v>
      </c>
      <c r="L230">
        <v>-5.8775510204081297E-2</v>
      </c>
      <c r="M230" t="s">
        <v>8</v>
      </c>
      <c r="N230">
        <v>1.53843137254901</v>
      </c>
      <c r="O230" t="s">
        <v>9</v>
      </c>
      <c r="P230">
        <v>-1.7919148936170199</v>
      </c>
      <c r="Q230" t="s">
        <v>10</v>
      </c>
      <c r="R230">
        <v>0.283321712242882</v>
      </c>
      <c r="S230" t="s">
        <v>11</v>
      </c>
      <c r="T230" t="s">
        <v>1380</v>
      </c>
      <c r="U230" t="s">
        <v>1381</v>
      </c>
      <c r="V230">
        <v>0</v>
      </c>
      <c r="W230" t="s">
        <v>14</v>
      </c>
      <c r="X230" t="s">
        <v>15</v>
      </c>
      <c r="Y230" t="s">
        <v>1377</v>
      </c>
      <c r="Z230" t="s">
        <v>1376</v>
      </c>
      <c r="AA230">
        <v>0</v>
      </c>
      <c r="AB230" t="s">
        <v>18</v>
      </c>
    </row>
    <row r="231" spans="1:28" x14ac:dyDescent="0.3">
      <c r="A231" t="s">
        <v>1219</v>
      </c>
      <c r="B231" t="s">
        <v>1195</v>
      </c>
      <c r="C231" t="s">
        <v>1626</v>
      </c>
      <c r="D231" t="s">
        <v>1224</v>
      </c>
      <c r="E231">
        <v>200</v>
      </c>
      <c r="F231" t="s">
        <v>5</v>
      </c>
      <c r="G231">
        <v>119</v>
      </c>
      <c r="H231" s="2">
        <f t="shared" si="3"/>
        <v>0.59499999999999997</v>
      </c>
      <c r="I231" t="s">
        <v>6</v>
      </c>
      <c r="J231">
        <v>-5.82</v>
      </c>
      <c r="K231" t="s">
        <v>7</v>
      </c>
      <c r="L231">
        <v>-2.9100000000000001E-2</v>
      </c>
      <c r="M231" t="s">
        <v>8</v>
      </c>
      <c r="N231">
        <v>0.86621848739495699</v>
      </c>
      <c r="O231" t="s">
        <v>9</v>
      </c>
      <c r="P231">
        <v>-1.3612499999999901</v>
      </c>
      <c r="Q231" t="s">
        <v>10</v>
      </c>
      <c r="R231">
        <v>0.34669368457668898</v>
      </c>
      <c r="S231" t="s">
        <v>11</v>
      </c>
      <c r="T231" t="s">
        <v>133</v>
      </c>
      <c r="U231" t="s">
        <v>1230</v>
      </c>
      <c r="V231">
        <v>0</v>
      </c>
      <c r="W231" t="s">
        <v>14</v>
      </c>
      <c r="X231" t="s">
        <v>15</v>
      </c>
      <c r="Y231" t="s">
        <v>1351</v>
      </c>
      <c r="Z231" t="s">
        <v>1230</v>
      </c>
      <c r="AA231">
        <v>0</v>
      </c>
      <c r="AB231" t="s">
        <v>18</v>
      </c>
    </row>
    <row r="232" spans="1:28" x14ac:dyDescent="0.3">
      <c r="A232" t="s">
        <v>1220</v>
      </c>
      <c r="B232" t="s">
        <v>1154</v>
      </c>
      <c r="C232" t="s">
        <v>1660</v>
      </c>
      <c r="D232" t="s">
        <v>1224</v>
      </c>
      <c r="E232">
        <v>144</v>
      </c>
      <c r="F232" t="s">
        <v>5</v>
      </c>
      <c r="G232">
        <v>85</v>
      </c>
      <c r="H232" s="2">
        <f t="shared" si="3"/>
        <v>0.59027777777777779</v>
      </c>
      <c r="I232" t="s">
        <v>6</v>
      </c>
      <c r="J232">
        <v>-5.8726834895479403</v>
      </c>
      <c r="K232" t="s">
        <v>7</v>
      </c>
      <c r="L232">
        <v>-4.0782524232971802E-2</v>
      </c>
      <c r="M232" t="s">
        <v>8</v>
      </c>
      <c r="N232">
        <v>1.2347770779698499</v>
      </c>
      <c r="O232" t="s">
        <v>9</v>
      </c>
      <c r="P232">
        <v>-1.8784531375760201</v>
      </c>
      <c r="Q232" t="s">
        <v>10</v>
      </c>
      <c r="R232">
        <v>0.327672511318994</v>
      </c>
      <c r="S232" t="s">
        <v>11</v>
      </c>
      <c r="T232" t="s">
        <v>1384</v>
      </c>
      <c r="U232" t="s">
        <v>632</v>
      </c>
      <c r="V232">
        <v>0</v>
      </c>
      <c r="W232" t="s">
        <v>14</v>
      </c>
      <c r="X232" t="s">
        <v>15</v>
      </c>
      <c r="Y232" t="s">
        <v>1384</v>
      </c>
      <c r="Z232" t="s">
        <v>632</v>
      </c>
      <c r="AA232">
        <v>0</v>
      </c>
      <c r="AB232" t="s">
        <v>18</v>
      </c>
    </row>
    <row r="233" spans="1:28" x14ac:dyDescent="0.3">
      <c r="A233" t="s">
        <v>1222</v>
      </c>
      <c r="B233" t="s">
        <v>1210</v>
      </c>
      <c r="C233" t="s">
        <v>1866</v>
      </c>
      <c r="D233" t="s">
        <v>1224</v>
      </c>
      <c r="E233">
        <v>33</v>
      </c>
      <c r="F233" t="s">
        <v>5</v>
      </c>
      <c r="G233">
        <v>12</v>
      </c>
      <c r="H233" s="2">
        <f t="shared" si="3"/>
        <v>0.36363636363636365</v>
      </c>
      <c r="I233" t="s">
        <v>6</v>
      </c>
      <c r="J233">
        <v>-6.4599999999999804</v>
      </c>
      <c r="K233" t="s">
        <v>7</v>
      </c>
      <c r="L233">
        <v>-0.19575757575757499</v>
      </c>
      <c r="M233" t="s">
        <v>8</v>
      </c>
      <c r="N233">
        <v>1.14083333333333</v>
      </c>
      <c r="O233" t="s">
        <v>9</v>
      </c>
      <c r="P233">
        <v>-0.959523809523808</v>
      </c>
      <c r="Q233" t="s">
        <v>10</v>
      </c>
      <c r="R233">
        <v>9.9179140699036203E-2</v>
      </c>
      <c r="S233" t="s">
        <v>11</v>
      </c>
      <c r="T233" t="s">
        <v>1459</v>
      </c>
      <c r="U233" t="s">
        <v>1228</v>
      </c>
      <c r="V233">
        <v>0</v>
      </c>
      <c r="W233" t="s">
        <v>14</v>
      </c>
      <c r="X233" t="s">
        <v>15</v>
      </c>
      <c r="Y233" t="s">
        <v>1459</v>
      </c>
      <c r="Z233" t="s">
        <v>1228</v>
      </c>
      <c r="AA233">
        <v>0</v>
      </c>
      <c r="AB233" t="s">
        <v>18</v>
      </c>
    </row>
    <row r="234" spans="1:28" x14ac:dyDescent="0.3">
      <c r="A234" t="s">
        <v>1223</v>
      </c>
      <c r="B234" t="s">
        <v>1195</v>
      </c>
      <c r="C234" t="s">
        <v>1926</v>
      </c>
      <c r="D234" t="s">
        <v>1224</v>
      </c>
      <c r="E234">
        <v>230</v>
      </c>
      <c r="F234" t="s">
        <v>5</v>
      </c>
      <c r="G234">
        <v>147</v>
      </c>
      <c r="H234" s="2">
        <f t="shared" si="3"/>
        <v>0.63913043478260867</v>
      </c>
      <c r="I234" t="s">
        <v>6</v>
      </c>
      <c r="J234">
        <v>-6.8599999999999701</v>
      </c>
      <c r="K234" t="s">
        <v>7</v>
      </c>
      <c r="L234">
        <v>-2.98260869565216E-2</v>
      </c>
      <c r="M234" t="s">
        <v>8</v>
      </c>
      <c r="N234">
        <v>0.74197278911564502</v>
      </c>
      <c r="O234" t="s">
        <v>9</v>
      </c>
      <c r="P234">
        <v>-1.3967469879518</v>
      </c>
      <c r="Q234" t="s">
        <v>10</v>
      </c>
      <c r="R234">
        <v>0.34548686467720502</v>
      </c>
      <c r="S234" t="s">
        <v>11</v>
      </c>
      <c r="T234" t="s">
        <v>1490</v>
      </c>
      <c r="U234" t="s">
        <v>632</v>
      </c>
      <c r="V234">
        <v>0</v>
      </c>
      <c r="W234" t="s">
        <v>14</v>
      </c>
      <c r="X234" t="s">
        <v>15</v>
      </c>
      <c r="Y234" t="s">
        <v>1491</v>
      </c>
      <c r="Z234" t="s">
        <v>632</v>
      </c>
      <c r="AA234">
        <v>0</v>
      </c>
      <c r="AB234" t="s">
        <v>18</v>
      </c>
    </row>
    <row r="235" spans="1:28" x14ac:dyDescent="0.3">
      <c r="A235" t="s">
        <v>1220</v>
      </c>
      <c r="B235" t="s">
        <v>1147</v>
      </c>
      <c r="C235" t="s">
        <v>1653</v>
      </c>
      <c r="D235" t="s">
        <v>1224</v>
      </c>
      <c r="E235">
        <v>140</v>
      </c>
      <c r="F235" t="s">
        <v>5</v>
      </c>
      <c r="G235">
        <v>79</v>
      </c>
      <c r="H235" s="2">
        <f t="shared" si="3"/>
        <v>0.56428571428571428</v>
      </c>
      <c r="I235" t="s">
        <v>6</v>
      </c>
      <c r="J235">
        <v>-7.0099999999999403</v>
      </c>
      <c r="K235" t="s">
        <v>7</v>
      </c>
      <c r="L235">
        <v>-5.0071428571428198E-2</v>
      </c>
      <c r="M235" t="s">
        <v>8</v>
      </c>
      <c r="N235">
        <v>1.27417721518987</v>
      </c>
      <c r="O235" t="s">
        <v>9</v>
      </c>
      <c r="P235">
        <v>-1.7650819672131099</v>
      </c>
      <c r="Q235" t="s">
        <v>10</v>
      </c>
      <c r="R235">
        <v>0.40414536504610898</v>
      </c>
      <c r="S235" t="s">
        <v>11</v>
      </c>
      <c r="T235" t="s">
        <v>1374</v>
      </c>
      <c r="U235" t="s">
        <v>742</v>
      </c>
      <c r="V235">
        <v>0</v>
      </c>
      <c r="W235" t="s">
        <v>14</v>
      </c>
      <c r="X235" t="s">
        <v>15</v>
      </c>
      <c r="Y235" t="s">
        <v>1374</v>
      </c>
      <c r="Z235" t="s">
        <v>742</v>
      </c>
      <c r="AA235">
        <v>0</v>
      </c>
      <c r="AB235" t="s">
        <v>18</v>
      </c>
    </row>
    <row r="236" spans="1:28" x14ac:dyDescent="0.3">
      <c r="A236" t="s">
        <v>1220</v>
      </c>
      <c r="B236" t="s">
        <v>1148</v>
      </c>
      <c r="C236" t="s">
        <v>1654</v>
      </c>
      <c r="D236" t="s">
        <v>1224</v>
      </c>
      <c r="E236">
        <v>140</v>
      </c>
      <c r="F236" t="s">
        <v>5</v>
      </c>
      <c r="G236">
        <v>79</v>
      </c>
      <c r="H236" s="2">
        <f t="shared" si="3"/>
        <v>0.56428571428571428</v>
      </c>
      <c r="I236" t="s">
        <v>6</v>
      </c>
      <c r="J236">
        <v>-7.0199999999999498</v>
      </c>
      <c r="K236" t="s">
        <v>7</v>
      </c>
      <c r="L236">
        <v>-5.0142857142856802E-2</v>
      </c>
      <c r="M236" t="s">
        <v>8</v>
      </c>
      <c r="N236">
        <v>1.2740506329113901</v>
      </c>
      <c r="O236" t="s">
        <v>9</v>
      </c>
      <c r="P236">
        <v>-1.7650819672131099</v>
      </c>
      <c r="Q236" t="s">
        <v>10</v>
      </c>
      <c r="R236">
        <v>0.40428545581776698</v>
      </c>
      <c r="S236" t="s">
        <v>11</v>
      </c>
      <c r="T236" t="s">
        <v>1374</v>
      </c>
      <c r="U236" t="s">
        <v>742</v>
      </c>
      <c r="V236">
        <v>0</v>
      </c>
      <c r="W236" t="s">
        <v>14</v>
      </c>
      <c r="X236" t="s">
        <v>15</v>
      </c>
      <c r="Y236" t="s">
        <v>1374</v>
      </c>
      <c r="Z236" t="s">
        <v>742</v>
      </c>
      <c r="AA236">
        <v>0</v>
      </c>
      <c r="AB236" t="s">
        <v>18</v>
      </c>
    </row>
    <row r="237" spans="1:28" x14ac:dyDescent="0.3">
      <c r="A237" t="s">
        <v>1221</v>
      </c>
      <c r="B237" t="s">
        <v>1200</v>
      </c>
      <c r="C237" t="s">
        <v>1781</v>
      </c>
      <c r="D237" t="s">
        <v>1224</v>
      </c>
      <c r="E237">
        <v>108</v>
      </c>
      <c r="F237" t="s">
        <v>5</v>
      </c>
      <c r="G237">
        <v>71</v>
      </c>
      <c r="H237" s="2">
        <f t="shared" si="3"/>
        <v>0.65740740740740744</v>
      </c>
      <c r="I237" t="s">
        <v>6</v>
      </c>
      <c r="J237">
        <v>-7.1194393189583502</v>
      </c>
      <c r="K237" t="s">
        <v>7</v>
      </c>
      <c r="L237">
        <v>-6.5920734434799497E-2</v>
      </c>
      <c r="M237" t="s">
        <v>8</v>
      </c>
      <c r="N237">
        <v>0.69843025749930898</v>
      </c>
      <c r="O237" t="s">
        <v>9</v>
      </c>
      <c r="P237">
        <v>-1.5326483135516</v>
      </c>
      <c r="Q237" t="s">
        <v>10</v>
      </c>
      <c r="R237">
        <v>0.178934987914906</v>
      </c>
      <c r="S237" t="s">
        <v>11</v>
      </c>
      <c r="T237" t="s">
        <v>1428</v>
      </c>
      <c r="U237" t="s">
        <v>220</v>
      </c>
      <c r="V237">
        <v>0</v>
      </c>
      <c r="W237" t="s">
        <v>14</v>
      </c>
      <c r="X237" t="s">
        <v>15</v>
      </c>
      <c r="Y237" t="s">
        <v>1408</v>
      </c>
      <c r="Z237" t="s">
        <v>1284</v>
      </c>
      <c r="AA237">
        <v>0</v>
      </c>
      <c r="AB237" t="s">
        <v>18</v>
      </c>
    </row>
    <row r="238" spans="1:28" x14ac:dyDescent="0.3">
      <c r="A238" t="s">
        <v>1219</v>
      </c>
      <c r="B238" t="s">
        <v>1199</v>
      </c>
      <c r="C238" t="s">
        <v>1630</v>
      </c>
      <c r="D238" t="s">
        <v>1224</v>
      </c>
      <c r="E238">
        <v>197</v>
      </c>
      <c r="F238" t="s">
        <v>5</v>
      </c>
      <c r="G238">
        <v>120</v>
      </c>
      <c r="H238" s="2">
        <f t="shared" si="3"/>
        <v>0.6091370558375635</v>
      </c>
      <c r="I238" t="s">
        <v>6</v>
      </c>
      <c r="J238">
        <v>-7.1216175274971496</v>
      </c>
      <c r="K238" t="s">
        <v>7</v>
      </c>
      <c r="L238">
        <v>-3.6150342779173297E-2</v>
      </c>
      <c r="M238" t="s">
        <v>8</v>
      </c>
      <c r="N238">
        <v>0.89501654722397295</v>
      </c>
      <c r="O238" t="s">
        <v>9</v>
      </c>
      <c r="P238">
        <v>-1.4873195220048501</v>
      </c>
      <c r="Q238" t="s">
        <v>10</v>
      </c>
      <c r="R238">
        <v>0.33186467185297203</v>
      </c>
      <c r="S238" t="s">
        <v>11</v>
      </c>
      <c r="T238" t="s">
        <v>1352</v>
      </c>
      <c r="U238" t="s">
        <v>1353</v>
      </c>
      <c r="V238">
        <v>0</v>
      </c>
      <c r="W238" t="s">
        <v>14</v>
      </c>
      <c r="X238" t="s">
        <v>15</v>
      </c>
      <c r="Y238" t="s">
        <v>1354</v>
      </c>
      <c r="Z238" t="s">
        <v>1353</v>
      </c>
      <c r="AA238">
        <v>0</v>
      </c>
      <c r="AB238" t="s">
        <v>18</v>
      </c>
    </row>
    <row r="239" spans="1:28" x14ac:dyDescent="0.3">
      <c r="A239" t="s">
        <v>1219</v>
      </c>
      <c r="B239" t="s">
        <v>1201</v>
      </c>
      <c r="C239" t="s">
        <v>1632</v>
      </c>
      <c r="D239" t="s">
        <v>1224</v>
      </c>
      <c r="E239">
        <v>197</v>
      </c>
      <c r="F239" t="s">
        <v>5</v>
      </c>
      <c r="G239">
        <v>107</v>
      </c>
      <c r="H239" s="2">
        <f t="shared" si="3"/>
        <v>0.54314720812182737</v>
      </c>
      <c r="I239" t="s">
        <v>6</v>
      </c>
      <c r="J239">
        <v>-7.2500240014560902</v>
      </c>
      <c r="K239" t="s">
        <v>7</v>
      </c>
      <c r="L239">
        <v>-3.6802152291655198E-2</v>
      </c>
      <c r="M239" t="s">
        <v>8</v>
      </c>
      <c r="N239">
        <v>1.2266689644197899</v>
      </c>
      <c r="O239" t="s">
        <v>9</v>
      </c>
      <c r="P239">
        <v>-1.53892892438193</v>
      </c>
      <c r="Q239" t="s">
        <v>10</v>
      </c>
      <c r="R239">
        <v>0.46849471153154698</v>
      </c>
      <c r="S239" t="s">
        <v>11</v>
      </c>
      <c r="T239" t="s">
        <v>1352</v>
      </c>
      <c r="U239" t="s">
        <v>1353</v>
      </c>
      <c r="V239">
        <v>0</v>
      </c>
      <c r="W239" t="s">
        <v>14</v>
      </c>
      <c r="X239" t="s">
        <v>15</v>
      </c>
      <c r="Y239" t="s">
        <v>1355</v>
      </c>
      <c r="Z239" t="s">
        <v>1284</v>
      </c>
      <c r="AA239">
        <v>0</v>
      </c>
      <c r="AB239" t="s">
        <v>18</v>
      </c>
    </row>
    <row r="240" spans="1:28" x14ac:dyDescent="0.3">
      <c r="A240" t="s">
        <v>1219</v>
      </c>
      <c r="B240" t="s">
        <v>1144</v>
      </c>
      <c r="C240" t="s">
        <v>1575</v>
      </c>
      <c r="D240" t="s">
        <v>1224</v>
      </c>
      <c r="E240">
        <v>191</v>
      </c>
      <c r="F240" t="s">
        <v>5</v>
      </c>
      <c r="G240">
        <v>116</v>
      </c>
      <c r="H240" s="2">
        <f t="shared" si="3"/>
        <v>0.60732984293193715</v>
      </c>
      <c r="I240" t="s">
        <v>6</v>
      </c>
      <c r="J240">
        <v>-7.3999999999998902</v>
      </c>
      <c r="K240" t="s">
        <v>7</v>
      </c>
      <c r="L240">
        <v>-3.8743455497381597E-2</v>
      </c>
      <c r="M240" t="s">
        <v>8</v>
      </c>
      <c r="N240">
        <v>1.1337068965517201</v>
      </c>
      <c r="O240" t="s">
        <v>9</v>
      </c>
      <c r="P240">
        <v>-1.8521333333333301</v>
      </c>
      <c r="Q240" t="s">
        <v>10</v>
      </c>
      <c r="R240">
        <v>0.37704967025973002</v>
      </c>
      <c r="S240" t="s">
        <v>11</v>
      </c>
      <c r="T240" t="s">
        <v>1225</v>
      </c>
      <c r="U240" t="s">
        <v>1226</v>
      </c>
      <c r="V240">
        <v>0</v>
      </c>
      <c r="W240" t="s">
        <v>14</v>
      </c>
      <c r="X240" t="s">
        <v>15</v>
      </c>
      <c r="Y240" t="s">
        <v>1313</v>
      </c>
      <c r="Z240" t="s">
        <v>1226</v>
      </c>
      <c r="AA240">
        <v>0</v>
      </c>
      <c r="AB240" t="s">
        <v>18</v>
      </c>
    </row>
    <row r="241" spans="1:28" x14ac:dyDescent="0.3">
      <c r="A241" t="s">
        <v>1219</v>
      </c>
      <c r="B241" t="s">
        <v>1202</v>
      </c>
      <c r="C241" t="s">
        <v>1633</v>
      </c>
      <c r="D241" t="s">
        <v>1224</v>
      </c>
      <c r="E241">
        <v>197</v>
      </c>
      <c r="F241" t="s">
        <v>5</v>
      </c>
      <c r="G241">
        <v>106</v>
      </c>
      <c r="H241" s="2">
        <f t="shared" si="3"/>
        <v>0.53807106598984766</v>
      </c>
      <c r="I241" t="s">
        <v>6</v>
      </c>
      <c r="J241">
        <v>-7.5180211395869696</v>
      </c>
      <c r="K241" t="s">
        <v>7</v>
      </c>
      <c r="L241">
        <v>-3.8162543855771398E-2</v>
      </c>
      <c r="M241" t="s">
        <v>8</v>
      </c>
      <c r="N241">
        <v>1.2604300193847799</v>
      </c>
      <c r="O241" t="s">
        <v>9</v>
      </c>
      <c r="P241">
        <v>-1.5508088263118001</v>
      </c>
      <c r="Q241" t="s">
        <v>10</v>
      </c>
      <c r="R241">
        <v>0.47073621979850999</v>
      </c>
      <c r="S241" t="s">
        <v>11</v>
      </c>
      <c r="T241" t="s">
        <v>1352</v>
      </c>
      <c r="U241" t="s">
        <v>1353</v>
      </c>
      <c r="V241">
        <v>0</v>
      </c>
      <c r="W241" t="s">
        <v>14</v>
      </c>
      <c r="X241" t="s">
        <v>15</v>
      </c>
      <c r="Y241" t="s">
        <v>1355</v>
      </c>
      <c r="Z241" t="s">
        <v>1284</v>
      </c>
      <c r="AA241">
        <v>0</v>
      </c>
      <c r="AB241" t="s">
        <v>18</v>
      </c>
    </row>
    <row r="242" spans="1:28" x14ac:dyDescent="0.3">
      <c r="A242" t="s">
        <v>1222</v>
      </c>
      <c r="B242" t="s">
        <v>1176</v>
      </c>
      <c r="C242" t="s">
        <v>1832</v>
      </c>
      <c r="D242" t="s">
        <v>1224</v>
      </c>
      <c r="E242">
        <v>35</v>
      </c>
      <c r="F242" t="s">
        <v>5</v>
      </c>
      <c r="G242">
        <v>15</v>
      </c>
      <c r="H242" s="2">
        <f t="shared" si="3"/>
        <v>0.42857142857142855</v>
      </c>
      <c r="I242" t="s">
        <v>6</v>
      </c>
      <c r="J242">
        <v>-7.9200000000000097</v>
      </c>
      <c r="K242" t="s">
        <v>7</v>
      </c>
      <c r="L242">
        <v>-0.22628571428571401</v>
      </c>
      <c r="M242" t="s">
        <v>8</v>
      </c>
      <c r="N242">
        <v>1.7373333333333301</v>
      </c>
      <c r="O242" t="s">
        <v>9</v>
      </c>
      <c r="P242">
        <v>-1.6989999999999901</v>
      </c>
      <c r="Q242" t="s">
        <v>10</v>
      </c>
      <c r="R242">
        <v>0.143705495281991</v>
      </c>
      <c r="S242" t="s">
        <v>11</v>
      </c>
      <c r="T242" t="s">
        <v>1447</v>
      </c>
      <c r="U242" t="s">
        <v>1350</v>
      </c>
      <c r="V242">
        <v>0</v>
      </c>
      <c r="W242" t="s">
        <v>14</v>
      </c>
      <c r="X242" t="s">
        <v>15</v>
      </c>
      <c r="Y242" t="s">
        <v>1447</v>
      </c>
      <c r="Z242" t="s">
        <v>1350</v>
      </c>
      <c r="AA242">
        <v>0</v>
      </c>
      <c r="AB242" t="s">
        <v>18</v>
      </c>
    </row>
    <row r="243" spans="1:28" x14ac:dyDescent="0.3">
      <c r="A243" t="s">
        <v>1219</v>
      </c>
      <c r="B243" t="s">
        <v>1168</v>
      </c>
      <c r="C243" t="s">
        <v>1599</v>
      </c>
      <c r="D243" t="s">
        <v>1224</v>
      </c>
      <c r="E243">
        <v>200</v>
      </c>
      <c r="F243" t="s">
        <v>5</v>
      </c>
      <c r="G243">
        <v>103</v>
      </c>
      <c r="H243" s="2">
        <f t="shared" si="3"/>
        <v>0.51500000000000001</v>
      </c>
      <c r="I243" t="s">
        <v>6</v>
      </c>
      <c r="J243">
        <v>-7.9499999999998803</v>
      </c>
      <c r="K243" t="s">
        <v>7</v>
      </c>
      <c r="L243">
        <v>-3.9749999999999397E-2</v>
      </c>
      <c r="M243" t="s">
        <v>8</v>
      </c>
      <c r="N243">
        <v>1.60165048543689</v>
      </c>
      <c r="O243" t="s">
        <v>9</v>
      </c>
      <c r="P243">
        <v>-1.78268041237113</v>
      </c>
      <c r="Q243" t="s">
        <v>10</v>
      </c>
      <c r="R243">
        <v>0.51054778152976699</v>
      </c>
      <c r="S243" t="s">
        <v>11</v>
      </c>
      <c r="T243" t="s">
        <v>1229</v>
      </c>
      <c r="U243" t="s">
        <v>1230</v>
      </c>
      <c r="V243">
        <v>0</v>
      </c>
      <c r="W243" t="s">
        <v>14</v>
      </c>
      <c r="X243" t="s">
        <v>15</v>
      </c>
      <c r="Y243" t="s">
        <v>1229</v>
      </c>
      <c r="Z243" t="s">
        <v>1230</v>
      </c>
      <c r="AA243">
        <v>0</v>
      </c>
      <c r="AB243" t="s">
        <v>18</v>
      </c>
    </row>
    <row r="244" spans="1:28" x14ac:dyDescent="0.3">
      <c r="A244" t="s">
        <v>1219</v>
      </c>
      <c r="B244" t="s">
        <v>1204</v>
      </c>
      <c r="C244" t="s">
        <v>1635</v>
      </c>
      <c r="D244" t="s">
        <v>1224</v>
      </c>
      <c r="E244">
        <v>191</v>
      </c>
      <c r="F244" t="s">
        <v>5</v>
      </c>
      <c r="G244">
        <v>67</v>
      </c>
      <c r="H244" s="2">
        <f t="shared" si="3"/>
        <v>0.35078534031413611</v>
      </c>
      <c r="I244" t="s">
        <v>6</v>
      </c>
      <c r="J244">
        <v>-8.7599999999998506</v>
      </c>
      <c r="K244" t="s">
        <v>7</v>
      </c>
      <c r="L244">
        <v>-4.5863874345548901E-2</v>
      </c>
      <c r="M244" t="s">
        <v>8</v>
      </c>
      <c r="N244">
        <v>1.7004477611940301</v>
      </c>
      <c r="O244" t="s">
        <v>9</v>
      </c>
      <c r="P244">
        <v>-0.98943548387096703</v>
      </c>
      <c r="Q244" t="s">
        <v>10</v>
      </c>
      <c r="R244">
        <v>0.35082307344549302</v>
      </c>
      <c r="S244" t="s">
        <v>11</v>
      </c>
      <c r="T244" t="s">
        <v>1358</v>
      </c>
      <c r="U244" t="s">
        <v>284</v>
      </c>
      <c r="V244">
        <v>0</v>
      </c>
      <c r="W244" t="s">
        <v>14</v>
      </c>
      <c r="X244" t="s">
        <v>15</v>
      </c>
      <c r="Y244" t="s">
        <v>1359</v>
      </c>
      <c r="Z244" t="s">
        <v>91</v>
      </c>
      <c r="AA244">
        <v>0</v>
      </c>
      <c r="AB244" t="s">
        <v>18</v>
      </c>
    </row>
    <row r="245" spans="1:28" x14ac:dyDescent="0.3">
      <c r="A245" t="s">
        <v>1222</v>
      </c>
      <c r="B245" t="s">
        <v>1212</v>
      </c>
      <c r="C245" t="s">
        <v>1868</v>
      </c>
      <c r="D245" t="s">
        <v>1224</v>
      </c>
      <c r="E245">
        <v>33</v>
      </c>
      <c r="F245" t="s">
        <v>5</v>
      </c>
      <c r="G245">
        <v>10</v>
      </c>
      <c r="H245" s="2">
        <f t="shared" si="3"/>
        <v>0.30303030303030304</v>
      </c>
      <c r="I245" t="s">
        <v>6</v>
      </c>
      <c r="J245">
        <v>-8.8200000000000802</v>
      </c>
      <c r="K245" t="s">
        <v>7</v>
      </c>
      <c r="L245">
        <v>-0.26727272727272899</v>
      </c>
      <c r="M245" t="s">
        <v>8</v>
      </c>
      <c r="N245">
        <v>1.4969999999999799</v>
      </c>
      <c r="O245" t="s">
        <v>9</v>
      </c>
      <c r="P245">
        <v>-1.0343478260869501</v>
      </c>
      <c r="Q245" t="s">
        <v>10</v>
      </c>
      <c r="R245">
        <v>0.138469720603105</v>
      </c>
      <c r="S245" t="s">
        <v>11</v>
      </c>
      <c r="T245" t="s">
        <v>1460</v>
      </c>
      <c r="U245" t="s">
        <v>258</v>
      </c>
      <c r="V245">
        <v>0</v>
      </c>
      <c r="W245" t="s">
        <v>14</v>
      </c>
      <c r="X245" t="s">
        <v>15</v>
      </c>
      <c r="Y245" t="s">
        <v>1460</v>
      </c>
      <c r="Z245" t="s">
        <v>258</v>
      </c>
      <c r="AA245">
        <v>0</v>
      </c>
      <c r="AB245" t="s">
        <v>18</v>
      </c>
    </row>
    <row r="246" spans="1:28" x14ac:dyDescent="0.3">
      <c r="A246" t="s">
        <v>1222</v>
      </c>
      <c r="B246" t="s">
        <v>1213</v>
      </c>
      <c r="C246" t="s">
        <v>1869</v>
      </c>
      <c r="D246" t="s">
        <v>1224</v>
      </c>
      <c r="E246">
        <v>33</v>
      </c>
      <c r="F246" t="s">
        <v>5</v>
      </c>
      <c r="G246">
        <v>10</v>
      </c>
      <c r="H246" s="2">
        <f t="shared" si="3"/>
        <v>0.30303030303030304</v>
      </c>
      <c r="I246" t="s">
        <v>6</v>
      </c>
      <c r="J246">
        <v>-8.8200000000000802</v>
      </c>
      <c r="K246" t="s">
        <v>7</v>
      </c>
      <c r="L246">
        <v>-0.26727272727272899</v>
      </c>
      <c r="M246" t="s">
        <v>8</v>
      </c>
      <c r="N246">
        <v>1.4969999999999799</v>
      </c>
      <c r="O246" t="s">
        <v>9</v>
      </c>
      <c r="P246">
        <v>-1.0343478260869501</v>
      </c>
      <c r="Q246" t="s">
        <v>10</v>
      </c>
      <c r="R246">
        <v>0.138469720603105</v>
      </c>
      <c r="S246" t="s">
        <v>11</v>
      </c>
      <c r="T246" t="s">
        <v>1460</v>
      </c>
      <c r="U246" t="s">
        <v>258</v>
      </c>
      <c r="V246">
        <v>0</v>
      </c>
      <c r="W246" t="s">
        <v>14</v>
      </c>
      <c r="X246" t="s">
        <v>15</v>
      </c>
      <c r="Y246" t="s">
        <v>1460</v>
      </c>
      <c r="Z246" t="s">
        <v>258</v>
      </c>
      <c r="AA246">
        <v>0</v>
      </c>
      <c r="AB246" t="s">
        <v>18</v>
      </c>
    </row>
    <row r="247" spans="1:28" x14ac:dyDescent="0.3">
      <c r="A247" t="s">
        <v>1219</v>
      </c>
      <c r="B247" t="s">
        <v>1149</v>
      </c>
      <c r="C247" t="s">
        <v>1580</v>
      </c>
      <c r="D247" t="s">
        <v>1224</v>
      </c>
      <c r="E247">
        <v>200</v>
      </c>
      <c r="F247" t="s">
        <v>5</v>
      </c>
      <c r="G247">
        <v>117</v>
      </c>
      <c r="H247" s="2">
        <f t="shared" si="3"/>
        <v>0.58499999999999996</v>
      </c>
      <c r="I247" t="s">
        <v>6</v>
      </c>
      <c r="J247">
        <v>-8.9424283578641095</v>
      </c>
      <c r="K247" t="s">
        <v>7</v>
      </c>
      <c r="L247">
        <v>-4.4712141789320502E-2</v>
      </c>
      <c r="M247" t="s">
        <v>8</v>
      </c>
      <c r="N247">
        <v>1.2235689883943199</v>
      </c>
      <c r="O247" t="s">
        <v>9</v>
      </c>
      <c r="P247">
        <v>-1.83253012048192</v>
      </c>
      <c r="Q247" t="s">
        <v>10</v>
      </c>
      <c r="R247">
        <v>0.38490133423801298</v>
      </c>
      <c r="S247" t="s">
        <v>11</v>
      </c>
      <c r="T247" t="s">
        <v>1317</v>
      </c>
      <c r="U247" t="s">
        <v>1318</v>
      </c>
      <c r="V247">
        <v>0</v>
      </c>
      <c r="W247" t="s">
        <v>14</v>
      </c>
      <c r="X247" t="s">
        <v>15</v>
      </c>
      <c r="Y247" t="s">
        <v>1319</v>
      </c>
      <c r="Z247" t="s">
        <v>1320</v>
      </c>
      <c r="AA247">
        <v>0</v>
      </c>
      <c r="AB247" t="s">
        <v>18</v>
      </c>
    </row>
    <row r="248" spans="1:28" x14ac:dyDescent="0.3">
      <c r="A248" t="s">
        <v>1221</v>
      </c>
      <c r="B248" t="s">
        <v>1152</v>
      </c>
      <c r="C248" t="s">
        <v>1733</v>
      </c>
      <c r="D248" t="s">
        <v>1224</v>
      </c>
      <c r="E248">
        <v>98</v>
      </c>
      <c r="F248" t="s">
        <v>5</v>
      </c>
      <c r="G248">
        <v>51</v>
      </c>
      <c r="H248" s="2">
        <f t="shared" si="3"/>
        <v>0.52040816326530615</v>
      </c>
      <c r="I248" t="s">
        <v>6</v>
      </c>
      <c r="J248">
        <v>-9.0099999999999696</v>
      </c>
      <c r="K248" t="s">
        <v>7</v>
      </c>
      <c r="L248">
        <v>-9.1938775510203796E-2</v>
      </c>
      <c r="M248" t="s">
        <v>8</v>
      </c>
      <c r="N248">
        <v>1.47470588235294</v>
      </c>
      <c r="O248" t="s">
        <v>9</v>
      </c>
      <c r="P248">
        <v>-1.7919148936170199</v>
      </c>
      <c r="Q248" t="s">
        <v>10</v>
      </c>
      <c r="R248">
        <v>0.28002928158061802</v>
      </c>
      <c r="S248" t="s">
        <v>11</v>
      </c>
      <c r="T248" t="s">
        <v>1380</v>
      </c>
      <c r="U248" t="s">
        <v>1381</v>
      </c>
      <c r="V248">
        <v>0</v>
      </c>
      <c r="W248" t="s">
        <v>14</v>
      </c>
      <c r="X248" t="s">
        <v>15</v>
      </c>
      <c r="Y248" t="s">
        <v>1377</v>
      </c>
      <c r="Z248" t="s">
        <v>1376</v>
      </c>
      <c r="AA248">
        <v>0</v>
      </c>
      <c r="AB248" t="s">
        <v>18</v>
      </c>
    </row>
    <row r="249" spans="1:28" x14ac:dyDescent="0.3">
      <c r="A249" t="s">
        <v>1220</v>
      </c>
      <c r="B249" t="s">
        <v>1214</v>
      </c>
      <c r="C249" t="s">
        <v>1720</v>
      </c>
      <c r="D249" t="s">
        <v>1224</v>
      </c>
      <c r="E249">
        <v>144</v>
      </c>
      <c r="F249" t="s">
        <v>5</v>
      </c>
      <c r="G249">
        <v>57</v>
      </c>
      <c r="H249" s="2">
        <f t="shared" si="3"/>
        <v>0.39583333333333331</v>
      </c>
      <c r="I249" t="s">
        <v>6</v>
      </c>
      <c r="J249">
        <v>-9.2508371592408203</v>
      </c>
      <c r="K249" t="s">
        <v>7</v>
      </c>
      <c r="L249">
        <v>-6.4241924716950102E-2</v>
      </c>
      <c r="M249" t="s">
        <v>8</v>
      </c>
      <c r="N249">
        <v>1.4341220166308499</v>
      </c>
      <c r="O249" t="s">
        <v>9</v>
      </c>
      <c r="P249">
        <v>-1.04592864491033</v>
      </c>
      <c r="Q249" t="s">
        <v>10</v>
      </c>
      <c r="R249">
        <v>0.27000692828832801</v>
      </c>
      <c r="S249" t="s">
        <v>11</v>
      </c>
      <c r="T249" t="s">
        <v>1417</v>
      </c>
      <c r="U249" t="s">
        <v>1418</v>
      </c>
      <c r="V249">
        <v>0</v>
      </c>
      <c r="W249" t="s">
        <v>14</v>
      </c>
      <c r="X249" t="s">
        <v>15</v>
      </c>
      <c r="Y249" t="s">
        <v>1417</v>
      </c>
      <c r="Z249" t="s">
        <v>1418</v>
      </c>
      <c r="AA249">
        <v>0</v>
      </c>
      <c r="AB249" t="s">
        <v>18</v>
      </c>
    </row>
    <row r="250" spans="1:28" x14ac:dyDescent="0.3">
      <c r="A250" t="s">
        <v>1219</v>
      </c>
      <c r="B250" t="s">
        <v>1164</v>
      </c>
      <c r="C250" t="s">
        <v>1595</v>
      </c>
      <c r="D250" t="s">
        <v>1224</v>
      </c>
      <c r="E250">
        <v>200</v>
      </c>
      <c r="F250" t="s">
        <v>5</v>
      </c>
      <c r="G250">
        <v>121</v>
      </c>
      <c r="H250" s="2">
        <f t="shared" si="3"/>
        <v>0.60499999999999998</v>
      </c>
      <c r="I250" t="s">
        <v>6</v>
      </c>
      <c r="J250">
        <v>-9.4799999999998903</v>
      </c>
      <c r="K250" t="s">
        <v>7</v>
      </c>
      <c r="L250">
        <v>-4.7399999999999401E-2</v>
      </c>
      <c r="M250" t="s">
        <v>8</v>
      </c>
      <c r="N250">
        <v>1.04057851239669</v>
      </c>
      <c r="O250" t="s">
        <v>9</v>
      </c>
      <c r="P250">
        <v>-1.7137974683544199</v>
      </c>
      <c r="Q250" t="s">
        <v>10</v>
      </c>
      <c r="R250">
        <v>0.36670656956276199</v>
      </c>
      <c r="S250" t="s">
        <v>11</v>
      </c>
      <c r="T250" t="s">
        <v>1329</v>
      </c>
      <c r="U250" t="s">
        <v>1232</v>
      </c>
      <c r="V250">
        <v>0</v>
      </c>
      <c r="W250" t="s">
        <v>14</v>
      </c>
      <c r="X250" t="s">
        <v>15</v>
      </c>
      <c r="Y250" t="s">
        <v>1330</v>
      </c>
      <c r="Z250" t="s">
        <v>1331</v>
      </c>
      <c r="AA250">
        <v>0</v>
      </c>
      <c r="AB250" t="s">
        <v>18</v>
      </c>
    </row>
    <row r="251" spans="1:28" x14ac:dyDescent="0.3">
      <c r="A251" t="s">
        <v>1220</v>
      </c>
      <c r="B251" t="s">
        <v>1180</v>
      </c>
      <c r="C251" t="s">
        <v>1686</v>
      </c>
      <c r="D251" t="s">
        <v>1224</v>
      </c>
      <c r="E251">
        <v>136</v>
      </c>
      <c r="F251" t="s">
        <v>5</v>
      </c>
      <c r="G251">
        <v>51</v>
      </c>
      <c r="H251" s="2">
        <f t="shared" si="3"/>
        <v>0.375</v>
      </c>
      <c r="I251" t="s">
        <v>6</v>
      </c>
      <c r="J251">
        <v>-10.055710095135099</v>
      </c>
      <c r="K251" t="s">
        <v>7</v>
      </c>
      <c r="L251">
        <v>-7.3939044817170299E-2</v>
      </c>
      <c r="M251" t="s">
        <v>8</v>
      </c>
      <c r="N251">
        <v>2.1454901960784301</v>
      </c>
      <c r="O251" t="s">
        <v>9</v>
      </c>
      <c r="P251">
        <v>-1.4055965893545299</v>
      </c>
      <c r="Q251" t="s">
        <v>10</v>
      </c>
      <c r="R251">
        <v>0.37143452304565</v>
      </c>
      <c r="S251" t="s">
        <v>11</v>
      </c>
      <c r="T251" t="s">
        <v>1296</v>
      </c>
      <c r="U251" t="s">
        <v>1249</v>
      </c>
      <c r="V251">
        <v>0</v>
      </c>
      <c r="W251" t="s">
        <v>14</v>
      </c>
      <c r="X251" t="s">
        <v>15</v>
      </c>
      <c r="Y251" t="s">
        <v>1296</v>
      </c>
      <c r="Z251" t="s">
        <v>1249</v>
      </c>
      <c r="AA251">
        <v>0</v>
      </c>
      <c r="AB251" t="s">
        <v>18</v>
      </c>
    </row>
    <row r="252" spans="1:28" x14ac:dyDescent="0.3">
      <c r="A252" t="s">
        <v>1222</v>
      </c>
      <c r="B252" t="s">
        <v>1209</v>
      </c>
      <c r="C252" t="s">
        <v>1865</v>
      </c>
      <c r="D252" t="s">
        <v>1224</v>
      </c>
      <c r="E252">
        <v>33</v>
      </c>
      <c r="F252" t="s">
        <v>5</v>
      </c>
      <c r="G252">
        <v>13</v>
      </c>
      <c r="H252" s="2">
        <f t="shared" si="3"/>
        <v>0.39393939393939392</v>
      </c>
      <c r="I252" t="s">
        <v>6</v>
      </c>
      <c r="J252">
        <v>-10.409999999999901</v>
      </c>
      <c r="K252" t="s">
        <v>7</v>
      </c>
      <c r="L252">
        <v>-0.31545454545454499</v>
      </c>
      <c r="M252" t="s">
        <v>8</v>
      </c>
      <c r="N252">
        <v>0.71076923076922904</v>
      </c>
      <c r="O252" t="s">
        <v>9</v>
      </c>
      <c r="P252">
        <v>-0.98249999999999804</v>
      </c>
      <c r="Q252" t="s">
        <v>10</v>
      </c>
      <c r="R252">
        <v>8.4795827413653602E-2</v>
      </c>
      <c r="S252" t="s">
        <v>11</v>
      </c>
      <c r="T252" t="s">
        <v>1459</v>
      </c>
      <c r="U252" t="s">
        <v>1228</v>
      </c>
      <c r="V252">
        <v>0</v>
      </c>
      <c r="W252" t="s">
        <v>14</v>
      </c>
      <c r="X252" t="s">
        <v>15</v>
      </c>
      <c r="Y252" t="s">
        <v>1459</v>
      </c>
      <c r="Z252" t="s">
        <v>1228</v>
      </c>
      <c r="AA252">
        <v>0</v>
      </c>
      <c r="AB252" t="s">
        <v>18</v>
      </c>
    </row>
    <row r="253" spans="1:28" x14ac:dyDescent="0.3">
      <c r="A253" t="s">
        <v>1222</v>
      </c>
      <c r="B253" t="s">
        <v>1200</v>
      </c>
      <c r="C253" t="s">
        <v>1856</v>
      </c>
      <c r="D253" t="s">
        <v>1224</v>
      </c>
      <c r="E253">
        <v>34</v>
      </c>
      <c r="F253" t="s">
        <v>5</v>
      </c>
      <c r="G253">
        <v>17</v>
      </c>
      <c r="H253" s="2">
        <f t="shared" si="3"/>
        <v>0.5</v>
      </c>
      <c r="I253" t="s">
        <v>6</v>
      </c>
      <c r="J253">
        <v>-10.52</v>
      </c>
      <c r="K253" t="s">
        <v>7</v>
      </c>
      <c r="L253">
        <v>-0.309411764705882</v>
      </c>
      <c r="M253" t="s">
        <v>8</v>
      </c>
      <c r="N253">
        <v>1.1858823529411699</v>
      </c>
      <c r="O253" t="s">
        <v>9</v>
      </c>
      <c r="P253">
        <v>-1.80470588235294</v>
      </c>
      <c r="Q253" t="s">
        <v>10</v>
      </c>
      <c r="R253">
        <v>0.12760481826275399</v>
      </c>
      <c r="S253" t="s">
        <v>11</v>
      </c>
      <c r="T253" t="s">
        <v>1407</v>
      </c>
      <c r="U253" t="s">
        <v>632</v>
      </c>
      <c r="V253">
        <v>0</v>
      </c>
      <c r="W253" t="s">
        <v>14</v>
      </c>
      <c r="X253" t="s">
        <v>15</v>
      </c>
      <c r="Y253" t="s">
        <v>1407</v>
      </c>
      <c r="Z253" t="s">
        <v>632</v>
      </c>
      <c r="AA253">
        <v>0</v>
      </c>
      <c r="AB253" t="s">
        <v>18</v>
      </c>
    </row>
    <row r="254" spans="1:28" x14ac:dyDescent="0.3">
      <c r="A254" t="s">
        <v>1222</v>
      </c>
      <c r="B254" t="s">
        <v>1206</v>
      </c>
      <c r="C254" t="s">
        <v>1862</v>
      </c>
      <c r="D254" t="s">
        <v>1224</v>
      </c>
      <c r="E254">
        <v>35</v>
      </c>
      <c r="F254" t="s">
        <v>5</v>
      </c>
      <c r="G254">
        <v>10</v>
      </c>
      <c r="H254" s="2">
        <f t="shared" si="3"/>
        <v>0.2857142857142857</v>
      </c>
      <c r="I254" t="s">
        <v>6</v>
      </c>
      <c r="J254">
        <v>-10.65</v>
      </c>
      <c r="K254" t="s">
        <v>7</v>
      </c>
      <c r="L254">
        <v>-0.30428571428571599</v>
      </c>
      <c r="M254" t="s">
        <v>8</v>
      </c>
      <c r="N254">
        <v>1.47999999999998</v>
      </c>
      <c r="O254" t="s">
        <v>9</v>
      </c>
      <c r="P254">
        <v>-1.01799999999999</v>
      </c>
      <c r="Q254" t="s">
        <v>10</v>
      </c>
      <c r="R254">
        <v>0.131575370242347</v>
      </c>
      <c r="S254" t="s">
        <v>11</v>
      </c>
      <c r="T254" t="s">
        <v>1457</v>
      </c>
      <c r="U254" t="s">
        <v>216</v>
      </c>
      <c r="V254">
        <v>0</v>
      </c>
      <c r="W254" t="s">
        <v>14</v>
      </c>
      <c r="X254" t="s">
        <v>15</v>
      </c>
      <c r="Y254" t="s">
        <v>1458</v>
      </c>
      <c r="Z254" t="s">
        <v>216</v>
      </c>
      <c r="AA254">
        <v>0</v>
      </c>
      <c r="AB254" t="s">
        <v>18</v>
      </c>
    </row>
    <row r="255" spans="1:28" x14ac:dyDescent="0.3">
      <c r="A255" t="s">
        <v>1222</v>
      </c>
      <c r="B255" t="s">
        <v>1207</v>
      </c>
      <c r="C255" t="s">
        <v>1863</v>
      </c>
      <c r="D255" t="s">
        <v>1224</v>
      </c>
      <c r="E255">
        <v>35</v>
      </c>
      <c r="F255" t="s">
        <v>5</v>
      </c>
      <c r="G255">
        <v>10</v>
      </c>
      <c r="H255" s="2">
        <f t="shared" si="3"/>
        <v>0.2857142857142857</v>
      </c>
      <c r="I255" t="s">
        <v>6</v>
      </c>
      <c r="J255">
        <v>-10.65</v>
      </c>
      <c r="K255" t="s">
        <v>7</v>
      </c>
      <c r="L255">
        <v>-0.30428571428571599</v>
      </c>
      <c r="M255" t="s">
        <v>8</v>
      </c>
      <c r="N255">
        <v>1.47999999999998</v>
      </c>
      <c r="O255" t="s">
        <v>9</v>
      </c>
      <c r="P255">
        <v>-1.01799999999999</v>
      </c>
      <c r="Q255" t="s">
        <v>10</v>
      </c>
      <c r="R255">
        <v>0.131575370242347</v>
      </c>
      <c r="S255" t="s">
        <v>11</v>
      </c>
      <c r="T255" t="s">
        <v>1457</v>
      </c>
      <c r="U255" t="s">
        <v>216</v>
      </c>
      <c r="V255">
        <v>0</v>
      </c>
      <c r="W255" t="s">
        <v>14</v>
      </c>
      <c r="X255" t="s">
        <v>15</v>
      </c>
      <c r="Y255" t="s">
        <v>1458</v>
      </c>
      <c r="Z255" t="s">
        <v>216</v>
      </c>
      <c r="AA255">
        <v>0</v>
      </c>
      <c r="AB255" t="s">
        <v>18</v>
      </c>
    </row>
    <row r="256" spans="1:28" x14ac:dyDescent="0.3">
      <c r="A256" t="s">
        <v>1222</v>
      </c>
      <c r="B256" t="s">
        <v>1208</v>
      </c>
      <c r="C256" t="s">
        <v>1864</v>
      </c>
      <c r="D256" t="s">
        <v>1224</v>
      </c>
      <c r="E256">
        <v>35</v>
      </c>
      <c r="F256" t="s">
        <v>5</v>
      </c>
      <c r="G256">
        <v>10</v>
      </c>
      <c r="H256" s="2">
        <f t="shared" si="3"/>
        <v>0.2857142857142857</v>
      </c>
      <c r="I256" t="s">
        <v>6</v>
      </c>
      <c r="J256">
        <v>-10.65</v>
      </c>
      <c r="K256" t="s">
        <v>7</v>
      </c>
      <c r="L256">
        <v>-0.30428571428571599</v>
      </c>
      <c r="M256" t="s">
        <v>8</v>
      </c>
      <c r="N256">
        <v>1.47999999999998</v>
      </c>
      <c r="O256" t="s">
        <v>9</v>
      </c>
      <c r="P256">
        <v>-1.01799999999999</v>
      </c>
      <c r="Q256" t="s">
        <v>10</v>
      </c>
      <c r="R256">
        <v>0.131575370242347</v>
      </c>
      <c r="S256" t="s">
        <v>11</v>
      </c>
      <c r="T256" t="s">
        <v>1457</v>
      </c>
      <c r="U256" t="s">
        <v>216</v>
      </c>
      <c r="V256">
        <v>0</v>
      </c>
      <c r="W256" t="s">
        <v>14</v>
      </c>
      <c r="X256" t="s">
        <v>15</v>
      </c>
      <c r="Y256" t="s">
        <v>1458</v>
      </c>
      <c r="Z256" t="s">
        <v>216</v>
      </c>
      <c r="AA256">
        <v>0</v>
      </c>
      <c r="AB256" t="s">
        <v>18</v>
      </c>
    </row>
    <row r="257" spans="1:28" x14ac:dyDescent="0.3">
      <c r="A257" t="s">
        <v>1219</v>
      </c>
      <c r="B257" t="s">
        <v>1176</v>
      </c>
      <c r="C257" t="s">
        <v>1607</v>
      </c>
      <c r="D257" t="s">
        <v>1224</v>
      </c>
      <c r="E257">
        <v>191</v>
      </c>
      <c r="F257" t="s">
        <v>5</v>
      </c>
      <c r="G257">
        <v>60</v>
      </c>
      <c r="H257" s="2">
        <f t="shared" si="3"/>
        <v>0.31413612565445026</v>
      </c>
      <c r="I257" t="s">
        <v>6</v>
      </c>
      <c r="J257">
        <v>-11.2599999999999</v>
      </c>
      <c r="K257" t="s">
        <v>7</v>
      </c>
      <c r="L257">
        <v>-5.89528795811513E-2</v>
      </c>
      <c r="M257" t="s">
        <v>8</v>
      </c>
      <c r="N257">
        <v>2.9418333333333302</v>
      </c>
      <c r="O257" t="s">
        <v>9</v>
      </c>
      <c r="P257">
        <v>-1.4333587786259501</v>
      </c>
      <c r="Q257" t="s">
        <v>10</v>
      </c>
      <c r="R257">
        <v>0.55944159377196101</v>
      </c>
      <c r="S257" t="s">
        <v>11</v>
      </c>
      <c r="T257" t="s">
        <v>1339</v>
      </c>
      <c r="U257" t="s">
        <v>1340</v>
      </c>
      <c r="V257">
        <v>0</v>
      </c>
      <c r="W257" t="s">
        <v>14</v>
      </c>
      <c r="X257" t="s">
        <v>15</v>
      </c>
      <c r="Y257" t="s">
        <v>1341</v>
      </c>
      <c r="Z257" t="s">
        <v>91</v>
      </c>
      <c r="AA257">
        <v>0</v>
      </c>
      <c r="AB257" t="s">
        <v>18</v>
      </c>
    </row>
    <row r="258" spans="1:28" x14ac:dyDescent="0.3">
      <c r="A258" t="s">
        <v>1222</v>
      </c>
      <c r="B258" t="s">
        <v>1204</v>
      </c>
      <c r="C258" t="s">
        <v>1860</v>
      </c>
      <c r="D258" t="s">
        <v>1224</v>
      </c>
      <c r="E258">
        <v>35</v>
      </c>
      <c r="F258" t="s">
        <v>5</v>
      </c>
      <c r="G258">
        <v>13</v>
      </c>
      <c r="H258" s="2">
        <f t="shared" si="3"/>
        <v>0.37142857142857144</v>
      </c>
      <c r="I258" t="s">
        <v>6</v>
      </c>
      <c r="J258">
        <v>-11.3699999999999</v>
      </c>
      <c r="K258" t="s">
        <v>7</v>
      </c>
      <c r="L258">
        <v>-0.32485714285714201</v>
      </c>
      <c r="M258" t="s">
        <v>8</v>
      </c>
      <c r="N258">
        <v>0.73769230769230598</v>
      </c>
      <c r="O258" t="s">
        <v>9</v>
      </c>
      <c r="P258">
        <v>-0.95272727272727098</v>
      </c>
      <c r="Q258" t="s">
        <v>10</v>
      </c>
      <c r="R258">
        <v>8.7131870733013206E-2</v>
      </c>
      <c r="S258" t="s">
        <v>11</v>
      </c>
      <c r="T258" t="s">
        <v>1455</v>
      </c>
      <c r="U258" t="s">
        <v>1350</v>
      </c>
      <c r="V258">
        <v>0</v>
      </c>
      <c r="W258" t="s">
        <v>14</v>
      </c>
      <c r="X258" t="s">
        <v>15</v>
      </c>
      <c r="Y258" t="s">
        <v>1455</v>
      </c>
      <c r="Z258" t="s">
        <v>1350</v>
      </c>
      <c r="AA258">
        <v>0</v>
      </c>
      <c r="AB258" t="s">
        <v>18</v>
      </c>
    </row>
    <row r="259" spans="1:28" x14ac:dyDescent="0.3">
      <c r="A259" t="s">
        <v>1222</v>
      </c>
      <c r="B259" t="s">
        <v>1177</v>
      </c>
      <c r="C259" t="s">
        <v>1833</v>
      </c>
      <c r="D259" t="s">
        <v>1224</v>
      </c>
      <c r="E259">
        <v>35</v>
      </c>
      <c r="F259" t="s">
        <v>5</v>
      </c>
      <c r="G259">
        <v>14</v>
      </c>
      <c r="H259" s="2">
        <f t="shared" ref="H259:H322" si="4">G259/E259</f>
        <v>0.4</v>
      </c>
      <c r="I259" t="s">
        <v>6</v>
      </c>
      <c r="J259">
        <v>-11.52</v>
      </c>
      <c r="K259" t="s">
        <v>7</v>
      </c>
      <c r="L259">
        <v>-0.32914285714285801</v>
      </c>
      <c r="M259" t="s">
        <v>8</v>
      </c>
      <c r="N259">
        <v>1.7178571428571301</v>
      </c>
      <c r="O259" t="s">
        <v>9</v>
      </c>
      <c r="P259">
        <v>-1.6938095238095201</v>
      </c>
      <c r="Q259" t="s">
        <v>10</v>
      </c>
      <c r="R259">
        <v>0.146899360924478</v>
      </c>
      <c r="S259" t="s">
        <v>11</v>
      </c>
      <c r="T259" t="s">
        <v>1447</v>
      </c>
      <c r="U259" t="s">
        <v>1350</v>
      </c>
      <c r="V259">
        <v>0</v>
      </c>
      <c r="W259" t="s">
        <v>14</v>
      </c>
      <c r="X259" t="s">
        <v>15</v>
      </c>
      <c r="Y259" t="s">
        <v>1447</v>
      </c>
      <c r="Z259" t="s">
        <v>1350</v>
      </c>
      <c r="AA259">
        <v>0</v>
      </c>
      <c r="AB259" t="s">
        <v>18</v>
      </c>
    </row>
    <row r="260" spans="1:28" x14ac:dyDescent="0.3">
      <c r="A260" t="s">
        <v>1222</v>
      </c>
      <c r="B260" t="s">
        <v>1174</v>
      </c>
      <c r="C260" t="s">
        <v>1830</v>
      </c>
      <c r="D260" t="s">
        <v>1224</v>
      </c>
      <c r="E260">
        <v>35</v>
      </c>
      <c r="F260" t="s">
        <v>5</v>
      </c>
      <c r="G260">
        <v>17</v>
      </c>
      <c r="H260" s="2">
        <f t="shared" si="4"/>
        <v>0.48571428571428571</v>
      </c>
      <c r="I260" t="s">
        <v>6</v>
      </c>
      <c r="J260">
        <v>-11.6299999999999</v>
      </c>
      <c r="K260" t="s">
        <v>7</v>
      </c>
      <c r="L260">
        <v>-0.33228571428571402</v>
      </c>
      <c r="M260" t="s">
        <v>8</v>
      </c>
      <c r="N260">
        <v>1.01941176470588</v>
      </c>
      <c r="O260" t="s">
        <v>9</v>
      </c>
      <c r="P260">
        <v>-1.6088888888888799</v>
      </c>
      <c r="Q260" t="s">
        <v>10</v>
      </c>
      <c r="R260">
        <v>0.112382510450221</v>
      </c>
      <c r="S260" t="s">
        <v>11</v>
      </c>
      <c r="T260" t="s">
        <v>1447</v>
      </c>
      <c r="U260" t="s">
        <v>1350</v>
      </c>
      <c r="V260">
        <v>0</v>
      </c>
      <c r="W260" t="s">
        <v>14</v>
      </c>
      <c r="X260" t="s">
        <v>15</v>
      </c>
      <c r="Y260" t="s">
        <v>1447</v>
      </c>
      <c r="Z260" t="s">
        <v>1350</v>
      </c>
      <c r="AA260">
        <v>0</v>
      </c>
      <c r="AB260" t="s">
        <v>18</v>
      </c>
    </row>
    <row r="261" spans="1:28" x14ac:dyDescent="0.3">
      <c r="A261" t="s">
        <v>1220</v>
      </c>
      <c r="B261" t="s">
        <v>1216</v>
      </c>
      <c r="C261" t="s">
        <v>1722</v>
      </c>
      <c r="D261" t="s">
        <v>1224</v>
      </c>
      <c r="E261">
        <v>144</v>
      </c>
      <c r="F261" t="s">
        <v>5</v>
      </c>
      <c r="G261">
        <v>36</v>
      </c>
      <c r="H261" s="2">
        <f t="shared" si="4"/>
        <v>0.25</v>
      </c>
      <c r="I261" t="s">
        <v>6</v>
      </c>
      <c r="J261">
        <v>-11.760837159240801</v>
      </c>
      <c r="K261" t="s">
        <v>7</v>
      </c>
      <c r="L261">
        <v>-8.1672480272505704E-2</v>
      </c>
      <c r="M261" t="s">
        <v>8</v>
      </c>
      <c r="N261">
        <v>3.0022222222222199</v>
      </c>
      <c r="O261" t="s">
        <v>9</v>
      </c>
      <c r="P261">
        <v>-1.1096373811040801</v>
      </c>
      <c r="Q261" t="s">
        <v>10</v>
      </c>
      <c r="R261">
        <v>0.34563186479943803</v>
      </c>
      <c r="S261" t="s">
        <v>11</v>
      </c>
      <c r="T261" t="s">
        <v>1417</v>
      </c>
      <c r="U261" t="s">
        <v>1418</v>
      </c>
      <c r="V261">
        <v>0</v>
      </c>
      <c r="W261" t="s">
        <v>14</v>
      </c>
      <c r="X261" t="s">
        <v>15</v>
      </c>
      <c r="Y261" t="s">
        <v>1419</v>
      </c>
      <c r="Z261" t="s">
        <v>206</v>
      </c>
      <c r="AA261">
        <v>0</v>
      </c>
      <c r="AB261" t="s">
        <v>18</v>
      </c>
    </row>
    <row r="262" spans="1:28" x14ac:dyDescent="0.3">
      <c r="A262" t="s">
        <v>1222</v>
      </c>
      <c r="B262" t="s">
        <v>1175</v>
      </c>
      <c r="C262" t="s">
        <v>1831</v>
      </c>
      <c r="D262" t="s">
        <v>1224</v>
      </c>
      <c r="E262">
        <v>35</v>
      </c>
      <c r="F262" t="s">
        <v>5</v>
      </c>
      <c r="G262">
        <v>15</v>
      </c>
      <c r="H262" s="2">
        <f t="shared" si="4"/>
        <v>0.42857142857142855</v>
      </c>
      <c r="I262" t="s">
        <v>6</v>
      </c>
      <c r="J262">
        <v>-11.77</v>
      </c>
      <c r="K262" t="s">
        <v>7</v>
      </c>
      <c r="L262">
        <v>-0.33628571428571402</v>
      </c>
      <c r="M262" t="s">
        <v>8</v>
      </c>
      <c r="N262">
        <v>1.4806666666666599</v>
      </c>
      <c r="O262" t="s">
        <v>9</v>
      </c>
      <c r="P262">
        <v>-1.6989999999999901</v>
      </c>
      <c r="Q262" t="s">
        <v>10</v>
      </c>
      <c r="R262">
        <v>0.13676866169483601</v>
      </c>
      <c r="S262" t="s">
        <v>11</v>
      </c>
      <c r="T262" t="s">
        <v>1447</v>
      </c>
      <c r="U262" t="s">
        <v>1350</v>
      </c>
      <c r="V262">
        <v>0</v>
      </c>
      <c r="W262" t="s">
        <v>14</v>
      </c>
      <c r="X262" t="s">
        <v>15</v>
      </c>
      <c r="Y262" t="s">
        <v>1447</v>
      </c>
      <c r="Z262" t="s">
        <v>1350</v>
      </c>
      <c r="AA262">
        <v>0</v>
      </c>
      <c r="AB262" t="s">
        <v>18</v>
      </c>
    </row>
    <row r="263" spans="1:28" x14ac:dyDescent="0.3">
      <c r="A263" t="s">
        <v>1220</v>
      </c>
      <c r="B263" t="s">
        <v>1209</v>
      </c>
      <c r="C263" t="s">
        <v>1715</v>
      </c>
      <c r="D263" t="s">
        <v>1224</v>
      </c>
      <c r="E263">
        <v>136</v>
      </c>
      <c r="F263" t="s">
        <v>5</v>
      </c>
      <c r="G263">
        <v>53</v>
      </c>
      <c r="H263" s="2">
        <f t="shared" si="4"/>
        <v>0.38970588235294118</v>
      </c>
      <c r="I263" t="s">
        <v>6</v>
      </c>
      <c r="J263">
        <v>-11.9504197372659</v>
      </c>
      <c r="K263" t="s">
        <v>7</v>
      </c>
      <c r="L263">
        <v>-8.7870733362249598E-2</v>
      </c>
      <c r="M263" t="s">
        <v>8</v>
      </c>
      <c r="N263">
        <v>1.2701886792452799</v>
      </c>
      <c r="O263" t="s">
        <v>9</v>
      </c>
      <c r="P263">
        <v>-0.95506529803934803</v>
      </c>
      <c r="Q263" t="s">
        <v>10</v>
      </c>
      <c r="R263">
        <v>0.24801684319272299</v>
      </c>
      <c r="S263" t="s">
        <v>11</v>
      </c>
      <c r="T263" t="s">
        <v>1414</v>
      </c>
      <c r="U263" t="s">
        <v>1249</v>
      </c>
      <c r="V263">
        <v>0</v>
      </c>
      <c r="W263" t="s">
        <v>14</v>
      </c>
      <c r="X263" t="s">
        <v>15</v>
      </c>
      <c r="Y263" t="s">
        <v>1414</v>
      </c>
      <c r="Z263" t="s">
        <v>1249</v>
      </c>
      <c r="AA263">
        <v>0</v>
      </c>
      <c r="AB263" t="s">
        <v>18</v>
      </c>
    </row>
    <row r="264" spans="1:28" x14ac:dyDescent="0.3">
      <c r="A264" t="s">
        <v>1220</v>
      </c>
      <c r="B264" t="s">
        <v>1199</v>
      </c>
      <c r="C264" t="s">
        <v>1705</v>
      </c>
      <c r="D264" t="s">
        <v>1224</v>
      </c>
      <c r="E264">
        <v>144</v>
      </c>
      <c r="F264" t="s">
        <v>5</v>
      </c>
      <c r="G264">
        <v>93</v>
      </c>
      <c r="H264" s="2">
        <f t="shared" si="4"/>
        <v>0.64583333333333337</v>
      </c>
      <c r="I264" t="s">
        <v>6</v>
      </c>
      <c r="J264">
        <v>-12.088756432296501</v>
      </c>
      <c r="K264" t="s">
        <v>7</v>
      </c>
      <c r="L264">
        <v>-8.3949697446503699E-2</v>
      </c>
      <c r="M264" t="s">
        <v>8</v>
      </c>
      <c r="N264">
        <v>0.73737254712271405</v>
      </c>
      <c r="O264" t="s">
        <v>9</v>
      </c>
      <c r="P264">
        <v>-1.5816549669550699</v>
      </c>
      <c r="Q264" t="s">
        <v>10</v>
      </c>
      <c r="R264">
        <v>0.20930534949493801</v>
      </c>
      <c r="S264" t="s">
        <v>11</v>
      </c>
      <c r="T264" t="s">
        <v>1407</v>
      </c>
      <c r="U264" t="s">
        <v>632</v>
      </c>
      <c r="V264">
        <v>0</v>
      </c>
      <c r="W264" t="s">
        <v>14</v>
      </c>
      <c r="X264" t="s">
        <v>15</v>
      </c>
      <c r="Y264" t="s">
        <v>1407</v>
      </c>
      <c r="Z264" t="s">
        <v>632</v>
      </c>
      <c r="AA264">
        <v>0</v>
      </c>
      <c r="AB264" t="s">
        <v>18</v>
      </c>
    </row>
    <row r="265" spans="1:28" x14ac:dyDescent="0.3">
      <c r="A265" t="s">
        <v>1223</v>
      </c>
      <c r="B265" t="s">
        <v>1146</v>
      </c>
      <c r="C265" t="s">
        <v>1877</v>
      </c>
      <c r="D265" t="s">
        <v>1224</v>
      </c>
      <c r="E265">
        <v>224</v>
      </c>
      <c r="F265" t="s">
        <v>5</v>
      </c>
      <c r="G265">
        <v>119</v>
      </c>
      <c r="H265" s="2">
        <f t="shared" si="4"/>
        <v>0.53125</v>
      </c>
      <c r="I265" t="s">
        <v>6</v>
      </c>
      <c r="J265">
        <v>-12.2699999999999</v>
      </c>
      <c r="K265" t="s">
        <v>7</v>
      </c>
      <c r="L265">
        <v>-5.4776785714285299E-2</v>
      </c>
      <c r="M265" t="s">
        <v>8</v>
      </c>
      <c r="N265">
        <v>1.47857142857142</v>
      </c>
      <c r="O265" t="s">
        <v>9</v>
      </c>
      <c r="P265">
        <v>-1.79257142857142</v>
      </c>
      <c r="Q265" t="s">
        <v>10</v>
      </c>
      <c r="R265">
        <v>0.53242212193738903</v>
      </c>
      <c r="S265" t="s">
        <v>11</v>
      </c>
      <c r="T265" t="s">
        <v>1229</v>
      </c>
      <c r="U265" t="s">
        <v>1230</v>
      </c>
      <c r="V265">
        <v>0</v>
      </c>
      <c r="W265" t="s">
        <v>14</v>
      </c>
      <c r="X265" t="s">
        <v>15</v>
      </c>
      <c r="Y265" t="s">
        <v>1461</v>
      </c>
      <c r="Z265" t="s">
        <v>1320</v>
      </c>
      <c r="AA265">
        <v>0</v>
      </c>
      <c r="AB265" t="s">
        <v>18</v>
      </c>
    </row>
    <row r="266" spans="1:28" x14ac:dyDescent="0.3">
      <c r="A266" t="s">
        <v>1222</v>
      </c>
      <c r="B266" t="s">
        <v>1199</v>
      </c>
      <c r="C266" t="s">
        <v>1855</v>
      </c>
      <c r="D266" t="s">
        <v>1224</v>
      </c>
      <c r="E266">
        <v>34</v>
      </c>
      <c r="F266" t="s">
        <v>5</v>
      </c>
      <c r="G266">
        <v>17</v>
      </c>
      <c r="H266" s="2">
        <f t="shared" si="4"/>
        <v>0.5</v>
      </c>
      <c r="I266" t="s">
        <v>6</v>
      </c>
      <c r="J266">
        <v>-12.47</v>
      </c>
      <c r="K266" t="s">
        <v>7</v>
      </c>
      <c r="L266">
        <v>-0.36676470588235299</v>
      </c>
      <c r="M266" t="s">
        <v>8</v>
      </c>
      <c r="N266">
        <v>1.0711764705882301</v>
      </c>
      <c r="O266" t="s">
        <v>9</v>
      </c>
      <c r="P266">
        <v>-1.80470588235294</v>
      </c>
      <c r="Q266" t="s">
        <v>10</v>
      </c>
      <c r="R266">
        <v>0.12523711227871201</v>
      </c>
      <c r="S266" t="s">
        <v>11</v>
      </c>
      <c r="T266" t="s">
        <v>1407</v>
      </c>
      <c r="U266" t="s">
        <v>632</v>
      </c>
      <c r="V266">
        <v>0</v>
      </c>
      <c r="W266" t="s">
        <v>14</v>
      </c>
      <c r="X266" t="s">
        <v>15</v>
      </c>
      <c r="Y266" t="s">
        <v>1407</v>
      </c>
      <c r="Z266" t="s">
        <v>632</v>
      </c>
      <c r="AA266">
        <v>0</v>
      </c>
      <c r="AB266" t="s">
        <v>18</v>
      </c>
    </row>
    <row r="267" spans="1:28" x14ac:dyDescent="0.3">
      <c r="A267" t="s">
        <v>1222</v>
      </c>
      <c r="B267" t="s">
        <v>1205</v>
      </c>
      <c r="C267" t="s">
        <v>1861</v>
      </c>
      <c r="D267" t="s">
        <v>1224</v>
      </c>
      <c r="E267">
        <v>35</v>
      </c>
      <c r="F267" t="s">
        <v>5</v>
      </c>
      <c r="G267">
        <v>11</v>
      </c>
      <c r="H267" s="2">
        <f t="shared" si="4"/>
        <v>0.31428571428571428</v>
      </c>
      <c r="I267" t="s">
        <v>6</v>
      </c>
      <c r="J267">
        <v>-13.329999999999901</v>
      </c>
      <c r="K267" t="s">
        <v>7</v>
      </c>
      <c r="L267">
        <v>-0.38085714285714201</v>
      </c>
      <c r="M267" t="s">
        <v>8</v>
      </c>
      <c r="N267">
        <v>0.87636363636363501</v>
      </c>
      <c r="O267" t="s">
        <v>9</v>
      </c>
      <c r="P267">
        <v>-0.95708333333333195</v>
      </c>
      <c r="Q267" t="s">
        <v>10</v>
      </c>
      <c r="R267">
        <v>9.5642412259047002E-2</v>
      </c>
      <c r="S267" t="s">
        <v>11</v>
      </c>
      <c r="T267" t="s">
        <v>1456</v>
      </c>
      <c r="U267" t="s">
        <v>247</v>
      </c>
      <c r="V267">
        <v>0</v>
      </c>
      <c r="W267" t="s">
        <v>14</v>
      </c>
      <c r="X267" t="s">
        <v>15</v>
      </c>
      <c r="Y267" t="s">
        <v>1456</v>
      </c>
      <c r="Z267" t="s">
        <v>247</v>
      </c>
      <c r="AA267">
        <v>0</v>
      </c>
      <c r="AB267" t="s">
        <v>18</v>
      </c>
    </row>
    <row r="268" spans="1:28" x14ac:dyDescent="0.3">
      <c r="A268" t="s">
        <v>1222</v>
      </c>
      <c r="B268" t="s">
        <v>1181</v>
      </c>
      <c r="C268" t="s">
        <v>1837</v>
      </c>
      <c r="D268" t="s">
        <v>1224</v>
      </c>
      <c r="E268">
        <v>33</v>
      </c>
      <c r="F268" t="s">
        <v>5</v>
      </c>
      <c r="G268">
        <v>12</v>
      </c>
      <c r="H268" s="2">
        <f t="shared" si="4"/>
        <v>0.36363636363636365</v>
      </c>
      <c r="I268" t="s">
        <v>6</v>
      </c>
      <c r="J268">
        <v>-13.72</v>
      </c>
      <c r="K268" t="s">
        <v>7</v>
      </c>
      <c r="L268">
        <v>-0.41575757575757599</v>
      </c>
      <c r="M268" t="s">
        <v>8</v>
      </c>
      <c r="N268">
        <v>1.8091666666666599</v>
      </c>
      <c r="O268" t="s">
        <v>9</v>
      </c>
      <c r="P268">
        <v>-1.6871428571428499</v>
      </c>
      <c r="Q268" t="s">
        <v>10</v>
      </c>
      <c r="R268">
        <v>0.133450191100146</v>
      </c>
      <c r="S268" t="s">
        <v>11</v>
      </c>
      <c r="T268" t="s">
        <v>1396</v>
      </c>
      <c r="U268" t="s">
        <v>794</v>
      </c>
      <c r="V268">
        <v>0</v>
      </c>
      <c r="W268" t="s">
        <v>14</v>
      </c>
      <c r="X268" t="s">
        <v>15</v>
      </c>
      <c r="Y268" t="s">
        <v>1396</v>
      </c>
      <c r="Z268" t="s">
        <v>794</v>
      </c>
      <c r="AA268">
        <v>0</v>
      </c>
      <c r="AB268" t="s">
        <v>18</v>
      </c>
    </row>
    <row r="269" spans="1:28" x14ac:dyDescent="0.3">
      <c r="A269" t="s">
        <v>1219</v>
      </c>
      <c r="B269" t="s">
        <v>1207</v>
      </c>
      <c r="C269" t="s">
        <v>1638</v>
      </c>
      <c r="D269" t="s">
        <v>1224</v>
      </c>
      <c r="E269">
        <v>191</v>
      </c>
      <c r="F269" t="s">
        <v>5</v>
      </c>
      <c r="G269">
        <v>46</v>
      </c>
      <c r="H269" s="2">
        <f t="shared" si="4"/>
        <v>0.24083769633507854</v>
      </c>
      <c r="I269" t="s">
        <v>6</v>
      </c>
      <c r="J269">
        <v>-13.829999999999799</v>
      </c>
      <c r="K269" t="s">
        <v>7</v>
      </c>
      <c r="L269">
        <v>-7.2408376963350105E-2</v>
      </c>
      <c r="M269" t="s">
        <v>8</v>
      </c>
      <c r="N269">
        <v>3.09217391304347</v>
      </c>
      <c r="O269" t="s">
        <v>9</v>
      </c>
      <c r="P269">
        <v>-1.0763448275862</v>
      </c>
      <c r="Q269" t="s">
        <v>10</v>
      </c>
      <c r="R269">
        <v>0.53911662816069095</v>
      </c>
      <c r="S269" t="s">
        <v>11</v>
      </c>
      <c r="T269" t="s">
        <v>1360</v>
      </c>
      <c r="U269" t="s">
        <v>25</v>
      </c>
      <c r="V269">
        <v>0</v>
      </c>
      <c r="W269" t="s">
        <v>14</v>
      </c>
      <c r="X269" t="s">
        <v>15</v>
      </c>
      <c r="Y269" t="s">
        <v>1361</v>
      </c>
      <c r="Z269" t="s">
        <v>91</v>
      </c>
      <c r="AA269">
        <v>0</v>
      </c>
      <c r="AB269" t="s">
        <v>18</v>
      </c>
    </row>
    <row r="270" spans="1:28" x14ac:dyDescent="0.3">
      <c r="A270" t="s">
        <v>1219</v>
      </c>
      <c r="B270" t="s">
        <v>1146</v>
      </c>
      <c r="C270" t="s">
        <v>1577</v>
      </c>
      <c r="D270" t="s">
        <v>1224</v>
      </c>
      <c r="E270">
        <v>191</v>
      </c>
      <c r="F270" t="s">
        <v>5</v>
      </c>
      <c r="G270">
        <v>99</v>
      </c>
      <c r="H270" s="2">
        <f t="shared" si="4"/>
        <v>0.51832460732984298</v>
      </c>
      <c r="I270" t="s">
        <v>6</v>
      </c>
      <c r="J270">
        <v>-13.8999999999998</v>
      </c>
      <c r="K270" t="s">
        <v>7</v>
      </c>
      <c r="L270">
        <v>-7.2774869109946794E-2</v>
      </c>
      <c r="M270" t="s">
        <v>8</v>
      </c>
      <c r="N270">
        <v>1.5785858585858501</v>
      </c>
      <c r="O270" t="s">
        <v>9</v>
      </c>
      <c r="P270">
        <v>-1.8497826086956499</v>
      </c>
      <c r="Q270" t="s">
        <v>10</v>
      </c>
      <c r="R270">
        <v>0.53108016139075698</v>
      </c>
      <c r="S270" t="s">
        <v>11</v>
      </c>
      <c r="T270" t="s">
        <v>1315</v>
      </c>
      <c r="U270" t="s">
        <v>763</v>
      </c>
      <c r="V270">
        <v>0</v>
      </c>
      <c r="W270" t="s">
        <v>14</v>
      </c>
      <c r="X270" t="s">
        <v>15</v>
      </c>
      <c r="Y270" t="s">
        <v>1316</v>
      </c>
      <c r="Z270" t="s">
        <v>647</v>
      </c>
      <c r="AA270">
        <v>0</v>
      </c>
      <c r="AB270" t="s">
        <v>18</v>
      </c>
    </row>
    <row r="271" spans="1:28" x14ac:dyDescent="0.3">
      <c r="A271" t="s">
        <v>1222</v>
      </c>
      <c r="B271" t="s">
        <v>1184</v>
      </c>
      <c r="C271" t="s">
        <v>1840</v>
      </c>
      <c r="D271" t="s">
        <v>1224</v>
      </c>
      <c r="E271">
        <v>34</v>
      </c>
      <c r="F271" t="s">
        <v>5</v>
      </c>
      <c r="G271">
        <v>16</v>
      </c>
      <c r="H271" s="2">
        <f t="shared" si="4"/>
        <v>0.47058823529411764</v>
      </c>
      <c r="I271" t="s">
        <v>6</v>
      </c>
      <c r="J271">
        <v>-13.9900043973382</v>
      </c>
      <c r="K271" t="s">
        <v>7</v>
      </c>
      <c r="L271">
        <v>-0.41147071756877202</v>
      </c>
      <c r="M271" t="s">
        <v>8</v>
      </c>
      <c r="N271">
        <v>1.1612497251663501</v>
      </c>
      <c r="O271" t="s">
        <v>9</v>
      </c>
      <c r="P271">
        <v>-1.80944444444444</v>
      </c>
      <c r="Q271" t="s">
        <v>10</v>
      </c>
      <c r="R271">
        <v>0.11796857896749301</v>
      </c>
      <c r="S271" t="s">
        <v>11</v>
      </c>
      <c r="T271" t="s">
        <v>1449</v>
      </c>
      <c r="U271" t="s">
        <v>251</v>
      </c>
      <c r="V271">
        <v>0</v>
      </c>
      <c r="W271" t="s">
        <v>14</v>
      </c>
      <c r="X271" t="s">
        <v>15</v>
      </c>
      <c r="Y271" t="s">
        <v>196</v>
      </c>
      <c r="Z271" t="s">
        <v>251</v>
      </c>
      <c r="AA271">
        <v>0</v>
      </c>
      <c r="AB271" t="s">
        <v>18</v>
      </c>
    </row>
    <row r="272" spans="1:28" x14ac:dyDescent="0.3">
      <c r="A272" t="s">
        <v>1220</v>
      </c>
      <c r="B272" t="s">
        <v>1201</v>
      </c>
      <c r="C272" t="s">
        <v>1707</v>
      </c>
      <c r="D272" t="s">
        <v>1224</v>
      </c>
      <c r="E272">
        <v>144</v>
      </c>
      <c r="F272" t="s">
        <v>5</v>
      </c>
      <c r="G272">
        <v>86</v>
      </c>
      <c r="H272" s="2">
        <f t="shared" si="4"/>
        <v>0.59722222222222221</v>
      </c>
      <c r="I272" t="s">
        <v>6</v>
      </c>
      <c r="J272">
        <v>-14.018756432296501</v>
      </c>
      <c r="K272" t="s">
        <v>7</v>
      </c>
      <c r="L272">
        <v>-9.7352475224281601E-2</v>
      </c>
      <c r="M272" t="s">
        <v>8</v>
      </c>
      <c r="N272">
        <v>0.92948426607456303</v>
      </c>
      <c r="O272" t="s">
        <v>9</v>
      </c>
      <c r="P272">
        <v>-1.61990350542601</v>
      </c>
      <c r="Q272" t="s">
        <v>10</v>
      </c>
      <c r="R272">
        <v>0.25525007496405</v>
      </c>
      <c r="S272" t="s">
        <v>11</v>
      </c>
      <c r="T272" t="s">
        <v>1407</v>
      </c>
      <c r="U272" t="s">
        <v>632</v>
      </c>
      <c r="V272">
        <v>0</v>
      </c>
      <c r="W272" t="s">
        <v>14</v>
      </c>
      <c r="X272" t="s">
        <v>15</v>
      </c>
      <c r="Y272" t="s">
        <v>1408</v>
      </c>
      <c r="Z272" t="s">
        <v>1284</v>
      </c>
      <c r="AA272">
        <v>0</v>
      </c>
      <c r="AB272" t="s">
        <v>18</v>
      </c>
    </row>
    <row r="273" spans="1:28" x14ac:dyDescent="0.3">
      <c r="A273" t="s">
        <v>1222</v>
      </c>
      <c r="B273" t="s">
        <v>1172</v>
      </c>
      <c r="C273" t="s">
        <v>1828</v>
      </c>
      <c r="D273" t="s">
        <v>1224</v>
      </c>
      <c r="E273">
        <v>34</v>
      </c>
      <c r="F273" t="s">
        <v>5</v>
      </c>
      <c r="G273">
        <v>10</v>
      </c>
      <c r="H273" s="2">
        <f t="shared" si="4"/>
        <v>0.29411764705882354</v>
      </c>
      <c r="I273" t="s">
        <v>6</v>
      </c>
      <c r="J273">
        <v>-14.4300043973382</v>
      </c>
      <c r="K273" t="s">
        <v>7</v>
      </c>
      <c r="L273">
        <v>-0.42441189403936003</v>
      </c>
      <c r="M273" t="s">
        <v>8</v>
      </c>
      <c r="N273">
        <v>2.8319999999999901</v>
      </c>
      <c r="O273" t="s">
        <v>9</v>
      </c>
      <c r="P273">
        <v>-1.7812501832224199</v>
      </c>
      <c r="Q273" t="s">
        <v>10</v>
      </c>
      <c r="R273">
        <v>0.16969609190769699</v>
      </c>
      <c r="S273" t="s">
        <v>11</v>
      </c>
      <c r="T273" t="s">
        <v>1391</v>
      </c>
      <c r="U273" t="s">
        <v>230</v>
      </c>
      <c r="V273">
        <v>0</v>
      </c>
      <c r="W273" t="s">
        <v>14</v>
      </c>
      <c r="X273" t="s">
        <v>15</v>
      </c>
      <c r="Y273" t="s">
        <v>1391</v>
      </c>
      <c r="Z273" t="s">
        <v>230</v>
      </c>
      <c r="AA273">
        <v>0</v>
      </c>
      <c r="AB273" t="s">
        <v>18</v>
      </c>
    </row>
    <row r="274" spans="1:28" x14ac:dyDescent="0.3">
      <c r="A274" t="s">
        <v>1219</v>
      </c>
      <c r="B274" t="s">
        <v>1158</v>
      </c>
      <c r="C274" t="s">
        <v>1589</v>
      </c>
      <c r="D274" t="s">
        <v>1224</v>
      </c>
      <c r="E274">
        <v>197</v>
      </c>
      <c r="F274" t="s">
        <v>5</v>
      </c>
      <c r="G274">
        <v>69</v>
      </c>
      <c r="H274" s="2">
        <f t="shared" si="4"/>
        <v>0.35025380710659898</v>
      </c>
      <c r="I274" t="s">
        <v>6</v>
      </c>
      <c r="J274">
        <v>-14.575744015224601</v>
      </c>
      <c r="K274" t="s">
        <v>7</v>
      </c>
      <c r="L274">
        <v>-7.39885483006327E-2</v>
      </c>
      <c r="M274" t="s">
        <v>8</v>
      </c>
      <c r="N274">
        <v>3.3587166963272002</v>
      </c>
      <c r="O274" t="s">
        <v>9</v>
      </c>
      <c r="P274">
        <v>-1.9244312192328199</v>
      </c>
      <c r="Q274" t="s">
        <v>10</v>
      </c>
      <c r="R274">
        <v>0.69615823688655898</v>
      </c>
      <c r="S274" t="s">
        <v>11</v>
      </c>
      <c r="T274" t="s">
        <v>1241</v>
      </c>
      <c r="U274" t="s">
        <v>647</v>
      </c>
      <c r="V274">
        <v>0</v>
      </c>
      <c r="W274" t="s">
        <v>14</v>
      </c>
      <c r="X274" t="s">
        <v>15</v>
      </c>
      <c r="Y274" t="s">
        <v>1328</v>
      </c>
      <c r="Z274" t="s">
        <v>647</v>
      </c>
      <c r="AA274">
        <v>0</v>
      </c>
      <c r="AB274" t="s">
        <v>18</v>
      </c>
    </row>
    <row r="275" spans="1:28" x14ac:dyDescent="0.3">
      <c r="A275" t="s">
        <v>1220</v>
      </c>
      <c r="B275" t="s">
        <v>1156</v>
      </c>
      <c r="C275" t="s">
        <v>1662</v>
      </c>
      <c r="D275" t="s">
        <v>1224</v>
      </c>
      <c r="E275">
        <v>144</v>
      </c>
      <c r="F275" t="s">
        <v>5</v>
      </c>
      <c r="G275">
        <v>65</v>
      </c>
      <c r="H275" s="2">
        <f t="shared" si="4"/>
        <v>0.4513888888888889</v>
      </c>
      <c r="I275" t="s">
        <v>6</v>
      </c>
      <c r="J275">
        <v>-15.130369520543701</v>
      </c>
      <c r="K275" t="s">
        <v>7</v>
      </c>
      <c r="L275">
        <v>-0.10507201055933101</v>
      </c>
      <c r="M275" t="s">
        <v>8</v>
      </c>
      <c r="N275">
        <v>2.0572223702841499</v>
      </c>
      <c r="O275" t="s">
        <v>9</v>
      </c>
      <c r="P275">
        <v>-1.88417498213941</v>
      </c>
      <c r="Q275" t="s">
        <v>10</v>
      </c>
      <c r="R275">
        <v>0.38745182692626801</v>
      </c>
      <c r="S275" t="s">
        <v>11</v>
      </c>
      <c r="T275" t="s">
        <v>1384</v>
      </c>
      <c r="U275" t="s">
        <v>632</v>
      </c>
      <c r="V275">
        <v>0</v>
      </c>
      <c r="W275" t="s">
        <v>14</v>
      </c>
      <c r="X275" t="s">
        <v>15</v>
      </c>
      <c r="Y275" t="s">
        <v>1385</v>
      </c>
      <c r="Z275" t="s">
        <v>1386</v>
      </c>
      <c r="AA275">
        <v>0</v>
      </c>
      <c r="AB275" t="s">
        <v>18</v>
      </c>
    </row>
    <row r="276" spans="1:28" x14ac:dyDescent="0.3">
      <c r="A276" t="s">
        <v>1220</v>
      </c>
      <c r="B276" t="s">
        <v>1150</v>
      </c>
      <c r="C276" t="s">
        <v>1656</v>
      </c>
      <c r="D276" t="s">
        <v>1224</v>
      </c>
      <c r="E276">
        <v>136</v>
      </c>
      <c r="F276" t="s">
        <v>5</v>
      </c>
      <c r="G276">
        <v>68</v>
      </c>
      <c r="H276" s="2">
        <f t="shared" si="4"/>
        <v>0.5</v>
      </c>
      <c r="I276" t="s">
        <v>6</v>
      </c>
      <c r="J276">
        <v>-15.569999999999901</v>
      </c>
      <c r="K276" t="s">
        <v>7</v>
      </c>
      <c r="L276">
        <v>-0.11448529411764601</v>
      </c>
      <c r="M276" t="s">
        <v>8</v>
      </c>
      <c r="N276">
        <v>1.5747058823529401</v>
      </c>
      <c r="O276" t="s">
        <v>9</v>
      </c>
      <c r="P276">
        <v>-1.80367647058823</v>
      </c>
      <c r="Q276" t="s">
        <v>10</v>
      </c>
      <c r="R276">
        <v>0.342427652306035</v>
      </c>
      <c r="S276" t="s">
        <v>11</v>
      </c>
      <c r="T276" t="s">
        <v>1378</v>
      </c>
      <c r="U276" t="s">
        <v>1379</v>
      </c>
      <c r="V276">
        <v>0</v>
      </c>
      <c r="W276" t="s">
        <v>14</v>
      </c>
      <c r="X276" t="s">
        <v>15</v>
      </c>
      <c r="Y276" t="s">
        <v>1377</v>
      </c>
      <c r="Z276" t="s">
        <v>1376</v>
      </c>
      <c r="AA276">
        <v>0</v>
      </c>
      <c r="AB276" t="s">
        <v>18</v>
      </c>
    </row>
    <row r="277" spans="1:28" x14ac:dyDescent="0.3">
      <c r="A277" t="s">
        <v>1219</v>
      </c>
      <c r="B277" t="s">
        <v>1174</v>
      </c>
      <c r="C277" t="s">
        <v>1605</v>
      </c>
      <c r="D277" t="s">
        <v>1224</v>
      </c>
      <c r="E277">
        <v>191</v>
      </c>
      <c r="F277" t="s">
        <v>5</v>
      </c>
      <c r="G277">
        <v>81</v>
      </c>
      <c r="H277" s="2">
        <f t="shared" si="4"/>
        <v>0.42408376963350786</v>
      </c>
      <c r="I277" t="s">
        <v>6</v>
      </c>
      <c r="J277">
        <v>-15.6899999999999</v>
      </c>
      <c r="K277" t="s">
        <v>7</v>
      </c>
      <c r="L277">
        <v>-8.2146596858638302E-2</v>
      </c>
      <c r="M277" t="s">
        <v>8</v>
      </c>
      <c r="N277">
        <v>1.6356790123456699</v>
      </c>
      <c r="O277" t="s">
        <v>9</v>
      </c>
      <c r="P277">
        <v>-1.3470909090909</v>
      </c>
      <c r="Q277" t="s">
        <v>10</v>
      </c>
      <c r="R277">
        <v>0.39259464342633899</v>
      </c>
      <c r="S277" t="s">
        <v>11</v>
      </c>
      <c r="T277" t="s">
        <v>1337</v>
      </c>
      <c r="U277" t="s">
        <v>1232</v>
      </c>
      <c r="V277">
        <v>0</v>
      </c>
      <c r="W277" t="s">
        <v>14</v>
      </c>
      <c r="X277" t="s">
        <v>15</v>
      </c>
      <c r="Y277" t="s">
        <v>1338</v>
      </c>
      <c r="Z277" t="s">
        <v>91</v>
      </c>
      <c r="AA277">
        <v>0</v>
      </c>
      <c r="AB277" t="s">
        <v>18</v>
      </c>
    </row>
    <row r="278" spans="1:28" x14ac:dyDescent="0.3">
      <c r="A278" t="s">
        <v>1222</v>
      </c>
      <c r="B278" t="s">
        <v>1159</v>
      </c>
      <c r="C278" t="s">
        <v>1815</v>
      </c>
      <c r="D278" t="s">
        <v>1224</v>
      </c>
      <c r="E278">
        <v>35</v>
      </c>
      <c r="F278" t="s">
        <v>5</v>
      </c>
      <c r="G278">
        <v>17</v>
      </c>
      <c r="H278" s="2">
        <f t="shared" si="4"/>
        <v>0.48571428571428571</v>
      </c>
      <c r="I278" t="s">
        <v>6</v>
      </c>
      <c r="J278">
        <v>-15.75</v>
      </c>
      <c r="K278" t="s">
        <v>7</v>
      </c>
      <c r="L278">
        <v>-0.45</v>
      </c>
      <c r="M278" t="s">
        <v>8</v>
      </c>
      <c r="N278">
        <v>0.96058823529411697</v>
      </c>
      <c r="O278" t="s">
        <v>9</v>
      </c>
      <c r="P278">
        <v>-1.7822222222222199</v>
      </c>
      <c r="Q278" t="s">
        <v>10</v>
      </c>
      <c r="R278">
        <v>0.105242889313718</v>
      </c>
      <c r="S278" t="s">
        <v>11</v>
      </c>
      <c r="T278" t="s">
        <v>1441</v>
      </c>
      <c r="U278" t="s">
        <v>1228</v>
      </c>
      <c r="V278">
        <v>0</v>
      </c>
      <c r="W278" t="s">
        <v>14</v>
      </c>
      <c r="X278" t="s">
        <v>15</v>
      </c>
      <c r="Y278" t="s">
        <v>1441</v>
      </c>
      <c r="Z278" t="s">
        <v>1228</v>
      </c>
      <c r="AA278">
        <v>0</v>
      </c>
      <c r="AB278" t="s">
        <v>18</v>
      </c>
    </row>
    <row r="279" spans="1:28" x14ac:dyDescent="0.3">
      <c r="A279" t="s">
        <v>1222</v>
      </c>
      <c r="B279" t="s">
        <v>1214</v>
      </c>
      <c r="C279" t="s">
        <v>1870</v>
      </c>
      <c r="D279" t="s">
        <v>1224</v>
      </c>
      <c r="E279">
        <v>34</v>
      </c>
      <c r="F279" t="s">
        <v>5</v>
      </c>
      <c r="G279">
        <v>12</v>
      </c>
      <c r="H279" s="2">
        <f t="shared" si="4"/>
        <v>0.35294117647058826</v>
      </c>
      <c r="I279" t="s">
        <v>6</v>
      </c>
      <c r="J279">
        <v>-15.819999999999901</v>
      </c>
      <c r="K279" t="s">
        <v>7</v>
      </c>
      <c r="L279">
        <v>-0.46529411764705803</v>
      </c>
      <c r="M279" t="s">
        <v>8</v>
      </c>
      <c r="N279">
        <v>1.00166666666666</v>
      </c>
      <c r="O279" t="s">
        <v>9</v>
      </c>
      <c r="P279">
        <v>-1.2654545454545401</v>
      </c>
      <c r="Q279" t="s">
        <v>10</v>
      </c>
      <c r="R279">
        <v>9.6477655601249004E-2</v>
      </c>
      <c r="S279" t="s">
        <v>11</v>
      </c>
      <c r="T279" t="s">
        <v>1444</v>
      </c>
      <c r="U279" t="s">
        <v>632</v>
      </c>
      <c r="V279">
        <v>0</v>
      </c>
      <c r="W279" t="s">
        <v>14</v>
      </c>
      <c r="X279" t="s">
        <v>15</v>
      </c>
      <c r="Y279" t="s">
        <v>1444</v>
      </c>
      <c r="Z279" t="s">
        <v>632</v>
      </c>
      <c r="AA279">
        <v>0</v>
      </c>
      <c r="AB279" t="s">
        <v>18</v>
      </c>
    </row>
    <row r="280" spans="1:28" x14ac:dyDescent="0.3">
      <c r="A280" t="s">
        <v>1143</v>
      </c>
      <c r="B280" t="s">
        <v>1171</v>
      </c>
      <c r="C280" t="s">
        <v>1529</v>
      </c>
      <c r="D280" t="s">
        <v>1224</v>
      </c>
      <c r="E280">
        <v>3062</v>
      </c>
      <c r="F280" t="s">
        <v>5</v>
      </c>
      <c r="G280">
        <v>1587</v>
      </c>
      <c r="H280" s="2">
        <f t="shared" si="4"/>
        <v>0.51828870019595041</v>
      </c>
      <c r="I280" t="s">
        <v>6</v>
      </c>
      <c r="J280">
        <v>-16.121667566888298</v>
      </c>
      <c r="K280" t="s">
        <v>7</v>
      </c>
      <c r="L280">
        <v>-5.2650775855285197E-3</v>
      </c>
      <c r="M280" t="s">
        <v>8</v>
      </c>
      <c r="N280">
        <v>1.6633821196254801</v>
      </c>
      <c r="O280" t="s">
        <v>9</v>
      </c>
      <c r="P280">
        <v>-1.8006163331610401</v>
      </c>
      <c r="Q280" t="s">
        <v>10</v>
      </c>
      <c r="R280">
        <v>3.89067286078004</v>
      </c>
      <c r="S280" t="s">
        <v>11</v>
      </c>
      <c r="T280" t="s">
        <v>1254</v>
      </c>
      <c r="U280" t="s">
        <v>720</v>
      </c>
      <c r="V280">
        <v>0</v>
      </c>
      <c r="W280" t="s">
        <v>14</v>
      </c>
      <c r="X280" t="s">
        <v>15</v>
      </c>
      <c r="Y280" t="s">
        <v>1256</v>
      </c>
      <c r="Z280" t="s">
        <v>1253</v>
      </c>
      <c r="AA280">
        <v>0</v>
      </c>
      <c r="AB280" t="s">
        <v>18</v>
      </c>
    </row>
    <row r="281" spans="1:28" x14ac:dyDescent="0.3">
      <c r="A281" t="s">
        <v>1222</v>
      </c>
      <c r="B281" t="s">
        <v>1215</v>
      </c>
      <c r="C281" t="s">
        <v>1871</v>
      </c>
      <c r="D281" t="s">
        <v>1224</v>
      </c>
      <c r="E281">
        <v>34</v>
      </c>
      <c r="F281" t="s">
        <v>5</v>
      </c>
      <c r="G281">
        <v>9</v>
      </c>
      <c r="H281" s="2">
        <f t="shared" si="4"/>
        <v>0.26470588235294118</v>
      </c>
      <c r="I281" t="s">
        <v>6</v>
      </c>
      <c r="J281">
        <v>-16.350000000000001</v>
      </c>
      <c r="K281" t="s">
        <v>7</v>
      </c>
      <c r="L281">
        <v>-0.48088235294117598</v>
      </c>
      <c r="M281" t="s">
        <v>8</v>
      </c>
      <c r="N281">
        <v>1.7311111111111099</v>
      </c>
      <c r="O281" t="s">
        <v>9</v>
      </c>
      <c r="P281">
        <v>-1.2771999999999999</v>
      </c>
      <c r="Q281" t="s">
        <v>10</v>
      </c>
      <c r="R281">
        <v>0.116484214932345</v>
      </c>
      <c r="S281" t="s">
        <v>11</v>
      </c>
      <c r="T281" t="s">
        <v>1444</v>
      </c>
      <c r="U281" t="s">
        <v>632</v>
      </c>
      <c r="V281">
        <v>0</v>
      </c>
      <c r="W281" t="s">
        <v>14</v>
      </c>
      <c r="X281" t="s">
        <v>15</v>
      </c>
      <c r="Y281" t="s">
        <v>1444</v>
      </c>
      <c r="Z281" t="s">
        <v>632</v>
      </c>
      <c r="AA281">
        <v>0</v>
      </c>
      <c r="AB281" t="s">
        <v>18</v>
      </c>
    </row>
    <row r="282" spans="1:28" x14ac:dyDescent="0.3">
      <c r="A282" t="s">
        <v>1222</v>
      </c>
      <c r="B282" t="s">
        <v>1180</v>
      </c>
      <c r="C282" t="s">
        <v>1836</v>
      </c>
      <c r="D282" t="s">
        <v>1224</v>
      </c>
      <c r="E282">
        <v>33</v>
      </c>
      <c r="F282" t="s">
        <v>5</v>
      </c>
      <c r="G282">
        <v>12</v>
      </c>
      <c r="H282" s="2">
        <f t="shared" si="4"/>
        <v>0.36363636363636365</v>
      </c>
      <c r="I282" t="s">
        <v>6</v>
      </c>
      <c r="J282">
        <v>-16.38</v>
      </c>
      <c r="K282" t="s">
        <v>7</v>
      </c>
      <c r="L282">
        <v>-0.49636363636363601</v>
      </c>
      <c r="M282" t="s">
        <v>8</v>
      </c>
      <c r="N282">
        <v>1.5874999999999899</v>
      </c>
      <c r="O282" t="s">
        <v>9</v>
      </c>
      <c r="P282">
        <v>-1.6871428571428499</v>
      </c>
      <c r="Q282" t="s">
        <v>10</v>
      </c>
      <c r="R282">
        <v>0.12619726843163601</v>
      </c>
      <c r="S282" t="s">
        <v>11</v>
      </c>
      <c r="T282" t="s">
        <v>1396</v>
      </c>
      <c r="U282" t="s">
        <v>794</v>
      </c>
      <c r="V282">
        <v>0</v>
      </c>
      <c r="W282" t="s">
        <v>14</v>
      </c>
      <c r="X282" t="s">
        <v>15</v>
      </c>
      <c r="Y282" t="s">
        <v>1396</v>
      </c>
      <c r="Z282" t="s">
        <v>794</v>
      </c>
      <c r="AA282">
        <v>0</v>
      </c>
      <c r="AB282" t="s">
        <v>18</v>
      </c>
    </row>
    <row r="283" spans="1:28" x14ac:dyDescent="0.3">
      <c r="A283" t="s">
        <v>1222</v>
      </c>
      <c r="B283" t="s">
        <v>1166</v>
      </c>
      <c r="C283" t="s">
        <v>1822</v>
      </c>
      <c r="D283" t="s">
        <v>1224</v>
      </c>
      <c r="E283">
        <v>33</v>
      </c>
      <c r="F283" t="s">
        <v>5</v>
      </c>
      <c r="G283">
        <v>13</v>
      </c>
      <c r="H283" s="2">
        <f t="shared" si="4"/>
        <v>0.39393939393939392</v>
      </c>
      <c r="I283" t="s">
        <v>6</v>
      </c>
      <c r="J283">
        <v>-17.260000000000002</v>
      </c>
      <c r="K283" t="s">
        <v>7</v>
      </c>
      <c r="L283">
        <v>-0.52303030303030296</v>
      </c>
      <c r="M283" t="s">
        <v>8</v>
      </c>
      <c r="N283">
        <v>1.43307692307692</v>
      </c>
      <c r="O283" t="s">
        <v>9</v>
      </c>
      <c r="P283">
        <v>-1.79449999999999</v>
      </c>
      <c r="Q283" t="s">
        <v>10</v>
      </c>
      <c r="R283">
        <v>0.118527495920791</v>
      </c>
      <c r="S283" t="s">
        <v>11</v>
      </c>
      <c r="T283" t="s">
        <v>1441</v>
      </c>
      <c r="U283" t="s">
        <v>1228</v>
      </c>
      <c r="V283">
        <v>0</v>
      </c>
      <c r="W283" t="s">
        <v>14</v>
      </c>
      <c r="X283" t="s">
        <v>15</v>
      </c>
      <c r="Y283" t="s">
        <v>1441</v>
      </c>
      <c r="Z283" t="s">
        <v>1228</v>
      </c>
      <c r="AA283">
        <v>0</v>
      </c>
      <c r="AB283" t="s">
        <v>18</v>
      </c>
    </row>
    <row r="284" spans="1:28" x14ac:dyDescent="0.3">
      <c r="A284" t="s">
        <v>1222</v>
      </c>
      <c r="B284" t="s">
        <v>1167</v>
      </c>
      <c r="C284" t="s">
        <v>1823</v>
      </c>
      <c r="D284" t="s">
        <v>1224</v>
      </c>
      <c r="E284">
        <v>33</v>
      </c>
      <c r="F284" t="s">
        <v>5</v>
      </c>
      <c r="G284">
        <v>13</v>
      </c>
      <c r="H284" s="2">
        <f t="shared" si="4"/>
        <v>0.39393939393939392</v>
      </c>
      <c r="I284" t="s">
        <v>6</v>
      </c>
      <c r="J284">
        <v>-17.260000000000002</v>
      </c>
      <c r="K284" t="s">
        <v>7</v>
      </c>
      <c r="L284">
        <v>-0.52303030303030296</v>
      </c>
      <c r="M284" t="s">
        <v>8</v>
      </c>
      <c r="N284">
        <v>1.43307692307692</v>
      </c>
      <c r="O284" t="s">
        <v>9</v>
      </c>
      <c r="P284">
        <v>-1.79449999999999</v>
      </c>
      <c r="Q284" t="s">
        <v>10</v>
      </c>
      <c r="R284">
        <v>0.118527495920791</v>
      </c>
      <c r="S284" t="s">
        <v>11</v>
      </c>
      <c r="T284" t="s">
        <v>1441</v>
      </c>
      <c r="U284" t="s">
        <v>1228</v>
      </c>
      <c r="V284">
        <v>0</v>
      </c>
      <c r="W284" t="s">
        <v>14</v>
      </c>
      <c r="X284" t="s">
        <v>15</v>
      </c>
      <c r="Y284" t="s">
        <v>1441</v>
      </c>
      <c r="Z284" t="s">
        <v>1228</v>
      </c>
      <c r="AA284">
        <v>0</v>
      </c>
      <c r="AB284" t="s">
        <v>18</v>
      </c>
    </row>
    <row r="285" spans="1:28" x14ac:dyDescent="0.3">
      <c r="A285" t="s">
        <v>1222</v>
      </c>
      <c r="B285" t="s">
        <v>1168</v>
      </c>
      <c r="C285" t="s">
        <v>1824</v>
      </c>
      <c r="D285" t="s">
        <v>1224</v>
      </c>
      <c r="E285">
        <v>33</v>
      </c>
      <c r="F285" t="s">
        <v>5</v>
      </c>
      <c r="G285">
        <v>13</v>
      </c>
      <c r="H285" s="2">
        <f t="shared" si="4"/>
        <v>0.39393939393939392</v>
      </c>
      <c r="I285" t="s">
        <v>6</v>
      </c>
      <c r="J285">
        <v>-17.260000000000002</v>
      </c>
      <c r="K285" t="s">
        <v>7</v>
      </c>
      <c r="L285">
        <v>-0.52303030303030296</v>
      </c>
      <c r="M285" t="s">
        <v>8</v>
      </c>
      <c r="N285">
        <v>1.43307692307692</v>
      </c>
      <c r="O285" t="s">
        <v>9</v>
      </c>
      <c r="P285">
        <v>-1.79449999999999</v>
      </c>
      <c r="Q285" t="s">
        <v>10</v>
      </c>
      <c r="R285">
        <v>0.118527495920791</v>
      </c>
      <c r="S285" t="s">
        <v>11</v>
      </c>
      <c r="T285" t="s">
        <v>1441</v>
      </c>
      <c r="U285" t="s">
        <v>1228</v>
      </c>
      <c r="V285">
        <v>0</v>
      </c>
      <c r="W285" t="s">
        <v>14</v>
      </c>
      <c r="X285" t="s">
        <v>15</v>
      </c>
      <c r="Y285" t="s">
        <v>1441</v>
      </c>
      <c r="Z285" t="s">
        <v>1228</v>
      </c>
      <c r="AA285">
        <v>0</v>
      </c>
      <c r="AB285" t="s">
        <v>18</v>
      </c>
    </row>
    <row r="286" spans="1:28" x14ac:dyDescent="0.3">
      <c r="A286" t="s">
        <v>1219</v>
      </c>
      <c r="B286" t="s">
        <v>1152</v>
      </c>
      <c r="C286" t="s">
        <v>1583</v>
      </c>
      <c r="D286" t="s">
        <v>1224</v>
      </c>
      <c r="E286">
        <v>200</v>
      </c>
      <c r="F286" t="s">
        <v>5</v>
      </c>
      <c r="G286">
        <v>92</v>
      </c>
      <c r="H286" s="2">
        <f t="shared" si="4"/>
        <v>0.46</v>
      </c>
      <c r="I286" t="s">
        <v>6</v>
      </c>
      <c r="J286">
        <v>-17.2899999999999</v>
      </c>
      <c r="K286" t="s">
        <v>7</v>
      </c>
      <c r="L286">
        <v>-8.6449999999999694E-2</v>
      </c>
      <c r="M286" t="s">
        <v>8</v>
      </c>
      <c r="N286">
        <v>2.0004347826086901</v>
      </c>
      <c r="O286" t="s">
        <v>9</v>
      </c>
      <c r="P286">
        <v>-1.8641666666666601</v>
      </c>
      <c r="Q286" t="s">
        <v>10</v>
      </c>
      <c r="R286">
        <v>0.59289967462839099</v>
      </c>
      <c r="S286" t="s">
        <v>11</v>
      </c>
      <c r="T286" t="s">
        <v>1315</v>
      </c>
      <c r="U286" t="s">
        <v>763</v>
      </c>
      <c r="V286">
        <v>0</v>
      </c>
      <c r="W286" t="s">
        <v>14</v>
      </c>
      <c r="X286" t="s">
        <v>15</v>
      </c>
      <c r="Y286" t="s">
        <v>1324</v>
      </c>
      <c r="Z286" t="s">
        <v>647</v>
      </c>
      <c r="AA286">
        <v>0</v>
      </c>
      <c r="AB286" t="s">
        <v>18</v>
      </c>
    </row>
    <row r="287" spans="1:28" x14ac:dyDescent="0.3">
      <c r="A287" t="s">
        <v>1222</v>
      </c>
      <c r="B287" t="s">
        <v>1165</v>
      </c>
      <c r="C287" t="s">
        <v>1821</v>
      </c>
      <c r="D287" t="s">
        <v>1224</v>
      </c>
      <c r="E287">
        <v>33</v>
      </c>
      <c r="F287" t="s">
        <v>5</v>
      </c>
      <c r="G287">
        <v>13</v>
      </c>
      <c r="H287" s="2">
        <f t="shared" si="4"/>
        <v>0.39393939393939392</v>
      </c>
      <c r="I287" t="s">
        <v>6</v>
      </c>
      <c r="J287">
        <v>-17.55</v>
      </c>
      <c r="K287" t="s">
        <v>7</v>
      </c>
      <c r="L287">
        <v>-0.53181818181818197</v>
      </c>
      <c r="M287" t="s">
        <v>8</v>
      </c>
      <c r="N287">
        <v>1.4107692307692199</v>
      </c>
      <c r="O287" t="s">
        <v>9</v>
      </c>
      <c r="P287">
        <v>-1.79449999999999</v>
      </c>
      <c r="Q287" t="s">
        <v>10</v>
      </c>
      <c r="R287">
        <v>0.11862368354998599</v>
      </c>
      <c r="S287" t="s">
        <v>11</v>
      </c>
      <c r="T287" t="s">
        <v>1441</v>
      </c>
      <c r="U287" t="s">
        <v>1228</v>
      </c>
      <c r="V287">
        <v>0</v>
      </c>
      <c r="W287" t="s">
        <v>14</v>
      </c>
      <c r="X287" t="s">
        <v>15</v>
      </c>
      <c r="Y287" t="s">
        <v>1441</v>
      </c>
      <c r="Z287" t="s">
        <v>1228</v>
      </c>
      <c r="AA287">
        <v>0</v>
      </c>
      <c r="AB287" t="s">
        <v>18</v>
      </c>
    </row>
    <row r="288" spans="1:28" x14ac:dyDescent="0.3">
      <c r="A288" t="s">
        <v>1222</v>
      </c>
      <c r="B288" t="s">
        <v>1158</v>
      </c>
      <c r="C288" t="s">
        <v>1814</v>
      </c>
      <c r="D288" t="s">
        <v>1224</v>
      </c>
      <c r="E288">
        <v>34</v>
      </c>
      <c r="F288" t="s">
        <v>5</v>
      </c>
      <c r="G288">
        <v>9</v>
      </c>
      <c r="H288" s="2">
        <f t="shared" si="4"/>
        <v>0.26470588235294118</v>
      </c>
      <c r="I288" t="s">
        <v>6</v>
      </c>
      <c r="J288">
        <v>-17.6229839584405</v>
      </c>
      <c r="K288" t="s">
        <v>7</v>
      </c>
      <c r="L288">
        <v>-0.51832305760119202</v>
      </c>
      <c r="M288" t="s">
        <v>8</v>
      </c>
      <c r="N288">
        <v>3.1611111111110999</v>
      </c>
      <c r="O288" t="s">
        <v>9</v>
      </c>
      <c r="P288">
        <v>-1.84291935833762</v>
      </c>
      <c r="Q288" t="s">
        <v>10</v>
      </c>
      <c r="R288">
        <v>0.185062472468149</v>
      </c>
      <c r="S288" t="s">
        <v>11</v>
      </c>
      <c r="T288" t="s">
        <v>1384</v>
      </c>
      <c r="U288" t="s">
        <v>632</v>
      </c>
      <c r="V288">
        <v>0</v>
      </c>
      <c r="W288" t="s">
        <v>14</v>
      </c>
      <c r="X288" t="s">
        <v>15</v>
      </c>
      <c r="Y288" t="s">
        <v>1384</v>
      </c>
      <c r="Z288" t="s">
        <v>632</v>
      </c>
      <c r="AA288">
        <v>0</v>
      </c>
      <c r="AB288" t="s">
        <v>18</v>
      </c>
    </row>
    <row r="289" spans="1:28" x14ac:dyDescent="0.3">
      <c r="A289" t="s">
        <v>1222</v>
      </c>
      <c r="B289" t="s">
        <v>1171</v>
      </c>
      <c r="C289" t="s">
        <v>1827</v>
      </c>
      <c r="D289" t="s">
        <v>1224</v>
      </c>
      <c r="E289">
        <v>34</v>
      </c>
      <c r="F289" t="s">
        <v>5</v>
      </c>
      <c r="G289">
        <v>10</v>
      </c>
      <c r="H289" s="2">
        <f t="shared" si="4"/>
        <v>0.29411764705882354</v>
      </c>
      <c r="I289" t="s">
        <v>6</v>
      </c>
      <c r="J289">
        <v>-17.630004397338201</v>
      </c>
      <c r="K289" t="s">
        <v>7</v>
      </c>
      <c r="L289">
        <v>-0.51852954109818405</v>
      </c>
      <c r="M289" t="s">
        <v>8</v>
      </c>
      <c r="N289">
        <v>2.5119999999999898</v>
      </c>
      <c r="O289" t="s">
        <v>9</v>
      </c>
      <c r="P289">
        <v>-1.7812501832224199</v>
      </c>
      <c r="Q289" t="s">
        <v>10</v>
      </c>
      <c r="R289">
        <v>0.16257573738082201</v>
      </c>
      <c r="S289" t="s">
        <v>11</v>
      </c>
      <c r="T289" t="s">
        <v>1391</v>
      </c>
      <c r="U289" t="s">
        <v>230</v>
      </c>
      <c r="V289">
        <v>0</v>
      </c>
      <c r="W289" t="s">
        <v>14</v>
      </c>
      <c r="X289" t="s">
        <v>15</v>
      </c>
      <c r="Y289" t="s">
        <v>1391</v>
      </c>
      <c r="Z289" t="s">
        <v>230</v>
      </c>
      <c r="AA289">
        <v>0</v>
      </c>
      <c r="AB289" t="s">
        <v>18</v>
      </c>
    </row>
    <row r="290" spans="1:28" x14ac:dyDescent="0.3">
      <c r="A290" t="s">
        <v>1222</v>
      </c>
      <c r="B290" t="s">
        <v>1157</v>
      </c>
      <c r="C290" t="s">
        <v>1813</v>
      </c>
      <c r="D290" t="s">
        <v>1224</v>
      </c>
      <c r="E290">
        <v>34</v>
      </c>
      <c r="F290" t="s">
        <v>5</v>
      </c>
      <c r="G290">
        <v>9</v>
      </c>
      <c r="H290" s="2">
        <f t="shared" si="4"/>
        <v>0.26470588235294118</v>
      </c>
      <c r="I290" t="s">
        <v>6</v>
      </c>
      <c r="J290">
        <v>-17.682983958440499</v>
      </c>
      <c r="K290" t="s">
        <v>7</v>
      </c>
      <c r="L290">
        <v>-0.52008776348354502</v>
      </c>
      <c r="M290" t="s">
        <v>8</v>
      </c>
      <c r="N290">
        <v>3.1544444444444402</v>
      </c>
      <c r="O290" t="s">
        <v>9</v>
      </c>
      <c r="P290">
        <v>-1.84291935833762</v>
      </c>
      <c r="Q290" t="s">
        <v>10</v>
      </c>
      <c r="R290">
        <v>0.185072846088606</v>
      </c>
      <c r="S290" t="s">
        <v>11</v>
      </c>
      <c r="T290" t="s">
        <v>1384</v>
      </c>
      <c r="U290" t="s">
        <v>632</v>
      </c>
      <c r="V290">
        <v>0</v>
      </c>
      <c r="W290" t="s">
        <v>14</v>
      </c>
      <c r="X290" t="s">
        <v>15</v>
      </c>
      <c r="Y290" t="s">
        <v>1384</v>
      </c>
      <c r="Z290" t="s">
        <v>632</v>
      </c>
      <c r="AA290">
        <v>0</v>
      </c>
      <c r="AB290" t="s">
        <v>18</v>
      </c>
    </row>
    <row r="291" spans="1:28" x14ac:dyDescent="0.3">
      <c r="A291" t="s">
        <v>1222</v>
      </c>
      <c r="B291" t="s">
        <v>1149</v>
      </c>
      <c r="C291" t="s">
        <v>1805</v>
      </c>
      <c r="D291" t="s">
        <v>1224</v>
      </c>
      <c r="E291">
        <v>33</v>
      </c>
      <c r="F291" t="s">
        <v>5</v>
      </c>
      <c r="G291">
        <v>12</v>
      </c>
      <c r="H291" s="2">
        <f t="shared" si="4"/>
        <v>0.36363636363636365</v>
      </c>
      <c r="I291" t="s">
        <v>6</v>
      </c>
      <c r="J291">
        <v>-17.86</v>
      </c>
      <c r="K291" t="s">
        <v>7</v>
      </c>
      <c r="L291">
        <v>-0.54121212121212203</v>
      </c>
      <c r="M291" t="s">
        <v>8</v>
      </c>
      <c r="N291">
        <v>1.5841666666666601</v>
      </c>
      <c r="O291" t="s">
        <v>9</v>
      </c>
      <c r="P291">
        <v>-1.75571428571428</v>
      </c>
      <c r="Q291" t="s">
        <v>10</v>
      </c>
      <c r="R291">
        <v>0.11912707513243601</v>
      </c>
      <c r="S291" t="s">
        <v>11</v>
      </c>
      <c r="T291" t="s">
        <v>1436</v>
      </c>
      <c r="U291" t="s">
        <v>1331</v>
      </c>
      <c r="V291">
        <v>0</v>
      </c>
      <c r="W291" t="s">
        <v>14</v>
      </c>
      <c r="X291" t="s">
        <v>15</v>
      </c>
      <c r="Y291" t="s">
        <v>1437</v>
      </c>
      <c r="Z291" t="s">
        <v>1320</v>
      </c>
      <c r="AA291">
        <v>0</v>
      </c>
      <c r="AB291" t="s">
        <v>18</v>
      </c>
    </row>
    <row r="292" spans="1:28" x14ac:dyDescent="0.3">
      <c r="A292" t="s">
        <v>1220</v>
      </c>
      <c r="B292" t="s">
        <v>1157</v>
      </c>
      <c r="C292" t="s">
        <v>1663</v>
      </c>
      <c r="D292" t="s">
        <v>1224</v>
      </c>
      <c r="E292">
        <v>144</v>
      </c>
      <c r="F292" t="s">
        <v>5</v>
      </c>
      <c r="G292">
        <v>62</v>
      </c>
      <c r="H292" s="2">
        <f t="shared" si="4"/>
        <v>0.43055555555555558</v>
      </c>
      <c r="I292" t="s">
        <v>6</v>
      </c>
      <c r="J292">
        <v>-17.880369520543798</v>
      </c>
      <c r="K292" t="s">
        <v>7</v>
      </c>
      <c r="L292">
        <v>-0.12416923278155401</v>
      </c>
      <c r="M292" t="s">
        <v>8</v>
      </c>
      <c r="N292">
        <v>2.19208796884628</v>
      </c>
      <c r="O292" t="s">
        <v>9</v>
      </c>
      <c r="P292">
        <v>-1.8754856535245501</v>
      </c>
      <c r="Q292" t="s">
        <v>10</v>
      </c>
      <c r="R292">
        <v>0.42074444864652499</v>
      </c>
      <c r="S292" t="s">
        <v>11</v>
      </c>
      <c r="T292" t="s">
        <v>1384</v>
      </c>
      <c r="U292" t="s">
        <v>632</v>
      </c>
      <c r="V292">
        <v>0</v>
      </c>
      <c r="W292" t="s">
        <v>14</v>
      </c>
      <c r="X292" t="s">
        <v>15</v>
      </c>
      <c r="Y292" t="s">
        <v>1385</v>
      </c>
      <c r="Z292" t="s">
        <v>1386</v>
      </c>
      <c r="AA292">
        <v>0</v>
      </c>
      <c r="AB292" t="s">
        <v>18</v>
      </c>
    </row>
    <row r="293" spans="1:28" x14ac:dyDescent="0.3">
      <c r="A293" t="s">
        <v>1222</v>
      </c>
      <c r="B293" t="s">
        <v>1218</v>
      </c>
      <c r="C293" t="s">
        <v>1874</v>
      </c>
      <c r="D293" t="s">
        <v>1224</v>
      </c>
      <c r="E293">
        <v>34</v>
      </c>
      <c r="F293" t="s">
        <v>5</v>
      </c>
      <c r="G293">
        <v>7</v>
      </c>
      <c r="H293" s="2">
        <f t="shared" si="4"/>
        <v>0.20588235294117646</v>
      </c>
      <c r="I293" t="s">
        <v>6</v>
      </c>
      <c r="J293">
        <v>-18.07</v>
      </c>
      <c r="K293" t="s">
        <v>7</v>
      </c>
      <c r="L293">
        <v>-0.53147058823529403</v>
      </c>
      <c r="M293" t="s">
        <v>8</v>
      </c>
      <c r="N293">
        <v>2.5</v>
      </c>
      <c r="O293" t="s">
        <v>9</v>
      </c>
      <c r="P293">
        <v>-1.3174074074074</v>
      </c>
      <c r="Q293" t="s">
        <v>10</v>
      </c>
      <c r="R293">
        <v>0.13749495320420199</v>
      </c>
      <c r="S293" t="s">
        <v>11</v>
      </c>
      <c r="T293" t="s">
        <v>1444</v>
      </c>
      <c r="U293" t="s">
        <v>632</v>
      </c>
      <c r="V293">
        <v>0</v>
      </c>
      <c r="W293" t="s">
        <v>14</v>
      </c>
      <c r="X293" t="s">
        <v>15</v>
      </c>
      <c r="Y293" t="s">
        <v>1444</v>
      </c>
      <c r="Z293" t="s">
        <v>632</v>
      </c>
      <c r="AA293">
        <v>0</v>
      </c>
      <c r="AB293" t="s">
        <v>18</v>
      </c>
    </row>
    <row r="294" spans="1:28" x14ac:dyDescent="0.3">
      <c r="A294" t="s">
        <v>1222</v>
      </c>
      <c r="B294" t="s">
        <v>1164</v>
      </c>
      <c r="C294" t="s">
        <v>1820</v>
      </c>
      <c r="D294" t="s">
        <v>1224</v>
      </c>
      <c r="E294">
        <v>33</v>
      </c>
      <c r="F294" t="s">
        <v>5</v>
      </c>
      <c r="G294">
        <v>15</v>
      </c>
      <c r="H294" s="2">
        <f t="shared" si="4"/>
        <v>0.45454545454545453</v>
      </c>
      <c r="I294" t="s">
        <v>6</v>
      </c>
      <c r="J294">
        <v>-18.079999999999998</v>
      </c>
      <c r="K294" t="s">
        <v>7</v>
      </c>
      <c r="L294">
        <v>-0.54787878787878797</v>
      </c>
      <c r="M294" t="s">
        <v>8</v>
      </c>
      <c r="N294">
        <v>1.012</v>
      </c>
      <c r="O294" t="s">
        <v>9</v>
      </c>
      <c r="P294">
        <v>-1.84777777777777</v>
      </c>
      <c r="Q294" t="s">
        <v>10</v>
      </c>
      <c r="R294">
        <v>0.10737242428305099</v>
      </c>
      <c r="S294" t="s">
        <v>11</v>
      </c>
      <c r="T294" t="s">
        <v>1441</v>
      </c>
      <c r="U294" t="s">
        <v>1228</v>
      </c>
      <c r="V294">
        <v>0</v>
      </c>
      <c r="W294" t="s">
        <v>14</v>
      </c>
      <c r="X294" t="s">
        <v>15</v>
      </c>
      <c r="Y294" t="s">
        <v>1441</v>
      </c>
      <c r="Z294" t="s">
        <v>1228</v>
      </c>
      <c r="AA294">
        <v>0</v>
      </c>
      <c r="AB294" t="s">
        <v>18</v>
      </c>
    </row>
    <row r="295" spans="1:28" x14ac:dyDescent="0.3">
      <c r="A295" t="s">
        <v>1219</v>
      </c>
      <c r="B295" t="s">
        <v>1150</v>
      </c>
      <c r="C295" t="s">
        <v>1581</v>
      </c>
      <c r="D295" t="s">
        <v>1224</v>
      </c>
      <c r="E295">
        <v>200</v>
      </c>
      <c r="F295" t="s">
        <v>5</v>
      </c>
      <c r="G295">
        <v>99</v>
      </c>
      <c r="H295" s="2">
        <f t="shared" si="4"/>
        <v>0.495</v>
      </c>
      <c r="I295" t="s">
        <v>6</v>
      </c>
      <c r="J295">
        <v>-18.349999999999898</v>
      </c>
      <c r="K295" t="s">
        <v>7</v>
      </c>
      <c r="L295">
        <v>-9.1749999999999804E-2</v>
      </c>
      <c r="M295" t="s">
        <v>8</v>
      </c>
      <c r="N295">
        <v>1.6828282828282799</v>
      </c>
      <c r="O295" t="s">
        <v>9</v>
      </c>
      <c r="P295">
        <v>-1.8311881188118799</v>
      </c>
      <c r="Q295" t="s">
        <v>10</v>
      </c>
      <c r="R295">
        <v>0.50993333217874204</v>
      </c>
      <c r="S295" t="s">
        <v>11</v>
      </c>
      <c r="T295" t="s">
        <v>1321</v>
      </c>
      <c r="U295" t="s">
        <v>1322</v>
      </c>
      <c r="V295">
        <v>0</v>
      </c>
      <c r="W295" t="s">
        <v>14</v>
      </c>
      <c r="X295" t="s">
        <v>15</v>
      </c>
      <c r="Y295" t="s">
        <v>1323</v>
      </c>
      <c r="Z295" t="s">
        <v>1318</v>
      </c>
      <c r="AA295">
        <v>0</v>
      </c>
      <c r="AB295" t="s">
        <v>18</v>
      </c>
    </row>
    <row r="296" spans="1:28" x14ac:dyDescent="0.3">
      <c r="A296" t="s">
        <v>1222</v>
      </c>
      <c r="B296" t="s">
        <v>1186</v>
      </c>
      <c r="C296" t="s">
        <v>1842</v>
      </c>
      <c r="D296" t="s">
        <v>1224</v>
      </c>
      <c r="E296">
        <v>34</v>
      </c>
      <c r="F296" t="s">
        <v>5</v>
      </c>
      <c r="G296">
        <v>10</v>
      </c>
      <c r="H296" s="2">
        <f t="shared" si="4"/>
        <v>0.29411764705882354</v>
      </c>
      <c r="I296" t="s">
        <v>6</v>
      </c>
      <c r="J296">
        <v>-18.570004397338199</v>
      </c>
      <c r="K296" t="s">
        <v>7</v>
      </c>
      <c r="L296">
        <v>-0.54617659992171297</v>
      </c>
      <c r="M296" t="s">
        <v>8</v>
      </c>
      <c r="N296">
        <v>2.34</v>
      </c>
      <c r="O296" t="s">
        <v>9</v>
      </c>
      <c r="P296">
        <v>-1.7487501832224199</v>
      </c>
      <c r="Q296" t="s">
        <v>10</v>
      </c>
      <c r="R296">
        <v>0.164154539180668</v>
      </c>
      <c r="S296" t="s">
        <v>11</v>
      </c>
      <c r="T296" t="s">
        <v>1450</v>
      </c>
      <c r="U296" t="s">
        <v>798</v>
      </c>
      <c r="V296">
        <v>0</v>
      </c>
      <c r="W296" t="s">
        <v>14</v>
      </c>
      <c r="X296" t="s">
        <v>15</v>
      </c>
      <c r="Y296" t="s">
        <v>196</v>
      </c>
      <c r="Z296" t="s">
        <v>251</v>
      </c>
      <c r="AA296">
        <v>0</v>
      </c>
      <c r="AB296" t="s">
        <v>18</v>
      </c>
    </row>
    <row r="297" spans="1:28" x14ac:dyDescent="0.3">
      <c r="A297" t="s">
        <v>1222</v>
      </c>
      <c r="B297" t="s">
        <v>1216</v>
      </c>
      <c r="C297" t="s">
        <v>1872</v>
      </c>
      <c r="D297" t="s">
        <v>1224</v>
      </c>
      <c r="E297">
        <v>34</v>
      </c>
      <c r="F297" t="s">
        <v>5</v>
      </c>
      <c r="G297">
        <v>8</v>
      </c>
      <c r="H297" s="2">
        <f t="shared" si="4"/>
        <v>0.23529411764705882</v>
      </c>
      <c r="I297" t="s">
        <v>6</v>
      </c>
      <c r="J297">
        <v>-18.63</v>
      </c>
      <c r="K297" t="s">
        <v>7</v>
      </c>
      <c r="L297">
        <v>-0.54794117647058804</v>
      </c>
      <c r="M297" t="s">
        <v>8</v>
      </c>
      <c r="N297">
        <v>1.9137499999999901</v>
      </c>
      <c r="O297" t="s">
        <v>9</v>
      </c>
      <c r="P297">
        <v>-1.30538461538461</v>
      </c>
      <c r="Q297" t="s">
        <v>10</v>
      </c>
      <c r="R297">
        <v>0.120807912513751</v>
      </c>
      <c r="S297" t="s">
        <v>11</v>
      </c>
      <c r="T297" t="s">
        <v>1444</v>
      </c>
      <c r="U297" t="s">
        <v>632</v>
      </c>
      <c r="V297">
        <v>0</v>
      </c>
      <c r="W297" t="s">
        <v>14</v>
      </c>
      <c r="X297" t="s">
        <v>15</v>
      </c>
      <c r="Y297" t="s">
        <v>1444</v>
      </c>
      <c r="Z297" t="s">
        <v>632</v>
      </c>
      <c r="AA297">
        <v>0</v>
      </c>
      <c r="AB297" t="s">
        <v>18</v>
      </c>
    </row>
    <row r="298" spans="1:28" x14ac:dyDescent="0.3">
      <c r="A298" t="s">
        <v>1220</v>
      </c>
      <c r="B298" t="s">
        <v>1158</v>
      </c>
      <c r="C298" t="s">
        <v>1664</v>
      </c>
      <c r="D298" t="s">
        <v>1224</v>
      </c>
      <c r="E298">
        <v>144</v>
      </c>
      <c r="F298" t="s">
        <v>5</v>
      </c>
      <c r="G298">
        <v>60</v>
      </c>
      <c r="H298" s="2">
        <f t="shared" si="4"/>
        <v>0.41666666666666669</v>
      </c>
      <c r="I298" t="s">
        <v>6</v>
      </c>
      <c r="J298">
        <v>-18.6403695205438</v>
      </c>
      <c r="K298" t="s">
        <v>7</v>
      </c>
      <c r="L298">
        <v>-0.129447010559332</v>
      </c>
      <c r="M298" t="s">
        <v>8</v>
      </c>
      <c r="N298">
        <v>2.3155843485744398</v>
      </c>
      <c r="O298" t="s">
        <v>9</v>
      </c>
      <c r="P298">
        <v>-1.8758979813691701</v>
      </c>
      <c r="Q298" t="s">
        <v>10</v>
      </c>
      <c r="R298">
        <v>0.45603231655540399</v>
      </c>
      <c r="S298" t="s">
        <v>11</v>
      </c>
      <c r="T298" t="s">
        <v>1387</v>
      </c>
      <c r="U298" t="s">
        <v>56</v>
      </c>
      <c r="V298">
        <v>0</v>
      </c>
      <c r="W298" t="s">
        <v>14</v>
      </c>
      <c r="X298" t="s">
        <v>15</v>
      </c>
      <c r="Y298" t="s">
        <v>1387</v>
      </c>
      <c r="Z298" t="s">
        <v>56</v>
      </c>
      <c r="AA298">
        <v>0</v>
      </c>
      <c r="AB298" t="s">
        <v>18</v>
      </c>
    </row>
    <row r="299" spans="1:28" x14ac:dyDescent="0.3">
      <c r="A299" t="s">
        <v>1223</v>
      </c>
      <c r="B299" t="s">
        <v>1152</v>
      </c>
      <c r="C299" t="s">
        <v>1883</v>
      </c>
      <c r="D299" t="s">
        <v>1224</v>
      </c>
      <c r="E299">
        <v>230</v>
      </c>
      <c r="F299" t="s">
        <v>5</v>
      </c>
      <c r="G299">
        <v>113</v>
      </c>
      <c r="H299" s="2">
        <f t="shared" si="4"/>
        <v>0.49130434782608695</v>
      </c>
      <c r="I299" t="s">
        <v>6</v>
      </c>
      <c r="J299">
        <v>-18.760000000000002</v>
      </c>
      <c r="K299" t="s">
        <v>7</v>
      </c>
      <c r="L299">
        <v>-8.1565217391304498E-2</v>
      </c>
      <c r="M299" t="s">
        <v>8</v>
      </c>
      <c r="N299">
        <v>1.78761061946902</v>
      </c>
      <c r="O299" t="s">
        <v>9</v>
      </c>
      <c r="P299">
        <v>-1.8868376068376</v>
      </c>
      <c r="Q299" t="s">
        <v>10</v>
      </c>
      <c r="R299">
        <v>0.62981872494999402</v>
      </c>
      <c r="S299" t="s">
        <v>11</v>
      </c>
      <c r="T299" t="s">
        <v>1229</v>
      </c>
      <c r="U299" t="s">
        <v>1230</v>
      </c>
      <c r="V299">
        <v>0</v>
      </c>
      <c r="W299" t="s">
        <v>14</v>
      </c>
      <c r="X299" t="s">
        <v>15</v>
      </c>
      <c r="Y299" t="s">
        <v>1463</v>
      </c>
      <c r="Z299" t="s">
        <v>632</v>
      </c>
      <c r="AA299">
        <v>0</v>
      </c>
      <c r="AB299" t="s">
        <v>18</v>
      </c>
    </row>
    <row r="300" spans="1:28" x14ac:dyDescent="0.3">
      <c r="A300" t="s">
        <v>1222</v>
      </c>
      <c r="B300" t="s">
        <v>1201</v>
      </c>
      <c r="C300" t="s">
        <v>1857</v>
      </c>
      <c r="D300" t="s">
        <v>1224</v>
      </c>
      <c r="E300">
        <v>34</v>
      </c>
      <c r="F300" t="s">
        <v>5</v>
      </c>
      <c r="G300">
        <v>15</v>
      </c>
      <c r="H300" s="2">
        <f t="shared" si="4"/>
        <v>0.44117647058823528</v>
      </c>
      <c r="I300" t="s">
        <v>6</v>
      </c>
      <c r="J300">
        <v>-19.02</v>
      </c>
      <c r="K300" t="s">
        <v>7</v>
      </c>
      <c r="L300">
        <v>-0.55941176470588205</v>
      </c>
      <c r="M300" t="s">
        <v>8</v>
      </c>
      <c r="N300">
        <v>0.99933333333333296</v>
      </c>
      <c r="O300" t="s">
        <v>9</v>
      </c>
      <c r="P300">
        <v>-1.79</v>
      </c>
      <c r="Q300" t="s">
        <v>10</v>
      </c>
      <c r="R300">
        <v>0.14471616662417899</v>
      </c>
      <c r="S300" t="s">
        <v>11</v>
      </c>
      <c r="T300" t="s">
        <v>1407</v>
      </c>
      <c r="U300" t="s">
        <v>632</v>
      </c>
      <c r="V300">
        <v>0</v>
      </c>
      <c r="W300" t="s">
        <v>14</v>
      </c>
      <c r="X300" t="s">
        <v>15</v>
      </c>
      <c r="Y300" t="s">
        <v>1392</v>
      </c>
      <c r="Z300" t="s">
        <v>1284</v>
      </c>
      <c r="AA300">
        <v>0</v>
      </c>
      <c r="AB300" t="s">
        <v>18</v>
      </c>
    </row>
    <row r="301" spans="1:28" x14ac:dyDescent="0.3">
      <c r="A301" t="s">
        <v>1222</v>
      </c>
      <c r="B301" t="s">
        <v>1202</v>
      </c>
      <c r="C301" t="s">
        <v>1858</v>
      </c>
      <c r="D301" t="s">
        <v>1224</v>
      </c>
      <c r="E301">
        <v>34</v>
      </c>
      <c r="F301" t="s">
        <v>5</v>
      </c>
      <c r="G301">
        <v>15</v>
      </c>
      <c r="H301" s="2">
        <f t="shared" si="4"/>
        <v>0.44117647058823528</v>
      </c>
      <c r="I301" t="s">
        <v>6</v>
      </c>
      <c r="J301">
        <v>-19.02</v>
      </c>
      <c r="K301" t="s">
        <v>7</v>
      </c>
      <c r="L301">
        <v>-0.55941176470588205</v>
      </c>
      <c r="M301" t="s">
        <v>8</v>
      </c>
      <c r="N301">
        <v>0.99933333333333296</v>
      </c>
      <c r="O301" t="s">
        <v>9</v>
      </c>
      <c r="P301">
        <v>-1.79</v>
      </c>
      <c r="Q301" t="s">
        <v>10</v>
      </c>
      <c r="R301">
        <v>0.14471616662417899</v>
      </c>
      <c r="S301" t="s">
        <v>11</v>
      </c>
      <c r="T301" t="s">
        <v>1407</v>
      </c>
      <c r="U301" t="s">
        <v>632</v>
      </c>
      <c r="V301">
        <v>0</v>
      </c>
      <c r="W301" t="s">
        <v>14</v>
      </c>
      <c r="X301" t="s">
        <v>15</v>
      </c>
      <c r="Y301" t="s">
        <v>1392</v>
      </c>
      <c r="Z301" t="s">
        <v>1284</v>
      </c>
      <c r="AA301">
        <v>0</v>
      </c>
      <c r="AB301" t="s">
        <v>18</v>
      </c>
    </row>
    <row r="302" spans="1:28" x14ac:dyDescent="0.3">
      <c r="A302" t="s">
        <v>1222</v>
      </c>
      <c r="B302" t="s">
        <v>1217</v>
      </c>
      <c r="C302" t="s">
        <v>1873</v>
      </c>
      <c r="D302" t="s">
        <v>1224</v>
      </c>
      <c r="E302">
        <v>34</v>
      </c>
      <c r="F302" t="s">
        <v>5</v>
      </c>
      <c r="G302">
        <v>7</v>
      </c>
      <c r="H302" s="2">
        <f t="shared" si="4"/>
        <v>0.20588235294117646</v>
      </c>
      <c r="I302" t="s">
        <v>6</v>
      </c>
      <c r="J302">
        <v>-19.29</v>
      </c>
      <c r="K302" t="s">
        <v>7</v>
      </c>
      <c r="L302">
        <v>-0.56735294117646995</v>
      </c>
      <c r="M302" t="s">
        <v>8</v>
      </c>
      <c r="N302">
        <v>2.3257142857142798</v>
      </c>
      <c r="O302" t="s">
        <v>9</v>
      </c>
      <c r="P302">
        <v>-1.3174074074074</v>
      </c>
      <c r="Q302" t="s">
        <v>10</v>
      </c>
      <c r="R302">
        <v>0.13318877025346501</v>
      </c>
      <c r="S302" t="s">
        <v>11</v>
      </c>
      <c r="T302" t="s">
        <v>1444</v>
      </c>
      <c r="U302" t="s">
        <v>632</v>
      </c>
      <c r="V302">
        <v>0</v>
      </c>
      <c r="W302" t="s">
        <v>14</v>
      </c>
      <c r="X302" t="s">
        <v>15</v>
      </c>
      <c r="Y302" t="s">
        <v>1444</v>
      </c>
      <c r="Z302" t="s">
        <v>632</v>
      </c>
      <c r="AA302">
        <v>0</v>
      </c>
      <c r="AB302" t="s">
        <v>18</v>
      </c>
    </row>
    <row r="303" spans="1:28" x14ac:dyDescent="0.3">
      <c r="A303" t="s">
        <v>1222</v>
      </c>
      <c r="B303" t="s">
        <v>1185</v>
      </c>
      <c r="C303" t="s">
        <v>1841</v>
      </c>
      <c r="D303" t="s">
        <v>1224</v>
      </c>
      <c r="E303">
        <v>34</v>
      </c>
      <c r="F303" t="s">
        <v>5</v>
      </c>
      <c r="G303">
        <v>11</v>
      </c>
      <c r="H303" s="2">
        <f t="shared" si="4"/>
        <v>0.3235294117647059</v>
      </c>
      <c r="I303" t="s">
        <v>6</v>
      </c>
      <c r="J303">
        <v>-19.470004397338201</v>
      </c>
      <c r="K303" t="s">
        <v>7</v>
      </c>
      <c r="L303">
        <v>-0.57264718815700699</v>
      </c>
      <c r="M303" t="s">
        <v>8</v>
      </c>
      <c r="N303">
        <v>1.89636363636363</v>
      </c>
      <c r="O303" t="s">
        <v>9</v>
      </c>
      <c r="P303">
        <v>-1.7534784520581801</v>
      </c>
      <c r="Q303" t="s">
        <v>10</v>
      </c>
      <c r="R303">
        <v>0.158206898313174</v>
      </c>
      <c r="S303" t="s">
        <v>11</v>
      </c>
      <c r="T303" t="s">
        <v>1449</v>
      </c>
      <c r="U303" t="s">
        <v>251</v>
      </c>
      <c r="V303">
        <v>0</v>
      </c>
      <c r="W303" t="s">
        <v>14</v>
      </c>
      <c r="X303" t="s">
        <v>15</v>
      </c>
      <c r="Y303" t="s">
        <v>196</v>
      </c>
      <c r="Z303" t="s">
        <v>251</v>
      </c>
      <c r="AA303">
        <v>0</v>
      </c>
      <c r="AB303" t="s">
        <v>18</v>
      </c>
    </row>
    <row r="304" spans="1:28" x14ac:dyDescent="0.3">
      <c r="A304" t="s">
        <v>1219</v>
      </c>
      <c r="B304" t="s">
        <v>1212</v>
      </c>
      <c r="C304" t="s">
        <v>1643</v>
      </c>
      <c r="D304" t="s">
        <v>1224</v>
      </c>
      <c r="E304">
        <v>200</v>
      </c>
      <c r="F304" t="s">
        <v>5</v>
      </c>
      <c r="G304">
        <v>44</v>
      </c>
      <c r="H304" s="2">
        <f t="shared" si="4"/>
        <v>0.22</v>
      </c>
      <c r="I304" t="s">
        <v>6</v>
      </c>
      <c r="J304">
        <v>-20.1099999999999</v>
      </c>
      <c r="K304" t="s">
        <v>7</v>
      </c>
      <c r="L304">
        <v>-0.100549999999999</v>
      </c>
      <c r="M304" t="s">
        <v>8</v>
      </c>
      <c r="N304">
        <v>3.7665909090909002</v>
      </c>
      <c r="O304" t="s">
        <v>9</v>
      </c>
      <c r="P304">
        <v>-1.1912820512820499</v>
      </c>
      <c r="Q304" t="s">
        <v>10</v>
      </c>
      <c r="R304">
        <v>0.58324175317069205</v>
      </c>
      <c r="S304" t="s">
        <v>11</v>
      </c>
      <c r="T304" t="s">
        <v>1362</v>
      </c>
      <c r="U304" t="s">
        <v>1230</v>
      </c>
      <c r="V304">
        <v>0</v>
      </c>
      <c r="W304" t="s">
        <v>14</v>
      </c>
      <c r="X304" t="s">
        <v>15</v>
      </c>
      <c r="Y304" t="s">
        <v>1365</v>
      </c>
      <c r="Z304" t="s">
        <v>284</v>
      </c>
      <c r="AA304">
        <v>0</v>
      </c>
      <c r="AB304" t="s">
        <v>18</v>
      </c>
    </row>
    <row r="305" spans="1:28" x14ac:dyDescent="0.3">
      <c r="A305" t="s">
        <v>1222</v>
      </c>
      <c r="B305" t="s">
        <v>1182</v>
      </c>
      <c r="C305" t="s">
        <v>1838</v>
      </c>
      <c r="D305" t="s">
        <v>1224</v>
      </c>
      <c r="E305">
        <v>33</v>
      </c>
      <c r="F305" t="s">
        <v>5</v>
      </c>
      <c r="G305">
        <v>11</v>
      </c>
      <c r="H305" s="2">
        <f t="shared" si="4"/>
        <v>0.33333333333333331</v>
      </c>
      <c r="I305" t="s">
        <v>6</v>
      </c>
      <c r="J305">
        <v>-20.149999999999999</v>
      </c>
      <c r="K305" t="s">
        <v>7</v>
      </c>
      <c r="L305">
        <v>-0.61060606060606104</v>
      </c>
      <c r="M305" t="s">
        <v>8</v>
      </c>
      <c r="N305">
        <v>1.6799999999999899</v>
      </c>
      <c r="O305" t="s">
        <v>9</v>
      </c>
      <c r="P305">
        <v>-1.75590909090908</v>
      </c>
      <c r="Q305" t="s">
        <v>10</v>
      </c>
      <c r="R305">
        <v>0.139374639975019</v>
      </c>
      <c r="S305" t="s">
        <v>11</v>
      </c>
      <c r="T305" t="s">
        <v>1396</v>
      </c>
      <c r="U305" t="s">
        <v>794</v>
      </c>
      <c r="V305">
        <v>0</v>
      </c>
      <c r="W305" t="s">
        <v>14</v>
      </c>
      <c r="X305" t="s">
        <v>15</v>
      </c>
      <c r="Y305" t="s">
        <v>1396</v>
      </c>
      <c r="Z305" t="s">
        <v>794</v>
      </c>
      <c r="AA305">
        <v>0</v>
      </c>
      <c r="AB305" t="s">
        <v>18</v>
      </c>
    </row>
    <row r="306" spans="1:28" x14ac:dyDescent="0.3">
      <c r="A306" t="s">
        <v>1222</v>
      </c>
      <c r="B306" t="s">
        <v>1183</v>
      </c>
      <c r="C306" t="s">
        <v>1839</v>
      </c>
      <c r="D306" t="s">
        <v>1224</v>
      </c>
      <c r="E306">
        <v>33</v>
      </c>
      <c r="F306" t="s">
        <v>5</v>
      </c>
      <c r="G306">
        <v>11</v>
      </c>
      <c r="H306" s="2">
        <f t="shared" si="4"/>
        <v>0.33333333333333331</v>
      </c>
      <c r="I306" t="s">
        <v>6</v>
      </c>
      <c r="J306">
        <v>-20.149999999999999</v>
      </c>
      <c r="K306" t="s">
        <v>7</v>
      </c>
      <c r="L306">
        <v>-0.61060606060606104</v>
      </c>
      <c r="M306" t="s">
        <v>8</v>
      </c>
      <c r="N306">
        <v>1.6799999999999899</v>
      </c>
      <c r="O306" t="s">
        <v>9</v>
      </c>
      <c r="P306">
        <v>-1.75590909090908</v>
      </c>
      <c r="Q306" t="s">
        <v>10</v>
      </c>
      <c r="R306">
        <v>0.139374639975019</v>
      </c>
      <c r="S306" t="s">
        <v>11</v>
      </c>
      <c r="T306" t="s">
        <v>1396</v>
      </c>
      <c r="U306" t="s">
        <v>794</v>
      </c>
      <c r="V306">
        <v>0</v>
      </c>
      <c r="W306" t="s">
        <v>14</v>
      </c>
      <c r="X306" t="s">
        <v>15</v>
      </c>
      <c r="Y306" t="s">
        <v>1396</v>
      </c>
      <c r="Z306" t="s">
        <v>794</v>
      </c>
      <c r="AA306">
        <v>0</v>
      </c>
      <c r="AB306" t="s">
        <v>18</v>
      </c>
    </row>
    <row r="307" spans="1:28" x14ac:dyDescent="0.3">
      <c r="A307" t="s">
        <v>1219</v>
      </c>
      <c r="B307" t="s">
        <v>1175</v>
      </c>
      <c r="C307" t="s">
        <v>1606</v>
      </c>
      <c r="D307" t="s">
        <v>1224</v>
      </c>
      <c r="E307">
        <v>191</v>
      </c>
      <c r="F307" t="s">
        <v>5</v>
      </c>
      <c r="G307">
        <v>66</v>
      </c>
      <c r="H307" s="2">
        <f t="shared" si="4"/>
        <v>0.34554973821989526</v>
      </c>
      <c r="I307" t="s">
        <v>6</v>
      </c>
      <c r="J307">
        <v>-20.1999999999999</v>
      </c>
      <c r="K307" t="s">
        <v>7</v>
      </c>
      <c r="L307">
        <v>-0.105759162303664</v>
      </c>
      <c r="M307" t="s">
        <v>8</v>
      </c>
      <c r="N307">
        <v>2.4230303030303002</v>
      </c>
      <c r="O307" t="s">
        <v>9</v>
      </c>
      <c r="P307">
        <v>-1.44095999999999</v>
      </c>
      <c r="Q307" t="s">
        <v>10</v>
      </c>
      <c r="R307">
        <v>0.48357178226141501</v>
      </c>
      <c r="S307" t="s">
        <v>11</v>
      </c>
      <c r="T307" t="s">
        <v>1339</v>
      </c>
      <c r="U307" t="s">
        <v>1340</v>
      </c>
      <c r="V307">
        <v>0</v>
      </c>
      <c r="W307" t="s">
        <v>14</v>
      </c>
      <c r="X307" t="s">
        <v>15</v>
      </c>
      <c r="Y307" t="s">
        <v>1341</v>
      </c>
      <c r="Z307" t="s">
        <v>91</v>
      </c>
      <c r="AA307">
        <v>0</v>
      </c>
      <c r="AB307" t="s">
        <v>18</v>
      </c>
    </row>
    <row r="308" spans="1:28" x14ac:dyDescent="0.3">
      <c r="A308" t="s">
        <v>1222</v>
      </c>
      <c r="B308" t="s">
        <v>1152</v>
      </c>
      <c r="C308" t="s">
        <v>1808</v>
      </c>
      <c r="D308" t="s">
        <v>1224</v>
      </c>
      <c r="E308">
        <v>33</v>
      </c>
      <c r="F308" t="s">
        <v>5</v>
      </c>
      <c r="G308">
        <v>10</v>
      </c>
      <c r="H308" s="2">
        <f t="shared" si="4"/>
        <v>0.30303030303030304</v>
      </c>
      <c r="I308" t="s">
        <v>6</v>
      </c>
      <c r="J308">
        <v>-20.39</v>
      </c>
      <c r="K308" t="s">
        <v>7</v>
      </c>
      <c r="L308">
        <v>-0.61787878787878903</v>
      </c>
      <c r="M308" t="s">
        <v>8</v>
      </c>
      <c r="N308">
        <v>2.13499999999999</v>
      </c>
      <c r="O308" t="s">
        <v>9</v>
      </c>
      <c r="P308">
        <v>-1.81478260869565</v>
      </c>
      <c r="Q308" t="s">
        <v>10</v>
      </c>
      <c r="R308">
        <v>0.144604929992802</v>
      </c>
      <c r="S308" t="s">
        <v>11</v>
      </c>
      <c r="T308" t="s">
        <v>1438</v>
      </c>
      <c r="U308" t="s">
        <v>1439</v>
      </c>
      <c r="V308">
        <v>0</v>
      </c>
      <c r="W308" t="s">
        <v>14</v>
      </c>
      <c r="X308" t="s">
        <v>15</v>
      </c>
      <c r="Y308" t="s">
        <v>1440</v>
      </c>
      <c r="Z308" t="s">
        <v>1331</v>
      </c>
      <c r="AA308">
        <v>0</v>
      </c>
      <c r="AB308" t="s">
        <v>18</v>
      </c>
    </row>
    <row r="309" spans="1:28" x14ac:dyDescent="0.3">
      <c r="A309" t="s">
        <v>1222</v>
      </c>
      <c r="B309" t="s">
        <v>1153</v>
      </c>
      <c r="C309" t="s">
        <v>1809</v>
      </c>
      <c r="D309" t="s">
        <v>1224</v>
      </c>
      <c r="E309">
        <v>33</v>
      </c>
      <c r="F309" t="s">
        <v>5</v>
      </c>
      <c r="G309">
        <v>10</v>
      </c>
      <c r="H309" s="2">
        <f t="shared" si="4"/>
        <v>0.30303030303030304</v>
      </c>
      <c r="I309" t="s">
        <v>6</v>
      </c>
      <c r="J309">
        <v>-20.39</v>
      </c>
      <c r="K309" t="s">
        <v>7</v>
      </c>
      <c r="L309">
        <v>-0.61787878787878903</v>
      </c>
      <c r="M309" t="s">
        <v>8</v>
      </c>
      <c r="N309">
        <v>2.13499999999999</v>
      </c>
      <c r="O309" t="s">
        <v>9</v>
      </c>
      <c r="P309">
        <v>-1.81478260869565</v>
      </c>
      <c r="Q309" t="s">
        <v>10</v>
      </c>
      <c r="R309">
        <v>0.144604929992802</v>
      </c>
      <c r="S309" t="s">
        <v>11</v>
      </c>
      <c r="T309" t="s">
        <v>1438</v>
      </c>
      <c r="U309" t="s">
        <v>1439</v>
      </c>
      <c r="V309">
        <v>0</v>
      </c>
      <c r="W309" t="s">
        <v>14</v>
      </c>
      <c r="X309" t="s">
        <v>15</v>
      </c>
      <c r="Y309" t="s">
        <v>1440</v>
      </c>
      <c r="Z309" t="s">
        <v>1331</v>
      </c>
      <c r="AA309">
        <v>0</v>
      </c>
      <c r="AB309" t="s">
        <v>18</v>
      </c>
    </row>
    <row r="310" spans="1:28" x14ac:dyDescent="0.3">
      <c r="A310" t="s">
        <v>1223</v>
      </c>
      <c r="B310" t="s">
        <v>1175</v>
      </c>
      <c r="C310" t="s">
        <v>1906</v>
      </c>
      <c r="D310" t="s">
        <v>1224</v>
      </c>
      <c r="E310">
        <v>224</v>
      </c>
      <c r="F310" t="s">
        <v>5</v>
      </c>
      <c r="G310">
        <v>82</v>
      </c>
      <c r="H310" s="2">
        <f t="shared" si="4"/>
        <v>0.36607142857142855</v>
      </c>
      <c r="I310" t="s">
        <v>6</v>
      </c>
      <c r="J310">
        <v>-20.549999999999901</v>
      </c>
      <c r="K310" t="s">
        <v>7</v>
      </c>
      <c r="L310">
        <v>-9.1741071428571297E-2</v>
      </c>
      <c r="M310" t="s">
        <v>8</v>
      </c>
      <c r="N310">
        <v>1.8486585365853601</v>
      </c>
      <c r="O310" t="s">
        <v>9</v>
      </c>
      <c r="P310">
        <v>-1.21225352112676</v>
      </c>
      <c r="Q310" t="s">
        <v>10</v>
      </c>
      <c r="R310">
        <v>0.48026417599464899</v>
      </c>
      <c r="S310" t="s">
        <v>11</v>
      </c>
      <c r="T310" t="s">
        <v>1481</v>
      </c>
      <c r="U310" t="s">
        <v>1482</v>
      </c>
      <c r="V310">
        <v>0</v>
      </c>
      <c r="W310" t="s">
        <v>14</v>
      </c>
      <c r="X310" t="s">
        <v>15</v>
      </c>
      <c r="Y310" t="s">
        <v>1483</v>
      </c>
      <c r="Z310" t="s">
        <v>1482</v>
      </c>
      <c r="AA310">
        <v>0</v>
      </c>
      <c r="AB310" t="s">
        <v>18</v>
      </c>
    </row>
    <row r="311" spans="1:28" x14ac:dyDescent="0.3">
      <c r="A311" t="s">
        <v>1223</v>
      </c>
      <c r="B311" t="s">
        <v>1168</v>
      </c>
      <c r="C311" t="s">
        <v>1899</v>
      </c>
      <c r="D311" t="s">
        <v>1224</v>
      </c>
      <c r="E311">
        <v>230</v>
      </c>
      <c r="F311" t="s">
        <v>5</v>
      </c>
      <c r="G311">
        <v>123</v>
      </c>
      <c r="H311" s="2">
        <f t="shared" si="4"/>
        <v>0.5347826086956522</v>
      </c>
      <c r="I311" t="s">
        <v>6</v>
      </c>
      <c r="J311">
        <v>-20.889999999999901</v>
      </c>
      <c r="K311" t="s">
        <v>7</v>
      </c>
      <c r="L311">
        <v>-9.0826086956521501E-2</v>
      </c>
      <c r="M311" t="s">
        <v>8</v>
      </c>
      <c r="N311">
        <v>1.3545528455284499</v>
      </c>
      <c r="O311" t="s">
        <v>9</v>
      </c>
      <c r="P311">
        <v>-1.7523364485981301</v>
      </c>
      <c r="Q311" t="s">
        <v>10</v>
      </c>
      <c r="R311">
        <v>0.53096360113270302</v>
      </c>
      <c r="S311" t="s">
        <v>11</v>
      </c>
      <c r="T311" t="s">
        <v>133</v>
      </c>
      <c r="U311" t="s">
        <v>1230</v>
      </c>
      <c r="V311">
        <v>0</v>
      </c>
      <c r="W311" t="s">
        <v>14</v>
      </c>
      <c r="X311" t="s">
        <v>15</v>
      </c>
      <c r="Y311" t="s">
        <v>1474</v>
      </c>
      <c r="Z311" t="s">
        <v>632</v>
      </c>
      <c r="AA311">
        <v>0</v>
      </c>
      <c r="AB311" t="s">
        <v>18</v>
      </c>
    </row>
    <row r="312" spans="1:28" x14ac:dyDescent="0.3">
      <c r="A312" t="s">
        <v>1223</v>
      </c>
      <c r="B312" t="s">
        <v>1181</v>
      </c>
      <c r="C312" t="s">
        <v>1912</v>
      </c>
      <c r="D312" t="s">
        <v>1224</v>
      </c>
      <c r="E312">
        <v>230</v>
      </c>
      <c r="F312" t="s">
        <v>5</v>
      </c>
      <c r="G312">
        <v>77</v>
      </c>
      <c r="H312" s="2">
        <f t="shared" si="4"/>
        <v>0.33478260869565218</v>
      </c>
      <c r="I312" t="s">
        <v>6</v>
      </c>
      <c r="J312">
        <v>-20.889999999999901</v>
      </c>
      <c r="K312" t="s">
        <v>7</v>
      </c>
      <c r="L312">
        <v>-9.0826086956521307E-2</v>
      </c>
      <c r="M312" t="s">
        <v>8</v>
      </c>
      <c r="N312">
        <v>2.3870129870129801</v>
      </c>
      <c r="O312" t="s">
        <v>9</v>
      </c>
      <c r="P312">
        <v>-1.3378431372549</v>
      </c>
      <c r="Q312" t="s">
        <v>10</v>
      </c>
      <c r="R312">
        <v>0.60075733319676505</v>
      </c>
      <c r="S312" t="s">
        <v>11</v>
      </c>
      <c r="T312" t="s">
        <v>1362</v>
      </c>
      <c r="U312" t="s">
        <v>1230</v>
      </c>
      <c r="V312">
        <v>0</v>
      </c>
      <c r="W312" t="s">
        <v>14</v>
      </c>
      <c r="X312" t="s">
        <v>15</v>
      </c>
      <c r="Y312" t="s">
        <v>1484</v>
      </c>
      <c r="Z312" t="s">
        <v>284</v>
      </c>
      <c r="AA312">
        <v>0</v>
      </c>
      <c r="AB312" t="s">
        <v>18</v>
      </c>
    </row>
    <row r="313" spans="1:28" x14ac:dyDescent="0.3">
      <c r="A313" t="s">
        <v>1222</v>
      </c>
      <c r="B313" t="s">
        <v>1151</v>
      </c>
      <c r="C313" t="s">
        <v>1807</v>
      </c>
      <c r="D313" t="s">
        <v>1224</v>
      </c>
      <c r="E313">
        <v>33</v>
      </c>
      <c r="F313" t="s">
        <v>5</v>
      </c>
      <c r="G313">
        <v>10</v>
      </c>
      <c r="H313" s="2">
        <f t="shared" si="4"/>
        <v>0.30303030303030304</v>
      </c>
      <c r="I313" t="s">
        <v>6</v>
      </c>
      <c r="J313">
        <v>-20.95</v>
      </c>
      <c r="K313" t="s">
        <v>7</v>
      </c>
      <c r="L313">
        <v>-0.63484848484848599</v>
      </c>
      <c r="M313" t="s">
        <v>8</v>
      </c>
      <c r="N313">
        <v>2.07899999999999</v>
      </c>
      <c r="O313" t="s">
        <v>9</v>
      </c>
      <c r="P313">
        <v>-1.81478260869565</v>
      </c>
      <c r="Q313" t="s">
        <v>10</v>
      </c>
      <c r="R313">
        <v>0.14181555346547101</v>
      </c>
      <c r="S313" t="s">
        <v>11</v>
      </c>
      <c r="T313" t="s">
        <v>1438</v>
      </c>
      <c r="U313" t="s">
        <v>1439</v>
      </c>
      <c r="V313">
        <v>0</v>
      </c>
      <c r="W313" t="s">
        <v>14</v>
      </c>
      <c r="X313" t="s">
        <v>15</v>
      </c>
      <c r="Y313" t="s">
        <v>1440</v>
      </c>
      <c r="Z313" t="s">
        <v>1331</v>
      </c>
      <c r="AA313">
        <v>0</v>
      </c>
      <c r="AB313" t="s">
        <v>18</v>
      </c>
    </row>
    <row r="314" spans="1:28" x14ac:dyDescent="0.3">
      <c r="A314" t="s">
        <v>1223</v>
      </c>
      <c r="B314" t="s">
        <v>1176</v>
      </c>
      <c r="C314" t="s">
        <v>1907</v>
      </c>
      <c r="D314" t="s">
        <v>1224</v>
      </c>
      <c r="E314">
        <v>224</v>
      </c>
      <c r="F314" t="s">
        <v>5</v>
      </c>
      <c r="G314">
        <v>74</v>
      </c>
      <c r="H314" s="2">
        <f t="shared" si="4"/>
        <v>0.33035714285714285</v>
      </c>
      <c r="I314" t="s">
        <v>6</v>
      </c>
      <c r="J314">
        <v>-21.249999999999901</v>
      </c>
      <c r="K314" t="s">
        <v>7</v>
      </c>
      <c r="L314">
        <v>-9.4866071428571105E-2</v>
      </c>
      <c r="M314" t="s">
        <v>8</v>
      </c>
      <c r="N314">
        <v>2.2085135135135099</v>
      </c>
      <c r="O314" t="s">
        <v>9</v>
      </c>
      <c r="P314">
        <v>-1.2311999999999901</v>
      </c>
      <c r="Q314" t="s">
        <v>10</v>
      </c>
      <c r="R314">
        <v>0.56932933629085303</v>
      </c>
      <c r="S314" t="s">
        <v>11</v>
      </c>
      <c r="T314" t="s">
        <v>1481</v>
      </c>
      <c r="U314" t="s">
        <v>1482</v>
      </c>
      <c r="V314">
        <v>0</v>
      </c>
      <c r="W314" t="s">
        <v>14</v>
      </c>
      <c r="X314" t="s">
        <v>15</v>
      </c>
      <c r="Y314" t="s">
        <v>1484</v>
      </c>
      <c r="Z314" t="s">
        <v>284</v>
      </c>
      <c r="AA314">
        <v>0</v>
      </c>
      <c r="AB314" t="s">
        <v>18</v>
      </c>
    </row>
    <row r="315" spans="1:28" x14ac:dyDescent="0.3">
      <c r="A315" t="s">
        <v>1220</v>
      </c>
      <c r="B315" t="s">
        <v>1181</v>
      </c>
      <c r="C315" t="s">
        <v>1687</v>
      </c>
      <c r="D315" t="s">
        <v>1224</v>
      </c>
      <c r="E315">
        <v>136</v>
      </c>
      <c r="F315" t="s">
        <v>5</v>
      </c>
      <c r="G315">
        <v>42</v>
      </c>
      <c r="H315" s="2">
        <f t="shared" si="4"/>
        <v>0.30882352941176472</v>
      </c>
      <c r="I315" t="s">
        <v>6</v>
      </c>
      <c r="J315">
        <v>-21.375710095135201</v>
      </c>
      <c r="K315" t="s">
        <v>7</v>
      </c>
      <c r="L315">
        <v>-0.157174338934817</v>
      </c>
      <c r="M315" t="s">
        <v>8</v>
      </c>
      <c r="N315">
        <v>2.70047619047619</v>
      </c>
      <c r="O315" t="s">
        <v>9</v>
      </c>
      <c r="P315">
        <v>-1.43399691590569</v>
      </c>
      <c r="Q315" t="s">
        <v>10</v>
      </c>
      <c r="R315">
        <v>0.41213926354004998</v>
      </c>
      <c r="S315" t="s">
        <v>11</v>
      </c>
      <c r="T315" t="s">
        <v>1296</v>
      </c>
      <c r="U315" t="s">
        <v>1249</v>
      </c>
      <c r="V315">
        <v>0</v>
      </c>
      <c r="W315" t="s">
        <v>14</v>
      </c>
      <c r="X315" t="s">
        <v>15</v>
      </c>
      <c r="Y315" t="s">
        <v>1296</v>
      </c>
      <c r="Z315" t="s">
        <v>1249</v>
      </c>
      <c r="AA315">
        <v>0</v>
      </c>
      <c r="AB315" t="s">
        <v>18</v>
      </c>
    </row>
    <row r="316" spans="1:28" x14ac:dyDescent="0.3">
      <c r="A316" t="s">
        <v>1222</v>
      </c>
      <c r="B316" t="s">
        <v>1179</v>
      </c>
      <c r="C316" t="s">
        <v>1835</v>
      </c>
      <c r="D316" t="s">
        <v>1224</v>
      </c>
      <c r="E316">
        <v>33</v>
      </c>
      <c r="F316" t="s">
        <v>5</v>
      </c>
      <c r="G316">
        <v>13</v>
      </c>
      <c r="H316" s="2">
        <f t="shared" si="4"/>
        <v>0.39393939393939392</v>
      </c>
      <c r="I316" t="s">
        <v>6</v>
      </c>
      <c r="J316">
        <v>-21.529999999999902</v>
      </c>
      <c r="K316" t="s">
        <v>7</v>
      </c>
      <c r="L316">
        <v>-0.65242424242424202</v>
      </c>
      <c r="M316" t="s">
        <v>8</v>
      </c>
      <c r="N316">
        <v>0.81769230769230805</v>
      </c>
      <c r="O316" t="s">
        <v>9</v>
      </c>
      <c r="P316">
        <v>-1.6079999999999901</v>
      </c>
      <c r="Q316" t="s">
        <v>10</v>
      </c>
      <c r="R316">
        <v>9.4723844760947501E-2</v>
      </c>
      <c r="S316" t="s">
        <v>11</v>
      </c>
      <c r="T316" t="s">
        <v>734</v>
      </c>
      <c r="U316" t="s">
        <v>245</v>
      </c>
      <c r="V316">
        <v>0</v>
      </c>
      <c r="W316" t="s">
        <v>14</v>
      </c>
      <c r="X316" t="s">
        <v>15</v>
      </c>
      <c r="Y316" t="s">
        <v>734</v>
      </c>
      <c r="Z316" t="s">
        <v>245</v>
      </c>
      <c r="AA316">
        <v>0</v>
      </c>
      <c r="AB316" t="s">
        <v>18</v>
      </c>
    </row>
    <row r="317" spans="1:28" x14ac:dyDescent="0.3">
      <c r="A317" t="s">
        <v>1222</v>
      </c>
      <c r="B317" t="s">
        <v>1155</v>
      </c>
      <c r="C317" t="s">
        <v>1811</v>
      </c>
      <c r="D317" t="s">
        <v>1224</v>
      </c>
      <c r="E317">
        <v>34</v>
      </c>
      <c r="F317" t="s">
        <v>5</v>
      </c>
      <c r="G317">
        <v>10</v>
      </c>
      <c r="H317" s="2">
        <f t="shared" si="4"/>
        <v>0.29411764705882354</v>
      </c>
      <c r="I317" t="s">
        <v>6</v>
      </c>
      <c r="J317">
        <v>-21.652983958440501</v>
      </c>
      <c r="K317" t="s">
        <v>7</v>
      </c>
      <c r="L317">
        <v>-0.63685246936589701</v>
      </c>
      <c r="M317" t="s">
        <v>8</v>
      </c>
      <c r="N317">
        <v>2.2320801003390902</v>
      </c>
      <c r="O317" t="s">
        <v>9</v>
      </c>
      <c r="P317">
        <v>-1.8322410400763101</v>
      </c>
      <c r="Q317" t="s">
        <v>10</v>
      </c>
      <c r="R317">
        <v>0.14314955641296201</v>
      </c>
      <c r="S317" t="s">
        <v>11</v>
      </c>
      <c r="T317" t="s">
        <v>1384</v>
      </c>
      <c r="U317" t="s">
        <v>632</v>
      </c>
      <c r="V317">
        <v>0</v>
      </c>
      <c r="W317" t="s">
        <v>14</v>
      </c>
      <c r="X317" t="s">
        <v>15</v>
      </c>
      <c r="Y317" t="s">
        <v>1384</v>
      </c>
      <c r="Z317" t="s">
        <v>632</v>
      </c>
      <c r="AA317">
        <v>0</v>
      </c>
      <c r="AB317" t="s">
        <v>18</v>
      </c>
    </row>
    <row r="318" spans="1:28" x14ac:dyDescent="0.3">
      <c r="A318" t="s">
        <v>1223</v>
      </c>
      <c r="B318" t="s">
        <v>1211</v>
      </c>
      <c r="C318" t="s">
        <v>1942</v>
      </c>
      <c r="D318" t="s">
        <v>1224</v>
      </c>
      <c r="E318">
        <v>230</v>
      </c>
      <c r="F318" t="s">
        <v>5</v>
      </c>
      <c r="G318">
        <v>63</v>
      </c>
      <c r="H318" s="2">
        <f t="shared" si="4"/>
        <v>0.27391304347826084</v>
      </c>
      <c r="I318" t="s">
        <v>6</v>
      </c>
      <c r="J318">
        <v>-21.659999999999901</v>
      </c>
      <c r="K318" t="s">
        <v>7</v>
      </c>
      <c r="L318">
        <v>-9.4173913043478094E-2</v>
      </c>
      <c r="M318" t="s">
        <v>8</v>
      </c>
      <c r="N318">
        <v>2.3863492063492</v>
      </c>
      <c r="O318" t="s">
        <v>9</v>
      </c>
      <c r="P318">
        <v>-1.0361445783132499</v>
      </c>
      <c r="Q318" t="s">
        <v>10</v>
      </c>
      <c r="R318">
        <v>0.53467459216287905</v>
      </c>
      <c r="S318" t="s">
        <v>11</v>
      </c>
      <c r="T318" t="s">
        <v>1360</v>
      </c>
      <c r="U318" t="s">
        <v>25</v>
      </c>
      <c r="V318">
        <v>0</v>
      </c>
      <c r="W318" t="s">
        <v>14</v>
      </c>
      <c r="X318" t="s">
        <v>15</v>
      </c>
      <c r="Y318" t="s">
        <v>1496</v>
      </c>
      <c r="Z318" t="s">
        <v>284</v>
      </c>
      <c r="AA318">
        <v>0</v>
      </c>
      <c r="AB318" t="s">
        <v>18</v>
      </c>
    </row>
    <row r="319" spans="1:28" x14ac:dyDescent="0.3">
      <c r="A319" t="s">
        <v>1222</v>
      </c>
      <c r="B319" t="s">
        <v>1150</v>
      </c>
      <c r="C319" t="s">
        <v>1806</v>
      </c>
      <c r="D319" t="s">
        <v>1224</v>
      </c>
      <c r="E319">
        <v>33</v>
      </c>
      <c r="F319" t="s">
        <v>5</v>
      </c>
      <c r="G319">
        <v>10</v>
      </c>
      <c r="H319" s="2">
        <f t="shared" si="4"/>
        <v>0.30303030303030304</v>
      </c>
      <c r="I319" t="s">
        <v>6</v>
      </c>
      <c r="J319">
        <v>-21.66</v>
      </c>
      <c r="K319" t="s">
        <v>7</v>
      </c>
      <c r="L319">
        <v>-0.65636363636363704</v>
      </c>
      <c r="M319" t="s">
        <v>8</v>
      </c>
      <c r="N319">
        <v>2.0079999999999898</v>
      </c>
      <c r="O319" t="s">
        <v>9</v>
      </c>
      <c r="P319">
        <v>-1.81478260869565</v>
      </c>
      <c r="Q319" t="s">
        <v>10</v>
      </c>
      <c r="R319">
        <v>0.141870485170254</v>
      </c>
      <c r="S319" t="s">
        <v>11</v>
      </c>
      <c r="T319" t="s">
        <v>1438</v>
      </c>
      <c r="U319" t="s">
        <v>1439</v>
      </c>
      <c r="V319">
        <v>0</v>
      </c>
      <c r="W319" t="s">
        <v>14</v>
      </c>
      <c r="X319" t="s">
        <v>15</v>
      </c>
      <c r="Y319" t="s">
        <v>1440</v>
      </c>
      <c r="Z319" t="s">
        <v>1331</v>
      </c>
      <c r="AA319">
        <v>0</v>
      </c>
      <c r="AB319" t="s">
        <v>18</v>
      </c>
    </row>
    <row r="320" spans="1:28" x14ac:dyDescent="0.3">
      <c r="A320" t="s">
        <v>1143</v>
      </c>
      <c r="B320" t="s">
        <v>1200</v>
      </c>
      <c r="C320" t="s">
        <v>1557</v>
      </c>
      <c r="D320" t="s">
        <v>1224</v>
      </c>
      <c r="E320">
        <v>3062</v>
      </c>
      <c r="F320" t="s">
        <v>5</v>
      </c>
      <c r="G320">
        <v>1892</v>
      </c>
      <c r="H320" s="2">
        <f t="shared" si="4"/>
        <v>0.61789679947746567</v>
      </c>
      <c r="I320" t="s">
        <v>6</v>
      </c>
      <c r="J320">
        <v>-21.7072256133861</v>
      </c>
      <c r="K320" t="s">
        <v>7</v>
      </c>
      <c r="L320">
        <v>-7.0892310951620402E-3</v>
      </c>
      <c r="M320" t="s">
        <v>8</v>
      </c>
      <c r="N320">
        <v>0.985564039453239</v>
      </c>
      <c r="O320" t="s">
        <v>9</v>
      </c>
      <c r="P320">
        <v>-1.6136821114276301</v>
      </c>
      <c r="Q320" t="s">
        <v>10</v>
      </c>
      <c r="R320">
        <v>2.9360428920607098</v>
      </c>
      <c r="S320" t="s">
        <v>11</v>
      </c>
      <c r="T320" t="s">
        <v>1281</v>
      </c>
      <c r="U320" t="s">
        <v>595</v>
      </c>
      <c r="V320">
        <v>0</v>
      </c>
      <c r="W320" t="s">
        <v>14</v>
      </c>
      <c r="X320" t="s">
        <v>15</v>
      </c>
      <c r="Y320" t="s">
        <v>1282</v>
      </c>
      <c r="Z320" t="s">
        <v>1237</v>
      </c>
      <c r="AA320">
        <v>0</v>
      </c>
      <c r="AB320" t="s">
        <v>18</v>
      </c>
    </row>
    <row r="321" spans="1:28" x14ac:dyDescent="0.3">
      <c r="A321" t="s">
        <v>1219</v>
      </c>
      <c r="B321" t="s">
        <v>1165</v>
      </c>
      <c r="C321" t="s">
        <v>1596</v>
      </c>
      <c r="D321" t="s">
        <v>1224</v>
      </c>
      <c r="E321">
        <v>200</v>
      </c>
      <c r="F321" t="s">
        <v>5</v>
      </c>
      <c r="G321">
        <v>110</v>
      </c>
      <c r="H321" s="2">
        <f t="shared" si="4"/>
        <v>0.55000000000000004</v>
      </c>
      <c r="I321" t="s">
        <v>6</v>
      </c>
      <c r="J321">
        <v>-21.759999999999799</v>
      </c>
      <c r="K321" t="s">
        <v>7</v>
      </c>
      <c r="L321">
        <v>-0.10879999999999899</v>
      </c>
      <c r="M321" t="s">
        <v>8</v>
      </c>
      <c r="N321">
        <v>1.25054545454545</v>
      </c>
      <c r="O321" t="s">
        <v>9</v>
      </c>
      <c r="P321">
        <v>-1.7702222222222199</v>
      </c>
      <c r="Q321" t="s">
        <v>10</v>
      </c>
      <c r="R321">
        <v>0.426087354068377</v>
      </c>
      <c r="S321" t="s">
        <v>11</v>
      </c>
      <c r="T321" t="s">
        <v>1229</v>
      </c>
      <c r="U321" t="s">
        <v>1230</v>
      </c>
      <c r="V321">
        <v>0</v>
      </c>
      <c r="W321" t="s">
        <v>14</v>
      </c>
      <c r="X321" t="s">
        <v>15</v>
      </c>
      <c r="Y321" t="s">
        <v>1229</v>
      </c>
      <c r="Z321" t="s">
        <v>1230</v>
      </c>
      <c r="AA321">
        <v>0</v>
      </c>
      <c r="AB321" t="s">
        <v>18</v>
      </c>
    </row>
    <row r="322" spans="1:28" x14ac:dyDescent="0.3">
      <c r="A322" t="s">
        <v>1219</v>
      </c>
      <c r="B322" t="s">
        <v>1167</v>
      </c>
      <c r="C322" t="s">
        <v>1598</v>
      </c>
      <c r="D322" t="s">
        <v>1224</v>
      </c>
      <c r="E322">
        <v>200</v>
      </c>
      <c r="F322" t="s">
        <v>5</v>
      </c>
      <c r="G322">
        <v>103</v>
      </c>
      <c r="H322" s="2">
        <f t="shared" si="4"/>
        <v>0.51500000000000001</v>
      </c>
      <c r="I322" t="s">
        <v>6</v>
      </c>
      <c r="J322">
        <v>-21.7899999999998</v>
      </c>
      <c r="K322" t="s">
        <v>7</v>
      </c>
      <c r="L322">
        <v>-0.10894999999999901</v>
      </c>
      <c r="M322" t="s">
        <v>8</v>
      </c>
      <c r="N322">
        <v>1.4672815533980501</v>
      </c>
      <c r="O322" t="s">
        <v>9</v>
      </c>
      <c r="P322">
        <v>-1.78268041237113</v>
      </c>
      <c r="Q322" t="s">
        <v>10</v>
      </c>
      <c r="R322">
        <v>0.49999446039797402</v>
      </c>
      <c r="S322" t="s">
        <v>11</v>
      </c>
      <c r="T322" t="s">
        <v>1229</v>
      </c>
      <c r="U322" t="s">
        <v>1230</v>
      </c>
      <c r="V322">
        <v>0</v>
      </c>
      <c r="W322" t="s">
        <v>14</v>
      </c>
      <c r="X322" t="s">
        <v>15</v>
      </c>
      <c r="Y322" t="s">
        <v>1229</v>
      </c>
      <c r="Z322" t="s">
        <v>1230</v>
      </c>
      <c r="AA322">
        <v>0</v>
      </c>
      <c r="AB322" t="s">
        <v>18</v>
      </c>
    </row>
    <row r="323" spans="1:28" x14ac:dyDescent="0.3">
      <c r="A323" t="s">
        <v>1222</v>
      </c>
      <c r="B323" t="s">
        <v>1156</v>
      </c>
      <c r="C323" t="s">
        <v>1812</v>
      </c>
      <c r="D323" t="s">
        <v>1224</v>
      </c>
      <c r="E323">
        <v>34</v>
      </c>
      <c r="F323" t="s">
        <v>5</v>
      </c>
      <c r="G323">
        <v>9</v>
      </c>
      <c r="H323" s="2">
        <f t="shared" ref="H323:H386" si="5">G323/E323</f>
        <v>0.26470588235294118</v>
      </c>
      <c r="I323" t="s">
        <v>6</v>
      </c>
      <c r="J323">
        <v>-21.952983958440502</v>
      </c>
      <c r="K323" t="s">
        <v>7</v>
      </c>
      <c r="L323">
        <v>-0.64567599877766202</v>
      </c>
      <c r="M323" t="s">
        <v>8</v>
      </c>
      <c r="N323">
        <v>2.6799999999999899</v>
      </c>
      <c r="O323" t="s">
        <v>9</v>
      </c>
      <c r="P323">
        <v>-1.84291935833762</v>
      </c>
      <c r="Q323" t="s">
        <v>10</v>
      </c>
      <c r="R323">
        <v>0.18125263533412</v>
      </c>
      <c r="S323" t="s">
        <v>11</v>
      </c>
      <c r="T323" t="s">
        <v>1384</v>
      </c>
      <c r="U323" t="s">
        <v>632</v>
      </c>
      <c r="V323">
        <v>0</v>
      </c>
      <c r="W323" t="s">
        <v>14</v>
      </c>
      <c r="X323" t="s">
        <v>15</v>
      </c>
      <c r="Y323" t="s">
        <v>1384</v>
      </c>
      <c r="Z323" t="s">
        <v>632</v>
      </c>
      <c r="AA323">
        <v>0</v>
      </c>
      <c r="AB323" t="s">
        <v>18</v>
      </c>
    </row>
    <row r="324" spans="1:28" x14ac:dyDescent="0.3">
      <c r="A324" t="s">
        <v>1222</v>
      </c>
      <c r="B324" t="s">
        <v>1144</v>
      </c>
      <c r="C324" t="s">
        <v>1800</v>
      </c>
      <c r="D324" t="s">
        <v>1224</v>
      </c>
      <c r="E324">
        <v>35</v>
      </c>
      <c r="F324" t="s">
        <v>5</v>
      </c>
      <c r="G324">
        <v>14</v>
      </c>
      <c r="H324" s="2">
        <f t="shared" si="5"/>
        <v>0.4</v>
      </c>
      <c r="I324" t="s">
        <v>6</v>
      </c>
      <c r="J324">
        <v>-22.06</v>
      </c>
      <c r="K324" t="s">
        <v>7</v>
      </c>
      <c r="L324">
        <v>-0.630285714285716</v>
      </c>
      <c r="M324" t="s">
        <v>8</v>
      </c>
      <c r="N324">
        <v>1.4835714285714201</v>
      </c>
      <c r="O324" t="s">
        <v>9</v>
      </c>
      <c r="P324">
        <v>-2.0395238095238102</v>
      </c>
      <c r="Q324" t="s">
        <v>10</v>
      </c>
      <c r="R324">
        <v>0.137824553166808</v>
      </c>
      <c r="S324" t="s">
        <v>11</v>
      </c>
      <c r="T324" t="s">
        <v>1435</v>
      </c>
      <c r="U324" t="s">
        <v>1350</v>
      </c>
      <c r="V324">
        <v>0</v>
      </c>
      <c r="W324" t="s">
        <v>14</v>
      </c>
      <c r="X324" t="s">
        <v>15</v>
      </c>
      <c r="Y324" t="s">
        <v>1435</v>
      </c>
      <c r="Z324" t="s">
        <v>1350</v>
      </c>
      <c r="AA324">
        <v>0</v>
      </c>
      <c r="AB324" t="s">
        <v>18</v>
      </c>
    </row>
    <row r="325" spans="1:28" x14ac:dyDescent="0.3">
      <c r="A325" t="s">
        <v>1222</v>
      </c>
      <c r="B325" t="s">
        <v>1160</v>
      </c>
      <c r="C325" t="s">
        <v>1816</v>
      </c>
      <c r="D325" t="s">
        <v>1224</v>
      </c>
      <c r="E325">
        <v>35</v>
      </c>
      <c r="F325" t="s">
        <v>5</v>
      </c>
      <c r="G325">
        <v>13</v>
      </c>
      <c r="H325" s="2">
        <f t="shared" si="5"/>
        <v>0.37142857142857144</v>
      </c>
      <c r="I325" t="s">
        <v>6</v>
      </c>
      <c r="J325">
        <v>-22.29</v>
      </c>
      <c r="K325" t="s">
        <v>7</v>
      </c>
      <c r="L325">
        <v>-0.63685714285714301</v>
      </c>
      <c r="M325" t="s">
        <v>8</v>
      </c>
      <c r="N325">
        <v>1.3076923076922999</v>
      </c>
      <c r="O325" t="s">
        <v>9</v>
      </c>
      <c r="P325">
        <v>-1.78590909090909</v>
      </c>
      <c r="Q325" t="s">
        <v>10</v>
      </c>
      <c r="R325">
        <v>0.12195211773340101</v>
      </c>
      <c r="S325" t="s">
        <v>11</v>
      </c>
      <c r="T325" t="s">
        <v>1442</v>
      </c>
      <c r="U325" t="s">
        <v>1350</v>
      </c>
      <c r="V325">
        <v>0</v>
      </c>
      <c r="W325" t="s">
        <v>14</v>
      </c>
      <c r="X325" t="s">
        <v>15</v>
      </c>
      <c r="Y325" t="s">
        <v>1442</v>
      </c>
      <c r="Z325" t="s">
        <v>1350</v>
      </c>
      <c r="AA325">
        <v>0</v>
      </c>
      <c r="AB325" t="s">
        <v>18</v>
      </c>
    </row>
    <row r="326" spans="1:28" x14ac:dyDescent="0.3">
      <c r="A326" t="s">
        <v>1222</v>
      </c>
      <c r="B326" t="s">
        <v>1161</v>
      </c>
      <c r="C326" t="s">
        <v>1817</v>
      </c>
      <c r="D326" t="s">
        <v>1224</v>
      </c>
      <c r="E326">
        <v>35</v>
      </c>
      <c r="F326" t="s">
        <v>5</v>
      </c>
      <c r="G326">
        <v>13</v>
      </c>
      <c r="H326" s="2">
        <f t="shared" si="5"/>
        <v>0.37142857142857144</v>
      </c>
      <c r="I326" t="s">
        <v>6</v>
      </c>
      <c r="J326">
        <v>-22.29</v>
      </c>
      <c r="K326" t="s">
        <v>7</v>
      </c>
      <c r="L326">
        <v>-0.63685714285714301</v>
      </c>
      <c r="M326" t="s">
        <v>8</v>
      </c>
      <c r="N326">
        <v>1.3076923076922999</v>
      </c>
      <c r="O326" t="s">
        <v>9</v>
      </c>
      <c r="P326">
        <v>-1.78590909090909</v>
      </c>
      <c r="Q326" t="s">
        <v>10</v>
      </c>
      <c r="R326">
        <v>0.12195211773340101</v>
      </c>
      <c r="S326" t="s">
        <v>11</v>
      </c>
      <c r="T326" t="s">
        <v>1442</v>
      </c>
      <c r="U326" t="s">
        <v>1350</v>
      </c>
      <c r="V326">
        <v>0</v>
      </c>
      <c r="W326" t="s">
        <v>14</v>
      </c>
      <c r="X326" t="s">
        <v>15</v>
      </c>
      <c r="Y326" t="s">
        <v>1442</v>
      </c>
      <c r="Z326" t="s">
        <v>1350</v>
      </c>
      <c r="AA326">
        <v>0</v>
      </c>
      <c r="AB326" t="s">
        <v>18</v>
      </c>
    </row>
    <row r="327" spans="1:28" x14ac:dyDescent="0.3">
      <c r="A327" t="s">
        <v>1222</v>
      </c>
      <c r="B327" t="s">
        <v>1162</v>
      </c>
      <c r="C327" t="s">
        <v>1818</v>
      </c>
      <c r="D327" t="s">
        <v>1224</v>
      </c>
      <c r="E327">
        <v>35</v>
      </c>
      <c r="F327" t="s">
        <v>5</v>
      </c>
      <c r="G327">
        <v>13</v>
      </c>
      <c r="H327" s="2">
        <f t="shared" si="5"/>
        <v>0.37142857142857144</v>
      </c>
      <c r="I327" t="s">
        <v>6</v>
      </c>
      <c r="J327">
        <v>-22.29</v>
      </c>
      <c r="K327" t="s">
        <v>7</v>
      </c>
      <c r="L327">
        <v>-0.63685714285714301</v>
      </c>
      <c r="M327" t="s">
        <v>8</v>
      </c>
      <c r="N327">
        <v>1.3076923076922999</v>
      </c>
      <c r="O327" t="s">
        <v>9</v>
      </c>
      <c r="P327">
        <v>-1.78590909090909</v>
      </c>
      <c r="Q327" t="s">
        <v>10</v>
      </c>
      <c r="R327">
        <v>0.12195211773340101</v>
      </c>
      <c r="S327" t="s">
        <v>11</v>
      </c>
      <c r="T327" t="s">
        <v>1442</v>
      </c>
      <c r="U327" t="s">
        <v>1350</v>
      </c>
      <c r="V327">
        <v>0</v>
      </c>
      <c r="W327" t="s">
        <v>14</v>
      </c>
      <c r="X327" t="s">
        <v>15</v>
      </c>
      <c r="Y327" t="s">
        <v>1442</v>
      </c>
      <c r="Z327" t="s">
        <v>1350</v>
      </c>
      <c r="AA327">
        <v>0</v>
      </c>
      <c r="AB327" t="s">
        <v>18</v>
      </c>
    </row>
    <row r="328" spans="1:28" x14ac:dyDescent="0.3">
      <c r="A328" t="s">
        <v>1222</v>
      </c>
      <c r="B328" t="s">
        <v>1163</v>
      </c>
      <c r="C328" t="s">
        <v>1819</v>
      </c>
      <c r="D328" t="s">
        <v>1224</v>
      </c>
      <c r="E328">
        <v>35</v>
      </c>
      <c r="F328" t="s">
        <v>5</v>
      </c>
      <c r="G328">
        <v>13</v>
      </c>
      <c r="H328" s="2">
        <f t="shared" si="5"/>
        <v>0.37142857142857144</v>
      </c>
      <c r="I328" t="s">
        <v>6</v>
      </c>
      <c r="J328">
        <v>-22.29</v>
      </c>
      <c r="K328" t="s">
        <v>7</v>
      </c>
      <c r="L328">
        <v>-0.63685714285714301</v>
      </c>
      <c r="M328" t="s">
        <v>8</v>
      </c>
      <c r="N328">
        <v>1.3076923076922999</v>
      </c>
      <c r="O328" t="s">
        <v>9</v>
      </c>
      <c r="P328">
        <v>-1.78590909090909</v>
      </c>
      <c r="Q328" t="s">
        <v>10</v>
      </c>
      <c r="R328">
        <v>0.12195211773340101</v>
      </c>
      <c r="S328" t="s">
        <v>11</v>
      </c>
      <c r="T328" t="s">
        <v>1442</v>
      </c>
      <c r="U328" t="s">
        <v>1350</v>
      </c>
      <c r="V328">
        <v>0</v>
      </c>
      <c r="W328" t="s">
        <v>14</v>
      </c>
      <c r="X328" t="s">
        <v>15</v>
      </c>
      <c r="Y328" t="s">
        <v>1442</v>
      </c>
      <c r="Z328" t="s">
        <v>1350</v>
      </c>
      <c r="AA328">
        <v>0</v>
      </c>
      <c r="AB328" t="s">
        <v>18</v>
      </c>
    </row>
    <row r="329" spans="1:28" x14ac:dyDescent="0.3">
      <c r="A329" t="s">
        <v>1222</v>
      </c>
      <c r="B329" t="s">
        <v>1188</v>
      </c>
      <c r="C329" t="s">
        <v>1844</v>
      </c>
      <c r="D329" t="s">
        <v>1224</v>
      </c>
      <c r="E329">
        <v>34</v>
      </c>
      <c r="F329" t="s">
        <v>5</v>
      </c>
      <c r="G329">
        <v>8</v>
      </c>
      <c r="H329" s="2">
        <f t="shared" si="5"/>
        <v>0.23529411764705882</v>
      </c>
      <c r="I329" t="s">
        <v>6</v>
      </c>
      <c r="J329">
        <v>-22.870004397338199</v>
      </c>
      <c r="K329" t="s">
        <v>7</v>
      </c>
      <c r="L329">
        <v>-0.67264718815700697</v>
      </c>
      <c r="M329" t="s">
        <v>8</v>
      </c>
      <c r="N329">
        <v>2.9975000000000001</v>
      </c>
      <c r="O329" t="s">
        <v>9</v>
      </c>
      <c r="P329">
        <v>-1.80192324605147</v>
      </c>
      <c r="Q329" t="s">
        <v>10</v>
      </c>
      <c r="R329">
        <v>0.1864529338124</v>
      </c>
      <c r="S329" t="s">
        <v>11</v>
      </c>
      <c r="T329" t="s">
        <v>1402</v>
      </c>
      <c r="U329" t="s">
        <v>212</v>
      </c>
      <c r="V329">
        <v>0</v>
      </c>
      <c r="W329" t="s">
        <v>14</v>
      </c>
      <c r="X329" t="s">
        <v>15</v>
      </c>
      <c r="Y329" t="s">
        <v>1451</v>
      </c>
      <c r="Z329" t="s">
        <v>1452</v>
      </c>
      <c r="AA329">
        <v>0</v>
      </c>
      <c r="AB329" t="s">
        <v>18</v>
      </c>
    </row>
    <row r="330" spans="1:28" x14ac:dyDescent="0.3">
      <c r="A330" t="s">
        <v>1222</v>
      </c>
      <c r="B330" t="s">
        <v>1154</v>
      </c>
      <c r="C330" t="s">
        <v>1810</v>
      </c>
      <c r="D330" t="s">
        <v>1224</v>
      </c>
      <c r="E330">
        <v>34</v>
      </c>
      <c r="F330" t="s">
        <v>5</v>
      </c>
      <c r="G330">
        <v>12</v>
      </c>
      <c r="H330" s="2">
        <f t="shared" si="5"/>
        <v>0.35294117647058826</v>
      </c>
      <c r="I330" t="s">
        <v>6</v>
      </c>
      <c r="J330">
        <v>-22.9629839584405</v>
      </c>
      <c r="K330" t="s">
        <v>7</v>
      </c>
      <c r="L330">
        <v>-0.67538188113060305</v>
      </c>
      <c r="M330" t="s">
        <v>8</v>
      </c>
      <c r="N330">
        <v>1.47590008361591</v>
      </c>
      <c r="O330" t="s">
        <v>9</v>
      </c>
      <c r="P330">
        <v>-1.8488084073559701</v>
      </c>
      <c r="Q330" t="s">
        <v>10</v>
      </c>
      <c r="R330">
        <v>0.122231196467518</v>
      </c>
      <c r="S330" t="s">
        <v>11</v>
      </c>
      <c r="T330" t="s">
        <v>1384</v>
      </c>
      <c r="U330" t="s">
        <v>632</v>
      </c>
      <c r="V330">
        <v>0</v>
      </c>
      <c r="W330" t="s">
        <v>14</v>
      </c>
      <c r="X330" t="s">
        <v>15</v>
      </c>
      <c r="Y330" t="s">
        <v>1384</v>
      </c>
      <c r="Z330" t="s">
        <v>632</v>
      </c>
      <c r="AA330">
        <v>0</v>
      </c>
      <c r="AB330" t="s">
        <v>18</v>
      </c>
    </row>
    <row r="331" spans="1:28" x14ac:dyDescent="0.3">
      <c r="A331" t="s">
        <v>1223</v>
      </c>
      <c r="B331" t="s">
        <v>1212</v>
      </c>
      <c r="C331" t="s">
        <v>1943</v>
      </c>
      <c r="D331" t="s">
        <v>1224</v>
      </c>
      <c r="E331">
        <v>230</v>
      </c>
      <c r="F331" t="s">
        <v>5</v>
      </c>
      <c r="G331">
        <v>59</v>
      </c>
      <c r="H331" s="2">
        <f t="shared" si="5"/>
        <v>0.2565217391304348</v>
      </c>
      <c r="I331" t="s">
        <v>6</v>
      </c>
      <c r="J331">
        <v>-23.6099999999999</v>
      </c>
      <c r="K331" t="s">
        <v>7</v>
      </c>
      <c r="L331">
        <v>-0.102652173913043</v>
      </c>
      <c r="M331" t="s">
        <v>8</v>
      </c>
      <c r="N331">
        <v>2.60423728813559</v>
      </c>
      <c r="O331" t="s">
        <v>9</v>
      </c>
      <c r="P331">
        <v>-1.04270588235294</v>
      </c>
      <c r="Q331" t="s">
        <v>10</v>
      </c>
      <c r="R331">
        <v>0.56188376683007701</v>
      </c>
      <c r="S331" t="s">
        <v>11</v>
      </c>
      <c r="T331" t="s">
        <v>1498</v>
      </c>
      <c r="U331" t="s">
        <v>206</v>
      </c>
      <c r="V331">
        <v>0</v>
      </c>
      <c r="W331" t="s">
        <v>14</v>
      </c>
      <c r="X331" t="s">
        <v>15</v>
      </c>
      <c r="Y331" t="s">
        <v>1499</v>
      </c>
      <c r="Z331" t="s">
        <v>206</v>
      </c>
      <c r="AA331">
        <v>0</v>
      </c>
      <c r="AB331" t="s">
        <v>18</v>
      </c>
    </row>
    <row r="332" spans="1:28" x14ac:dyDescent="0.3">
      <c r="A332" t="s">
        <v>1219</v>
      </c>
      <c r="B332" t="s">
        <v>1166</v>
      </c>
      <c r="C332" t="s">
        <v>1597</v>
      </c>
      <c r="D332" t="s">
        <v>1224</v>
      </c>
      <c r="E332">
        <v>200</v>
      </c>
      <c r="F332" t="s">
        <v>5</v>
      </c>
      <c r="G332">
        <v>107</v>
      </c>
      <c r="H332" s="2">
        <f t="shared" si="5"/>
        <v>0.53500000000000003</v>
      </c>
      <c r="I332" t="s">
        <v>6</v>
      </c>
      <c r="J332">
        <v>-24.729999999999801</v>
      </c>
      <c r="K332" t="s">
        <v>7</v>
      </c>
      <c r="L332">
        <v>-0.123649999999999</v>
      </c>
      <c r="M332" t="s">
        <v>8</v>
      </c>
      <c r="N332">
        <v>1.3283177570093401</v>
      </c>
      <c r="O332" t="s">
        <v>9</v>
      </c>
      <c r="P332">
        <v>-1.7941935483870901</v>
      </c>
      <c r="Q332" t="s">
        <v>10</v>
      </c>
      <c r="R332">
        <v>0.43731261394716098</v>
      </c>
      <c r="S332" t="s">
        <v>11</v>
      </c>
      <c r="T332" t="s">
        <v>1229</v>
      </c>
      <c r="U332" t="s">
        <v>1230</v>
      </c>
      <c r="V332">
        <v>0</v>
      </c>
      <c r="W332" t="s">
        <v>14</v>
      </c>
      <c r="X332" t="s">
        <v>15</v>
      </c>
      <c r="Y332" t="s">
        <v>1229</v>
      </c>
      <c r="Z332" t="s">
        <v>1230</v>
      </c>
      <c r="AA332">
        <v>0</v>
      </c>
      <c r="AB332" t="s">
        <v>18</v>
      </c>
    </row>
    <row r="333" spans="1:28" x14ac:dyDescent="0.3">
      <c r="A333" t="s">
        <v>1143</v>
      </c>
      <c r="B333" t="s">
        <v>1154</v>
      </c>
      <c r="C333" t="s">
        <v>1512</v>
      </c>
      <c r="D333" t="s">
        <v>1224</v>
      </c>
      <c r="E333">
        <v>3062</v>
      </c>
      <c r="F333" t="s">
        <v>5</v>
      </c>
      <c r="G333">
        <v>1757</v>
      </c>
      <c r="H333" s="2">
        <f t="shared" si="5"/>
        <v>0.57380796864794248</v>
      </c>
      <c r="I333" t="s">
        <v>6</v>
      </c>
      <c r="J333">
        <v>-24.8056484521504</v>
      </c>
      <c r="K333" t="s">
        <v>7</v>
      </c>
      <c r="L333">
        <v>-8.1011262090628401E-3</v>
      </c>
      <c r="M333" t="s">
        <v>8</v>
      </c>
      <c r="N333">
        <v>1.3200444385797601</v>
      </c>
      <c r="O333" t="s">
        <v>9</v>
      </c>
      <c r="P333">
        <v>-1.7962633923653599</v>
      </c>
      <c r="Q333" t="s">
        <v>10</v>
      </c>
      <c r="R333">
        <v>2.88653071556495</v>
      </c>
      <c r="S333" t="s">
        <v>11</v>
      </c>
      <c r="T333" t="s">
        <v>1241</v>
      </c>
      <c r="U333" t="s">
        <v>647</v>
      </c>
      <c r="V333">
        <v>0</v>
      </c>
      <c r="W333" t="s">
        <v>14</v>
      </c>
      <c r="X333" t="s">
        <v>15</v>
      </c>
      <c r="Y333" t="s">
        <v>1242</v>
      </c>
      <c r="Z333" t="s">
        <v>1230</v>
      </c>
      <c r="AA333">
        <v>0</v>
      </c>
      <c r="AB333" t="s">
        <v>18</v>
      </c>
    </row>
    <row r="334" spans="1:28" x14ac:dyDescent="0.3">
      <c r="A334" t="s">
        <v>1222</v>
      </c>
      <c r="B334" t="s">
        <v>1187</v>
      </c>
      <c r="C334" t="s">
        <v>1843</v>
      </c>
      <c r="D334" t="s">
        <v>1224</v>
      </c>
      <c r="E334">
        <v>34</v>
      </c>
      <c r="F334" t="s">
        <v>5</v>
      </c>
      <c r="G334">
        <v>8</v>
      </c>
      <c r="H334" s="2">
        <f t="shared" si="5"/>
        <v>0.23529411764705882</v>
      </c>
      <c r="I334" t="s">
        <v>6</v>
      </c>
      <c r="J334">
        <v>-25.000004397338198</v>
      </c>
      <c r="K334" t="s">
        <v>7</v>
      </c>
      <c r="L334">
        <v>-0.73529424698053703</v>
      </c>
      <c r="M334" t="s">
        <v>8</v>
      </c>
      <c r="N334">
        <v>2.7312500000000002</v>
      </c>
      <c r="O334" t="s">
        <v>9</v>
      </c>
      <c r="P334">
        <v>-1.80192324605147</v>
      </c>
      <c r="Q334" t="s">
        <v>10</v>
      </c>
      <c r="R334">
        <v>0.184915720232146</v>
      </c>
      <c r="S334" t="s">
        <v>11</v>
      </c>
      <c r="T334" t="s">
        <v>1402</v>
      </c>
      <c r="U334" t="s">
        <v>212</v>
      </c>
      <c r="V334">
        <v>0</v>
      </c>
      <c r="W334" t="s">
        <v>14</v>
      </c>
      <c r="X334" t="s">
        <v>15</v>
      </c>
      <c r="Y334" t="s">
        <v>1451</v>
      </c>
      <c r="Z334" t="s">
        <v>1452</v>
      </c>
      <c r="AA334">
        <v>0</v>
      </c>
      <c r="AB334" t="s">
        <v>18</v>
      </c>
    </row>
    <row r="335" spans="1:28" x14ac:dyDescent="0.3">
      <c r="A335" t="s">
        <v>1222</v>
      </c>
      <c r="B335" t="s">
        <v>1170</v>
      </c>
      <c r="C335" t="s">
        <v>1826</v>
      </c>
      <c r="D335" t="s">
        <v>1224</v>
      </c>
      <c r="E335">
        <v>34</v>
      </c>
      <c r="F335" t="s">
        <v>5</v>
      </c>
      <c r="G335">
        <v>10</v>
      </c>
      <c r="H335" s="2">
        <f t="shared" si="5"/>
        <v>0.29411764705882354</v>
      </c>
      <c r="I335" t="s">
        <v>6</v>
      </c>
      <c r="J335">
        <v>-25.2800043973382</v>
      </c>
      <c r="K335" t="s">
        <v>7</v>
      </c>
      <c r="L335">
        <v>-0.74352954109818403</v>
      </c>
      <c r="M335" t="s">
        <v>8</v>
      </c>
      <c r="N335">
        <v>1.7470000000000001</v>
      </c>
      <c r="O335" t="s">
        <v>9</v>
      </c>
      <c r="P335">
        <v>-1.7812501832224199</v>
      </c>
      <c r="Q335" t="s">
        <v>10</v>
      </c>
      <c r="R335">
        <v>0.11903150790910599</v>
      </c>
      <c r="S335" t="s">
        <v>11</v>
      </c>
      <c r="T335" t="s">
        <v>1443</v>
      </c>
      <c r="U335" t="s">
        <v>1350</v>
      </c>
      <c r="V335">
        <v>0</v>
      </c>
      <c r="W335" t="s">
        <v>14</v>
      </c>
      <c r="X335" t="s">
        <v>15</v>
      </c>
      <c r="Y335" t="s">
        <v>1444</v>
      </c>
      <c r="Z335" t="s">
        <v>1232</v>
      </c>
      <c r="AA335">
        <v>0</v>
      </c>
      <c r="AB335" t="s">
        <v>18</v>
      </c>
    </row>
    <row r="336" spans="1:28" x14ac:dyDescent="0.3">
      <c r="A336" t="s">
        <v>1223</v>
      </c>
      <c r="B336" t="s">
        <v>1177</v>
      </c>
      <c r="C336" t="s">
        <v>1908</v>
      </c>
      <c r="D336" t="s">
        <v>1224</v>
      </c>
      <c r="E336">
        <v>224</v>
      </c>
      <c r="F336" t="s">
        <v>5</v>
      </c>
      <c r="G336">
        <v>70</v>
      </c>
      <c r="H336" s="2">
        <f t="shared" si="5"/>
        <v>0.3125</v>
      </c>
      <c r="I336" t="s">
        <v>6</v>
      </c>
      <c r="J336">
        <v>-25.369999999999798</v>
      </c>
      <c r="K336" t="s">
        <v>7</v>
      </c>
      <c r="L336">
        <v>-0.113258928571427</v>
      </c>
      <c r="M336" t="s">
        <v>8</v>
      </c>
      <c r="N336">
        <v>2.395</v>
      </c>
      <c r="O336" t="s">
        <v>9</v>
      </c>
      <c r="P336">
        <v>-1.2533766233766199</v>
      </c>
      <c r="Q336" t="s">
        <v>10</v>
      </c>
      <c r="R336">
        <v>0.60472769390590697</v>
      </c>
      <c r="S336" t="s">
        <v>11</v>
      </c>
      <c r="T336" t="s">
        <v>1481</v>
      </c>
      <c r="U336" t="s">
        <v>1482</v>
      </c>
      <c r="V336">
        <v>0</v>
      </c>
      <c r="W336" t="s">
        <v>14</v>
      </c>
      <c r="X336" t="s">
        <v>15</v>
      </c>
      <c r="Y336" t="s">
        <v>1484</v>
      </c>
      <c r="Z336" t="s">
        <v>284</v>
      </c>
      <c r="AA336">
        <v>0</v>
      </c>
      <c r="AB336" t="s">
        <v>18</v>
      </c>
    </row>
    <row r="337" spans="1:28" x14ac:dyDescent="0.3">
      <c r="A337" t="s">
        <v>1220</v>
      </c>
      <c r="B337" t="s">
        <v>1200</v>
      </c>
      <c r="C337" t="s">
        <v>1706</v>
      </c>
      <c r="D337" t="s">
        <v>1224</v>
      </c>
      <c r="E337">
        <v>144</v>
      </c>
      <c r="F337" t="s">
        <v>5</v>
      </c>
      <c r="G337">
        <v>86</v>
      </c>
      <c r="H337" s="2">
        <f t="shared" si="5"/>
        <v>0.59722222222222221</v>
      </c>
      <c r="I337" t="s">
        <v>6</v>
      </c>
      <c r="J337">
        <v>-25.788756432296498</v>
      </c>
      <c r="K337" t="s">
        <v>7</v>
      </c>
      <c r="L337">
        <v>-0.17908858633539201</v>
      </c>
      <c r="M337" t="s">
        <v>8</v>
      </c>
      <c r="N337">
        <v>0.792623800958284</v>
      </c>
      <c r="O337" t="s">
        <v>9</v>
      </c>
      <c r="P337">
        <v>-1.61990350542601</v>
      </c>
      <c r="Q337" t="s">
        <v>10</v>
      </c>
      <c r="R337">
        <v>0.232711337189004</v>
      </c>
      <c r="S337" t="s">
        <v>11</v>
      </c>
      <c r="T337" t="s">
        <v>1407</v>
      </c>
      <c r="U337" t="s">
        <v>632</v>
      </c>
      <c r="V337">
        <v>0</v>
      </c>
      <c r="W337" t="s">
        <v>14</v>
      </c>
      <c r="X337" t="s">
        <v>15</v>
      </c>
      <c r="Y337" t="s">
        <v>1408</v>
      </c>
      <c r="Z337" t="s">
        <v>1284</v>
      </c>
      <c r="AA337">
        <v>0</v>
      </c>
      <c r="AB337" t="s">
        <v>18</v>
      </c>
    </row>
    <row r="338" spans="1:28" x14ac:dyDescent="0.3">
      <c r="A338" t="s">
        <v>1222</v>
      </c>
      <c r="B338" t="s">
        <v>1178</v>
      </c>
      <c r="C338" t="s">
        <v>1834</v>
      </c>
      <c r="D338" t="s">
        <v>1224</v>
      </c>
      <c r="E338">
        <v>35</v>
      </c>
      <c r="F338" t="s">
        <v>5</v>
      </c>
      <c r="G338">
        <v>12</v>
      </c>
      <c r="H338" s="2">
        <f t="shared" si="5"/>
        <v>0.34285714285714286</v>
      </c>
      <c r="I338" t="s">
        <v>6</v>
      </c>
      <c r="J338">
        <v>-25.95</v>
      </c>
      <c r="K338" t="s">
        <v>7</v>
      </c>
      <c r="L338">
        <v>-0.74142857142857199</v>
      </c>
      <c r="M338" t="s">
        <v>8</v>
      </c>
      <c r="N338">
        <v>1.2808333333333199</v>
      </c>
      <c r="O338" t="s">
        <v>9</v>
      </c>
      <c r="P338">
        <v>-1.79652173913043</v>
      </c>
      <c r="Q338" t="s">
        <v>10</v>
      </c>
      <c r="R338">
        <v>0.16905588915398501</v>
      </c>
      <c r="S338" t="s">
        <v>11</v>
      </c>
      <c r="T338" t="s">
        <v>1448</v>
      </c>
      <c r="U338" t="s">
        <v>247</v>
      </c>
      <c r="V338">
        <v>0</v>
      </c>
      <c r="W338" t="s">
        <v>14</v>
      </c>
      <c r="X338" t="s">
        <v>15</v>
      </c>
      <c r="Y338" t="s">
        <v>1448</v>
      </c>
      <c r="Z338" t="s">
        <v>247</v>
      </c>
      <c r="AA338">
        <v>0</v>
      </c>
      <c r="AB338" t="s">
        <v>18</v>
      </c>
    </row>
    <row r="339" spans="1:28" x14ac:dyDescent="0.3">
      <c r="A339" t="s">
        <v>1222</v>
      </c>
      <c r="B339" t="s">
        <v>1203</v>
      </c>
      <c r="C339" t="s">
        <v>1859</v>
      </c>
      <c r="D339" t="s">
        <v>1224</v>
      </c>
      <c r="E339">
        <v>34</v>
      </c>
      <c r="F339" t="s">
        <v>5</v>
      </c>
      <c r="G339">
        <v>14</v>
      </c>
      <c r="H339" s="2">
        <f t="shared" si="5"/>
        <v>0.41176470588235292</v>
      </c>
      <c r="I339" t="s">
        <v>6</v>
      </c>
      <c r="J339">
        <v>-26.2</v>
      </c>
      <c r="K339" t="s">
        <v>7</v>
      </c>
      <c r="L339">
        <v>-0.77058823529411702</v>
      </c>
      <c r="M339" t="s">
        <v>8</v>
      </c>
      <c r="N339">
        <v>0.75642857142857101</v>
      </c>
      <c r="O339" t="s">
        <v>9</v>
      </c>
      <c r="P339">
        <v>-1.8394999999999999</v>
      </c>
      <c r="Q339" t="s">
        <v>10</v>
      </c>
      <c r="R339">
        <v>0.150784754053193</v>
      </c>
      <c r="S339" t="s">
        <v>11</v>
      </c>
      <c r="T339" t="s">
        <v>1407</v>
      </c>
      <c r="U339" t="s">
        <v>632</v>
      </c>
      <c r="V339">
        <v>0</v>
      </c>
      <c r="W339" t="s">
        <v>14</v>
      </c>
      <c r="X339" t="s">
        <v>15</v>
      </c>
      <c r="Y339" t="s">
        <v>1392</v>
      </c>
      <c r="Z339" t="s">
        <v>1284</v>
      </c>
      <c r="AA339">
        <v>0</v>
      </c>
      <c r="AB339" t="s">
        <v>18</v>
      </c>
    </row>
    <row r="340" spans="1:28" x14ac:dyDescent="0.3">
      <c r="A340" t="s">
        <v>1223</v>
      </c>
      <c r="B340" t="s">
        <v>1166</v>
      </c>
      <c r="C340" t="s">
        <v>1897</v>
      </c>
      <c r="D340" t="s">
        <v>1224</v>
      </c>
      <c r="E340">
        <v>230</v>
      </c>
      <c r="F340" t="s">
        <v>5</v>
      </c>
      <c r="G340">
        <v>125</v>
      </c>
      <c r="H340" s="2">
        <f t="shared" si="5"/>
        <v>0.54347826086956519</v>
      </c>
      <c r="I340" t="s">
        <v>6</v>
      </c>
      <c r="J340">
        <v>-26.4499999999999</v>
      </c>
      <c r="K340" t="s">
        <v>7</v>
      </c>
      <c r="L340">
        <v>-0.11499999999999901</v>
      </c>
      <c r="M340" t="s">
        <v>8</v>
      </c>
      <c r="N340">
        <v>1.26399999999999</v>
      </c>
      <c r="O340" t="s">
        <v>9</v>
      </c>
      <c r="P340">
        <v>-1.7566666666666599</v>
      </c>
      <c r="Q340" t="s">
        <v>10</v>
      </c>
      <c r="R340">
        <v>0.49043215271393598</v>
      </c>
      <c r="S340" t="s">
        <v>11</v>
      </c>
      <c r="T340" t="s">
        <v>133</v>
      </c>
      <c r="U340" t="s">
        <v>1230</v>
      </c>
      <c r="V340">
        <v>0</v>
      </c>
      <c r="W340" t="s">
        <v>14</v>
      </c>
      <c r="X340" t="s">
        <v>15</v>
      </c>
      <c r="Y340" t="s">
        <v>1474</v>
      </c>
      <c r="Z340" t="s">
        <v>632</v>
      </c>
      <c r="AA340">
        <v>0</v>
      </c>
      <c r="AB340" t="s">
        <v>18</v>
      </c>
    </row>
    <row r="341" spans="1:28" x14ac:dyDescent="0.3">
      <c r="A341" t="s">
        <v>1222</v>
      </c>
      <c r="B341" t="s">
        <v>1169</v>
      </c>
      <c r="C341" t="s">
        <v>1825</v>
      </c>
      <c r="D341" t="s">
        <v>1224</v>
      </c>
      <c r="E341">
        <v>34</v>
      </c>
      <c r="F341" t="s">
        <v>5</v>
      </c>
      <c r="G341">
        <v>11</v>
      </c>
      <c r="H341" s="2">
        <f t="shared" si="5"/>
        <v>0.3235294117647059</v>
      </c>
      <c r="I341" t="s">
        <v>6</v>
      </c>
      <c r="J341">
        <v>-26.880763505688599</v>
      </c>
      <c r="K341" t="s">
        <v>7</v>
      </c>
      <c r="L341">
        <v>-0.79061069134378403</v>
      </c>
      <c r="M341" t="s">
        <v>8</v>
      </c>
      <c r="N341">
        <v>1.25538513584648</v>
      </c>
      <c r="O341" t="s">
        <v>9</v>
      </c>
      <c r="P341">
        <v>-1.7691304347826</v>
      </c>
      <c r="Q341" t="s">
        <v>10</v>
      </c>
      <c r="R341">
        <v>0.102223062572166</v>
      </c>
      <c r="S341" t="s">
        <v>11</v>
      </c>
      <c r="T341" t="s">
        <v>1443</v>
      </c>
      <c r="U341" t="s">
        <v>1350</v>
      </c>
      <c r="V341">
        <v>0</v>
      </c>
      <c r="W341" t="s">
        <v>14</v>
      </c>
      <c r="X341" t="s">
        <v>15</v>
      </c>
      <c r="Y341" t="s">
        <v>1443</v>
      </c>
      <c r="Z341" t="s">
        <v>1350</v>
      </c>
      <c r="AA341">
        <v>0</v>
      </c>
      <c r="AB341" t="s">
        <v>18</v>
      </c>
    </row>
    <row r="342" spans="1:28" x14ac:dyDescent="0.3">
      <c r="A342" t="s">
        <v>1143</v>
      </c>
      <c r="B342" t="s">
        <v>1172</v>
      </c>
      <c r="C342" t="s">
        <v>1530</v>
      </c>
      <c r="D342" t="s">
        <v>1224</v>
      </c>
      <c r="E342">
        <v>3062</v>
      </c>
      <c r="F342" t="s">
        <v>5</v>
      </c>
      <c r="G342">
        <v>1545</v>
      </c>
      <c r="H342" s="2">
        <f t="shared" si="5"/>
        <v>0.50457217504898755</v>
      </c>
      <c r="I342" t="s">
        <v>6</v>
      </c>
      <c r="J342">
        <v>-27.2572107426782</v>
      </c>
      <c r="K342" t="s">
        <v>7</v>
      </c>
      <c r="L342">
        <v>-8.9017670616192701E-3</v>
      </c>
      <c r="M342" t="s">
        <v>8</v>
      </c>
      <c r="N342">
        <v>1.75237402688074</v>
      </c>
      <c r="O342" t="s">
        <v>9</v>
      </c>
      <c r="P342">
        <v>-1.8026862770424601</v>
      </c>
      <c r="Q342" t="s">
        <v>10</v>
      </c>
      <c r="R342">
        <v>4.2186458204807504</v>
      </c>
      <c r="S342" t="s">
        <v>11</v>
      </c>
      <c r="T342" t="s">
        <v>1254</v>
      </c>
      <c r="U342" t="s">
        <v>720</v>
      </c>
      <c r="V342">
        <v>0</v>
      </c>
      <c r="W342" t="s">
        <v>14</v>
      </c>
      <c r="X342" t="s">
        <v>15</v>
      </c>
      <c r="Y342" t="s">
        <v>1257</v>
      </c>
      <c r="Z342" t="s">
        <v>230</v>
      </c>
      <c r="AA342">
        <v>0</v>
      </c>
      <c r="AB342" t="s">
        <v>18</v>
      </c>
    </row>
    <row r="343" spans="1:28" x14ac:dyDescent="0.3">
      <c r="A343" t="s">
        <v>1223</v>
      </c>
      <c r="B343" t="s">
        <v>1165</v>
      </c>
      <c r="C343" t="s">
        <v>1896</v>
      </c>
      <c r="D343" t="s">
        <v>1224</v>
      </c>
      <c r="E343">
        <v>230</v>
      </c>
      <c r="F343" t="s">
        <v>5</v>
      </c>
      <c r="G343">
        <v>127</v>
      </c>
      <c r="H343" s="2">
        <f t="shared" si="5"/>
        <v>0.55217391304347829</v>
      </c>
      <c r="I343" t="s">
        <v>6</v>
      </c>
      <c r="J343">
        <v>-27.659999999999901</v>
      </c>
      <c r="K343" t="s">
        <v>7</v>
      </c>
      <c r="L343">
        <v>-0.120260869565217</v>
      </c>
      <c r="M343" t="s">
        <v>8</v>
      </c>
      <c r="N343">
        <v>1.20590551181102</v>
      </c>
      <c r="O343" t="s">
        <v>9</v>
      </c>
      <c r="P343">
        <v>-1.75543689320388</v>
      </c>
      <c r="Q343" t="s">
        <v>10</v>
      </c>
      <c r="R343">
        <v>0.46658963916363899</v>
      </c>
      <c r="S343" t="s">
        <v>11</v>
      </c>
      <c r="T343" t="s">
        <v>133</v>
      </c>
      <c r="U343" t="s">
        <v>1230</v>
      </c>
      <c r="V343">
        <v>0</v>
      </c>
      <c r="W343" t="s">
        <v>14</v>
      </c>
      <c r="X343" t="s">
        <v>15</v>
      </c>
      <c r="Y343" t="s">
        <v>1470</v>
      </c>
      <c r="Z343" t="s">
        <v>1320</v>
      </c>
      <c r="AA343">
        <v>0</v>
      </c>
      <c r="AB343" t="s">
        <v>18</v>
      </c>
    </row>
    <row r="344" spans="1:28" x14ac:dyDescent="0.3">
      <c r="A344" t="s">
        <v>1219</v>
      </c>
      <c r="B344" t="s">
        <v>1211</v>
      </c>
      <c r="C344" t="s">
        <v>1642</v>
      </c>
      <c r="D344" t="s">
        <v>1224</v>
      </c>
      <c r="E344">
        <v>200</v>
      </c>
      <c r="F344" t="s">
        <v>5</v>
      </c>
      <c r="G344">
        <v>50</v>
      </c>
      <c r="H344" s="2">
        <f t="shared" si="5"/>
        <v>0.25</v>
      </c>
      <c r="I344" t="s">
        <v>6</v>
      </c>
      <c r="J344">
        <v>-27.739999999999899</v>
      </c>
      <c r="K344" t="s">
        <v>7</v>
      </c>
      <c r="L344">
        <v>-0.13869999999999899</v>
      </c>
      <c r="M344" t="s">
        <v>8</v>
      </c>
      <c r="N344">
        <v>2.99839999999999</v>
      </c>
      <c r="O344" t="s">
        <v>9</v>
      </c>
      <c r="P344">
        <v>-1.1843999999999899</v>
      </c>
      <c r="Q344" t="s">
        <v>10</v>
      </c>
      <c r="R344">
        <v>0.476675630062324</v>
      </c>
      <c r="S344" t="s">
        <v>11</v>
      </c>
      <c r="T344" t="s">
        <v>1362</v>
      </c>
      <c r="U344" t="s">
        <v>1230</v>
      </c>
      <c r="V344">
        <v>0</v>
      </c>
      <c r="W344" t="s">
        <v>14</v>
      </c>
      <c r="X344" t="s">
        <v>15</v>
      </c>
      <c r="Y344" t="s">
        <v>1365</v>
      </c>
      <c r="Z344" t="s">
        <v>284</v>
      </c>
      <c r="AA344">
        <v>0</v>
      </c>
      <c r="AB344" t="s">
        <v>18</v>
      </c>
    </row>
    <row r="345" spans="1:28" x14ac:dyDescent="0.3">
      <c r="A345" t="s">
        <v>1223</v>
      </c>
      <c r="B345" t="s">
        <v>1180</v>
      </c>
      <c r="C345" t="s">
        <v>1911</v>
      </c>
      <c r="D345" t="s">
        <v>1224</v>
      </c>
      <c r="E345">
        <v>230</v>
      </c>
      <c r="F345" t="s">
        <v>5</v>
      </c>
      <c r="G345">
        <v>87</v>
      </c>
      <c r="H345" s="2">
        <f t="shared" si="5"/>
        <v>0.37826086956521737</v>
      </c>
      <c r="I345" t="s">
        <v>6</v>
      </c>
      <c r="J345">
        <v>-27.7899999999999</v>
      </c>
      <c r="K345" t="s">
        <v>7</v>
      </c>
      <c r="L345">
        <v>-0.120826086956521</v>
      </c>
      <c r="M345" t="s">
        <v>8</v>
      </c>
      <c r="N345">
        <v>1.8391954022988499</v>
      </c>
      <c r="O345" t="s">
        <v>9</v>
      </c>
      <c r="P345">
        <v>-1.3132867132867101</v>
      </c>
      <c r="Q345" t="s">
        <v>10</v>
      </c>
      <c r="R345">
        <v>0.47344444568940702</v>
      </c>
      <c r="S345" t="s">
        <v>11</v>
      </c>
      <c r="T345" t="s">
        <v>1362</v>
      </c>
      <c r="U345" t="s">
        <v>1230</v>
      </c>
      <c r="V345">
        <v>0</v>
      </c>
      <c r="W345" t="s">
        <v>14</v>
      </c>
      <c r="X345" t="s">
        <v>15</v>
      </c>
      <c r="Y345" t="s">
        <v>1485</v>
      </c>
      <c r="Z345" t="s">
        <v>91</v>
      </c>
      <c r="AA345">
        <v>0</v>
      </c>
      <c r="AB345" t="s">
        <v>18</v>
      </c>
    </row>
    <row r="346" spans="1:28" x14ac:dyDescent="0.3">
      <c r="A346" t="s">
        <v>1223</v>
      </c>
      <c r="B346" t="s">
        <v>1167</v>
      </c>
      <c r="C346" t="s">
        <v>1898</v>
      </c>
      <c r="D346" t="s">
        <v>1224</v>
      </c>
      <c r="E346">
        <v>230</v>
      </c>
      <c r="F346" t="s">
        <v>5</v>
      </c>
      <c r="G346">
        <v>123</v>
      </c>
      <c r="H346" s="2">
        <f t="shared" si="5"/>
        <v>0.5347826086956522</v>
      </c>
      <c r="I346" t="s">
        <v>6</v>
      </c>
      <c r="J346">
        <v>-27.979999999999901</v>
      </c>
      <c r="K346" t="s">
        <v>7</v>
      </c>
      <c r="L346">
        <v>-0.121652173913043</v>
      </c>
      <c r="M346" t="s">
        <v>8</v>
      </c>
      <c r="N346">
        <v>1.2969105691056899</v>
      </c>
      <c r="O346" t="s">
        <v>9</v>
      </c>
      <c r="P346">
        <v>-1.7523364485981301</v>
      </c>
      <c r="Q346" t="s">
        <v>10</v>
      </c>
      <c r="R346">
        <v>0.52535984193186003</v>
      </c>
      <c r="S346" t="s">
        <v>11</v>
      </c>
      <c r="T346" t="s">
        <v>133</v>
      </c>
      <c r="U346" t="s">
        <v>1230</v>
      </c>
      <c r="V346">
        <v>0</v>
      </c>
      <c r="W346" t="s">
        <v>14</v>
      </c>
      <c r="X346" t="s">
        <v>15</v>
      </c>
      <c r="Y346" t="s">
        <v>1474</v>
      </c>
      <c r="Z346" t="s">
        <v>632</v>
      </c>
      <c r="AA346">
        <v>0</v>
      </c>
      <c r="AB346" t="s">
        <v>18</v>
      </c>
    </row>
    <row r="347" spans="1:28" x14ac:dyDescent="0.3">
      <c r="A347" t="s">
        <v>1222</v>
      </c>
      <c r="B347" t="s">
        <v>1147</v>
      </c>
      <c r="C347" t="s">
        <v>1803</v>
      </c>
      <c r="D347" t="s">
        <v>1224</v>
      </c>
      <c r="E347">
        <v>35</v>
      </c>
      <c r="F347" t="s">
        <v>5</v>
      </c>
      <c r="G347">
        <v>11</v>
      </c>
      <c r="H347" s="2">
        <f t="shared" si="5"/>
        <v>0.31428571428571428</v>
      </c>
      <c r="I347" t="s">
        <v>6</v>
      </c>
      <c r="J347">
        <v>-28.18</v>
      </c>
      <c r="K347" t="s">
        <v>7</v>
      </c>
      <c r="L347">
        <v>-0.80514285714285805</v>
      </c>
      <c r="M347" t="s">
        <v>8</v>
      </c>
      <c r="N347">
        <v>1.79454545454544</v>
      </c>
      <c r="O347" t="s">
        <v>9</v>
      </c>
      <c r="P347">
        <v>-1.9966666666666599</v>
      </c>
      <c r="Q347" t="s">
        <v>10</v>
      </c>
      <c r="R347">
        <v>0.15757466291587799</v>
      </c>
      <c r="S347" t="s">
        <v>11</v>
      </c>
      <c r="T347" t="s">
        <v>1435</v>
      </c>
      <c r="U347" t="s">
        <v>1350</v>
      </c>
      <c r="V347">
        <v>0</v>
      </c>
      <c r="W347" t="s">
        <v>14</v>
      </c>
      <c r="X347" t="s">
        <v>15</v>
      </c>
      <c r="Y347" t="s">
        <v>1435</v>
      </c>
      <c r="Z347" t="s">
        <v>1350</v>
      </c>
      <c r="AA347">
        <v>0</v>
      </c>
      <c r="AB347" t="s">
        <v>18</v>
      </c>
    </row>
    <row r="348" spans="1:28" x14ac:dyDescent="0.3">
      <c r="A348" t="s">
        <v>1222</v>
      </c>
      <c r="B348" t="s">
        <v>1148</v>
      </c>
      <c r="C348" t="s">
        <v>1804</v>
      </c>
      <c r="D348" t="s">
        <v>1224</v>
      </c>
      <c r="E348">
        <v>35</v>
      </c>
      <c r="F348" t="s">
        <v>5</v>
      </c>
      <c r="G348">
        <v>11</v>
      </c>
      <c r="H348" s="2">
        <f t="shared" si="5"/>
        <v>0.31428571428571428</v>
      </c>
      <c r="I348" t="s">
        <v>6</v>
      </c>
      <c r="J348">
        <v>-28.18</v>
      </c>
      <c r="K348" t="s">
        <v>7</v>
      </c>
      <c r="L348">
        <v>-0.80514285714285805</v>
      </c>
      <c r="M348" t="s">
        <v>8</v>
      </c>
      <c r="N348">
        <v>1.79454545454544</v>
      </c>
      <c r="O348" t="s">
        <v>9</v>
      </c>
      <c r="P348">
        <v>-1.9966666666666599</v>
      </c>
      <c r="Q348" t="s">
        <v>10</v>
      </c>
      <c r="R348">
        <v>0.15757466291587799</v>
      </c>
      <c r="S348" t="s">
        <v>11</v>
      </c>
      <c r="T348" t="s">
        <v>1435</v>
      </c>
      <c r="U348" t="s">
        <v>1350</v>
      </c>
      <c r="V348">
        <v>0</v>
      </c>
      <c r="W348" t="s">
        <v>14</v>
      </c>
      <c r="X348" t="s">
        <v>15</v>
      </c>
      <c r="Y348" t="s">
        <v>1435</v>
      </c>
      <c r="Z348" t="s">
        <v>1350</v>
      </c>
      <c r="AA348">
        <v>0</v>
      </c>
      <c r="AB348" t="s">
        <v>18</v>
      </c>
    </row>
    <row r="349" spans="1:28" x14ac:dyDescent="0.3">
      <c r="A349" t="s">
        <v>1222</v>
      </c>
      <c r="B349" t="s">
        <v>1173</v>
      </c>
      <c r="C349" t="s">
        <v>1829</v>
      </c>
      <c r="D349" t="s">
        <v>1224</v>
      </c>
      <c r="E349">
        <v>34</v>
      </c>
      <c r="F349" t="s">
        <v>5</v>
      </c>
      <c r="G349">
        <v>8</v>
      </c>
      <c r="H349" s="2">
        <f t="shared" si="5"/>
        <v>0.23529411764705882</v>
      </c>
      <c r="I349" t="s">
        <v>6</v>
      </c>
      <c r="J349">
        <v>-28.610004397338201</v>
      </c>
      <c r="K349" t="s">
        <v>7</v>
      </c>
      <c r="L349">
        <v>-0.84147071756877201</v>
      </c>
      <c r="M349" t="s">
        <v>8</v>
      </c>
      <c r="N349">
        <v>2.3087499999999901</v>
      </c>
      <c r="O349" t="s">
        <v>9</v>
      </c>
      <c r="P349">
        <v>-1.81076939989762</v>
      </c>
      <c r="Q349" t="s">
        <v>10</v>
      </c>
      <c r="R349">
        <v>0.209287975601649</v>
      </c>
      <c r="S349" t="s">
        <v>11</v>
      </c>
      <c r="T349" t="s">
        <v>1445</v>
      </c>
      <c r="U349" t="s">
        <v>185</v>
      </c>
      <c r="V349">
        <v>0</v>
      </c>
      <c r="W349" t="s">
        <v>14</v>
      </c>
      <c r="X349" t="s">
        <v>15</v>
      </c>
      <c r="Y349" t="s">
        <v>1446</v>
      </c>
      <c r="Z349" t="s">
        <v>185</v>
      </c>
      <c r="AA349">
        <v>0</v>
      </c>
      <c r="AB349" t="s">
        <v>18</v>
      </c>
    </row>
    <row r="350" spans="1:28" x14ac:dyDescent="0.3">
      <c r="A350" t="s">
        <v>1222</v>
      </c>
      <c r="B350" t="s">
        <v>1146</v>
      </c>
      <c r="C350" t="s">
        <v>1802</v>
      </c>
      <c r="D350" t="s">
        <v>1224</v>
      </c>
      <c r="E350">
        <v>35</v>
      </c>
      <c r="F350" t="s">
        <v>5</v>
      </c>
      <c r="G350">
        <v>11</v>
      </c>
      <c r="H350" s="2">
        <f t="shared" si="5"/>
        <v>0.31428571428571428</v>
      </c>
      <c r="I350" t="s">
        <v>6</v>
      </c>
      <c r="J350">
        <v>-28.74</v>
      </c>
      <c r="K350" t="s">
        <v>7</v>
      </c>
      <c r="L350">
        <v>-0.82114285714285795</v>
      </c>
      <c r="M350" t="s">
        <v>8</v>
      </c>
      <c r="N350">
        <v>1.7436363636363501</v>
      </c>
      <c r="O350" t="s">
        <v>9</v>
      </c>
      <c r="P350">
        <v>-1.9966666666666599</v>
      </c>
      <c r="Q350" t="s">
        <v>10</v>
      </c>
      <c r="R350">
        <v>0.15449762605334699</v>
      </c>
      <c r="S350" t="s">
        <v>11</v>
      </c>
      <c r="T350" t="s">
        <v>1435</v>
      </c>
      <c r="U350" t="s">
        <v>1350</v>
      </c>
      <c r="V350">
        <v>0</v>
      </c>
      <c r="W350" t="s">
        <v>14</v>
      </c>
      <c r="X350" t="s">
        <v>15</v>
      </c>
      <c r="Y350" t="s">
        <v>1435</v>
      </c>
      <c r="Z350" t="s">
        <v>1350</v>
      </c>
      <c r="AA350">
        <v>0</v>
      </c>
      <c r="AB350" t="s">
        <v>18</v>
      </c>
    </row>
    <row r="351" spans="1:28" x14ac:dyDescent="0.3">
      <c r="A351" t="s">
        <v>1219</v>
      </c>
      <c r="B351" t="s">
        <v>1186</v>
      </c>
      <c r="C351" t="s">
        <v>1617</v>
      </c>
      <c r="D351" t="s">
        <v>1224</v>
      </c>
      <c r="E351">
        <v>197</v>
      </c>
      <c r="F351" t="s">
        <v>5</v>
      </c>
      <c r="G351">
        <v>58</v>
      </c>
      <c r="H351" s="2">
        <f t="shared" si="5"/>
        <v>0.29441624365482233</v>
      </c>
      <c r="I351" t="s">
        <v>6</v>
      </c>
      <c r="J351">
        <v>-28.7438550765606</v>
      </c>
      <c r="K351" t="s">
        <v>7</v>
      </c>
      <c r="L351">
        <v>-0.145907893789647</v>
      </c>
      <c r="M351" t="s">
        <v>8</v>
      </c>
      <c r="N351">
        <v>3.48181463597665</v>
      </c>
      <c r="O351" t="s">
        <v>9</v>
      </c>
      <c r="P351">
        <v>-1.6596338414619101</v>
      </c>
      <c r="Q351" t="s">
        <v>10</v>
      </c>
      <c r="R351">
        <v>0.57812405376661802</v>
      </c>
      <c r="S351" t="s">
        <v>11</v>
      </c>
      <c r="T351" t="s">
        <v>1271</v>
      </c>
      <c r="U351" t="s">
        <v>647</v>
      </c>
      <c r="V351">
        <v>0</v>
      </c>
      <c r="W351" t="s">
        <v>14</v>
      </c>
      <c r="X351" t="s">
        <v>15</v>
      </c>
      <c r="Y351" t="s">
        <v>1347</v>
      </c>
      <c r="Z351" t="s">
        <v>647</v>
      </c>
      <c r="AA351">
        <v>0</v>
      </c>
      <c r="AB351" t="s">
        <v>18</v>
      </c>
    </row>
    <row r="352" spans="1:28" x14ac:dyDescent="0.3">
      <c r="A352" t="s">
        <v>1222</v>
      </c>
      <c r="B352" t="s">
        <v>1145</v>
      </c>
      <c r="C352" t="s">
        <v>1801</v>
      </c>
      <c r="D352" t="s">
        <v>1224</v>
      </c>
      <c r="E352">
        <v>35</v>
      </c>
      <c r="F352" t="s">
        <v>5</v>
      </c>
      <c r="G352">
        <v>11</v>
      </c>
      <c r="H352" s="2">
        <f t="shared" si="5"/>
        <v>0.31428571428571428</v>
      </c>
      <c r="I352" t="s">
        <v>6</v>
      </c>
      <c r="J352">
        <v>-28.96</v>
      </c>
      <c r="K352" t="s">
        <v>7</v>
      </c>
      <c r="L352">
        <v>-0.82742857142857196</v>
      </c>
      <c r="M352" t="s">
        <v>8</v>
      </c>
      <c r="N352">
        <v>1.7236363636363501</v>
      </c>
      <c r="O352" t="s">
        <v>9</v>
      </c>
      <c r="P352">
        <v>-1.9966666666666599</v>
      </c>
      <c r="Q352" t="s">
        <v>10</v>
      </c>
      <c r="R352">
        <v>0.154486432838183</v>
      </c>
      <c r="S352" t="s">
        <v>11</v>
      </c>
      <c r="T352" t="s">
        <v>1435</v>
      </c>
      <c r="U352" t="s">
        <v>1350</v>
      </c>
      <c r="V352">
        <v>0</v>
      </c>
      <c r="W352" t="s">
        <v>14</v>
      </c>
      <c r="X352" t="s">
        <v>15</v>
      </c>
      <c r="Y352" t="s">
        <v>1435</v>
      </c>
      <c r="Z352" t="s">
        <v>1350</v>
      </c>
      <c r="AA352">
        <v>0</v>
      </c>
      <c r="AB352" t="s">
        <v>18</v>
      </c>
    </row>
    <row r="353" spans="1:28" x14ac:dyDescent="0.3">
      <c r="A353" t="s">
        <v>1143</v>
      </c>
      <c r="B353" t="s">
        <v>1169</v>
      </c>
      <c r="C353" t="s">
        <v>1527</v>
      </c>
      <c r="D353" t="s">
        <v>1224</v>
      </c>
      <c r="E353">
        <v>3062</v>
      </c>
      <c r="F353" t="s">
        <v>5</v>
      </c>
      <c r="G353">
        <v>1854</v>
      </c>
      <c r="H353" s="2">
        <f t="shared" si="5"/>
        <v>0.60548661005878512</v>
      </c>
      <c r="I353" t="s">
        <v>6</v>
      </c>
      <c r="J353">
        <v>-29.072632937306299</v>
      </c>
      <c r="K353" t="s">
        <v>7</v>
      </c>
      <c r="L353">
        <v>-9.49465478030905E-3</v>
      </c>
      <c r="M353" t="s">
        <v>8</v>
      </c>
      <c r="N353">
        <v>1.1246085246259501</v>
      </c>
      <c r="O353" t="s">
        <v>9</v>
      </c>
      <c r="P353">
        <v>-1.7500801635710399</v>
      </c>
      <c r="Q353" t="s">
        <v>10</v>
      </c>
      <c r="R353">
        <v>2.70461874247566</v>
      </c>
      <c r="S353" t="s">
        <v>11</v>
      </c>
      <c r="T353" t="s">
        <v>1251</v>
      </c>
      <c r="U353" t="s">
        <v>647</v>
      </c>
      <c r="V353">
        <v>0</v>
      </c>
      <c r="W353" t="s">
        <v>14</v>
      </c>
      <c r="X353" t="s">
        <v>15</v>
      </c>
      <c r="Y353" t="s">
        <v>1252</v>
      </c>
      <c r="Z353" t="s">
        <v>1253</v>
      </c>
      <c r="AA353">
        <v>0</v>
      </c>
      <c r="AB353" t="s">
        <v>18</v>
      </c>
    </row>
    <row r="354" spans="1:28" x14ac:dyDescent="0.3">
      <c r="A354" t="s">
        <v>1223</v>
      </c>
      <c r="B354" t="s">
        <v>1150</v>
      </c>
      <c r="C354" t="s">
        <v>1881</v>
      </c>
      <c r="D354" t="s">
        <v>1224</v>
      </c>
      <c r="E354">
        <v>230</v>
      </c>
      <c r="F354" t="s">
        <v>5</v>
      </c>
      <c r="G354">
        <v>118</v>
      </c>
      <c r="H354" s="2">
        <f t="shared" si="5"/>
        <v>0.5130434782608696</v>
      </c>
      <c r="I354" t="s">
        <v>6</v>
      </c>
      <c r="J354">
        <v>-29.099999999999898</v>
      </c>
      <c r="K354" t="s">
        <v>7</v>
      </c>
      <c r="L354">
        <v>-0.12652173913043399</v>
      </c>
      <c r="M354" t="s">
        <v>8</v>
      </c>
      <c r="N354">
        <v>1.5417796610169401</v>
      </c>
      <c r="O354" t="s">
        <v>9</v>
      </c>
      <c r="P354">
        <v>-1.8841964285714199</v>
      </c>
      <c r="Q354" t="s">
        <v>10</v>
      </c>
      <c r="R354">
        <v>0.55723320377482</v>
      </c>
      <c r="S354" t="s">
        <v>11</v>
      </c>
      <c r="T354" t="s">
        <v>1229</v>
      </c>
      <c r="U354" t="s">
        <v>1230</v>
      </c>
      <c r="V354">
        <v>0</v>
      </c>
      <c r="W354" t="s">
        <v>14</v>
      </c>
      <c r="X354" t="s">
        <v>15</v>
      </c>
      <c r="Y354" t="s">
        <v>1461</v>
      </c>
      <c r="Z354" t="s">
        <v>1320</v>
      </c>
      <c r="AA354">
        <v>0</v>
      </c>
      <c r="AB354" t="s">
        <v>18</v>
      </c>
    </row>
    <row r="355" spans="1:28" x14ac:dyDescent="0.3">
      <c r="A355" t="s">
        <v>1219</v>
      </c>
      <c r="B355" t="s">
        <v>1151</v>
      </c>
      <c r="C355" t="s">
        <v>1582</v>
      </c>
      <c r="D355" t="s">
        <v>1224</v>
      </c>
      <c r="E355">
        <v>200</v>
      </c>
      <c r="F355" t="s">
        <v>5</v>
      </c>
      <c r="G355">
        <v>93</v>
      </c>
      <c r="H355" s="2">
        <f t="shared" si="5"/>
        <v>0.46500000000000002</v>
      </c>
      <c r="I355" t="s">
        <v>6</v>
      </c>
      <c r="J355">
        <v>-29.1299999999999</v>
      </c>
      <c r="K355" t="s">
        <v>7</v>
      </c>
      <c r="L355">
        <v>-0.145649999999999</v>
      </c>
      <c r="M355" t="s">
        <v>8</v>
      </c>
      <c r="N355">
        <v>1.8269892473118201</v>
      </c>
      <c r="O355" t="s">
        <v>9</v>
      </c>
      <c r="P355">
        <v>-1.8601869158878499</v>
      </c>
      <c r="Q355" t="s">
        <v>10</v>
      </c>
      <c r="R355">
        <v>0.56449255560021405</v>
      </c>
      <c r="S355" t="s">
        <v>11</v>
      </c>
      <c r="T355" t="s">
        <v>1315</v>
      </c>
      <c r="U355" t="s">
        <v>763</v>
      </c>
      <c r="V355">
        <v>0</v>
      </c>
      <c r="W355" t="s">
        <v>14</v>
      </c>
      <c r="X355" t="s">
        <v>15</v>
      </c>
      <c r="Y355" t="s">
        <v>1324</v>
      </c>
      <c r="Z355" t="s">
        <v>647</v>
      </c>
      <c r="AA355">
        <v>0</v>
      </c>
      <c r="AB355" t="s">
        <v>18</v>
      </c>
    </row>
    <row r="356" spans="1:28" x14ac:dyDescent="0.3">
      <c r="A356" t="s">
        <v>1223</v>
      </c>
      <c r="B356" t="s">
        <v>1153</v>
      </c>
      <c r="C356" t="s">
        <v>1884</v>
      </c>
      <c r="D356" t="s">
        <v>1224</v>
      </c>
      <c r="E356">
        <v>230</v>
      </c>
      <c r="F356" t="s">
        <v>5</v>
      </c>
      <c r="G356">
        <v>112</v>
      </c>
      <c r="H356" s="2">
        <f t="shared" si="5"/>
        <v>0.48695652173913045</v>
      </c>
      <c r="I356" t="s">
        <v>6</v>
      </c>
      <c r="J356">
        <v>-29.86</v>
      </c>
      <c r="K356" t="s">
        <v>7</v>
      </c>
      <c r="L356">
        <v>-0.12982608695652101</v>
      </c>
      <c r="M356" t="s">
        <v>8</v>
      </c>
      <c r="N356">
        <v>1.7182142857142799</v>
      </c>
      <c r="O356" t="s">
        <v>9</v>
      </c>
      <c r="P356">
        <v>-1.88389830508474</v>
      </c>
      <c r="Q356" t="s">
        <v>10</v>
      </c>
      <c r="R356">
        <v>0.64452395270490703</v>
      </c>
      <c r="S356" t="s">
        <v>11</v>
      </c>
      <c r="T356" t="s">
        <v>1229</v>
      </c>
      <c r="U356" t="s">
        <v>1230</v>
      </c>
      <c r="V356">
        <v>0</v>
      </c>
      <c r="W356" t="s">
        <v>14</v>
      </c>
      <c r="X356" t="s">
        <v>15</v>
      </c>
      <c r="Y356" t="s">
        <v>1463</v>
      </c>
      <c r="Z356" t="s">
        <v>632</v>
      </c>
      <c r="AA356">
        <v>0</v>
      </c>
      <c r="AB356" t="s">
        <v>18</v>
      </c>
    </row>
    <row r="357" spans="1:28" x14ac:dyDescent="0.3">
      <c r="A357" t="s">
        <v>1219</v>
      </c>
      <c r="B357" t="s">
        <v>1183</v>
      </c>
      <c r="C357" t="s">
        <v>1614</v>
      </c>
      <c r="D357" t="s">
        <v>1224</v>
      </c>
      <c r="E357">
        <v>200</v>
      </c>
      <c r="F357" t="s">
        <v>5</v>
      </c>
      <c r="G357">
        <v>45</v>
      </c>
      <c r="H357" s="2">
        <f t="shared" si="5"/>
        <v>0.22500000000000001</v>
      </c>
      <c r="I357" t="s">
        <v>6</v>
      </c>
      <c r="J357">
        <v>-29.939999999999898</v>
      </c>
      <c r="K357" t="s">
        <v>7</v>
      </c>
      <c r="L357">
        <v>-0.149699999999999</v>
      </c>
      <c r="M357" t="s">
        <v>8</v>
      </c>
      <c r="N357">
        <v>4.5835555555555496</v>
      </c>
      <c r="O357" t="s">
        <v>9</v>
      </c>
      <c r="P357">
        <v>-1.52387096774193</v>
      </c>
      <c r="Q357" t="s">
        <v>10</v>
      </c>
      <c r="R357">
        <v>0.726423394496296</v>
      </c>
      <c r="S357" t="s">
        <v>11</v>
      </c>
      <c r="T357" t="s">
        <v>193</v>
      </c>
      <c r="U357" t="s">
        <v>1230</v>
      </c>
      <c r="V357">
        <v>0</v>
      </c>
      <c r="W357" t="s">
        <v>14</v>
      </c>
      <c r="X357" t="s">
        <v>15</v>
      </c>
      <c r="Y357" t="s">
        <v>1346</v>
      </c>
      <c r="Z357" t="s">
        <v>284</v>
      </c>
      <c r="AA357">
        <v>0</v>
      </c>
      <c r="AB357" t="s">
        <v>18</v>
      </c>
    </row>
    <row r="358" spans="1:28" x14ac:dyDescent="0.3">
      <c r="A358" t="s">
        <v>1219</v>
      </c>
      <c r="B358" t="s">
        <v>1154</v>
      </c>
      <c r="C358" t="s">
        <v>1585</v>
      </c>
      <c r="D358" t="s">
        <v>1224</v>
      </c>
      <c r="E358">
        <v>197</v>
      </c>
      <c r="F358" t="s">
        <v>5</v>
      </c>
      <c r="G358">
        <v>106</v>
      </c>
      <c r="H358" s="2">
        <f t="shared" si="5"/>
        <v>0.53807106598984766</v>
      </c>
      <c r="I358" t="s">
        <v>6</v>
      </c>
      <c r="J358">
        <v>-30.055655274533901</v>
      </c>
      <c r="K358" t="s">
        <v>7</v>
      </c>
      <c r="L358">
        <v>-0.152566778043319</v>
      </c>
      <c r="M358" t="s">
        <v>8</v>
      </c>
      <c r="N358">
        <v>1.35324045746213</v>
      </c>
      <c r="O358" t="s">
        <v>9</v>
      </c>
      <c r="P358">
        <v>-1.9065839974233001</v>
      </c>
      <c r="Q358" t="s">
        <v>10</v>
      </c>
      <c r="R358">
        <v>0.41439045066827601</v>
      </c>
      <c r="S358" t="s">
        <v>11</v>
      </c>
      <c r="T358" t="s">
        <v>1241</v>
      </c>
      <c r="U358" t="s">
        <v>647</v>
      </c>
      <c r="V358">
        <v>0</v>
      </c>
      <c r="W358" t="s">
        <v>14</v>
      </c>
      <c r="X358" t="s">
        <v>15</v>
      </c>
      <c r="Y358" t="s">
        <v>1325</v>
      </c>
      <c r="Z358" t="s">
        <v>647</v>
      </c>
      <c r="AA358">
        <v>0</v>
      </c>
      <c r="AB358" t="s">
        <v>18</v>
      </c>
    </row>
    <row r="359" spans="1:28" x14ac:dyDescent="0.3">
      <c r="A359" t="s">
        <v>1223</v>
      </c>
      <c r="B359" t="s">
        <v>1164</v>
      </c>
      <c r="C359" t="s">
        <v>1895</v>
      </c>
      <c r="D359" t="s">
        <v>1224</v>
      </c>
      <c r="E359">
        <v>230</v>
      </c>
      <c r="F359" t="s">
        <v>5</v>
      </c>
      <c r="G359">
        <v>136</v>
      </c>
      <c r="H359" s="2">
        <f t="shared" si="5"/>
        <v>0.59130434782608698</v>
      </c>
      <c r="I359" t="s">
        <v>6</v>
      </c>
      <c r="J359">
        <v>-30.4299999999999</v>
      </c>
      <c r="K359" t="s">
        <v>7</v>
      </c>
      <c r="L359">
        <v>-0.13230434782608599</v>
      </c>
      <c r="M359" t="s">
        <v>8</v>
      </c>
      <c r="N359">
        <v>0.99544117647058805</v>
      </c>
      <c r="O359" t="s">
        <v>9</v>
      </c>
      <c r="P359">
        <v>-1.7639361702127601</v>
      </c>
      <c r="Q359" t="s">
        <v>10</v>
      </c>
      <c r="R359">
        <v>0.41170874445859101</v>
      </c>
      <c r="S359" t="s">
        <v>11</v>
      </c>
      <c r="T359" t="s">
        <v>133</v>
      </c>
      <c r="U359" t="s">
        <v>1230</v>
      </c>
      <c r="V359">
        <v>0</v>
      </c>
      <c r="W359" t="s">
        <v>14</v>
      </c>
      <c r="X359" t="s">
        <v>15</v>
      </c>
      <c r="Y359" t="s">
        <v>1472</v>
      </c>
      <c r="Z359" t="s">
        <v>1473</v>
      </c>
      <c r="AA359">
        <v>0</v>
      </c>
      <c r="AB359" t="s">
        <v>18</v>
      </c>
    </row>
    <row r="360" spans="1:28" x14ac:dyDescent="0.3">
      <c r="A360" t="s">
        <v>1223</v>
      </c>
      <c r="B360" t="s">
        <v>1199</v>
      </c>
      <c r="C360" t="s">
        <v>1930</v>
      </c>
      <c r="D360" t="s">
        <v>1224</v>
      </c>
      <c r="E360">
        <v>235</v>
      </c>
      <c r="F360" t="s">
        <v>5</v>
      </c>
      <c r="G360">
        <v>142</v>
      </c>
      <c r="H360" s="2">
        <f t="shared" si="5"/>
        <v>0.60425531914893615</v>
      </c>
      <c r="I360" t="s">
        <v>6</v>
      </c>
      <c r="J360">
        <v>-30.549705948511601</v>
      </c>
      <c r="K360" t="s">
        <v>7</v>
      </c>
      <c r="L360">
        <v>-0.12999874871707001</v>
      </c>
      <c r="M360" t="s">
        <v>8</v>
      </c>
      <c r="N360">
        <v>0.84701134504011499</v>
      </c>
      <c r="O360" t="s">
        <v>9</v>
      </c>
      <c r="P360">
        <v>-1.62177760155062</v>
      </c>
      <c r="Q360" t="s">
        <v>10</v>
      </c>
      <c r="R360">
        <v>0.36628074699178798</v>
      </c>
      <c r="S360" t="s">
        <v>11</v>
      </c>
      <c r="T360" t="s">
        <v>1407</v>
      </c>
      <c r="U360" t="s">
        <v>632</v>
      </c>
      <c r="V360">
        <v>0</v>
      </c>
      <c r="W360" t="s">
        <v>14</v>
      </c>
      <c r="X360" t="s">
        <v>15</v>
      </c>
      <c r="Y360" t="s">
        <v>1494</v>
      </c>
      <c r="Z360" t="s">
        <v>1478</v>
      </c>
      <c r="AA360">
        <v>0</v>
      </c>
      <c r="AB360" t="s">
        <v>18</v>
      </c>
    </row>
    <row r="361" spans="1:28" x14ac:dyDescent="0.3">
      <c r="A361" t="s">
        <v>1223</v>
      </c>
      <c r="B361" t="s">
        <v>1184</v>
      </c>
      <c r="C361" t="s">
        <v>1915</v>
      </c>
      <c r="D361" t="s">
        <v>1224</v>
      </c>
      <c r="E361">
        <v>235</v>
      </c>
      <c r="F361" t="s">
        <v>5</v>
      </c>
      <c r="G361">
        <v>101</v>
      </c>
      <c r="H361" s="2">
        <f t="shared" si="5"/>
        <v>0.4297872340425532</v>
      </c>
      <c r="I361" t="s">
        <v>6</v>
      </c>
      <c r="J361">
        <v>-31.172215928383501</v>
      </c>
      <c r="K361" t="s">
        <v>7</v>
      </c>
      <c r="L361">
        <v>-0.132647727354823</v>
      </c>
      <c r="M361" t="s">
        <v>8</v>
      </c>
      <c r="N361">
        <v>1.6380355761238601</v>
      </c>
      <c r="O361" t="s">
        <v>9</v>
      </c>
      <c r="P361">
        <v>-1.4672672322156199</v>
      </c>
      <c r="Q361" t="s">
        <v>10</v>
      </c>
      <c r="R361">
        <v>0.43695416656414499</v>
      </c>
      <c r="S361" t="s">
        <v>11</v>
      </c>
      <c r="T361" t="s">
        <v>1486</v>
      </c>
      <c r="U361" t="s">
        <v>91</v>
      </c>
      <c r="V361">
        <v>0</v>
      </c>
      <c r="W361" t="s">
        <v>14</v>
      </c>
      <c r="X361" t="s">
        <v>15</v>
      </c>
      <c r="Y361" t="s">
        <v>1486</v>
      </c>
      <c r="Z361" t="s">
        <v>91</v>
      </c>
      <c r="AA361">
        <v>0</v>
      </c>
      <c r="AB361" t="s">
        <v>18</v>
      </c>
    </row>
    <row r="362" spans="1:28" x14ac:dyDescent="0.3">
      <c r="A362" t="s">
        <v>1219</v>
      </c>
      <c r="B362" t="s">
        <v>1184</v>
      </c>
      <c r="C362" t="s">
        <v>1615</v>
      </c>
      <c r="D362" t="s">
        <v>1224</v>
      </c>
      <c r="E362">
        <v>197</v>
      </c>
      <c r="F362" t="s">
        <v>5</v>
      </c>
      <c r="G362">
        <v>87</v>
      </c>
      <c r="H362" s="2">
        <f t="shared" si="5"/>
        <v>0.44162436548223349</v>
      </c>
      <c r="I362" t="s">
        <v>6</v>
      </c>
      <c r="J362">
        <v>-32.337319380957801</v>
      </c>
      <c r="K362" t="s">
        <v>7</v>
      </c>
      <c r="L362">
        <v>-0.164148829344963</v>
      </c>
      <c r="M362" t="s">
        <v>8</v>
      </c>
      <c r="N362">
        <v>1.69869676684882</v>
      </c>
      <c r="O362" t="s">
        <v>9</v>
      </c>
      <c r="P362">
        <v>-1.63749034633459</v>
      </c>
      <c r="Q362" t="s">
        <v>10</v>
      </c>
      <c r="R362">
        <v>0.42138099534394902</v>
      </c>
      <c r="S362" t="s">
        <v>11</v>
      </c>
      <c r="T362" t="s">
        <v>1271</v>
      </c>
      <c r="U362" t="s">
        <v>647</v>
      </c>
      <c r="V362">
        <v>0</v>
      </c>
      <c r="W362" t="s">
        <v>14</v>
      </c>
      <c r="X362" t="s">
        <v>15</v>
      </c>
      <c r="Y362" t="s">
        <v>1271</v>
      </c>
      <c r="Z362" t="s">
        <v>647</v>
      </c>
      <c r="AA362">
        <v>0</v>
      </c>
      <c r="AB362" t="s">
        <v>18</v>
      </c>
    </row>
    <row r="363" spans="1:28" x14ac:dyDescent="0.3">
      <c r="A363" t="s">
        <v>1220</v>
      </c>
      <c r="B363" t="s">
        <v>1151</v>
      </c>
      <c r="C363" t="s">
        <v>1657</v>
      </c>
      <c r="D363" t="s">
        <v>1224</v>
      </c>
      <c r="E363">
        <v>136</v>
      </c>
      <c r="F363" t="s">
        <v>5</v>
      </c>
      <c r="G363">
        <v>62</v>
      </c>
      <c r="H363" s="2">
        <f t="shared" si="5"/>
        <v>0.45588235294117646</v>
      </c>
      <c r="I363" t="s">
        <v>6</v>
      </c>
      <c r="J363">
        <v>-32.819999999999901</v>
      </c>
      <c r="K363" t="s">
        <v>7</v>
      </c>
      <c r="L363">
        <v>-0.24132352941176399</v>
      </c>
      <c r="M363" t="s">
        <v>8</v>
      </c>
      <c r="N363">
        <v>1.6627419354838699</v>
      </c>
      <c r="O363" t="s">
        <v>9</v>
      </c>
      <c r="P363">
        <v>-1.83662162162162</v>
      </c>
      <c r="Q363" t="s">
        <v>10</v>
      </c>
      <c r="R363">
        <v>0.367335664025288</v>
      </c>
      <c r="S363" t="s">
        <v>11</v>
      </c>
      <c r="T363" t="s">
        <v>1380</v>
      </c>
      <c r="U363" t="s">
        <v>1381</v>
      </c>
      <c r="V363">
        <v>0</v>
      </c>
      <c r="W363" t="s">
        <v>14</v>
      </c>
      <c r="X363" t="s">
        <v>15</v>
      </c>
      <c r="Y363" t="s">
        <v>1377</v>
      </c>
      <c r="Z363" t="s">
        <v>1376</v>
      </c>
      <c r="AA363">
        <v>0</v>
      </c>
      <c r="AB363" t="s">
        <v>18</v>
      </c>
    </row>
    <row r="364" spans="1:28" x14ac:dyDescent="0.3">
      <c r="A364" t="s">
        <v>1219</v>
      </c>
      <c r="B364" t="s">
        <v>1206</v>
      </c>
      <c r="C364" t="s">
        <v>1637</v>
      </c>
      <c r="D364" t="s">
        <v>1224</v>
      </c>
      <c r="E364">
        <v>191</v>
      </c>
      <c r="F364" t="s">
        <v>5</v>
      </c>
      <c r="G364">
        <v>50</v>
      </c>
      <c r="H364" s="2">
        <f t="shared" si="5"/>
        <v>0.26178010471204188</v>
      </c>
      <c r="I364" t="s">
        <v>6</v>
      </c>
      <c r="J364">
        <v>-32.929999999999801</v>
      </c>
      <c r="K364" t="s">
        <v>7</v>
      </c>
      <c r="L364">
        <v>-0.17240837696335001</v>
      </c>
      <c r="M364" t="s">
        <v>8</v>
      </c>
      <c r="N364">
        <v>2.3673999999999999</v>
      </c>
      <c r="O364" t="s">
        <v>9</v>
      </c>
      <c r="P364">
        <v>-1.07304964539007</v>
      </c>
      <c r="Q364" t="s">
        <v>10</v>
      </c>
      <c r="R364">
        <v>0.42855243284452699</v>
      </c>
      <c r="S364" t="s">
        <v>11</v>
      </c>
      <c r="T364" t="s">
        <v>1360</v>
      </c>
      <c r="U364" t="s">
        <v>25</v>
      </c>
      <c r="V364">
        <v>0</v>
      </c>
      <c r="W364" t="s">
        <v>14</v>
      </c>
      <c r="X364" t="s">
        <v>15</v>
      </c>
      <c r="Y364" t="s">
        <v>1361</v>
      </c>
      <c r="Z364" t="s">
        <v>91</v>
      </c>
      <c r="AA364">
        <v>0</v>
      </c>
      <c r="AB364" t="s">
        <v>18</v>
      </c>
    </row>
    <row r="365" spans="1:28" x14ac:dyDescent="0.3">
      <c r="A365" t="s">
        <v>1223</v>
      </c>
      <c r="B365" t="s">
        <v>1174</v>
      </c>
      <c r="C365" t="s">
        <v>1905</v>
      </c>
      <c r="D365" t="s">
        <v>1224</v>
      </c>
      <c r="E365">
        <v>224</v>
      </c>
      <c r="F365" t="s">
        <v>5</v>
      </c>
      <c r="G365">
        <v>95</v>
      </c>
      <c r="H365" s="2">
        <f t="shared" si="5"/>
        <v>0.42410714285714285</v>
      </c>
      <c r="I365" t="s">
        <v>6</v>
      </c>
      <c r="J365">
        <v>-33.299999999999898</v>
      </c>
      <c r="K365" t="s">
        <v>7</v>
      </c>
      <c r="L365">
        <v>-0.14866071428571401</v>
      </c>
      <c r="M365" t="s">
        <v>8</v>
      </c>
      <c r="N365">
        <v>1.3002105263157799</v>
      </c>
      <c r="O365" t="s">
        <v>9</v>
      </c>
      <c r="P365">
        <v>-1.21565891472868</v>
      </c>
      <c r="Q365" t="s">
        <v>10</v>
      </c>
      <c r="R365">
        <v>0.37985594541240197</v>
      </c>
      <c r="S365" t="s">
        <v>11</v>
      </c>
      <c r="T365" t="s">
        <v>1481</v>
      </c>
      <c r="U365" t="s">
        <v>1482</v>
      </c>
      <c r="V365">
        <v>0</v>
      </c>
      <c r="W365" t="s">
        <v>14</v>
      </c>
      <c r="X365" t="s">
        <v>15</v>
      </c>
      <c r="Y365" t="s">
        <v>1338</v>
      </c>
      <c r="Z365" t="s">
        <v>91</v>
      </c>
      <c r="AA365">
        <v>0</v>
      </c>
      <c r="AB365" t="s">
        <v>18</v>
      </c>
    </row>
    <row r="366" spans="1:28" x14ac:dyDescent="0.3">
      <c r="A366" t="s">
        <v>1223</v>
      </c>
      <c r="B366" t="s">
        <v>1179</v>
      </c>
      <c r="C366" t="s">
        <v>1910</v>
      </c>
      <c r="D366" t="s">
        <v>1224</v>
      </c>
      <c r="E366">
        <v>230</v>
      </c>
      <c r="F366" t="s">
        <v>5</v>
      </c>
      <c r="G366">
        <v>98</v>
      </c>
      <c r="H366" s="2">
        <f t="shared" si="5"/>
        <v>0.42608695652173911</v>
      </c>
      <c r="I366" t="s">
        <v>6</v>
      </c>
      <c r="J366">
        <v>-33.329999999999799</v>
      </c>
      <c r="K366" t="s">
        <v>7</v>
      </c>
      <c r="L366">
        <v>-0.14491304347826001</v>
      </c>
      <c r="M366" t="s">
        <v>8</v>
      </c>
      <c r="N366">
        <v>1.3977551020408101</v>
      </c>
      <c r="O366" t="s">
        <v>9</v>
      </c>
      <c r="P366">
        <v>-1.2902272727272699</v>
      </c>
      <c r="Q366" t="s">
        <v>10</v>
      </c>
      <c r="R366">
        <v>0.41682516704262401</v>
      </c>
      <c r="S366" t="s">
        <v>11</v>
      </c>
      <c r="T366" t="s">
        <v>1362</v>
      </c>
      <c r="U366" t="s">
        <v>1230</v>
      </c>
      <c r="V366">
        <v>0</v>
      </c>
      <c r="W366" t="s">
        <v>14</v>
      </c>
      <c r="X366" t="s">
        <v>15</v>
      </c>
      <c r="Y366" t="s">
        <v>1485</v>
      </c>
      <c r="Z366" t="s">
        <v>91</v>
      </c>
      <c r="AA366">
        <v>0</v>
      </c>
      <c r="AB366" t="s">
        <v>18</v>
      </c>
    </row>
    <row r="367" spans="1:28" x14ac:dyDescent="0.3">
      <c r="A367" t="s">
        <v>1219</v>
      </c>
      <c r="B367" t="s">
        <v>1205</v>
      </c>
      <c r="C367" t="s">
        <v>1636</v>
      </c>
      <c r="D367" t="s">
        <v>1224</v>
      </c>
      <c r="E367">
        <v>191</v>
      </c>
      <c r="F367" t="s">
        <v>5</v>
      </c>
      <c r="G367">
        <v>54</v>
      </c>
      <c r="H367" s="2">
        <f t="shared" si="5"/>
        <v>0.28272251308900526</v>
      </c>
      <c r="I367" t="s">
        <v>6</v>
      </c>
      <c r="J367">
        <v>-33.5399999999998</v>
      </c>
      <c r="K367" t="s">
        <v>7</v>
      </c>
      <c r="L367">
        <v>-0.175602094240836</v>
      </c>
      <c r="M367" t="s">
        <v>8</v>
      </c>
      <c r="N367">
        <v>2.0542592592592599</v>
      </c>
      <c r="O367" t="s">
        <v>9</v>
      </c>
      <c r="P367">
        <v>-1.05452554744525</v>
      </c>
      <c r="Q367" t="s">
        <v>10</v>
      </c>
      <c r="R367">
        <v>0.40256145337725902</v>
      </c>
      <c r="S367" t="s">
        <v>11</v>
      </c>
      <c r="T367" t="s">
        <v>1360</v>
      </c>
      <c r="U367" t="s">
        <v>25</v>
      </c>
      <c r="V367">
        <v>0</v>
      </c>
      <c r="W367" t="s">
        <v>14</v>
      </c>
      <c r="X367" t="s">
        <v>15</v>
      </c>
      <c r="Y367" t="s">
        <v>1361</v>
      </c>
      <c r="Z367" t="s">
        <v>91</v>
      </c>
      <c r="AA367">
        <v>0</v>
      </c>
      <c r="AB367" t="s">
        <v>18</v>
      </c>
    </row>
    <row r="368" spans="1:28" x14ac:dyDescent="0.3">
      <c r="A368" t="s">
        <v>1143</v>
      </c>
      <c r="B368" t="s">
        <v>1175</v>
      </c>
      <c r="C368" t="s">
        <v>1533</v>
      </c>
      <c r="D368" t="s">
        <v>1224</v>
      </c>
      <c r="E368">
        <v>3073</v>
      </c>
      <c r="F368" t="s">
        <v>5</v>
      </c>
      <c r="G368">
        <v>1112</v>
      </c>
      <c r="H368" s="2">
        <f t="shared" si="5"/>
        <v>0.3618613732508949</v>
      </c>
      <c r="I368" t="s">
        <v>6</v>
      </c>
      <c r="J368">
        <v>-33.589523318051299</v>
      </c>
      <c r="K368" t="s">
        <v>7</v>
      </c>
      <c r="L368">
        <v>-1.09305315060368E-2</v>
      </c>
      <c r="M368" t="s">
        <v>8</v>
      </c>
      <c r="N368">
        <v>2.0689006928061602</v>
      </c>
      <c r="O368" t="s">
        <v>9</v>
      </c>
      <c r="P368">
        <v>-1.1909219865910701</v>
      </c>
      <c r="Q368" t="s">
        <v>10</v>
      </c>
      <c r="R368">
        <v>4.0278185831110003</v>
      </c>
      <c r="S368" t="s">
        <v>11</v>
      </c>
      <c r="T368" t="s">
        <v>1263</v>
      </c>
      <c r="U368" t="s">
        <v>230</v>
      </c>
      <c r="V368">
        <v>0</v>
      </c>
      <c r="W368" t="s">
        <v>14</v>
      </c>
      <c r="X368" t="s">
        <v>15</v>
      </c>
      <c r="Y368" t="s">
        <v>1264</v>
      </c>
      <c r="Z368" t="s">
        <v>25</v>
      </c>
      <c r="AA368">
        <v>0</v>
      </c>
      <c r="AB368" t="s">
        <v>18</v>
      </c>
    </row>
    <row r="369" spans="1:28" x14ac:dyDescent="0.3">
      <c r="A369" t="s">
        <v>1143</v>
      </c>
      <c r="B369" t="s">
        <v>1199</v>
      </c>
      <c r="C369" t="s">
        <v>1556</v>
      </c>
      <c r="D369" t="s">
        <v>1224</v>
      </c>
      <c r="E369">
        <v>3062</v>
      </c>
      <c r="F369" t="s">
        <v>5</v>
      </c>
      <c r="G369">
        <v>1998</v>
      </c>
      <c r="H369" s="2">
        <f t="shared" si="5"/>
        <v>0.65251469627694314</v>
      </c>
      <c r="I369" t="s">
        <v>6</v>
      </c>
      <c r="J369">
        <v>-33.745150062721102</v>
      </c>
      <c r="K369" t="s">
        <v>7</v>
      </c>
      <c r="L369">
        <v>-1.10206237957939E-2</v>
      </c>
      <c r="M369" t="s">
        <v>8</v>
      </c>
      <c r="N369">
        <v>0.83527822201605895</v>
      </c>
      <c r="O369" t="s">
        <v>9</v>
      </c>
      <c r="P369">
        <v>-1.6017225189565301</v>
      </c>
      <c r="Q369" t="s">
        <v>10</v>
      </c>
      <c r="R369">
        <v>2.4687384771656702</v>
      </c>
      <c r="S369" t="s">
        <v>11</v>
      </c>
      <c r="T369" t="s">
        <v>1281</v>
      </c>
      <c r="U369" t="s">
        <v>595</v>
      </c>
      <c r="V369">
        <v>0</v>
      </c>
      <c r="W369" t="s">
        <v>14</v>
      </c>
      <c r="X369" t="s">
        <v>15</v>
      </c>
      <c r="Y369" t="s">
        <v>1282</v>
      </c>
      <c r="Z369" t="s">
        <v>1237</v>
      </c>
      <c r="AA369">
        <v>0</v>
      </c>
      <c r="AB369" t="s">
        <v>18</v>
      </c>
    </row>
    <row r="370" spans="1:28" x14ac:dyDescent="0.3">
      <c r="A370" t="s">
        <v>1223</v>
      </c>
      <c r="B370" t="s">
        <v>1154</v>
      </c>
      <c r="C370" t="s">
        <v>1885</v>
      </c>
      <c r="D370" t="s">
        <v>1224</v>
      </c>
      <c r="E370">
        <v>235</v>
      </c>
      <c r="F370" t="s">
        <v>5</v>
      </c>
      <c r="G370">
        <v>124</v>
      </c>
      <c r="H370" s="2">
        <f t="shared" si="5"/>
        <v>0.52765957446808509</v>
      </c>
      <c r="I370" t="s">
        <v>6</v>
      </c>
      <c r="J370">
        <v>-34.114863542929598</v>
      </c>
      <c r="K370" t="s">
        <v>7</v>
      </c>
      <c r="L370">
        <v>-0.145169632097573</v>
      </c>
      <c r="M370" t="s">
        <v>8</v>
      </c>
      <c r="N370">
        <v>1.3387934343880701</v>
      </c>
      <c r="O370" t="s">
        <v>9</v>
      </c>
      <c r="P370">
        <v>-1.80293017483829</v>
      </c>
      <c r="Q370" t="s">
        <v>10</v>
      </c>
      <c r="R370">
        <v>0.46057958458067499</v>
      </c>
      <c r="S370" t="s">
        <v>11</v>
      </c>
      <c r="T370" t="s">
        <v>1464</v>
      </c>
      <c r="U370" t="s">
        <v>1465</v>
      </c>
      <c r="V370">
        <v>0</v>
      </c>
      <c r="W370" t="s">
        <v>14</v>
      </c>
      <c r="X370" t="s">
        <v>15</v>
      </c>
      <c r="Y370" t="s">
        <v>1464</v>
      </c>
      <c r="Z370" t="s">
        <v>1465</v>
      </c>
      <c r="AA370">
        <v>0</v>
      </c>
      <c r="AB370" t="s">
        <v>18</v>
      </c>
    </row>
    <row r="371" spans="1:28" x14ac:dyDescent="0.3">
      <c r="A371" t="s">
        <v>1219</v>
      </c>
      <c r="B371" t="s">
        <v>1157</v>
      </c>
      <c r="C371" t="s">
        <v>1588</v>
      </c>
      <c r="D371" t="s">
        <v>1224</v>
      </c>
      <c r="E371">
        <v>197</v>
      </c>
      <c r="F371" t="s">
        <v>5</v>
      </c>
      <c r="G371">
        <v>69</v>
      </c>
      <c r="H371" s="2">
        <f t="shared" si="5"/>
        <v>0.35025380710659898</v>
      </c>
      <c r="I371" t="s">
        <v>6</v>
      </c>
      <c r="J371">
        <v>-34.1316101562198</v>
      </c>
      <c r="K371" t="s">
        <v>7</v>
      </c>
      <c r="L371">
        <v>-0.17325690434629301</v>
      </c>
      <c r="M371" t="s">
        <v>8</v>
      </c>
      <c r="N371">
        <v>3.0752983464577102</v>
      </c>
      <c r="O371" t="s">
        <v>9</v>
      </c>
      <c r="P371">
        <v>-1.9244312192328199</v>
      </c>
      <c r="Q371" t="s">
        <v>10</v>
      </c>
      <c r="R371">
        <v>0.68471322809790902</v>
      </c>
      <c r="S371" t="s">
        <v>11</v>
      </c>
      <c r="T371" t="s">
        <v>1241</v>
      </c>
      <c r="U371" t="s">
        <v>647</v>
      </c>
      <c r="V371">
        <v>0</v>
      </c>
      <c r="W371" t="s">
        <v>14</v>
      </c>
      <c r="X371" t="s">
        <v>15</v>
      </c>
      <c r="Y371" t="s">
        <v>1328</v>
      </c>
      <c r="Z371" t="s">
        <v>647</v>
      </c>
      <c r="AA371">
        <v>0</v>
      </c>
      <c r="AB371" t="s">
        <v>18</v>
      </c>
    </row>
    <row r="372" spans="1:28" x14ac:dyDescent="0.3">
      <c r="A372" t="s">
        <v>1219</v>
      </c>
      <c r="B372" t="s">
        <v>1185</v>
      </c>
      <c r="C372" t="s">
        <v>1616</v>
      </c>
      <c r="D372" t="s">
        <v>1224</v>
      </c>
      <c r="E372">
        <v>197</v>
      </c>
      <c r="F372" t="s">
        <v>5</v>
      </c>
      <c r="G372">
        <v>68</v>
      </c>
      <c r="H372" s="2">
        <f t="shared" si="5"/>
        <v>0.34517766497461927</v>
      </c>
      <c r="I372" t="s">
        <v>6</v>
      </c>
      <c r="J372">
        <v>-35.043855076560597</v>
      </c>
      <c r="K372" t="s">
        <v>7</v>
      </c>
      <c r="L372">
        <v>-0.177887589221119</v>
      </c>
      <c r="M372" t="s">
        <v>8</v>
      </c>
      <c r="N372">
        <v>2.5841948365683098</v>
      </c>
      <c r="O372" t="s">
        <v>9</v>
      </c>
      <c r="P372">
        <v>-1.6338690229705899</v>
      </c>
      <c r="Q372" t="s">
        <v>10</v>
      </c>
      <c r="R372">
        <v>0.49561032836409002</v>
      </c>
      <c r="S372" t="s">
        <v>11</v>
      </c>
      <c r="T372" t="s">
        <v>1271</v>
      </c>
      <c r="U372" t="s">
        <v>647</v>
      </c>
      <c r="V372">
        <v>0</v>
      </c>
      <c r="W372" t="s">
        <v>14</v>
      </c>
      <c r="X372" t="s">
        <v>15</v>
      </c>
      <c r="Y372" t="s">
        <v>1347</v>
      </c>
      <c r="Z372" t="s">
        <v>647</v>
      </c>
      <c r="AA372">
        <v>0</v>
      </c>
      <c r="AB372" t="s">
        <v>18</v>
      </c>
    </row>
    <row r="373" spans="1:28" x14ac:dyDescent="0.3">
      <c r="A373" t="s">
        <v>1223</v>
      </c>
      <c r="B373" t="s">
        <v>1204</v>
      </c>
      <c r="C373" t="s">
        <v>1935</v>
      </c>
      <c r="D373" t="s">
        <v>1224</v>
      </c>
      <c r="E373">
        <v>224</v>
      </c>
      <c r="F373" t="s">
        <v>5</v>
      </c>
      <c r="G373">
        <v>77</v>
      </c>
      <c r="H373" s="2">
        <f t="shared" si="5"/>
        <v>0.34375</v>
      </c>
      <c r="I373" t="s">
        <v>6</v>
      </c>
      <c r="J373">
        <v>-35.3599999999999</v>
      </c>
      <c r="K373" t="s">
        <v>7</v>
      </c>
      <c r="L373">
        <v>-0.157857142857142</v>
      </c>
      <c r="M373" t="s">
        <v>8</v>
      </c>
      <c r="N373">
        <v>1.22961038961039</v>
      </c>
      <c r="O373" t="s">
        <v>9</v>
      </c>
      <c r="P373">
        <v>-0.88462585034013597</v>
      </c>
      <c r="Q373" t="s">
        <v>10</v>
      </c>
      <c r="R373">
        <v>0.35501720836836198</v>
      </c>
      <c r="S373" t="s">
        <v>11</v>
      </c>
      <c r="T373" t="s">
        <v>1481</v>
      </c>
      <c r="U373" t="s">
        <v>1482</v>
      </c>
      <c r="V373">
        <v>0</v>
      </c>
      <c r="W373" t="s">
        <v>14</v>
      </c>
      <c r="X373" t="s">
        <v>15</v>
      </c>
      <c r="Y373" t="s">
        <v>1495</v>
      </c>
      <c r="Z373" t="s">
        <v>1482</v>
      </c>
      <c r="AA373">
        <v>0</v>
      </c>
      <c r="AB373" t="s">
        <v>18</v>
      </c>
    </row>
    <row r="374" spans="1:28" x14ac:dyDescent="0.3">
      <c r="A374" t="s">
        <v>1223</v>
      </c>
      <c r="B374" t="s">
        <v>1213</v>
      </c>
      <c r="C374" t="s">
        <v>1944</v>
      </c>
      <c r="D374" t="s">
        <v>1224</v>
      </c>
      <c r="E374">
        <v>230</v>
      </c>
      <c r="F374" t="s">
        <v>5</v>
      </c>
      <c r="G374">
        <v>54</v>
      </c>
      <c r="H374" s="2">
        <f t="shared" si="5"/>
        <v>0.23478260869565218</v>
      </c>
      <c r="I374" t="s">
        <v>6</v>
      </c>
      <c r="J374">
        <v>-35.5399999999999</v>
      </c>
      <c r="K374" t="s">
        <v>7</v>
      </c>
      <c r="L374">
        <v>-0.15452173913043399</v>
      </c>
      <c r="M374" t="s">
        <v>8</v>
      </c>
      <c r="N374">
        <v>2.7742592592592499</v>
      </c>
      <c r="O374" t="s">
        <v>9</v>
      </c>
      <c r="P374">
        <v>-1.0591428571428501</v>
      </c>
      <c r="Q374" t="s">
        <v>10</v>
      </c>
      <c r="R374">
        <v>0.60625343859894898</v>
      </c>
      <c r="S374" t="s">
        <v>11</v>
      </c>
      <c r="T374" t="s">
        <v>1498</v>
      </c>
      <c r="U374" t="s">
        <v>206</v>
      </c>
      <c r="V374">
        <v>0</v>
      </c>
      <c r="W374" t="s">
        <v>14</v>
      </c>
      <c r="X374" t="s">
        <v>15</v>
      </c>
      <c r="Y374" t="s">
        <v>1499</v>
      </c>
      <c r="Z374" t="s">
        <v>206</v>
      </c>
      <c r="AA374">
        <v>0</v>
      </c>
      <c r="AB374" t="s">
        <v>18</v>
      </c>
    </row>
    <row r="375" spans="1:28" x14ac:dyDescent="0.3">
      <c r="A375" t="s">
        <v>1223</v>
      </c>
      <c r="B375" t="s">
        <v>1209</v>
      </c>
      <c r="C375" t="s">
        <v>1940</v>
      </c>
      <c r="D375" t="s">
        <v>1224</v>
      </c>
      <c r="E375">
        <v>230</v>
      </c>
      <c r="F375" t="s">
        <v>5</v>
      </c>
      <c r="G375">
        <v>86</v>
      </c>
      <c r="H375" s="2">
        <f t="shared" si="5"/>
        <v>0.37391304347826088</v>
      </c>
      <c r="I375" t="s">
        <v>6</v>
      </c>
      <c r="J375">
        <v>-35.809999999999903</v>
      </c>
      <c r="K375" t="s">
        <v>7</v>
      </c>
      <c r="L375">
        <v>-0.15569565217391201</v>
      </c>
      <c r="M375" t="s">
        <v>8</v>
      </c>
      <c r="N375">
        <v>1.2165116279069701</v>
      </c>
      <c r="O375" t="s">
        <v>9</v>
      </c>
      <c r="P375">
        <v>-0.98202797202797198</v>
      </c>
      <c r="Q375" t="s">
        <v>10</v>
      </c>
      <c r="R375">
        <v>0.34500652983053198</v>
      </c>
      <c r="S375" t="s">
        <v>11</v>
      </c>
      <c r="T375" t="s">
        <v>1358</v>
      </c>
      <c r="U375" t="s">
        <v>284</v>
      </c>
      <c r="V375">
        <v>0</v>
      </c>
      <c r="W375" t="s">
        <v>14</v>
      </c>
      <c r="X375" t="s">
        <v>15</v>
      </c>
      <c r="Y375" t="s">
        <v>1497</v>
      </c>
      <c r="Z375" t="s">
        <v>91</v>
      </c>
      <c r="AA375">
        <v>0</v>
      </c>
      <c r="AB375" t="s">
        <v>18</v>
      </c>
    </row>
    <row r="376" spans="1:28" x14ac:dyDescent="0.3">
      <c r="A376" t="s">
        <v>1219</v>
      </c>
      <c r="B376" t="s">
        <v>1214</v>
      </c>
      <c r="C376" t="s">
        <v>1645</v>
      </c>
      <c r="D376" t="s">
        <v>1224</v>
      </c>
      <c r="E376">
        <v>197</v>
      </c>
      <c r="F376" t="s">
        <v>5</v>
      </c>
      <c r="G376">
        <v>78</v>
      </c>
      <c r="H376" s="2">
        <f t="shared" si="5"/>
        <v>0.39593908629441626</v>
      </c>
      <c r="I376" t="s">
        <v>6</v>
      </c>
      <c r="J376">
        <v>-36.085088502956701</v>
      </c>
      <c r="K376" t="s">
        <v>7</v>
      </c>
      <c r="L376">
        <v>-0.18317303808607499</v>
      </c>
      <c r="M376" t="s">
        <v>8</v>
      </c>
      <c r="N376">
        <v>1.52117964369724</v>
      </c>
      <c r="O376" t="s">
        <v>9</v>
      </c>
      <c r="P376">
        <v>-1.3003117706835401</v>
      </c>
      <c r="Q376" t="s">
        <v>10</v>
      </c>
      <c r="R376">
        <v>0.33208751895696298</v>
      </c>
      <c r="S376" t="s">
        <v>11</v>
      </c>
      <c r="T376" t="s">
        <v>1367</v>
      </c>
      <c r="U376" t="s">
        <v>284</v>
      </c>
      <c r="V376">
        <v>0</v>
      </c>
      <c r="W376" t="s">
        <v>14</v>
      </c>
      <c r="X376" t="s">
        <v>15</v>
      </c>
      <c r="Y376" t="s">
        <v>1368</v>
      </c>
      <c r="Z376" t="s">
        <v>1369</v>
      </c>
      <c r="AA376">
        <v>0</v>
      </c>
      <c r="AB376" t="s">
        <v>18</v>
      </c>
    </row>
    <row r="377" spans="1:28" x14ac:dyDescent="0.3">
      <c r="A377" t="s">
        <v>1223</v>
      </c>
      <c r="B377" t="s">
        <v>1200</v>
      </c>
      <c r="C377" t="s">
        <v>1931</v>
      </c>
      <c r="D377" t="s">
        <v>1224</v>
      </c>
      <c r="E377">
        <v>235</v>
      </c>
      <c r="F377" t="s">
        <v>5</v>
      </c>
      <c r="G377">
        <v>134</v>
      </c>
      <c r="H377" s="2">
        <f t="shared" si="5"/>
        <v>0.57021276595744685</v>
      </c>
      <c r="I377" t="s">
        <v>6</v>
      </c>
      <c r="J377">
        <v>-37.755316944207998</v>
      </c>
      <c r="K377" t="s">
        <v>7</v>
      </c>
      <c r="L377">
        <v>-0.160660923166842</v>
      </c>
      <c r="M377" t="s">
        <v>8</v>
      </c>
      <c r="N377">
        <v>0.96395522388059696</v>
      </c>
      <c r="O377" t="s">
        <v>9</v>
      </c>
      <c r="P377">
        <v>-1.65272591033869</v>
      </c>
      <c r="Q377" t="s">
        <v>10</v>
      </c>
      <c r="R377">
        <v>0.40390655531293002</v>
      </c>
      <c r="S377" t="s">
        <v>11</v>
      </c>
      <c r="T377" t="s">
        <v>1407</v>
      </c>
      <c r="U377" t="s">
        <v>632</v>
      </c>
      <c r="V377">
        <v>0</v>
      </c>
      <c r="W377" t="s">
        <v>14</v>
      </c>
      <c r="X377" t="s">
        <v>15</v>
      </c>
      <c r="Y377" t="s">
        <v>1494</v>
      </c>
      <c r="Z377" t="s">
        <v>1478</v>
      </c>
      <c r="AA377">
        <v>0</v>
      </c>
      <c r="AB377" t="s">
        <v>18</v>
      </c>
    </row>
    <row r="378" spans="1:28" x14ac:dyDescent="0.3">
      <c r="A378" t="s">
        <v>1223</v>
      </c>
      <c r="B378" t="s">
        <v>1151</v>
      </c>
      <c r="C378" t="s">
        <v>1882</v>
      </c>
      <c r="D378" t="s">
        <v>1224</v>
      </c>
      <c r="E378">
        <v>230</v>
      </c>
      <c r="F378" t="s">
        <v>5</v>
      </c>
      <c r="G378">
        <v>114</v>
      </c>
      <c r="H378" s="2">
        <f t="shared" si="5"/>
        <v>0.4956521739130435</v>
      </c>
      <c r="I378" t="s">
        <v>6</v>
      </c>
      <c r="J378">
        <v>-38.22</v>
      </c>
      <c r="K378" t="s">
        <v>7</v>
      </c>
      <c r="L378">
        <v>-0.16617391304347801</v>
      </c>
      <c r="M378" t="s">
        <v>8</v>
      </c>
      <c r="N378">
        <v>1.58122807017543</v>
      </c>
      <c r="O378" t="s">
        <v>9</v>
      </c>
      <c r="P378">
        <v>-1.8834482758620601</v>
      </c>
      <c r="Q378" t="s">
        <v>10</v>
      </c>
      <c r="R378">
        <v>0.59256467652514</v>
      </c>
      <c r="S378" t="s">
        <v>11</v>
      </c>
      <c r="T378" t="s">
        <v>1229</v>
      </c>
      <c r="U378" t="s">
        <v>1230</v>
      </c>
      <c r="V378">
        <v>0</v>
      </c>
      <c r="W378" t="s">
        <v>14</v>
      </c>
      <c r="X378" t="s">
        <v>15</v>
      </c>
      <c r="Y378" t="s">
        <v>1462</v>
      </c>
      <c r="Z378" t="s">
        <v>632</v>
      </c>
      <c r="AA378">
        <v>0</v>
      </c>
      <c r="AB378" t="s">
        <v>18</v>
      </c>
    </row>
    <row r="379" spans="1:28" x14ac:dyDescent="0.3">
      <c r="A379" t="s">
        <v>1219</v>
      </c>
      <c r="B379" t="s">
        <v>1169</v>
      </c>
      <c r="C379" t="s">
        <v>1600</v>
      </c>
      <c r="D379" t="s">
        <v>1224</v>
      </c>
      <c r="E379">
        <v>197</v>
      </c>
      <c r="F379" t="s">
        <v>5</v>
      </c>
      <c r="G379">
        <v>105</v>
      </c>
      <c r="H379" s="2">
        <f t="shared" si="5"/>
        <v>0.53299492385786806</v>
      </c>
      <c r="I379" t="s">
        <v>6</v>
      </c>
      <c r="J379">
        <v>-38.653184921509698</v>
      </c>
      <c r="K379" t="s">
        <v>7</v>
      </c>
      <c r="L379">
        <v>-0.19620906051527701</v>
      </c>
      <c r="M379" t="s">
        <v>8</v>
      </c>
      <c r="N379">
        <v>1.2441872302652099</v>
      </c>
      <c r="O379" t="s">
        <v>9</v>
      </c>
      <c r="P379">
        <v>-1.84013960977562</v>
      </c>
      <c r="Q379" t="s">
        <v>10</v>
      </c>
      <c r="R379">
        <v>0.39288681658883601</v>
      </c>
      <c r="S379" t="s">
        <v>11</v>
      </c>
      <c r="T379" t="s">
        <v>1251</v>
      </c>
      <c r="U379" t="s">
        <v>647</v>
      </c>
      <c r="V379">
        <v>0</v>
      </c>
      <c r="W379" t="s">
        <v>14</v>
      </c>
      <c r="X379" t="s">
        <v>15</v>
      </c>
      <c r="Y379" t="s">
        <v>1333</v>
      </c>
      <c r="Z379" t="s">
        <v>647</v>
      </c>
      <c r="AA379">
        <v>0</v>
      </c>
      <c r="AB379" t="s">
        <v>18</v>
      </c>
    </row>
    <row r="380" spans="1:28" x14ac:dyDescent="0.3">
      <c r="A380" t="s">
        <v>1223</v>
      </c>
      <c r="B380" t="s">
        <v>1206</v>
      </c>
      <c r="C380" t="s">
        <v>1937</v>
      </c>
      <c r="D380" t="s">
        <v>1224</v>
      </c>
      <c r="E380">
        <v>224</v>
      </c>
      <c r="F380" t="s">
        <v>5</v>
      </c>
      <c r="G380">
        <v>64</v>
      </c>
      <c r="H380" s="2">
        <f t="shared" si="5"/>
        <v>0.2857142857142857</v>
      </c>
      <c r="I380" t="s">
        <v>6</v>
      </c>
      <c r="J380">
        <v>-38.879999999999903</v>
      </c>
      <c r="K380" t="s">
        <v>7</v>
      </c>
      <c r="L380">
        <v>-0.17357142857142799</v>
      </c>
      <c r="M380" t="s">
        <v>8</v>
      </c>
      <c r="N380">
        <v>1.79078125</v>
      </c>
      <c r="O380" t="s">
        <v>9</v>
      </c>
      <c r="P380">
        <v>-0.95931250000000001</v>
      </c>
      <c r="Q380" t="s">
        <v>10</v>
      </c>
      <c r="R380">
        <v>0.52379321250078503</v>
      </c>
      <c r="S380" t="s">
        <v>11</v>
      </c>
      <c r="T380" t="s">
        <v>1481</v>
      </c>
      <c r="U380" t="s">
        <v>1482</v>
      </c>
      <c r="V380">
        <v>0</v>
      </c>
      <c r="W380" t="s">
        <v>14</v>
      </c>
      <c r="X380" t="s">
        <v>15</v>
      </c>
      <c r="Y380" t="s">
        <v>1496</v>
      </c>
      <c r="Z380" t="s">
        <v>284</v>
      </c>
      <c r="AA380">
        <v>0</v>
      </c>
      <c r="AB380" t="s">
        <v>18</v>
      </c>
    </row>
    <row r="381" spans="1:28" x14ac:dyDescent="0.3">
      <c r="A381" t="s">
        <v>1219</v>
      </c>
      <c r="B381" t="s">
        <v>1187</v>
      </c>
      <c r="C381" t="s">
        <v>1618</v>
      </c>
      <c r="D381" t="s">
        <v>1224</v>
      </c>
      <c r="E381">
        <v>197</v>
      </c>
      <c r="F381" t="s">
        <v>5</v>
      </c>
      <c r="G381">
        <v>49</v>
      </c>
      <c r="H381" s="2">
        <f t="shared" si="5"/>
        <v>0.24873096446700507</v>
      </c>
      <c r="I381" t="s">
        <v>6</v>
      </c>
      <c r="J381">
        <v>-39.323855076560598</v>
      </c>
      <c r="K381" t="s">
        <v>7</v>
      </c>
      <c r="L381">
        <v>-0.19961347754599301</v>
      </c>
      <c r="M381" t="s">
        <v>8</v>
      </c>
      <c r="N381">
        <v>4.2772499772784798</v>
      </c>
      <c r="O381" t="s">
        <v>9</v>
      </c>
      <c r="P381">
        <v>-1.68181827002166</v>
      </c>
      <c r="Q381" t="s">
        <v>10</v>
      </c>
      <c r="R381">
        <v>0.66751386215643904</v>
      </c>
      <c r="S381" t="s">
        <v>11</v>
      </c>
      <c r="T381" t="s">
        <v>1271</v>
      </c>
      <c r="U381" t="s">
        <v>647</v>
      </c>
      <c r="V381">
        <v>0</v>
      </c>
      <c r="W381" t="s">
        <v>14</v>
      </c>
      <c r="X381" t="s">
        <v>15</v>
      </c>
      <c r="Y381" t="s">
        <v>1347</v>
      </c>
      <c r="Z381" t="s">
        <v>647</v>
      </c>
      <c r="AA381">
        <v>0</v>
      </c>
      <c r="AB381" t="s">
        <v>18</v>
      </c>
    </row>
    <row r="382" spans="1:28" x14ac:dyDescent="0.3">
      <c r="A382" t="s">
        <v>1223</v>
      </c>
      <c r="B382" t="s">
        <v>1201</v>
      </c>
      <c r="C382" t="s">
        <v>1932</v>
      </c>
      <c r="D382" t="s">
        <v>1224</v>
      </c>
      <c r="E382">
        <v>235</v>
      </c>
      <c r="F382" t="s">
        <v>5</v>
      </c>
      <c r="G382">
        <v>130</v>
      </c>
      <c r="H382" s="2">
        <f t="shared" si="5"/>
        <v>0.55319148936170215</v>
      </c>
      <c r="I382" t="s">
        <v>6</v>
      </c>
      <c r="J382">
        <v>-39.365316944207997</v>
      </c>
      <c r="K382" t="s">
        <v>7</v>
      </c>
      <c r="L382">
        <v>-0.16751198699663</v>
      </c>
      <c r="M382" t="s">
        <v>8</v>
      </c>
      <c r="N382">
        <v>1.04023076923076</v>
      </c>
      <c r="O382" t="s">
        <v>9</v>
      </c>
      <c r="P382">
        <v>-1.66281254232579</v>
      </c>
      <c r="Q382" t="s">
        <v>10</v>
      </c>
      <c r="R382">
        <v>0.423577085662938</v>
      </c>
      <c r="S382" t="s">
        <v>11</v>
      </c>
      <c r="T382" t="s">
        <v>1407</v>
      </c>
      <c r="U382" t="s">
        <v>632</v>
      </c>
      <c r="V382">
        <v>0</v>
      </c>
      <c r="W382" t="s">
        <v>14</v>
      </c>
      <c r="X382" t="s">
        <v>15</v>
      </c>
      <c r="Y382" t="s">
        <v>1494</v>
      </c>
      <c r="Z382" t="s">
        <v>1478</v>
      </c>
      <c r="AA382">
        <v>0</v>
      </c>
      <c r="AB382" t="s">
        <v>18</v>
      </c>
    </row>
    <row r="383" spans="1:28" x14ac:dyDescent="0.3">
      <c r="A383" t="s">
        <v>1223</v>
      </c>
      <c r="B383" t="s">
        <v>1207</v>
      </c>
      <c r="C383" t="s">
        <v>1938</v>
      </c>
      <c r="D383" t="s">
        <v>1224</v>
      </c>
      <c r="E383">
        <v>224</v>
      </c>
      <c r="F383" t="s">
        <v>5</v>
      </c>
      <c r="G383">
        <v>63</v>
      </c>
      <c r="H383" s="2">
        <f t="shared" si="5"/>
        <v>0.28125</v>
      </c>
      <c r="I383" t="s">
        <v>6</v>
      </c>
      <c r="J383">
        <v>-39.769999999999897</v>
      </c>
      <c r="K383" t="s">
        <v>7</v>
      </c>
      <c r="L383">
        <v>-0.177544642857142</v>
      </c>
      <c r="M383" t="s">
        <v>8</v>
      </c>
      <c r="N383">
        <v>1.85380952380952</v>
      </c>
      <c r="O383" t="s">
        <v>9</v>
      </c>
      <c r="P383">
        <v>-0.97242236024844797</v>
      </c>
      <c r="Q383" t="s">
        <v>10</v>
      </c>
      <c r="R383">
        <v>0.53192718678473805</v>
      </c>
      <c r="S383" t="s">
        <v>11</v>
      </c>
      <c r="T383" t="s">
        <v>1481</v>
      </c>
      <c r="U383" t="s">
        <v>1482</v>
      </c>
      <c r="V383">
        <v>0</v>
      </c>
      <c r="W383" t="s">
        <v>14</v>
      </c>
      <c r="X383" t="s">
        <v>15</v>
      </c>
      <c r="Y383" t="s">
        <v>1496</v>
      </c>
      <c r="Z383" t="s">
        <v>284</v>
      </c>
      <c r="AA383">
        <v>0</v>
      </c>
      <c r="AB383" t="s">
        <v>18</v>
      </c>
    </row>
    <row r="384" spans="1:28" x14ac:dyDescent="0.3">
      <c r="A384" t="s">
        <v>1223</v>
      </c>
      <c r="B384" t="s">
        <v>1186</v>
      </c>
      <c r="C384" t="s">
        <v>1917</v>
      </c>
      <c r="D384" t="s">
        <v>1224</v>
      </c>
      <c r="E384">
        <v>235</v>
      </c>
      <c r="F384" t="s">
        <v>5</v>
      </c>
      <c r="G384">
        <v>66</v>
      </c>
      <c r="H384" s="2">
        <f t="shared" si="5"/>
        <v>0.28085106382978725</v>
      </c>
      <c r="I384" t="s">
        <v>6</v>
      </c>
      <c r="J384">
        <v>-39.826365342121399</v>
      </c>
      <c r="K384" t="s">
        <v>7</v>
      </c>
      <c r="L384">
        <v>-0.16947389507285701</v>
      </c>
      <c r="M384" t="s">
        <v>8</v>
      </c>
      <c r="N384">
        <v>3.1772705977046898</v>
      </c>
      <c r="O384" t="s">
        <v>9</v>
      </c>
      <c r="P384">
        <v>-1.4764865372226701</v>
      </c>
      <c r="Q384" t="s">
        <v>10</v>
      </c>
      <c r="R384">
        <v>0.57335156513839203</v>
      </c>
      <c r="S384" t="s">
        <v>11</v>
      </c>
      <c r="T384" t="s">
        <v>1486</v>
      </c>
      <c r="U384" t="s">
        <v>91</v>
      </c>
      <c r="V384">
        <v>0</v>
      </c>
      <c r="W384" t="s">
        <v>14</v>
      </c>
      <c r="X384" t="s">
        <v>15</v>
      </c>
      <c r="Y384" t="s">
        <v>1486</v>
      </c>
      <c r="Z384" t="s">
        <v>91</v>
      </c>
      <c r="AA384">
        <v>0</v>
      </c>
      <c r="AB384" t="s">
        <v>18</v>
      </c>
    </row>
    <row r="385" spans="1:28" x14ac:dyDescent="0.3">
      <c r="A385" t="s">
        <v>1219</v>
      </c>
      <c r="B385" t="s">
        <v>1215</v>
      </c>
      <c r="C385" t="s">
        <v>1646</v>
      </c>
      <c r="D385" t="s">
        <v>1224</v>
      </c>
      <c r="E385">
        <v>197</v>
      </c>
      <c r="F385" t="s">
        <v>5</v>
      </c>
      <c r="G385">
        <v>57</v>
      </c>
      <c r="H385" s="2">
        <f t="shared" si="5"/>
        <v>0.28934010152284262</v>
      </c>
      <c r="I385" t="s">
        <v>6</v>
      </c>
      <c r="J385">
        <v>-40.9850885029567</v>
      </c>
      <c r="K385" t="s">
        <v>7</v>
      </c>
      <c r="L385">
        <v>-0.20804613453277501</v>
      </c>
      <c r="M385" t="s">
        <v>8</v>
      </c>
      <c r="N385">
        <v>2.53895418522717</v>
      </c>
      <c r="O385" t="s">
        <v>9</v>
      </c>
      <c r="P385">
        <v>-1.32646769329218</v>
      </c>
      <c r="Q385" t="s">
        <v>10</v>
      </c>
      <c r="R385">
        <v>0.43765011329558201</v>
      </c>
      <c r="S385" t="s">
        <v>11</v>
      </c>
      <c r="T385" t="s">
        <v>1367</v>
      </c>
      <c r="U385" t="s">
        <v>284</v>
      </c>
      <c r="V385">
        <v>0</v>
      </c>
      <c r="W385" t="s">
        <v>14</v>
      </c>
      <c r="X385" t="s">
        <v>15</v>
      </c>
      <c r="Y385" t="s">
        <v>1370</v>
      </c>
      <c r="Z385" t="s">
        <v>1343</v>
      </c>
      <c r="AA385">
        <v>0</v>
      </c>
      <c r="AB385" t="s">
        <v>18</v>
      </c>
    </row>
    <row r="386" spans="1:28" x14ac:dyDescent="0.3">
      <c r="A386" t="s">
        <v>1219</v>
      </c>
      <c r="B386" t="s">
        <v>1216</v>
      </c>
      <c r="C386" t="s">
        <v>1647</v>
      </c>
      <c r="D386" t="s">
        <v>1224</v>
      </c>
      <c r="E386">
        <v>197</v>
      </c>
      <c r="F386" t="s">
        <v>5</v>
      </c>
      <c r="G386">
        <v>46</v>
      </c>
      <c r="H386" s="2">
        <f t="shared" si="5"/>
        <v>0.233502538071066</v>
      </c>
      <c r="I386" t="s">
        <v>6</v>
      </c>
      <c r="J386">
        <v>-41.647479922775098</v>
      </c>
      <c r="K386" t="s">
        <v>7</v>
      </c>
      <c r="L386">
        <v>-0.211408527526777</v>
      </c>
      <c r="M386" t="s">
        <v>8</v>
      </c>
      <c r="N386">
        <v>3.5179999377854498</v>
      </c>
      <c r="O386" t="s">
        <v>9</v>
      </c>
      <c r="P386">
        <v>-1.34751971563513</v>
      </c>
      <c r="Q386" t="s">
        <v>10</v>
      </c>
      <c r="R386">
        <v>0.51994913153722899</v>
      </c>
      <c r="S386" t="s">
        <v>11</v>
      </c>
      <c r="T386" t="s">
        <v>1367</v>
      </c>
      <c r="U386" t="s">
        <v>284</v>
      </c>
      <c r="V386">
        <v>0</v>
      </c>
      <c r="W386" t="s">
        <v>14</v>
      </c>
      <c r="X386" t="s">
        <v>15</v>
      </c>
      <c r="Y386" t="s">
        <v>1371</v>
      </c>
      <c r="Z386" t="s">
        <v>25</v>
      </c>
      <c r="AA386">
        <v>0</v>
      </c>
      <c r="AB386" t="s">
        <v>18</v>
      </c>
    </row>
    <row r="387" spans="1:28" x14ac:dyDescent="0.3">
      <c r="A387" t="s">
        <v>1223</v>
      </c>
      <c r="B387" t="s">
        <v>1178</v>
      </c>
      <c r="C387" t="s">
        <v>1909</v>
      </c>
      <c r="D387" t="s">
        <v>1224</v>
      </c>
      <c r="E387">
        <v>224</v>
      </c>
      <c r="F387" t="s">
        <v>5</v>
      </c>
      <c r="G387">
        <v>67</v>
      </c>
      <c r="H387" s="2">
        <f t="shared" ref="H387:H450" si="6">G387/E387</f>
        <v>0.29910714285714285</v>
      </c>
      <c r="I387" t="s">
        <v>6</v>
      </c>
      <c r="J387">
        <v>-42.179999999999801</v>
      </c>
      <c r="K387" t="s">
        <v>7</v>
      </c>
      <c r="L387">
        <v>-0.18830357142856999</v>
      </c>
      <c r="M387" t="s">
        <v>8</v>
      </c>
      <c r="N387">
        <v>2.3525373134328298</v>
      </c>
      <c r="O387" t="s">
        <v>9</v>
      </c>
      <c r="P387">
        <v>-1.2726114649681499</v>
      </c>
      <c r="Q387" t="s">
        <v>10</v>
      </c>
      <c r="R387">
        <v>0.62452345530262399</v>
      </c>
      <c r="S387" t="s">
        <v>11</v>
      </c>
      <c r="T387" t="s">
        <v>1448</v>
      </c>
      <c r="U387" t="s">
        <v>247</v>
      </c>
      <c r="V387">
        <v>0</v>
      </c>
      <c r="W387" t="s">
        <v>14</v>
      </c>
      <c r="X387" t="s">
        <v>15</v>
      </c>
      <c r="Y387" t="s">
        <v>1484</v>
      </c>
      <c r="Z387" t="s">
        <v>284</v>
      </c>
      <c r="AA387">
        <v>0</v>
      </c>
      <c r="AB387" t="s">
        <v>18</v>
      </c>
    </row>
    <row r="388" spans="1:28" x14ac:dyDescent="0.3">
      <c r="A388" t="s">
        <v>1219</v>
      </c>
      <c r="B388" t="s">
        <v>1178</v>
      </c>
      <c r="C388" t="s">
        <v>1609</v>
      </c>
      <c r="D388" t="s">
        <v>1224</v>
      </c>
      <c r="E388">
        <v>191</v>
      </c>
      <c r="F388" t="s">
        <v>5</v>
      </c>
      <c r="G388">
        <v>49</v>
      </c>
      <c r="H388" s="2">
        <f t="shared" si="6"/>
        <v>0.25654450261780104</v>
      </c>
      <c r="I388" t="s">
        <v>6</v>
      </c>
      <c r="J388">
        <v>-43.229999999999798</v>
      </c>
      <c r="K388" t="s">
        <v>7</v>
      </c>
      <c r="L388">
        <v>-0.22633507853403001</v>
      </c>
      <c r="M388" t="s">
        <v>8</v>
      </c>
      <c r="N388">
        <v>3.37244897959184</v>
      </c>
      <c r="O388" t="s">
        <v>9</v>
      </c>
      <c r="P388">
        <v>-1.4681690140845001</v>
      </c>
      <c r="Q388" t="s">
        <v>10</v>
      </c>
      <c r="R388">
        <v>0.64956489544779805</v>
      </c>
      <c r="S388" t="s">
        <v>11</v>
      </c>
      <c r="T388" t="s">
        <v>1339</v>
      </c>
      <c r="U388" t="s">
        <v>1340</v>
      </c>
      <c r="V388">
        <v>0</v>
      </c>
      <c r="W388" t="s">
        <v>14</v>
      </c>
      <c r="X388" t="s">
        <v>15</v>
      </c>
      <c r="Y388" t="s">
        <v>1342</v>
      </c>
      <c r="Z388" t="s">
        <v>1343</v>
      </c>
      <c r="AA388">
        <v>0</v>
      </c>
      <c r="AB388" t="s">
        <v>18</v>
      </c>
    </row>
    <row r="389" spans="1:28" x14ac:dyDescent="0.3">
      <c r="A389" t="s">
        <v>1220</v>
      </c>
      <c r="B389" t="s">
        <v>1153</v>
      </c>
      <c r="C389" t="s">
        <v>1659</v>
      </c>
      <c r="D389" t="s">
        <v>1224</v>
      </c>
      <c r="E389">
        <v>136</v>
      </c>
      <c r="F389" t="s">
        <v>5</v>
      </c>
      <c r="G389">
        <v>58</v>
      </c>
      <c r="H389" s="2">
        <f t="shared" si="6"/>
        <v>0.4264705882352941</v>
      </c>
      <c r="I389" t="s">
        <v>6</v>
      </c>
      <c r="J389">
        <v>-43.939999999999898</v>
      </c>
      <c r="K389" t="s">
        <v>7</v>
      </c>
      <c r="L389">
        <v>-0.32308823529411701</v>
      </c>
      <c r="M389" t="s">
        <v>8</v>
      </c>
      <c r="N389">
        <v>1.6839655172413699</v>
      </c>
      <c r="O389" t="s">
        <v>9</v>
      </c>
      <c r="P389">
        <v>-1.8155128205128199</v>
      </c>
      <c r="Q389" t="s">
        <v>10</v>
      </c>
      <c r="R389">
        <v>0.39015388367847598</v>
      </c>
      <c r="S389" t="s">
        <v>11</v>
      </c>
      <c r="T389" t="s">
        <v>1382</v>
      </c>
      <c r="U389" t="s">
        <v>1383</v>
      </c>
      <c r="V389">
        <v>0</v>
      </c>
      <c r="W389" t="s">
        <v>14</v>
      </c>
      <c r="X389" t="s">
        <v>15</v>
      </c>
      <c r="Y389" t="s">
        <v>1382</v>
      </c>
      <c r="Z389" t="s">
        <v>1383</v>
      </c>
      <c r="AA389">
        <v>0</v>
      </c>
      <c r="AB389" t="s">
        <v>18</v>
      </c>
    </row>
    <row r="390" spans="1:28" x14ac:dyDescent="0.3">
      <c r="A390" t="s">
        <v>1223</v>
      </c>
      <c r="B390" t="s">
        <v>1202</v>
      </c>
      <c r="C390" t="s">
        <v>1933</v>
      </c>
      <c r="D390" t="s">
        <v>1224</v>
      </c>
      <c r="E390">
        <v>235</v>
      </c>
      <c r="F390" t="s">
        <v>5</v>
      </c>
      <c r="G390">
        <v>128</v>
      </c>
      <c r="H390" s="2">
        <f t="shared" si="6"/>
        <v>0.5446808510638298</v>
      </c>
      <c r="I390" t="s">
        <v>6</v>
      </c>
      <c r="J390">
        <v>-44.685316944207997</v>
      </c>
      <c r="K390" t="s">
        <v>7</v>
      </c>
      <c r="L390">
        <v>-0.19015028486897001</v>
      </c>
      <c r="M390" t="s">
        <v>8</v>
      </c>
      <c r="N390">
        <v>1.0331250000000001</v>
      </c>
      <c r="O390" t="s">
        <v>9</v>
      </c>
      <c r="P390">
        <v>-1.6535076349925899</v>
      </c>
      <c r="Q390" t="s">
        <v>10</v>
      </c>
      <c r="R390">
        <v>0.427670700656131</v>
      </c>
      <c r="S390" t="s">
        <v>11</v>
      </c>
      <c r="T390" t="s">
        <v>1407</v>
      </c>
      <c r="U390" t="s">
        <v>632</v>
      </c>
      <c r="V390">
        <v>0</v>
      </c>
      <c r="W390" t="s">
        <v>14</v>
      </c>
      <c r="X390" t="s">
        <v>15</v>
      </c>
      <c r="Y390" t="s">
        <v>1494</v>
      </c>
      <c r="Z390" t="s">
        <v>1478</v>
      </c>
      <c r="AA390">
        <v>0</v>
      </c>
      <c r="AB390" t="s">
        <v>18</v>
      </c>
    </row>
    <row r="391" spans="1:28" x14ac:dyDescent="0.3">
      <c r="A391" t="s">
        <v>1219</v>
      </c>
      <c r="B391" t="s">
        <v>1217</v>
      </c>
      <c r="C391" t="s">
        <v>1648</v>
      </c>
      <c r="D391" t="s">
        <v>1224</v>
      </c>
      <c r="E391">
        <v>197</v>
      </c>
      <c r="F391" t="s">
        <v>5</v>
      </c>
      <c r="G391">
        <v>39</v>
      </c>
      <c r="H391" s="2">
        <f t="shared" si="6"/>
        <v>0.19796954314720813</v>
      </c>
      <c r="I391" t="s">
        <v>6</v>
      </c>
      <c r="J391">
        <v>-44.717479922775098</v>
      </c>
      <c r="K391" t="s">
        <v>7</v>
      </c>
      <c r="L391">
        <v>-0.226992283871955</v>
      </c>
      <c r="M391" t="s">
        <v>8</v>
      </c>
      <c r="N391">
        <v>4.3650768496956598</v>
      </c>
      <c r="O391" t="s">
        <v>9</v>
      </c>
      <c r="P391">
        <v>-1.36047770291712</v>
      </c>
      <c r="Q391" t="s">
        <v>10</v>
      </c>
      <c r="R391">
        <v>0.56064688787321304</v>
      </c>
      <c r="S391" t="s">
        <v>11</v>
      </c>
      <c r="T391" t="s">
        <v>1372</v>
      </c>
      <c r="U391" t="s">
        <v>105</v>
      </c>
      <c r="V391">
        <v>0</v>
      </c>
      <c r="W391" t="s">
        <v>14</v>
      </c>
      <c r="X391" t="s">
        <v>15</v>
      </c>
      <c r="Y391" t="s">
        <v>1373</v>
      </c>
      <c r="Z391" t="s">
        <v>105</v>
      </c>
      <c r="AA391">
        <v>0</v>
      </c>
      <c r="AB391" t="s">
        <v>18</v>
      </c>
    </row>
    <row r="392" spans="1:28" x14ac:dyDescent="0.3">
      <c r="A392" t="s">
        <v>1219</v>
      </c>
      <c r="B392" t="s">
        <v>1171</v>
      </c>
      <c r="C392" t="s">
        <v>1602</v>
      </c>
      <c r="D392" t="s">
        <v>1224</v>
      </c>
      <c r="E392">
        <v>197</v>
      </c>
      <c r="F392" t="s">
        <v>5</v>
      </c>
      <c r="G392">
        <v>84</v>
      </c>
      <c r="H392" s="2">
        <f t="shared" si="6"/>
        <v>0.42639593908629442</v>
      </c>
      <c r="I392" t="s">
        <v>6</v>
      </c>
      <c r="J392">
        <v>-44.734141891892399</v>
      </c>
      <c r="K392" t="s">
        <v>7</v>
      </c>
      <c r="L392">
        <v>-0.22707686239539199</v>
      </c>
      <c r="M392" t="s">
        <v>8</v>
      </c>
      <c r="N392">
        <v>1.95450946929359</v>
      </c>
      <c r="O392" t="s">
        <v>9</v>
      </c>
      <c r="P392">
        <v>-1.8487870558633099</v>
      </c>
      <c r="Q392" t="s">
        <v>10</v>
      </c>
      <c r="R392">
        <v>0.51650072876178199</v>
      </c>
      <c r="S392" t="s">
        <v>11</v>
      </c>
      <c r="T392" t="s">
        <v>1251</v>
      </c>
      <c r="U392" t="s">
        <v>647</v>
      </c>
      <c r="V392">
        <v>0</v>
      </c>
      <c r="W392" t="s">
        <v>14</v>
      </c>
      <c r="X392" t="s">
        <v>15</v>
      </c>
      <c r="Y392" t="s">
        <v>1334</v>
      </c>
      <c r="Z392" t="s">
        <v>632</v>
      </c>
      <c r="AA392">
        <v>0</v>
      </c>
      <c r="AB392" t="s">
        <v>18</v>
      </c>
    </row>
    <row r="393" spans="1:28" x14ac:dyDescent="0.3">
      <c r="A393" t="s">
        <v>1219</v>
      </c>
      <c r="B393" t="s">
        <v>1208</v>
      </c>
      <c r="C393" t="s">
        <v>1639</v>
      </c>
      <c r="D393" t="s">
        <v>1224</v>
      </c>
      <c r="E393">
        <v>191</v>
      </c>
      <c r="F393" t="s">
        <v>5</v>
      </c>
      <c r="G393">
        <v>40</v>
      </c>
      <c r="H393" s="2">
        <f t="shared" si="6"/>
        <v>0.20942408376963351</v>
      </c>
      <c r="I393" t="s">
        <v>6</v>
      </c>
      <c r="J393">
        <v>-44.809999999999803</v>
      </c>
      <c r="K393" t="s">
        <v>7</v>
      </c>
      <c r="L393">
        <v>-0.23460732984293101</v>
      </c>
      <c r="M393" t="s">
        <v>8</v>
      </c>
      <c r="N393">
        <v>3.06</v>
      </c>
      <c r="O393" t="s">
        <v>9</v>
      </c>
      <c r="P393">
        <v>-1.1073509933774801</v>
      </c>
      <c r="Q393" t="s">
        <v>10</v>
      </c>
      <c r="R393">
        <v>0.578762900756712</v>
      </c>
      <c r="S393" t="s">
        <v>11</v>
      </c>
      <c r="T393" t="s">
        <v>147</v>
      </c>
      <c r="U393" t="s">
        <v>160</v>
      </c>
      <c r="V393">
        <v>0</v>
      </c>
      <c r="W393" t="s">
        <v>14</v>
      </c>
      <c r="X393" t="s">
        <v>15</v>
      </c>
      <c r="Y393" t="s">
        <v>1361</v>
      </c>
      <c r="Z393" t="s">
        <v>91</v>
      </c>
      <c r="AA393">
        <v>0</v>
      </c>
      <c r="AB393" t="s">
        <v>18</v>
      </c>
    </row>
    <row r="394" spans="1:28" x14ac:dyDescent="0.3">
      <c r="A394" t="s">
        <v>1219</v>
      </c>
      <c r="B394" t="s">
        <v>1181</v>
      </c>
      <c r="C394" t="s">
        <v>1612</v>
      </c>
      <c r="D394" t="s">
        <v>1224</v>
      </c>
      <c r="E394">
        <v>200</v>
      </c>
      <c r="F394" t="s">
        <v>5</v>
      </c>
      <c r="G394">
        <v>56</v>
      </c>
      <c r="H394" s="2">
        <f t="shared" si="6"/>
        <v>0.28000000000000003</v>
      </c>
      <c r="I394" t="s">
        <v>6</v>
      </c>
      <c r="J394">
        <v>-44.989999999999903</v>
      </c>
      <c r="K394" t="s">
        <v>7</v>
      </c>
      <c r="L394">
        <v>-0.22494999999999901</v>
      </c>
      <c r="M394" t="s">
        <v>8</v>
      </c>
      <c r="N394">
        <v>3.0425</v>
      </c>
      <c r="O394" t="s">
        <v>9</v>
      </c>
      <c r="P394">
        <v>-1.495625</v>
      </c>
      <c r="Q394" t="s">
        <v>10</v>
      </c>
      <c r="R394">
        <v>0.55451922337669102</v>
      </c>
      <c r="S394" t="s">
        <v>11</v>
      </c>
      <c r="T394" t="s">
        <v>193</v>
      </c>
      <c r="U394" t="s">
        <v>1230</v>
      </c>
      <c r="V394">
        <v>0</v>
      </c>
      <c r="W394" t="s">
        <v>14</v>
      </c>
      <c r="X394" t="s">
        <v>15</v>
      </c>
      <c r="Y394" t="s">
        <v>1346</v>
      </c>
      <c r="Z394" t="s">
        <v>284</v>
      </c>
      <c r="AA394">
        <v>0</v>
      </c>
      <c r="AB394" t="s">
        <v>18</v>
      </c>
    </row>
    <row r="395" spans="1:28" x14ac:dyDescent="0.3">
      <c r="A395" t="s">
        <v>1143</v>
      </c>
      <c r="B395" t="s">
        <v>1174</v>
      </c>
      <c r="C395" t="s">
        <v>1532</v>
      </c>
      <c r="D395" t="s">
        <v>1224</v>
      </c>
      <c r="E395">
        <v>3073</v>
      </c>
      <c r="F395" t="s">
        <v>5</v>
      </c>
      <c r="G395">
        <v>1303</v>
      </c>
      <c r="H395" s="2">
        <f t="shared" si="6"/>
        <v>0.42401561991539211</v>
      </c>
      <c r="I395" t="s">
        <v>6</v>
      </c>
      <c r="J395">
        <v>-46.449523318051497</v>
      </c>
      <c r="K395" t="s">
        <v>7</v>
      </c>
      <c r="L395">
        <v>-1.5115367171510401E-2</v>
      </c>
      <c r="M395" t="s">
        <v>8</v>
      </c>
      <c r="N395">
        <v>1.5221393479665799</v>
      </c>
      <c r="O395" t="s">
        <v>9</v>
      </c>
      <c r="P395">
        <v>-1.1474262824864301</v>
      </c>
      <c r="Q395" t="s">
        <v>10</v>
      </c>
      <c r="R395">
        <v>3.1672072765025301</v>
      </c>
      <c r="S395" t="s">
        <v>11</v>
      </c>
      <c r="T395" t="s">
        <v>1259</v>
      </c>
      <c r="U395" t="s">
        <v>1260</v>
      </c>
      <c r="V395">
        <v>0</v>
      </c>
      <c r="W395" t="s">
        <v>14</v>
      </c>
      <c r="X395" t="s">
        <v>15</v>
      </c>
      <c r="Y395" t="s">
        <v>1261</v>
      </c>
      <c r="Z395" t="s">
        <v>1262</v>
      </c>
      <c r="AA395">
        <v>0</v>
      </c>
      <c r="AB395" t="s">
        <v>18</v>
      </c>
    </row>
    <row r="396" spans="1:28" x14ac:dyDescent="0.3">
      <c r="A396" t="s">
        <v>1219</v>
      </c>
      <c r="B396" t="s">
        <v>1218</v>
      </c>
      <c r="C396" t="s">
        <v>1649</v>
      </c>
      <c r="D396" t="s">
        <v>1224</v>
      </c>
      <c r="E396">
        <v>197</v>
      </c>
      <c r="F396" t="s">
        <v>5</v>
      </c>
      <c r="G396">
        <v>35</v>
      </c>
      <c r="H396" s="2">
        <f t="shared" si="6"/>
        <v>0.17766497461928935</v>
      </c>
      <c r="I396" t="s">
        <v>6</v>
      </c>
      <c r="J396">
        <v>-46.739482784644203</v>
      </c>
      <c r="K396" t="s">
        <v>7</v>
      </c>
      <c r="L396">
        <v>-0.23725625779007201</v>
      </c>
      <c r="M396" t="s">
        <v>8</v>
      </c>
      <c r="N396">
        <v>4.9987426936074701</v>
      </c>
      <c r="O396" t="s">
        <v>9</v>
      </c>
      <c r="P396">
        <v>-1.36849059914139</v>
      </c>
      <c r="Q396" t="s">
        <v>10</v>
      </c>
      <c r="R396">
        <v>0.60172755630256403</v>
      </c>
      <c r="S396" t="s">
        <v>11</v>
      </c>
      <c r="T396" t="s">
        <v>1372</v>
      </c>
      <c r="U396" t="s">
        <v>105</v>
      </c>
      <c r="V396">
        <v>0</v>
      </c>
      <c r="W396" t="s">
        <v>14</v>
      </c>
      <c r="X396" t="s">
        <v>15</v>
      </c>
      <c r="Y396" t="s">
        <v>1373</v>
      </c>
      <c r="Z396" t="s">
        <v>105</v>
      </c>
      <c r="AA396">
        <v>0</v>
      </c>
      <c r="AB396" t="s">
        <v>18</v>
      </c>
    </row>
    <row r="397" spans="1:28" x14ac:dyDescent="0.3">
      <c r="A397" t="s">
        <v>1220</v>
      </c>
      <c r="B397" t="s">
        <v>1152</v>
      </c>
      <c r="C397" t="s">
        <v>1658</v>
      </c>
      <c r="D397" t="s">
        <v>1224</v>
      </c>
      <c r="E397">
        <v>136</v>
      </c>
      <c r="F397" t="s">
        <v>5</v>
      </c>
      <c r="G397">
        <v>58</v>
      </c>
      <c r="H397" s="2">
        <f t="shared" si="6"/>
        <v>0.4264705882352941</v>
      </c>
      <c r="I397" t="s">
        <v>6</v>
      </c>
      <c r="J397">
        <v>-47.189999999999898</v>
      </c>
      <c r="K397" t="s">
        <v>7</v>
      </c>
      <c r="L397">
        <v>-0.346985294117646</v>
      </c>
      <c r="M397" t="s">
        <v>8</v>
      </c>
      <c r="N397">
        <v>1.62793103448275</v>
      </c>
      <c r="O397" t="s">
        <v>9</v>
      </c>
      <c r="P397">
        <v>-1.8155128205128199</v>
      </c>
      <c r="Q397" t="s">
        <v>10</v>
      </c>
      <c r="R397">
        <v>0.38723554968808599</v>
      </c>
      <c r="S397" t="s">
        <v>11</v>
      </c>
      <c r="T397" t="s">
        <v>1382</v>
      </c>
      <c r="U397" t="s">
        <v>1383</v>
      </c>
      <c r="V397">
        <v>0</v>
      </c>
      <c r="W397" t="s">
        <v>14</v>
      </c>
      <c r="X397" t="s">
        <v>15</v>
      </c>
      <c r="Y397" t="s">
        <v>1382</v>
      </c>
      <c r="Z397" t="s">
        <v>1383</v>
      </c>
      <c r="AA397">
        <v>0</v>
      </c>
      <c r="AB397" t="s">
        <v>18</v>
      </c>
    </row>
    <row r="398" spans="1:28" x14ac:dyDescent="0.3">
      <c r="A398" t="s">
        <v>1223</v>
      </c>
      <c r="B398" t="s">
        <v>1183</v>
      </c>
      <c r="C398" t="s">
        <v>1914</v>
      </c>
      <c r="D398" t="s">
        <v>1224</v>
      </c>
      <c r="E398">
        <v>230</v>
      </c>
      <c r="F398" t="s">
        <v>5</v>
      </c>
      <c r="G398">
        <v>65</v>
      </c>
      <c r="H398" s="2">
        <f t="shared" si="6"/>
        <v>0.28260869565217389</v>
      </c>
      <c r="I398" t="s">
        <v>6</v>
      </c>
      <c r="J398">
        <v>-48.159999999999798</v>
      </c>
      <c r="K398" t="s">
        <v>7</v>
      </c>
      <c r="L398">
        <v>-0.20939130434782499</v>
      </c>
      <c r="M398" t="s">
        <v>8</v>
      </c>
      <c r="N398">
        <v>2.7849230769230702</v>
      </c>
      <c r="O398" t="s">
        <v>9</v>
      </c>
      <c r="P398">
        <v>-1.3889696969696901</v>
      </c>
      <c r="Q398" t="s">
        <v>10</v>
      </c>
      <c r="R398">
        <v>0.66987451610297799</v>
      </c>
      <c r="S398" t="s">
        <v>11</v>
      </c>
      <c r="T398" t="s">
        <v>1362</v>
      </c>
      <c r="U398" t="s">
        <v>1230</v>
      </c>
      <c r="V398">
        <v>0</v>
      </c>
      <c r="W398" t="s">
        <v>14</v>
      </c>
      <c r="X398" t="s">
        <v>15</v>
      </c>
      <c r="Y398" t="s">
        <v>1484</v>
      </c>
      <c r="Z398" t="s">
        <v>284</v>
      </c>
      <c r="AA398">
        <v>0</v>
      </c>
      <c r="AB398" t="s">
        <v>18</v>
      </c>
    </row>
    <row r="399" spans="1:28" x14ac:dyDescent="0.3">
      <c r="A399" t="s">
        <v>1219</v>
      </c>
      <c r="B399" t="s">
        <v>1182</v>
      </c>
      <c r="C399" t="s">
        <v>1613</v>
      </c>
      <c r="D399" t="s">
        <v>1224</v>
      </c>
      <c r="E399">
        <v>200</v>
      </c>
      <c r="F399" t="s">
        <v>5</v>
      </c>
      <c r="G399">
        <v>46</v>
      </c>
      <c r="H399" s="2">
        <f t="shared" si="6"/>
        <v>0.23</v>
      </c>
      <c r="I399" t="s">
        <v>6</v>
      </c>
      <c r="J399">
        <v>-49.199999999999903</v>
      </c>
      <c r="K399" t="s">
        <v>7</v>
      </c>
      <c r="L399">
        <v>-0.245999999999999</v>
      </c>
      <c r="M399" t="s">
        <v>8</v>
      </c>
      <c r="N399">
        <v>4.0221739130434804</v>
      </c>
      <c r="O399" t="s">
        <v>9</v>
      </c>
      <c r="P399">
        <v>-1.5209090909090901</v>
      </c>
      <c r="Q399" t="s">
        <v>10</v>
      </c>
      <c r="R399">
        <v>0.65194591099731602</v>
      </c>
      <c r="S399" t="s">
        <v>11</v>
      </c>
      <c r="T399" t="s">
        <v>193</v>
      </c>
      <c r="U399" t="s">
        <v>1230</v>
      </c>
      <c r="V399">
        <v>0</v>
      </c>
      <c r="W399" t="s">
        <v>14</v>
      </c>
      <c r="X399" t="s">
        <v>15</v>
      </c>
      <c r="Y399" t="s">
        <v>1346</v>
      </c>
      <c r="Z399" t="s">
        <v>284</v>
      </c>
      <c r="AA399">
        <v>0</v>
      </c>
      <c r="AB399" t="s">
        <v>18</v>
      </c>
    </row>
    <row r="400" spans="1:28" x14ac:dyDescent="0.3">
      <c r="A400" t="s">
        <v>1219</v>
      </c>
      <c r="B400" t="s">
        <v>1180</v>
      </c>
      <c r="C400" t="s">
        <v>1611</v>
      </c>
      <c r="D400" t="s">
        <v>1224</v>
      </c>
      <c r="E400">
        <v>200</v>
      </c>
      <c r="F400" t="s">
        <v>5</v>
      </c>
      <c r="G400">
        <v>62</v>
      </c>
      <c r="H400" s="2">
        <f t="shared" si="6"/>
        <v>0.31</v>
      </c>
      <c r="I400" t="s">
        <v>6</v>
      </c>
      <c r="J400">
        <v>-49.219999999999899</v>
      </c>
      <c r="K400" t="s">
        <v>7</v>
      </c>
      <c r="L400">
        <v>-0.24609999999999899</v>
      </c>
      <c r="M400" t="s">
        <v>8</v>
      </c>
      <c r="N400">
        <v>2.50322580645161</v>
      </c>
      <c r="O400" t="s">
        <v>9</v>
      </c>
      <c r="P400">
        <v>-1.4813043478260799</v>
      </c>
      <c r="Q400" t="s">
        <v>10</v>
      </c>
      <c r="R400">
        <v>0.492458644493244</v>
      </c>
      <c r="S400" t="s">
        <v>11</v>
      </c>
      <c r="T400" t="s">
        <v>193</v>
      </c>
      <c r="U400" t="s">
        <v>1230</v>
      </c>
      <c r="V400">
        <v>0</v>
      </c>
      <c r="W400" t="s">
        <v>14</v>
      </c>
      <c r="X400" t="s">
        <v>15</v>
      </c>
      <c r="Y400" t="s">
        <v>1345</v>
      </c>
      <c r="Z400" t="s">
        <v>91</v>
      </c>
      <c r="AA400">
        <v>0</v>
      </c>
      <c r="AB400" t="s">
        <v>18</v>
      </c>
    </row>
    <row r="401" spans="1:28" x14ac:dyDescent="0.3">
      <c r="A401" t="s">
        <v>1219</v>
      </c>
      <c r="B401" t="s">
        <v>1209</v>
      </c>
      <c r="C401" t="s">
        <v>1640</v>
      </c>
      <c r="D401" t="s">
        <v>1224</v>
      </c>
      <c r="E401">
        <v>200</v>
      </c>
      <c r="F401" t="s">
        <v>5</v>
      </c>
      <c r="G401">
        <v>67</v>
      </c>
      <c r="H401" s="2">
        <f t="shared" si="6"/>
        <v>0.33500000000000002</v>
      </c>
      <c r="I401" t="s">
        <v>6</v>
      </c>
      <c r="J401">
        <v>-49.459999999999901</v>
      </c>
      <c r="K401" t="s">
        <v>7</v>
      </c>
      <c r="L401">
        <v>-0.24729999999999899</v>
      </c>
      <c r="M401" t="s">
        <v>8</v>
      </c>
      <c r="N401">
        <v>1.4598507462686501</v>
      </c>
      <c r="O401" t="s">
        <v>9</v>
      </c>
      <c r="P401">
        <v>-1.1072932330826999</v>
      </c>
      <c r="Q401" t="s">
        <v>10</v>
      </c>
      <c r="R401">
        <v>0.327438436426574</v>
      </c>
      <c r="S401" t="s">
        <v>11</v>
      </c>
      <c r="T401" t="s">
        <v>1362</v>
      </c>
      <c r="U401" t="s">
        <v>1230</v>
      </c>
      <c r="V401">
        <v>0</v>
      </c>
      <c r="W401" t="s">
        <v>14</v>
      </c>
      <c r="X401" t="s">
        <v>15</v>
      </c>
      <c r="Y401" t="s">
        <v>1363</v>
      </c>
      <c r="Z401" t="s">
        <v>284</v>
      </c>
      <c r="AA401">
        <v>0</v>
      </c>
      <c r="AB401" t="s">
        <v>18</v>
      </c>
    </row>
    <row r="402" spans="1:28" x14ac:dyDescent="0.3">
      <c r="A402" t="s">
        <v>1219</v>
      </c>
      <c r="B402" t="s">
        <v>1213</v>
      </c>
      <c r="C402" t="s">
        <v>1644</v>
      </c>
      <c r="D402" t="s">
        <v>1224</v>
      </c>
      <c r="E402">
        <v>200</v>
      </c>
      <c r="F402" t="s">
        <v>5</v>
      </c>
      <c r="G402">
        <v>38</v>
      </c>
      <c r="H402" s="2">
        <f t="shared" si="6"/>
        <v>0.19</v>
      </c>
      <c r="I402" t="s">
        <v>6</v>
      </c>
      <c r="J402">
        <v>-50.269999999999897</v>
      </c>
      <c r="K402" t="s">
        <v>7</v>
      </c>
      <c r="L402">
        <v>-0.25134999999999902</v>
      </c>
      <c r="M402" t="s">
        <v>8</v>
      </c>
      <c r="N402">
        <v>3.8702631578947302</v>
      </c>
      <c r="O402" t="s">
        <v>9</v>
      </c>
      <c r="P402">
        <v>-1.21814814814814</v>
      </c>
      <c r="Q402" t="s">
        <v>10</v>
      </c>
      <c r="R402">
        <v>0.61761701159669902</v>
      </c>
      <c r="S402" t="s">
        <v>11</v>
      </c>
      <c r="T402" t="s">
        <v>1366</v>
      </c>
      <c r="U402" t="s">
        <v>1322</v>
      </c>
      <c r="V402">
        <v>0</v>
      </c>
      <c r="W402" t="s">
        <v>14</v>
      </c>
      <c r="X402" t="s">
        <v>15</v>
      </c>
      <c r="Y402" t="s">
        <v>1365</v>
      </c>
      <c r="Z402" t="s">
        <v>284</v>
      </c>
      <c r="AA402">
        <v>0</v>
      </c>
      <c r="AB402" t="s">
        <v>18</v>
      </c>
    </row>
    <row r="403" spans="1:28" x14ac:dyDescent="0.3">
      <c r="A403" t="s">
        <v>1223</v>
      </c>
      <c r="B403" t="s">
        <v>1208</v>
      </c>
      <c r="C403" t="s">
        <v>1939</v>
      </c>
      <c r="D403" t="s">
        <v>1224</v>
      </c>
      <c r="E403">
        <v>224</v>
      </c>
      <c r="F403" t="s">
        <v>5</v>
      </c>
      <c r="G403">
        <v>61</v>
      </c>
      <c r="H403" s="2">
        <f t="shared" si="6"/>
        <v>0.27232142857142855</v>
      </c>
      <c r="I403" t="s">
        <v>6</v>
      </c>
      <c r="J403">
        <v>-50.909999999999798</v>
      </c>
      <c r="K403" t="s">
        <v>7</v>
      </c>
      <c r="L403">
        <v>-0.227276785714285</v>
      </c>
      <c r="M403" t="s">
        <v>8</v>
      </c>
      <c r="N403">
        <v>1.8655737704918001</v>
      </c>
      <c r="O403" t="s">
        <v>9</v>
      </c>
      <c r="P403">
        <v>-1.01049079754601</v>
      </c>
      <c r="Q403" t="s">
        <v>10</v>
      </c>
      <c r="R403">
        <v>0.55304301647740295</v>
      </c>
      <c r="S403" t="s">
        <v>11</v>
      </c>
      <c r="T403" t="s">
        <v>1293</v>
      </c>
      <c r="U403" t="s">
        <v>742</v>
      </c>
      <c r="V403">
        <v>0</v>
      </c>
      <c r="W403" t="s">
        <v>14</v>
      </c>
      <c r="X403" t="s">
        <v>15</v>
      </c>
      <c r="Y403" t="s">
        <v>1293</v>
      </c>
      <c r="Z403" t="s">
        <v>742</v>
      </c>
      <c r="AA403">
        <v>0</v>
      </c>
      <c r="AB403" t="s">
        <v>18</v>
      </c>
    </row>
    <row r="404" spans="1:28" x14ac:dyDescent="0.3">
      <c r="A404" t="s">
        <v>1219</v>
      </c>
      <c r="B404" t="s">
        <v>1177</v>
      </c>
      <c r="C404" t="s">
        <v>1608</v>
      </c>
      <c r="D404" t="s">
        <v>1224</v>
      </c>
      <c r="E404">
        <v>191</v>
      </c>
      <c r="F404" t="s">
        <v>5</v>
      </c>
      <c r="G404">
        <v>50</v>
      </c>
      <c r="H404" s="2">
        <f t="shared" si="6"/>
        <v>0.26178010471204188</v>
      </c>
      <c r="I404" t="s">
        <v>6</v>
      </c>
      <c r="J404">
        <v>-51.509999999999799</v>
      </c>
      <c r="K404" t="s">
        <v>7</v>
      </c>
      <c r="L404">
        <v>-0.26968586387434401</v>
      </c>
      <c r="M404" t="s">
        <v>8</v>
      </c>
      <c r="N404">
        <v>3.0992000000000002</v>
      </c>
      <c r="O404" t="s">
        <v>9</v>
      </c>
      <c r="P404">
        <v>-1.46432624113475</v>
      </c>
      <c r="Q404" t="s">
        <v>10</v>
      </c>
      <c r="R404">
        <v>0.62155335457239902</v>
      </c>
      <c r="S404" t="s">
        <v>11</v>
      </c>
      <c r="T404" t="s">
        <v>1339</v>
      </c>
      <c r="U404" t="s">
        <v>1340</v>
      </c>
      <c r="V404">
        <v>0</v>
      </c>
      <c r="W404" t="s">
        <v>14</v>
      </c>
      <c r="X404" t="s">
        <v>15</v>
      </c>
      <c r="Y404" t="s">
        <v>1342</v>
      </c>
      <c r="Z404" t="s">
        <v>1343</v>
      </c>
      <c r="AA404">
        <v>0</v>
      </c>
      <c r="AB404" t="s">
        <v>18</v>
      </c>
    </row>
    <row r="405" spans="1:28" x14ac:dyDescent="0.3">
      <c r="A405" t="s">
        <v>1219</v>
      </c>
      <c r="B405" t="s">
        <v>1210</v>
      </c>
      <c r="C405" t="s">
        <v>1641</v>
      </c>
      <c r="D405" t="s">
        <v>1224</v>
      </c>
      <c r="E405">
        <v>200</v>
      </c>
      <c r="F405" t="s">
        <v>5</v>
      </c>
      <c r="G405">
        <v>56</v>
      </c>
      <c r="H405" s="2">
        <f t="shared" si="6"/>
        <v>0.28000000000000003</v>
      </c>
      <c r="I405" t="s">
        <v>6</v>
      </c>
      <c r="J405">
        <v>-51.869999999999898</v>
      </c>
      <c r="K405" t="s">
        <v>7</v>
      </c>
      <c r="L405">
        <v>-0.25934999999999903</v>
      </c>
      <c r="M405" t="s">
        <v>8</v>
      </c>
      <c r="N405">
        <v>2.0574999999999899</v>
      </c>
      <c r="O405" t="s">
        <v>9</v>
      </c>
      <c r="P405">
        <v>-1.16034722222222</v>
      </c>
      <c r="Q405" t="s">
        <v>10</v>
      </c>
      <c r="R405">
        <v>0.39547935644311899</v>
      </c>
      <c r="S405" t="s">
        <v>11</v>
      </c>
      <c r="T405" t="s">
        <v>1362</v>
      </c>
      <c r="U405" t="s">
        <v>1230</v>
      </c>
      <c r="V405">
        <v>0</v>
      </c>
      <c r="W405" t="s">
        <v>14</v>
      </c>
      <c r="X405" t="s">
        <v>15</v>
      </c>
      <c r="Y405" t="s">
        <v>1364</v>
      </c>
      <c r="Z405" t="s">
        <v>91</v>
      </c>
      <c r="AA405">
        <v>0</v>
      </c>
      <c r="AB405" t="s">
        <v>18</v>
      </c>
    </row>
    <row r="406" spans="1:28" x14ac:dyDescent="0.3">
      <c r="A406" t="s">
        <v>1223</v>
      </c>
      <c r="B406" t="s">
        <v>1215</v>
      </c>
      <c r="C406" t="s">
        <v>1946</v>
      </c>
      <c r="D406" t="s">
        <v>1224</v>
      </c>
      <c r="E406">
        <v>235</v>
      </c>
      <c r="F406" t="s">
        <v>5</v>
      </c>
      <c r="G406">
        <v>69</v>
      </c>
      <c r="H406" s="2">
        <f t="shared" si="6"/>
        <v>0.29361702127659572</v>
      </c>
      <c r="I406" t="s">
        <v>6</v>
      </c>
      <c r="J406">
        <v>-52.299085076281003</v>
      </c>
      <c r="K406" t="s">
        <v>7</v>
      </c>
      <c r="L406">
        <v>-0.22254929819694</v>
      </c>
      <c r="M406" t="s">
        <v>8</v>
      </c>
      <c r="N406">
        <v>2.2451537825463199</v>
      </c>
      <c r="O406" t="s">
        <v>9</v>
      </c>
      <c r="P406">
        <v>-1.24828130163841</v>
      </c>
      <c r="Q406" t="s">
        <v>10</v>
      </c>
      <c r="R406">
        <v>0.41019654181406001</v>
      </c>
      <c r="S406" t="s">
        <v>11</v>
      </c>
      <c r="T406" t="s">
        <v>1367</v>
      </c>
      <c r="U406" t="s">
        <v>284</v>
      </c>
      <c r="V406">
        <v>0</v>
      </c>
      <c r="W406" t="s">
        <v>14</v>
      </c>
      <c r="X406" t="s">
        <v>15</v>
      </c>
      <c r="Y406" t="s">
        <v>1501</v>
      </c>
      <c r="Z406" t="s">
        <v>266</v>
      </c>
      <c r="AA406">
        <v>0</v>
      </c>
      <c r="AB406" t="s">
        <v>18</v>
      </c>
    </row>
    <row r="407" spans="1:28" x14ac:dyDescent="0.3">
      <c r="A407" t="s">
        <v>1219</v>
      </c>
      <c r="B407" t="s">
        <v>1170</v>
      </c>
      <c r="C407" t="s">
        <v>1601</v>
      </c>
      <c r="D407" t="s">
        <v>1224</v>
      </c>
      <c r="E407">
        <v>197</v>
      </c>
      <c r="F407" t="s">
        <v>5</v>
      </c>
      <c r="G407">
        <v>90</v>
      </c>
      <c r="H407" s="2">
        <f t="shared" si="6"/>
        <v>0.45685279187817257</v>
      </c>
      <c r="I407" t="s">
        <v>6</v>
      </c>
      <c r="J407">
        <v>-52.793037864146697</v>
      </c>
      <c r="K407" t="s">
        <v>7</v>
      </c>
      <c r="L407">
        <v>-0.267984963777394</v>
      </c>
      <c r="M407" t="s">
        <v>8</v>
      </c>
      <c r="N407">
        <v>1.5999978470578899</v>
      </c>
      <c r="O407" t="s">
        <v>9</v>
      </c>
      <c r="P407">
        <v>-1.8391854588724901</v>
      </c>
      <c r="Q407" t="s">
        <v>10</v>
      </c>
      <c r="R407">
        <v>0.43968820232342398</v>
      </c>
      <c r="S407" t="s">
        <v>11</v>
      </c>
      <c r="T407" t="s">
        <v>1251</v>
      </c>
      <c r="U407" t="s">
        <v>647</v>
      </c>
      <c r="V407">
        <v>0</v>
      </c>
      <c r="W407" t="s">
        <v>14</v>
      </c>
      <c r="X407" t="s">
        <v>15</v>
      </c>
      <c r="Y407" t="s">
        <v>1333</v>
      </c>
      <c r="Z407" t="s">
        <v>647</v>
      </c>
      <c r="AA407">
        <v>0</v>
      </c>
      <c r="AB407" t="s">
        <v>18</v>
      </c>
    </row>
    <row r="408" spans="1:28" x14ac:dyDescent="0.3">
      <c r="A408" t="s">
        <v>1219</v>
      </c>
      <c r="B408" t="s">
        <v>1179</v>
      </c>
      <c r="C408" t="s">
        <v>1610</v>
      </c>
      <c r="D408" t="s">
        <v>1224</v>
      </c>
      <c r="E408">
        <v>200</v>
      </c>
      <c r="F408" t="s">
        <v>5</v>
      </c>
      <c r="G408">
        <v>75</v>
      </c>
      <c r="H408" s="2">
        <f t="shared" si="6"/>
        <v>0.375</v>
      </c>
      <c r="I408" t="s">
        <v>6</v>
      </c>
      <c r="J408">
        <v>-55.029999999999902</v>
      </c>
      <c r="K408" t="s">
        <v>7</v>
      </c>
      <c r="L408">
        <v>-0.27514999999999901</v>
      </c>
      <c r="M408" t="s">
        <v>8</v>
      </c>
      <c r="N408">
        <v>1.7043999999999999</v>
      </c>
      <c r="O408" t="s">
        <v>9</v>
      </c>
      <c r="P408">
        <v>-1.46288</v>
      </c>
      <c r="Q408" t="s">
        <v>10</v>
      </c>
      <c r="R408">
        <v>0.40387617640684098</v>
      </c>
      <c r="S408" t="s">
        <v>11</v>
      </c>
      <c r="T408" t="s">
        <v>193</v>
      </c>
      <c r="U408" t="s">
        <v>1230</v>
      </c>
      <c r="V408">
        <v>0</v>
      </c>
      <c r="W408" t="s">
        <v>14</v>
      </c>
      <c r="X408" t="s">
        <v>15</v>
      </c>
      <c r="Y408" t="s">
        <v>1344</v>
      </c>
      <c r="Z408" t="s">
        <v>284</v>
      </c>
      <c r="AA408">
        <v>0</v>
      </c>
      <c r="AB408" t="s">
        <v>18</v>
      </c>
    </row>
    <row r="409" spans="1:28" x14ac:dyDescent="0.3">
      <c r="A409" t="s">
        <v>1219</v>
      </c>
      <c r="B409" t="s">
        <v>1188</v>
      </c>
      <c r="C409" t="s">
        <v>1619</v>
      </c>
      <c r="D409" t="s">
        <v>1224</v>
      </c>
      <c r="E409">
        <v>197</v>
      </c>
      <c r="F409" t="s">
        <v>5</v>
      </c>
      <c r="G409">
        <v>43</v>
      </c>
      <c r="H409" s="2">
        <f t="shared" si="6"/>
        <v>0.21827411167512689</v>
      </c>
      <c r="I409" t="s">
        <v>6</v>
      </c>
      <c r="J409">
        <v>-55.263855076560603</v>
      </c>
      <c r="K409" t="s">
        <v>7</v>
      </c>
      <c r="L409">
        <v>-0.280527183129749</v>
      </c>
      <c r="M409" t="s">
        <v>8</v>
      </c>
      <c r="N409">
        <v>4.7452383462010603</v>
      </c>
      <c r="O409" t="s">
        <v>9</v>
      </c>
      <c r="P409">
        <v>-1.6838253504104299</v>
      </c>
      <c r="Q409" t="s">
        <v>10</v>
      </c>
      <c r="R409">
        <v>0.71655047628545598</v>
      </c>
      <c r="S409" t="s">
        <v>11</v>
      </c>
      <c r="T409" t="s">
        <v>1271</v>
      </c>
      <c r="U409" t="s">
        <v>647</v>
      </c>
      <c r="V409">
        <v>0</v>
      </c>
      <c r="W409" t="s">
        <v>14</v>
      </c>
      <c r="X409" t="s">
        <v>15</v>
      </c>
      <c r="Y409" t="s">
        <v>1347</v>
      </c>
      <c r="Z409" t="s">
        <v>647</v>
      </c>
      <c r="AA409">
        <v>0</v>
      </c>
      <c r="AB409" t="s">
        <v>18</v>
      </c>
    </row>
    <row r="410" spans="1:28" x14ac:dyDescent="0.3">
      <c r="A410" t="s">
        <v>1219</v>
      </c>
      <c r="B410" t="s">
        <v>1155</v>
      </c>
      <c r="C410" t="s">
        <v>1586</v>
      </c>
      <c r="D410" t="s">
        <v>1224</v>
      </c>
      <c r="E410">
        <v>197</v>
      </c>
      <c r="F410" t="s">
        <v>5</v>
      </c>
      <c r="G410">
        <v>79</v>
      </c>
      <c r="H410" s="2">
        <f t="shared" si="6"/>
        <v>0.40101522842639592</v>
      </c>
      <c r="I410" t="s">
        <v>6</v>
      </c>
      <c r="J410">
        <v>-55.511492083289603</v>
      </c>
      <c r="K410" t="s">
        <v>7</v>
      </c>
      <c r="L410">
        <v>-0.28178422377304402</v>
      </c>
      <c r="M410" t="s">
        <v>8</v>
      </c>
      <c r="N410">
        <v>2.1647658858468701</v>
      </c>
      <c r="O410" t="s">
        <v>9</v>
      </c>
      <c r="P410">
        <v>-1.9197287886880701</v>
      </c>
      <c r="Q410" t="s">
        <v>10</v>
      </c>
      <c r="R410">
        <v>0.54603782556554803</v>
      </c>
      <c r="S410" t="s">
        <v>11</v>
      </c>
      <c r="T410" t="s">
        <v>1241</v>
      </c>
      <c r="U410" t="s">
        <v>647</v>
      </c>
      <c r="V410">
        <v>0</v>
      </c>
      <c r="W410" t="s">
        <v>14</v>
      </c>
      <c r="X410" t="s">
        <v>15</v>
      </c>
      <c r="Y410" t="s">
        <v>1326</v>
      </c>
      <c r="Z410" t="s">
        <v>647</v>
      </c>
      <c r="AA410">
        <v>0</v>
      </c>
      <c r="AB410" t="s">
        <v>18</v>
      </c>
    </row>
    <row r="411" spans="1:28" x14ac:dyDescent="0.3">
      <c r="A411" t="s">
        <v>1223</v>
      </c>
      <c r="B411" t="s">
        <v>1182</v>
      </c>
      <c r="C411" t="s">
        <v>1913</v>
      </c>
      <c r="D411" t="s">
        <v>1224</v>
      </c>
      <c r="E411">
        <v>230</v>
      </c>
      <c r="F411" t="s">
        <v>5</v>
      </c>
      <c r="G411">
        <v>66</v>
      </c>
      <c r="H411" s="2">
        <f t="shared" si="6"/>
        <v>0.28695652173913044</v>
      </c>
      <c r="I411" t="s">
        <v>6</v>
      </c>
      <c r="J411">
        <v>-56.599999999999802</v>
      </c>
      <c r="K411" t="s">
        <v>7</v>
      </c>
      <c r="L411">
        <v>-0.24608695652173801</v>
      </c>
      <c r="M411" t="s">
        <v>8</v>
      </c>
      <c r="N411">
        <v>2.5992424242424201</v>
      </c>
      <c r="O411" t="s">
        <v>9</v>
      </c>
      <c r="P411">
        <v>-1.39115853658536</v>
      </c>
      <c r="Q411" t="s">
        <v>10</v>
      </c>
      <c r="R411">
        <v>0.65517281476176603</v>
      </c>
      <c r="S411" t="s">
        <v>11</v>
      </c>
      <c r="T411" t="s">
        <v>1362</v>
      </c>
      <c r="U411" t="s">
        <v>1230</v>
      </c>
      <c r="V411">
        <v>0</v>
      </c>
      <c r="W411" t="s">
        <v>14</v>
      </c>
      <c r="X411" t="s">
        <v>15</v>
      </c>
      <c r="Y411" t="s">
        <v>1484</v>
      </c>
      <c r="Z411" t="s">
        <v>284</v>
      </c>
      <c r="AA411">
        <v>0</v>
      </c>
      <c r="AB411" t="s">
        <v>18</v>
      </c>
    </row>
    <row r="412" spans="1:28" x14ac:dyDescent="0.3">
      <c r="A412" t="s">
        <v>1223</v>
      </c>
      <c r="B412" t="s">
        <v>1185</v>
      </c>
      <c r="C412" t="s">
        <v>1916</v>
      </c>
      <c r="D412" t="s">
        <v>1224</v>
      </c>
      <c r="E412">
        <v>235</v>
      </c>
      <c r="F412" t="s">
        <v>5</v>
      </c>
      <c r="G412">
        <v>74</v>
      </c>
      <c r="H412" s="2">
        <f t="shared" si="6"/>
        <v>0.31489361702127661</v>
      </c>
      <c r="I412" t="s">
        <v>6</v>
      </c>
      <c r="J412">
        <v>-57.995408701985703</v>
      </c>
      <c r="K412" t="s">
        <v>7</v>
      </c>
      <c r="L412">
        <v>-0.246788973199939</v>
      </c>
      <c r="M412" t="s">
        <v>8</v>
      </c>
      <c r="N412">
        <v>2.4373083255222299</v>
      </c>
      <c r="O412" t="s">
        <v>9</v>
      </c>
      <c r="P412">
        <v>-1.4804734459045401</v>
      </c>
      <c r="Q412" t="s">
        <v>10</v>
      </c>
      <c r="R412">
        <v>0.51811796577348002</v>
      </c>
      <c r="S412" t="s">
        <v>11</v>
      </c>
      <c r="T412" t="s">
        <v>1486</v>
      </c>
      <c r="U412" t="s">
        <v>91</v>
      </c>
      <c r="V412">
        <v>0</v>
      </c>
      <c r="W412" t="s">
        <v>14</v>
      </c>
      <c r="X412" t="s">
        <v>15</v>
      </c>
      <c r="Y412" t="s">
        <v>1486</v>
      </c>
      <c r="Z412" t="s">
        <v>91</v>
      </c>
      <c r="AA412">
        <v>0</v>
      </c>
      <c r="AB412" t="s">
        <v>18</v>
      </c>
    </row>
    <row r="413" spans="1:28" x14ac:dyDescent="0.3">
      <c r="A413" t="s">
        <v>1219</v>
      </c>
      <c r="B413" t="s">
        <v>1156</v>
      </c>
      <c r="C413" t="s">
        <v>1587</v>
      </c>
      <c r="D413" t="s">
        <v>1224</v>
      </c>
      <c r="E413">
        <v>197</v>
      </c>
      <c r="F413" t="s">
        <v>5</v>
      </c>
      <c r="G413">
        <v>71</v>
      </c>
      <c r="H413" s="2">
        <f t="shared" si="6"/>
        <v>0.3604060913705584</v>
      </c>
      <c r="I413" t="s">
        <v>6</v>
      </c>
      <c r="J413">
        <v>-58.281492083289699</v>
      </c>
      <c r="K413" t="s">
        <v>7</v>
      </c>
      <c r="L413">
        <v>-0.29584513747862801</v>
      </c>
      <c r="M413" t="s">
        <v>8</v>
      </c>
      <c r="N413">
        <v>2.58402399969735</v>
      </c>
      <c r="O413" t="s">
        <v>9</v>
      </c>
      <c r="P413">
        <v>-1.9186285401730301</v>
      </c>
      <c r="Q413" t="s">
        <v>10</v>
      </c>
      <c r="R413">
        <v>0.62763621567735395</v>
      </c>
      <c r="S413" t="s">
        <v>11</v>
      </c>
      <c r="T413" t="s">
        <v>1241</v>
      </c>
      <c r="U413" t="s">
        <v>647</v>
      </c>
      <c r="V413">
        <v>0</v>
      </c>
      <c r="W413" t="s">
        <v>14</v>
      </c>
      <c r="X413" t="s">
        <v>15</v>
      </c>
      <c r="Y413" t="s">
        <v>1327</v>
      </c>
      <c r="Z413" t="s">
        <v>647</v>
      </c>
      <c r="AA413">
        <v>0</v>
      </c>
      <c r="AB413" t="s">
        <v>18</v>
      </c>
    </row>
    <row r="414" spans="1:28" x14ac:dyDescent="0.3">
      <c r="A414" t="s">
        <v>1223</v>
      </c>
      <c r="B414" t="s">
        <v>1203</v>
      </c>
      <c r="C414" t="s">
        <v>1934</v>
      </c>
      <c r="D414" t="s">
        <v>1224</v>
      </c>
      <c r="E414">
        <v>235</v>
      </c>
      <c r="F414" t="s">
        <v>5</v>
      </c>
      <c r="G414">
        <v>126</v>
      </c>
      <c r="H414" s="2">
        <f t="shared" si="6"/>
        <v>0.53617021276595744</v>
      </c>
      <c r="I414" t="s">
        <v>6</v>
      </c>
      <c r="J414">
        <v>-62.345316944208001</v>
      </c>
      <c r="K414" t="s">
        <v>7</v>
      </c>
      <c r="L414">
        <v>-0.26529922103918302</v>
      </c>
      <c r="M414" t="s">
        <v>8</v>
      </c>
      <c r="N414">
        <v>0.94698412698412604</v>
      </c>
      <c r="O414" t="s">
        <v>9</v>
      </c>
      <c r="P414">
        <v>-1.6666542838918099</v>
      </c>
      <c r="Q414" t="s">
        <v>10</v>
      </c>
      <c r="R414">
        <v>0.43867423790295901</v>
      </c>
      <c r="S414" t="s">
        <v>11</v>
      </c>
      <c r="T414" t="s">
        <v>1493</v>
      </c>
      <c r="U414" t="s">
        <v>1383</v>
      </c>
      <c r="V414">
        <v>0</v>
      </c>
      <c r="W414" t="s">
        <v>14</v>
      </c>
      <c r="X414" t="s">
        <v>15</v>
      </c>
      <c r="Y414" t="s">
        <v>1494</v>
      </c>
      <c r="Z414" t="s">
        <v>1478</v>
      </c>
      <c r="AA414">
        <v>0</v>
      </c>
      <c r="AB414" t="s">
        <v>18</v>
      </c>
    </row>
    <row r="415" spans="1:28" x14ac:dyDescent="0.3">
      <c r="A415" t="s">
        <v>1223</v>
      </c>
      <c r="B415" t="s">
        <v>1214</v>
      </c>
      <c r="C415" t="s">
        <v>1945</v>
      </c>
      <c r="D415" t="s">
        <v>1224</v>
      </c>
      <c r="E415">
        <v>235</v>
      </c>
      <c r="F415" t="s">
        <v>5</v>
      </c>
      <c r="G415">
        <v>86</v>
      </c>
      <c r="H415" s="2">
        <f t="shared" si="6"/>
        <v>0.36595744680851061</v>
      </c>
      <c r="I415" t="s">
        <v>6</v>
      </c>
      <c r="J415">
        <v>-65.001820990233199</v>
      </c>
      <c r="K415" t="s">
        <v>7</v>
      </c>
      <c r="L415">
        <v>-0.27660349357545999</v>
      </c>
      <c r="M415" t="s">
        <v>8</v>
      </c>
      <c r="N415">
        <v>1.3964287800202799</v>
      </c>
      <c r="O415" t="s">
        <v>9</v>
      </c>
      <c r="P415">
        <v>-1.24224628236226</v>
      </c>
      <c r="Q415" t="s">
        <v>10</v>
      </c>
      <c r="R415">
        <v>0.33323442508366702</v>
      </c>
      <c r="S415" t="s">
        <v>11</v>
      </c>
      <c r="T415" t="s">
        <v>1367</v>
      </c>
      <c r="U415" t="s">
        <v>284</v>
      </c>
      <c r="V415">
        <v>0</v>
      </c>
      <c r="W415" t="s">
        <v>14</v>
      </c>
      <c r="X415" t="s">
        <v>15</v>
      </c>
      <c r="Y415" t="s">
        <v>1500</v>
      </c>
      <c r="Z415" t="s">
        <v>284</v>
      </c>
      <c r="AA415">
        <v>0</v>
      </c>
      <c r="AB415" t="s">
        <v>18</v>
      </c>
    </row>
    <row r="416" spans="1:28" x14ac:dyDescent="0.3">
      <c r="A416" t="s">
        <v>1223</v>
      </c>
      <c r="B416" t="s">
        <v>1169</v>
      </c>
      <c r="C416" t="s">
        <v>1900</v>
      </c>
      <c r="D416" t="s">
        <v>1224</v>
      </c>
      <c r="E416">
        <v>235</v>
      </c>
      <c r="F416" t="s">
        <v>5</v>
      </c>
      <c r="G416">
        <v>120</v>
      </c>
      <c r="H416" s="2">
        <f t="shared" si="6"/>
        <v>0.51063829787234039</v>
      </c>
      <c r="I416" t="s">
        <v>6</v>
      </c>
      <c r="J416">
        <v>-65.119240558385997</v>
      </c>
      <c r="K416" t="s">
        <v>7</v>
      </c>
      <c r="L416">
        <v>-0.27710315131228103</v>
      </c>
      <c r="M416" t="s">
        <v>8</v>
      </c>
      <c r="N416">
        <v>1.1308269679646901</v>
      </c>
      <c r="O416" t="s">
        <v>9</v>
      </c>
      <c r="P416">
        <v>-1.7462476236013</v>
      </c>
      <c r="Q416" t="s">
        <v>10</v>
      </c>
      <c r="R416">
        <v>0.40692273570961202</v>
      </c>
      <c r="S416" t="s">
        <v>11</v>
      </c>
      <c r="T416" t="s">
        <v>1475</v>
      </c>
      <c r="U416" t="s">
        <v>851</v>
      </c>
      <c r="V416">
        <v>0</v>
      </c>
      <c r="W416" t="s">
        <v>14</v>
      </c>
      <c r="X416" t="s">
        <v>15</v>
      </c>
      <c r="Y416" t="s">
        <v>1476</v>
      </c>
      <c r="Z416" t="s">
        <v>1304</v>
      </c>
      <c r="AA416">
        <v>0</v>
      </c>
      <c r="AB416" t="s">
        <v>18</v>
      </c>
    </row>
    <row r="417" spans="1:28" x14ac:dyDescent="0.3">
      <c r="A417" t="s">
        <v>1223</v>
      </c>
      <c r="B417" t="s">
        <v>1217</v>
      </c>
      <c r="C417" t="s">
        <v>1948</v>
      </c>
      <c r="D417" t="s">
        <v>1224</v>
      </c>
      <c r="E417">
        <v>235</v>
      </c>
      <c r="F417" t="s">
        <v>5</v>
      </c>
      <c r="G417">
        <v>50</v>
      </c>
      <c r="H417" s="2">
        <f t="shared" si="6"/>
        <v>0.21276595744680851</v>
      </c>
      <c r="I417" t="s">
        <v>6</v>
      </c>
      <c r="J417">
        <v>-66.799085076280903</v>
      </c>
      <c r="K417" t="s">
        <v>7</v>
      </c>
      <c r="L417">
        <v>-0.28425142585651397</v>
      </c>
      <c r="M417" t="s">
        <v>8</v>
      </c>
      <c r="N417">
        <v>3.3131122199139198</v>
      </c>
      <c r="O417" t="s">
        <v>9</v>
      </c>
      <c r="P417">
        <v>-1.2565118706593299</v>
      </c>
      <c r="Q417" t="s">
        <v>10</v>
      </c>
      <c r="R417">
        <v>0.504113521929621</v>
      </c>
      <c r="S417" t="s">
        <v>11</v>
      </c>
      <c r="T417" t="s">
        <v>1498</v>
      </c>
      <c r="U417" t="s">
        <v>206</v>
      </c>
      <c r="V417">
        <v>0</v>
      </c>
      <c r="W417" t="s">
        <v>14</v>
      </c>
      <c r="X417" t="s">
        <v>15</v>
      </c>
      <c r="Y417" t="s">
        <v>1499</v>
      </c>
      <c r="Z417" t="s">
        <v>206</v>
      </c>
      <c r="AA417">
        <v>0</v>
      </c>
      <c r="AB417" t="s">
        <v>18</v>
      </c>
    </row>
    <row r="418" spans="1:28" x14ac:dyDescent="0.3">
      <c r="A418" t="s">
        <v>1223</v>
      </c>
      <c r="B418" t="s">
        <v>1216</v>
      </c>
      <c r="C418" t="s">
        <v>1947</v>
      </c>
      <c r="D418" t="s">
        <v>1224</v>
      </c>
      <c r="E418">
        <v>235</v>
      </c>
      <c r="F418" t="s">
        <v>5</v>
      </c>
      <c r="G418">
        <v>56</v>
      </c>
      <c r="H418" s="2">
        <f t="shared" si="6"/>
        <v>0.23829787234042554</v>
      </c>
      <c r="I418" t="s">
        <v>6</v>
      </c>
      <c r="J418">
        <v>-72.539085076280898</v>
      </c>
      <c r="K418" t="s">
        <v>7</v>
      </c>
      <c r="L418">
        <v>-0.30867695777140802</v>
      </c>
      <c r="M418" t="s">
        <v>8</v>
      </c>
      <c r="N418">
        <v>2.7309930534945699</v>
      </c>
      <c r="O418" t="s">
        <v>9</v>
      </c>
      <c r="P418">
        <v>-1.2596351735864599</v>
      </c>
      <c r="Q418" t="s">
        <v>10</v>
      </c>
      <c r="R418">
        <v>0.45681976629162901</v>
      </c>
      <c r="S418" t="s">
        <v>11</v>
      </c>
      <c r="T418" t="s">
        <v>1367</v>
      </c>
      <c r="U418" t="s">
        <v>284</v>
      </c>
      <c r="V418">
        <v>0</v>
      </c>
      <c r="W418" t="s">
        <v>14</v>
      </c>
      <c r="X418" t="s">
        <v>15</v>
      </c>
      <c r="Y418" t="s">
        <v>1371</v>
      </c>
      <c r="Z418" t="s">
        <v>25</v>
      </c>
      <c r="AA418">
        <v>0</v>
      </c>
      <c r="AB418" t="s">
        <v>18</v>
      </c>
    </row>
    <row r="419" spans="1:28" x14ac:dyDescent="0.3">
      <c r="A419" t="s">
        <v>1223</v>
      </c>
      <c r="B419" t="s">
        <v>1188</v>
      </c>
      <c r="C419" t="s">
        <v>1919</v>
      </c>
      <c r="D419" t="s">
        <v>1224</v>
      </c>
      <c r="E419">
        <v>235</v>
      </c>
      <c r="F419" t="s">
        <v>5</v>
      </c>
      <c r="G419">
        <v>47</v>
      </c>
      <c r="H419" s="2">
        <f t="shared" si="6"/>
        <v>0.2</v>
      </c>
      <c r="I419" t="s">
        <v>6</v>
      </c>
      <c r="J419">
        <v>-72.974672163914903</v>
      </c>
      <c r="K419" t="s">
        <v>7</v>
      </c>
      <c r="L419">
        <v>-0.31053051984644597</v>
      </c>
      <c r="M419" t="s">
        <v>8</v>
      </c>
      <c r="N419">
        <v>4.4875140613216402</v>
      </c>
      <c r="O419" t="s">
        <v>9</v>
      </c>
      <c r="P419">
        <v>-1.5100416651384601</v>
      </c>
      <c r="Q419" t="s">
        <v>10</v>
      </c>
      <c r="R419">
        <v>0.68438846826906796</v>
      </c>
      <c r="S419" t="s">
        <v>11</v>
      </c>
      <c r="T419" t="s">
        <v>1486</v>
      </c>
      <c r="U419" t="s">
        <v>91</v>
      </c>
      <c r="V419">
        <v>0</v>
      </c>
      <c r="W419" t="s">
        <v>14</v>
      </c>
      <c r="X419" t="s">
        <v>15</v>
      </c>
      <c r="Y419" t="s">
        <v>1487</v>
      </c>
      <c r="Z419" t="s">
        <v>206</v>
      </c>
      <c r="AA419">
        <v>0</v>
      </c>
      <c r="AB419" t="s">
        <v>18</v>
      </c>
    </row>
    <row r="420" spans="1:28" x14ac:dyDescent="0.3">
      <c r="A420" t="s">
        <v>1219</v>
      </c>
      <c r="B420" t="s">
        <v>1172</v>
      </c>
      <c r="C420" t="s">
        <v>1603</v>
      </c>
      <c r="D420" t="s">
        <v>1224</v>
      </c>
      <c r="E420">
        <v>197</v>
      </c>
      <c r="F420" t="s">
        <v>5</v>
      </c>
      <c r="G420">
        <v>78</v>
      </c>
      <c r="H420" s="2">
        <f t="shared" si="6"/>
        <v>0.39593908629441626</v>
      </c>
      <c r="I420" t="s">
        <v>6</v>
      </c>
      <c r="J420">
        <v>-73.275245919638095</v>
      </c>
      <c r="K420" t="s">
        <v>7</v>
      </c>
      <c r="L420">
        <v>-0.37195556304384803</v>
      </c>
      <c r="M420" t="s">
        <v>8</v>
      </c>
      <c r="N420">
        <v>1.8900986076014901</v>
      </c>
      <c r="O420" t="s">
        <v>9</v>
      </c>
      <c r="P420">
        <v>-1.8546465320382699</v>
      </c>
      <c r="Q420" t="s">
        <v>10</v>
      </c>
      <c r="R420">
        <v>0.535468671763907</v>
      </c>
      <c r="S420" t="s">
        <v>11</v>
      </c>
      <c r="T420" t="s">
        <v>1251</v>
      </c>
      <c r="U420" t="s">
        <v>647</v>
      </c>
      <c r="V420">
        <v>0</v>
      </c>
      <c r="W420" t="s">
        <v>14</v>
      </c>
      <c r="X420" t="s">
        <v>15</v>
      </c>
      <c r="Y420" t="s">
        <v>1335</v>
      </c>
      <c r="Z420" t="s">
        <v>206</v>
      </c>
      <c r="AA420">
        <v>0</v>
      </c>
      <c r="AB420" t="s">
        <v>18</v>
      </c>
    </row>
    <row r="421" spans="1:28" x14ac:dyDescent="0.3">
      <c r="A421" t="s">
        <v>1223</v>
      </c>
      <c r="B421" t="s">
        <v>1218</v>
      </c>
      <c r="C421" t="s">
        <v>1949</v>
      </c>
      <c r="D421" t="s">
        <v>1224</v>
      </c>
      <c r="E421">
        <v>235</v>
      </c>
      <c r="F421" t="s">
        <v>5</v>
      </c>
      <c r="G421">
        <v>46</v>
      </c>
      <c r="H421" s="2">
        <f t="shared" si="6"/>
        <v>0.19574468085106383</v>
      </c>
      <c r="I421" t="s">
        <v>6</v>
      </c>
      <c r="J421">
        <v>-75.739085076280901</v>
      </c>
      <c r="K421" t="s">
        <v>7</v>
      </c>
      <c r="L421">
        <v>-0.322293979048004</v>
      </c>
      <c r="M421" t="s">
        <v>8</v>
      </c>
      <c r="N421">
        <v>3.5420784999064399</v>
      </c>
      <c r="O421" t="s">
        <v>9</v>
      </c>
      <c r="P421">
        <v>-1.2628290797459101</v>
      </c>
      <c r="Q421" t="s">
        <v>10</v>
      </c>
      <c r="R421">
        <v>0.52497091565884402</v>
      </c>
      <c r="S421" t="s">
        <v>11</v>
      </c>
      <c r="T421" t="s">
        <v>1310</v>
      </c>
      <c r="U421" t="s">
        <v>202</v>
      </c>
      <c r="V421">
        <v>0</v>
      </c>
      <c r="W421" t="s">
        <v>14</v>
      </c>
      <c r="X421" t="s">
        <v>15</v>
      </c>
      <c r="Y421" t="s">
        <v>1499</v>
      </c>
      <c r="Z421" t="s">
        <v>206</v>
      </c>
      <c r="AA421">
        <v>0</v>
      </c>
      <c r="AB421" t="s">
        <v>18</v>
      </c>
    </row>
    <row r="422" spans="1:28" x14ac:dyDescent="0.3">
      <c r="A422" t="s">
        <v>1223</v>
      </c>
      <c r="B422" t="s">
        <v>1187</v>
      </c>
      <c r="C422" t="s">
        <v>1918</v>
      </c>
      <c r="D422" t="s">
        <v>1224</v>
      </c>
      <c r="E422">
        <v>235</v>
      </c>
      <c r="F422" t="s">
        <v>5</v>
      </c>
      <c r="G422">
        <v>51</v>
      </c>
      <c r="H422" s="2">
        <f t="shared" si="6"/>
        <v>0.21702127659574469</v>
      </c>
      <c r="I422" t="s">
        <v>6</v>
      </c>
      <c r="J422">
        <v>-76.728152312344406</v>
      </c>
      <c r="K422" t="s">
        <v>7</v>
      </c>
      <c r="L422">
        <v>-0.32650277579720999</v>
      </c>
      <c r="M422" t="s">
        <v>8</v>
      </c>
      <c r="N422">
        <v>3.8899622054565999</v>
      </c>
      <c r="O422" t="s">
        <v>9</v>
      </c>
      <c r="P422">
        <v>-1.49519687386212</v>
      </c>
      <c r="Q422" t="s">
        <v>10</v>
      </c>
      <c r="R422">
        <v>0.65501523216116597</v>
      </c>
      <c r="S422" t="s">
        <v>11</v>
      </c>
      <c r="T422" t="s">
        <v>1486</v>
      </c>
      <c r="U422" t="s">
        <v>91</v>
      </c>
      <c r="V422">
        <v>0</v>
      </c>
      <c r="W422" t="s">
        <v>14</v>
      </c>
      <c r="X422" t="s">
        <v>15</v>
      </c>
      <c r="Y422" t="s">
        <v>1487</v>
      </c>
      <c r="Z422" t="s">
        <v>206</v>
      </c>
      <c r="AA422">
        <v>0</v>
      </c>
      <c r="AB422" t="s">
        <v>18</v>
      </c>
    </row>
    <row r="423" spans="1:28" x14ac:dyDescent="0.3">
      <c r="A423" t="s">
        <v>1219</v>
      </c>
      <c r="B423" t="s">
        <v>1173</v>
      </c>
      <c r="C423" t="s">
        <v>1604</v>
      </c>
      <c r="D423" t="s">
        <v>1224</v>
      </c>
      <c r="E423">
        <v>197</v>
      </c>
      <c r="F423" t="s">
        <v>5</v>
      </c>
      <c r="G423">
        <v>76</v>
      </c>
      <c r="H423" s="2">
        <f t="shared" si="6"/>
        <v>0.38578680203045684</v>
      </c>
      <c r="I423" t="s">
        <v>6</v>
      </c>
      <c r="J423">
        <v>-80.603037864146799</v>
      </c>
      <c r="K423" t="s">
        <v>7</v>
      </c>
      <c r="L423">
        <v>-0.40915247646774999</v>
      </c>
      <c r="M423" t="s">
        <v>8</v>
      </c>
      <c r="N423">
        <v>1.9078764779372901</v>
      </c>
      <c r="O423" t="s">
        <v>9</v>
      </c>
      <c r="P423">
        <v>-1.8644764478295901</v>
      </c>
      <c r="Q423" t="s">
        <v>10</v>
      </c>
      <c r="R423">
        <v>0.56334649696970296</v>
      </c>
      <c r="S423" t="s">
        <v>11</v>
      </c>
      <c r="T423" t="s">
        <v>1251</v>
      </c>
      <c r="U423" t="s">
        <v>647</v>
      </c>
      <c r="V423">
        <v>0</v>
      </c>
      <c r="W423" t="s">
        <v>14</v>
      </c>
      <c r="X423" t="s">
        <v>15</v>
      </c>
      <c r="Y423" t="s">
        <v>1336</v>
      </c>
      <c r="Z423" t="s">
        <v>1284</v>
      </c>
      <c r="AA423">
        <v>0</v>
      </c>
      <c r="AB423" t="s">
        <v>18</v>
      </c>
    </row>
    <row r="424" spans="1:28" x14ac:dyDescent="0.3">
      <c r="A424" t="s">
        <v>1223</v>
      </c>
      <c r="B424" t="s">
        <v>1173</v>
      </c>
      <c r="C424" t="s">
        <v>1904</v>
      </c>
      <c r="D424" t="s">
        <v>1224</v>
      </c>
      <c r="E424">
        <v>235</v>
      </c>
      <c r="F424" t="s">
        <v>5</v>
      </c>
      <c r="G424">
        <v>93</v>
      </c>
      <c r="H424" s="2">
        <f t="shared" si="6"/>
        <v>0.39574468085106385</v>
      </c>
      <c r="I424" t="s">
        <v>6</v>
      </c>
      <c r="J424">
        <v>-87.339939043112693</v>
      </c>
      <c r="K424" t="s">
        <v>7</v>
      </c>
      <c r="L424">
        <v>-0.371659315077075</v>
      </c>
      <c r="M424" t="s">
        <v>8</v>
      </c>
      <c r="N424">
        <v>1.8166509899825201</v>
      </c>
      <c r="O424" t="s">
        <v>9</v>
      </c>
      <c r="P424">
        <v>-1.8048484585316</v>
      </c>
      <c r="Q424" t="s">
        <v>10</v>
      </c>
      <c r="R424">
        <v>0.56162345404102998</v>
      </c>
      <c r="S424" t="s">
        <v>11</v>
      </c>
      <c r="T424" t="s">
        <v>1480</v>
      </c>
      <c r="U424" t="s">
        <v>658</v>
      </c>
      <c r="V424">
        <v>0</v>
      </c>
      <c r="W424" t="s">
        <v>14</v>
      </c>
      <c r="X424" t="s">
        <v>15</v>
      </c>
      <c r="Y424" t="s">
        <v>1479</v>
      </c>
      <c r="Z424" t="s">
        <v>1469</v>
      </c>
      <c r="AA424">
        <v>0</v>
      </c>
      <c r="AB424" t="s">
        <v>18</v>
      </c>
    </row>
    <row r="425" spans="1:28" x14ac:dyDescent="0.3">
      <c r="A425" t="s">
        <v>1223</v>
      </c>
      <c r="B425" t="s">
        <v>1171</v>
      </c>
      <c r="C425" t="s">
        <v>1902</v>
      </c>
      <c r="D425" t="s">
        <v>1224</v>
      </c>
      <c r="E425">
        <v>235</v>
      </c>
      <c r="F425" t="s">
        <v>5</v>
      </c>
      <c r="G425">
        <v>96</v>
      </c>
      <c r="H425" s="2">
        <f t="shared" si="6"/>
        <v>0.40851063829787232</v>
      </c>
      <c r="I425" t="s">
        <v>6</v>
      </c>
      <c r="J425">
        <v>-89.255878953179106</v>
      </c>
      <c r="K425" t="s">
        <v>7</v>
      </c>
      <c r="L425">
        <v>-0.37981225086459203</v>
      </c>
      <c r="M425" t="s">
        <v>8</v>
      </c>
      <c r="N425">
        <v>1.6837771058157101</v>
      </c>
      <c r="O425" t="s">
        <v>9</v>
      </c>
      <c r="P425">
        <v>-1.8050250439675299</v>
      </c>
      <c r="Q425" t="s">
        <v>10</v>
      </c>
      <c r="R425">
        <v>0.52680969564646096</v>
      </c>
      <c r="S425" t="s">
        <v>11</v>
      </c>
      <c r="T425" t="s">
        <v>1477</v>
      </c>
      <c r="U425" t="s">
        <v>1478</v>
      </c>
      <c r="V425">
        <v>0</v>
      </c>
      <c r="W425" t="s">
        <v>14</v>
      </c>
      <c r="X425" t="s">
        <v>15</v>
      </c>
      <c r="Y425" t="s">
        <v>1479</v>
      </c>
      <c r="Z425" t="s">
        <v>1469</v>
      </c>
      <c r="AA425">
        <v>0</v>
      </c>
      <c r="AB425" t="s">
        <v>18</v>
      </c>
    </row>
    <row r="426" spans="1:28" x14ac:dyDescent="0.3">
      <c r="A426" t="s">
        <v>1223</v>
      </c>
      <c r="B426" t="s">
        <v>1155</v>
      </c>
      <c r="C426" t="s">
        <v>1886</v>
      </c>
      <c r="D426" t="s">
        <v>1224</v>
      </c>
      <c r="E426">
        <v>235</v>
      </c>
      <c r="F426" t="s">
        <v>5</v>
      </c>
      <c r="G426">
        <v>89</v>
      </c>
      <c r="H426" s="2">
        <f t="shared" si="6"/>
        <v>0.37872340425531914</v>
      </c>
      <c r="I426" t="s">
        <v>6</v>
      </c>
      <c r="J426">
        <v>-92.661969238025506</v>
      </c>
      <c r="K426" t="s">
        <v>7</v>
      </c>
      <c r="L426">
        <v>-0.394306252076704</v>
      </c>
      <c r="M426" t="s">
        <v>8</v>
      </c>
      <c r="N426">
        <v>2.0483522059167298</v>
      </c>
      <c r="O426" t="s">
        <v>9</v>
      </c>
      <c r="P426">
        <v>-1.8833240792096899</v>
      </c>
      <c r="Q426" t="s">
        <v>10</v>
      </c>
      <c r="R426">
        <v>0.59822888554318399</v>
      </c>
      <c r="S426" t="s">
        <v>11</v>
      </c>
      <c r="T426" t="s">
        <v>133</v>
      </c>
      <c r="U426" t="s">
        <v>1230</v>
      </c>
      <c r="V426">
        <v>0</v>
      </c>
      <c r="W426" t="s">
        <v>14</v>
      </c>
      <c r="X426" t="s">
        <v>15</v>
      </c>
      <c r="Y426" t="s">
        <v>1466</v>
      </c>
      <c r="Z426" t="s">
        <v>1230</v>
      </c>
      <c r="AA426">
        <v>0</v>
      </c>
      <c r="AB426" t="s">
        <v>18</v>
      </c>
    </row>
    <row r="427" spans="1:28" x14ac:dyDescent="0.3">
      <c r="A427" t="s">
        <v>1223</v>
      </c>
      <c r="B427" t="s">
        <v>1170</v>
      </c>
      <c r="C427" t="s">
        <v>1901</v>
      </c>
      <c r="D427" t="s">
        <v>1224</v>
      </c>
      <c r="E427">
        <v>235</v>
      </c>
      <c r="F427" t="s">
        <v>5</v>
      </c>
      <c r="G427">
        <v>100</v>
      </c>
      <c r="H427" s="2">
        <f t="shared" si="6"/>
        <v>0.42553191489361702</v>
      </c>
      <c r="I427" t="s">
        <v>6</v>
      </c>
      <c r="J427">
        <v>-93.874505379265798</v>
      </c>
      <c r="K427" t="s">
        <v>7</v>
      </c>
      <c r="L427">
        <v>-0.39946598033730102</v>
      </c>
      <c r="M427" t="s">
        <v>8</v>
      </c>
      <c r="N427">
        <v>1.48773975732221</v>
      </c>
      <c r="O427" t="s">
        <v>9</v>
      </c>
      <c r="P427">
        <v>-1.7973961563813901</v>
      </c>
      <c r="Q427" t="s">
        <v>10</v>
      </c>
      <c r="R427">
        <v>0.47895995647284501</v>
      </c>
      <c r="S427" t="s">
        <v>11</v>
      </c>
      <c r="T427" t="s">
        <v>1477</v>
      </c>
      <c r="U427" t="s">
        <v>1478</v>
      </c>
      <c r="V427">
        <v>0</v>
      </c>
      <c r="W427" t="s">
        <v>14</v>
      </c>
      <c r="X427" t="s">
        <v>15</v>
      </c>
      <c r="Y427" t="s">
        <v>1476</v>
      </c>
      <c r="Z427" t="s">
        <v>1304</v>
      </c>
      <c r="AA427">
        <v>0</v>
      </c>
      <c r="AB427" t="s">
        <v>18</v>
      </c>
    </row>
    <row r="428" spans="1:28" x14ac:dyDescent="0.3">
      <c r="A428" t="s">
        <v>1143</v>
      </c>
      <c r="B428" t="s">
        <v>1181</v>
      </c>
      <c r="C428" t="s">
        <v>1539</v>
      </c>
      <c r="D428" t="s">
        <v>1224</v>
      </c>
      <c r="E428">
        <v>3050</v>
      </c>
      <c r="F428" t="s">
        <v>5</v>
      </c>
      <c r="G428">
        <v>944</v>
      </c>
      <c r="H428" s="2">
        <f t="shared" si="6"/>
        <v>0.30950819672131147</v>
      </c>
      <c r="I428" t="s">
        <v>6</v>
      </c>
      <c r="J428">
        <v>-94.651420010364703</v>
      </c>
      <c r="K428" t="s">
        <v>7</v>
      </c>
      <c r="L428">
        <v>-3.10332524624146E-2</v>
      </c>
      <c r="M428" t="s">
        <v>8</v>
      </c>
      <c r="N428">
        <v>2.8167658807226101</v>
      </c>
      <c r="O428" t="s">
        <v>9</v>
      </c>
      <c r="P428">
        <v>-1.3087825149298999</v>
      </c>
      <c r="Q428" t="s">
        <v>10</v>
      </c>
      <c r="R428">
        <v>4.4118881381207</v>
      </c>
      <c r="S428" t="s">
        <v>11</v>
      </c>
      <c r="T428" t="s">
        <v>193</v>
      </c>
      <c r="U428" t="s">
        <v>1230</v>
      </c>
      <c r="V428">
        <v>0</v>
      </c>
      <c r="W428" t="s">
        <v>14</v>
      </c>
      <c r="X428" t="s">
        <v>15</v>
      </c>
      <c r="Y428" t="s">
        <v>1267</v>
      </c>
      <c r="Z428" t="s">
        <v>1237</v>
      </c>
      <c r="AA428">
        <v>0</v>
      </c>
      <c r="AB428" t="s">
        <v>18</v>
      </c>
    </row>
    <row r="429" spans="1:28" x14ac:dyDescent="0.3">
      <c r="A429" t="s">
        <v>1223</v>
      </c>
      <c r="B429" t="s">
        <v>1172</v>
      </c>
      <c r="C429" t="s">
        <v>1903</v>
      </c>
      <c r="D429" t="s">
        <v>1224</v>
      </c>
      <c r="E429">
        <v>235</v>
      </c>
      <c r="F429" t="s">
        <v>5</v>
      </c>
      <c r="G429">
        <v>93</v>
      </c>
      <c r="H429" s="2">
        <f t="shared" si="6"/>
        <v>0.39574468085106385</v>
      </c>
      <c r="I429" t="s">
        <v>6</v>
      </c>
      <c r="J429">
        <v>-96.166971341501693</v>
      </c>
      <c r="K429" t="s">
        <v>7</v>
      </c>
      <c r="L429">
        <v>-0.409221154644688</v>
      </c>
      <c r="M429" t="s">
        <v>8</v>
      </c>
      <c r="N429">
        <v>1.72173666419339</v>
      </c>
      <c r="O429" t="s">
        <v>9</v>
      </c>
      <c r="P429">
        <v>-1.8048484585316</v>
      </c>
      <c r="Q429" t="s">
        <v>10</v>
      </c>
      <c r="R429">
        <v>0.55621342718425104</v>
      </c>
      <c r="S429" t="s">
        <v>11</v>
      </c>
      <c r="T429" t="s">
        <v>1480</v>
      </c>
      <c r="U429" t="s">
        <v>658</v>
      </c>
      <c r="V429">
        <v>0</v>
      </c>
      <c r="W429" t="s">
        <v>14</v>
      </c>
      <c r="X429" t="s">
        <v>15</v>
      </c>
      <c r="Y429" t="s">
        <v>1479</v>
      </c>
      <c r="Z429" t="s">
        <v>1469</v>
      </c>
      <c r="AA429">
        <v>0</v>
      </c>
      <c r="AB429" t="s">
        <v>18</v>
      </c>
    </row>
    <row r="430" spans="1:28" x14ac:dyDescent="0.3">
      <c r="A430" t="s">
        <v>1143</v>
      </c>
      <c r="B430" t="s">
        <v>1218</v>
      </c>
      <c r="C430" t="s">
        <v>1574</v>
      </c>
      <c r="D430" t="s">
        <v>1224</v>
      </c>
      <c r="E430">
        <v>3062</v>
      </c>
      <c r="F430" t="s">
        <v>5</v>
      </c>
      <c r="G430">
        <v>600</v>
      </c>
      <c r="H430" s="2">
        <f t="shared" si="6"/>
        <v>0.19595035924232529</v>
      </c>
      <c r="I430" t="s">
        <v>6</v>
      </c>
      <c r="J430">
        <v>-103.682609261096</v>
      </c>
      <c r="K430" t="s">
        <v>7</v>
      </c>
      <c r="L430">
        <v>-3.3861074219822297E-2</v>
      </c>
      <c r="M430" t="s">
        <v>8</v>
      </c>
      <c r="N430">
        <v>4.6748389922954603</v>
      </c>
      <c r="O430" t="s">
        <v>9</v>
      </c>
      <c r="P430">
        <v>-1.18235203440584</v>
      </c>
      <c r="Q430" t="s">
        <v>10</v>
      </c>
      <c r="R430">
        <v>4.9880530434383301</v>
      </c>
      <c r="S430" t="s">
        <v>11</v>
      </c>
      <c r="T430" t="s">
        <v>1310</v>
      </c>
      <c r="U430" t="s">
        <v>202</v>
      </c>
      <c r="V430">
        <v>0</v>
      </c>
      <c r="W430" t="s">
        <v>14</v>
      </c>
      <c r="X430" t="s">
        <v>15</v>
      </c>
      <c r="Y430" t="s">
        <v>1311</v>
      </c>
      <c r="Z430" t="s">
        <v>1312</v>
      </c>
      <c r="AA430">
        <v>0</v>
      </c>
      <c r="AB430" t="s">
        <v>18</v>
      </c>
    </row>
    <row r="431" spans="1:28" x14ac:dyDescent="0.3">
      <c r="A431" t="s">
        <v>1143</v>
      </c>
      <c r="B431" t="s">
        <v>1217</v>
      </c>
      <c r="C431" t="s">
        <v>1573</v>
      </c>
      <c r="D431" t="s">
        <v>1224</v>
      </c>
      <c r="E431">
        <v>3062</v>
      </c>
      <c r="F431" t="s">
        <v>5</v>
      </c>
      <c r="G431">
        <v>653</v>
      </c>
      <c r="H431" s="2">
        <f t="shared" si="6"/>
        <v>0.21325930764206402</v>
      </c>
      <c r="I431" t="s">
        <v>6</v>
      </c>
      <c r="J431">
        <v>-106.490457263652</v>
      </c>
      <c r="K431" t="s">
        <v>7</v>
      </c>
      <c r="L431">
        <v>-3.4778072261153502E-2</v>
      </c>
      <c r="M431" t="s">
        <v>8</v>
      </c>
      <c r="N431">
        <v>4.1520264244419396</v>
      </c>
      <c r="O431" t="s">
        <v>9</v>
      </c>
      <c r="P431">
        <v>-1.17065380657425</v>
      </c>
      <c r="Q431" t="s">
        <v>10</v>
      </c>
      <c r="R431">
        <v>4.5893542539199199</v>
      </c>
      <c r="S431" t="s">
        <v>11</v>
      </c>
      <c r="T431" t="s">
        <v>1307</v>
      </c>
      <c r="U431" t="s">
        <v>17</v>
      </c>
      <c r="V431">
        <v>0</v>
      </c>
      <c r="W431" t="s">
        <v>14</v>
      </c>
      <c r="X431" t="s">
        <v>15</v>
      </c>
      <c r="Y431" t="s">
        <v>1308</v>
      </c>
      <c r="Z431" t="s">
        <v>1309</v>
      </c>
      <c r="AA431">
        <v>0</v>
      </c>
      <c r="AB431" t="s">
        <v>18</v>
      </c>
    </row>
    <row r="432" spans="1:28" x14ac:dyDescent="0.3">
      <c r="A432" t="s">
        <v>1223</v>
      </c>
      <c r="B432" t="s">
        <v>1156</v>
      </c>
      <c r="C432" t="s">
        <v>1887</v>
      </c>
      <c r="D432" t="s">
        <v>1224</v>
      </c>
      <c r="E432">
        <v>235</v>
      </c>
      <c r="F432" t="s">
        <v>5</v>
      </c>
      <c r="G432">
        <v>77</v>
      </c>
      <c r="H432" s="2">
        <f t="shared" si="6"/>
        <v>0.32765957446808508</v>
      </c>
      <c r="I432" t="s">
        <v>6</v>
      </c>
      <c r="J432">
        <v>-117.724833273372</v>
      </c>
      <c r="K432" t="s">
        <v>7</v>
      </c>
      <c r="L432">
        <v>-0.50095673733349999</v>
      </c>
      <c r="M432" t="s">
        <v>8</v>
      </c>
      <c r="N432">
        <v>2.3461101596265199</v>
      </c>
      <c r="O432" t="s">
        <v>9</v>
      </c>
      <c r="P432">
        <v>-1.8884513643330001</v>
      </c>
      <c r="Q432" t="s">
        <v>10</v>
      </c>
      <c r="R432">
        <v>0.66874510202134796</v>
      </c>
      <c r="S432" t="s">
        <v>11</v>
      </c>
      <c r="T432" t="s">
        <v>1467</v>
      </c>
      <c r="U432" t="s">
        <v>632</v>
      </c>
      <c r="V432">
        <v>0</v>
      </c>
      <c r="W432" t="s">
        <v>14</v>
      </c>
      <c r="X432" t="s">
        <v>15</v>
      </c>
      <c r="Y432" t="s">
        <v>1468</v>
      </c>
      <c r="Z432" t="s">
        <v>1469</v>
      </c>
      <c r="AA432">
        <v>0</v>
      </c>
      <c r="AB432" t="s">
        <v>18</v>
      </c>
    </row>
    <row r="433" spans="1:28" x14ac:dyDescent="0.3">
      <c r="A433" t="s">
        <v>1223</v>
      </c>
      <c r="B433" t="s">
        <v>1157</v>
      </c>
      <c r="C433" t="s">
        <v>1888</v>
      </c>
      <c r="D433" t="s">
        <v>1224</v>
      </c>
      <c r="E433">
        <v>235</v>
      </c>
      <c r="F433" t="s">
        <v>5</v>
      </c>
      <c r="G433">
        <v>73</v>
      </c>
      <c r="H433" s="2">
        <f t="shared" si="6"/>
        <v>0.31063829787234043</v>
      </c>
      <c r="I433" t="s">
        <v>6</v>
      </c>
      <c r="J433">
        <v>-120.382756655881</v>
      </c>
      <c r="K433" t="s">
        <v>7</v>
      </c>
      <c r="L433">
        <v>-0.51226704959949498</v>
      </c>
      <c r="M433" t="s">
        <v>8</v>
      </c>
      <c r="N433">
        <v>2.5140076562840199</v>
      </c>
      <c r="O433" t="s">
        <v>9</v>
      </c>
      <c r="P433">
        <v>-1.8759587380531699</v>
      </c>
      <c r="Q433" t="s">
        <v>10</v>
      </c>
      <c r="R433">
        <v>0.69216209563365305</v>
      </c>
      <c r="S433" t="s">
        <v>11</v>
      </c>
      <c r="T433" t="s">
        <v>1467</v>
      </c>
      <c r="U433" t="s">
        <v>632</v>
      </c>
      <c r="V433">
        <v>0</v>
      </c>
      <c r="W433" t="s">
        <v>14</v>
      </c>
      <c r="X433" t="s">
        <v>15</v>
      </c>
      <c r="Y433" t="s">
        <v>1468</v>
      </c>
      <c r="Z433" t="s">
        <v>1469</v>
      </c>
      <c r="AA433">
        <v>0</v>
      </c>
      <c r="AB433" t="s">
        <v>18</v>
      </c>
    </row>
    <row r="434" spans="1:28" x14ac:dyDescent="0.3">
      <c r="A434" t="s">
        <v>1223</v>
      </c>
      <c r="B434" t="s">
        <v>1158</v>
      </c>
      <c r="C434" t="s">
        <v>1889</v>
      </c>
      <c r="D434" t="s">
        <v>1224</v>
      </c>
      <c r="E434">
        <v>235</v>
      </c>
      <c r="F434" t="s">
        <v>5</v>
      </c>
      <c r="G434">
        <v>72</v>
      </c>
      <c r="H434" s="2">
        <f t="shared" si="6"/>
        <v>0.30638297872340425</v>
      </c>
      <c r="I434" t="s">
        <v>6</v>
      </c>
      <c r="J434">
        <v>-128.923245443762</v>
      </c>
      <c r="K434" t="s">
        <v>7</v>
      </c>
      <c r="L434">
        <v>-0.54860955507984099</v>
      </c>
      <c r="M434" t="s">
        <v>8</v>
      </c>
      <c r="N434">
        <v>2.4516954183451598</v>
      </c>
      <c r="O434" t="s">
        <v>9</v>
      </c>
      <c r="P434">
        <v>-1.8738976415007</v>
      </c>
      <c r="Q434" t="s">
        <v>10</v>
      </c>
      <c r="R434">
        <v>0.70679138382541695</v>
      </c>
      <c r="S434" t="s">
        <v>11</v>
      </c>
      <c r="T434" t="s">
        <v>1467</v>
      </c>
      <c r="U434" t="s">
        <v>632</v>
      </c>
      <c r="V434">
        <v>0</v>
      </c>
      <c r="W434" t="s">
        <v>14</v>
      </c>
      <c r="X434" t="s">
        <v>15</v>
      </c>
      <c r="Y434" t="s">
        <v>1468</v>
      </c>
      <c r="Z434" t="s">
        <v>1469</v>
      </c>
      <c r="AA434">
        <v>0</v>
      </c>
      <c r="AB434" t="s">
        <v>18</v>
      </c>
    </row>
    <row r="435" spans="1:28" x14ac:dyDescent="0.3">
      <c r="A435" t="s">
        <v>1143</v>
      </c>
      <c r="B435" t="s">
        <v>1187</v>
      </c>
      <c r="C435" t="s">
        <v>1545</v>
      </c>
      <c r="D435" t="s">
        <v>1224</v>
      </c>
      <c r="E435">
        <v>3062</v>
      </c>
      <c r="F435" t="s">
        <v>5</v>
      </c>
      <c r="G435">
        <v>764</v>
      </c>
      <c r="H435" s="2">
        <f t="shared" si="6"/>
        <v>0.24951012410189419</v>
      </c>
      <c r="I435" t="s">
        <v>6</v>
      </c>
      <c r="J435">
        <v>-151.47654116961101</v>
      </c>
      <c r="K435" t="s">
        <v>7</v>
      </c>
      <c r="L435">
        <v>-4.9469804431617199E-2</v>
      </c>
      <c r="M435" t="s">
        <v>8</v>
      </c>
      <c r="N435">
        <v>4.1653158448440299</v>
      </c>
      <c r="O435" t="s">
        <v>9</v>
      </c>
      <c r="P435">
        <v>-1.45262651269301</v>
      </c>
      <c r="Q435" t="s">
        <v>10</v>
      </c>
      <c r="R435">
        <v>5.0711968729394199</v>
      </c>
      <c r="S435" t="s">
        <v>11</v>
      </c>
      <c r="T435" t="s">
        <v>1274</v>
      </c>
      <c r="U435" t="s">
        <v>17</v>
      </c>
      <c r="V435">
        <v>0</v>
      </c>
      <c r="W435" t="s">
        <v>14</v>
      </c>
      <c r="X435" t="s">
        <v>15</v>
      </c>
      <c r="Y435" t="s">
        <v>1275</v>
      </c>
      <c r="Z435" t="s">
        <v>75</v>
      </c>
      <c r="AA435">
        <v>0</v>
      </c>
      <c r="AB435" t="s">
        <v>18</v>
      </c>
    </row>
    <row r="436" spans="1:28" x14ac:dyDescent="0.3">
      <c r="A436" t="s">
        <v>1143</v>
      </c>
      <c r="B436" t="s">
        <v>1188</v>
      </c>
      <c r="C436" t="s">
        <v>1546</v>
      </c>
      <c r="D436" t="s">
        <v>1224</v>
      </c>
      <c r="E436">
        <v>3062</v>
      </c>
      <c r="F436" t="s">
        <v>5</v>
      </c>
      <c r="G436">
        <v>706</v>
      </c>
      <c r="H436" s="2">
        <f t="shared" si="6"/>
        <v>0.23056825604180275</v>
      </c>
      <c r="I436" t="s">
        <v>6</v>
      </c>
      <c r="J436">
        <v>-156.12432564756699</v>
      </c>
      <c r="K436" t="s">
        <v>7</v>
      </c>
      <c r="L436">
        <v>-5.0987696161844398E-2</v>
      </c>
      <c r="M436" t="s">
        <v>8</v>
      </c>
      <c r="N436">
        <v>4.6750639224338304</v>
      </c>
      <c r="O436" t="s">
        <v>9</v>
      </c>
      <c r="P436">
        <v>-1.4690690416004499</v>
      </c>
      <c r="Q436" t="s">
        <v>10</v>
      </c>
      <c r="R436">
        <v>5.5393837477095902</v>
      </c>
      <c r="S436" t="s">
        <v>11</v>
      </c>
      <c r="T436" t="s">
        <v>1274</v>
      </c>
      <c r="U436" t="s">
        <v>17</v>
      </c>
      <c r="V436">
        <v>0</v>
      </c>
      <c r="W436" t="s">
        <v>14</v>
      </c>
      <c r="X436" t="s">
        <v>15</v>
      </c>
      <c r="Y436" t="s">
        <v>1276</v>
      </c>
      <c r="Z436" t="s">
        <v>206</v>
      </c>
      <c r="AA436">
        <v>0</v>
      </c>
      <c r="AB436" t="s">
        <v>18</v>
      </c>
    </row>
    <row r="437" spans="1:28" x14ac:dyDescent="0.3">
      <c r="A437" t="s">
        <v>1143</v>
      </c>
      <c r="B437" t="s">
        <v>1170</v>
      </c>
      <c r="C437" t="s">
        <v>1528</v>
      </c>
      <c r="D437" t="s">
        <v>1224</v>
      </c>
      <c r="E437">
        <v>3062</v>
      </c>
      <c r="F437" t="s">
        <v>5</v>
      </c>
      <c r="G437">
        <v>1639</v>
      </c>
      <c r="H437" s="2">
        <f t="shared" si="6"/>
        <v>0.53527106466361851</v>
      </c>
      <c r="I437" t="s">
        <v>6</v>
      </c>
      <c r="J437">
        <v>-157.49327637556601</v>
      </c>
      <c r="K437" t="s">
        <v>7</v>
      </c>
      <c r="L437">
        <v>-5.1434773473404999E-2</v>
      </c>
      <c r="M437" t="s">
        <v>8</v>
      </c>
      <c r="N437">
        <v>1.4581336038903101</v>
      </c>
      <c r="O437" t="s">
        <v>9</v>
      </c>
      <c r="P437">
        <v>-1.7901435370005501</v>
      </c>
      <c r="Q437" t="s">
        <v>10</v>
      </c>
      <c r="R437">
        <v>3.3778443428680101</v>
      </c>
      <c r="S437" t="s">
        <v>11</v>
      </c>
      <c r="T437" t="s">
        <v>1254</v>
      </c>
      <c r="U437" t="s">
        <v>720</v>
      </c>
      <c r="V437">
        <v>0</v>
      </c>
      <c r="W437" t="s">
        <v>14</v>
      </c>
      <c r="X437" t="s">
        <v>15</v>
      </c>
      <c r="Y437" t="s">
        <v>1255</v>
      </c>
      <c r="Z437" t="s">
        <v>1249</v>
      </c>
      <c r="AA437">
        <v>0</v>
      </c>
      <c r="AB437" t="s">
        <v>18</v>
      </c>
    </row>
    <row r="438" spans="1:28" x14ac:dyDescent="0.3">
      <c r="A438" t="s">
        <v>1143</v>
      </c>
      <c r="B438" t="s">
        <v>1182</v>
      </c>
      <c r="C438" t="s">
        <v>1540</v>
      </c>
      <c r="D438" t="s">
        <v>1224</v>
      </c>
      <c r="E438">
        <v>3050</v>
      </c>
      <c r="F438" t="s">
        <v>5</v>
      </c>
      <c r="G438">
        <v>832</v>
      </c>
      <c r="H438" s="2">
        <f t="shared" si="6"/>
        <v>0.27278688524590167</v>
      </c>
      <c r="I438" t="s">
        <v>6</v>
      </c>
      <c r="J438">
        <v>-160.09142001036199</v>
      </c>
      <c r="K438" t="s">
        <v>7</v>
      </c>
      <c r="L438">
        <v>-5.2488990167332002E-2</v>
      </c>
      <c r="M438" t="s">
        <v>8</v>
      </c>
      <c r="N438">
        <v>3.37545311466604</v>
      </c>
      <c r="O438" t="s">
        <v>9</v>
      </c>
      <c r="P438">
        <v>-1.33956155749662</v>
      </c>
      <c r="Q438" t="s">
        <v>10</v>
      </c>
      <c r="R438">
        <v>5.1520286540887303</v>
      </c>
      <c r="S438" t="s">
        <v>11</v>
      </c>
      <c r="T438" t="s">
        <v>1268</v>
      </c>
      <c r="U438" t="s">
        <v>75</v>
      </c>
      <c r="V438">
        <v>0</v>
      </c>
      <c r="W438" t="s">
        <v>14</v>
      </c>
      <c r="X438" t="s">
        <v>15</v>
      </c>
      <c r="Y438" t="s">
        <v>1267</v>
      </c>
      <c r="Z438" t="s">
        <v>1237</v>
      </c>
      <c r="AA438">
        <v>0</v>
      </c>
      <c r="AB438" t="s">
        <v>18</v>
      </c>
    </row>
    <row r="439" spans="1:28" x14ac:dyDescent="0.3">
      <c r="A439" t="s">
        <v>1143</v>
      </c>
      <c r="B439" t="s">
        <v>1209</v>
      </c>
      <c r="C439" t="s">
        <v>1566</v>
      </c>
      <c r="D439" t="s">
        <v>1224</v>
      </c>
      <c r="E439">
        <v>3050</v>
      </c>
      <c r="F439" t="s">
        <v>5</v>
      </c>
      <c r="G439">
        <v>1153</v>
      </c>
      <c r="H439" s="2">
        <f t="shared" si="6"/>
        <v>0.37803278688524589</v>
      </c>
      <c r="I439" t="s">
        <v>6</v>
      </c>
      <c r="J439">
        <v>-162.59049557574801</v>
      </c>
      <c r="K439" t="s">
        <v>7</v>
      </c>
      <c r="L439">
        <v>-5.3308359205163199E-2</v>
      </c>
      <c r="M439" t="s">
        <v>8</v>
      </c>
      <c r="N439">
        <v>1.4055863461317299</v>
      </c>
      <c r="O439" t="s">
        <v>9</v>
      </c>
      <c r="P439">
        <v>-0.941516131291254</v>
      </c>
      <c r="Q439" t="s">
        <v>10</v>
      </c>
      <c r="R439">
        <v>2.4200974002057301</v>
      </c>
      <c r="S439" t="s">
        <v>11</v>
      </c>
      <c r="T439" t="s">
        <v>1296</v>
      </c>
      <c r="U439" t="s">
        <v>1249</v>
      </c>
      <c r="V439">
        <v>0</v>
      </c>
      <c r="W439" t="s">
        <v>14</v>
      </c>
      <c r="X439" t="s">
        <v>15</v>
      </c>
      <c r="Y439" t="s">
        <v>1297</v>
      </c>
      <c r="Z439" t="s">
        <v>1237</v>
      </c>
      <c r="AA439">
        <v>0</v>
      </c>
      <c r="AB439" t="s">
        <v>18</v>
      </c>
    </row>
    <row r="440" spans="1:28" x14ac:dyDescent="0.3">
      <c r="A440" t="s">
        <v>1143</v>
      </c>
      <c r="B440" t="s">
        <v>1186</v>
      </c>
      <c r="C440" t="s">
        <v>1544</v>
      </c>
      <c r="D440" t="s">
        <v>1224</v>
      </c>
      <c r="E440">
        <v>3062</v>
      </c>
      <c r="F440" t="s">
        <v>5</v>
      </c>
      <c r="G440">
        <v>889</v>
      </c>
      <c r="H440" s="2">
        <f t="shared" si="6"/>
        <v>0.29033311561071196</v>
      </c>
      <c r="I440" t="s">
        <v>6</v>
      </c>
      <c r="J440">
        <v>-165.176825632109</v>
      </c>
      <c r="K440" t="s">
        <v>7</v>
      </c>
      <c r="L440">
        <v>-5.3944097201864397E-2</v>
      </c>
      <c r="M440" t="s">
        <v>8</v>
      </c>
      <c r="N440">
        <v>3.3021220589719702</v>
      </c>
      <c r="O440" t="s">
        <v>9</v>
      </c>
      <c r="P440">
        <v>-1.4289231963401801</v>
      </c>
      <c r="Q440" t="s">
        <v>10</v>
      </c>
      <c r="R440">
        <v>4.3170041718317496</v>
      </c>
      <c r="S440" t="s">
        <v>11</v>
      </c>
      <c r="T440" t="s">
        <v>1271</v>
      </c>
      <c r="U440" t="s">
        <v>647</v>
      </c>
      <c r="V440">
        <v>0</v>
      </c>
      <c r="W440" t="s">
        <v>14</v>
      </c>
      <c r="X440" t="s">
        <v>15</v>
      </c>
      <c r="Y440" t="s">
        <v>1273</v>
      </c>
      <c r="Z440" t="s">
        <v>25</v>
      </c>
      <c r="AA440">
        <v>0</v>
      </c>
      <c r="AB440" t="s">
        <v>18</v>
      </c>
    </row>
    <row r="441" spans="1:28" x14ac:dyDescent="0.3">
      <c r="A441" t="s">
        <v>1143</v>
      </c>
      <c r="B441" t="s">
        <v>1180</v>
      </c>
      <c r="C441" t="s">
        <v>1538</v>
      </c>
      <c r="D441" t="s">
        <v>1224</v>
      </c>
      <c r="E441">
        <v>3050</v>
      </c>
      <c r="F441" t="s">
        <v>5</v>
      </c>
      <c r="G441">
        <v>1079</v>
      </c>
      <c r="H441" s="2">
        <f t="shared" si="6"/>
        <v>0.35377049180327869</v>
      </c>
      <c r="I441" t="s">
        <v>6</v>
      </c>
      <c r="J441">
        <v>-180.457266259634</v>
      </c>
      <c r="K441" t="s">
        <v>7</v>
      </c>
      <c r="L441">
        <v>-5.9166316806437601E-2</v>
      </c>
      <c r="M441" t="s">
        <v>8</v>
      </c>
      <c r="N441">
        <v>2.1834751908737502</v>
      </c>
      <c r="O441" t="s">
        <v>9</v>
      </c>
      <c r="P441">
        <v>-1.2881802931500299</v>
      </c>
      <c r="Q441" t="s">
        <v>10</v>
      </c>
      <c r="R441">
        <v>3.5901491756857302</v>
      </c>
      <c r="S441" t="s">
        <v>11</v>
      </c>
      <c r="T441" t="s">
        <v>193</v>
      </c>
      <c r="U441" t="s">
        <v>1230</v>
      </c>
      <c r="V441">
        <v>0</v>
      </c>
      <c r="W441" t="s">
        <v>14</v>
      </c>
      <c r="X441" t="s">
        <v>15</v>
      </c>
      <c r="Y441" t="s">
        <v>1267</v>
      </c>
      <c r="Z441" t="s">
        <v>1237</v>
      </c>
      <c r="AA441">
        <v>0</v>
      </c>
      <c r="AB441" t="s">
        <v>18</v>
      </c>
    </row>
    <row r="442" spans="1:28" x14ac:dyDescent="0.3">
      <c r="A442" t="s">
        <v>1143</v>
      </c>
      <c r="B442" t="s">
        <v>1216</v>
      </c>
      <c r="C442" t="s">
        <v>1572</v>
      </c>
      <c r="D442" t="s">
        <v>1224</v>
      </c>
      <c r="E442">
        <v>3062</v>
      </c>
      <c r="F442" t="s">
        <v>5</v>
      </c>
      <c r="G442">
        <v>742</v>
      </c>
      <c r="H442" s="2">
        <f t="shared" si="6"/>
        <v>0.24232527759634226</v>
      </c>
      <c r="I442" t="s">
        <v>6</v>
      </c>
      <c r="J442">
        <v>-198.97358154595801</v>
      </c>
      <c r="K442" t="s">
        <v>7</v>
      </c>
      <c r="L442">
        <v>-6.4981574639437698E-2</v>
      </c>
      <c r="M442" t="s">
        <v>8</v>
      </c>
      <c r="N442">
        <v>3.33885605480374</v>
      </c>
      <c r="O442" t="s">
        <v>9</v>
      </c>
      <c r="P442">
        <v>-1.1546181079423301</v>
      </c>
      <c r="Q442" t="s">
        <v>10</v>
      </c>
      <c r="R442">
        <v>3.89969594957148</v>
      </c>
      <c r="S442" t="s">
        <v>11</v>
      </c>
      <c r="T442" t="s">
        <v>1301</v>
      </c>
      <c r="U442" t="s">
        <v>1302</v>
      </c>
      <c r="V442">
        <v>0</v>
      </c>
      <c r="W442" t="s">
        <v>14</v>
      </c>
      <c r="X442" t="s">
        <v>15</v>
      </c>
      <c r="Y442" t="s">
        <v>1306</v>
      </c>
      <c r="Z442" t="s">
        <v>25</v>
      </c>
      <c r="AA442">
        <v>0</v>
      </c>
      <c r="AB442" t="s">
        <v>18</v>
      </c>
    </row>
    <row r="443" spans="1:28" x14ac:dyDescent="0.3">
      <c r="A443" t="s">
        <v>1143</v>
      </c>
      <c r="B443" t="s">
        <v>1158</v>
      </c>
      <c r="C443" t="s">
        <v>1516</v>
      </c>
      <c r="D443" t="s">
        <v>1224</v>
      </c>
      <c r="E443">
        <v>3062</v>
      </c>
      <c r="F443" t="s">
        <v>5</v>
      </c>
      <c r="G443">
        <v>1224</v>
      </c>
      <c r="H443" s="2">
        <f t="shared" si="6"/>
        <v>0.39973873285434358</v>
      </c>
      <c r="I443" t="s">
        <v>6</v>
      </c>
      <c r="J443">
        <v>-211.543410494075</v>
      </c>
      <c r="K443" t="s">
        <v>7</v>
      </c>
      <c r="L443">
        <v>-6.9086678802767795E-2</v>
      </c>
      <c r="M443" t="s">
        <v>8</v>
      </c>
      <c r="N443">
        <v>2.6148373721520399</v>
      </c>
      <c r="O443" t="s">
        <v>9</v>
      </c>
      <c r="P443">
        <v>-1.8564223906464501</v>
      </c>
      <c r="Q443" t="s">
        <v>10</v>
      </c>
      <c r="R443">
        <v>5.0551464562035804</v>
      </c>
      <c r="S443" t="s">
        <v>11</v>
      </c>
      <c r="T443" t="s">
        <v>1241</v>
      </c>
      <c r="U443" t="s">
        <v>647</v>
      </c>
      <c r="V443">
        <v>0</v>
      </c>
      <c r="W443" t="s">
        <v>14</v>
      </c>
      <c r="X443" t="s">
        <v>15</v>
      </c>
      <c r="Y443" t="s">
        <v>1244</v>
      </c>
      <c r="Z443" t="s">
        <v>1230</v>
      </c>
      <c r="AA443">
        <v>0</v>
      </c>
      <c r="AB443" t="s">
        <v>18</v>
      </c>
    </row>
    <row r="444" spans="1:28" x14ac:dyDescent="0.3">
      <c r="A444" t="s">
        <v>1143</v>
      </c>
      <c r="B444" t="s">
        <v>1155</v>
      </c>
      <c r="C444" t="s">
        <v>1513</v>
      </c>
      <c r="D444" t="s">
        <v>1224</v>
      </c>
      <c r="E444">
        <v>3062</v>
      </c>
      <c r="F444" t="s">
        <v>5</v>
      </c>
      <c r="G444">
        <v>1421</v>
      </c>
      <c r="H444" s="2">
        <f t="shared" si="6"/>
        <v>0.46407576747224039</v>
      </c>
      <c r="I444" t="s">
        <v>6</v>
      </c>
      <c r="J444">
        <v>-216.03188224469599</v>
      </c>
      <c r="K444" t="s">
        <v>7</v>
      </c>
      <c r="L444">
        <v>-7.0552541556073295E-2</v>
      </c>
      <c r="M444" t="s">
        <v>8</v>
      </c>
      <c r="N444">
        <v>1.9722259677526199</v>
      </c>
      <c r="O444" t="s">
        <v>9</v>
      </c>
      <c r="P444">
        <v>-1.8394667778313001</v>
      </c>
      <c r="Q444" t="s">
        <v>10</v>
      </c>
      <c r="R444">
        <v>3.82884783784128</v>
      </c>
      <c r="S444" t="s">
        <v>11</v>
      </c>
      <c r="T444" t="s">
        <v>1241</v>
      </c>
      <c r="U444" t="s">
        <v>647</v>
      </c>
      <c r="V444">
        <v>0</v>
      </c>
      <c r="W444" t="s">
        <v>14</v>
      </c>
      <c r="X444" t="s">
        <v>15</v>
      </c>
      <c r="Y444" t="s">
        <v>1243</v>
      </c>
      <c r="Z444" t="s">
        <v>1230</v>
      </c>
      <c r="AA444">
        <v>0</v>
      </c>
      <c r="AB444" t="s">
        <v>18</v>
      </c>
    </row>
    <row r="445" spans="1:28" x14ac:dyDescent="0.3">
      <c r="A445" t="s">
        <v>1143</v>
      </c>
      <c r="B445" t="s">
        <v>1179</v>
      </c>
      <c r="C445" t="s">
        <v>1537</v>
      </c>
      <c r="D445" t="s">
        <v>1224</v>
      </c>
      <c r="E445">
        <v>3050</v>
      </c>
      <c r="F445" t="s">
        <v>5</v>
      </c>
      <c r="G445">
        <v>1296</v>
      </c>
      <c r="H445" s="2">
        <f t="shared" si="6"/>
        <v>0.42491803278688522</v>
      </c>
      <c r="I445" t="s">
        <v>6</v>
      </c>
      <c r="J445">
        <v>-220.12827651433599</v>
      </c>
      <c r="K445" t="s">
        <v>7</v>
      </c>
      <c r="L445">
        <v>-7.2173205414536701E-2</v>
      </c>
      <c r="M445" t="s">
        <v>8</v>
      </c>
      <c r="N445">
        <v>1.52372586473617</v>
      </c>
      <c r="O445" t="s">
        <v>9</v>
      </c>
      <c r="P445">
        <v>-1.2527836742079901</v>
      </c>
      <c r="Q445" t="s">
        <v>10</v>
      </c>
      <c r="R445">
        <v>2.7972648245688099</v>
      </c>
      <c r="S445" t="s">
        <v>11</v>
      </c>
      <c r="T445" t="s">
        <v>193</v>
      </c>
      <c r="U445" t="s">
        <v>1230</v>
      </c>
      <c r="V445">
        <v>0</v>
      </c>
      <c r="W445" t="s">
        <v>14</v>
      </c>
      <c r="X445" t="s">
        <v>15</v>
      </c>
      <c r="Y445" t="s">
        <v>1267</v>
      </c>
      <c r="Z445" t="s">
        <v>1237</v>
      </c>
      <c r="AA445">
        <v>0</v>
      </c>
      <c r="AB445" t="s">
        <v>18</v>
      </c>
    </row>
    <row r="446" spans="1:28" x14ac:dyDescent="0.3">
      <c r="A446" t="s">
        <v>1143</v>
      </c>
      <c r="B446" t="s">
        <v>1184</v>
      </c>
      <c r="C446" t="s">
        <v>1542</v>
      </c>
      <c r="D446" t="s">
        <v>1224</v>
      </c>
      <c r="E446">
        <v>3062</v>
      </c>
      <c r="F446" t="s">
        <v>5</v>
      </c>
      <c r="G446">
        <v>1357</v>
      </c>
      <c r="H446" s="2">
        <f t="shared" si="6"/>
        <v>0.44317439581972567</v>
      </c>
      <c r="I446" t="s">
        <v>6</v>
      </c>
      <c r="J446">
        <v>-229.491441751618</v>
      </c>
      <c r="K446" t="s">
        <v>7</v>
      </c>
      <c r="L446">
        <v>-7.4948217423781299E-2</v>
      </c>
      <c r="M446" t="s">
        <v>8</v>
      </c>
      <c r="N446">
        <v>1.56702901561304</v>
      </c>
      <c r="O446" t="s">
        <v>9</v>
      </c>
      <c r="P446">
        <v>-1.3842243336889</v>
      </c>
      <c r="Q446" t="s">
        <v>10</v>
      </c>
      <c r="R446">
        <v>2.6473386145579498</v>
      </c>
      <c r="S446" t="s">
        <v>11</v>
      </c>
      <c r="T446" t="s">
        <v>1271</v>
      </c>
      <c r="U446" t="s">
        <v>647</v>
      </c>
      <c r="V446">
        <v>0</v>
      </c>
      <c r="W446" t="s">
        <v>14</v>
      </c>
      <c r="X446" t="s">
        <v>15</v>
      </c>
      <c r="Y446" t="s">
        <v>1272</v>
      </c>
      <c r="Z446" t="s">
        <v>1230</v>
      </c>
      <c r="AA446">
        <v>0</v>
      </c>
      <c r="AB446" t="s">
        <v>18</v>
      </c>
    </row>
    <row r="447" spans="1:28" x14ac:dyDescent="0.3">
      <c r="A447" t="s">
        <v>1143</v>
      </c>
      <c r="B447" t="s">
        <v>1185</v>
      </c>
      <c r="C447" t="s">
        <v>1543</v>
      </c>
      <c r="D447" t="s">
        <v>1224</v>
      </c>
      <c r="E447">
        <v>3062</v>
      </c>
      <c r="F447" t="s">
        <v>5</v>
      </c>
      <c r="G447">
        <v>1061</v>
      </c>
      <c r="H447" s="2">
        <f t="shared" si="6"/>
        <v>0.34650555192684518</v>
      </c>
      <c r="I447" t="s">
        <v>6</v>
      </c>
      <c r="J447">
        <v>-238.95210723162799</v>
      </c>
      <c r="K447" t="s">
        <v>7</v>
      </c>
      <c r="L447">
        <v>-7.8037918756246993E-2</v>
      </c>
      <c r="M447" t="s">
        <v>8</v>
      </c>
      <c r="N447">
        <v>2.4328695381267802</v>
      </c>
      <c r="O447" t="s">
        <v>9</v>
      </c>
      <c r="P447">
        <v>-1.4115248684605299</v>
      </c>
      <c r="Q447" t="s">
        <v>10</v>
      </c>
      <c r="R447">
        <v>3.5057191215745598</v>
      </c>
      <c r="S447" t="s">
        <v>11</v>
      </c>
      <c r="T447" t="s">
        <v>1271</v>
      </c>
      <c r="U447" t="s">
        <v>647</v>
      </c>
      <c r="V447">
        <v>0</v>
      </c>
      <c r="W447" t="s">
        <v>14</v>
      </c>
      <c r="X447" t="s">
        <v>15</v>
      </c>
      <c r="Y447" t="s">
        <v>1272</v>
      </c>
      <c r="Z447" t="s">
        <v>1230</v>
      </c>
      <c r="AA447">
        <v>0</v>
      </c>
      <c r="AB447" t="s">
        <v>18</v>
      </c>
    </row>
    <row r="448" spans="1:28" x14ac:dyDescent="0.3">
      <c r="A448" t="s">
        <v>1143</v>
      </c>
      <c r="B448" t="s">
        <v>1157</v>
      </c>
      <c r="C448" t="s">
        <v>1515</v>
      </c>
      <c r="D448" t="s">
        <v>1224</v>
      </c>
      <c r="E448">
        <v>3062</v>
      </c>
      <c r="F448" t="s">
        <v>5</v>
      </c>
      <c r="G448">
        <v>1247</v>
      </c>
      <c r="H448" s="2">
        <f t="shared" si="6"/>
        <v>0.40725016329196606</v>
      </c>
      <c r="I448" t="s">
        <v>6</v>
      </c>
      <c r="J448">
        <v>-246.78258302498401</v>
      </c>
      <c r="K448" t="s">
        <v>7</v>
      </c>
      <c r="L448">
        <v>-8.0595226330824402E-2</v>
      </c>
      <c r="M448" t="s">
        <v>8</v>
      </c>
      <c r="N448">
        <v>2.5013765412851501</v>
      </c>
      <c r="O448" t="s">
        <v>9</v>
      </c>
      <c r="P448">
        <v>-1.8545449752107801</v>
      </c>
      <c r="Q448" t="s">
        <v>10</v>
      </c>
      <c r="R448">
        <v>4.7695203727864399</v>
      </c>
      <c r="S448" t="s">
        <v>11</v>
      </c>
      <c r="T448" t="s">
        <v>1241</v>
      </c>
      <c r="U448" t="s">
        <v>647</v>
      </c>
      <c r="V448">
        <v>0</v>
      </c>
      <c r="W448" t="s">
        <v>14</v>
      </c>
      <c r="X448" t="s">
        <v>15</v>
      </c>
      <c r="Y448" t="s">
        <v>1244</v>
      </c>
      <c r="Z448" t="s">
        <v>1230</v>
      </c>
      <c r="AA448">
        <v>0</v>
      </c>
      <c r="AB448" t="s">
        <v>18</v>
      </c>
    </row>
    <row r="449" spans="1:28" x14ac:dyDescent="0.3">
      <c r="A449" t="s">
        <v>1143</v>
      </c>
      <c r="B449" t="s">
        <v>1156</v>
      </c>
      <c r="C449" t="s">
        <v>1514</v>
      </c>
      <c r="D449" t="s">
        <v>1224</v>
      </c>
      <c r="E449">
        <v>3062</v>
      </c>
      <c r="F449" t="s">
        <v>5</v>
      </c>
      <c r="G449">
        <v>1300</v>
      </c>
      <c r="H449" s="2">
        <f t="shared" si="6"/>
        <v>0.42455911169170479</v>
      </c>
      <c r="I449" t="s">
        <v>6</v>
      </c>
      <c r="J449">
        <v>-249.281377969657</v>
      </c>
      <c r="K449" t="s">
        <v>7</v>
      </c>
      <c r="L449">
        <v>-8.1411292609293806E-2</v>
      </c>
      <c r="M449" t="s">
        <v>8</v>
      </c>
      <c r="N449">
        <v>2.3120557929537799</v>
      </c>
      <c r="O449" t="s">
        <v>9</v>
      </c>
      <c r="P449">
        <v>-1.8473064181666099</v>
      </c>
      <c r="Q449" t="s">
        <v>10</v>
      </c>
      <c r="R449">
        <v>4.3438169253421401</v>
      </c>
      <c r="S449" t="s">
        <v>11</v>
      </c>
      <c r="T449" t="s">
        <v>1241</v>
      </c>
      <c r="U449" t="s">
        <v>647</v>
      </c>
      <c r="V449">
        <v>0</v>
      </c>
      <c r="W449" t="s">
        <v>14</v>
      </c>
      <c r="X449" t="s">
        <v>15</v>
      </c>
      <c r="Y449" t="s">
        <v>1244</v>
      </c>
      <c r="Z449" t="s">
        <v>1230</v>
      </c>
      <c r="AA449">
        <v>0</v>
      </c>
      <c r="AB449" t="s">
        <v>18</v>
      </c>
    </row>
    <row r="450" spans="1:28" x14ac:dyDescent="0.3">
      <c r="A450" t="s">
        <v>1143</v>
      </c>
      <c r="B450" t="s">
        <v>1215</v>
      </c>
      <c r="C450" t="s">
        <v>1571</v>
      </c>
      <c r="D450" t="s">
        <v>1224</v>
      </c>
      <c r="E450">
        <v>3062</v>
      </c>
      <c r="F450" t="s">
        <v>5</v>
      </c>
      <c r="G450">
        <v>891</v>
      </c>
      <c r="H450" s="2">
        <f t="shared" si="6"/>
        <v>0.29098628347485306</v>
      </c>
      <c r="I450" t="s">
        <v>6</v>
      </c>
      <c r="J450">
        <v>-283.34272589037101</v>
      </c>
      <c r="K450" t="s">
        <v>7</v>
      </c>
      <c r="L450">
        <v>-9.2535181544863399E-2</v>
      </c>
      <c r="M450" t="s">
        <v>8</v>
      </c>
      <c r="N450">
        <v>2.4463469922671401</v>
      </c>
      <c r="O450" t="s">
        <v>9</v>
      </c>
      <c r="P450">
        <v>-1.1355638063625499</v>
      </c>
      <c r="Q450" t="s">
        <v>10</v>
      </c>
      <c r="R450">
        <v>3.1785441928054499</v>
      </c>
      <c r="S450" t="s">
        <v>11</v>
      </c>
      <c r="T450" t="s">
        <v>1301</v>
      </c>
      <c r="U450" t="s">
        <v>1302</v>
      </c>
      <c r="V450">
        <v>0</v>
      </c>
      <c r="W450" t="s">
        <v>14</v>
      </c>
      <c r="X450" t="s">
        <v>15</v>
      </c>
      <c r="Y450" t="s">
        <v>1305</v>
      </c>
      <c r="Z450" t="s">
        <v>25</v>
      </c>
      <c r="AA450">
        <v>0</v>
      </c>
      <c r="AB450" t="s">
        <v>18</v>
      </c>
    </row>
    <row r="451" spans="1:28" x14ac:dyDescent="0.3">
      <c r="A451" t="s">
        <v>1143</v>
      </c>
      <c r="B451" t="s">
        <v>1214</v>
      </c>
      <c r="C451" t="s">
        <v>1952</v>
      </c>
      <c r="D451" t="s">
        <v>1224</v>
      </c>
      <c r="E451">
        <v>3062</v>
      </c>
      <c r="F451" t="s">
        <v>5</v>
      </c>
      <c r="G451">
        <v>1159</v>
      </c>
      <c r="H451" s="2">
        <f t="shared" ref="H451" si="7">G451/E451</f>
        <v>0.37851077726975835</v>
      </c>
      <c r="I451" t="s">
        <v>6</v>
      </c>
      <c r="J451">
        <v>-353.63177336272202</v>
      </c>
      <c r="K451" t="s">
        <v>7</v>
      </c>
      <c r="L451">
        <v>-0.115490455049876</v>
      </c>
      <c r="M451" t="s">
        <v>8</v>
      </c>
      <c r="N451">
        <v>1.5124736666513501</v>
      </c>
      <c r="O451" t="s">
        <v>9</v>
      </c>
      <c r="P451">
        <v>-1.1081476870129601</v>
      </c>
      <c r="Q451" t="s">
        <v>10</v>
      </c>
      <c r="R451">
        <v>2.4127881206609398</v>
      </c>
      <c r="S451" t="s">
        <v>11</v>
      </c>
      <c r="T451" t="s">
        <v>1301</v>
      </c>
      <c r="U451" t="s">
        <v>1302</v>
      </c>
      <c r="V451">
        <v>0</v>
      </c>
      <c r="W451" t="s">
        <v>14</v>
      </c>
      <c r="X451" t="s">
        <v>15</v>
      </c>
      <c r="Y451" t="s">
        <v>1303</v>
      </c>
      <c r="Z451" t="s">
        <v>1304</v>
      </c>
      <c r="AA451">
        <v>0</v>
      </c>
      <c r="AB451" t="s">
        <v>18</v>
      </c>
    </row>
  </sheetData>
  <autoFilter ref="A1:AB451" xr:uid="{5A13CDA4-8C9B-48F0-886A-87F4E16854F2}">
    <sortState xmlns:xlrd2="http://schemas.microsoft.com/office/spreadsheetml/2017/richdata2" ref="A2:AB451">
      <sortCondition descending="1" ref="J1:J451"/>
    </sortState>
  </autoFilter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C32B-6736-44FC-93F1-FD1304D5582D}">
  <sheetPr>
    <tabColor rgb="FFFF0000"/>
  </sheetPr>
  <dimension ref="A1"/>
  <sheetViews>
    <sheetView tabSelected="1" workbookViewId="0"/>
  </sheetViews>
  <sheetFormatPr defaultRowHeight="16.5" x14ac:dyDescent="0.3"/>
  <sheetData>
    <row r="1" spans="1:1" x14ac:dyDescent="0.3">
      <c r="A1" t="s">
        <v>1951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D580-AC87-4978-A2E4-8B7DDD191BF1}">
  <sheetPr>
    <tabColor rgb="FFFF0000"/>
  </sheetPr>
  <dimension ref="A2:Z25"/>
  <sheetViews>
    <sheetView workbookViewId="0">
      <selection activeCell="I35" sqref="I35"/>
    </sheetView>
  </sheetViews>
  <sheetFormatPr defaultRowHeight="16.5" x14ac:dyDescent="0.3"/>
  <sheetData>
    <row r="2" spans="1:26" x14ac:dyDescent="0.3">
      <c r="A2" t="s">
        <v>1954</v>
      </c>
      <c r="B2" t="s">
        <v>38</v>
      </c>
      <c r="C2" t="s">
        <v>4</v>
      </c>
      <c r="D2">
        <v>2319</v>
      </c>
      <c r="E2" t="s">
        <v>5</v>
      </c>
      <c r="F2">
        <v>1115</v>
      </c>
      <c r="G2" t="s">
        <v>6</v>
      </c>
      <c r="H2">
        <v>-41.309915321506402</v>
      </c>
      <c r="I2" t="s">
        <v>7</v>
      </c>
      <c r="J2">
        <v>-1.7813676292154499E-2</v>
      </c>
      <c r="K2" t="s">
        <v>8</v>
      </c>
      <c r="L2">
        <v>0.87869843163899197</v>
      </c>
      <c r="M2" t="s">
        <v>9</v>
      </c>
      <c r="N2">
        <v>-0.84805537092938699</v>
      </c>
      <c r="O2" t="s">
        <v>10</v>
      </c>
      <c r="P2">
        <v>1.5400711818711901</v>
      </c>
      <c r="Q2" t="s">
        <v>11</v>
      </c>
      <c r="R2" t="s">
        <v>1955</v>
      </c>
      <c r="S2" t="s">
        <v>77</v>
      </c>
      <c r="T2">
        <v>0</v>
      </c>
      <c r="U2" t="s">
        <v>14</v>
      </c>
      <c r="V2" t="s">
        <v>15</v>
      </c>
      <c r="W2" t="s">
        <v>1956</v>
      </c>
      <c r="X2" t="s">
        <v>1278</v>
      </c>
      <c r="Y2">
        <v>0</v>
      </c>
      <c r="Z2" t="s">
        <v>18</v>
      </c>
    </row>
    <row r="3" spans="1:26" x14ac:dyDescent="0.3">
      <c r="A3" t="s">
        <v>1954</v>
      </c>
      <c r="B3" t="s">
        <v>40</v>
      </c>
      <c r="C3" t="s">
        <v>4</v>
      </c>
      <c r="D3">
        <v>2319</v>
      </c>
      <c r="E3" t="s">
        <v>5</v>
      </c>
      <c r="F3">
        <v>1064</v>
      </c>
      <c r="G3" t="s">
        <v>6</v>
      </c>
      <c r="H3">
        <v>75.471464362404603</v>
      </c>
      <c r="I3" t="s">
        <v>7</v>
      </c>
      <c r="J3">
        <v>3.25448315491179E-2</v>
      </c>
      <c r="K3" t="s">
        <v>8</v>
      </c>
      <c r="L3">
        <v>1.0801854217837901</v>
      </c>
      <c r="M3" t="s">
        <v>9</v>
      </c>
      <c r="N3">
        <v>-0.85633638310649896</v>
      </c>
      <c r="O3" t="s">
        <v>10</v>
      </c>
      <c r="P3">
        <v>2.06876231714139</v>
      </c>
      <c r="Q3" t="s">
        <v>11</v>
      </c>
      <c r="R3" t="s">
        <v>1955</v>
      </c>
      <c r="S3" t="s">
        <v>77</v>
      </c>
      <c r="T3">
        <v>0</v>
      </c>
      <c r="U3" t="s">
        <v>14</v>
      </c>
      <c r="V3" t="s">
        <v>15</v>
      </c>
      <c r="W3" t="s">
        <v>1957</v>
      </c>
      <c r="X3" t="s">
        <v>1230</v>
      </c>
      <c r="Y3">
        <v>0</v>
      </c>
      <c r="Z3" t="s">
        <v>18</v>
      </c>
    </row>
    <row r="4" spans="1:26" x14ac:dyDescent="0.3">
      <c r="A4" t="s">
        <v>1954</v>
      </c>
      <c r="B4" t="s">
        <v>42</v>
      </c>
      <c r="C4" t="s">
        <v>4</v>
      </c>
      <c r="D4">
        <v>2319</v>
      </c>
      <c r="E4" t="s">
        <v>5</v>
      </c>
      <c r="F4">
        <v>1049</v>
      </c>
      <c r="G4" t="s">
        <v>6</v>
      </c>
      <c r="H4">
        <v>64.774437255699397</v>
      </c>
      <c r="I4" t="s">
        <v>7</v>
      </c>
      <c r="J4">
        <v>2.7932055737688401E-2</v>
      </c>
      <c r="K4" t="s">
        <v>8</v>
      </c>
      <c r="L4">
        <v>1.10559605497736</v>
      </c>
      <c r="M4" t="s">
        <v>9</v>
      </c>
      <c r="N4">
        <v>-0.86288087030382099</v>
      </c>
      <c r="O4" t="s">
        <v>10</v>
      </c>
      <c r="P4">
        <v>2.2102850849939299</v>
      </c>
      <c r="Q4" t="s">
        <v>11</v>
      </c>
      <c r="R4" t="s">
        <v>1955</v>
      </c>
      <c r="S4" t="s">
        <v>77</v>
      </c>
      <c r="T4">
        <v>0</v>
      </c>
      <c r="U4" t="s">
        <v>14</v>
      </c>
      <c r="V4" t="s">
        <v>15</v>
      </c>
      <c r="W4" t="s">
        <v>1958</v>
      </c>
      <c r="X4" t="s">
        <v>1959</v>
      </c>
      <c r="Y4">
        <v>0</v>
      </c>
      <c r="Z4" t="s">
        <v>18</v>
      </c>
    </row>
    <row r="5" spans="1:26" x14ac:dyDescent="0.3">
      <c r="A5" t="s">
        <v>1954</v>
      </c>
      <c r="B5" t="s">
        <v>44</v>
      </c>
      <c r="C5" t="s">
        <v>4</v>
      </c>
      <c r="D5">
        <v>2319</v>
      </c>
      <c r="E5" t="s">
        <v>5</v>
      </c>
      <c r="F5">
        <v>1045</v>
      </c>
      <c r="G5" t="s">
        <v>6</v>
      </c>
      <c r="H5">
        <v>62.481262422013003</v>
      </c>
      <c r="I5" t="s">
        <v>7</v>
      </c>
      <c r="J5">
        <v>2.6943192075037901E-2</v>
      </c>
      <c r="K5" t="s">
        <v>8</v>
      </c>
      <c r="L5">
        <v>1.1123034323804399</v>
      </c>
      <c r="M5" t="s">
        <v>9</v>
      </c>
      <c r="N5">
        <v>-0.86400300425416299</v>
      </c>
      <c r="O5" t="s">
        <v>10</v>
      </c>
      <c r="P5">
        <v>2.2480155704523801</v>
      </c>
      <c r="Q5" t="s">
        <v>11</v>
      </c>
      <c r="R5" t="s">
        <v>1955</v>
      </c>
      <c r="S5" t="s">
        <v>77</v>
      </c>
      <c r="T5">
        <v>0</v>
      </c>
      <c r="U5" t="s">
        <v>14</v>
      </c>
      <c r="V5" t="s">
        <v>15</v>
      </c>
      <c r="W5" t="s">
        <v>1958</v>
      </c>
      <c r="X5" t="s">
        <v>1959</v>
      </c>
      <c r="Y5">
        <v>0</v>
      </c>
      <c r="Z5" t="s">
        <v>18</v>
      </c>
    </row>
    <row r="6" spans="1:26" x14ac:dyDescent="0.3">
      <c r="A6" t="s">
        <v>1960</v>
      </c>
      <c r="B6" t="s">
        <v>38</v>
      </c>
      <c r="C6" t="s">
        <v>4</v>
      </c>
      <c r="D6">
        <v>143</v>
      </c>
      <c r="E6" t="s">
        <v>5</v>
      </c>
      <c r="F6">
        <v>79</v>
      </c>
      <c r="G6" t="s">
        <v>6</v>
      </c>
      <c r="H6">
        <v>7.3899999999999801</v>
      </c>
      <c r="I6" t="s">
        <v>7</v>
      </c>
      <c r="J6">
        <v>5.1678321678321502E-2</v>
      </c>
      <c r="K6" t="s">
        <v>8</v>
      </c>
      <c r="L6">
        <v>0.91392405063291104</v>
      </c>
      <c r="M6" t="s">
        <v>9</v>
      </c>
      <c r="N6">
        <v>-1.01265625</v>
      </c>
      <c r="O6" t="s">
        <v>10</v>
      </c>
      <c r="P6">
        <v>0.22645087948965401</v>
      </c>
      <c r="Q6" t="s">
        <v>11</v>
      </c>
      <c r="R6" t="s">
        <v>1961</v>
      </c>
      <c r="S6" t="s">
        <v>647</v>
      </c>
      <c r="T6">
        <v>0</v>
      </c>
      <c r="U6" t="s">
        <v>14</v>
      </c>
      <c r="V6" t="s">
        <v>15</v>
      </c>
      <c r="W6" t="s">
        <v>1961</v>
      </c>
      <c r="X6" t="s">
        <v>647</v>
      </c>
      <c r="Y6">
        <v>0</v>
      </c>
      <c r="Z6" t="s">
        <v>18</v>
      </c>
    </row>
    <row r="7" spans="1:26" x14ac:dyDescent="0.3">
      <c r="A7" t="s">
        <v>1960</v>
      </c>
      <c r="B7" t="s">
        <v>40</v>
      </c>
      <c r="C7" t="s">
        <v>4</v>
      </c>
      <c r="D7">
        <v>143</v>
      </c>
      <c r="E7" t="s">
        <v>5</v>
      </c>
      <c r="F7">
        <v>75</v>
      </c>
      <c r="G7" t="s">
        <v>6</v>
      </c>
      <c r="H7">
        <v>20.529999999999902</v>
      </c>
      <c r="I7" t="s">
        <v>7</v>
      </c>
      <c r="J7">
        <v>0.143566433566433</v>
      </c>
      <c r="K7" t="s">
        <v>8</v>
      </c>
      <c r="L7">
        <v>1.2105333333333299</v>
      </c>
      <c r="M7" t="s">
        <v>9</v>
      </c>
      <c r="N7">
        <v>-1.0332352941176399</v>
      </c>
      <c r="O7" t="s">
        <v>10</v>
      </c>
      <c r="P7">
        <v>0.27865139832094099</v>
      </c>
      <c r="Q7" t="s">
        <v>11</v>
      </c>
      <c r="R7" t="s">
        <v>1961</v>
      </c>
      <c r="S7" t="s">
        <v>647</v>
      </c>
      <c r="T7">
        <v>0</v>
      </c>
      <c r="U7" t="s">
        <v>14</v>
      </c>
      <c r="V7" t="s">
        <v>15</v>
      </c>
      <c r="W7" t="s">
        <v>1961</v>
      </c>
      <c r="X7" t="s">
        <v>647</v>
      </c>
      <c r="Y7">
        <v>0</v>
      </c>
      <c r="Z7" t="s">
        <v>18</v>
      </c>
    </row>
    <row r="8" spans="1:26" x14ac:dyDescent="0.3">
      <c r="A8" t="s">
        <v>1960</v>
      </c>
      <c r="B8" t="s">
        <v>42</v>
      </c>
      <c r="C8" t="s">
        <v>4</v>
      </c>
      <c r="D8">
        <v>143</v>
      </c>
      <c r="E8" t="s">
        <v>5</v>
      </c>
      <c r="F8">
        <v>72</v>
      </c>
      <c r="G8" t="s">
        <v>6</v>
      </c>
      <c r="H8">
        <v>6.9899999999999798</v>
      </c>
      <c r="I8" t="s">
        <v>7</v>
      </c>
      <c r="J8">
        <v>4.88811188811187E-2</v>
      </c>
      <c r="K8" t="s">
        <v>8</v>
      </c>
      <c r="L8">
        <v>1.1866666666666601</v>
      </c>
      <c r="M8" t="s">
        <v>9</v>
      </c>
      <c r="N8">
        <v>-1.10492957746478</v>
      </c>
      <c r="O8" t="s">
        <v>10</v>
      </c>
      <c r="P8">
        <v>0.29530362480211397</v>
      </c>
      <c r="Q8" t="s">
        <v>11</v>
      </c>
      <c r="R8" t="s">
        <v>1961</v>
      </c>
      <c r="S8" t="s">
        <v>647</v>
      </c>
      <c r="T8">
        <v>0</v>
      </c>
      <c r="U8" t="s">
        <v>14</v>
      </c>
      <c r="V8" t="s">
        <v>15</v>
      </c>
      <c r="W8" t="s">
        <v>1962</v>
      </c>
      <c r="X8" t="s">
        <v>647</v>
      </c>
      <c r="Y8">
        <v>0</v>
      </c>
      <c r="Z8" t="s">
        <v>18</v>
      </c>
    </row>
    <row r="9" spans="1:26" x14ac:dyDescent="0.3">
      <c r="A9" t="s">
        <v>1960</v>
      </c>
      <c r="B9" t="s">
        <v>44</v>
      </c>
      <c r="C9" t="s">
        <v>4</v>
      </c>
      <c r="D9">
        <v>143</v>
      </c>
      <c r="E9" t="s">
        <v>5</v>
      </c>
      <c r="F9">
        <v>72</v>
      </c>
      <c r="G9" t="s">
        <v>6</v>
      </c>
      <c r="H9">
        <v>7.3199999999999896</v>
      </c>
      <c r="I9" t="s">
        <v>7</v>
      </c>
      <c r="J9">
        <v>5.1188811188811099E-2</v>
      </c>
      <c r="K9" t="s">
        <v>8</v>
      </c>
      <c r="L9">
        <v>1.1912499999999999</v>
      </c>
      <c r="M9" t="s">
        <v>9</v>
      </c>
      <c r="N9">
        <v>-1.10492957746478</v>
      </c>
      <c r="O9" t="s">
        <v>10</v>
      </c>
      <c r="P9">
        <v>0.29652894856328099</v>
      </c>
      <c r="Q9" t="s">
        <v>11</v>
      </c>
      <c r="R9" t="s">
        <v>1961</v>
      </c>
      <c r="S9" t="s">
        <v>647</v>
      </c>
      <c r="T9">
        <v>0</v>
      </c>
      <c r="U9" t="s">
        <v>14</v>
      </c>
      <c r="V9" t="s">
        <v>15</v>
      </c>
      <c r="W9" t="s">
        <v>1963</v>
      </c>
      <c r="X9" t="s">
        <v>647</v>
      </c>
      <c r="Y9">
        <v>0</v>
      </c>
      <c r="Z9" t="s">
        <v>18</v>
      </c>
    </row>
    <row r="10" spans="1:26" x14ac:dyDescent="0.3">
      <c r="A10" t="s">
        <v>1964</v>
      </c>
      <c r="B10" t="s">
        <v>38</v>
      </c>
      <c r="C10" t="s">
        <v>4</v>
      </c>
      <c r="D10">
        <v>104</v>
      </c>
      <c r="E10" t="s">
        <v>5</v>
      </c>
      <c r="F10">
        <v>50</v>
      </c>
      <c r="G10" t="s">
        <v>6</v>
      </c>
      <c r="H10">
        <v>-11.672525072755301</v>
      </c>
      <c r="I10" t="s">
        <v>7</v>
      </c>
      <c r="J10">
        <v>-0.112235818007263</v>
      </c>
      <c r="K10" t="s">
        <v>8</v>
      </c>
      <c r="L10">
        <v>0.76400000000000001</v>
      </c>
      <c r="M10" t="s">
        <v>9</v>
      </c>
      <c r="N10">
        <v>-0.923565279125099</v>
      </c>
      <c r="O10" t="s">
        <v>10</v>
      </c>
      <c r="P10">
        <v>0.138956480862301</v>
      </c>
      <c r="Q10" t="s">
        <v>11</v>
      </c>
      <c r="R10" t="s">
        <v>201</v>
      </c>
      <c r="S10" t="s">
        <v>632</v>
      </c>
      <c r="T10">
        <v>0</v>
      </c>
      <c r="U10" t="s">
        <v>14</v>
      </c>
      <c r="V10" t="s">
        <v>15</v>
      </c>
      <c r="W10" t="s">
        <v>201</v>
      </c>
      <c r="X10" t="s">
        <v>632</v>
      </c>
      <c r="Y10">
        <v>0</v>
      </c>
      <c r="Z10" t="s">
        <v>18</v>
      </c>
    </row>
    <row r="11" spans="1:26" x14ac:dyDescent="0.3">
      <c r="A11" t="s">
        <v>1964</v>
      </c>
      <c r="B11" t="s">
        <v>40</v>
      </c>
      <c r="C11" t="s">
        <v>4</v>
      </c>
      <c r="D11">
        <v>104</v>
      </c>
      <c r="E11" t="s">
        <v>5</v>
      </c>
      <c r="F11">
        <v>49</v>
      </c>
      <c r="G11" t="s">
        <v>6</v>
      </c>
      <c r="H11">
        <v>1.2074749272446501</v>
      </c>
      <c r="I11" t="s">
        <v>7</v>
      </c>
      <c r="J11">
        <v>1.1610335838890901E-2</v>
      </c>
      <c r="K11" t="s">
        <v>8</v>
      </c>
      <c r="L11">
        <v>1.05061224489795</v>
      </c>
      <c r="M11" t="s">
        <v>9</v>
      </c>
      <c r="N11">
        <v>-0.91404591041373295</v>
      </c>
      <c r="O11" t="s">
        <v>10</v>
      </c>
      <c r="P11">
        <v>0.169821568400636</v>
      </c>
      <c r="Q11" t="s">
        <v>11</v>
      </c>
      <c r="R11" t="s">
        <v>201</v>
      </c>
      <c r="S11" t="s">
        <v>632</v>
      </c>
      <c r="T11">
        <v>0</v>
      </c>
      <c r="U11" t="s">
        <v>14</v>
      </c>
      <c r="V11" t="s">
        <v>15</v>
      </c>
      <c r="W11" t="s">
        <v>201</v>
      </c>
      <c r="X11" t="s">
        <v>632</v>
      </c>
      <c r="Y11">
        <v>0</v>
      </c>
      <c r="Z11" t="s">
        <v>18</v>
      </c>
    </row>
    <row r="12" spans="1:26" x14ac:dyDescent="0.3">
      <c r="A12" t="s">
        <v>1964</v>
      </c>
      <c r="B12" t="s">
        <v>42</v>
      </c>
      <c r="C12" t="s">
        <v>4</v>
      </c>
      <c r="D12">
        <v>104</v>
      </c>
      <c r="E12" t="s">
        <v>5</v>
      </c>
      <c r="F12">
        <v>48</v>
      </c>
      <c r="G12" t="s">
        <v>6</v>
      </c>
      <c r="H12">
        <v>-5.0725250727553304</v>
      </c>
      <c r="I12" t="s">
        <v>7</v>
      </c>
      <c r="J12">
        <v>-4.87742795457244E-2</v>
      </c>
      <c r="K12" t="s">
        <v>8</v>
      </c>
      <c r="L12">
        <v>0.94854166666666695</v>
      </c>
      <c r="M12" t="s">
        <v>9</v>
      </c>
      <c r="N12">
        <v>-0.903616519156346</v>
      </c>
      <c r="O12" t="s">
        <v>10</v>
      </c>
      <c r="P12">
        <v>0.172998217103847</v>
      </c>
      <c r="Q12" t="s">
        <v>11</v>
      </c>
      <c r="R12" t="s">
        <v>201</v>
      </c>
      <c r="S12" t="s">
        <v>632</v>
      </c>
      <c r="T12">
        <v>0</v>
      </c>
      <c r="U12" t="s">
        <v>14</v>
      </c>
      <c r="V12" t="s">
        <v>15</v>
      </c>
      <c r="W12" t="s">
        <v>201</v>
      </c>
      <c r="X12" t="s">
        <v>632</v>
      </c>
      <c r="Y12">
        <v>0</v>
      </c>
      <c r="Z12" t="s">
        <v>18</v>
      </c>
    </row>
    <row r="13" spans="1:26" x14ac:dyDescent="0.3">
      <c r="A13" t="s">
        <v>1964</v>
      </c>
      <c r="B13" t="s">
        <v>44</v>
      </c>
      <c r="C13" t="s">
        <v>4</v>
      </c>
      <c r="D13">
        <v>104</v>
      </c>
      <c r="E13" t="s">
        <v>5</v>
      </c>
      <c r="F13">
        <v>48</v>
      </c>
      <c r="G13" t="s">
        <v>6</v>
      </c>
      <c r="H13">
        <v>-5.0725250727553304</v>
      </c>
      <c r="I13" t="s">
        <v>7</v>
      </c>
      <c r="J13">
        <v>-4.87742795457244E-2</v>
      </c>
      <c r="K13" t="s">
        <v>8</v>
      </c>
      <c r="L13">
        <v>0.94854166666666695</v>
      </c>
      <c r="M13" t="s">
        <v>9</v>
      </c>
      <c r="N13">
        <v>-0.903616519156346</v>
      </c>
      <c r="O13" t="s">
        <v>10</v>
      </c>
      <c r="P13">
        <v>0.172998217103847</v>
      </c>
      <c r="Q13" t="s">
        <v>11</v>
      </c>
      <c r="R13" t="s">
        <v>201</v>
      </c>
      <c r="S13" t="s">
        <v>632</v>
      </c>
      <c r="T13">
        <v>0</v>
      </c>
      <c r="U13" t="s">
        <v>14</v>
      </c>
      <c r="V13" t="s">
        <v>15</v>
      </c>
      <c r="W13" t="s">
        <v>201</v>
      </c>
      <c r="X13" t="s">
        <v>632</v>
      </c>
      <c r="Y13">
        <v>0</v>
      </c>
      <c r="Z13" t="s">
        <v>18</v>
      </c>
    </row>
    <row r="14" spans="1:26" x14ac:dyDescent="0.3">
      <c r="A14" t="s">
        <v>1965</v>
      </c>
      <c r="B14" t="s">
        <v>38</v>
      </c>
      <c r="C14" t="s">
        <v>4</v>
      </c>
      <c r="D14">
        <v>82</v>
      </c>
      <c r="E14" t="s">
        <v>5</v>
      </c>
      <c r="F14">
        <v>41</v>
      </c>
      <c r="G14" t="s">
        <v>6</v>
      </c>
      <c r="H14">
        <v>-3.3540011912340399</v>
      </c>
      <c r="I14" t="s">
        <v>7</v>
      </c>
      <c r="J14">
        <v>-4.0902453551634597E-2</v>
      </c>
      <c r="K14" t="s">
        <v>8</v>
      </c>
      <c r="L14">
        <v>0.71</v>
      </c>
      <c r="M14" t="s">
        <v>9</v>
      </c>
      <c r="N14">
        <v>-0.79180490710327001</v>
      </c>
      <c r="O14" t="s">
        <v>10</v>
      </c>
      <c r="P14">
        <v>0.10814600708668499</v>
      </c>
      <c r="Q14" t="s">
        <v>11</v>
      </c>
      <c r="R14" t="s">
        <v>108</v>
      </c>
      <c r="S14" t="s">
        <v>1230</v>
      </c>
      <c r="T14">
        <v>0</v>
      </c>
      <c r="U14" t="s">
        <v>14</v>
      </c>
      <c r="V14" t="s">
        <v>15</v>
      </c>
      <c r="W14" t="s">
        <v>108</v>
      </c>
      <c r="X14" t="s">
        <v>1230</v>
      </c>
      <c r="Y14">
        <v>0</v>
      </c>
      <c r="Z14" t="s">
        <v>18</v>
      </c>
    </row>
    <row r="15" spans="1:26" x14ac:dyDescent="0.3">
      <c r="A15" t="s">
        <v>1965</v>
      </c>
      <c r="B15" t="s">
        <v>40</v>
      </c>
      <c r="C15" t="s">
        <v>4</v>
      </c>
      <c r="D15">
        <v>82</v>
      </c>
      <c r="E15" t="s">
        <v>5</v>
      </c>
      <c r="F15">
        <v>40</v>
      </c>
      <c r="G15" t="s">
        <v>6</v>
      </c>
      <c r="H15">
        <v>5.2059988087659699</v>
      </c>
      <c r="I15" t="s">
        <v>7</v>
      </c>
      <c r="J15">
        <v>6.3487790350804499E-2</v>
      </c>
      <c r="K15" t="s">
        <v>8</v>
      </c>
      <c r="L15">
        <v>0.95174999999999998</v>
      </c>
      <c r="M15" t="s">
        <v>9</v>
      </c>
      <c r="N15">
        <v>-0.78247621883890595</v>
      </c>
      <c r="O15" t="s">
        <v>10</v>
      </c>
      <c r="P15">
        <v>0.137694899415334</v>
      </c>
      <c r="Q15" t="s">
        <v>11</v>
      </c>
      <c r="R15" t="s">
        <v>108</v>
      </c>
      <c r="S15" t="s">
        <v>1230</v>
      </c>
      <c r="T15">
        <v>0</v>
      </c>
      <c r="U15" t="s">
        <v>14</v>
      </c>
      <c r="V15" t="s">
        <v>15</v>
      </c>
      <c r="W15" t="s">
        <v>108</v>
      </c>
      <c r="X15" t="s">
        <v>1230</v>
      </c>
      <c r="Y15">
        <v>0</v>
      </c>
      <c r="Z15" t="s">
        <v>18</v>
      </c>
    </row>
    <row r="16" spans="1:26" x14ac:dyDescent="0.3">
      <c r="A16" t="s">
        <v>1965</v>
      </c>
      <c r="B16" t="s">
        <v>42</v>
      </c>
      <c r="C16" t="s">
        <v>4</v>
      </c>
      <c r="D16">
        <v>82</v>
      </c>
      <c r="E16" t="s">
        <v>5</v>
      </c>
      <c r="F16">
        <v>39</v>
      </c>
      <c r="G16" t="s">
        <v>6</v>
      </c>
      <c r="H16">
        <v>0.72599880876595702</v>
      </c>
      <c r="I16" t="s">
        <v>7</v>
      </c>
      <c r="J16">
        <v>8.8536440093409299E-3</v>
      </c>
      <c r="K16" t="s">
        <v>8</v>
      </c>
      <c r="L16">
        <v>0.86974358974359001</v>
      </c>
      <c r="M16" t="s">
        <v>9</v>
      </c>
      <c r="N16">
        <v>-0.77195351607521101</v>
      </c>
      <c r="O16" t="s">
        <v>10</v>
      </c>
      <c r="P16">
        <v>0.140398346988763</v>
      </c>
      <c r="Q16" t="s">
        <v>11</v>
      </c>
      <c r="R16" t="s">
        <v>108</v>
      </c>
      <c r="S16" t="s">
        <v>1230</v>
      </c>
      <c r="T16">
        <v>0</v>
      </c>
      <c r="U16" t="s">
        <v>14</v>
      </c>
      <c r="V16" t="s">
        <v>15</v>
      </c>
      <c r="W16" t="s">
        <v>108</v>
      </c>
      <c r="X16" t="s">
        <v>1230</v>
      </c>
      <c r="Y16">
        <v>0</v>
      </c>
      <c r="Z16" t="s">
        <v>18</v>
      </c>
    </row>
    <row r="17" spans="1:26" x14ac:dyDescent="0.3">
      <c r="A17" t="s">
        <v>1965</v>
      </c>
      <c r="B17" t="s">
        <v>44</v>
      </c>
      <c r="C17" t="s">
        <v>4</v>
      </c>
      <c r="D17">
        <v>82</v>
      </c>
      <c r="E17" t="s">
        <v>5</v>
      </c>
      <c r="F17">
        <v>39</v>
      </c>
      <c r="G17" t="s">
        <v>6</v>
      </c>
      <c r="H17">
        <v>0.72599880876595702</v>
      </c>
      <c r="I17" t="s">
        <v>7</v>
      </c>
      <c r="J17">
        <v>8.8536440093409299E-3</v>
      </c>
      <c r="K17" t="s">
        <v>8</v>
      </c>
      <c r="L17">
        <v>0.86974358974359001</v>
      </c>
      <c r="M17" t="s">
        <v>9</v>
      </c>
      <c r="N17">
        <v>-0.77195351607521101</v>
      </c>
      <c r="O17" t="s">
        <v>10</v>
      </c>
      <c r="P17">
        <v>0.140398346988763</v>
      </c>
      <c r="Q17" t="s">
        <v>11</v>
      </c>
      <c r="R17" t="s">
        <v>108</v>
      </c>
      <c r="S17" t="s">
        <v>1230</v>
      </c>
      <c r="T17">
        <v>0</v>
      </c>
      <c r="U17" t="s">
        <v>14</v>
      </c>
      <c r="V17" t="s">
        <v>15</v>
      </c>
      <c r="W17" t="s">
        <v>108</v>
      </c>
      <c r="X17" t="s">
        <v>1230</v>
      </c>
      <c r="Y17">
        <v>0</v>
      </c>
      <c r="Z17" t="s">
        <v>18</v>
      </c>
    </row>
    <row r="18" spans="1:26" x14ac:dyDescent="0.3">
      <c r="A18" t="s">
        <v>1966</v>
      </c>
      <c r="B18" t="s">
        <v>38</v>
      </c>
      <c r="C18" t="s">
        <v>4</v>
      </c>
      <c r="D18">
        <v>29</v>
      </c>
      <c r="E18" t="s">
        <v>5</v>
      </c>
      <c r="F18">
        <v>13</v>
      </c>
      <c r="G18" t="s">
        <v>6</v>
      </c>
      <c r="H18">
        <v>-8.0899999999999892</v>
      </c>
      <c r="I18" t="s">
        <v>7</v>
      </c>
      <c r="J18">
        <v>-0.27896551724137902</v>
      </c>
      <c r="K18" t="s">
        <v>8</v>
      </c>
      <c r="L18">
        <v>0.87307692307692197</v>
      </c>
      <c r="M18" t="s">
        <v>9</v>
      </c>
      <c r="N18">
        <v>-1.2149999999999901</v>
      </c>
      <c r="O18" t="s">
        <v>10</v>
      </c>
      <c r="P18">
        <v>8.4230674671932904E-2</v>
      </c>
      <c r="Q18" t="s">
        <v>11</v>
      </c>
      <c r="R18" t="s">
        <v>201</v>
      </c>
      <c r="S18" t="s">
        <v>632</v>
      </c>
      <c r="T18">
        <v>0</v>
      </c>
      <c r="U18" t="s">
        <v>14</v>
      </c>
      <c r="V18" t="s">
        <v>15</v>
      </c>
      <c r="W18" t="s">
        <v>201</v>
      </c>
      <c r="X18" t="s">
        <v>632</v>
      </c>
      <c r="Y18">
        <v>0</v>
      </c>
      <c r="Z18" t="s">
        <v>18</v>
      </c>
    </row>
    <row r="19" spans="1:26" x14ac:dyDescent="0.3">
      <c r="A19" t="s">
        <v>1966</v>
      </c>
      <c r="B19" t="s">
        <v>40</v>
      </c>
      <c r="C19" t="s">
        <v>4</v>
      </c>
      <c r="D19">
        <v>29</v>
      </c>
      <c r="E19" t="s">
        <v>5</v>
      </c>
      <c r="F19">
        <v>13</v>
      </c>
      <c r="G19" t="s">
        <v>6</v>
      </c>
      <c r="H19">
        <v>-6.3699999999999903</v>
      </c>
      <c r="I19" t="s">
        <v>7</v>
      </c>
      <c r="J19">
        <v>-0.21965517241379201</v>
      </c>
      <c r="K19" t="s">
        <v>8</v>
      </c>
      <c r="L19">
        <v>1.00538461538461</v>
      </c>
      <c r="M19" t="s">
        <v>9</v>
      </c>
      <c r="N19">
        <v>-1.2149999999999901</v>
      </c>
      <c r="O19" t="s">
        <v>10</v>
      </c>
      <c r="P19">
        <v>8.7438085310342403E-2</v>
      </c>
      <c r="Q19" t="s">
        <v>11</v>
      </c>
      <c r="R19" t="s">
        <v>201</v>
      </c>
      <c r="S19" t="s">
        <v>632</v>
      </c>
      <c r="T19">
        <v>0</v>
      </c>
      <c r="U19" t="s">
        <v>14</v>
      </c>
      <c r="V19" t="s">
        <v>15</v>
      </c>
      <c r="W19" t="s">
        <v>201</v>
      </c>
      <c r="X19" t="s">
        <v>632</v>
      </c>
      <c r="Y19">
        <v>0</v>
      </c>
      <c r="Z19" t="s">
        <v>18</v>
      </c>
    </row>
    <row r="20" spans="1:26" x14ac:dyDescent="0.3">
      <c r="A20" t="s">
        <v>1966</v>
      </c>
      <c r="B20" t="s">
        <v>42</v>
      </c>
      <c r="C20" t="s">
        <v>4</v>
      </c>
      <c r="D20">
        <v>29</v>
      </c>
      <c r="E20" t="s">
        <v>5</v>
      </c>
      <c r="F20">
        <v>13</v>
      </c>
      <c r="G20" t="s">
        <v>6</v>
      </c>
      <c r="H20">
        <v>-6.4299999999999899</v>
      </c>
      <c r="I20" t="s">
        <v>7</v>
      </c>
      <c r="J20">
        <v>-0.22172413793103399</v>
      </c>
      <c r="K20" t="s">
        <v>8</v>
      </c>
      <c r="L20">
        <v>1.00076923076922</v>
      </c>
      <c r="M20" t="s">
        <v>9</v>
      </c>
      <c r="N20">
        <v>-1.2149999999999901</v>
      </c>
      <c r="O20" t="s">
        <v>10</v>
      </c>
      <c r="P20">
        <v>8.7938483684311702E-2</v>
      </c>
      <c r="Q20" t="s">
        <v>11</v>
      </c>
      <c r="R20" t="s">
        <v>201</v>
      </c>
      <c r="S20" t="s">
        <v>632</v>
      </c>
      <c r="T20">
        <v>0</v>
      </c>
      <c r="U20" t="s">
        <v>14</v>
      </c>
      <c r="V20" t="s">
        <v>15</v>
      </c>
      <c r="W20" t="s">
        <v>201</v>
      </c>
      <c r="X20" t="s">
        <v>632</v>
      </c>
      <c r="Y20">
        <v>0</v>
      </c>
      <c r="Z20" t="s">
        <v>18</v>
      </c>
    </row>
    <row r="21" spans="1:26" x14ac:dyDescent="0.3">
      <c r="A21" t="s">
        <v>1966</v>
      </c>
      <c r="B21" t="s">
        <v>44</v>
      </c>
      <c r="C21" t="s">
        <v>4</v>
      </c>
      <c r="D21">
        <v>29</v>
      </c>
      <c r="E21" t="s">
        <v>5</v>
      </c>
      <c r="F21">
        <v>13</v>
      </c>
      <c r="G21" t="s">
        <v>6</v>
      </c>
      <c r="H21">
        <v>-6.4299999999999899</v>
      </c>
      <c r="I21" t="s">
        <v>7</v>
      </c>
      <c r="J21">
        <v>-0.22172413793103399</v>
      </c>
      <c r="K21" t="s">
        <v>8</v>
      </c>
      <c r="L21">
        <v>1.00076923076922</v>
      </c>
      <c r="M21" t="s">
        <v>9</v>
      </c>
      <c r="N21">
        <v>-1.2149999999999901</v>
      </c>
      <c r="O21" t="s">
        <v>10</v>
      </c>
      <c r="P21">
        <v>8.7938483684311702E-2</v>
      </c>
      <c r="Q21" t="s">
        <v>11</v>
      </c>
      <c r="R21" t="s">
        <v>201</v>
      </c>
      <c r="S21" t="s">
        <v>632</v>
      </c>
      <c r="T21">
        <v>0</v>
      </c>
      <c r="U21" t="s">
        <v>14</v>
      </c>
      <c r="V21" t="s">
        <v>15</v>
      </c>
      <c r="W21" t="s">
        <v>201</v>
      </c>
      <c r="X21" t="s">
        <v>632</v>
      </c>
      <c r="Y21">
        <v>0</v>
      </c>
      <c r="Z21" t="s">
        <v>18</v>
      </c>
    </row>
    <row r="22" spans="1:26" x14ac:dyDescent="0.3">
      <c r="A22" t="s">
        <v>1967</v>
      </c>
      <c r="B22" t="s">
        <v>38</v>
      </c>
      <c r="C22" t="s">
        <v>4</v>
      </c>
      <c r="D22">
        <v>174</v>
      </c>
      <c r="E22" t="s">
        <v>5</v>
      </c>
      <c r="F22">
        <v>98</v>
      </c>
      <c r="G22" t="s">
        <v>6</v>
      </c>
      <c r="H22">
        <v>3.5199999999999299</v>
      </c>
      <c r="I22" t="s">
        <v>7</v>
      </c>
      <c r="J22">
        <v>2.0229885057470798E-2</v>
      </c>
      <c r="K22" t="s">
        <v>8</v>
      </c>
      <c r="L22">
        <v>0.81540816326530596</v>
      </c>
      <c r="M22" t="s">
        <v>9</v>
      </c>
      <c r="N22">
        <v>-1.00513157894736</v>
      </c>
      <c r="O22" t="s">
        <v>10</v>
      </c>
      <c r="P22">
        <v>0.221827567730318</v>
      </c>
      <c r="Q22" t="s">
        <v>11</v>
      </c>
      <c r="R22" t="s">
        <v>201</v>
      </c>
      <c r="S22" t="s">
        <v>632</v>
      </c>
      <c r="T22">
        <v>0</v>
      </c>
      <c r="U22" t="s">
        <v>14</v>
      </c>
      <c r="V22" t="s">
        <v>15</v>
      </c>
      <c r="W22" t="s">
        <v>1968</v>
      </c>
      <c r="X22" t="s">
        <v>1969</v>
      </c>
      <c r="Y22">
        <v>0</v>
      </c>
      <c r="Z22" t="s">
        <v>18</v>
      </c>
    </row>
    <row r="23" spans="1:26" x14ac:dyDescent="0.3">
      <c r="A23" t="s">
        <v>1967</v>
      </c>
      <c r="B23" t="s">
        <v>40</v>
      </c>
      <c r="C23" t="s">
        <v>4</v>
      </c>
      <c r="D23">
        <v>174</v>
      </c>
      <c r="E23" t="s">
        <v>5</v>
      </c>
      <c r="F23">
        <v>95</v>
      </c>
      <c r="G23" t="s">
        <v>6</v>
      </c>
      <c r="H23">
        <v>4.8699999999999504</v>
      </c>
      <c r="I23" t="s">
        <v>7</v>
      </c>
      <c r="J23">
        <v>2.7988505747126101E-2</v>
      </c>
      <c r="K23" t="s">
        <v>8</v>
      </c>
      <c r="L23">
        <v>0.907052631578947</v>
      </c>
      <c r="M23" t="s">
        <v>9</v>
      </c>
      <c r="N23">
        <v>-1.02911392405063</v>
      </c>
      <c r="O23" t="s">
        <v>10</v>
      </c>
      <c r="P23">
        <v>0.24964003950879701</v>
      </c>
      <c r="Q23" t="s">
        <v>11</v>
      </c>
      <c r="R23" t="s">
        <v>1970</v>
      </c>
      <c r="S23" t="s">
        <v>1230</v>
      </c>
      <c r="T23">
        <v>0</v>
      </c>
      <c r="U23" t="s">
        <v>14</v>
      </c>
      <c r="V23" t="s">
        <v>15</v>
      </c>
      <c r="W23" t="s">
        <v>1971</v>
      </c>
      <c r="X23" t="s">
        <v>1969</v>
      </c>
      <c r="Y23">
        <v>0</v>
      </c>
      <c r="Z23" t="s">
        <v>18</v>
      </c>
    </row>
    <row r="24" spans="1:26" x14ac:dyDescent="0.3">
      <c r="A24" t="s">
        <v>1967</v>
      </c>
      <c r="B24" t="s">
        <v>42</v>
      </c>
      <c r="C24" t="s">
        <v>4</v>
      </c>
      <c r="D24">
        <v>174</v>
      </c>
      <c r="E24" t="s">
        <v>5</v>
      </c>
      <c r="F24">
        <v>95</v>
      </c>
      <c r="G24" t="s">
        <v>6</v>
      </c>
      <c r="H24">
        <v>4.9899999999999602</v>
      </c>
      <c r="I24" t="s">
        <v>7</v>
      </c>
      <c r="J24">
        <v>2.8678160919540001E-2</v>
      </c>
      <c r="K24" t="s">
        <v>8</v>
      </c>
      <c r="L24">
        <v>0.90831578947368397</v>
      </c>
      <c r="M24" t="s">
        <v>9</v>
      </c>
      <c r="N24">
        <v>-1.02911392405063</v>
      </c>
      <c r="O24" t="s">
        <v>10</v>
      </c>
      <c r="P24">
        <v>0.24839614155634299</v>
      </c>
      <c r="Q24" t="s">
        <v>11</v>
      </c>
      <c r="R24" t="s">
        <v>1970</v>
      </c>
      <c r="S24" t="s">
        <v>1230</v>
      </c>
      <c r="T24">
        <v>0</v>
      </c>
      <c r="U24" t="s">
        <v>14</v>
      </c>
      <c r="V24" t="s">
        <v>15</v>
      </c>
      <c r="W24" t="s">
        <v>1971</v>
      </c>
      <c r="X24" t="s">
        <v>1969</v>
      </c>
      <c r="Y24">
        <v>0</v>
      </c>
      <c r="Z24" t="s">
        <v>18</v>
      </c>
    </row>
    <row r="25" spans="1:26" x14ac:dyDescent="0.3">
      <c r="A25" t="s">
        <v>1967</v>
      </c>
      <c r="B25" t="s">
        <v>44</v>
      </c>
      <c r="C25" t="s">
        <v>4</v>
      </c>
      <c r="D25">
        <v>174</v>
      </c>
      <c r="E25" t="s">
        <v>5</v>
      </c>
      <c r="F25">
        <v>94</v>
      </c>
      <c r="G25" t="s">
        <v>6</v>
      </c>
      <c r="H25">
        <v>-0.64000000000003898</v>
      </c>
      <c r="I25" t="s">
        <v>7</v>
      </c>
      <c r="J25">
        <v>-3.6781609195404501E-3</v>
      </c>
      <c r="K25" t="s">
        <v>8</v>
      </c>
      <c r="L25">
        <v>0.89244680851063896</v>
      </c>
      <c r="M25" t="s">
        <v>9</v>
      </c>
      <c r="N25">
        <v>-1.0566249999999999</v>
      </c>
      <c r="O25" t="s">
        <v>10</v>
      </c>
      <c r="P25">
        <v>0.27114948533697403</v>
      </c>
      <c r="Q25" t="s">
        <v>11</v>
      </c>
      <c r="R25" t="s">
        <v>1972</v>
      </c>
      <c r="S25" t="s">
        <v>632</v>
      </c>
      <c r="T25">
        <v>0</v>
      </c>
      <c r="U25" t="s">
        <v>14</v>
      </c>
      <c r="V25" t="s">
        <v>15</v>
      </c>
      <c r="W25" t="s">
        <v>1973</v>
      </c>
      <c r="X25" t="s">
        <v>632</v>
      </c>
      <c r="Y25">
        <v>0</v>
      </c>
      <c r="Z25" t="s">
        <v>18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F58F-BD99-413E-A1E4-0D2D957683B0}">
  <sheetPr>
    <tabColor theme="5"/>
  </sheetPr>
  <dimension ref="A2:AC337"/>
  <sheetViews>
    <sheetView workbookViewId="0">
      <selection activeCell="E19" sqref="E19"/>
    </sheetView>
  </sheetViews>
  <sheetFormatPr defaultRowHeight="16.5" x14ac:dyDescent="0.3"/>
  <sheetData>
    <row r="2" spans="1:29" x14ac:dyDescent="0.3">
      <c r="A2" t="s">
        <v>113</v>
      </c>
      <c r="B2" t="s">
        <v>1</v>
      </c>
      <c r="C2">
        <v>0.4</v>
      </c>
      <c r="D2" t="s">
        <v>590</v>
      </c>
      <c r="E2" t="s">
        <v>1979</v>
      </c>
      <c r="F2" t="s">
        <v>4</v>
      </c>
      <c r="G2">
        <v>169</v>
      </c>
      <c r="H2" t="s">
        <v>5</v>
      </c>
      <c r="I2">
        <v>109</v>
      </c>
      <c r="J2" t="s">
        <v>6</v>
      </c>
      <c r="K2">
        <v>-82.36</v>
      </c>
      <c r="L2" t="s">
        <v>7</v>
      </c>
      <c r="M2">
        <v>-0.48733727810650901</v>
      </c>
      <c r="N2" t="s">
        <v>8</v>
      </c>
      <c r="O2">
        <v>1.7464220183486201</v>
      </c>
      <c r="P2" t="s">
        <v>9</v>
      </c>
      <c r="Q2">
        <v>-4.5453333333333301</v>
      </c>
      <c r="R2" t="s">
        <v>10</v>
      </c>
      <c r="S2">
        <v>0.958714542757796</v>
      </c>
      <c r="T2" t="s">
        <v>11</v>
      </c>
      <c r="U2" t="s">
        <v>1980</v>
      </c>
      <c r="V2" t="s">
        <v>720</v>
      </c>
      <c r="W2">
        <v>0</v>
      </c>
      <c r="X2" t="s">
        <v>14</v>
      </c>
      <c r="Y2" t="s">
        <v>15</v>
      </c>
      <c r="Z2" t="s">
        <v>1981</v>
      </c>
      <c r="AA2" t="s">
        <v>720</v>
      </c>
      <c r="AB2">
        <v>0</v>
      </c>
      <c r="AC2" t="s">
        <v>18</v>
      </c>
    </row>
    <row r="3" spans="1:29" x14ac:dyDescent="0.3">
      <c r="A3" t="s">
        <v>113</v>
      </c>
      <c r="B3" t="s">
        <v>1</v>
      </c>
      <c r="C3">
        <v>0.4</v>
      </c>
      <c r="D3" t="s">
        <v>590</v>
      </c>
      <c r="E3" t="s">
        <v>1982</v>
      </c>
      <c r="F3" t="s">
        <v>4</v>
      </c>
      <c r="G3">
        <v>169</v>
      </c>
      <c r="H3" t="s">
        <v>5</v>
      </c>
      <c r="I3">
        <v>119</v>
      </c>
      <c r="J3" t="s">
        <v>6</v>
      </c>
      <c r="K3">
        <v>-178.009999999999</v>
      </c>
      <c r="L3" t="s">
        <v>7</v>
      </c>
      <c r="M3">
        <v>-1.05331360946745</v>
      </c>
      <c r="N3" t="s">
        <v>8</v>
      </c>
      <c r="O3">
        <v>1.74823529411764</v>
      </c>
      <c r="P3" t="s">
        <v>9</v>
      </c>
      <c r="Q3">
        <v>-7.7209999999999903</v>
      </c>
      <c r="R3" t="s">
        <v>10</v>
      </c>
      <c r="S3">
        <v>1.33783084840655</v>
      </c>
      <c r="T3" t="s">
        <v>11</v>
      </c>
      <c r="U3" t="s">
        <v>1983</v>
      </c>
      <c r="V3" t="s">
        <v>720</v>
      </c>
      <c r="W3">
        <v>0</v>
      </c>
      <c r="X3" t="s">
        <v>14</v>
      </c>
      <c r="Y3" t="s">
        <v>15</v>
      </c>
      <c r="Z3" t="s">
        <v>1984</v>
      </c>
      <c r="AA3" t="s">
        <v>720</v>
      </c>
      <c r="AB3">
        <v>0</v>
      </c>
      <c r="AC3" t="s">
        <v>18</v>
      </c>
    </row>
    <row r="4" spans="1:29" x14ac:dyDescent="0.3">
      <c r="A4" t="s">
        <v>113</v>
      </c>
      <c r="B4" t="s">
        <v>1</v>
      </c>
      <c r="C4">
        <v>0.4</v>
      </c>
      <c r="D4" t="s">
        <v>590</v>
      </c>
      <c r="E4" t="s">
        <v>1985</v>
      </c>
      <c r="F4" t="s">
        <v>4</v>
      </c>
      <c r="G4">
        <v>169</v>
      </c>
      <c r="H4" t="s">
        <v>5</v>
      </c>
      <c r="I4">
        <v>126</v>
      </c>
      <c r="J4" t="s">
        <v>6</v>
      </c>
      <c r="K4">
        <v>-220.74999999999901</v>
      </c>
      <c r="L4" t="s">
        <v>7</v>
      </c>
      <c r="M4">
        <v>-1.3062130177514699</v>
      </c>
      <c r="N4" t="s">
        <v>8</v>
      </c>
      <c r="O4">
        <v>1.7253968253968199</v>
      </c>
      <c r="P4" t="s">
        <v>9</v>
      </c>
      <c r="Q4">
        <v>-10.189534883720899</v>
      </c>
      <c r="R4" t="s">
        <v>10</v>
      </c>
      <c r="S4">
        <v>1.58288644083009</v>
      </c>
      <c r="T4" t="s">
        <v>11</v>
      </c>
      <c r="U4" t="s">
        <v>1983</v>
      </c>
      <c r="V4" t="s">
        <v>720</v>
      </c>
      <c r="W4">
        <v>0</v>
      </c>
      <c r="X4" t="s">
        <v>14</v>
      </c>
      <c r="Y4" t="s">
        <v>15</v>
      </c>
      <c r="Z4" t="s">
        <v>1986</v>
      </c>
      <c r="AA4" t="s">
        <v>1987</v>
      </c>
      <c r="AB4">
        <v>0</v>
      </c>
      <c r="AC4" t="s">
        <v>18</v>
      </c>
    </row>
    <row r="5" spans="1:29" x14ac:dyDescent="0.3">
      <c r="A5" t="s">
        <v>113</v>
      </c>
      <c r="B5" t="s">
        <v>1</v>
      </c>
      <c r="C5">
        <v>0.4</v>
      </c>
      <c r="D5" t="s">
        <v>590</v>
      </c>
      <c r="E5" t="s">
        <v>1988</v>
      </c>
      <c r="F5" t="s">
        <v>4</v>
      </c>
      <c r="G5">
        <v>169</v>
      </c>
      <c r="H5" t="s">
        <v>5</v>
      </c>
      <c r="I5">
        <v>126</v>
      </c>
      <c r="J5" t="s">
        <v>6</v>
      </c>
      <c r="K5">
        <v>-246.45999999999901</v>
      </c>
      <c r="L5" t="s">
        <v>7</v>
      </c>
      <c r="M5">
        <v>-1.45834319526627</v>
      </c>
      <c r="N5" t="s">
        <v>8</v>
      </c>
      <c r="O5">
        <v>1.7253968253968199</v>
      </c>
      <c r="P5" t="s">
        <v>9</v>
      </c>
      <c r="Q5">
        <v>-10.787441860465099</v>
      </c>
      <c r="R5" t="s">
        <v>10</v>
      </c>
      <c r="S5">
        <v>1.8234532325292301</v>
      </c>
      <c r="T5" t="s">
        <v>11</v>
      </c>
      <c r="U5" t="s">
        <v>1989</v>
      </c>
      <c r="V5" t="s">
        <v>720</v>
      </c>
      <c r="W5">
        <v>0</v>
      </c>
      <c r="X5" t="s">
        <v>14</v>
      </c>
      <c r="Y5" t="s">
        <v>15</v>
      </c>
      <c r="Z5" t="s">
        <v>1990</v>
      </c>
      <c r="AA5" t="s">
        <v>720</v>
      </c>
      <c r="AB5">
        <v>0</v>
      </c>
      <c r="AC5" t="s">
        <v>18</v>
      </c>
    </row>
    <row r="6" spans="1:29" x14ac:dyDescent="0.3">
      <c r="A6" t="s">
        <v>113</v>
      </c>
      <c r="B6" t="s">
        <v>1</v>
      </c>
      <c r="C6">
        <v>0.4</v>
      </c>
      <c r="D6" t="s">
        <v>599</v>
      </c>
      <c r="E6" t="s">
        <v>1991</v>
      </c>
      <c r="F6" t="s">
        <v>4</v>
      </c>
      <c r="G6">
        <v>178</v>
      </c>
      <c r="H6" t="s">
        <v>5</v>
      </c>
      <c r="I6">
        <v>108</v>
      </c>
      <c r="J6" t="s">
        <v>6</v>
      </c>
      <c r="K6">
        <v>-144.9</v>
      </c>
      <c r="L6" t="s">
        <v>7</v>
      </c>
      <c r="M6">
        <v>-0.81404494382022397</v>
      </c>
      <c r="N6" t="s">
        <v>8</v>
      </c>
      <c r="O6">
        <v>2.10731481481481</v>
      </c>
      <c r="P6" t="s">
        <v>9</v>
      </c>
      <c r="Q6">
        <v>-5.3212857142857102</v>
      </c>
      <c r="R6" t="s">
        <v>10</v>
      </c>
      <c r="S6">
        <v>1.13167741110172</v>
      </c>
      <c r="T6" t="s">
        <v>11</v>
      </c>
      <c r="U6" t="s">
        <v>1992</v>
      </c>
      <c r="V6" t="s">
        <v>720</v>
      </c>
      <c r="W6">
        <v>0</v>
      </c>
      <c r="X6" t="s">
        <v>14</v>
      </c>
      <c r="Y6" t="s">
        <v>15</v>
      </c>
      <c r="Z6" t="s">
        <v>1993</v>
      </c>
      <c r="AA6" t="s">
        <v>720</v>
      </c>
      <c r="AB6">
        <v>0</v>
      </c>
      <c r="AC6" t="s">
        <v>18</v>
      </c>
    </row>
    <row r="7" spans="1:29" x14ac:dyDescent="0.3">
      <c r="A7" t="s">
        <v>113</v>
      </c>
      <c r="B7" t="s">
        <v>1</v>
      </c>
      <c r="C7">
        <v>0.4</v>
      </c>
      <c r="D7" t="s">
        <v>599</v>
      </c>
      <c r="E7" t="s">
        <v>1994</v>
      </c>
      <c r="F7" t="s">
        <v>4</v>
      </c>
      <c r="G7">
        <v>178</v>
      </c>
      <c r="H7" t="s">
        <v>5</v>
      </c>
      <c r="I7">
        <v>129</v>
      </c>
      <c r="J7" t="s">
        <v>6</v>
      </c>
      <c r="K7">
        <v>-203.8</v>
      </c>
      <c r="L7" t="s">
        <v>7</v>
      </c>
      <c r="M7">
        <v>-1.14494382022471</v>
      </c>
      <c r="N7" t="s">
        <v>8</v>
      </c>
      <c r="O7">
        <v>2.0958914728682099</v>
      </c>
      <c r="P7" t="s">
        <v>9</v>
      </c>
      <c r="Q7">
        <v>-9.6769387755101999</v>
      </c>
      <c r="R7" t="s">
        <v>10</v>
      </c>
      <c r="S7">
        <v>1.6654364423572601</v>
      </c>
      <c r="T7" t="s">
        <v>11</v>
      </c>
      <c r="U7" t="s">
        <v>1992</v>
      </c>
      <c r="V7" t="s">
        <v>720</v>
      </c>
      <c r="W7">
        <v>0</v>
      </c>
      <c r="X7" t="s">
        <v>14</v>
      </c>
      <c r="Y7" t="s">
        <v>15</v>
      </c>
      <c r="Z7" t="s">
        <v>1995</v>
      </c>
      <c r="AA7" t="s">
        <v>720</v>
      </c>
      <c r="AB7">
        <v>0</v>
      </c>
      <c r="AC7" t="s">
        <v>18</v>
      </c>
    </row>
    <row r="8" spans="1:29" x14ac:dyDescent="0.3">
      <c r="A8" t="s">
        <v>113</v>
      </c>
      <c r="B8" t="s">
        <v>1</v>
      </c>
      <c r="C8">
        <v>0.4</v>
      </c>
      <c r="D8" t="s">
        <v>599</v>
      </c>
      <c r="E8" t="s">
        <v>1996</v>
      </c>
      <c r="F8" t="s">
        <v>4</v>
      </c>
      <c r="G8">
        <v>178</v>
      </c>
      <c r="H8" t="s">
        <v>5</v>
      </c>
      <c r="I8">
        <v>142</v>
      </c>
      <c r="J8" t="s">
        <v>6</v>
      </c>
      <c r="K8">
        <v>-51.179999999999801</v>
      </c>
      <c r="L8" t="s">
        <v>7</v>
      </c>
      <c r="M8">
        <v>-0.287528089887639</v>
      </c>
      <c r="N8" t="s">
        <v>8</v>
      </c>
      <c r="O8">
        <v>2.10950704225352</v>
      </c>
      <c r="P8" t="s">
        <v>9</v>
      </c>
      <c r="Q8">
        <v>-9.7424999999999908</v>
      </c>
      <c r="R8" t="s">
        <v>10</v>
      </c>
      <c r="S8">
        <v>2.3216051955790999</v>
      </c>
      <c r="T8" t="s">
        <v>11</v>
      </c>
      <c r="U8" t="s">
        <v>1992</v>
      </c>
      <c r="V8" t="s">
        <v>720</v>
      </c>
      <c r="W8">
        <v>0</v>
      </c>
      <c r="X8" t="s">
        <v>14</v>
      </c>
      <c r="Y8" t="s">
        <v>15</v>
      </c>
      <c r="Z8" t="s">
        <v>1995</v>
      </c>
      <c r="AA8" t="s">
        <v>720</v>
      </c>
      <c r="AB8">
        <v>0</v>
      </c>
      <c r="AC8" t="s">
        <v>18</v>
      </c>
    </row>
    <row r="9" spans="1:29" x14ac:dyDescent="0.3">
      <c r="A9" t="s">
        <v>113</v>
      </c>
      <c r="B9" t="s">
        <v>1</v>
      </c>
      <c r="C9">
        <v>0.4</v>
      </c>
      <c r="D9" t="s">
        <v>599</v>
      </c>
      <c r="E9" t="s">
        <v>1997</v>
      </c>
      <c r="F9" t="s">
        <v>4</v>
      </c>
      <c r="G9">
        <v>178</v>
      </c>
      <c r="H9" t="s">
        <v>5</v>
      </c>
      <c r="I9">
        <v>144</v>
      </c>
      <c r="J9" t="s">
        <v>6</v>
      </c>
      <c r="K9">
        <v>-41.949999999999598</v>
      </c>
      <c r="L9" t="s">
        <v>7</v>
      </c>
      <c r="M9">
        <v>-0.23567415730336799</v>
      </c>
      <c r="N9" t="s">
        <v>8</v>
      </c>
      <c r="O9">
        <v>2.1156944444444399</v>
      </c>
      <c r="P9" t="s">
        <v>9</v>
      </c>
      <c r="Q9">
        <v>-10.1944117647058</v>
      </c>
      <c r="R9" t="s">
        <v>10</v>
      </c>
      <c r="S9">
        <v>2.5506973832402799</v>
      </c>
      <c r="T9" t="s">
        <v>11</v>
      </c>
      <c r="U9" t="s">
        <v>1992</v>
      </c>
      <c r="V9" t="s">
        <v>720</v>
      </c>
      <c r="W9">
        <v>0</v>
      </c>
      <c r="X9" t="s">
        <v>14</v>
      </c>
      <c r="Y9" t="s">
        <v>15</v>
      </c>
      <c r="Z9" t="s">
        <v>1995</v>
      </c>
      <c r="AA9" t="s">
        <v>720</v>
      </c>
      <c r="AB9">
        <v>0</v>
      </c>
      <c r="AC9" t="s">
        <v>18</v>
      </c>
    </row>
    <row r="10" spans="1:29" x14ac:dyDescent="0.3">
      <c r="A10" t="s">
        <v>113</v>
      </c>
      <c r="B10" t="s">
        <v>1</v>
      </c>
      <c r="C10">
        <v>0.4</v>
      </c>
      <c r="D10" t="s">
        <v>1998</v>
      </c>
      <c r="E10" t="s">
        <v>1999</v>
      </c>
      <c r="F10" t="s">
        <v>4</v>
      </c>
      <c r="G10">
        <v>167</v>
      </c>
      <c r="H10" t="s">
        <v>5</v>
      </c>
      <c r="I10">
        <v>106</v>
      </c>
      <c r="J10" t="s">
        <v>6</v>
      </c>
      <c r="K10">
        <v>-91.5057594311061</v>
      </c>
      <c r="L10" t="s">
        <v>7</v>
      </c>
      <c r="M10">
        <v>-0.54793867922817996</v>
      </c>
      <c r="N10" t="s">
        <v>8</v>
      </c>
      <c r="O10">
        <v>2.5463910528181102</v>
      </c>
      <c r="P10" t="s">
        <v>9</v>
      </c>
      <c r="Q10">
        <v>-5.9249706726200904</v>
      </c>
      <c r="R10" t="s">
        <v>10</v>
      </c>
      <c r="S10">
        <v>1.1219802743432199</v>
      </c>
      <c r="T10" t="s">
        <v>11</v>
      </c>
      <c r="U10" t="s">
        <v>2000</v>
      </c>
      <c r="V10" t="s">
        <v>720</v>
      </c>
      <c r="W10">
        <v>0</v>
      </c>
      <c r="X10" t="s">
        <v>14</v>
      </c>
      <c r="Y10" t="s">
        <v>15</v>
      </c>
      <c r="Z10" t="s">
        <v>2001</v>
      </c>
      <c r="AA10" t="s">
        <v>720</v>
      </c>
      <c r="AB10">
        <v>0</v>
      </c>
      <c r="AC10" t="s">
        <v>18</v>
      </c>
    </row>
    <row r="11" spans="1:29" x14ac:dyDescent="0.3">
      <c r="A11" t="s">
        <v>113</v>
      </c>
      <c r="B11" t="s">
        <v>1</v>
      </c>
      <c r="C11">
        <v>0.4</v>
      </c>
      <c r="D11" t="s">
        <v>1998</v>
      </c>
      <c r="E11" t="s">
        <v>2002</v>
      </c>
      <c r="F11" t="s">
        <v>4</v>
      </c>
      <c r="G11">
        <v>167</v>
      </c>
      <c r="H11" t="s">
        <v>5</v>
      </c>
      <c r="I11">
        <v>125</v>
      </c>
      <c r="J11" t="s">
        <v>6</v>
      </c>
      <c r="K11">
        <v>-118.61059061362501</v>
      </c>
      <c r="L11" t="s">
        <v>7</v>
      </c>
      <c r="M11">
        <v>-0.71024305756661898</v>
      </c>
      <c r="N11" t="s">
        <v>8</v>
      </c>
      <c r="O11">
        <v>2.6452381837032801</v>
      </c>
      <c r="P11" t="s">
        <v>9</v>
      </c>
      <c r="Q11">
        <v>-10.696794370869901</v>
      </c>
      <c r="R11" t="s">
        <v>10</v>
      </c>
      <c r="S11">
        <v>1.7113432837617</v>
      </c>
      <c r="T11" t="s">
        <v>11</v>
      </c>
      <c r="U11" t="s">
        <v>2000</v>
      </c>
      <c r="V11" t="s">
        <v>720</v>
      </c>
      <c r="W11">
        <v>0</v>
      </c>
      <c r="X11" t="s">
        <v>14</v>
      </c>
      <c r="Y11" t="s">
        <v>15</v>
      </c>
      <c r="Z11" t="s">
        <v>2003</v>
      </c>
      <c r="AA11" t="s">
        <v>1987</v>
      </c>
      <c r="AB11">
        <v>0</v>
      </c>
      <c r="AC11" t="s">
        <v>18</v>
      </c>
    </row>
    <row r="12" spans="1:29" x14ac:dyDescent="0.3">
      <c r="A12" t="s">
        <v>113</v>
      </c>
      <c r="B12" t="s">
        <v>1</v>
      </c>
      <c r="C12">
        <v>0.4</v>
      </c>
      <c r="D12" t="s">
        <v>1998</v>
      </c>
      <c r="E12" t="s">
        <v>2004</v>
      </c>
      <c r="F12" t="s">
        <v>4</v>
      </c>
      <c r="G12">
        <v>167</v>
      </c>
      <c r="H12" t="s">
        <v>5</v>
      </c>
      <c r="I12">
        <v>131</v>
      </c>
      <c r="J12" t="s">
        <v>6</v>
      </c>
      <c r="K12">
        <v>-22.930590613625402</v>
      </c>
      <c r="L12" t="s">
        <v>7</v>
      </c>
      <c r="M12">
        <v>-0.13730892583009199</v>
      </c>
      <c r="N12" t="s">
        <v>8</v>
      </c>
      <c r="O12">
        <v>2.69101042621178</v>
      </c>
      <c r="P12" t="s">
        <v>9</v>
      </c>
      <c r="Q12">
        <v>-10.4292487902046</v>
      </c>
      <c r="R12" t="s">
        <v>10</v>
      </c>
      <c r="S12">
        <v>2.0939850329549001</v>
      </c>
      <c r="T12" t="s">
        <v>11</v>
      </c>
      <c r="U12" t="s">
        <v>2000</v>
      </c>
      <c r="V12" t="s">
        <v>720</v>
      </c>
      <c r="W12">
        <v>0</v>
      </c>
      <c r="X12" t="s">
        <v>14</v>
      </c>
      <c r="Y12" t="s">
        <v>15</v>
      </c>
      <c r="Z12" t="s">
        <v>2003</v>
      </c>
      <c r="AA12" t="s">
        <v>1987</v>
      </c>
      <c r="AB12">
        <v>0</v>
      </c>
      <c r="AC12" t="s">
        <v>18</v>
      </c>
    </row>
    <row r="13" spans="1:29" x14ac:dyDescent="0.3">
      <c r="A13" t="s">
        <v>113</v>
      </c>
      <c r="B13" t="s">
        <v>1</v>
      </c>
      <c r="C13">
        <v>0.4</v>
      </c>
      <c r="D13" t="s">
        <v>1998</v>
      </c>
      <c r="E13" t="s">
        <v>2005</v>
      </c>
      <c r="F13" t="s">
        <v>4</v>
      </c>
      <c r="G13">
        <v>167</v>
      </c>
      <c r="H13" t="s">
        <v>5</v>
      </c>
      <c r="I13">
        <v>135</v>
      </c>
      <c r="J13" t="s">
        <v>6</v>
      </c>
      <c r="K13">
        <v>-35.7165864226628</v>
      </c>
      <c r="L13" t="s">
        <v>7</v>
      </c>
      <c r="M13">
        <v>-0.21387177498600399</v>
      </c>
      <c r="N13" t="s">
        <v>8</v>
      </c>
      <c r="O13">
        <v>2.6815730802499398</v>
      </c>
      <c r="P13" t="s">
        <v>9</v>
      </c>
      <c r="Q13">
        <v>-12.4290297580126</v>
      </c>
      <c r="R13" t="s">
        <v>10</v>
      </c>
      <c r="S13">
        <v>2.2475674623423298</v>
      </c>
      <c r="T13" t="s">
        <v>11</v>
      </c>
      <c r="U13" t="s">
        <v>2000</v>
      </c>
      <c r="V13" t="s">
        <v>720</v>
      </c>
      <c r="W13">
        <v>0</v>
      </c>
      <c r="X13" t="s">
        <v>14</v>
      </c>
      <c r="Y13" t="s">
        <v>15</v>
      </c>
      <c r="Z13" t="s">
        <v>2003</v>
      </c>
      <c r="AA13" t="s">
        <v>1987</v>
      </c>
      <c r="AB13">
        <v>0</v>
      </c>
      <c r="AC13" t="s">
        <v>18</v>
      </c>
    </row>
    <row r="14" spans="1:29" x14ac:dyDescent="0.3">
      <c r="A14" t="s">
        <v>113</v>
      </c>
      <c r="B14" t="s">
        <v>1</v>
      </c>
      <c r="C14">
        <v>0.3</v>
      </c>
      <c r="D14" t="s">
        <v>590</v>
      </c>
      <c r="E14" t="s">
        <v>1979</v>
      </c>
      <c r="F14" t="s">
        <v>4</v>
      </c>
      <c r="G14">
        <v>169</v>
      </c>
      <c r="H14" t="s">
        <v>5</v>
      </c>
      <c r="I14">
        <v>110</v>
      </c>
      <c r="J14" t="s">
        <v>6</v>
      </c>
      <c r="K14">
        <v>-78.849999999999994</v>
      </c>
      <c r="L14" t="s">
        <v>7</v>
      </c>
      <c r="M14">
        <v>-0.46656804733727802</v>
      </c>
      <c r="N14" t="s">
        <v>8</v>
      </c>
      <c r="O14">
        <v>1.1617272727272701</v>
      </c>
      <c r="P14" t="s">
        <v>9</v>
      </c>
      <c r="Q14">
        <v>-3.5023728813559298</v>
      </c>
      <c r="R14" t="s">
        <v>10</v>
      </c>
      <c r="S14">
        <v>0.74910810068452804</v>
      </c>
      <c r="T14" t="s">
        <v>11</v>
      </c>
      <c r="U14" t="s">
        <v>2006</v>
      </c>
      <c r="V14" t="s">
        <v>720</v>
      </c>
      <c r="W14">
        <v>0</v>
      </c>
      <c r="X14" t="s">
        <v>14</v>
      </c>
      <c r="Y14" t="s">
        <v>15</v>
      </c>
      <c r="Z14" t="s">
        <v>2007</v>
      </c>
      <c r="AA14" t="s">
        <v>720</v>
      </c>
      <c r="AB14">
        <v>0</v>
      </c>
      <c r="AC14" t="s">
        <v>18</v>
      </c>
    </row>
    <row r="15" spans="1:29" x14ac:dyDescent="0.3">
      <c r="A15" t="s">
        <v>113</v>
      </c>
      <c r="B15" t="s">
        <v>1</v>
      </c>
      <c r="C15">
        <v>0.3</v>
      </c>
      <c r="D15" t="s">
        <v>590</v>
      </c>
      <c r="E15" t="s">
        <v>1982</v>
      </c>
      <c r="F15" t="s">
        <v>4</v>
      </c>
      <c r="G15">
        <v>169</v>
      </c>
      <c r="H15" t="s">
        <v>5</v>
      </c>
      <c r="I15">
        <v>123</v>
      </c>
      <c r="J15" t="s">
        <v>6</v>
      </c>
      <c r="K15">
        <v>-138.44999999999899</v>
      </c>
      <c r="L15" t="s">
        <v>7</v>
      </c>
      <c r="M15">
        <v>-0.81923076923076898</v>
      </c>
      <c r="N15" t="s">
        <v>8</v>
      </c>
      <c r="O15">
        <v>1.15617886178861</v>
      </c>
      <c r="P15" t="s">
        <v>9</v>
      </c>
      <c r="Q15">
        <v>-6.1013043478260798</v>
      </c>
      <c r="R15" t="s">
        <v>10</v>
      </c>
      <c r="S15">
        <v>1.05594858910135</v>
      </c>
      <c r="T15" t="s">
        <v>11</v>
      </c>
      <c r="U15" t="s">
        <v>1980</v>
      </c>
      <c r="V15" t="s">
        <v>720</v>
      </c>
      <c r="W15">
        <v>0</v>
      </c>
      <c r="X15" t="s">
        <v>14</v>
      </c>
      <c r="Y15" t="s">
        <v>15</v>
      </c>
      <c r="Z15" t="s">
        <v>2008</v>
      </c>
      <c r="AA15" t="s">
        <v>720</v>
      </c>
      <c r="AB15">
        <v>0</v>
      </c>
      <c r="AC15" t="s">
        <v>18</v>
      </c>
    </row>
    <row r="16" spans="1:29" x14ac:dyDescent="0.3">
      <c r="A16" t="s">
        <v>113</v>
      </c>
      <c r="B16" t="s">
        <v>1</v>
      </c>
      <c r="C16">
        <v>0.3</v>
      </c>
      <c r="D16" t="s">
        <v>590</v>
      </c>
      <c r="E16" t="s">
        <v>1985</v>
      </c>
      <c r="F16" t="s">
        <v>4</v>
      </c>
      <c r="G16">
        <v>169</v>
      </c>
      <c r="H16" t="s">
        <v>5</v>
      </c>
      <c r="I16">
        <v>130</v>
      </c>
      <c r="J16" t="s">
        <v>6</v>
      </c>
      <c r="K16">
        <v>-159.44999999999899</v>
      </c>
      <c r="L16" t="s">
        <v>7</v>
      </c>
      <c r="M16">
        <v>-0.94349112426035397</v>
      </c>
      <c r="N16" t="s">
        <v>8</v>
      </c>
      <c r="O16">
        <v>1.1506153846153799</v>
      </c>
      <c r="P16" t="s">
        <v>9</v>
      </c>
      <c r="Q16">
        <v>-7.9238461538461502</v>
      </c>
      <c r="R16" t="s">
        <v>10</v>
      </c>
      <c r="S16">
        <v>1.27774933602653</v>
      </c>
      <c r="T16" t="s">
        <v>11</v>
      </c>
      <c r="U16" t="s">
        <v>1980</v>
      </c>
      <c r="V16" t="s">
        <v>720</v>
      </c>
      <c r="W16">
        <v>0</v>
      </c>
      <c r="X16" t="s">
        <v>14</v>
      </c>
      <c r="Y16" t="s">
        <v>15</v>
      </c>
      <c r="Z16" t="s">
        <v>2009</v>
      </c>
      <c r="AA16" t="s">
        <v>1987</v>
      </c>
      <c r="AB16">
        <v>0</v>
      </c>
      <c r="AC16" t="s">
        <v>18</v>
      </c>
    </row>
    <row r="17" spans="1:29" x14ac:dyDescent="0.3">
      <c r="A17" t="s">
        <v>113</v>
      </c>
      <c r="B17" t="s">
        <v>1</v>
      </c>
      <c r="C17">
        <v>0.3</v>
      </c>
      <c r="D17" t="s">
        <v>590</v>
      </c>
      <c r="E17" t="s">
        <v>1988</v>
      </c>
      <c r="F17" t="s">
        <v>4</v>
      </c>
      <c r="G17">
        <v>169</v>
      </c>
      <c r="H17" t="s">
        <v>5</v>
      </c>
      <c r="I17">
        <v>132</v>
      </c>
      <c r="J17" t="s">
        <v>6</v>
      </c>
      <c r="K17">
        <v>-197.60999999999899</v>
      </c>
      <c r="L17" t="s">
        <v>7</v>
      </c>
      <c r="M17">
        <v>-1.1692899408284001</v>
      </c>
      <c r="N17" t="s">
        <v>8</v>
      </c>
      <c r="O17">
        <v>1.14325757575757</v>
      </c>
      <c r="P17" t="s">
        <v>9</v>
      </c>
      <c r="Q17">
        <v>-9.4194594594594498</v>
      </c>
      <c r="R17" t="s">
        <v>10</v>
      </c>
      <c r="S17">
        <v>1.3552105892855499</v>
      </c>
      <c r="T17" t="s">
        <v>11</v>
      </c>
      <c r="U17" t="s">
        <v>1980</v>
      </c>
      <c r="V17" t="s">
        <v>720</v>
      </c>
      <c r="W17">
        <v>0</v>
      </c>
      <c r="X17" t="s">
        <v>14</v>
      </c>
      <c r="Y17" t="s">
        <v>15</v>
      </c>
      <c r="Z17" t="s">
        <v>2009</v>
      </c>
      <c r="AA17" t="s">
        <v>1987</v>
      </c>
      <c r="AB17">
        <v>0</v>
      </c>
      <c r="AC17" t="s">
        <v>18</v>
      </c>
    </row>
    <row r="18" spans="1:29" x14ac:dyDescent="0.3">
      <c r="A18" t="s">
        <v>113</v>
      </c>
      <c r="B18" t="s">
        <v>1</v>
      </c>
      <c r="C18">
        <v>0.3</v>
      </c>
      <c r="D18" t="s">
        <v>599</v>
      </c>
      <c r="E18" t="s">
        <v>1991</v>
      </c>
      <c r="F18" t="s">
        <v>4</v>
      </c>
      <c r="G18">
        <v>178</v>
      </c>
      <c r="H18" t="s">
        <v>5</v>
      </c>
      <c r="I18">
        <v>112</v>
      </c>
      <c r="J18" t="s">
        <v>6</v>
      </c>
      <c r="K18">
        <v>-106.18</v>
      </c>
      <c r="L18" t="s">
        <v>7</v>
      </c>
      <c r="M18">
        <v>-0.59651685393258402</v>
      </c>
      <c r="N18" t="s">
        <v>8</v>
      </c>
      <c r="O18">
        <v>1.3688392857142799</v>
      </c>
      <c r="P18" t="s">
        <v>9</v>
      </c>
      <c r="Q18">
        <v>-3.93166666666666</v>
      </c>
      <c r="R18" t="s">
        <v>10</v>
      </c>
      <c r="S18">
        <v>0.85864127645640598</v>
      </c>
      <c r="T18" t="s">
        <v>11</v>
      </c>
      <c r="U18" t="s">
        <v>2010</v>
      </c>
      <c r="V18" t="s">
        <v>720</v>
      </c>
      <c r="W18">
        <v>0</v>
      </c>
      <c r="X18" t="s">
        <v>14</v>
      </c>
      <c r="Y18" t="s">
        <v>15</v>
      </c>
      <c r="Z18" t="s">
        <v>2011</v>
      </c>
      <c r="AA18" t="s">
        <v>720</v>
      </c>
      <c r="AB18">
        <v>0</v>
      </c>
      <c r="AC18" t="s">
        <v>18</v>
      </c>
    </row>
    <row r="19" spans="1:29" x14ac:dyDescent="0.3">
      <c r="A19" t="s">
        <v>113</v>
      </c>
      <c r="B19" t="s">
        <v>1</v>
      </c>
      <c r="C19">
        <v>0.3</v>
      </c>
      <c r="D19" t="s">
        <v>599</v>
      </c>
      <c r="E19" t="s">
        <v>1994</v>
      </c>
      <c r="F19" t="s">
        <v>4</v>
      </c>
      <c r="G19">
        <v>178</v>
      </c>
      <c r="H19" t="s">
        <v>5</v>
      </c>
      <c r="I19">
        <v>127</v>
      </c>
      <c r="J19" t="s">
        <v>6</v>
      </c>
      <c r="K19">
        <v>-187.89</v>
      </c>
      <c r="L19" t="s">
        <v>7</v>
      </c>
      <c r="M19">
        <v>-1.0555617977528</v>
      </c>
      <c r="N19" t="s">
        <v>8</v>
      </c>
      <c r="O19">
        <v>1.3669291338582601</v>
      </c>
      <c r="P19" t="s">
        <v>9</v>
      </c>
      <c r="Q19">
        <v>-7.0880392156862699</v>
      </c>
      <c r="R19" t="s">
        <v>10</v>
      </c>
      <c r="S19">
        <v>1.2519370503607901</v>
      </c>
      <c r="T19" t="s">
        <v>11</v>
      </c>
      <c r="U19" t="s">
        <v>2010</v>
      </c>
      <c r="V19" t="s">
        <v>720</v>
      </c>
      <c r="W19">
        <v>0</v>
      </c>
      <c r="X19" t="s">
        <v>14</v>
      </c>
      <c r="Y19" t="s">
        <v>15</v>
      </c>
      <c r="Z19" t="s">
        <v>2012</v>
      </c>
      <c r="AA19" t="s">
        <v>2013</v>
      </c>
      <c r="AB19">
        <v>0</v>
      </c>
      <c r="AC19" t="s">
        <v>18</v>
      </c>
    </row>
    <row r="20" spans="1:29" x14ac:dyDescent="0.3">
      <c r="A20" t="s">
        <v>113</v>
      </c>
      <c r="B20" t="s">
        <v>1</v>
      </c>
      <c r="C20">
        <v>0.3</v>
      </c>
      <c r="D20" t="s">
        <v>599</v>
      </c>
      <c r="E20" t="s">
        <v>1996</v>
      </c>
      <c r="F20" t="s">
        <v>4</v>
      </c>
      <c r="G20">
        <v>178</v>
      </c>
      <c r="H20" t="s">
        <v>5</v>
      </c>
      <c r="I20">
        <v>138</v>
      </c>
      <c r="J20" t="s">
        <v>6</v>
      </c>
      <c r="K20">
        <v>-165.79</v>
      </c>
      <c r="L20" t="s">
        <v>7</v>
      </c>
      <c r="M20">
        <v>-0.931404494382022</v>
      </c>
      <c r="N20" t="s">
        <v>8</v>
      </c>
      <c r="O20">
        <v>1.3828985507246301</v>
      </c>
      <c r="P20" t="s">
        <v>9</v>
      </c>
      <c r="Q20">
        <v>-8.9157499999999903</v>
      </c>
      <c r="R20" t="s">
        <v>10</v>
      </c>
      <c r="S20">
        <v>1.5703584273501501</v>
      </c>
      <c r="T20" t="s">
        <v>11</v>
      </c>
      <c r="U20" t="s">
        <v>2014</v>
      </c>
      <c r="V20" t="s">
        <v>720</v>
      </c>
      <c r="W20">
        <v>0</v>
      </c>
      <c r="X20" t="s">
        <v>14</v>
      </c>
      <c r="Y20" t="s">
        <v>15</v>
      </c>
      <c r="Z20" t="s">
        <v>2015</v>
      </c>
      <c r="AA20" t="s">
        <v>720</v>
      </c>
      <c r="AB20">
        <v>0</v>
      </c>
      <c r="AC20" t="s">
        <v>18</v>
      </c>
    </row>
    <row r="21" spans="1:29" x14ac:dyDescent="0.3">
      <c r="A21" t="s">
        <v>113</v>
      </c>
      <c r="B21" t="s">
        <v>1</v>
      </c>
      <c r="C21">
        <v>0.3</v>
      </c>
      <c r="D21" t="s">
        <v>599</v>
      </c>
      <c r="E21" t="s">
        <v>1997</v>
      </c>
      <c r="F21" t="s">
        <v>4</v>
      </c>
      <c r="G21">
        <v>178</v>
      </c>
      <c r="H21" t="s">
        <v>5</v>
      </c>
      <c r="I21">
        <v>149</v>
      </c>
      <c r="J21" t="s">
        <v>6</v>
      </c>
      <c r="K21">
        <v>-42.449999999999797</v>
      </c>
      <c r="L21" t="s">
        <v>7</v>
      </c>
      <c r="M21">
        <v>-0.238483146067415</v>
      </c>
      <c r="N21" t="s">
        <v>8</v>
      </c>
      <c r="O21">
        <v>1.4295302013422799</v>
      </c>
      <c r="P21" t="s">
        <v>9</v>
      </c>
      <c r="Q21">
        <v>-8.8086206896551698</v>
      </c>
      <c r="R21" t="s">
        <v>10</v>
      </c>
      <c r="S21">
        <v>1.95985841121405</v>
      </c>
      <c r="T21" t="s">
        <v>11</v>
      </c>
      <c r="U21" t="s">
        <v>2014</v>
      </c>
      <c r="V21" t="s">
        <v>720</v>
      </c>
      <c r="W21">
        <v>0</v>
      </c>
      <c r="X21" t="s">
        <v>14</v>
      </c>
      <c r="Y21" t="s">
        <v>15</v>
      </c>
      <c r="Z21" t="s">
        <v>2015</v>
      </c>
      <c r="AA21" t="s">
        <v>720</v>
      </c>
      <c r="AB21">
        <v>0</v>
      </c>
      <c r="AC21" t="s">
        <v>18</v>
      </c>
    </row>
    <row r="22" spans="1:29" x14ac:dyDescent="0.3">
      <c r="A22" t="s">
        <v>113</v>
      </c>
      <c r="B22" t="s">
        <v>1</v>
      </c>
      <c r="C22">
        <v>0.3</v>
      </c>
      <c r="D22" t="s">
        <v>1998</v>
      </c>
      <c r="E22" t="s">
        <v>1999</v>
      </c>
      <c r="F22" t="s">
        <v>4</v>
      </c>
      <c r="G22">
        <v>167</v>
      </c>
      <c r="H22" t="s">
        <v>5</v>
      </c>
      <c r="I22">
        <v>110</v>
      </c>
      <c r="J22" t="s">
        <v>6</v>
      </c>
      <c r="K22">
        <v>-52.175957204986602</v>
      </c>
      <c r="L22" t="s">
        <v>7</v>
      </c>
      <c r="M22">
        <v>-0.312430881466985</v>
      </c>
      <c r="N22" t="s">
        <v>8</v>
      </c>
      <c r="O22">
        <v>1.7015257690215</v>
      </c>
      <c r="P22" t="s">
        <v>9</v>
      </c>
      <c r="Q22">
        <v>-4.1990138911816199</v>
      </c>
      <c r="R22" t="s">
        <v>10</v>
      </c>
      <c r="S22">
        <v>0.77437695876516499</v>
      </c>
      <c r="T22" t="s">
        <v>11</v>
      </c>
      <c r="U22" t="s">
        <v>2016</v>
      </c>
      <c r="V22" t="s">
        <v>595</v>
      </c>
      <c r="W22">
        <v>0</v>
      </c>
      <c r="X22" t="s">
        <v>14</v>
      </c>
      <c r="Y22" t="s">
        <v>15</v>
      </c>
      <c r="Z22" t="s">
        <v>2017</v>
      </c>
      <c r="AA22" t="s">
        <v>595</v>
      </c>
      <c r="AB22">
        <v>0</v>
      </c>
      <c r="AC22" t="s">
        <v>18</v>
      </c>
    </row>
    <row r="23" spans="1:29" x14ac:dyDescent="0.3">
      <c r="A23" t="s">
        <v>113</v>
      </c>
      <c r="B23" t="s">
        <v>1</v>
      </c>
      <c r="C23">
        <v>0.3</v>
      </c>
      <c r="D23" t="s">
        <v>1998</v>
      </c>
      <c r="E23" t="s">
        <v>2002</v>
      </c>
      <c r="F23" t="s">
        <v>4</v>
      </c>
      <c r="G23">
        <v>167</v>
      </c>
      <c r="H23" t="s">
        <v>5</v>
      </c>
      <c r="I23">
        <v>128</v>
      </c>
      <c r="J23" t="s">
        <v>6</v>
      </c>
      <c r="K23">
        <v>-100.09272305875</v>
      </c>
      <c r="L23" t="s">
        <v>7</v>
      </c>
      <c r="M23">
        <v>-0.59935762310629004</v>
      </c>
      <c r="N23" t="s">
        <v>8</v>
      </c>
      <c r="O23">
        <v>1.72423561442879</v>
      </c>
      <c r="P23" t="s">
        <v>9</v>
      </c>
      <c r="Q23">
        <v>-8.2255097873239897</v>
      </c>
      <c r="R23" t="s">
        <v>10</v>
      </c>
      <c r="S23">
        <v>1.1093352617008301</v>
      </c>
      <c r="T23" t="s">
        <v>11</v>
      </c>
      <c r="U23" t="s">
        <v>2016</v>
      </c>
      <c r="V23" t="s">
        <v>595</v>
      </c>
      <c r="W23">
        <v>0</v>
      </c>
      <c r="X23" t="s">
        <v>14</v>
      </c>
      <c r="Y23" t="s">
        <v>15</v>
      </c>
      <c r="Z23" t="s">
        <v>2018</v>
      </c>
      <c r="AA23" t="s">
        <v>1987</v>
      </c>
      <c r="AB23">
        <v>0</v>
      </c>
      <c r="AC23" t="s">
        <v>18</v>
      </c>
    </row>
    <row r="24" spans="1:29" x14ac:dyDescent="0.3">
      <c r="A24" t="s">
        <v>113</v>
      </c>
      <c r="B24" t="s">
        <v>1</v>
      </c>
      <c r="C24">
        <v>0.3</v>
      </c>
      <c r="D24" t="s">
        <v>1998</v>
      </c>
      <c r="E24" t="s">
        <v>2004</v>
      </c>
      <c r="F24" t="s">
        <v>4</v>
      </c>
      <c r="G24">
        <v>167</v>
      </c>
      <c r="H24" t="s">
        <v>5</v>
      </c>
      <c r="I24">
        <v>136</v>
      </c>
      <c r="J24" t="s">
        <v>6</v>
      </c>
      <c r="K24">
        <v>-42.4937184823116</v>
      </c>
      <c r="L24" t="s">
        <v>7</v>
      </c>
      <c r="M24">
        <v>-0.254453404085698</v>
      </c>
      <c r="N24" t="s">
        <v>8</v>
      </c>
      <c r="O24">
        <v>1.7732814817477001</v>
      </c>
      <c r="P24" t="s">
        <v>9</v>
      </c>
      <c r="Q24">
        <v>-9.1503225806451507</v>
      </c>
      <c r="R24" t="s">
        <v>10</v>
      </c>
      <c r="S24">
        <v>1.50178649521778</v>
      </c>
      <c r="T24" t="s">
        <v>11</v>
      </c>
      <c r="U24" t="s">
        <v>2014</v>
      </c>
      <c r="V24" t="s">
        <v>720</v>
      </c>
      <c r="W24">
        <v>0</v>
      </c>
      <c r="X24" t="s">
        <v>14</v>
      </c>
      <c r="Y24" t="s">
        <v>15</v>
      </c>
      <c r="Z24" t="s">
        <v>2018</v>
      </c>
      <c r="AA24" t="s">
        <v>1987</v>
      </c>
      <c r="AB24">
        <v>0</v>
      </c>
      <c r="AC24" t="s">
        <v>18</v>
      </c>
    </row>
    <row r="25" spans="1:29" x14ac:dyDescent="0.3">
      <c r="A25" t="s">
        <v>113</v>
      </c>
      <c r="B25" t="s">
        <v>1</v>
      </c>
      <c r="C25">
        <v>0.3</v>
      </c>
      <c r="D25" t="s">
        <v>1998</v>
      </c>
      <c r="E25" t="s">
        <v>2005</v>
      </c>
      <c r="F25" t="s">
        <v>4</v>
      </c>
      <c r="G25">
        <v>167</v>
      </c>
      <c r="H25" t="s">
        <v>5</v>
      </c>
      <c r="I25">
        <v>139</v>
      </c>
      <c r="J25" t="s">
        <v>6</v>
      </c>
      <c r="K25">
        <v>-46.343718482311601</v>
      </c>
      <c r="L25" t="s">
        <v>7</v>
      </c>
      <c r="M25">
        <v>-0.27750729630126703</v>
      </c>
      <c r="N25" t="s">
        <v>8</v>
      </c>
      <c r="O25">
        <v>1.7760164137963099</v>
      </c>
      <c r="P25" t="s">
        <v>9</v>
      </c>
      <c r="Q25">
        <v>-10.4717857142857</v>
      </c>
      <c r="R25" t="s">
        <v>10</v>
      </c>
      <c r="S25">
        <v>1.59413213354926</v>
      </c>
      <c r="T25" t="s">
        <v>11</v>
      </c>
      <c r="U25" t="s">
        <v>2014</v>
      </c>
      <c r="V25" t="s">
        <v>720</v>
      </c>
      <c r="W25">
        <v>0</v>
      </c>
      <c r="X25" t="s">
        <v>14</v>
      </c>
      <c r="Y25" t="s">
        <v>15</v>
      </c>
      <c r="Z25" t="s">
        <v>2018</v>
      </c>
      <c r="AA25" t="s">
        <v>1987</v>
      </c>
      <c r="AB25">
        <v>0</v>
      </c>
      <c r="AC25" t="s">
        <v>18</v>
      </c>
    </row>
    <row r="26" spans="1:29" x14ac:dyDescent="0.3">
      <c r="A26" t="s">
        <v>113</v>
      </c>
      <c r="B26" t="s">
        <v>1</v>
      </c>
      <c r="C26">
        <v>0.2</v>
      </c>
      <c r="D26" t="s">
        <v>590</v>
      </c>
      <c r="E26" t="s">
        <v>1979</v>
      </c>
      <c r="F26" t="s">
        <v>4</v>
      </c>
      <c r="G26">
        <v>169</v>
      </c>
      <c r="H26" t="s">
        <v>5</v>
      </c>
      <c r="I26">
        <v>113</v>
      </c>
      <c r="J26" t="s">
        <v>6</v>
      </c>
      <c r="K26">
        <v>-56.091714564910099</v>
      </c>
      <c r="L26" t="s">
        <v>7</v>
      </c>
      <c r="M26">
        <v>-0.33190363647875798</v>
      </c>
      <c r="N26" t="s">
        <v>8</v>
      </c>
      <c r="O26">
        <v>0.68086978261141495</v>
      </c>
      <c r="P26" t="s">
        <v>9</v>
      </c>
      <c r="Q26">
        <v>-2.3755357142857099</v>
      </c>
      <c r="R26" t="s">
        <v>10</v>
      </c>
      <c r="S26">
        <v>0.53687245880993395</v>
      </c>
      <c r="T26" t="s">
        <v>11</v>
      </c>
      <c r="U26" t="s">
        <v>2019</v>
      </c>
      <c r="V26" t="s">
        <v>720</v>
      </c>
      <c r="W26">
        <v>0</v>
      </c>
      <c r="X26" t="s">
        <v>14</v>
      </c>
      <c r="Y26" t="s">
        <v>15</v>
      </c>
      <c r="Z26" t="s">
        <v>2020</v>
      </c>
      <c r="AA26" t="s">
        <v>720</v>
      </c>
      <c r="AB26">
        <v>0</v>
      </c>
      <c r="AC26" t="s">
        <v>18</v>
      </c>
    </row>
    <row r="27" spans="1:29" x14ac:dyDescent="0.3">
      <c r="A27" t="s">
        <v>113</v>
      </c>
      <c r="B27" t="s">
        <v>1</v>
      </c>
      <c r="C27">
        <v>0.2</v>
      </c>
      <c r="D27" t="s">
        <v>590</v>
      </c>
      <c r="E27" t="s">
        <v>1982</v>
      </c>
      <c r="F27" t="s">
        <v>4</v>
      </c>
      <c r="G27">
        <v>169</v>
      </c>
      <c r="H27" t="s">
        <v>5</v>
      </c>
      <c r="I27">
        <v>127</v>
      </c>
      <c r="J27" t="s">
        <v>6</v>
      </c>
      <c r="K27">
        <v>-75.771714564910098</v>
      </c>
      <c r="L27" t="s">
        <v>7</v>
      </c>
      <c r="M27">
        <v>-0.44835334062076898</v>
      </c>
      <c r="N27" t="s">
        <v>8</v>
      </c>
      <c r="O27">
        <v>0.67675815303220299</v>
      </c>
      <c r="P27" t="s">
        <v>9</v>
      </c>
      <c r="Q27">
        <v>-3.8504761904761899</v>
      </c>
      <c r="R27" t="s">
        <v>10</v>
      </c>
      <c r="S27">
        <v>0.72840765902103199</v>
      </c>
      <c r="T27" t="s">
        <v>11</v>
      </c>
      <c r="U27" t="s">
        <v>2021</v>
      </c>
      <c r="V27" t="s">
        <v>720</v>
      </c>
      <c r="W27">
        <v>0</v>
      </c>
      <c r="X27" t="s">
        <v>14</v>
      </c>
      <c r="Y27" t="s">
        <v>15</v>
      </c>
      <c r="Z27" t="s">
        <v>2022</v>
      </c>
      <c r="AA27" t="s">
        <v>720</v>
      </c>
      <c r="AB27">
        <v>0</v>
      </c>
      <c r="AC27" t="s">
        <v>18</v>
      </c>
    </row>
    <row r="28" spans="1:29" x14ac:dyDescent="0.3">
      <c r="A28" t="s">
        <v>113</v>
      </c>
      <c r="B28" t="s">
        <v>1</v>
      </c>
      <c r="C28">
        <v>0.2</v>
      </c>
      <c r="D28" t="s">
        <v>590</v>
      </c>
      <c r="E28" t="s">
        <v>1985</v>
      </c>
      <c r="F28" t="s">
        <v>4</v>
      </c>
      <c r="G28">
        <v>169</v>
      </c>
      <c r="H28" t="s">
        <v>5</v>
      </c>
      <c r="I28">
        <v>134</v>
      </c>
      <c r="J28" t="s">
        <v>6</v>
      </c>
      <c r="K28">
        <v>-105.11171456491</v>
      </c>
      <c r="L28" t="s">
        <v>7</v>
      </c>
      <c r="M28">
        <v>-0.62196280807639004</v>
      </c>
      <c r="N28" t="s">
        <v>8</v>
      </c>
      <c r="O28">
        <v>0.67782302563499897</v>
      </c>
      <c r="P28" t="s">
        <v>9</v>
      </c>
      <c r="Q28">
        <v>-5.5982857142857103</v>
      </c>
      <c r="R28" t="s">
        <v>10</v>
      </c>
      <c r="S28">
        <v>0.87284794242217401</v>
      </c>
      <c r="T28" t="s">
        <v>11</v>
      </c>
      <c r="U28" t="s">
        <v>2021</v>
      </c>
      <c r="V28" t="s">
        <v>720</v>
      </c>
      <c r="W28">
        <v>0</v>
      </c>
      <c r="X28" t="s">
        <v>14</v>
      </c>
      <c r="Y28" t="s">
        <v>15</v>
      </c>
      <c r="Z28" t="s">
        <v>2022</v>
      </c>
      <c r="AA28" t="s">
        <v>720</v>
      </c>
      <c r="AB28">
        <v>0</v>
      </c>
      <c r="AC28" t="s">
        <v>18</v>
      </c>
    </row>
    <row r="29" spans="1:29" x14ac:dyDescent="0.3">
      <c r="A29" t="s">
        <v>113</v>
      </c>
      <c r="B29" t="s">
        <v>1</v>
      </c>
      <c r="C29">
        <v>0.2</v>
      </c>
      <c r="D29" t="s">
        <v>590</v>
      </c>
      <c r="E29" t="s">
        <v>1988</v>
      </c>
      <c r="F29" t="s">
        <v>4</v>
      </c>
      <c r="G29">
        <v>169</v>
      </c>
      <c r="H29" t="s">
        <v>5</v>
      </c>
      <c r="I29">
        <v>139</v>
      </c>
      <c r="J29" t="s">
        <v>6</v>
      </c>
      <c r="K29">
        <v>-120.63171456491</v>
      </c>
      <c r="L29" t="s">
        <v>7</v>
      </c>
      <c r="M29">
        <v>-0.71379712760301794</v>
      </c>
      <c r="N29" t="s">
        <v>8</v>
      </c>
      <c r="O29">
        <v>0.67934018298625798</v>
      </c>
      <c r="P29" t="s">
        <v>9</v>
      </c>
      <c r="Q29">
        <v>-7.1686666666666596</v>
      </c>
      <c r="R29" t="s">
        <v>10</v>
      </c>
      <c r="S29">
        <v>0.950660063529149</v>
      </c>
      <c r="T29" t="s">
        <v>11</v>
      </c>
      <c r="U29" t="s">
        <v>2021</v>
      </c>
      <c r="V29" t="s">
        <v>720</v>
      </c>
      <c r="W29">
        <v>0</v>
      </c>
      <c r="X29" t="s">
        <v>14</v>
      </c>
      <c r="Y29" t="s">
        <v>15</v>
      </c>
      <c r="Z29" t="s">
        <v>2022</v>
      </c>
      <c r="AA29" t="s">
        <v>720</v>
      </c>
      <c r="AB29">
        <v>0</v>
      </c>
      <c r="AC29" t="s">
        <v>18</v>
      </c>
    </row>
    <row r="30" spans="1:29" x14ac:dyDescent="0.3">
      <c r="A30" t="s">
        <v>113</v>
      </c>
      <c r="B30" t="s">
        <v>1</v>
      </c>
      <c r="C30">
        <v>0.2</v>
      </c>
      <c r="D30" t="s">
        <v>599</v>
      </c>
      <c r="E30" t="s">
        <v>1991</v>
      </c>
      <c r="F30" t="s">
        <v>4</v>
      </c>
      <c r="G30">
        <v>178</v>
      </c>
      <c r="H30" t="s">
        <v>5</v>
      </c>
      <c r="I30">
        <v>112</v>
      </c>
      <c r="J30" t="s">
        <v>6</v>
      </c>
      <c r="K30">
        <v>-76.647517722308606</v>
      </c>
      <c r="L30" t="s">
        <v>7</v>
      </c>
      <c r="M30">
        <v>-0.43060403214780102</v>
      </c>
      <c r="N30" t="s">
        <v>8</v>
      </c>
      <c r="O30">
        <v>0.78359359176510102</v>
      </c>
      <c r="P30" t="s">
        <v>9</v>
      </c>
      <c r="Q30">
        <v>-2.4910606060606</v>
      </c>
      <c r="R30" t="s">
        <v>10</v>
      </c>
      <c r="S30">
        <v>0.57898071680948904</v>
      </c>
      <c r="T30" t="s">
        <v>11</v>
      </c>
      <c r="U30" t="s">
        <v>2023</v>
      </c>
      <c r="V30" t="s">
        <v>720</v>
      </c>
      <c r="W30">
        <v>0</v>
      </c>
      <c r="X30" t="s">
        <v>14</v>
      </c>
      <c r="Y30" t="s">
        <v>15</v>
      </c>
      <c r="Z30" t="s">
        <v>2024</v>
      </c>
      <c r="AA30" t="s">
        <v>720</v>
      </c>
      <c r="AB30">
        <v>0</v>
      </c>
      <c r="AC30" t="s">
        <v>18</v>
      </c>
    </row>
    <row r="31" spans="1:29" x14ac:dyDescent="0.3">
      <c r="A31" t="s">
        <v>113</v>
      </c>
      <c r="B31" t="s">
        <v>1</v>
      </c>
      <c r="C31">
        <v>0.2</v>
      </c>
      <c r="D31" t="s">
        <v>599</v>
      </c>
      <c r="E31" t="s">
        <v>1994</v>
      </c>
      <c r="F31" t="s">
        <v>4</v>
      </c>
      <c r="G31">
        <v>178</v>
      </c>
      <c r="H31" t="s">
        <v>5</v>
      </c>
      <c r="I31">
        <v>126</v>
      </c>
      <c r="J31" t="s">
        <v>6</v>
      </c>
      <c r="K31">
        <v>-123.08751772230799</v>
      </c>
      <c r="L31" t="s">
        <v>7</v>
      </c>
      <c r="M31">
        <v>-0.69150290855229501</v>
      </c>
      <c r="N31" t="s">
        <v>8</v>
      </c>
      <c r="O31">
        <v>0.78263874823564505</v>
      </c>
      <c r="P31" t="s">
        <v>9</v>
      </c>
      <c r="Q31">
        <v>-4.26346153846153</v>
      </c>
      <c r="R31" t="s">
        <v>10</v>
      </c>
      <c r="S31">
        <v>0.765365576477398</v>
      </c>
      <c r="T31" t="s">
        <v>11</v>
      </c>
      <c r="U31" t="s">
        <v>2023</v>
      </c>
      <c r="V31" t="s">
        <v>720</v>
      </c>
      <c r="W31">
        <v>0</v>
      </c>
      <c r="X31" t="s">
        <v>14</v>
      </c>
      <c r="Y31" t="s">
        <v>15</v>
      </c>
      <c r="Z31" t="s">
        <v>2024</v>
      </c>
      <c r="AA31" t="s">
        <v>720</v>
      </c>
      <c r="AB31">
        <v>0</v>
      </c>
      <c r="AC31" t="s">
        <v>18</v>
      </c>
    </row>
    <row r="32" spans="1:29" x14ac:dyDescent="0.3">
      <c r="A32" t="s">
        <v>113</v>
      </c>
      <c r="B32" t="s">
        <v>1</v>
      </c>
      <c r="C32">
        <v>0.2</v>
      </c>
      <c r="D32" t="s">
        <v>599</v>
      </c>
      <c r="E32" t="s">
        <v>1996</v>
      </c>
      <c r="F32" t="s">
        <v>4</v>
      </c>
      <c r="G32">
        <v>178</v>
      </c>
      <c r="H32" t="s">
        <v>5</v>
      </c>
      <c r="I32">
        <v>136</v>
      </c>
      <c r="J32" t="s">
        <v>6</v>
      </c>
      <c r="K32">
        <v>-155.88751772230799</v>
      </c>
      <c r="L32" t="s">
        <v>7</v>
      </c>
      <c r="M32">
        <v>-0.87577257147364396</v>
      </c>
      <c r="N32" t="s">
        <v>8</v>
      </c>
      <c r="O32">
        <v>0.788694722630083</v>
      </c>
      <c r="P32" t="s">
        <v>9</v>
      </c>
      <c r="Q32">
        <v>-6.26547619047619</v>
      </c>
      <c r="R32" t="s">
        <v>10</v>
      </c>
      <c r="S32">
        <v>1.03178087765939</v>
      </c>
      <c r="T32" t="s">
        <v>11</v>
      </c>
      <c r="U32" t="s">
        <v>2025</v>
      </c>
      <c r="V32" t="s">
        <v>720</v>
      </c>
      <c r="W32">
        <v>0</v>
      </c>
      <c r="X32" t="s">
        <v>14</v>
      </c>
      <c r="Y32" t="s">
        <v>15</v>
      </c>
      <c r="Z32" t="s">
        <v>2026</v>
      </c>
      <c r="AA32" t="s">
        <v>720</v>
      </c>
      <c r="AB32">
        <v>0</v>
      </c>
      <c r="AC32" t="s">
        <v>18</v>
      </c>
    </row>
    <row r="33" spans="1:29" x14ac:dyDescent="0.3">
      <c r="A33" t="s">
        <v>113</v>
      </c>
      <c r="B33" t="s">
        <v>1</v>
      </c>
      <c r="C33">
        <v>0.2</v>
      </c>
      <c r="D33" t="s">
        <v>599</v>
      </c>
      <c r="E33" t="s">
        <v>1997</v>
      </c>
      <c r="F33" t="s">
        <v>4</v>
      </c>
      <c r="G33">
        <v>178</v>
      </c>
      <c r="H33" t="s">
        <v>5</v>
      </c>
      <c r="I33">
        <v>145</v>
      </c>
      <c r="J33" t="s">
        <v>6</v>
      </c>
      <c r="K33">
        <v>-132.64751772230801</v>
      </c>
      <c r="L33" t="s">
        <v>7</v>
      </c>
      <c r="M33">
        <v>-0.745210773720834</v>
      </c>
      <c r="N33" t="s">
        <v>8</v>
      </c>
      <c r="O33">
        <v>0.81070677432890603</v>
      </c>
      <c r="P33" t="s">
        <v>9</v>
      </c>
      <c r="Q33">
        <v>-7.5818181818181802</v>
      </c>
      <c r="R33" t="s">
        <v>10</v>
      </c>
      <c r="S33">
        <v>1.14600272876956</v>
      </c>
      <c r="T33" t="s">
        <v>11</v>
      </c>
      <c r="U33" t="s">
        <v>2025</v>
      </c>
      <c r="V33" t="s">
        <v>720</v>
      </c>
      <c r="W33">
        <v>0</v>
      </c>
      <c r="X33" t="s">
        <v>14</v>
      </c>
      <c r="Y33" t="s">
        <v>15</v>
      </c>
      <c r="Z33" t="s">
        <v>2026</v>
      </c>
      <c r="AA33" t="s">
        <v>720</v>
      </c>
      <c r="AB33">
        <v>0</v>
      </c>
      <c r="AC33" t="s">
        <v>18</v>
      </c>
    </row>
    <row r="34" spans="1:29" x14ac:dyDescent="0.3">
      <c r="A34" t="s">
        <v>113</v>
      </c>
      <c r="B34" t="s">
        <v>1</v>
      </c>
      <c r="C34">
        <v>0.2</v>
      </c>
      <c r="D34" t="s">
        <v>1998</v>
      </c>
      <c r="E34" t="s">
        <v>1999</v>
      </c>
      <c r="F34" t="s">
        <v>4</v>
      </c>
      <c r="G34">
        <v>167</v>
      </c>
      <c r="H34" t="s">
        <v>5</v>
      </c>
      <c r="I34">
        <v>111</v>
      </c>
      <c r="J34" t="s">
        <v>6</v>
      </c>
      <c r="K34">
        <v>-49.197642698137003</v>
      </c>
      <c r="L34" t="s">
        <v>7</v>
      </c>
      <c r="M34">
        <v>-0.29459666286309599</v>
      </c>
      <c r="N34" t="s">
        <v>8</v>
      </c>
      <c r="O34">
        <v>1.01963961265778</v>
      </c>
      <c r="P34" t="s">
        <v>9</v>
      </c>
      <c r="Q34">
        <v>-2.8996007089848401</v>
      </c>
      <c r="R34" t="s">
        <v>10</v>
      </c>
      <c r="S34">
        <v>0.54279363928956303</v>
      </c>
      <c r="T34" t="s">
        <v>11</v>
      </c>
      <c r="U34" t="s">
        <v>2027</v>
      </c>
      <c r="V34" t="s">
        <v>595</v>
      </c>
      <c r="W34">
        <v>0</v>
      </c>
      <c r="X34" t="s">
        <v>14</v>
      </c>
      <c r="Y34" t="s">
        <v>15</v>
      </c>
      <c r="Z34" t="s">
        <v>2028</v>
      </c>
      <c r="AA34" t="s">
        <v>720</v>
      </c>
      <c r="AB34">
        <v>0</v>
      </c>
      <c r="AC34" t="s">
        <v>18</v>
      </c>
    </row>
    <row r="35" spans="1:29" x14ac:dyDescent="0.3">
      <c r="A35" t="s">
        <v>113</v>
      </c>
      <c r="B35" t="s">
        <v>1</v>
      </c>
      <c r="C35">
        <v>0.2</v>
      </c>
      <c r="D35" t="s">
        <v>1998</v>
      </c>
      <c r="E35" t="s">
        <v>2002</v>
      </c>
      <c r="F35" t="s">
        <v>4</v>
      </c>
      <c r="G35">
        <v>167</v>
      </c>
      <c r="H35" t="s">
        <v>5</v>
      </c>
      <c r="I35">
        <v>126</v>
      </c>
      <c r="J35" t="s">
        <v>6</v>
      </c>
      <c r="K35">
        <v>-68.262002013895398</v>
      </c>
      <c r="L35" t="s">
        <v>7</v>
      </c>
      <c r="M35">
        <v>-0.408754503077217</v>
      </c>
      <c r="N35" t="s">
        <v>8</v>
      </c>
      <c r="O35">
        <v>1.0199707418650401</v>
      </c>
      <c r="P35" t="s">
        <v>9</v>
      </c>
      <c r="Q35">
        <v>-4.7994711094851397</v>
      </c>
      <c r="R35" t="s">
        <v>10</v>
      </c>
      <c r="S35">
        <v>0.68459138002687803</v>
      </c>
      <c r="T35" t="s">
        <v>11</v>
      </c>
      <c r="U35" t="s">
        <v>2027</v>
      </c>
      <c r="V35" t="s">
        <v>595</v>
      </c>
      <c r="W35">
        <v>0</v>
      </c>
      <c r="X35" t="s">
        <v>14</v>
      </c>
      <c r="Y35" t="s">
        <v>15</v>
      </c>
      <c r="Z35" t="s">
        <v>2028</v>
      </c>
      <c r="AA35" t="s">
        <v>720</v>
      </c>
      <c r="AB35">
        <v>0</v>
      </c>
      <c r="AC35" t="s">
        <v>18</v>
      </c>
    </row>
    <row r="36" spans="1:29" x14ac:dyDescent="0.3">
      <c r="A36" t="s">
        <v>113</v>
      </c>
      <c r="B36" t="s">
        <v>1</v>
      </c>
      <c r="C36">
        <v>0.2</v>
      </c>
      <c r="D36" t="s">
        <v>1998</v>
      </c>
      <c r="E36" t="s">
        <v>2004</v>
      </c>
      <c r="F36" t="s">
        <v>4</v>
      </c>
      <c r="G36">
        <v>167</v>
      </c>
      <c r="H36" t="s">
        <v>5</v>
      </c>
      <c r="I36">
        <v>133</v>
      </c>
      <c r="J36" t="s">
        <v>6</v>
      </c>
      <c r="K36">
        <v>-101.25648860143301</v>
      </c>
      <c r="L36" t="s">
        <v>7</v>
      </c>
      <c r="M36">
        <v>-0.60632627905049796</v>
      </c>
      <c r="N36" t="s">
        <v>8</v>
      </c>
      <c r="O36">
        <v>1.0317767930450701</v>
      </c>
      <c r="P36" t="s">
        <v>9</v>
      </c>
      <c r="Q36">
        <v>-7.0142000610714303</v>
      </c>
      <c r="R36" t="s">
        <v>10</v>
      </c>
      <c r="S36">
        <v>0.91550415601851798</v>
      </c>
      <c r="T36" t="s">
        <v>11</v>
      </c>
      <c r="U36" t="s">
        <v>2025</v>
      </c>
      <c r="V36" t="s">
        <v>720</v>
      </c>
      <c r="W36">
        <v>0</v>
      </c>
      <c r="X36" t="s">
        <v>14</v>
      </c>
      <c r="Y36" t="s">
        <v>15</v>
      </c>
      <c r="Z36" t="s">
        <v>2029</v>
      </c>
      <c r="AA36" t="s">
        <v>1987</v>
      </c>
      <c r="AB36">
        <v>0</v>
      </c>
      <c r="AC36" t="s">
        <v>18</v>
      </c>
    </row>
    <row r="37" spans="1:29" x14ac:dyDescent="0.3">
      <c r="A37" t="s">
        <v>113</v>
      </c>
      <c r="B37" t="s">
        <v>1</v>
      </c>
      <c r="C37">
        <v>0.2</v>
      </c>
      <c r="D37" t="s">
        <v>1998</v>
      </c>
      <c r="E37" t="s">
        <v>2005</v>
      </c>
      <c r="F37" t="s">
        <v>4</v>
      </c>
      <c r="G37">
        <v>167</v>
      </c>
      <c r="H37" t="s">
        <v>5</v>
      </c>
      <c r="I37">
        <v>142</v>
      </c>
      <c r="J37" t="s">
        <v>6</v>
      </c>
      <c r="K37">
        <v>-62.437642698136997</v>
      </c>
      <c r="L37" t="s">
        <v>7</v>
      </c>
      <c r="M37">
        <v>-0.37387809998884403</v>
      </c>
      <c r="N37" t="s">
        <v>8</v>
      </c>
      <c r="O37">
        <v>1.04449827792207</v>
      </c>
      <c r="P37" t="s">
        <v>9</v>
      </c>
      <c r="Q37">
        <v>-8.4302559265228698</v>
      </c>
      <c r="R37" t="s">
        <v>10</v>
      </c>
      <c r="S37">
        <v>1.10908554788326</v>
      </c>
      <c r="T37" t="s">
        <v>11</v>
      </c>
      <c r="U37" t="s">
        <v>2025</v>
      </c>
      <c r="V37" t="s">
        <v>720</v>
      </c>
      <c r="W37">
        <v>0</v>
      </c>
      <c r="X37" t="s">
        <v>14</v>
      </c>
      <c r="Y37" t="s">
        <v>15</v>
      </c>
      <c r="Z37" t="s">
        <v>2029</v>
      </c>
      <c r="AA37" t="s">
        <v>1987</v>
      </c>
      <c r="AB37">
        <v>0</v>
      </c>
      <c r="AC37" t="s">
        <v>18</v>
      </c>
    </row>
    <row r="38" spans="1:29" x14ac:dyDescent="0.3">
      <c r="A38" t="s">
        <v>113</v>
      </c>
      <c r="B38" t="s">
        <v>1</v>
      </c>
      <c r="C38">
        <v>0.1</v>
      </c>
      <c r="D38" t="s">
        <v>590</v>
      </c>
      <c r="E38" t="s">
        <v>1979</v>
      </c>
      <c r="F38" t="s">
        <v>4</v>
      </c>
      <c r="G38">
        <v>169</v>
      </c>
      <c r="H38" t="s">
        <v>5</v>
      </c>
      <c r="I38">
        <v>115</v>
      </c>
      <c r="J38" t="s">
        <v>6</v>
      </c>
      <c r="K38">
        <v>-38.856462632339003</v>
      </c>
      <c r="L38" t="s">
        <v>7</v>
      </c>
      <c r="M38">
        <v>-0.22991989723277501</v>
      </c>
      <c r="N38" t="s">
        <v>8</v>
      </c>
      <c r="O38">
        <v>0.29214478188061699</v>
      </c>
      <c r="P38" t="s">
        <v>9</v>
      </c>
      <c r="Q38">
        <v>-1.34172430645574</v>
      </c>
      <c r="R38" t="s">
        <v>10</v>
      </c>
      <c r="S38">
        <v>0.33240661473633498</v>
      </c>
      <c r="T38" t="s">
        <v>11</v>
      </c>
      <c r="U38" t="s">
        <v>2030</v>
      </c>
      <c r="V38" t="s">
        <v>720</v>
      </c>
      <c r="W38">
        <v>0</v>
      </c>
      <c r="X38" t="s">
        <v>14</v>
      </c>
      <c r="Y38" t="s">
        <v>15</v>
      </c>
      <c r="Z38" t="s">
        <v>2031</v>
      </c>
      <c r="AA38" t="s">
        <v>720</v>
      </c>
      <c r="AB38">
        <v>0</v>
      </c>
      <c r="AC38" t="s">
        <v>18</v>
      </c>
    </row>
    <row r="39" spans="1:29" x14ac:dyDescent="0.3">
      <c r="A39" t="s">
        <v>113</v>
      </c>
      <c r="B39" t="s">
        <v>1</v>
      </c>
      <c r="C39">
        <v>0.1</v>
      </c>
      <c r="D39" t="s">
        <v>590</v>
      </c>
      <c r="E39" t="s">
        <v>1982</v>
      </c>
      <c r="F39" t="s">
        <v>4</v>
      </c>
      <c r="G39">
        <v>169</v>
      </c>
      <c r="H39" t="s">
        <v>5</v>
      </c>
      <c r="I39">
        <v>129</v>
      </c>
      <c r="J39" t="s">
        <v>6</v>
      </c>
      <c r="K39">
        <v>-48.816226630576097</v>
      </c>
      <c r="L39" t="s">
        <v>7</v>
      </c>
      <c r="M39">
        <v>-0.28885341201524301</v>
      </c>
      <c r="N39" t="s">
        <v>8</v>
      </c>
      <c r="O39">
        <v>0.29561064627460298</v>
      </c>
      <c r="P39" t="s">
        <v>9</v>
      </c>
      <c r="Q39">
        <v>-2.1737499999999899</v>
      </c>
      <c r="R39" t="s">
        <v>10</v>
      </c>
      <c r="S39">
        <v>0.48203692038406398</v>
      </c>
      <c r="T39" t="s">
        <v>11</v>
      </c>
      <c r="U39" t="s">
        <v>2032</v>
      </c>
      <c r="V39" t="s">
        <v>720</v>
      </c>
      <c r="W39">
        <v>0</v>
      </c>
      <c r="X39" t="s">
        <v>14</v>
      </c>
      <c r="Y39" t="s">
        <v>15</v>
      </c>
      <c r="Z39" t="s">
        <v>2033</v>
      </c>
      <c r="AA39" t="s">
        <v>720</v>
      </c>
      <c r="AB39">
        <v>0</v>
      </c>
      <c r="AC39" t="s">
        <v>18</v>
      </c>
    </row>
    <row r="40" spans="1:29" x14ac:dyDescent="0.3">
      <c r="A40" t="s">
        <v>113</v>
      </c>
      <c r="B40" t="s">
        <v>1</v>
      </c>
      <c r="C40">
        <v>0.1</v>
      </c>
      <c r="D40" t="s">
        <v>590</v>
      </c>
      <c r="E40" t="s">
        <v>1985</v>
      </c>
      <c r="F40" t="s">
        <v>4</v>
      </c>
      <c r="G40">
        <v>169</v>
      </c>
      <c r="H40" t="s">
        <v>5</v>
      </c>
      <c r="I40">
        <v>134</v>
      </c>
      <c r="J40" t="s">
        <v>6</v>
      </c>
      <c r="K40">
        <v>-70.496226630576004</v>
      </c>
      <c r="L40" t="s">
        <v>7</v>
      </c>
      <c r="M40">
        <v>-0.41713743568388201</v>
      </c>
      <c r="N40" t="s">
        <v>8</v>
      </c>
      <c r="O40">
        <v>0.29278935350316299</v>
      </c>
      <c r="P40" t="s">
        <v>9</v>
      </c>
      <c r="Q40">
        <v>-3.1351428571428501</v>
      </c>
      <c r="R40" t="s">
        <v>10</v>
      </c>
      <c r="S40">
        <v>0.54977987332067502</v>
      </c>
      <c r="T40" t="s">
        <v>11</v>
      </c>
      <c r="U40" t="s">
        <v>2032</v>
      </c>
      <c r="V40" t="s">
        <v>720</v>
      </c>
      <c r="W40">
        <v>0</v>
      </c>
      <c r="X40" t="s">
        <v>14</v>
      </c>
      <c r="Y40" t="s">
        <v>15</v>
      </c>
      <c r="Z40" t="s">
        <v>2033</v>
      </c>
      <c r="AA40" t="s">
        <v>720</v>
      </c>
      <c r="AB40">
        <v>0</v>
      </c>
      <c r="AC40" t="s">
        <v>18</v>
      </c>
    </row>
    <row r="41" spans="1:29" x14ac:dyDescent="0.3">
      <c r="A41" t="s">
        <v>113</v>
      </c>
      <c r="B41" t="s">
        <v>1</v>
      </c>
      <c r="C41">
        <v>0.1</v>
      </c>
      <c r="D41" t="s">
        <v>590</v>
      </c>
      <c r="E41" t="s">
        <v>1988</v>
      </c>
      <c r="F41" t="s">
        <v>4</v>
      </c>
      <c r="G41">
        <v>169</v>
      </c>
      <c r="H41" t="s">
        <v>5</v>
      </c>
      <c r="I41">
        <v>140</v>
      </c>
      <c r="J41" t="s">
        <v>6</v>
      </c>
      <c r="K41">
        <v>-78.296226630576101</v>
      </c>
      <c r="L41" t="s">
        <v>7</v>
      </c>
      <c r="M41">
        <v>-0.463291281837728</v>
      </c>
      <c r="N41" t="s">
        <v>8</v>
      </c>
      <c r="O41">
        <v>0.29166980978159801</v>
      </c>
      <c r="P41" t="s">
        <v>9</v>
      </c>
      <c r="Q41">
        <v>-4.1079310344827498</v>
      </c>
      <c r="R41" t="s">
        <v>10</v>
      </c>
      <c r="S41">
        <v>0.60470849703763696</v>
      </c>
      <c r="T41" t="s">
        <v>11</v>
      </c>
      <c r="U41" t="s">
        <v>2032</v>
      </c>
      <c r="V41" t="s">
        <v>720</v>
      </c>
      <c r="W41">
        <v>0</v>
      </c>
      <c r="X41" t="s">
        <v>14</v>
      </c>
      <c r="Y41" t="s">
        <v>15</v>
      </c>
      <c r="Z41" t="s">
        <v>2033</v>
      </c>
      <c r="AA41" t="s">
        <v>720</v>
      </c>
      <c r="AB41">
        <v>0</v>
      </c>
      <c r="AC41" t="s">
        <v>18</v>
      </c>
    </row>
    <row r="42" spans="1:29" x14ac:dyDescent="0.3">
      <c r="A42" t="s">
        <v>113</v>
      </c>
      <c r="B42" t="s">
        <v>1</v>
      </c>
      <c r="C42">
        <v>0.1</v>
      </c>
      <c r="D42" t="s">
        <v>599</v>
      </c>
      <c r="E42" t="s">
        <v>1991</v>
      </c>
      <c r="F42" t="s">
        <v>4</v>
      </c>
      <c r="G42">
        <v>178</v>
      </c>
      <c r="H42" t="s">
        <v>5</v>
      </c>
      <c r="I42">
        <v>118</v>
      </c>
      <c r="J42" t="s">
        <v>6</v>
      </c>
      <c r="K42">
        <v>-31.074017958239899</v>
      </c>
      <c r="L42" t="s">
        <v>7</v>
      </c>
      <c r="M42">
        <v>-0.174573134596853</v>
      </c>
      <c r="N42" t="s">
        <v>8</v>
      </c>
      <c r="O42">
        <v>0.35691618818431298</v>
      </c>
      <c r="P42" t="s">
        <v>9</v>
      </c>
      <c r="Q42">
        <v>-1.2198354693998099</v>
      </c>
      <c r="R42" t="s">
        <v>10</v>
      </c>
      <c r="S42">
        <v>0.26006729136914097</v>
      </c>
      <c r="T42" t="s">
        <v>11</v>
      </c>
      <c r="U42" t="s">
        <v>2034</v>
      </c>
      <c r="V42" t="s">
        <v>720</v>
      </c>
      <c r="W42">
        <v>0</v>
      </c>
      <c r="X42" t="s">
        <v>14</v>
      </c>
      <c r="Y42" t="s">
        <v>15</v>
      </c>
      <c r="Z42" t="s">
        <v>2035</v>
      </c>
      <c r="AA42" t="s">
        <v>720</v>
      </c>
      <c r="AB42">
        <v>0</v>
      </c>
      <c r="AC42" t="s">
        <v>18</v>
      </c>
    </row>
    <row r="43" spans="1:29" x14ac:dyDescent="0.3">
      <c r="A43" t="s">
        <v>113</v>
      </c>
      <c r="B43" t="s">
        <v>1</v>
      </c>
      <c r="C43">
        <v>0.1</v>
      </c>
      <c r="D43" t="s">
        <v>599</v>
      </c>
      <c r="E43" t="s">
        <v>1994</v>
      </c>
      <c r="F43" t="s">
        <v>4</v>
      </c>
      <c r="G43">
        <v>178</v>
      </c>
      <c r="H43" t="s">
        <v>5</v>
      </c>
      <c r="I43">
        <v>133</v>
      </c>
      <c r="J43" t="s">
        <v>6</v>
      </c>
      <c r="K43">
        <v>-48.6656767543369</v>
      </c>
      <c r="L43" t="s">
        <v>7</v>
      </c>
      <c r="M43">
        <v>-0.27340267839515098</v>
      </c>
      <c r="N43" t="s">
        <v>8</v>
      </c>
      <c r="O43">
        <v>0.35702992157222102</v>
      </c>
      <c r="P43" t="s">
        <v>9</v>
      </c>
      <c r="Q43">
        <v>-2.1366812516320501</v>
      </c>
      <c r="R43" t="s">
        <v>10</v>
      </c>
      <c r="S43">
        <v>0.35823964538393499</v>
      </c>
      <c r="T43" t="s">
        <v>11</v>
      </c>
      <c r="U43" t="s">
        <v>2034</v>
      </c>
      <c r="V43" t="s">
        <v>720</v>
      </c>
      <c r="W43">
        <v>0</v>
      </c>
      <c r="X43" t="s">
        <v>14</v>
      </c>
      <c r="Y43" t="s">
        <v>15</v>
      </c>
      <c r="Z43" t="s">
        <v>2035</v>
      </c>
      <c r="AA43" t="s">
        <v>720</v>
      </c>
      <c r="AB43">
        <v>0</v>
      </c>
      <c r="AC43" t="s">
        <v>18</v>
      </c>
    </row>
    <row r="44" spans="1:29" x14ac:dyDescent="0.3">
      <c r="A44" t="s">
        <v>113</v>
      </c>
      <c r="B44" t="s">
        <v>1</v>
      </c>
      <c r="C44">
        <v>0.1</v>
      </c>
      <c r="D44" t="s">
        <v>599</v>
      </c>
      <c r="E44" t="s">
        <v>1996</v>
      </c>
      <c r="F44" t="s">
        <v>4</v>
      </c>
      <c r="G44">
        <v>178</v>
      </c>
      <c r="H44" t="s">
        <v>5</v>
      </c>
      <c r="I44">
        <v>138</v>
      </c>
      <c r="J44" t="s">
        <v>6</v>
      </c>
      <c r="K44">
        <v>-76.067348462372095</v>
      </c>
      <c r="L44" t="s">
        <v>7</v>
      </c>
      <c r="M44">
        <v>-0.42734465428298901</v>
      </c>
      <c r="N44" t="s">
        <v>8</v>
      </c>
      <c r="O44">
        <v>0.35293463455873397</v>
      </c>
      <c r="P44" t="s">
        <v>9</v>
      </c>
      <c r="Q44">
        <v>-3.1193082007869299</v>
      </c>
      <c r="R44" t="s">
        <v>10</v>
      </c>
      <c r="S44">
        <v>0.49046034946464301</v>
      </c>
      <c r="T44" t="s">
        <v>11</v>
      </c>
      <c r="U44" t="s">
        <v>2036</v>
      </c>
      <c r="V44" t="s">
        <v>720</v>
      </c>
      <c r="W44">
        <v>0</v>
      </c>
      <c r="X44" t="s">
        <v>14</v>
      </c>
      <c r="Y44" t="s">
        <v>15</v>
      </c>
      <c r="Z44" t="s">
        <v>2037</v>
      </c>
      <c r="AA44" t="s">
        <v>720</v>
      </c>
      <c r="AB44">
        <v>0</v>
      </c>
      <c r="AC44" t="s">
        <v>18</v>
      </c>
    </row>
    <row r="45" spans="1:29" x14ac:dyDescent="0.3">
      <c r="A45" t="s">
        <v>113</v>
      </c>
      <c r="B45" t="s">
        <v>1</v>
      </c>
      <c r="C45">
        <v>0.1</v>
      </c>
      <c r="D45" t="s">
        <v>599</v>
      </c>
      <c r="E45" t="s">
        <v>1997</v>
      </c>
      <c r="F45" t="s">
        <v>4</v>
      </c>
      <c r="G45">
        <v>178</v>
      </c>
      <c r="H45" t="s">
        <v>5</v>
      </c>
      <c r="I45">
        <v>147</v>
      </c>
      <c r="J45" t="s">
        <v>6</v>
      </c>
      <c r="K45">
        <v>-78.427348462372095</v>
      </c>
      <c r="L45" t="s">
        <v>7</v>
      </c>
      <c r="M45">
        <v>-0.44060308124928099</v>
      </c>
      <c r="N45" t="s">
        <v>8</v>
      </c>
      <c r="O45">
        <v>0.35268693584425398</v>
      </c>
      <c r="P45" t="s">
        <v>9</v>
      </c>
      <c r="Q45">
        <v>-4.2023331623057203</v>
      </c>
      <c r="R45" t="s">
        <v>10</v>
      </c>
      <c r="S45">
        <v>0.56687433078042804</v>
      </c>
      <c r="T45" t="s">
        <v>11</v>
      </c>
      <c r="U45" t="s">
        <v>2036</v>
      </c>
      <c r="V45" t="s">
        <v>720</v>
      </c>
      <c r="W45">
        <v>0</v>
      </c>
      <c r="X45" t="s">
        <v>14</v>
      </c>
      <c r="Y45" t="s">
        <v>15</v>
      </c>
      <c r="Z45" t="s">
        <v>644</v>
      </c>
      <c r="AA45" t="s">
        <v>2013</v>
      </c>
      <c r="AB45">
        <v>0</v>
      </c>
      <c r="AC45" t="s">
        <v>18</v>
      </c>
    </row>
    <row r="46" spans="1:29" x14ac:dyDescent="0.3">
      <c r="A46" t="s">
        <v>113</v>
      </c>
      <c r="B46" t="s">
        <v>1</v>
      </c>
      <c r="C46">
        <v>0.1</v>
      </c>
      <c r="D46" t="s">
        <v>1998</v>
      </c>
      <c r="E46" t="s">
        <v>1999</v>
      </c>
      <c r="F46" t="s">
        <v>4</v>
      </c>
      <c r="G46">
        <v>167</v>
      </c>
      <c r="H46" t="s">
        <v>5</v>
      </c>
      <c r="I46">
        <v>112</v>
      </c>
      <c r="J46" t="s">
        <v>6</v>
      </c>
      <c r="K46">
        <v>-10.5387632041088</v>
      </c>
      <c r="L46" t="s">
        <v>7</v>
      </c>
      <c r="M46">
        <v>-6.3106366491669397E-2</v>
      </c>
      <c r="N46" t="s">
        <v>8</v>
      </c>
      <c r="O46">
        <v>0.49303446022165098</v>
      </c>
      <c r="P46" t="s">
        <v>9</v>
      </c>
      <c r="Q46">
        <v>-1.19561132270788</v>
      </c>
      <c r="R46" t="s">
        <v>10</v>
      </c>
      <c r="S46">
        <v>0.24844713769608701</v>
      </c>
      <c r="T46" t="s">
        <v>11</v>
      </c>
      <c r="U46" t="s">
        <v>2038</v>
      </c>
      <c r="V46" t="s">
        <v>720</v>
      </c>
      <c r="W46">
        <v>0</v>
      </c>
      <c r="X46" t="s">
        <v>14</v>
      </c>
      <c r="Y46" t="s">
        <v>15</v>
      </c>
      <c r="Z46" t="s">
        <v>2039</v>
      </c>
      <c r="AA46" t="s">
        <v>720</v>
      </c>
      <c r="AB46">
        <v>0</v>
      </c>
      <c r="AC46" t="s">
        <v>18</v>
      </c>
    </row>
    <row r="47" spans="1:29" x14ac:dyDescent="0.3">
      <c r="A47" t="s">
        <v>113</v>
      </c>
      <c r="B47" t="s">
        <v>1</v>
      </c>
      <c r="C47">
        <v>0.1</v>
      </c>
      <c r="D47" t="s">
        <v>1998</v>
      </c>
      <c r="E47" t="s">
        <v>2002</v>
      </c>
      <c r="F47" t="s">
        <v>4</v>
      </c>
      <c r="G47">
        <v>167</v>
      </c>
      <c r="H47" t="s">
        <v>5</v>
      </c>
      <c r="I47">
        <v>131</v>
      </c>
      <c r="J47" t="s">
        <v>6</v>
      </c>
      <c r="K47">
        <v>-26.6043329006975</v>
      </c>
      <c r="L47" t="s">
        <v>7</v>
      </c>
      <c r="M47">
        <v>-0.15930738263890701</v>
      </c>
      <c r="N47" t="s">
        <v>8</v>
      </c>
      <c r="O47">
        <v>0.48006638306093502</v>
      </c>
      <c r="P47" t="s">
        <v>9</v>
      </c>
      <c r="Q47">
        <v>-2.4859174744911101</v>
      </c>
      <c r="R47" t="s">
        <v>10</v>
      </c>
      <c r="S47">
        <v>0.34271716669254398</v>
      </c>
      <c r="T47" t="s">
        <v>11</v>
      </c>
      <c r="U47" t="s">
        <v>2040</v>
      </c>
      <c r="V47" t="s">
        <v>720</v>
      </c>
      <c r="W47">
        <v>0</v>
      </c>
      <c r="X47" t="s">
        <v>14</v>
      </c>
      <c r="Y47" t="s">
        <v>15</v>
      </c>
      <c r="Z47" t="s">
        <v>2041</v>
      </c>
      <c r="AA47" t="s">
        <v>720</v>
      </c>
      <c r="AB47">
        <v>0</v>
      </c>
      <c r="AC47" t="s">
        <v>18</v>
      </c>
    </row>
    <row r="48" spans="1:29" x14ac:dyDescent="0.3">
      <c r="A48" t="s">
        <v>113</v>
      </c>
      <c r="B48" t="s">
        <v>1</v>
      </c>
      <c r="C48">
        <v>0.1</v>
      </c>
      <c r="D48" t="s">
        <v>1998</v>
      </c>
      <c r="E48" t="s">
        <v>2004</v>
      </c>
      <c r="F48" t="s">
        <v>4</v>
      </c>
      <c r="G48">
        <v>167</v>
      </c>
      <c r="H48" t="s">
        <v>5</v>
      </c>
      <c r="I48">
        <v>136</v>
      </c>
      <c r="J48" t="s">
        <v>6</v>
      </c>
      <c r="K48">
        <v>-60.508093031753397</v>
      </c>
      <c r="L48" t="s">
        <v>7</v>
      </c>
      <c r="M48">
        <v>-0.36232391036978101</v>
      </c>
      <c r="N48" t="s">
        <v>8</v>
      </c>
      <c r="O48">
        <v>0.477122766036635</v>
      </c>
      <c r="P48" t="s">
        <v>9</v>
      </c>
      <c r="Q48">
        <v>-4.0450577165398602</v>
      </c>
      <c r="R48" t="s">
        <v>10</v>
      </c>
      <c r="S48">
        <v>0.475943952123696</v>
      </c>
      <c r="T48" t="s">
        <v>11</v>
      </c>
      <c r="U48" t="s">
        <v>2040</v>
      </c>
      <c r="V48" t="s">
        <v>720</v>
      </c>
      <c r="W48">
        <v>0</v>
      </c>
      <c r="X48" t="s">
        <v>14</v>
      </c>
      <c r="Y48" t="s">
        <v>15</v>
      </c>
      <c r="Z48" t="s">
        <v>2042</v>
      </c>
      <c r="AA48" t="s">
        <v>1987</v>
      </c>
      <c r="AB48">
        <v>0</v>
      </c>
      <c r="AC48" t="s">
        <v>18</v>
      </c>
    </row>
    <row r="49" spans="1:29" x14ac:dyDescent="0.3">
      <c r="A49" t="s">
        <v>113</v>
      </c>
      <c r="B49" t="s">
        <v>1</v>
      </c>
      <c r="C49">
        <v>0.1</v>
      </c>
      <c r="D49" t="s">
        <v>1998</v>
      </c>
      <c r="E49" t="s">
        <v>2005</v>
      </c>
      <c r="F49" t="s">
        <v>4</v>
      </c>
      <c r="G49">
        <v>167</v>
      </c>
      <c r="H49" t="s">
        <v>5</v>
      </c>
      <c r="I49">
        <v>141</v>
      </c>
      <c r="J49" t="s">
        <v>6</v>
      </c>
      <c r="K49">
        <v>-65.241853162809207</v>
      </c>
      <c r="L49" t="s">
        <v>7</v>
      </c>
      <c r="M49">
        <v>-0.390669779418019</v>
      </c>
      <c r="N49" t="s">
        <v>8</v>
      </c>
      <c r="O49">
        <v>0.47920676188553002</v>
      </c>
      <c r="P49" t="s">
        <v>9</v>
      </c>
      <c r="Q49">
        <v>-5.1080771764872699</v>
      </c>
      <c r="R49" t="s">
        <v>10</v>
      </c>
      <c r="S49">
        <v>0.53875925252259305</v>
      </c>
      <c r="T49" t="s">
        <v>11</v>
      </c>
      <c r="U49" t="s">
        <v>2040</v>
      </c>
      <c r="V49" t="s">
        <v>720</v>
      </c>
      <c r="W49">
        <v>0</v>
      </c>
      <c r="X49" t="s">
        <v>14</v>
      </c>
      <c r="Y49" t="s">
        <v>15</v>
      </c>
      <c r="Z49" t="s">
        <v>2042</v>
      </c>
      <c r="AA49" t="s">
        <v>1987</v>
      </c>
      <c r="AB49">
        <v>0</v>
      </c>
      <c r="AC49" t="s">
        <v>18</v>
      </c>
    </row>
    <row r="50" spans="1:29" x14ac:dyDescent="0.3">
      <c r="A50" t="s">
        <v>2043</v>
      </c>
      <c r="B50" t="s">
        <v>1</v>
      </c>
      <c r="C50">
        <v>0.4</v>
      </c>
      <c r="D50" t="s">
        <v>590</v>
      </c>
      <c r="E50" t="s">
        <v>1979</v>
      </c>
      <c r="F50" t="s">
        <v>4</v>
      </c>
      <c r="G50">
        <v>92</v>
      </c>
      <c r="H50" t="s">
        <v>5</v>
      </c>
      <c r="I50">
        <v>50</v>
      </c>
      <c r="J50" t="s">
        <v>6</v>
      </c>
      <c r="K50">
        <v>-110.38</v>
      </c>
      <c r="L50" t="s">
        <v>7</v>
      </c>
      <c r="M50">
        <v>-1.19978260869565</v>
      </c>
      <c r="N50" t="s">
        <v>8</v>
      </c>
      <c r="O50">
        <v>2.1017999999999901</v>
      </c>
      <c r="P50" t="s">
        <v>9</v>
      </c>
      <c r="Q50">
        <v>-5.1302380952380897</v>
      </c>
      <c r="R50" t="s">
        <v>10</v>
      </c>
      <c r="S50">
        <v>0.79183553235594395</v>
      </c>
      <c r="T50" t="s">
        <v>11</v>
      </c>
      <c r="U50" t="s">
        <v>1980</v>
      </c>
      <c r="V50" t="s">
        <v>720</v>
      </c>
      <c r="W50">
        <v>0</v>
      </c>
      <c r="X50" t="s">
        <v>14</v>
      </c>
      <c r="Y50" t="s">
        <v>15</v>
      </c>
      <c r="Z50" t="s">
        <v>1981</v>
      </c>
      <c r="AA50" t="s">
        <v>720</v>
      </c>
      <c r="AB50">
        <v>0</v>
      </c>
      <c r="AC50" t="s">
        <v>18</v>
      </c>
    </row>
    <row r="51" spans="1:29" x14ac:dyDescent="0.3">
      <c r="A51" t="s">
        <v>2043</v>
      </c>
      <c r="B51" t="s">
        <v>1</v>
      </c>
      <c r="C51">
        <v>0.4</v>
      </c>
      <c r="D51" t="s">
        <v>590</v>
      </c>
      <c r="E51" t="s">
        <v>1982</v>
      </c>
      <c r="F51" t="s">
        <v>4</v>
      </c>
      <c r="G51">
        <v>92</v>
      </c>
      <c r="H51" t="s">
        <v>5</v>
      </c>
      <c r="I51">
        <v>53</v>
      </c>
      <c r="J51" t="s">
        <v>6</v>
      </c>
      <c r="K51">
        <v>-219.689999999999</v>
      </c>
      <c r="L51" t="s">
        <v>7</v>
      </c>
      <c r="M51">
        <v>-2.3879347826086899</v>
      </c>
      <c r="N51" t="s">
        <v>8</v>
      </c>
      <c r="O51">
        <v>2.0884905660377302</v>
      </c>
      <c r="P51" t="s">
        <v>9</v>
      </c>
      <c r="Q51">
        <v>-8.4712820512820493</v>
      </c>
      <c r="R51" t="s">
        <v>10</v>
      </c>
      <c r="S51">
        <v>1.1420317130000099</v>
      </c>
      <c r="T51" t="s">
        <v>11</v>
      </c>
      <c r="U51" t="s">
        <v>1983</v>
      </c>
      <c r="V51" t="s">
        <v>720</v>
      </c>
      <c r="W51">
        <v>0</v>
      </c>
      <c r="X51" t="s">
        <v>14</v>
      </c>
      <c r="Y51" t="s">
        <v>15</v>
      </c>
      <c r="Z51" t="s">
        <v>1984</v>
      </c>
      <c r="AA51" t="s">
        <v>720</v>
      </c>
      <c r="AB51">
        <v>0</v>
      </c>
      <c r="AC51" t="s">
        <v>18</v>
      </c>
    </row>
    <row r="52" spans="1:29" x14ac:dyDescent="0.3">
      <c r="A52" t="s">
        <v>2043</v>
      </c>
      <c r="B52" t="s">
        <v>1</v>
      </c>
      <c r="C52">
        <v>0.4</v>
      </c>
      <c r="D52" t="s">
        <v>590</v>
      </c>
      <c r="E52" t="s">
        <v>1985</v>
      </c>
      <c r="F52" t="s">
        <v>4</v>
      </c>
      <c r="G52">
        <v>92</v>
      </c>
      <c r="H52" t="s">
        <v>5</v>
      </c>
      <c r="I52">
        <v>55</v>
      </c>
      <c r="J52" t="s">
        <v>6</v>
      </c>
      <c r="K52">
        <v>-274.64999999999901</v>
      </c>
      <c r="L52" t="s">
        <v>7</v>
      </c>
      <c r="M52">
        <v>-2.9853260869565199</v>
      </c>
      <c r="N52" t="s">
        <v>8</v>
      </c>
      <c r="O52">
        <v>2.06454545454545</v>
      </c>
      <c r="P52" t="s">
        <v>9</v>
      </c>
      <c r="Q52">
        <v>-10.4918918918918</v>
      </c>
      <c r="R52" t="s">
        <v>10</v>
      </c>
      <c r="S52">
        <v>1.3302906795937099</v>
      </c>
      <c r="T52" t="s">
        <v>11</v>
      </c>
      <c r="U52" t="s">
        <v>1983</v>
      </c>
      <c r="V52" t="s">
        <v>720</v>
      </c>
      <c r="W52">
        <v>0</v>
      </c>
      <c r="X52" t="s">
        <v>14</v>
      </c>
      <c r="Y52" t="s">
        <v>15</v>
      </c>
      <c r="Z52" t="s">
        <v>1986</v>
      </c>
      <c r="AA52" t="s">
        <v>1987</v>
      </c>
      <c r="AB52">
        <v>0</v>
      </c>
      <c r="AC52" t="s">
        <v>18</v>
      </c>
    </row>
    <row r="53" spans="1:29" x14ac:dyDescent="0.3">
      <c r="A53" t="s">
        <v>2043</v>
      </c>
      <c r="B53" t="s">
        <v>1</v>
      </c>
      <c r="C53">
        <v>0.4</v>
      </c>
      <c r="D53" t="s">
        <v>590</v>
      </c>
      <c r="E53" t="s">
        <v>1988</v>
      </c>
      <c r="F53" t="s">
        <v>4</v>
      </c>
      <c r="G53">
        <v>92</v>
      </c>
      <c r="H53" t="s">
        <v>5</v>
      </c>
      <c r="I53">
        <v>55</v>
      </c>
      <c r="J53" t="s">
        <v>6</v>
      </c>
      <c r="K53">
        <v>-302.909999999999</v>
      </c>
      <c r="L53" t="s">
        <v>7</v>
      </c>
      <c r="M53">
        <v>-3.2924999999999902</v>
      </c>
      <c r="N53" t="s">
        <v>8</v>
      </c>
      <c r="O53">
        <v>2.06454545454545</v>
      </c>
      <c r="P53" t="s">
        <v>9</v>
      </c>
      <c r="Q53">
        <v>-11.255675675675599</v>
      </c>
      <c r="R53" t="s">
        <v>10</v>
      </c>
      <c r="S53">
        <v>1.5737674362342899</v>
      </c>
      <c r="T53" t="s">
        <v>11</v>
      </c>
      <c r="U53" t="s">
        <v>1989</v>
      </c>
      <c r="V53" t="s">
        <v>720</v>
      </c>
      <c r="W53">
        <v>0</v>
      </c>
      <c r="X53" t="s">
        <v>14</v>
      </c>
      <c r="Y53" t="s">
        <v>15</v>
      </c>
      <c r="Z53" t="s">
        <v>1990</v>
      </c>
      <c r="AA53" t="s">
        <v>720</v>
      </c>
      <c r="AB53">
        <v>0</v>
      </c>
      <c r="AC53" t="s">
        <v>18</v>
      </c>
    </row>
    <row r="54" spans="1:29" x14ac:dyDescent="0.3">
      <c r="A54" t="s">
        <v>2043</v>
      </c>
      <c r="B54" t="s">
        <v>1</v>
      </c>
      <c r="C54">
        <v>0.4</v>
      </c>
      <c r="D54" t="s">
        <v>599</v>
      </c>
      <c r="E54" t="s">
        <v>1991</v>
      </c>
      <c r="F54" t="s">
        <v>4</v>
      </c>
      <c r="G54">
        <v>94</v>
      </c>
      <c r="H54" t="s">
        <v>5</v>
      </c>
      <c r="I54">
        <v>47</v>
      </c>
      <c r="J54" t="s">
        <v>6</v>
      </c>
      <c r="K54">
        <v>-169.10999999999899</v>
      </c>
      <c r="L54" t="s">
        <v>7</v>
      </c>
      <c r="M54">
        <v>-1.79904255319148</v>
      </c>
      <c r="N54" t="s">
        <v>8</v>
      </c>
      <c r="O54">
        <v>2.5661702127659498</v>
      </c>
      <c r="P54" t="s">
        <v>9</v>
      </c>
      <c r="Q54">
        <v>-6.1642553191489302</v>
      </c>
      <c r="R54" t="s">
        <v>10</v>
      </c>
      <c r="S54">
        <v>0.92776058195909705</v>
      </c>
      <c r="T54" t="s">
        <v>11</v>
      </c>
      <c r="U54" t="s">
        <v>1992</v>
      </c>
      <c r="V54" t="s">
        <v>720</v>
      </c>
      <c r="W54">
        <v>0</v>
      </c>
      <c r="X54" t="s">
        <v>14</v>
      </c>
      <c r="Y54" t="s">
        <v>15</v>
      </c>
      <c r="Z54" t="s">
        <v>1993</v>
      </c>
      <c r="AA54" t="s">
        <v>720</v>
      </c>
      <c r="AB54">
        <v>0</v>
      </c>
      <c r="AC54" t="s">
        <v>18</v>
      </c>
    </row>
    <row r="55" spans="1:29" x14ac:dyDescent="0.3">
      <c r="A55" t="s">
        <v>2043</v>
      </c>
      <c r="B55" t="s">
        <v>1</v>
      </c>
      <c r="C55">
        <v>0.4</v>
      </c>
      <c r="D55" t="s">
        <v>599</v>
      </c>
      <c r="E55" t="s">
        <v>1994</v>
      </c>
      <c r="F55" t="s">
        <v>4</v>
      </c>
      <c r="G55">
        <v>94</v>
      </c>
      <c r="H55" t="s">
        <v>5</v>
      </c>
      <c r="I55">
        <v>57</v>
      </c>
      <c r="J55" t="s">
        <v>6</v>
      </c>
      <c r="K55">
        <v>-247.26999999999899</v>
      </c>
      <c r="L55" t="s">
        <v>7</v>
      </c>
      <c r="M55">
        <v>-2.6305319148936102</v>
      </c>
      <c r="N55" t="s">
        <v>8</v>
      </c>
      <c r="O55">
        <v>2.5278947368421001</v>
      </c>
      <c r="P55" t="s">
        <v>9</v>
      </c>
      <c r="Q55">
        <v>-10.5772972972972</v>
      </c>
      <c r="R55" t="s">
        <v>10</v>
      </c>
      <c r="S55">
        <v>1.37369266300741</v>
      </c>
      <c r="T55" t="s">
        <v>11</v>
      </c>
      <c r="U55" t="s">
        <v>1992</v>
      </c>
      <c r="V55" t="s">
        <v>720</v>
      </c>
      <c r="W55">
        <v>0</v>
      </c>
      <c r="X55" t="s">
        <v>14</v>
      </c>
      <c r="Y55" t="s">
        <v>15</v>
      </c>
      <c r="Z55" t="s">
        <v>1995</v>
      </c>
      <c r="AA55" t="s">
        <v>720</v>
      </c>
      <c r="AB55">
        <v>0</v>
      </c>
      <c r="AC55" t="s">
        <v>18</v>
      </c>
    </row>
    <row r="56" spans="1:29" x14ac:dyDescent="0.3">
      <c r="A56" t="s">
        <v>2043</v>
      </c>
      <c r="B56" t="s">
        <v>1</v>
      </c>
      <c r="C56">
        <v>0.4</v>
      </c>
      <c r="D56" t="s">
        <v>599</v>
      </c>
      <c r="E56" t="s">
        <v>1996</v>
      </c>
      <c r="F56" t="s">
        <v>4</v>
      </c>
      <c r="G56">
        <v>94</v>
      </c>
      <c r="H56" t="s">
        <v>5</v>
      </c>
      <c r="I56">
        <v>66</v>
      </c>
      <c r="J56" t="s">
        <v>6</v>
      </c>
      <c r="K56">
        <v>-114.05999999999899</v>
      </c>
      <c r="L56" t="s">
        <v>7</v>
      </c>
      <c r="M56">
        <v>-1.21340425531914</v>
      </c>
      <c r="N56" t="s">
        <v>8</v>
      </c>
      <c r="O56">
        <v>2.54287878787878</v>
      </c>
      <c r="P56" t="s">
        <v>9</v>
      </c>
      <c r="Q56">
        <v>-10.0674999999999</v>
      </c>
      <c r="R56" t="s">
        <v>10</v>
      </c>
      <c r="S56">
        <v>2.0033355907482902</v>
      </c>
      <c r="T56" t="s">
        <v>11</v>
      </c>
      <c r="U56" t="s">
        <v>1992</v>
      </c>
      <c r="V56" t="s">
        <v>720</v>
      </c>
      <c r="W56">
        <v>0</v>
      </c>
      <c r="X56" t="s">
        <v>14</v>
      </c>
      <c r="Y56" t="s">
        <v>15</v>
      </c>
      <c r="Z56" t="s">
        <v>1995</v>
      </c>
      <c r="AA56" t="s">
        <v>720</v>
      </c>
      <c r="AB56">
        <v>0</v>
      </c>
      <c r="AC56" t="s">
        <v>18</v>
      </c>
    </row>
    <row r="57" spans="1:29" x14ac:dyDescent="0.3">
      <c r="A57" t="s">
        <v>2043</v>
      </c>
      <c r="B57" t="s">
        <v>1</v>
      </c>
      <c r="C57">
        <v>0.4</v>
      </c>
      <c r="D57" t="s">
        <v>599</v>
      </c>
      <c r="E57" t="s">
        <v>1997</v>
      </c>
      <c r="F57" t="s">
        <v>4</v>
      </c>
      <c r="G57">
        <v>94</v>
      </c>
      <c r="H57" t="s">
        <v>5</v>
      </c>
      <c r="I57">
        <v>67</v>
      </c>
      <c r="J57" t="s">
        <v>6</v>
      </c>
      <c r="K57">
        <v>-108.319999999999</v>
      </c>
      <c r="L57" t="s">
        <v>7</v>
      </c>
      <c r="M57">
        <v>-1.1523404255319101</v>
      </c>
      <c r="N57" t="s">
        <v>8</v>
      </c>
      <c r="O57">
        <v>2.5583582089552199</v>
      </c>
      <c r="P57" t="s">
        <v>9</v>
      </c>
      <c r="Q57">
        <v>-10.360370370370299</v>
      </c>
      <c r="R57" t="s">
        <v>10</v>
      </c>
      <c r="S57">
        <v>2.2010443548210099</v>
      </c>
      <c r="T57" t="s">
        <v>11</v>
      </c>
      <c r="U57" t="s">
        <v>1992</v>
      </c>
      <c r="V57" t="s">
        <v>720</v>
      </c>
      <c r="W57">
        <v>0</v>
      </c>
      <c r="X57" t="s">
        <v>14</v>
      </c>
      <c r="Y57" t="s">
        <v>15</v>
      </c>
      <c r="Z57" t="s">
        <v>1995</v>
      </c>
      <c r="AA57" t="s">
        <v>720</v>
      </c>
      <c r="AB57">
        <v>0</v>
      </c>
      <c r="AC57" t="s">
        <v>18</v>
      </c>
    </row>
    <row r="58" spans="1:29" x14ac:dyDescent="0.3">
      <c r="A58" t="s">
        <v>2043</v>
      </c>
      <c r="B58" t="s">
        <v>1</v>
      </c>
      <c r="C58">
        <v>0.4</v>
      </c>
      <c r="D58" t="s">
        <v>1998</v>
      </c>
      <c r="E58" t="s">
        <v>1999</v>
      </c>
      <c r="F58" t="s">
        <v>4</v>
      </c>
      <c r="G58">
        <v>87</v>
      </c>
      <c r="H58" t="s">
        <v>5</v>
      </c>
      <c r="I58">
        <v>49</v>
      </c>
      <c r="J58" t="s">
        <v>6</v>
      </c>
      <c r="K58">
        <v>-118.365759431106</v>
      </c>
      <c r="L58" t="s">
        <v>7</v>
      </c>
      <c r="M58">
        <v>-1.3605259704724799</v>
      </c>
      <c r="N58" t="s">
        <v>8</v>
      </c>
      <c r="O58">
        <v>3.06627452242284</v>
      </c>
      <c r="P58" t="s">
        <v>9</v>
      </c>
      <c r="Q58">
        <v>-7.0687687113111997</v>
      </c>
      <c r="R58" t="s">
        <v>10</v>
      </c>
      <c r="S58">
        <v>0.91506453887557704</v>
      </c>
      <c r="T58" t="s">
        <v>11</v>
      </c>
      <c r="U58" t="s">
        <v>2000</v>
      </c>
      <c r="V58" t="s">
        <v>720</v>
      </c>
      <c r="W58">
        <v>0</v>
      </c>
      <c r="X58" t="s">
        <v>14</v>
      </c>
      <c r="Y58" t="s">
        <v>15</v>
      </c>
      <c r="Z58" t="s">
        <v>2001</v>
      </c>
      <c r="AA58" t="s">
        <v>720</v>
      </c>
      <c r="AB58">
        <v>0</v>
      </c>
      <c r="AC58" t="s">
        <v>18</v>
      </c>
    </row>
    <row r="59" spans="1:29" x14ac:dyDescent="0.3">
      <c r="A59" t="s">
        <v>2043</v>
      </c>
      <c r="B59" t="s">
        <v>1</v>
      </c>
      <c r="C59">
        <v>0.4</v>
      </c>
      <c r="D59" t="s">
        <v>1998</v>
      </c>
      <c r="E59" t="s">
        <v>2002</v>
      </c>
      <c r="F59" t="s">
        <v>4</v>
      </c>
      <c r="G59">
        <v>87</v>
      </c>
      <c r="H59" t="s">
        <v>5</v>
      </c>
      <c r="I59">
        <v>60</v>
      </c>
      <c r="J59" t="s">
        <v>6</v>
      </c>
      <c r="K59">
        <v>-150.37059061362501</v>
      </c>
      <c r="L59" t="s">
        <v>7</v>
      </c>
      <c r="M59">
        <v>-1.7283975932600599</v>
      </c>
      <c r="N59" t="s">
        <v>8</v>
      </c>
      <c r="O59">
        <v>3.2157462160485002</v>
      </c>
      <c r="P59" t="s">
        <v>9</v>
      </c>
      <c r="Q59">
        <v>-12.7153838361679</v>
      </c>
      <c r="R59" t="s">
        <v>10</v>
      </c>
      <c r="S59">
        <v>1.4471132640981501</v>
      </c>
      <c r="T59" t="s">
        <v>11</v>
      </c>
      <c r="U59" t="s">
        <v>2000</v>
      </c>
      <c r="V59" t="s">
        <v>720</v>
      </c>
      <c r="W59">
        <v>0</v>
      </c>
      <c r="X59" t="s">
        <v>14</v>
      </c>
      <c r="Y59" t="s">
        <v>15</v>
      </c>
      <c r="Z59" t="s">
        <v>2003</v>
      </c>
      <c r="AA59" t="s">
        <v>1987</v>
      </c>
      <c r="AB59">
        <v>0</v>
      </c>
      <c r="AC59" t="s">
        <v>18</v>
      </c>
    </row>
    <row r="60" spans="1:29" x14ac:dyDescent="0.3">
      <c r="A60" t="s">
        <v>2043</v>
      </c>
      <c r="B60" t="s">
        <v>1</v>
      </c>
      <c r="C60">
        <v>0.4</v>
      </c>
      <c r="D60" t="s">
        <v>1998</v>
      </c>
      <c r="E60" t="s">
        <v>2004</v>
      </c>
      <c r="F60" t="s">
        <v>4</v>
      </c>
      <c r="G60">
        <v>87</v>
      </c>
      <c r="H60" t="s">
        <v>5</v>
      </c>
      <c r="I60">
        <v>64</v>
      </c>
      <c r="J60" t="s">
        <v>6</v>
      </c>
      <c r="K60">
        <v>-83.770590613625302</v>
      </c>
      <c r="L60" t="s">
        <v>7</v>
      </c>
      <c r="M60">
        <v>-0.96288035188075105</v>
      </c>
      <c r="N60" t="s">
        <v>8</v>
      </c>
      <c r="O60">
        <v>3.2867557161522298</v>
      </c>
      <c r="P60" t="s">
        <v>9</v>
      </c>
      <c r="Q60">
        <v>-12.7879546281464</v>
      </c>
      <c r="R60" t="s">
        <v>10</v>
      </c>
      <c r="S60">
        <v>1.8242760028282199</v>
      </c>
      <c r="T60" t="s">
        <v>11</v>
      </c>
      <c r="U60" t="s">
        <v>2000</v>
      </c>
      <c r="V60" t="s">
        <v>720</v>
      </c>
      <c r="W60">
        <v>0</v>
      </c>
      <c r="X60" t="s">
        <v>14</v>
      </c>
      <c r="Y60" t="s">
        <v>15</v>
      </c>
      <c r="Z60" t="s">
        <v>2003</v>
      </c>
      <c r="AA60" t="s">
        <v>1987</v>
      </c>
      <c r="AB60">
        <v>0</v>
      </c>
      <c r="AC60" t="s">
        <v>18</v>
      </c>
    </row>
    <row r="61" spans="1:29" x14ac:dyDescent="0.3">
      <c r="A61" t="s">
        <v>2043</v>
      </c>
      <c r="B61" t="s">
        <v>1</v>
      </c>
      <c r="C61">
        <v>0.4</v>
      </c>
      <c r="D61" t="s">
        <v>1998</v>
      </c>
      <c r="E61" t="s">
        <v>2005</v>
      </c>
      <c r="F61" t="s">
        <v>4</v>
      </c>
      <c r="G61">
        <v>87</v>
      </c>
      <c r="H61" t="s">
        <v>5</v>
      </c>
      <c r="I61">
        <v>66</v>
      </c>
      <c r="J61" t="s">
        <v>6</v>
      </c>
      <c r="K61">
        <v>-106.896586422662</v>
      </c>
      <c r="L61" t="s">
        <v>7</v>
      </c>
      <c r="M61">
        <v>-1.2286963956627901</v>
      </c>
      <c r="N61" t="s">
        <v>8</v>
      </c>
      <c r="O61">
        <v>3.2592782702082199</v>
      </c>
      <c r="P61" t="s">
        <v>9</v>
      </c>
      <c r="Q61">
        <v>-15.333759631257401</v>
      </c>
      <c r="R61" t="s">
        <v>10</v>
      </c>
      <c r="S61">
        <v>1.9445362757162801</v>
      </c>
      <c r="T61" t="s">
        <v>11</v>
      </c>
      <c r="U61" t="s">
        <v>2000</v>
      </c>
      <c r="V61" t="s">
        <v>720</v>
      </c>
      <c r="W61">
        <v>0</v>
      </c>
      <c r="X61" t="s">
        <v>14</v>
      </c>
      <c r="Y61" t="s">
        <v>15</v>
      </c>
      <c r="Z61" t="s">
        <v>2003</v>
      </c>
      <c r="AA61" t="s">
        <v>1987</v>
      </c>
      <c r="AB61">
        <v>0</v>
      </c>
      <c r="AC61" t="s">
        <v>18</v>
      </c>
    </row>
    <row r="62" spans="1:29" x14ac:dyDescent="0.3">
      <c r="A62" t="s">
        <v>2043</v>
      </c>
      <c r="B62" t="s">
        <v>1</v>
      </c>
      <c r="C62">
        <v>0.3</v>
      </c>
      <c r="D62" t="s">
        <v>590</v>
      </c>
      <c r="E62" t="s">
        <v>1979</v>
      </c>
      <c r="F62" t="s">
        <v>4</v>
      </c>
      <c r="G62">
        <v>92</v>
      </c>
      <c r="H62" t="s">
        <v>5</v>
      </c>
      <c r="I62">
        <v>53</v>
      </c>
      <c r="J62" t="s">
        <v>6</v>
      </c>
      <c r="K62">
        <v>-88.22</v>
      </c>
      <c r="L62" t="s">
        <v>7</v>
      </c>
      <c r="M62">
        <v>-0.95891304347826101</v>
      </c>
      <c r="N62" t="s">
        <v>8</v>
      </c>
      <c r="O62">
        <v>1.4360377358490499</v>
      </c>
      <c r="P62" t="s">
        <v>9</v>
      </c>
      <c r="Q62">
        <v>-4.2135897435897398</v>
      </c>
      <c r="R62" t="s">
        <v>10</v>
      </c>
      <c r="S62">
        <v>0.64040620091786704</v>
      </c>
      <c r="T62" t="s">
        <v>11</v>
      </c>
      <c r="U62" t="s">
        <v>2006</v>
      </c>
      <c r="V62" t="s">
        <v>720</v>
      </c>
      <c r="W62">
        <v>0</v>
      </c>
      <c r="X62" t="s">
        <v>14</v>
      </c>
      <c r="Y62" t="s">
        <v>15</v>
      </c>
      <c r="Z62" t="s">
        <v>2007</v>
      </c>
      <c r="AA62" t="s">
        <v>720</v>
      </c>
      <c r="AB62">
        <v>0</v>
      </c>
      <c r="AC62" t="s">
        <v>18</v>
      </c>
    </row>
    <row r="63" spans="1:29" x14ac:dyDescent="0.3">
      <c r="A63" t="s">
        <v>2043</v>
      </c>
      <c r="B63" t="s">
        <v>1</v>
      </c>
      <c r="C63">
        <v>0.3</v>
      </c>
      <c r="D63" t="s">
        <v>590</v>
      </c>
      <c r="E63" t="s">
        <v>1982</v>
      </c>
      <c r="F63" t="s">
        <v>4</v>
      </c>
      <c r="G63">
        <v>92</v>
      </c>
      <c r="H63" t="s">
        <v>5</v>
      </c>
      <c r="I63">
        <v>58</v>
      </c>
      <c r="J63" t="s">
        <v>6</v>
      </c>
      <c r="K63">
        <v>-156.61999999999901</v>
      </c>
      <c r="L63" t="s">
        <v>7</v>
      </c>
      <c r="M63">
        <v>-1.70239130434782</v>
      </c>
      <c r="N63" t="s">
        <v>8</v>
      </c>
      <c r="O63">
        <v>1.43379310344827</v>
      </c>
      <c r="P63" t="s">
        <v>9</v>
      </c>
      <c r="Q63">
        <v>-7.0523529411764603</v>
      </c>
      <c r="R63" t="s">
        <v>10</v>
      </c>
      <c r="S63">
        <v>0.91998907272461095</v>
      </c>
      <c r="T63" t="s">
        <v>11</v>
      </c>
      <c r="U63" t="s">
        <v>1980</v>
      </c>
      <c r="V63" t="s">
        <v>720</v>
      </c>
      <c r="W63">
        <v>0</v>
      </c>
      <c r="X63" t="s">
        <v>14</v>
      </c>
      <c r="Y63" t="s">
        <v>15</v>
      </c>
      <c r="Z63" t="s">
        <v>2008</v>
      </c>
      <c r="AA63" t="s">
        <v>720</v>
      </c>
      <c r="AB63">
        <v>0</v>
      </c>
      <c r="AC63" t="s">
        <v>18</v>
      </c>
    </row>
    <row r="64" spans="1:29" x14ac:dyDescent="0.3">
      <c r="A64" t="s">
        <v>2043</v>
      </c>
      <c r="B64" t="s">
        <v>1</v>
      </c>
      <c r="C64">
        <v>0.3</v>
      </c>
      <c r="D64" t="s">
        <v>590</v>
      </c>
      <c r="E64" t="s">
        <v>1985</v>
      </c>
      <c r="F64" t="s">
        <v>4</v>
      </c>
      <c r="G64">
        <v>92</v>
      </c>
      <c r="H64" t="s">
        <v>5</v>
      </c>
      <c r="I64">
        <v>60</v>
      </c>
      <c r="J64" t="s">
        <v>6</v>
      </c>
      <c r="K64">
        <v>-188.35999999999899</v>
      </c>
      <c r="L64" t="s">
        <v>7</v>
      </c>
      <c r="M64">
        <v>-2.04739130434782</v>
      </c>
      <c r="N64" t="s">
        <v>8</v>
      </c>
      <c r="O64">
        <v>1.4198333333333299</v>
      </c>
      <c r="P64" t="s">
        <v>9</v>
      </c>
      <c r="Q64">
        <v>-8.5484374999999897</v>
      </c>
      <c r="R64" t="s">
        <v>10</v>
      </c>
      <c r="S64">
        <v>1.1055616443768299</v>
      </c>
      <c r="T64" t="s">
        <v>11</v>
      </c>
      <c r="U64" t="s">
        <v>1980</v>
      </c>
      <c r="V64" t="s">
        <v>720</v>
      </c>
      <c r="W64">
        <v>0</v>
      </c>
      <c r="X64" t="s">
        <v>14</v>
      </c>
      <c r="Y64" t="s">
        <v>15</v>
      </c>
      <c r="Z64" t="s">
        <v>2009</v>
      </c>
      <c r="AA64" t="s">
        <v>1987</v>
      </c>
      <c r="AB64">
        <v>0</v>
      </c>
      <c r="AC64" t="s">
        <v>18</v>
      </c>
    </row>
    <row r="65" spans="1:29" x14ac:dyDescent="0.3">
      <c r="A65" t="s">
        <v>2043</v>
      </c>
      <c r="B65" t="s">
        <v>1</v>
      </c>
      <c r="C65">
        <v>0.3</v>
      </c>
      <c r="D65" t="s">
        <v>590</v>
      </c>
      <c r="E65" t="s">
        <v>1988</v>
      </c>
      <c r="F65" t="s">
        <v>4</v>
      </c>
      <c r="G65">
        <v>92</v>
      </c>
      <c r="H65" t="s">
        <v>5</v>
      </c>
      <c r="I65">
        <v>60</v>
      </c>
      <c r="J65" t="s">
        <v>6</v>
      </c>
      <c r="K65">
        <v>-227.629999999999</v>
      </c>
      <c r="L65" t="s">
        <v>7</v>
      </c>
      <c r="M65">
        <v>-2.4742391304347802</v>
      </c>
      <c r="N65" t="s">
        <v>8</v>
      </c>
      <c r="O65">
        <v>1.4198333333333299</v>
      </c>
      <c r="P65" t="s">
        <v>9</v>
      </c>
      <c r="Q65">
        <v>-9.7756249999999891</v>
      </c>
      <c r="R65" t="s">
        <v>10</v>
      </c>
      <c r="S65">
        <v>1.16057706195889</v>
      </c>
      <c r="T65" t="s">
        <v>11</v>
      </c>
      <c r="U65" t="s">
        <v>1980</v>
      </c>
      <c r="V65" t="s">
        <v>720</v>
      </c>
      <c r="W65">
        <v>0</v>
      </c>
      <c r="X65" t="s">
        <v>14</v>
      </c>
      <c r="Y65" t="s">
        <v>15</v>
      </c>
      <c r="Z65" t="s">
        <v>2009</v>
      </c>
      <c r="AA65" t="s">
        <v>1987</v>
      </c>
      <c r="AB65">
        <v>0</v>
      </c>
      <c r="AC65" t="s">
        <v>18</v>
      </c>
    </row>
    <row r="66" spans="1:29" x14ac:dyDescent="0.3">
      <c r="A66" t="s">
        <v>2043</v>
      </c>
      <c r="B66" t="s">
        <v>1</v>
      </c>
      <c r="C66">
        <v>0.3</v>
      </c>
      <c r="D66" t="s">
        <v>599</v>
      </c>
      <c r="E66" t="s">
        <v>1991</v>
      </c>
      <c r="F66" t="s">
        <v>4</v>
      </c>
      <c r="G66">
        <v>94</v>
      </c>
      <c r="H66" t="s">
        <v>5</v>
      </c>
      <c r="I66">
        <v>48</v>
      </c>
      <c r="J66" t="s">
        <v>6</v>
      </c>
      <c r="K66">
        <v>-125.94</v>
      </c>
      <c r="L66" t="s">
        <v>7</v>
      </c>
      <c r="M66">
        <v>-1.3397872340425501</v>
      </c>
      <c r="N66" t="s">
        <v>8</v>
      </c>
      <c r="O66">
        <v>1.71291666666666</v>
      </c>
      <c r="P66" t="s">
        <v>9</v>
      </c>
      <c r="Q66">
        <v>-4.5252173913043396</v>
      </c>
      <c r="R66" t="s">
        <v>10</v>
      </c>
      <c r="S66">
        <v>0.715105223985398</v>
      </c>
      <c r="T66" t="s">
        <v>11</v>
      </c>
      <c r="U66" t="s">
        <v>2010</v>
      </c>
      <c r="V66" t="s">
        <v>720</v>
      </c>
      <c r="W66">
        <v>0</v>
      </c>
      <c r="X66" t="s">
        <v>14</v>
      </c>
      <c r="Y66" t="s">
        <v>15</v>
      </c>
      <c r="Z66" t="s">
        <v>2011</v>
      </c>
      <c r="AA66" t="s">
        <v>720</v>
      </c>
      <c r="AB66">
        <v>0</v>
      </c>
      <c r="AC66" t="s">
        <v>18</v>
      </c>
    </row>
    <row r="67" spans="1:29" x14ac:dyDescent="0.3">
      <c r="A67" t="s">
        <v>2043</v>
      </c>
      <c r="B67" t="s">
        <v>1</v>
      </c>
      <c r="C67">
        <v>0.3</v>
      </c>
      <c r="D67" t="s">
        <v>599</v>
      </c>
      <c r="E67" t="s">
        <v>1994</v>
      </c>
      <c r="F67" t="s">
        <v>4</v>
      </c>
      <c r="G67">
        <v>94</v>
      </c>
      <c r="H67" t="s">
        <v>5</v>
      </c>
      <c r="I67">
        <v>55</v>
      </c>
      <c r="J67" t="s">
        <v>6</v>
      </c>
      <c r="K67">
        <v>-207.07999999999899</v>
      </c>
      <c r="L67" t="s">
        <v>7</v>
      </c>
      <c r="M67">
        <v>-2.2029787234042502</v>
      </c>
      <c r="N67" t="s">
        <v>8</v>
      </c>
      <c r="O67">
        <v>1.712</v>
      </c>
      <c r="P67" t="s">
        <v>9</v>
      </c>
      <c r="Q67">
        <v>-7.7241025641025596</v>
      </c>
      <c r="R67" t="s">
        <v>10</v>
      </c>
      <c r="S67">
        <v>1.0381129908423099</v>
      </c>
      <c r="T67" t="s">
        <v>11</v>
      </c>
      <c r="U67" t="s">
        <v>2010</v>
      </c>
      <c r="V67" t="s">
        <v>720</v>
      </c>
      <c r="W67">
        <v>0</v>
      </c>
      <c r="X67" t="s">
        <v>14</v>
      </c>
      <c r="Y67" t="s">
        <v>15</v>
      </c>
      <c r="Z67" t="s">
        <v>2012</v>
      </c>
      <c r="AA67" t="s">
        <v>2013</v>
      </c>
      <c r="AB67">
        <v>0</v>
      </c>
      <c r="AC67" t="s">
        <v>18</v>
      </c>
    </row>
    <row r="68" spans="1:29" x14ac:dyDescent="0.3">
      <c r="A68" t="s">
        <v>2043</v>
      </c>
      <c r="B68" t="s">
        <v>1</v>
      </c>
      <c r="C68">
        <v>0.3</v>
      </c>
      <c r="D68" t="s">
        <v>599</v>
      </c>
      <c r="E68" t="s">
        <v>1996</v>
      </c>
      <c r="F68" t="s">
        <v>4</v>
      </c>
      <c r="G68">
        <v>94</v>
      </c>
      <c r="H68" t="s">
        <v>5</v>
      </c>
      <c r="I68">
        <v>61</v>
      </c>
      <c r="J68" t="s">
        <v>6</v>
      </c>
      <c r="K68">
        <v>-202.26999999999899</v>
      </c>
      <c r="L68" t="s">
        <v>7</v>
      </c>
      <c r="M68">
        <v>-2.1518085106382898</v>
      </c>
      <c r="N68" t="s">
        <v>8</v>
      </c>
      <c r="O68">
        <v>1.73868852459016</v>
      </c>
      <c r="P68" t="s">
        <v>9</v>
      </c>
      <c r="Q68">
        <v>-9.3433333333333302</v>
      </c>
      <c r="R68" t="s">
        <v>10</v>
      </c>
      <c r="S68">
        <v>1.3368586389411601</v>
      </c>
      <c r="T68" t="s">
        <v>11</v>
      </c>
      <c r="U68" t="s">
        <v>2014</v>
      </c>
      <c r="V68" t="s">
        <v>720</v>
      </c>
      <c r="W68">
        <v>0</v>
      </c>
      <c r="X68" t="s">
        <v>14</v>
      </c>
      <c r="Y68" t="s">
        <v>15</v>
      </c>
      <c r="Z68" t="s">
        <v>2015</v>
      </c>
      <c r="AA68" t="s">
        <v>720</v>
      </c>
      <c r="AB68">
        <v>0</v>
      </c>
      <c r="AC68" t="s">
        <v>18</v>
      </c>
    </row>
    <row r="69" spans="1:29" x14ac:dyDescent="0.3">
      <c r="A69" t="s">
        <v>2043</v>
      </c>
      <c r="B69" t="s">
        <v>1</v>
      </c>
      <c r="C69">
        <v>0.3</v>
      </c>
      <c r="D69" t="s">
        <v>599</v>
      </c>
      <c r="E69" t="s">
        <v>1997</v>
      </c>
      <c r="F69" t="s">
        <v>4</v>
      </c>
      <c r="G69">
        <v>94</v>
      </c>
      <c r="H69" t="s">
        <v>5</v>
      </c>
      <c r="I69">
        <v>71</v>
      </c>
      <c r="J69" t="s">
        <v>6</v>
      </c>
      <c r="K69">
        <v>-80.769999999999797</v>
      </c>
      <c r="L69" t="s">
        <v>7</v>
      </c>
      <c r="M69">
        <v>-0.85925531914893405</v>
      </c>
      <c r="N69" t="s">
        <v>8</v>
      </c>
      <c r="O69">
        <v>1.7961971830985899</v>
      </c>
      <c r="P69" t="s">
        <v>9</v>
      </c>
      <c r="Q69">
        <v>-9.0565217391304298</v>
      </c>
      <c r="R69" t="s">
        <v>10</v>
      </c>
      <c r="S69">
        <v>1.7040474716274201</v>
      </c>
      <c r="T69" t="s">
        <v>11</v>
      </c>
      <c r="U69" t="s">
        <v>2014</v>
      </c>
      <c r="V69" t="s">
        <v>720</v>
      </c>
      <c r="W69">
        <v>0</v>
      </c>
      <c r="X69" t="s">
        <v>14</v>
      </c>
      <c r="Y69" t="s">
        <v>15</v>
      </c>
      <c r="Z69" t="s">
        <v>2015</v>
      </c>
      <c r="AA69" t="s">
        <v>720</v>
      </c>
      <c r="AB69">
        <v>0</v>
      </c>
      <c r="AC69" t="s">
        <v>18</v>
      </c>
    </row>
    <row r="70" spans="1:29" x14ac:dyDescent="0.3">
      <c r="A70" t="s">
        <v>2043</v>
      </c>
      <c r="B70" t="s">
        <v>1</v>
      </c>
      <c r="C70">
        <v>0.3</v>
      </c>
      <c r="D70" t="s">
        <v>1998</v>
      </c>
      <c r="E70" t="s">
        <v>1999</v>
      </c>
      <c r="F70" t="s">
        <v>4</v>
      </c>
      <c r="G70">
        <v>87</v>
      </c>
      <c r="H70" t="s">
        <v>5</v>
      </c>
      <c r="I70">
        <v>52</v>
      </c>
      <c r="J70" t="s">
        <v>6</v>
      </c>
      <c r="K70">
        <v>-67.985957204986605</v>
      </c>
      <c r="L70" t="s">
        <v>7</v>
      </c>
      <c r="M70">
        <v>-0.78144778396536296</v>
      </c>
      <c r="N70" t="s">
        <v>8</v>
      </c>
      <c r="O70">
        <v>2.03899681908395</v>
      </c>
      <c r="P70" t="s">
        <v>9</v>
      </c>
      <c r="Q70">
        <v>-4.9718226227814899</v>
      </c>
      <c r="R70" t="s">
        <v>10</v>
      </c>
      <c r="S70">
        <v>0.62580040394854797</v>
      </c>
      <c r="T70" t="s">
        <v>11</v>
      </c>
      <c r="U70" t="s">
        <v>2016</v>
      </c>
      <c r="V70" t="s">
        <v>595</v>
      </c>
      <c r="W70">
        <v>0</v>
      </c>
      <c r="X70" t="s">
        <v>14</v>
      </c>
      <c r="Y70" t="s">
        <v>15</v>
      </c>
      <c r="Z70" t="s">
        <v>2017</v>
      </c>
      <c r="AA70" t="s">
        <v>595</v>
      </c>
      <c r="AB70">
        <v>0</v>
      </c>
      <c r="AC70" t="s">
        <v>18</v>
      </c>
    </row>
    <row r="71" spans="1:29" x14ac:dyDescent="0.3">
      <c r="A71" t="s">
        <v>2043</v>
      </c>
      <c r="B71" t="s">
        <v>1</v>
      </c>
      <c r="C71">
        <v>0.3</v>
      </c>
      <c r="D71" t="s">
        <v>1998</v>
      </c>
      <c r="E71" t="s">
        <v>2002</v>
      </c>
      <c r="F71" t="s">
        <v>4</v>
      </c>
      <c r="G71">
        <v>87</v>
      </c>
      <c r="H71" t="s">
        <v>5</v>
      </c>
      <c r="I71">
        <v>59</v>
      </c>
      <c r="J71" t="s">
        <v>6</v>
      </c>
      <c r="K71">
        <v>-135.56272305875001</v>
      </c>
      <c r="L71" t="s">
        <v>7</v>
      </c>
      <c r="M71">
        <v>-1.55819221906609</v>
      </c>
      <c r="N71" t="s">
        <v>8</v>
      </c>
      <c r="O71">
        <v>2.09562980757432</v>
      </c>
      <c r="P71" t="s">
        <v>9</v>
      </c>
      <c r="Q71">
        <v>-9.2573172037727094</v>
      </c>
      <c r="R71" t="s">
        <v>10</v>
      </c>
      <c r="S71">
        <v>0.91091689056457203</v>
      </c>
      <c r="T71" t="s">
        <v>11</v>
      </c>
      <c r="U71" t="s">
        <v>2016</v>
      </c>
      <c r="V71" t="s">
        <v>595</v>
      </c>
      <c r="W71">
        <v>0</v>
      </c>
      <c r="X71" t="s">
        <v>14</v>
      </c>
      <c r="Y71" t="s">
        <v>15</v>
      </c>
      <c r="Z71" t="s">
        <v>2018</v>
      </c>
      <c r="AA71" t="s">
        <v>1987</v>
      </c>
      <c r="AB71">
        <v>0</v>
      </c>
      <c r="AC71" t="s">
        <v>18</v>
      </c>
    </row>
    <row r="72" spans="1:29" x14ac:dyDescent="0.3">
      <c r="A72" t="s">
        <v>2043</v>
      </c>
      <c r="B72" t="s">
        <v>1</v>
      </c>
      <c r="C72">
        <v>0.3</v>
      </c>
      <c r="D72" t="s">
        <v>1998</v>
      </c>
      <c r="E72" t="s">
        <v>2004</v>
      </c>
      <c r="F72" t="s">
        <v>4</v>
      </c>
      <c r="G72">
        <v>87</v>
      </c>
      <c r="H72" t="s">
        <v>5</v>
      </c>
      <c r="I72">
        <v>64</v>
      </c>
      <c r="J72" t="s">
        <v>6</v>
      </c>
      <c r="K72">
        <v>-96.693718482311596</v>
      </c>
      <c r="L72" t="s">
        <v>7</v>
      </c>
      <c r="M72">
        <v>-1.11142205152082</v>
      </c>
      <c r="N72" t="s">
        <v>8</v>
      </c>
      <c r="O72">
        <v>2.1854106487138698</v>
      </c>
      <c r="P72" t="s">
        <v>9</v>
      </c>
      <c r="Q72">
        <v>-10.2852173913043</v>
      </c>
      <c r="R72" t="s">
        <v>10</v>
      </c>
      <c r="S72">
        <v>1.30011009745071</v>
      </c>
      <c r="T72" t="s">
        <v>11</v>
      </c>
      <c r="U72" t="s">
        <v>2014</v>
      </c>
      <c r="V72" t="s">
        <v>720</v>
      </c>
      <c r="W72">
        <v>0</v>
      </c>
      <c r="X72" t="s">
        <v>14</v>
      </c>
      <c r="Y72" t="s">
        <v>15</v>
      </c>
      <c r="Z72" t="s">
        <v>2018</v>
      </c>
      <c r="AA72" t="s">
        <v>1987</v>
      </c>
      <c r="AB72">
        <v>0</v>
      </c>
      <c r="AC72" t="s">
        <v>18</v>
      </c>
    </row>
    <row r="73" spans="1:29" x14ac:dyDescent="0.3">
      <c r="A73" t="s">
        <v>2043</v>
      </c>
      <c r="B73" t="s">
        <v>1</v>
      </c>
      <c r="C73">
        <v>0.3</v>
      </c>
      <c r="D73" t="s">
        <v>1998</v>
      </c>
      <c r="E73" t="s">
        <v>2005</v>
      </c>
      <c r="F73" t="s">
        <v>4</v>
      </c>
      <c r="G73">
        <v>87</v>
      </c>
      <c r="H73" t="s">
        <v>5</v>
      </c>
      <c r="I73">
        <v>66</v>
      </c>
      <c r="J73" t="s">
        <v>6</v>
      </c>
      <c r="K73">
        <v>-101.803718482311</v>
      </c>
      <c r="L73" t="s">
        <v>7</v>
      </c>
      <c r="M73">
        <v>-1.1701576837047301</v>
      </c>
      <c r="N73" t="s">
        <v>8</v>
      </c>
      <c r="O73">
        <v>2.19358002299527</v>
      </c>
      <c r="P73" t="s">
        <v>9</v>
      </c>
      <c r="Q73">
        <v>-11.741904761904699</v>
      </c>
      <c r="R73" t="s">
        <v>10</v>
      </c>
      <c r="S73">
        <v>1.3884448480616201</v>
      </c>
      <c r="T73" t="s">
        <v>11</v>
      </c>
      <c r="U73" t="s">
        <v>2014</v>
      </c>
      <c r="V73" t="s">
        <v>720</v>
      </c>
      <c r="W73">
        <v>0</v>
      </c>
      <c r="X73" t="s">
        <v>14</v>
      </c>
      <c r="Y73" t="s">
        <v>15</v>
      </c>
      <c r="Z73" t="s">
        <v>2018</v>
      </c>
      <c r="AA73" t="s">
        <v>1987</v>
      </c>
      <c r="AB73">
        <v>0</v>
      </c>
      <c r="AC73" t="s">
        <v>18</v>
      </c>
    </row>
    <row r="74" spans="1:29" x14ac:dyDescent="0.3">
      <c r="A74" t="s">
        <v>2043</v>
      </c>
      <c r="B74" t="s">
        <v>1</v>
      </c>
      <c r="C74">
        <v>0.2</v>
      </c>
      <c r="D74" t="s">
        <v>590</v>
      </c>
      <c r="E74" t="s">
        <v>1979</v>
      </c>
      <c r="F74" t="s">
        <v>4</v>
      </c>
      <c r="G74">
        <v>92</v>
      </c>
      <c r="H74" t="s">
        <v>5</v>
      </c>
      <c r="I74">
        <v>59</v>
      </c>
      <c r="J74" t="s">
        <v>6</v>
      </c>
      <c r="K74">
        <v>-51.161714564910099</v>
      </c>
      <c r="L74" t="s">
        <v>7</v>
      </c>
      <c r="M74">
        <v>-0.55610559309684804</v>
      </c>
      <c r="N74" t="s">
        <v>8</v>
      </c>
      <c r="O74">
        <v>0.844547210764235</v>
      </c>
      <c r="P74" t="s">
        <v>9</v>
      </c>
      <c r="Q74">
        <v>-3.0603030303030301</v>
      </c>
      <c r="R74" t="s">
        <v>10</v>
      </c>
      <c r="S74">
        <v>0.46860592683287899</v>
      </c>
      <c r="T74" t="s">
        <v>11</v>
      </c>
      <c r="U74" t="s">
        <v>2019</v>
      </c>
      <c r="V74" t="s">
        <v>720</v>
      </c>
      <c r="W74">
        <v>0</v>
      </c>
      <c r="X74" t="s">
        <v>14</v>
      </c>
      <c r="Y74" t="s">
        <v>15</v>
      </c>
      <c r="Z74" t="s">
        <v>2020</v>
      </c>
      <c r="AA74" t="s">
        <v>720</v>
      </c>
      <c r="AB74">
        <v>0</v>
      </c>
      <c r="AC74" t="s">
        <v>18</v>
      </c>
    </row>
    <row r="75" spans="1:29" x14ac:dyDescent="0.3">
      <c r="A75" t="s">
        <v>2043</v>
      </c>
      <c r="B75" t="s">
        <v>1</v>
      </c>
      <c r="C75">
        <v>0.2</v>
      </c>
      <c r="D75" t="s">
        <v>590</v>
      </c>
      <c r="E75" t="s">
        <v>1982</v>
      </c>
      <c r="F75" t="s">
        <v>4</v>
      </c>
      <c r="G75">
        <v>92</v>
      </c>
      <c r="H75" t="s">
        <v>5</v>
      </c>
      <c r="I75">
        <v>64</v>
      </c>
      <c r="J75" t="s">
        <v>6</v>
      </c>
      <c r="K75">
        <v>-70.181714564910095</v>
      </c>
      <c r="L75" t="s">
        <v>7</v>
      </c>
      <c r="M75">
        <v>-0.76284472353163102</v>
      </c>
      <c r="N75" t="s">
        <v>8</v>
      </c>
      <c r="O75">
        <v>0.84575445992327902</v>
      </c>
      <c r="P75" t="s">
        <v>9</v>
      </c>
      <c r="Q75">
        <v>-4.4396428571428501</v>
      </c>
      <c r="R75" t="s">
        <v>10</v>
      </c>
      <c r="S75">
        <v>0.62853994165666205</v>
      </c>
      <c r="T75" t="s">
        <v>11</v>
      </c>
      <c r="U75" t="s">
        <v>2021</v>
      </c>
      <c r="V75" t="s">
        <v>720</v>
      </c>
      <c r="W75">
        <v>0</v>
      </c>
      <c r="X75" t="s">
        <v>14</v>
      </c>
      <c r="Y75" t="s">
        <v>15</v>
      </c>
      <c r="Z75" t="s">
        <v>2022</v>
      </c>
      <c r="AA75" t="s">
        <v>720</v>
      </c>
      <c r="AB75">
        <v>0</v>
      </c>
      <c r="AC75" t="s">
        <v>18</v>
      </c>
    </row>
    <row r="76" spans="1:29" x14ac:dyDescent="0.3">
      <c r="A76" t="s">
        <v>2043</v>
      </c>
      <c r="B76" t="s">
        <v>1</v>
      </c>
      <c r="C76">
        <v>0.2</v>
      </c>
      <c r="D76" t="s">
        <v>590</v>
      </c>
      <c r="E76" t="s">
        <v>1985</v>
      </c>
      <c r="F76" t="s">
        <v>4</v>
      </c>
      <c r="G76">
        <v>92</v>
      </c>
      <c r="H76" t="s">
        <v>5</v>
      </c>
      <c r="I76">
        <v>66</v>
      </c>
      <c r="J76" t="s">
        <v>6</v>
      </c>
      <c r="K76">
        <v>-108.62171456490999</v>
      </c>
      <c r="L76" t="s">
        <v>7</v>
      </c>
      <c r="M76">
        <v>-1.18067081048815</v>
      </c>
      <c r="N76" t="s">
        <v>8</v>
      </c>
      <c r="O76">
        <v>0.85209523386499797</v>
      </c>
      <c r="P76" t="s">
        <v>9</v>
      </c>
      <c r="Q76">
        <v>-6.3407692307692196</v>
      </c>
      <c r="R76" t="s">
        <v>10</v>
      </c>
      <c r="S76">
        <v>0.763378504532229</v>
      </c>
      <c r="T76" t="s">
        <v>11</v>
      </c>
      <c r="U76" t="s">
        <v>2021</v>
      </c>
      <c r="V76" t="s">
        <v>720</v>
      </c>
      <c r="W76">
        <v>0</v>
      </c>
      <c r="X76" t="s">
        <v>14</v>
      </c>
      <c r="Y76" t="s">
        <v>15</v>
      </c>
      <c r="Z76" t="s">
        <v>2022</v>
      </c>
      <c r="AA76" t="s">
        <v>720</v>
      </c>
      <c r="AB76">
        <v>0</v>
      </c>
      <c r="AC76" t="s">
        <v>18</v>
      </c>
    </row>
    <row r="77" spans="1:29" x14ac:dyDescent="0.3">
      <c r="A77" t="s">
        <v>2043</v>
      </c>
      <c r="B77" t="s">
        <v>1</v>
      </c>
      <c r="C77">
        <v>0.2</v>
      </c>
      <c r="D77" t="s">
        <v>590</v>
      </c>
      <c r="E77" t="s">
        <v>1988</v>
      </c>
      <c r="F77" t="s">
        <v>4</v>
      </c>
      <c r="G77">
        <v>92</v>
      </c>
      <c r="H77" t="s">
        <v>5</v>
      </c>
      <c r="I77">
        <v>68</v>
      </c>
      <c r="J77" t="s">
        <v>6</v>
      </c>
      <c r="K77">
        <v>-122.75171456491</v>
      </c>
      <c r="L77" t="s">
        <v>7</v>
      </c>
      <c r="M77">
        <v>-1.3342577670098901</v>
      </c>
      <c r="N77" t="s">
        <v>8</v>
      </c>
      <c r="O77">
        <v>0.84423949169249801</v>
      </c>
      <c r="P77" t="s">
        <v>9</v>
      </c>
      <c r="Q77">
        <v>-7.5066666666666597</v>
      </c>
      <c r="R77" t="s">
        <v>10</v>
      </c>
      <c r="S77">
        <v>0.78979084959091095</v>
      </c>
      <c r="T77" t="s">
        <v>11</v>
      </c>
      <c r="U77" t="s">
        <v>2021</v>
      </c>
      <c r="V77" t="s">
        <v>720</v>
      </c>
      <c r="W77">
        <v>0</v>
      </c>
      <c r="X77" t="s">
        <v>14</v>
      </c>
      <c r="Y77" t="s">
        <v>15</v>
      </c>
      <c r="Z77" t="s">
        <v>2022</v>
      </c>
      <c r="AA77" t="s">
        <v>720</v>
      </c>
      <c r="AB77">
        <v>0</v>
      </c>
      <c r="AC77" t="s">
        <v>18</v>
      </c>
    </row>
    <row r="78" spans="1:29" x14ac:dyDescent="0.3">
      <c r="A78" t="s">
        <v>2043</v>
      </c>
      <c r="B78" t="s">
        <v>1</v>
      </c>
      <c r="C78">
        <v>0.2</v>
      </c>
      <c r="D78" t="s">
        <v>599</v>
      </c>
      <c r="E78" t="s">
        <v>1991</v>
      </c>
      <c r="F78" t="s">
        <v>4</v>
      </c>
      <c r="G78">
        <v>94</v>
      </c>
      <c r="H78" t="s">
        <v>5</v>
      </c>
      <c r="I78">
        <v>50</v>
      </c>
      <c r="J78" t="s">
        <v>6</v>
      </c>
      <c r="K78">
        <v>-79.760195332870396</v>
      </c>
      <c r="L78" t="s">
        <v>7</v>
      </c>
      <c r="M78">
        <v>-0.84851271630713199</v>
      </c>
      <c r="N78" t="s">
        <v>8</v>
      </c>
      <c r="O78">
        <v>0.98139609334259204</v>
      </c>
      <c r="P78" t="s">
        <v>9</v>
      </c>
      <c r="Q78">
        <v>-2.9279545454545399</v>
      </c>
      <c r="R78" t="s">
        <v>10</v>
      </c>
      <c r="S78">
        <v>0.49369363556795798</v>
      </c>
      <c r="T78" t="s">
        <v>11</v>
      </c>
      <c r="U78" t="s">
        <v>2023</v>
      </c>
      <c r="V78" t="s">
        <v>720</v>
      </c>
      <c r="W78">
        <v>0</v>
      </c>
      <c r="X78" t="s">
        <v>14</v>
      </c>
      <c r="Y78" t="s">
        <v>15</v>
      </c>
      <c r="Z78" t="s">
        <v>2024</v>
      </c>
      <c r="AA78" t="s">
        <v>720</v>
      </c>
      <c r="AB78">
        <v>0</v>
      </c>
      <c r="AC78" t="s">
        <v>18</v>
      </c>
    </row>
    <row r="79" spans="1:29" x14ac:dyDescent="0.3">
      <c r="A79" t="s">
        <v>2043</v>
      </c>
      <c r="B79" t="s">
        <v>1</v>
      </c>
      <c r="C79">
        <v>0.2</v>
      </c>
      <c r="D79" t="s">
        <v>599</v>
      </c>
      <c r="E79" t="s">
        <v>1994</v>
      </c>
      <c r="F79" t="s">
        <v>4</v>
      </c>
      <c r="G79">
        <v>94</v>
      </c>
      <c r="H79" t="s">
        <v>5</v>
      </c>
      <c r="I79">
        <v>57</v>
      </c>
      <c r="J79" t="s">
        <v>6</v>
      </c>
      <c r="K79">
        <v>-119.13019533287</v>
      </c>
      <c r="L79" t="s">
        <v>7</v>
      </c>
      <c r="M79">
        <v>-1.2673425035411701</v>
      </c>
      <c r="N79" t="s">
        <v>8</v>
      </c>
      <c r="O79">
        <v>0.98543516959876498</v>
      </c>
      <c r="P79" t="s">
        <v>9</v>
      </c>
      <c r="Q79">
        <v>-4.7378378378378301</v>
      </c>
      <c r="R79" t="s">
        <v>10</v>
      </c>
      <c r="S79">
        <v>0.63345566030507705</v>
      </c>
      <c r="T79" t="s">
        <v>11</v>
      </c>
      <c r="U79" t="s">
        <v>2023</v>
      </c>
      <c r="V79" t="s">
        <v>720</v>
      </c>
      <c r="W79">
        <v>0</v>
      </c>
      <c r="X79" t="s">
        <v>14</v>
      </c>
      <c r="Y79" t="s">
        <v>15</v>
      </c>
      <c r="Z79" t="s">
        <v>2024</v>
      </c>
      <c r="AA79" t="s">
        <v>720</v>
      </c>
      <c r="AB79">
        <v>0</v>
      </c>
      <c r="AC79" t="s">
        <v>18</v>
      </c>
    </row>
    <row r="80" spans="1:29" x14ac:dyDescent="0.3">
      <c r="A80" t="s">
        <v>2043</v>
      </c>
      <c r="B80" t="s">
        <v>1</v>
      </c>
      <c r="C80">
        <v>0.2</v>
      </c>
      <c r="D80" t="s">
        <v>599</v>
      </c>
      <c r="E80" t="s">
        <v>1996</v>
      </c>
      <c r="F80" t="s">
        <v>4</v>
      </c>
      <c r="G80">
        <v>94</v>
      </c>
      <c r="H80" t="s">
        <v>5</v>
      </c>
      <c r="I80">
        <v>61</v>
      </c>
      <c r="J80" t="s">
        <v>6</v>
      </c>
      <c r="K80">
        <v>-162.48019533287001</v>
      </c>
      <c r="L80" t="s">
        <v>7</v>
      </c>
      <c r="M80">
        <v>-1.7285127163071301</v>
      </c>
      <c r="N80" t="s">
        <v>8</v>
      </c>
      <c r="O80">
        <v>1.0039312240513001</v>
      </c>
      <c r="P80" t="s">
        <v>9</v>
      </c>
      <c r="Q80">
        <v>-6.7793939393939402</v>
      </c>
      <c r="R80" t="s">
        <v>10</v>
      </c>
      <c r="S80">
        <v>0.88426715670684797</v>
      </c>
      <c r="T80" t="s">
        <v>11</v>
      </c>
      <c r="U80" t="s">
        <v>2025</v>
      </c>
      <c r="V80" t="s">
        <v>720</v>
      </c>
      <c r="W80">
        <v>0</v>
      </c>
      <c r="X80" t="s">
        <v>14</v>
      </c>
      <c r="Y80" t="s">
        <v>15</v>
      </c>
      <c r="Z80" t="s">
        <v>2026</v>
      </c>
      <c r="AA80" t="s">
        <v>720</v>
      </c>
      <c r="AB80">
        <v>0</v>
      </c>
      <c r="AC80" t="s">
        <v>18</v>
      </c>
    </row>
    <row r="81" spans="1:29" x14ac:dyDescent="0.3">
      <c r="A81" t="s">
        <v>2043</v>
      </c>
      <c r="B81" t="s">
        <v>1</v>
      </c>
      <c r="C81">
        <v>0.2</v>
      </c>
      <c r="D81" t="s">
        <v>599</v>
      </c>
      <c r="E81" t="s">
        <v>1997</v>
      </c>
      <c r="F81" t="s">
        <v>4</v>
      </c>
      <c r="G81">
        <v>94</v>
      </c>
      <c r="H81" t="s">
        <v>5</v>
      </c>
      <c r="I81">
        <v>68</v>
      </c>
      <c r="J81" t="s">
        <v>6</v>
      </c>
      <c r="K81">
        <v>-141.81019533286999</v>
      </c>
      <c r="L81" t="s">
        <v>7</v>
      </c>
      <c r="M81">
        <v>-1.5086190992858499</v>
      </c>
      <c r="N81" t="s">
        <v>8</v>
      </c>
      <c r="O81">
        <v>1.0255853627519</v>
      </c>
      <c r="P81" t="s">
        <v>9</v>
      </c>
      <c r="Q81">
        <v>-8.1365384615384606</v>
      </c>
      <c r="R81" t="s">
        <v>10</v>
      </c>
      <c r="S81">
        <v>0.97507758136766198</v>
      </c>
      <c r="T81" t="s">
        <v>11</v>
      </c>
      <c r="U81" t="s">
        <v>2025</v>
      </c>
      <c r="V81" t="s">
        <v>720</v>
      </c>
      <c r="W81">
        <v>0</v>
      </c>
      <c r="X81" t="s">
        <v>14</v>
      </c>
      <c r="Y81" t="s">
        <v>15</v>
      </c>
      <c r="Z81" t="s">
        <v>2026</v>
      </c>
      <c r="AA81" t="s">
        <v>720</v>
      </c>
      <c r="AB81">
        <v>0</v>
      </c>
      <c r="AC81" t="s">
        <v>18</v>
      </c>
    </row>
    <row r="82" spans="1:29" x14ac:dyDescent="0.3">
      <c r="A82" t="s">
        <v>2043</v>
      </c>
      <c r="B82" t="s">
        <v>1</v>
      </c>
      <c r="C82">
        <v>0.2</v>
      </c>
      <c r="D82" t="s">
        <v>1998</v>
      </c>
      <c r="E82" t="s">
        <v>1999</v>
      </c>
      <c r="F82" t="s">
        <v>4</v>
      </c>
      <c r="G82">
        <v>87</v>
      </c>
      <c r="H82" t="s">
        <v>5</v>
      </c>
      <c r="I82">
        <v>52</v>
      </c>
      <c r="J82" t="s">
        <v>6</v>
      </c>
      <c r="K82">
        <v>-56.357057117474803</v>
      </c>
      <c r="L82" t="s">
        <v>7</v>
      </c>
      <c r="M82">
        <v>-0.64778226571810105</v>
      </c>
      <c r="N82" t="s">
        <v>8</v>
      </c>
      <c r="O82">
        <v>1.2584727420322299</v>
      </c>
      <c r="P82" t="s">
        <v>9</v>
      </c>
      <c r="Q82">
        <v>-3.47993256294717</v>
      </c>
      <c r="R82" t="s">
        <v>10</v>
      </c>
      <c r="S82">
        <v>0.44692341025048798</v>
      </c>
      <c r="T82" t="s">
        <v>11</v>
      </c>
      <c r="U82" t="s">
        <v>2027</v>
      </c>
      <c r="V82" t="s">
        <v>595</v>
      </c>
      <c r="W82">
        <v>0</v>
      </c>
      <c r="X82" t="s">
        <v>14</v>
      </c>
      <c r="Y82" t="s">
        <v>15</v>
      </c>
      <c r="Z82" t="s">
        <v>2028</v>
      </c>
      <c r="AA82" t="s">
        <v>720</v>
      </c>
      <c r="AB82">
        <v>0</v>
      </c>
      <c r="AC82" t="s">
        <v>18</v>
      </c>
    </row>
    <row r="83" spans="1:29" x14ac:dyDescent="0.3">
      <c r="A83" t="s">
        <v>2043</v>
      </c>
      <c r="B83" t="s">
        <v>1</v>
      </c>
      <c r="C83">
        <v>0.2</v>
      </c>
      <c r="D83" t="s">
        <v>1998</v>
      </c>
      <c r="E83" t="s">
        <v>2002</v>
      </c>
      <c r="F83" t="s">
        <v>4</v>
      </c>
      <c r="G83">
        <v>87</v>
      </c>
      <c r="H83" t="s">
        <v>5</v>
      </c>
      <c r="I83">
        <v>60</v>
      </c>
      <c r="J83" t="s">
        <v>6</v>
      </c>
      <c r="K83">
        <v>-74.701416433233106</v>
      </c>
      <c r="L83" t="s">
        <v>7</v>
      </c>
      <c r="M83">
        <v>-0.85863697049693299</v>
      </c>
      <c r="N83" t="s">
        <v>8</v>
      </c>
      <c r="O83">
        <v>1.2536149842609601</v>
      </c>
      <c r="P83" t="s">
        <v>9</v>
      </c>
      <c r="Q83">
        <v>-5.5525302032922497</v>
      </c>
      <c r="R83" t="s">
        <v>10</v>
      </c>
      <c r="S83">
        <v>0.55886754627587798</v>
      </c>
      <c r="T83" t="s">
        <v>11</v>
      </c>
      <c r="U83" t="s">
        <v>2027</v>
      </c>
      <c r="V83" t="s">
        <v>595</v>
      </c>
      <c r="W83">
        <v>0</v>
      </c>
      <c r="X83" t="s">
        <v>14</v>
      </c>
      <c r="Y83" t="s">
        <v>15</v>
      </c>
      <c r="Z83" t="s">
        <v>2028</v>
      </c>
      <c r="AA83" t="s">
        <v>720</v>
      </c>
      <c r="AB83">
        <v>0</v>
      </c>
      <c r="AC83" t="s">
        <v>18</v>
      </c>
    </row>
    <row r="84" spans="1:29" x14ac:dyDescent="0.3">
      <c r="A84" t="s">
        <v>2043</v>
      </c>
      <c r="B84" t="s">
        <v>1</v>
      </c>
      <c r="C84">
        <v>0.2</v>
      </c>
      <c r="D84" t="s">
        <v>1998</v>
      </c>
      <c r="E84" t="s">
        <v>2004</v>
      </c>
      <c r="F84" t="s">
        <v>4</v>
      </c>
      <c r="G84">
        <v>87</v>
      </c>
      <c r="H84" t="s">
        <v>5</v>
      </c>
      <c r="I84">
        <v>62</v>
      </c>
      <c r="J84" t="s">
        <v>6</v>
      </c>
      <c r="K84">
        <v>-123.915903020771</v>
      </c>
      <c r="L84" t="s">
        <v>7</v>
      </c>
      <c r="M84">
        <v>-1.42432072437667</v>
      </c>
      <c r="N84" t="s">
        <v>8</v>
      </c>
      <c r="O84">
        <v>1.2797886944460899</v>
      </c>
      <c r="P84" t="s">
        <v>9</v>
      </c>
      <c r="Q84">
        <v>-8.1305120830571393</v>
      </c>
      <c r="R84" t="s">
        <v>10</v>
      </c>
      <c r="S84">
        <v>0.78944034851616296</v>
      </c>
      <c r="T84" t="s">
        <v>11</v>
      </c>
      <c r="U84" t="s">
        <v>2025</v>
      </c>
      <c r="V84" t="s">
        <v>720</v>
      </c>
      <c r="W84">
        <v>0</v>
      </c>
      <c r="X84" t="s">
        <v>14</v>
      </c>
      <c r="Y84" t="s">
        <v>15</v>
      </c>
      <c r="Z84" t="s">
        <v>2029</v>
      </c>
      <c r="AA84" t="s">
        <v>1987</v>
      </c>
      <c r="AB84">
        <v>0</v>
      </c>
      <c r="AC84" t="s">
        <v>18</v>
      </c>
    </row>
    <row r="85" spans="1:29" x14ac:dyDescent="0.3">
      <c r="A85" t="s">
        <v>2043</v>
      </c>
      <c r="B85" t="s">
        <v>1</v>
      </c>
      <c r="C85">
        <v>0.2</v>
      </c>
      <c r="D85" t="s">
        <v>1998</v>
      </c>
      <c r="E85" t="s">
        <v>2005</v>
      </c>
      <c r="F85" t="s">
        <v>4</v>
      </c>
      <c r="G85">
        <v>87</v>
      </c>
      <c r="H85" t="s">
        <v>5</v>
      </c>
      <c r="I85">
        <v>67</v>
      </c>
      <c r="J85" t="s">
        <v>6</v>
      </c>
      <c r="K85">
        <v>-92.697057117474799</v>
      </c>
      <c r="L85" t="s">
        <v>7</v>
      </c>
      <c r="M85">
        <v>-1.0654834151433801</v>
      </c>
      <c r="N85" t="s">
        <v>8</v>
      </c>
      <c r="O85">
        <v>1.31685583650144</v>
      </c>
      <c r="P85" t="s">
        <v>9</v>
      </c>
      <c r="Q85">
        <v>-9.0463199081535901</v>
      </c>
      <c r="R85" t="s">
        <v>10</v>
      </c>
      <c r="S85">
        <v>0.96665502967577799</v>
      </c>
      <c r="T85" t="s">
        <v>11</v>
      </c>
      <c r="U85" t="s">
        <v>2025</v>
      </c>
      <c r="V85" t="s">
        <v>720</v>
      </c>
      <c r="W85">
        <v>0</v>
      </c>
      <c r="X85" t="s">
        <v>14</v>
      </c>
      <c r="Y85" t="s">
        <v>15</v>
      </c>
      <c r="Z85" t="s">
        <v>2029</v>
      </c>
      <c r="AA85" t="s">
        <v>1987</v>
      </c>
      <c r="AB85">
        <v>0</v>
      </c>
      <c r="AC85" t="s">
        <v>18</v>
      </c>
    </row>
    <row r="86" spans="1:29" x14ac:dyDescent="0.3">
      <c r="A86" t="s">
        <v>2043</v>
      </c>
      <c r="B86" t="s">
        <v>1</v>
      </c>
      <c r="C86">
        <v>0.1</v>
      </c>
      <c r="D86" t="s">
        <v>590</v>
      </c>
      <c r="E86" t="s">
        <v>1979</v>
      </c>
      <c r="F86" t="s">
        <v>4</v>
      </c>
      <c r="G86">
        <v>92</v>
      </c>
      <c r="H86" t="s">
        <v>5</v>
      </c>
      <c r="I86">
        <v>61</v>
      </c>
      <c r="J86" t="s">
        <v>6</v>
      </c>
      <c r="K86">
        <v>-34.918414161466501</v>
      </c>
      <c r="L86" t="s">
        <v>7</v>
      </c>
      <c r="M86">
        <v>-0.37954798001594098</v>
      </c>
      <c r="N86" t="s">
        <v>8</v>
      </c>
      <c r="O86">
        <v>0.35450325224825302</v>
      </c>
      <c r="P86" t="s">
        <v>9</v>
      </c>
      <c r="Q86">
        <v>-1.8239713725358</v>
      </c>
      <c r="R86" t="s">
        <v>10</v>
      </c>
      <c r="S86">
        <v>0.29648031629332</v>
      </c>
      <c r="T86" t="s">
        <v>11</v>
      </c>
      <c r="U86" t="s">
        <v>2030</v>
      </c>
      <c r="V86" t="s">
        <v>720</v>
      </c>
      <c r="W86">
        <v>0</v>
      </c>
      <c r="X86" t="s">
        <v>14</v>
      </c>
      <c r="Y86" t="s">
        <v>15</v>
      </c>
      <c r="Z86" t="s">
        <v>2031</v>
      </c>
      <c r="AA86" t="s">
        <v>720</v>
      </c>
      <c r="AB86">
        <v>0</v>
      </c>
      <c r="AC86" t="s">
        <v>18</v>
      </c>
    </row>
    <row r="87" spans="1:29" x14ac:dyDescent="0.3">
      <c r="A87" t="s">
        <v>2043</v>
      </c>
      <c r="B87" t="s">
        <v>1</v>
      </c>
      <c r="C87">
        <v>0.1</v>
      </c>
      <c r="D87" t="s">
        <v>590</v>
      </c>
      <c r="E87" t="s">
        <v>1982</v>
      </c>
      <c r="F87" t="s">
        <v>4</v>
      </c>
      <c r="G87">
        <v>92</v>
      </c>
      <c r="H87" t="s">
        <v>5</v>
      </c>
      <c r="I87">
        <v>68</v>
      </c>
      <c r="J87" t="s">
        <v>6</v>
      </c>
      <c r="K87">
        <v>-43.8881781597036</v>
      </c>
      <c r="L87" t="s">
        <v>7</v>
      </c>
      <c r="M87">
        <v>-0.477045414779387</v>
      </c>
      <c r="N87" t="s">
        <v>8</v>
      </c>
      <c r="O87">
        <v>0.36252679176906299</v>
      </c>
      <c r="P87" t="s">
        <v>9</v>
      </c>
      <c r="Q87">
        <v>-2.8558333333333299</v>
      </c>
      <c r="R87" t="s">
        <v>10</v>
      </c>
      <c r="S87">
        <v>0.431341555049433</v>
      </c>
      <c r="T87" t="s">
        <v>11</v>
      </c>
      <c r="U87" t="s">
        <v>2032</v>
      </c>
      <c r="V87" t="s">
        <v>720</v>
      </c>
      <c r="W87">
        <v>0</v>
      </c>
      <c r="X87" t="s">
        <v>14</v>
      </c>
      <c r="Y87" t="s">
        <v>15</v>
      </c>
      <c r="Z87" t="s">
        <v>2033</v>
      </c>
      <c r="AA87" t="s">
        <v>720</v>
      </c>
      <c r="AB87">
        <v>0</v>
      </c>
      <c r="AC87" t="s">
        <v>18</v>
      </c>
    </row>
    <row r="88" spans="1:29" x14ac:dyDescent="0.3">
      <c r="A88" t="s">
        <v>2043</v>
      </c>
      <c r="B88" t="s">
        <v>1</v>
      </c>
      <c r="C88">
        <v>0.1</v>
      </c>
      <c r="D88" t="s">
        <v>590</v>
      </c>
      <c r="E88" t="s">
        <v>1985</v>
      </c>
      <c r="F88" t="s">
        <v>4</v>
      </c>
      <c r="G88">
        <v>92</v>
      </c>
      <c r="H88" t="s">
        <v>5</v>
      </c>
      <c r="I88">
        <v>69</v>
      </c>
      <c r="J88" t="s">
        <v>6</v>
      </c>
      <c r="K88">
        <v>-56.988178159703601</v>
      </c>
      <c r="L88" t="s">
        <v>7</v>
      </c>
      <c r="M88">
        <v>-0.61943671912721299</v>
      </c>
      <c r="N88" t="s">
        <v>8</v>
      </c>
      <c r="O88">
        <v>0.360461186091251</v>
      </c>
      <c r="P88" t="s">
        <v>9</v>
      </c>
      <c r="Q88">
        <v>-3.5591304347825998</v>
      </c>
      <c r="R88" t="s">
        <v>10</v>
      </c>
      <c r="S88">
        <v>0.464080879850085</v>
      </c>
      <c r="T88" t="s">
        <v>11</v>
      </c>
      <c r="U88" t="s">
        <v>2032</v>
      </c>
      <c r="V88" t="s">
        <v>720</v>
      </c>
      <c r="W88">
        <v>0</v>
      </c>
      <c r="X88" t="s">
        <v>14</v>
      </c>
      <c r="Y88" t="s">
        <v>15</v>
      </c>
      <c r="Z88" t="s">
        <v>2033</v>
      </c>
      <c r="AA88" t="s">
        <v>720</v>
      </c>
      <c r="AB88">
        <v>0</v>
      </c>
      <c r="AC88" t="s">
        <v>18</v>
      </c>
    </row>
    <row r="89" spans="1:29" x14ac:dyDescent="0.3">
      <c r="A89" t="s">
        <v>2043</v>
      </c>
      <c r="B89" t="s">
        <v>1</v>
      </c>
      <c r="C89">
        <v>0.1</v>
      </c>
      <c r="D89" t="s">
        <v>590</v>
      </c>
      <c r="E89" t="s">
        <v>1988</v>
      </c>
      <c r="F89" t="s">
        <v>4</v>
      </c>
      <c r="G89">
        <v>92</v>
      </c>
      <c r="H89" t="s">
        <v>5</v>
      </c>
      <c r="I89">
        <v>71</v>
      </c>
      <c r="J89" t="s">
        <v>6</v>
      </c>
      <c r="K89">
        <v>-64.558178159703601</v>
      </c>
      <c r="L89" t="s">
        <v>7</v>
      </c>
      <c r="M89">
        <v>-0.70171932782286495</v>
      </c>
      <c r="N89" t="s">
        <v>8</v>
      </c>
      <c r="O89">
        <v>0.36101157521544103</v>
      </c>
      <c r="P89" t="s">
        <v>9</v>
      </c>
      <c r="Q89">
        <v>-4.2947619047619003</v>
      </c>
      <c r="R89" t="s">
        <v>10</v>
      </c>
      <c r="S89">
        <v>0.49265091753638901</v>
      </c>
      <c r="T89" t="s">
        <v>11</v>
      </c>
      <c r="U89" t="s">
        <v>2032</v>
      </c>
      <c r="V89" t="s">
        <v>720</v>
      </c>
      <c r="W89">
        <v>0</v>
      </c>
      <c r="X89" t="s">
        <v>14</v>
      </c>
      <c r="Y89" t="s">
        <v>15</v>
      </c>
      <c r="Z89" t="s">
        <v>2033</v>
      </c>
      <c r="AA89" t="s">
        <v>720</v>
      </c>
      <c r="AB89">
        <v>0</v>
      </c>
      <c r="AC89" t="s">
        <v>18</v>
      </c>
    </row>
    <row r="90" spans="1:29" x14ac:dyDescent="0.3">
      <c r="A90" t="s">
        <v>2043</v>
      </c>
      <c r="B90" t="s">
        <v>1</v>
      </c>
      <c r="C90">
        <v>0.1</v>
      </c>
      <c r="D90" t="s">
        <v>599</v>
      </c>
      <c r="E90" t="s">
        <v>1991</v>
      </c>
      <c r="F90" t="s">
        <v>4</v>
      </c>
      <c r="G90">
        <v>94</v>
      </c>
      <c r="H90" t="s">
        <v>5</v>
      </c>
      <c r="I90">
        <v>58</v>
      </c>
      <c r="J90" t="s">
        <v>6</v>
      </c>
      <c r="K90">
        <v>-28.494662745517701</v>
      </c>
      <c r="L90" t="s">
        <v>7</v>
      </c>
      <c r="M90">
        <v>-0.30313471005869902</v>
      </c>
      <c r="N90" t="s">
        <v>8</v>
      </c>
      <c r="O90">
        <v>0.43509904469977001</v>
      </c>
      <c r="P90" t="s">
        <v>9</v>
      </c>
      <c r="Q90">
        <v>-1.4925113149473399</v>
      </c>
      <c r="R90" t="s">
        <v>10</v>
      </c>
      <c r="S90">
        <v>0.21807692811219001</v>
      </c>
      <c r="T90" t="s">
        <v>11</v>
      </c>
      <c r="U90" t="s">
        <v>2034</v>
      </c>
      <c r="V90" t="s">
        <v>720</v>
      </c>
      <c r="W90">
        <v>0</v>
      </c>
      <c r="X90" t="s">
        <v>14</v>
      </c>
      <c r="Y90" t="s">
        <v>15</v>
      </c>
      <c r="Z90" t="s">
        <v>2035</v>
      </c>
      <c r="AA90" t="s">
        <v>720</v>
      </c>
      <c r="AB90">
        <v>0</v>
      </c>
      <c r="AC90" t="s">
        <v>18</v>
      </c>
    </row>
    <row r="91" spans="1:29" x14ac:dyDescent="0.3">
      <c r="A91" t="s">
        <v>2043</v>
      </c>
      <c r="B91" t="s">
        <v>1</v>
      </c>
      <c r="C91">
        <v>0.1</v>
      </c>
      <c r="D91" t="s">
        <v>599</v>
      </c>
      <c r="E91" t="s">
        <v>1994</v>
      </c>
      <c r="F91" t="s">
        <v>4</v>
      </c>
      <c r="G91">
        <v>94</v>
      </c>
      <c r="H91" t="s">
        <v>5</v>
      </c>
      <c r="I91">
        <v>65</v>
      </c>
      <c r="J91" t="s">
        <v>6</v>
      </c>
      <c r="K91">
        <v>-42.926321541614698</v>
      </c>
      <c r="L91" t="s">
        <v>7</v>
      </c>
      <c r="M91">
        <v>-0.45666299512356101</v>
      </c>
      <c r="N91" t="s">
        <v>8</v>
      </c>
      <c r="O91">
        <v>0.43945130433580898</v>
      </c>
      <c r="P91" t="s">
        <v>9</v>
      </c>
      <c r="Q91">
        <v>-2.4651950456359399</v>
      </c>
      <c r="R91" t="s">
        <v>10</v>
      </c>
      <c r="S91">
        <v>0.29275962913030701</v>
      </c>
      <c r="T91" t="s">
        <v>11</v>
      </c>
      <c r="U91" t="s">
        <v>2034</v>
      </c>
      <c r="V91" t="s">
        <v>720</v>
      </c>
      <c r="W91">
        <v>0</v>
      </c>
      <c r="X91" t="s">
        <v>14</v>
      </c>
      <c r="Y91" t="s">
        <v>15</v>
      </c>
      <c r="Z91" t="s">
        <v>2035</v>
      </c>
      <c r="AA91" t="s">
        <v>720</v>
      </c>
      <c r="AB91">
        <v>0</v>
      </c>
      <c r="AC91" t="s">
        <v>18</v>
      </c>
    </row>
    <row r="92" spans="1:29" x14ac:dyDescent="0.3">
      <c r="A92" t="s">
        <v>2043</v>
      </c>
      <c r="B92" t="s">
        <v>1</v>
      </c>
      <c r="C92">
        <v>0.1</v>
      </c>
      <c r="D92" t="s">
        <v>599</v>
      </c>
      <c r="E92" t="s">
        <v>1996</v>
      </c>
      <c r="F92" t="s">
        <v>4</v>
      </c>
      <c r="G92">
        <v>94</v>
      </c>
      <c r="H92" t="s">
        <v>5</v>
      </c>
      <c r="I92">
        <v>66</v>
      </c>
      <c r="J92" t="s">
        <v>6</v>
      </c>
      <c r="K92">
        <v>-71.607993249649894</v>
      </c>
      <c r="L92" t="s">
        <v>7</v>
      </c>
      <c r="M92">
        <v>-0.76178716223031795</v>
      </c>
      <c r="N92" t="s">
        <v>8</v>
      </c>
      <c r="O92">
        <v>0.43612628457314501</v>
      </c>
      <c r="P92" t="s">
        <v>9</v>
      </c>
      <c r="Q92">
        <v>-3.5854402868384798</v>
      </c>
      <c r="R92" t="s">
        <v>10</v>
      </c>
      <c r="S92">
        <v>0.41267441020208701</v>
      </c>
      <c r="T92" t="s">
        <v>11</v>
      </c>
      <c r="U92" t="s">
        <v>2036</v>
      </c>
      <c r="V92" t="s">
        <v>720</v>
      </c>
      <c r="W92">
        <v>0</v>
      </c>
      <c r="X92" t="s">
        <v>14</v>
      </c>
      <c r="Y92" t="s">
        <v>15</v>
      </c>
      <c r="Z92" t="s">
        <v>2037</v>
      </c>
      <c r="AA92" t="s">
        <v>720</v>
      </c>
      <c r="AB92">
        <v>0</v>
      </c>
      <c r="AC92" t="s">
        <v>18</v>
      </c>
    </row>
    <row r="93" spans="1:29" x14ac:dyDescent="0.3">
      <c r="A93" t="s">
        <v>2043</v>
      </c>
      <c r="B93" t="s">
        <v>1</v>
      </c>
      <c r="C93">
        <v>0.1</v>
      </c>
      <c r="D93" t="s">
        <v>599</v>
      </c>
      <c r="E93" t="s">
        <v>1997</v>
      </c>
      <c r="F93" t="s">
        <v>4</v>
      </c>
      <c r="G93">
        <v>94</v>
      </c>
      <c r="H93" t="s">
        <v>5</v>
      </c>
      <c r="I93">
        <v>70</v>
      </c>
      <c r="J93" t="s">
        <v>6</v>
      </c>
      <c r="K93">
        <v>-75.1479932496499</v>
      </c>
      <c r="L93" t="s">
        <v>7</v>
      </c>
      <c r="M93">
        <v>-0.79944673669840305</v>
      </c>
      <c r="N93" t="s">
        <v>8</v>
      </c>
      <c r="O93">
        <v>0.43620478259753698</v>
      </c>
      <c r="P93" t="s">
        <v>9</v>
      </c>
      <c r="Q93">
        <v>-4.4034303346448898</v>
      </c>
      <c r="R93" t="s">
        <v>10</v>
      </c>
      <c r="S93">
        <v>0.46320645065961902</v>
      </c>
      <c r="T93" t="s">
        <v>11</v>
      </c>
      <c r="U93" t="s">
        <v>2036</v>
      </c>
      <c r="V93" t="s">
        <v>720</v>
      </c>
      <c r="W93">
        <v>0</v>
      </c>
      <c r="X93" t="s">
        <v>14</v>
      </c>
      <c r="Y93" t="s">
        <v>15</v>
      </c>
      <c r="Z93" t="s">
        <v>644</v>
      </c>
      <c r="AA93" t="s">
        <v>2013</v>
      </c>
      <c r="AB93">
        <v>0</v>
      </c>
      <c r="AC93" t="s">
        <v>18</v>
      </c>
    </row>
    <row r="94" spans="1:29" x14ac:dyDescent="0.3">
      <c r="A94" t="s">
        <v>2043</v>
      </c>
      <c r="B94" t="s">
        <v>1</v>
      </c>
      <c r="C94">
        <v>0.1</v>
      </c>
      <c r="D94" t="s">
        <v>1998</v>
      </c>
      <c r="E94" t="s">
        <v>1999</v>
      </c>
      <c r="F94" t="s">
        <v>4</v>
      </c>
      <c r="G94">
        <v>87</v>
      </c>
      <c r="H94" t="s">
        <v>5</v>
      </c>
      <c r="I94">
        <v>54</v>
      </c>
      <c r="J94" t="s">
        <v>6</v>
      </c>
      <c r="K94">
        <v>-15.169419040649601</v>
      </c>
      <c r="L94" t="s">
        <v>7</v>
      </c>
      <c r="M94">
        <v>-0.174361138398272</v>
      </c>
      <c r="N94" t="s">
        <v>8</v>
      </c>
      <c r="O94">
        <v>0.617953386711103</v>
      </c>
      <c r="P94" t="s">
        <v>9</v>
      </c>
      <c r="Q94">
        <v>-1.47087581584997</v>
      </c>
      <c r="R94" t="s">
        <v>10</v>
      </c>
      <c r="S94">
        <v>0.20341117286546401</v>
      </c>
      <c r="T94" t="s">
        <v>11</v>
      </c>
      <c r="U94" t="s">
        <v>2038</v>
      </c>
      <c r="V94" t="s">
        <v>720</v>
      </c>
      <c r="W94">
        <v>0</v>
      </c>
      <c r="X94" t="s">
        <v>14</v>
      </c>
      <c r="Y94" t="s">
        <v>15</v>
      </c>
      <c r="Z94" t="s">
        <v>2039</v>
      </c>
      <c r="AA94" t="s">
        <v>720</v>
      </c>
      <c r="AB94">
        <v>0</v>
      </c>
      <c r="AC94" t="s">
        <v>18</v>
      </c>
    </row>
    <row r="95" spans="1:29" x14ac:dyDescent="0.3">
      <c r="A95" t="s">
        <v>2043</v>
      </c>
      <c r="B95" t="s">
        <v>1</v>
      </c>
      <c r="C95">
        <v>0.1</v>
      </c>
      <c r="D95" t="s">
        <v>1998</v>
      </c>
      <c r="E95" t="s">
        <v>2002</v>
      </c>
      <c r="F95" t="s">
        <v>4</v>
      </c>
      <c r="G95">
        <v>87</v>
      </c>
      <c r="H95" t="s">
        <v>5</v>
      </c>
      <c r="I95">
        <v>63</v>
      </c>
      <c r="J95" t="s">
        <v>6</v>
      </c>
      <c r="K95">
        <v>-34.114988737238399</v>
      </c>
      <c r="L95" t="s">
        <v>7</v>
      </c>
      <c r="M95">
        <v>-0.39212630732457998</v>
      </c>
      <c r="N95" t="s">
        <v>8</v>
      </c>
      <c r="O95">
        <v>0.59663556102288295</v>
      </c>
      <c r="P95" t="s">
        <v>9</v>
      </c>
      <c r="Q95">
        <v>-2.9876262117366701</v>
      </c>
      <c r="R95" t="s">
        <v>10</v>
      </c>
      <c r="S95">
        <v>0.28555370630432497</v>
      </c>
      <c r="T95" t="s">
        <v>11</v>
      </c>
      <c r="U95" t="s">
        <v>2040</v>
      </c>
      <c r="V95" t="s">
        <v>720</v>
      </c>
      <c r="W95">
        <v>0</v>
      </c>
      <c r="X95" t="s">
        <v>14</v>
      </c>
      <c r="Y95" t="s">
        <v>15</v>
      </c>
      <c r="Z95" t="s">
        <v>2041</v>
      </c>
      <c r="AA95" t="s">
        <v>720</v>
      </c>
      <c r="AB95">
        <v>0</v>
      </c>
      <c r="AC95" t="s">
        <v>18</v>
      </c>
    </row>
    <row r="96" spans="1:29" x14ac:dyDescent="0.3">
      <c r="A96" t="s">
        <v>2043</v>
      </c>
      <c r="B96" t="s">
        <v>1</v>
      </c>
      <c r="C96">
        <v>0.1</v>
      </c>
      <c r="D96" t="s">
        <v>1998</v>
      </c>
      <c r="E96" t="s">
        <v>2004</v>
      </c>
      <c r="F96" t="s">
        <v>4</v>
      </c>
      <c r="G96">
        <v>87</v>
      </c>
      <c r="H96" t="s">
        <v>5</v>
      </c>
      <c r="I96">
        <v>65</v>
      </c>
      <c r="J96" t="s">
        <v>6</v>
      </c>
      <c r="K96">
        <v>-67.768748868294296</v>
      </c>
      <c r="L96" t="s">
        <v>7</v>
      </c>
      <c r="M96">
        <v>-0.77895113641717595</v>
      </c>
      <c r="N96" t="s">
        <v>8</v>
      </c>
      <c r="O96">
        <v>0.591662159145255</v>
      </c>
      <c r="P96" t="s">
        <v>9</v>
      </c>
      <c r="Q96">
        <v>-4.8284904187607198</v>
      </c>
      <c r="R96" t="s">
        <v>10</v>
      </c>
      <c r="S96">
        <v>0.40767763240974297</v>
      </c>
      <c r="T96" t="s">
        <v>11</v>
      </c>
      <c r="U96" t="s">
        <v>2040</v>
      </c>
      <c r="V96" t="s">
        <v>720</v>
      </c>
      <c r="W96">
        <v>0</v>
      </c>
      <c r="X96" t="s">
        <v>14</v>
      </c>
      <c r="Y96" t="s">
        <v>15</v>
      </c>
      <c r="Z96" t="s">
        <v>2042</v>
      </c>
      <c r="AA96" t="s">
        <v>1987</v>
      </c>
      <c r="AB96">
        <v>0</v>
      </c>
      <c r="AC96" t="s">
        <v>18</v>
      </c>
    </row>
    <row r="97" spans="1:29" x14ac:dyDescent="0.3">
      <c r="A97" t="s">
        <v>2043</v>
      </c>
      <c r="B97" t="s">
        <v>1</v>
      </c>
      <c r="C97">
        <v>0.1</v>
      </c>
      <c r="D97" t="s">
        <v>1998</v>
      </c>
      <c r="E97" t="s">
        <v>2005</v>
      </c>
      <c r="F97" t="s">
        <v>4</v>
      </c>
      <c r="G97">
        <v>87</v>
      </c>
      <c r="H97" t="s">
        <v>5</v>
      </c>
      <c r="I97">
        <v>67</v>
      </c>
      <c r="J97" t="s">
        <v>6</v>
      </c>
      <c r="K97">
        <v>-72.292508999350105</v>
      </c>
      <c r="L97" t="s">
        <v>7</v>
      </c>
      <c r="M97">
        <v>-0.83094837930287502</v>
      </c>
      <c r="N97" t="s">
        <v>8</v>
      </c>
      <c r="O97">
        <v>0.60279847148237198</v>
      </c>
      <c r="P97" t="s">
        <v>9</v>
      </c>
      <c r="Q97">
        <v>-5.6340003294334497</v>
      </c>
      <c r="R97" t="s">
        <v>10</v>
      </c>
      <c r="S97">
        <v>0.45693112506505001</v>
      </c>
      <c r="T97" t="s">
        <v>11</v>
      </c>
      <c r="U97" t="s">
        <v>2040</v>
      </c>
      <c r="V97" t="s">
        <v>720</v>
      </c>
      <c r="W97">
        <v>0</v>
      </c>
      <c r="X97" t="s">
        <v>14</v>
      </c>
      <c r="Y97" t="s">
        <v>15</v>
      </c>
      <c r="Z97" t="s">
        <v>2042</v>
      </c>
      <c r="AA97" t="s">
        <v>1987</v>
      </c>
      <c r="AB97">
        <v>0</v>
      </c>
      <c r="AC97" t="s">
        <v>18</v>
      </c>
    </row>
    <row r="98" spans="1:29" x14ac:dyDescent="0.3">
      <c r="A98" t="s">
        <v>134</v>
      </c>
      <c r="B98" t="s">
        <v>1</v>
      </c>
      <c r="C98">
        <v>0.4</v>
      </c>
      <c r="D98" t="s">
        <v>590</v>
      </c>
      <c r="E98" t="s">
        <v>1979</v>
      </c>
      <c r="F98" t="s">
        <v>4</v>
      </c>
      <c r="G98">
        <v>135</v>
      </c>
      <c r="H98" t="s">
        <v>5</v>
      </c>
      <c r="I98">
        <v>94</v>
      </c>
      <c r="J98" t="s">
        <v>6</v>
      </c>
      <c r="K98">
        <v>12.659999999999901</v>
      </c>
      <c r="L98" t="s">
        <v>7</v>
      </c>
      <c r="M98">
        <v>9.3777777777777696E-2</v>
      </c>
      <c r="N98" t="s">
        <v>8</v>
      </c>
      <c r="O98">
        <v>1.70393617021276</v>
      </c>
      <c r="P98" t="s">
        <v>9</v>
      </c>
      <c r="Q98">
        <v>-3.5978048780487799</v>
      </c>
      <c r="R98" t="s">
        <v>10</v>
      </c>
      <c r="S98">
        <v>0.60471895913086604</v>
      </c>
      <c r="T98" t="s">
        <v>11</v>
      </c>
      <c r="U98" t="s">
        <v>2044</v>
      </c>
      <c r="V98" t="s">
        <v>691</v>
      </c>
      <c r="W98">
        <v>0</v>
      </c>
      <c r="X98" t="s">
        <v>14</v>
      </c>
      <c r="Y98" t="s">
        <v>15</v>
      </c>
      <c r="Z98" t="s">
        <v>2044</v>
      </c>
      <c r="AA98" t="s">
        <v>691</v>
      </c>
      <c r="AB98">
        <v>0</v>
      </c>
      <c r="AC98" t="s">
        <v>18</v>
      </c>
    </row>
    <row r="99" spans="1:29" x14ac:dyDescent="0.3">
      <c r="A99" t="s">
        <v>134</v>
      </c>
      <c r="B99" t="s">
        <v>1</v>
      </c>
      <c r="C99">
        <v>0.4</v>
      </c>
      <c r="D99" t="s">
        <v>590</v>
      </c>
      <c r="E99" t="s">
        <v>1982</v>
      </c>
      <c r="F99" t="s">
        <v>4</v>
      </c>
      <c r="G99">
        <v>135</v>
      </c>
      <c r="H99" t="s">
        <v>5</v>
      </c>
      <c r="I99">
        <v>103</v>
      </c>
      <c r="J99" t="s">
        <v>6</v>
      </c>
      <c r="K99">
        <v>21.729999999999901</v>
      </c>
      <c r="L99" t="s">
        <v>7</v>
      </c>
      <c r="M99">
        <v>0.160962962962962</v>
      </c>
      <c r="N99" t="s">
        <v>8</v>
      </c>
      <c r="O99">
        <v>1.71980582524271</v>
      </c>
      <c r="P99" t="s">
        <v>9</v>
      </c>
      <c r="Q99">
        <v>-4.8565624999999999</v>
      </c>
      <c r="R99" t="s">
        <v>10</v>
      </c>
      <c r="S99">
        <v>0.69142573137770502</v>
      </c>
      <c r="T99" t="s">
        <v>11</v>
      </c>
      <c r="U99" t="s">
        <v>2044</v>
      </c>
      <c r="V99" t="s">
        <v>691</v>
      </c>
      <c r="W99">
        <v>0</v>
      </c>
      <c r="X99" t="s">
        <v>14</v>
      </c>
      <c r="Y99" t="s">
        <v>15</v>
      </c>
      <c r="Z99" t="s">
        <v>2044</v>
      </c>
      <c r="AA99" t="s">
        <v>691</v>
      </c>
      <c r="AB99">
        <v>0</v>
      </c>
      <c r="AC99" t="s">
        <v>18</v>
      </c>
    </row>
    <row r="100" spans="1:29" x14ac:dyDescent="0.3">
      <c r="A100" t="s">
        <v>134</v>
      </c>
      <c r="B100" t="s">
        <v>1</v>
      </c>
      <c r="C100">
        <v>0.4</v>
      </c>
      <c r="D100" t="s">
        <v>590</v>
      </c>
      <c r="E100" t="s">
        <v>1985</v>
      </c>
      <c r="F100" t="s">
        <v>4</v>
      </c>
      <c r="G100">
        <v>135</v>
      </c>
      <c r="H100" t="s">
        <v>5</v>
      </c>
      <c r="I100">
        <v>104</v>
      </c>
      <c r="J100" t="s">
        <v>6</v>
      </c>
      <c r="K100">
        <v>-12.88</v>
      </c>
      <c r="L100" t="s">
        <v>7</v>
      </c>
      <c r="M100">
        <v>-9.5407407407407496E-2</v>
      </c>
      <c r="N100" t="s">
        <v>8</v>
      </c>
      <c r="O100">
        <v>1.7089423076923</v>
      </c>
      <c r="P100" t="s">
        <v>9</v>
      </c>
      <c r="Q100">
        <v>-6.1487096774193502</v>
      </c>
      <c r="R100" t="s">
        <v>10</v>
      </c>
      <c r="S100">
        <v>0.75983248363298495</v>
      </c>
      <c r="T100" t="s">
        <v>11</v>
      </c>
      <c r="U100" t="s">
        <v>2044</v>
      </c>
      <c r="V100" t="s">
        <v>691</v>
      </c>
      <c r="W100">
        <v>0</v>
      </c>
      <c r="X100" t="s">
        <v>14</v>
      </c>
      <c r="Y100" t="s">
        <v>15</v>
      </c>
      <c r="Z100" t="s">
        <v>2044</v>
      </c>
      <c r="AA100" t="s">
        <v>691</v>
      </c>
      <c r="AB100">
        <v>0</v>
      </c>
      <c r="AC100" t="s">
        <v>18</v>
      </c>
    </row>
    <row r="101" spans="1:29" x14ac:dyDescent="0.3">
      <c r="A101" t="s">
        <v>134</v>
      </c>
      <c r="B101" t="s">
        <v>1</v>
      </c>
      <c r="C101">
        <v>0.4</v>
      </c>
      <c r="D101" t="s">
        <v>590</v>
      </c>
      <c r="E101" t="s">
        <v>1988</v>
      </c>
      <c r="F101" t="s">
        <v>4</v>
      </c>
      <c r="G101">
        <v>135</v>
      </c>
      <c r="H101" t="s">
        <v>5</v>
      </c>
      <c r="I101">
        <v>106</v>
      </c>
      <c r="J101" t="s">
        <v>6</v>
      </c>
      <c r="K101">
        <v>7.47</v>
      </c>
      <c r="L101" t="s">
        <v>7</v>
      </c>
      <c r="M101">
        <v>5.5333333333333297E-2</v>
      </c>
      <c r="N101" t="s">
        <v>8</v>
      </c>
      <c r="O101">
        <v>1.72952830188679</v>
      </c>
      <c r="P101" t="s">
        <v>9</v>
      </c>
      <c r="Q101">
        <v>-6.0641379310344803</v>
      </c>
      <c r="R101" t="s">
        <v>10</v>
      </c>
      <c r="S101">
        <v>0.795518550675546</v>
      </c>
      <c r="T101" t="s">
        <v>11</v>
      </c>
      <c r="U101" t="s">
        <v>2044</v>
      </c>
      <c r="V101" t="s">
        <v>691</v>
      </c>
      <c r="W101">
        <v>0</v>
      </c>
      <c r="X101" t="s">
        <v>14</v>
      </c>
      <c r="Y101" t="s">
        <v>15</v>
      </c>
      <c r="Z101" t="s">
        <v>2044</v>
      </c>
      <c r="AA101" t="s">
        <v>691</v>
      </c>
      <c r="AB101">
        <v>0</v>
      </c>
      <c r="AC101" t="s">
        <v>18</v>
      </c>
    </row>
    <row r="102" spans="1:29" x14ac:dyDescent="0.3">
      <c r="A102" t="s">
        <v>134</v>
      </c>
      <c r="B102" t="s">
        <v>1</v>
      </c>
      <c r="C102">
        <v>0.4</v>
      </c>
      <c r="D102" t="s">
        <v>599</v>
      </c>
      <c r="E102" t="s">
        <v>1991</v>
      </c>
      <c r="F102" t="s">
        <v>4</v>
      </c>
      <c r="G102">
        <v>140</v>
      </c>
      <c r="H102" t="s">
        <v>5</v>
      </c>
      <c r="I102">
        <v>99</v>
      </c>
      <c r="J102" t="s">
        <v>6</v>
      </c>
      <c r="K102">
        <v>54.68</v>
      </c>
      <c r="L102" t="s">
        <v>7</v>
      </c>
      <c r="M102">
        <v>0.39057142857142801</v>
      </c>
      <c r="N102" t="s">
        <v>8</v>
      </c>
      <c r="O102">
        <v>2.2405050505050501</v>
      </c>
      <c r="P102" t="s">
        <v>9</v>
      </c>
      <c r="Q102">
        <v>-4.0763414634146304</v>
      </c>
      <c r="R102" t="s">
        <v>10</v>
      </c>
      <c r="S102">
        <v>0.70633976594207903</v>
      </c>
      <c r="T102" t="s">
        <v>11</v>
      </c>
      <c r="U102" t="s">
        <v>2045</v>
      </c>
      <c r="V102" t="s">
        <v>2046</v>
      </c>
      <c r="W102">
        <v>0</v>
      </c>
      <c r="X102" t="s">
        <v>14</v>
      </c>
      <c r="Y102" t="s">
        <v>15</v>
      </c>
      <c r="Z102" t="s">
        <v>2045</v>
      </c>
      <c r="AA102" t="s">
        <v>2046</v>
      </c>
      <c r="AB102">
        <v>0</v>
      </c>
      <c r="AC102" t="s">
        <v>18</v>
      </c>
    </row>
    <row r="103" spans="1:29" x14ac:dyDescent="0.3">
      <c r="A103" t="s">
        <v>134</v>
      </c>
      <c r="B103" t="s">
        <v>1</v>
      </c>
      <c r="C103">
        <v>0.4</v>
      </c>
      <c r="D103" t="s">
        <v>599</v>
      </c>
      <c r="E103" t="s">
        <v>1994</v>
      </c>
      <c r="F103" t="s">
        <v>4</v>
      </c>
      <c r="G103">
        <v>140</v>
      </c>
      <c r="H103" t="s">
        <v>5</v>
      </c>
      <c r="I103">
        <v>112</v>
      </c>
      <c r="J103" t="s">
        <v>6</v>
      </c>
      <c r="K103">
        <v>52.559999999999903</v>
      </c>
      <c r="L103" t="s">
        <v>7</v>
      </c>
      <c r="M103">
        <v>0.375428571428571</v>
      </c>
      <c r="N103" t="s">
        <v>8</v>
      </c>
      <c r="O103">
        <v>2.2168749999999902</v>
      </c>
      <c r="P103" t="s">
        <v>9</v>
      </c>
      <c r="Q103">
        <v>-6.9903571428571398</v>
      </c>
      <c r="R103" t="s">
        <v>10</v>
      </c>
      <c r="S103">
        <v>0.82026479070564196</v>
      </c>
      <c r="T103" t="s">
        <v>11</v>
      </c>
      <c r="U103" t="s">
        <v>2047</v>
      </c>
      <c r="V103" t="s">
        <v>2048</v>
      </c>
      <c r="W103">
        <v>0</v>
      </c>
      <c r="X103" t="s">
        <v>14</v>
      </c>
      <c r="Y103" t="s">
        <v>15</v>
      </c>
      <c r="Z103" t="s">
        <v>2047</v>
      </c>
      <c r="AA103" t="s">
        <v>2048</v>
      </c>
      <c r="AB103">
        <v>0</v>
      </c>
      <c r="AC103" t="s">
        <v>18</v>
      </c>
    </row>
    <row r="104" spans="1:29" x14ac:dyDescent="0.3">
      <c r="A104" t="s">
        <v>134</v>
      </c>
      <c r="B104" t="s">
        <v>1</v>
      </c>
      <c r="C104">
        <v>0.4</v>
      </c>
      <c r="D104" t="s">
        <v>599</v>
      </c>
      <c r="E104" t="s">
        <v>1996</v>
      </c>
      <c r="F104" t="s">
        <v>4</v>
      </c>
      <c r="G104">
        <v>140</v>
      </c>
      <c r="H104" t="s">
        <v>5</v>
      </c>
      <c r="I104">
        <v>116</v>
      </c>
      <c r="J104" t="s">
        <v>6</v>
      </c>
      <c r="K104">
        <v>33.439999999999898</v>
      </c>
      <c r="L104" t="s">
        <v>7</v>
      </c>
      <c r="M104">
        <v>0.23885714285714199</v>
      </c>
      <c r="N104" t="s">
        <v>8</v>
      </c>
      <c r="O104">
        <v>2.1870689655172399</v>
      </c>
      <c r="P104" t="s">
        <v>9</v>
      </c>
      <c r="Q104">
        <v>-9.1775000000000002</v>
      </c>
      <c r="R104" t="s">
        <v>10</v>
      </c>
      <c r="S104">
        <v>0.94232111422500098</v>
      </c>
      <c r="T104" t="s">
        <v>11</v>
      </c>
      <c r="U104" t="s">
        <v>2049</v>
      </c>
      <c r="V104" t="s">
        <v>2050</v>
      </c>
      <c r="W104">
        <v>0</v>
      </c>
      <c r="X104" t="s">
        <v>14</v>
      </c>
      <c r="Y104" t="s">
        <v>15</v>
      </c>
      <c r="Z104" t="s">
        <v>2051</v>
      </c>
      <c r="AA104" t="s">
        <v>2052</v>
      </c>
      <c r="AB104">
        <v>0</v>
      </c>
      <c r="AC104" t="s">
        <v>18</v>
      </c>
    </row>
    <row r="105" spans="1:29" x14ac:dyDescent="0.3">
      <c r="A105" t="s">
        <v>134</v>
      </c>
      <c r="B105" t="s">
        <v>1</v>
      </c>
      <c r="C105">
        <v>0.4</v>
      </c>
      <c r="D105" t="s">
        <v>599</v>
      </c>
      <c r="E105" t="s">
        <v>1997</v>
      </c>
      <c r="F105" t="s">
        <v>4</v>
      </c>
      <c r="G105">
        <v>140</v>
      </c>
      <c r="H105" t="s">
        <v>5</v>
      </c>
      <c r="I105">
        <v>117</v>
      </c>
      <c r="J105" t="s">
        <v>6</v>
      </c>
      <c r="K105">
        <v>22.0399999999999</v>
      </c>
      <c r="L105" t="s">
        <v>7</v>
      </c>
      <c r="M105">
        <v>0.157428571428571</v>
      </c>
      <c r="N105" t="s">
        <v>8</v>
      </c>
      <c r="O105">
        <v>2.2015384615384601</v>
      </c>
      <c r="P105" t="s">
        <v>9</v>
      </c>
      <c r="Q105">
        <v>-10.240869565217301</v>
      </c>
      <c r="R105" t="s">
        <v>10</v>
      </c>
      <c r="S105">
        <v>0.97668236322365798</v>
      </c>
      <c r="T105" t="s">
        <v>11</v>
      </c>
      <c r="U105" t="s">
        <v>2049</v>
      </c>
      <c r="V105" t="s">
        <v>2050</v>
      </c>
      <c r="W105">
        <v>0</v>
      </c>
      <c r="X105" t="s">
        <v>14</v>
      </c>
      <c r="Y105" t="s">
        <v>15</v>
      </c>
      <c r="Z105" t="s">
        <v>2051</v>
      </c>
      <c r="AA105" t="s">
        <v>2052</v>
      </c>
      <c r="AB105">
        <v>0</v>
      </c>
      <c r="AC105" t="s">
        <v>18</v>
      </c>
    </row>
    <row r="106" spans="1:29" x14ac:dyDescent="0.3">
      <c r="A106" t="s">
        <v>134</v>
      </c>
      <c r="B106" t="s">
        <v>1</v>
      </c>
      <c r="C106">
        <v>0.4</v>
      </c>
      <c r="D106" t="s">
        <v>1998</v>
      </c>
      <c r="E106" t="s">
        <v>1999</v>
      </c>
      <c r="F106" t="s">
        <v>4</v>
      </c>
      <c r="G106">
        <v>139</v>
      </c>
      <c r="H106" t="s">
        <v>5</v>
      </c>
      <c r="I106">
        <v>102</v>
      </c>
      <c r="J106" t="s">
        <v>6</v>
      </c>
      <c r="K106">
        <v>86.027530013222304</v>
      </c>
      <c r="L106" t="s">
        <v>7</v>
      </c>
      <c r="M106">
        <v>0.61890309362030405</v>
      </c>
      <c r="N106" t="s">
        <v>8</v>
      </c>
      <c r="O106">
        <v>2.6272472105921301</v>
      </c>
      <c r="P106" t="s">
        <v>9</v>
      </c>
      <c r="Q106">
        <v>-4.91761312073446</v>
      </c>
      <c r="R106" t="s">
        <v>10</v>
      </c>
      <c r="S106">
        <v>0.68644703338473301</v>
      </c>
      <c r="T106" t="s">
        <v>11</v>
      </c>
      <c r="U106" t="s">
        <v>2053</v>
      </c>
      <c r="V106" t="s">
        <v>691</v>
      </c>
      <c r="W106">
        <v>0</v>
      </c>
      <c r="X106" t="s">
        <v>14</v>
      </c>
      <c r="Y106" t="s">
        <v>15</v>
      </c>
      <c r="Z106" t="s">
        <v>2053</v>
      </c>
      <c r="AA106" t="s">
        <v>691</v>
      </c>
      <c r="AB106">
        <v>0</v>
      </c>
      <c r="AC106" t="s">
        <v>18</v>
      </c>
    </row>
    <row r="107" spans="1:29" x14ac:dyDescent="0.3">
      <c r="A107" t="s">
        <v>134</v>
      </c>
      <c r="B107" t="s">
        <v>1</v>
      </c>
      <c r="C107">
        <v>0.4</v>
      </c>
      <c r="D107" t="s">
        <v>1998</v>
      </c>
      <c r="E107" t="s">
        <v>2002</v>
      </c>
      <c r="F107" t="s">
        <v>4</v>
      </c>
      <c r="G107">
        <v>139</v>
      </c>
      <c r="H107" t="s">
        <v>5</v>
      </c>
      <c r="I107">
        <v>111</v>
      </c>
      <c r="J107" t="s">
        <v>6</v>
      </c>
      <c r="K107">
        <v>25.359215480397499</v>
      </c>
      <c r="L107" t="s">
        <v>7</v>
      </c>
      <c r="M107">
        <v>0.18244039913955001</v>
      </c>
      <c r="N107" t="s">
        <v>8</v>
      </c>
      <c r="O107">
        <v>2.5717046439675402</v>
      </c>
      <c r="P107" t="s">
        <v>9</v>
      </c>
      <c r="Q107">
        <v>-9.2892857142857093</v>
      </c>
      <c r="R107" t="s">
        <v>10</v>
      </c>
      <c r="S107">
        <v>0.81702390542257097</v>
      </c>
      <c r="T107" t="s">
        <v>11</v>
      </c>
      <c r="U107" t="s">
        <v>2047</v>
      </c>
      <c r="V107" t="s">
        <v>2048</v>
      </c>
      <c r="W107">
        <v>0</v>
      </c>
      <c r="X107" t="s">
        <v>14</v>
      </c>
      <c r="Y107" t="s">
        <v>15</v>
      </c>
      <c r="Z107" t="s">
        <v>2047</v>
      </c>
      <c r="AA107" t="s">
        <v>2048</v>
      </c>
      <c r="AB107">
        <v>0</v>
      </c>
      <c r="AC107" t="s">
        <v>18</v>
      </c>
    </row>
    <row r="108" spans="1:29" x14ac:dyDescent="0.3">
      <c r="A108" t="s">
        <v>134</v>
      </c>
      <c r="B108" t="s">
        <v>1</v>
      </c>
      <c r="C108">
        <v>0.4</v>
      </c>
      <c r="D108" t="s">
        <v>1998</v>
      </c>
      <c r="E108" t="s">
        <v>2004</v>
      </c>
      <c r="F108" t="s">
        <v>4</v>
      </c>
      <c r="G108">
        <v>139</v>
      </c>
      <c r="H108" t="s">
        <v>5</v>
      </c>
      <c r="I108">
        <v>116</v>
      </c>
      <c r="J108" t="s">
        <v>6</v>
      </c>
      <c r="K108">
        <v>45.379215480397498</v>
      </c>
      <c r="L108" t="s">
        <v>7</v>
      </c>
      <c r="M108">
        <v>0.326469176117968</v>
      </c>
      <c r="N108" t="s">
        <v>8</v>
      </c>
      <c r="O108">
        <v>2.5629242713827298</v>
      </c>
      <c r="P108" t="s">
        <v>9</v>
      </c>
      <c r="Q108">
        <v>-10.953043478260801</v>
      </c>
      <c r="R108" t="s">
        <v>10</v>
      </c>
      <c r="S108">
        <v>0.93826965629222803</v>
      </c>
      <c r="T108" t="s">
        <v>11</v>
      </c>
      <c r="U108" t="s">
        <v>2054</v>
      </c>
      <c r="V108" t="s">
        <v>2055</v>
      </c>
      <c r="W108">
        <v>0</v>
      </c>
      <c r="X108" t="s">
        <v>14</v>
      </c>
      <c r="Y108" t="s">
        <v>15</v>
      </c>
      <c r="Z108" t="s">
        <v>2054</v>
      </c>
      <c r="AA108" t="s">
        <v>2055</v>
      </c>
      <c r="AB108">
        <v>0</v>
      </c>
      <c r="AC108" t="s">
        <v>18</v>
      </c>
    </row>
    <row r="109" spans="1:29" x14ac:dyDescent="0.3">
      <c r="A109" t="s">
        <v>134</v>
      </c>
      <c r="B109" t="s">
        <v>1</v>
      </c>
      <c r="C109">
        <v>0.4</v>
      </c>
      <c r="D109" t="s">
        <v>1998</v>
      </c>
      <c r="E109" t="s">
        <v>2005</v>
      </c>
      <c r="F109" t="s">
        <v>4</v>
      </c>
      <c r="G109">
        <v>139</v>
      </c>
      <c r="H109" t="s">
        <v>5</v>
      </c>
      <c r="I109">
        <v>116</v>
      </c>
      <c r="J109" t="s">
        <v>6</v>
      </c>
      <c r="K109">
        <v>3.9492154803976098</v>
      </c>
      <c r="L109" t="s">
        <v>7</v>
      </c>
      <c r="M109">
        <v>2.8411622161133899E-2</v>
      </c>
      <c r="N109" t="s">
        <v>8</v>
      </c>
      <c r="O109">
        <v>2.5629242713827298</v>
      </c>
      <c r="P109" t="s">
        <v>9</v>
      </c>
      <c r="Q109">
        <v>-12.754347826086899</v>
      </c>
      <c r="R109" t="s">
        <v>10</v>
      </c>
      <c r="S109">
        <v>0.96488104512737305</v>
      </c>
      <c r="T109" t="s">
        <v>11</v>
      </c>
      <c r="U109" t="s">
        <v>2054</v>
      </c>
      <c r="V109" t="s">
        <v>2055</v>
      </c>
      <c r="W109">
        <v>0</v>
      </c>
      <c r="X109" t="s">
        <v>14</v>
      </c>
      <c r="Y109" t="s">
        <v>15</v>
      </c>
      <c r="Z109" t="s">
        <v>2054</v>
      </c>
      <c r="AA109" t="s">
        <v>2055</v>
      </c>
      <c r="AB109">
        <v>0</v>
      </c>
      <c r="AC109" t="s">
        <v>18</v>
      </c>
    </row>
    <row r="110" spans="1:29" x14ac:dyDescent="0.3">
      <c r="A110" t="s">
        <v>134</v>
      </c>
      <c r="B110" t="s">
        <v>1</v>
      </c>
      <c r="C110">
        <v>0.3</v>
      </c>
      <c r="D110" t="s">
        <v>590</v>
      </c>
      <c r="E110" t="s">
        <v>1979</v>
      </c>
      <c r="F110" t="s">
        <v>4</v>
      </c>
      <c r="G110">
        <v>135</v>
      </c>
      <c r="H110" t="s">
        <v>5</v>
      </c>
      <c r="I110">
        <v>100</v>
      </c>
      <c r="J110" t="s">
        <v>6</v>
      </c>
      <c r="K110">
        <v>24.739999999999899</v>
      </c>
      <c r="L110" t="s">
        <v>7</v>
      </c>
      <c r="M110">
        <v>0.18325925925925901</v>
      </c>
      <c r="N110" t="s">
        <v>8</v>
      </c>
      <c r="O110">
        <v>1.15329999999999</v>
      </c>
      <c r="P110" t="s">
        <v>9</v>
      </c>
      <c r="Q110">
        <v>-2.5882857142857101</v>
      </c>
      <c r="R110" t="s">
        <v>10</v>
      </c>
      <c r="S110">
        <v>0.41518218555125502</v>
      </c>
      <c r="T110" t="s">
        <v>11</v>
      </c>
      <c r="U110" t="s">
        <v>2056</v>
      </c>
      <c r="V110" t="s">
        <v>691</v>
      </c>
      <c r="W110">
        <v>0</v>
      </c>
      <c r="X110" t="s">
        <v>14</v>
      </c>
      <c r="Y110" t="s">
        <v>15</v>
      </c>
      <c r="Z110" t="s">
        <v>2056</v>
      </c>
      <c r="AA110" t="s">
        <v>691</v>
      </c>
      <c r="AB110">
        <v>0</v>
      </c>
      <c r="AC110" t="s">
        <v>18</v>
      </c>
    </row>
    <row r="111" spans="1:29" x14ac:dyDescent="0.3">
      <c r="A111" t="s">
        <v>134</v>
      </c>
      <c r="B111" t="s">
        <v>1</v>
      </c>
      <c r="C111">
        <v>0.3</v>
      </c>
      <c r="D111" t="s">
        <v>590</v>
      </c>
      <c r="E111" t="s">
        <v>1982</v>
      </c>
      <c r="F111" t="s">
        <v>4</v>
      </c>
      <c r="G111">
        <v>135</v>
      </c>
      <c r="H111" t="s">
        <v>5</v>
      </c>
      <c r="I111">
        <v>111</v>
      </c>
      <c r="J111" t="s">
        <v>6</v>
      </c>
      <c r="K111">
        <v>42.739999999999903</v>
      </c>
      <c r="L111" t="s">
        <v>7</v>
      </c>
      <c r="M111">
        <v>0.31659259259259198</v>
      </c>
      <c r="N111" t="s">
        <v>8</v>
      </c>
      <c r="O111">
        <v>1.17351351351351</v>
      </c>
      <c r="P111" t="s">
        <v>9</v>
      </c>
      <c r="Q111">
        <v>-3.6466666666666598</v>
      </c>
      <c r="R111" t="s">
        <v>10</v>
      </c>
      <c r="S111">
        <v>0.49685354998652398</v>
      </c>
      <c r="T111" t="s">
        <v>11</v>
      </c>
      <c r="U111" t="s">
        <v>2056</v>
      </c>
      <c r="V111" t="s">
        <v>691</v>
      </c>
      <c r="W111">
        <v>0</v>
      </c>
      <c r="X111" t="s">
        <v>14</v>
      </c>
      <c r="Y111" t="s">
        <v>15</v>
      </c>
      <c r="Z111" t="s">
        <v>2056</v>
      </c>
      <c r="AA111" t="s">
        <v>691</v>
      </c>
      <c r="AB111">
        <v>0</v>
      </c>
      <c r="AC111" t="s">
        <v>18</v>
      </c>
    </row>
    <row r="112" spans="1:29" x14ac:dyDescent="0.3">
      <c r="A112" t="s">
        <v>134</v>
      </c>
      <c r="B112" t="s">
        <v>1</v>
      </c>
      <c r="C112">
        <v>0.3</v>
      </c>
      <c r="D112" t="s">
        <v>590</v>
      </c>
      <c r="E112" t="s">
        <v>1985</v>
      </c>
      <c r="F112" t="s">
        <v>4</v>
      </c>
      <c r="G112">
        <v>135</v>
      </c>
      <c r="H112" t="s">
        <v>5</v>
      </c>
      <c r="I112">
        <v>111</v>
      </c>
      <c r="J112" t="s">
        <v>6</v>
      </c>
      <c r="K112">
        <v>28.749999999999901</v>
      </c>
      <c r="L112" t="s">
        <v>7</v>
      </c>
      <c r="M112">
        <v>0.21296296296296199</v>
      </c>
      <c r="N112" t="s">
        <v>8</v>
      </c>
      <c r="O112">
        <v>1.17351351351351</v>
      </c>
      <c r="P112" t="s">
        <v>9</v>
      </c>
      <c r="Q112">
        <v>-4.2295833333333297</v>
      </c>
      <c r="R112" t="s">
        <v>10</v>
      </c>
      <c r="S112">
        <v>0.511971228620407</v>
      </c>
      <c r="T112" t="s">
        <v>11</v>
      </c>
      <c r="U112" t="s">
        <v>2056</v>
      </c>
      <c r="V112" t="s">
        <v>691</v>
      </c>
      <c r="W112">
        <v>0</v>
      </c>
      <c r="X112" t="s">
        <v>14</v>
      </c>
      <c r="Y112" t="s">
        <v>15</v>
      </c>
      <c r="Z112" t="s">
        <v>2056</v>
      </c>
      <c r="AA112" t="s">
        <v>691</v>
      </c>
      <c r="AB112">
        <v>0</v>
      </c>
      <c r="AC112" t="s">
        <v>18</v>
      </c>
    </row>
    <row r="113" spans="1:29" x14ac:dyDescent="0.3">
      <c r="A113" t="s">
        <v>134</v>
      </c>
      <c r="B113" t="s">
        <v>1</v>
      </c>
      <c r="C113">
        <v>0.3</v>
      </c>
      <c r="D113" t="s">
        <v>590</v>
      </c>
      <c r="E113" t="s">
        <v>1988</v>
      </c>
      <c r="F113" t="s">
        <v>4</v>
      </c>
      <c r="G113">
        <v>135</v>
      </c>
      <c r="H113" t="s">
        <v>5</v>
      </c>
      <c r="I113">
        <v>113</v>
      </c>
      <c r="J113" t="s">
        <v>6</v>
      </c>
      <c r="K113">
        <v>16.4499999999999</v>
      </c>
      <c r="L113" t="s">
        <v>7</v>
      </c>
      <c r="M113">
        <v>0.121851851851851</v>
      </c>
      <c r="N113" t="s">
        <v>8</v>
      </c>
      <c r="O113">
        <v>1.16902654867256</v>
      </c>
      <c r="P113" t="s">
        <v>9</v>
      </c>
      <c r="Q113">
        <v>-5.2568181818181801</v>
      </c>
      <c r="R113" t="s">
        <v>10</v>
      </c>
      <c r="S113">
        <v>0.56200525002216195</v>
      </c>
      <c r="T113" t="s">
        <v>11</v>
      </c>
      <c r="U113" t="s">
        <v>2056</v>
      </c>
      <c r="V113" t="s">
        <v>691</v>
      </c>
      <c r="W113">
        <v>0</v>
      </c>
      <c r="X113" t="s">
        <v>14</v>
      </c>
      <c r="Y113" t="s">
        <v>15</v>
      </c>
      <c r="Z113" t="s">
        <v>2056</v>
      </c>
      <c r="AA113" t="s">
        <v>691</v>
      </c>
      <c r="AB113">
        <v>0</v>
      </c>
      <c r="AC113" t="s">
        <v>18</v>
      </c>
    </row>
    <row r="114" spans="1:29" x14ac:dyDescent="0.3">
      <c r="A114" t="s">
        <v>134</v>
      </c>
      <c r="B114" t="s">
        <v>1</v>
      </c>
      <c r="C114">
        <v>0.3</v>
      </c>
      <c r="D114" t="s">
        <v>599</v>
      </c>
      <c r="E114" t="s">
        <v>1991</v>
      </c>
      <c r="F114" t="s">
        <v>4</v>
      </c>
      <c r="G114">
        <v>140</v>
      </c>
      <c r="H114" t="s">
        <v>5</v>
      </c>
      <c r="I114">
        <v>101</v>
      </c>
      <c r="J114" t="s">
        <v>6</v>
      </c>
      <c r="K114">
        <v>42.219999999999899</v>
      </c>
      <c r="L114" t="s">
        <v>7</v>
      </c>
      <c r="M114">
        <v>0.30157142857142799</v>
      </c>
      <c r="N114" t="s">
        <v>8</v>
      </c>
      <c r="O114">
        <v>1.4777227722772199</v>
      </c>
      <c r="P114" t="s">
        <v>9</v>
      </c>
      <c r="Q114">
        <v>-2.74435897435897</v>
      </c>
      <c r="R114" t="s">
        <v>10</v>
      </c>
      <c r="S114">
        <v>0.48438646071844899</v>
      </c>
      <c r="T114" t="s">
        <v>11</v>
      </c>
      <c r="U114" t="s">
        <v>2057</v>
      </c>
      <c r="V114" t="s">
        <v>691</v>
      </c>
      <c r="W114">
        <v>0</v>
      </c>
      <c r="X114" t="s">
        <v>14</v>
      </c>
      <c r="Y114" t="s">
        <v>15</v>
      </c>
      <c r="Z114" t="s">
        <v>2057</v>
      </c>
      <c r="AA114" t="s">
        <v>691</v>
      </c>
      <c r="AB114">
        <v>0</v>
      </c>
      <c r="AC114" t="s">
        <v>18</v>
      </c>
    </row>
    <row r="115" spans="1:29" x14ac:dyDescent="0.3">
      <c r="A115" t="s">
        <v>134</v>
      </c>
      <c r="B115" t="s">
        <v>1</v>
      </c>
      <c r="C115">
        <v>0.3</v>
      </c>
      <c r="D115" t="s">
        <v>599</v>
      </c>
      <c r="E115" t="s">
        <v>1994</v>
      </c>
      <c r="F115" t="s">
        <v>4</v>
      </c>
      <c r="G115">
        <v>140</v>
      </c>
      <c r="H115" t="s">
        <v>5</v>
      </c>
      <c r="I115">
        <v>115</v>
      </c>
      <c r="J115" t="s">
        <v>6</v>
      </c>
      <c r="K115">
        <v>39.659999999999897</v>
      </c>
      <c r="L115" t="s">
        <v>7</v>
      </c>
      <c r="M115">
        <v>0.28328571428571397</v>
      </c>
      <c r="N115" t="s">
        <v>8</v>
      </c>
      <c r="O115">
        <v>1.46860869565217</v>
      </c>
      <c r="P115" t="s">
        <v>9</v>
      </c>
      <c r="Q115">
        <v>-5.1692</v>
      </c>
      <c r="R115" t="s">
        <v>10</v>
      </c>
      <c r="S115">
        <v>0.59623708085555605</v>
      </c>
      <c r="T115" t="s">
        <v>11</v>
      </c>
      <c r="U115" t="s">
        <v>2057</v>
      </c>
      <c r="V115" t="s">
        <v>691</v>
      </c>
      <c r="W115">
        <v>0</v>
      </c>
      <c r="X115" t="s">
        <v>14</v>
      </c>
      <c r="Y115" t="s">
        <v>15</v>
      </c>
      <c r="Z115" t="s">
        <v>2057</v>
      </c>
      <c r="AA115" t="s">
        <v>691</v>
      </c>
      <c r="AB115">
        <v>0</v>
      </c>
      <c r="AC115" t="s">
        <v>18</v>
      </c>
    </row>
    <row r="116" spans="1:29" x14ac:dyDescent="0.3">
      <c r="A116" t="s">
        <v>134</v>
      </c>
      <c r="B116" t="s">
        <v>1</v>
      </c>
      <c r="C116">
        <v>0.3</v>
      </c>
      <c r="D116" t="s">
        <v>599</v>
      </c>
      <c r="E116" t="s">
        <v>1996</v>
      </c>
      <c r="F116" t="s">
        <v>4</v>
      </c>
      <c r="G116">
        <v>140</v>
      </c>
      <c r="H116" t="s">
        <v>5</v>
      </c>
      <c r="I116">
        <v>118</v>
      </c>
      <c r="J116" t="s">
        <v>6</v>
      </c>
      <c r="K116">
        <v>32.1799999999999</v>
      </c>
      <c r="L116" t="s">
        <v>7</v>
      </c>
      <c r="M116">
        <v>0.22985714285714201</v>
      </c>
      <c r="N116" t="s">
        <v>8</v>
      </c>
      <c r="O116">
        <v>1.4751694915254201</v>
      </c>
      <c r="P116" t="s">
        <v>9</v>
      </c>
      <c r="Q116">
        <v>-6.4495454545454498</v>
      </c>
      <c r="R116" t="s">
        <v>10</v>
      </c>
      <c r="S116">
        <v>0.64480946087782198</v>
      </c>
      <c r="T116" t="s">
        <v>11</v>
      </c>
      <c r="U116" t="s">
        <v>2057</v>
      </c>
      <c r="V116" t="s">
        <v>691</v>
      </c>
      <c r="W116">
        <v>0</v>
      </c>
      <c r="X116" t="s">
        <v>14</v>
      </c>
      <c r="Y116" t="s">
        <v>15</v>
      </c>
      <c r="Z116" t="s">
        <v>2057</v>
      </c>
      <c r="AA116" t="s">
        <v>691</v>
      </c>
      <c r="AB116">
        <v>0</v>
      </c>
      <c r="AC116" t="s">
        <v>18</v>
      </c>
    </row>
    <row r="117" spans="1:29" x14ac:dyDescent="0.3">
      <c r="A117" t="s">
        <v>134</v>
      </c>
      <c r="B117" t="s">
        <v>1</v>
      </c>
      <c r="C117">
        <v>0.3</v>
      </c>
      <c r="D117" t="s">
        <v>599</v>
      </c>
      <c r="E117" t="s">
        <v>1997</v>
      </c>
      <c r="F117" t="s">
        <v>4</v>
      </c>
      <c r="G117">
        <v>140</v>
      </c>
      <c r="H117" t="s">
        <v>5</v>
      </c>
      <c r="I117">
        <v>121</v>
      </c>
      <c r="J117" t="s">
        <v>6</v>
      </c>
      <c r="K117">
        <v>15.749999999999901</v>
      </c>
      <c r="L117" t="s">
        <v>7</v>
      </c>
      <c r="M117">
        <v>0.112499999999999</v>
      </c>
      <c r="N117" t="s">
        <v>8</v>
      </c>
      <c r="O117">
        <v>1.4652892561983399</v>
      </c>
      <c r="P117" t="s">
        <v>9</v>
      </c>
      <c r="Q117">
        <v>-8.5026315789473692</v>
      </c>
      <c r="R117" t="s">
        <v>10</v>
      </c>
      <c r="S117">
        <v>0.71856551352457998</v>
      </c>
      <c r="T117" t="s">
        <v>11</v>
      </c>
      <c r="U117" t="s">
        <v>2058</v>
      </c>
      <c r="V117" t="s">
        <v>2050</v>
      </c>
      <c r="W117">
        <v>0</v>
      </c>
      <c r="X117" t="s">
        <v>14</v>
      </c>
      <c r="Y117" t="s">
        <v>15</v>
      </c>
      <c r="Z117" t="s">
        <v>2059</v>
      </c>
      <c r="AA117" t="s">
        <v>2052</v>
      </c>
      <c r="AB117">
        <v>0</v>
      </c>
      <c r="AC117" t="s">
        <v>18</v>
      </c>
    </row>
    <row r="118" spans="1:29" x14ac:dyDescent="0.3">
      <c r="A118" t="s">
        <v>134</v>
      </c>
      <c r="B118" t="s">
        <v>1</v>
      </c>
      <c r="C118">
        <v>0.3</v>
      </c>
      <c r="D118" t="s">
        <v>1998</v>
      </c>
      <c r="E118" t="s">
        <v>1999</v>
      </c>
      <c r="F118" t="s">
        <v>4</v>
      </c>
      <c r="G118">
        <v>139</v>
      </c>
      <c r="H118" t="s">
        <v>5</v>
      </c>
      <c r="I118">
        <v>100</v>
      </c>
      <c r="J118" t="s">
        <v>6</v>
      </c>
      <c r="K118">
        <v>43.664284193969998</v>
      </c>
      <c r="L118" t="s">
        <v>7</v>
      </c>
      <c r="M118">
        <v>0.31413154096381302</v>
      </c>
      <c r="N118" t="s">
        <v>8</v>
      </c>
      <c r="O118">
        <v>1.7787428419397</v>
      </c>
      <c r="P118" t="s">
        <v>9</v>
      </c>
      <c r="Q118">
        <v>-3.4412820512820499</v>
      </c>
      <c r="R118" t="s">
        <v>10</v>
      </c>
      <c r="S118">
        <v>0.52761866498365995</v>
      </c>
      <c r="T118" t="s">
        <v>11</v>
      </c>
      <c r="U118" t="s">
        <v>2057</v>
      </c>
      <c r="V118" t="s">
        <v>691</v>
      </c>
      <c r="W118">
        <v>0</v>
      </c>
      <c r="X118" t="s">
        <v>14</v>
      </c>
      <c r="Y118" t="s">
        <v>15</v>
      </c>
      <c r="Z118" t="s">
        <v>2057</v>
      </c>
      <c r="AA118" t="s">
        <v>691</v>
      </c>
      <c r="AB118">
        <v>0</v>
      </c>
      <c r="AC118" t="s">
        <v>18</v>
      </c>
    </row>
    <row r="119" spans="1:29" x14ac:dyDescent="0.3">
      <c r="A119" t="s">
        <v>134</v>
      </c>
      <c r="B119" t="s">
        <v>1</v>
      </c>
      <c r="C119">
        <v>0.3</v>
      </c>
      <c r="D119" t="s">
        <v>1998</v>
      </c>
      <c r="E119" t="s">
        <v>2002</v>
      </c>
      <c r="F119" t="s">
        <v>4</v>
      </c>
      <c r="G119">
        <v>139</v>
      </c>
      <c r="H119" t="s">
        <v>5</v>
      </c>
      <c r="I119">
        <v>109</v>
      </c>
      <c r="J119" t="s">
        <v>6</v>
      </c>
      <c r="K119">
        <v>7.6942841939700397</v>
      </c>
      <c r="L119" t="s">
        <v>7</v>
      </c>
      <c r="M119">
        <v>5.5354562546546998E-2</v>
      </c>
      <c r="N119" t="s">
        <v>8</v>
      </c>
      <c r="O119">
        <v>1.7811402219630199</v>
      </c>
      <c r="P119" t="s">
        <v>9</v>
      </c>
      <c r="Q119">
        <v>-6.2149999999999901</v>
      </c>
      <c r="R119" t="s">
        <v>10</v>
      </c>
      <c r="S119">
        <v>0.63001213774003595</v>
      </c>
      <c r="T119" t="s">
        <v>11</v>
      </c>
      <c r="U119" t="s">
        <v>2060</v>
      </c>
      <c r="V119" t="s">
        <v>2050</v>
      </c>
      <c r="W119">
        <v>0</v>
      </c>
      <c r="X119" t="s">
        <v>14</v>
      </c>
      <c r="Y119" t="s">
        <v>15</v>
      </c>
      <c r="Z119" t="s">
        <v>2060</v>
      </c>
      <c r="AA119" t="s">
        <v>2050</v>
      </c>
      <c r="AB119">
        <v>0</v>
      </c>
      <c r="AC119" t="s">
        <v>18</v>
      </c>
    </row>
    <row r="120" spans="1:29" x14ac:dyDescent="0.3">
      <c r="A120" t="s">
        <v>134</v>
      </c>
      <c r="B120" t="s">
        <v>1</v>
      </c>
      <c r="C120">
        <v>0.3</v>
      </c>
      <c r="D120" t="s">
        <v>1998</v>
      </c>
      <c r="E120" t="s">
        <v>2004</v>
      </c>
      <c r="F120" t="s">
        <v>4</v>
      </c>
      <c r="G120">
        <v>139</v>
      </c>
      <c r="H120" t="s">
        <v>5</v>
      </c>
      <c r="I120">
        <v>117</v>
      </c>
      <c r="J120" t="s">
        <v>6</v>
      </c>
      <c r="K120">
        <v>16.144284193970002</v>
      </c>
      <c r="L120" t="s">
        <v>7</v>
      </c>
      <c r="M120">
        <v>0.116145929453022</v>
      </c>
      <c r="N120" t="s">
        <v>8</v>
      </c>
      <c r="O120">
        <v>1.7508913178971699</v>
      </c>
      <c r="P120" t="s">
        <v>9</v>
      </c>
      <c r="Q120">
        <v>-8.5777272727272695</v>
      </c>
      <c r="R120" t="s">
        <v>10</v>
      </c>
      <c r="S120">
        <v>0.71525323727411705</v>
      </c>
      <c r="T120" t="s">
        <v>11</v>
      </c>
      <c r="U120" t="s">
        <v>2061</v>
      </c>
      <c r="V120" t="s">
        <v>2055</v>
      </c>
      <c r="W120">
        <v>0</v>
      </c>
      <c r="X120" t="s">
        <v>14</v>
      </c>
      <c r="Y120" t="s">
        <v>15</v>
      </c>
      <c r="Z120" t="s">
        <v>2061</v>
      </c>
      <c r="AA120" t="s">
        <v>2055</v>
      </c>
      <c r="AB120">
        <v>0</v>
      </c>
      <c r="AC120" t="s">
        <v>18</v>
      </c>
    </row>
    <row r="121" spans="1:29" x14ac:dyDescent="0.3">
      <c r="A121" t="s">
        <v>134</v>
      </c>
      <c r="B121" t="s">
        <v>1</v>
      </c>
      <c r="C121">
        <v>0.3</v>
      </c>
      <c r="D121" t="s">
        <v>1998</v>
      </c>
      <c r="E121" t="s">
        <v>2005</v>
      </c>
      <c r="F121" t="s">
        <v>4</v>
      </c>
      <c r="G121">
        <v>139</v>
      </c>
      <c r="H121" t="s">
        <v>5</v>
      </c>
      <c r="I121">
        <v>119</v>
      </c>
      <c r="J121" t="s">
        <v>6</v>
      </c>
      <c r="K121">
        <v>9.9342841939700701</v>
      </c>
      <c r="L121" t="s">
        <v>7</v>
      </c>
      <c r="M121">
        <v>7.1469670460216295E-2</v>
      </c>
      <c r="N121" t="s">
        <v>8</v>
      </c>
      <c r="O121">
        <v>1.7515486066720101</v>
      </c>
      <c r="P121" t="s">
        <v>9</v>
      </c>
      <c r="Q121">
        <v>-9.9250000000000007</v>
      </c>
      <c r="R121" t="s">
        <v>10</v>
      </c>
      <c r="S121">
        <v>0.75150798088604798</v>
      </c>
      <c r="T121" t="s">
        <v>11</v>
      </c>
      <c r="U121" t="s">
        <v>2061</v>
      </c>
      <c r="V121" t="s">
        <v>2055</v>
      </c>
      <c r="W121">
        <v>0</v>
      </c>
      <c r="X121" t="s">
        <v>14</v>
      </c>
      <c r="Y121" t="s">
        <v>15</v>
      </c>
      <c r="Z121" t="s">
        <v>2061</v>
      </c>
      <c r="AA121" t="s">
        <v>2055</v>
      </c>
      <c r="AB121">
        <v>0</v>
      </c>
      <c r="AC121" t="s">
        <v>18</v>
      </c>
    </row>
    <row r="122" spans="1:29" x14ac:dyDescent="0.3">
      <c r="A122" t="s">
        <v>134</v>
      </c>
      <c r="B122" t="s">
        <v>1</v>
      </c>
      <c r="C122">
        <v>0.2</v>
      </c>
      <c r="D122" t="s">
        <v>590</v>
      </c>
      <c r="E122" t="s">
        <v>1979</v>
      </c>
      <c r="F122" t="s">
        <v>4</v>
      </c>
      <c r="G122">
        <v>135</v>
      </c>
      <c r="H122" t="s">
        <v>5</v>
      </c>
      <c r="I122">
        <v>99</v>
      </c>
      <c r="J122" t="s">
        <v>6</v>
      </c>
      <c r="K122">
        <v>6.1799999999999802</v>
      </c>
      <c r="L122" t="s">
        <v>7</v>
      </c>
      <c r="M122">
        <v>4.5777777777777598E-2</v>
      </c>
      <c r="N122" t="s">
        <v>8</v>
      </c>
      <c r="O122">
        <v>0.68141414141414103</v>
      </c>
      <c r="P122" t="s">
        <v>9</v>
      </c>
      <c r="Q122">
        <v>-1.7022222222222201</v>
      </c>
      <c r="R122" t="s">
        <v>10</v>
      </c>
      <c r="S122">
        <v>0.271158617230563</v>
      </c>
      <c r="T122" t="s">
        <v>11</v>
      </c>
      <c r="U122" t="s">
        <v>2062</v>
      </c>
      <c r="V122" t="s">
        <v>691</v>
      </c>
      <c r="W122">
        <v>0</v>
      </c>
      <c r="X122" t="s">
        <v>14</v>
      </c>
      <c r="Y122" t="s">
        <v>15</v>
      </c>
      <c r="Z122" t="s">
        <v>2062</v>
      </c>
      <c r="AA122" t="s">
        <v>691</v>
      </c>
      <c r="AB122">
        <v>0</v>
      </c>
      <c r="AC122" t="s">
        <v>18</v>
      </c>
    </row>
    <row r="123" spans="1:29" x14ac:dyDescent="0.3">
      <c r="A123" t="s">
        <v>134</v>
      </c>
      <c r="B123" t="s">
        <v>1</v>
      </c>
      <c r="C123">
        <v>0.2</v>
      </c>
      <c r="D123" t="s">
        <v>590</v>
      </c>
      <c r="E123" t="s">
        <v>1982</v>
      </c>
      <c r="F123" t="s">
        <v>4</v>
      </c>
      <c r="G123">
        <v>135</v>
      </c>
      <c r="H123" t="s">
        <v>5</v>
      </c>
      <c r="I123">
        <v>111</v>
      </c>
      <c r="J123" t="s">
        <v>6</v>
      </c>
      <c r="K123">
        <v>16.209999999999901</v>
      </c>
      <c r="L123" t="s">
        <v>7</v>
      </c>
      <c r="M123">
        <v>0.120074074074073</v>
      </c>
      <c r="N123" t="s">
        <v>8</v>
      </c>
      <c r="O123">
        <v>0.68243243243243201</v>
      </c>
      <c r="P123" t="s">
        <v>9</v>
      </c>
      <c r="Q123">
        <v>-2.4808333333333299</v>
      </c>
      <c r="R123" t="s">
        <v>10</v>
      </c>
      <c r="S123">
        <v>0.31515117530295</v>
      </c>
      <c r="T123" t="s">
        <v>11</v>
      </c>
      <c r="U123" t="s">
        <v>2062</v>
      </c>
      <c r="V123" t="s">
        <v>691</v>
      </c>
      <c r="W123">
        <v>0</v>
      </c>
      <c r="X123" t="s">
        <v>14</v>
      </c>
      <c r="Y123" t="s">
        <v>15</v>
      </c>
      <c r="Z123" t="s">
        <v>2062</v>
      </c>
      <c r="AA123" t="s">
        <v>691</v>
      </c>
      <c r="AB123">
        <v>0</v>
      </c>
      <c r="AC123" t="s">
        <v>18</v>
      </c>
    </row>
    <row r="124" spans="1:29" x14ac:dyDescent="0.3">
      <c r="A124" t="s">
        <v>134</v>
      </c>
      <c r="B124" t="s">
        <v>1</v>
      </c>
      <c r="C124">
        <v>0.2</v>
      </c>
      <c r="D124" t="s">
        <v>590</v>
      </c>
      <c r="E124" t="s">
        <v>1985</v>
      </c>
      <c r="F124" t="s">
        <v>4</v>
      </c>
      <c r="G124">
        <v>135</v>
      </c>
      <c r="H124" t="s">
        <v>5</v>
      </c>
      <c r="I124">
        <v>115</v>
      </c>
      <c r="J124" t="s">
        <v>6</v>
      </c>
      <c r="K124">
        <v>18.599999999999898</v>
      </c>
      <c r="L124" t="s">
        <v>7</v>
      </c>
      <c r="M124">
        <v>0.137777777777777</v>
      </c>
      <c r="N124" t="s">
        <v>8</v>
      </c>
      <c r="O124">
        <v>0.68078260869565199</v>
      </c>
      <c r="P124" t="s">
        <v>9</v>
      </c>
      <c r="Q124">
        <v>-2.9845000000000002</v>
      </c>
      <c r="R124" t="s">
        <v>10</v>
      </c>
      <c r="S124">
        <v>0.34266357900664701</v>
      </c>
      <c r="T124" t="s">
        <v>11</v>
      </c>
      <c r="U124" t="s">
        <v>2062</v>
      </c>
      <c r="V124" t="s">
        <v>691</v>
      </c>
      <c r="W124">
        <v>0</v>
      </c>
      <c r="X124" t="s">
        <v>14</v>
      </c>
      <c r="Y124" t="s">
        <v>15</v>
      </c>
      <c r="Z124" t="s">
        <v>2062</v>
      </c>
      <c r="AA124" t="s">
        <v>691</v>
      </c>
      <c r="AB124">
        <v>0</v>
      </c>
      <c r="AC124" t="s">
        <v>18</v>
      </c>
    </row>
    <row r="125" spans="1:29" x14ac:dyDescent="0.3">
      <c r="A125" t="s">
        <v>134</v>
      </c>
      <c r="B125" t="s">
        <v>1</v>
      </c>
      <c r="C125">
        <v>0.2</v>
      </c>
      <c r="D125" t="s">
        <v>590</v>
      </c>
      <c r="E125" t="s">
        <v>1988</v>
      </c>
      <c r="F125" t="s">
        <v>4</v>
      </c>
      <c r="G125">
        <v>135</v>
      </c>
      <c r="H125" t="s">
        <v>5</v>
      </c>
      <c r="I125">
        <v>116</v>
      </c>
      <c r="J125" t="s">
        <v>6</v>
      </c>
      <c r="K125">
        <v>10.6999999999999</v>
      </c>
      <c r="L125" t="s">
        <v>7</v>
      </c>
      <c r="M125">
        <v>7.9259259259259099E-2</v>
      </c>
      <c r="N125" t="s">
        <v>8</v>
      </c>
      <c r="O125">
        <v>0.67732758620689604</v>
      </c>
      <c r="P125" t="s">
        <v>9</v>
      </c>
      <c r="Q125">
        <v>-3.5721052631578898</v>
      </c>
      <c r="R125" t="s">
        <v>10</v>
      </c>
      <c r="S125">
        <v>0.35320724237698498</v>
      </c>
      <c r="T125" t="s">
        <v>11</v>
      </c>
      <c r="U125" t="s">
        <v>2062</v>
      </c>
      <c r="V125" t="s">
        <v>691</v>
      </c>
      <c r="W125">
        <v>0</v>
      </c>
      <c r="X125" t="s">
        <v>14</v>
      </c>
      <c r="Y125" t="s">
        <v>15</v>
      </c>
      <c r="Z125" t="s">
        <v>2062</v>
      </c>
      <c r="AA125" t="s">
        <v>691</v>
      </c>
      <c r="AB125">
        <v>0</v>
      </c>
      <c r="AC125" t="s">
        <v>18</v>
      </c>
    </row>
    <row r="126" spans="1:29" x14ac:dyDescent="0.3">
      <c r="A126" t="s">
        <v>134</v>
      </c>
      <c r="B126" t="s">
        <v>1</v>
      </c>
      <c r="C126">
        <v>0.2</v>
      </c>
      <c r="D126" t="s">
        <v>599</v>
      </c>
      <c r="E126" t="s">
        <v>1991</v>
      </c>
      <c r="F126" t="s">
        <v>4</v>
      </c>
      <c r="G126">
        <v>140</v>
      </c>
      <c r="H126" t="s">
        <v>5</v>
      </c>
      <c r="I126">
        <v>98</v>
      </c>
      <c r="J126" t="s">
        <v>6</v>
      </c>
      <c r="K126">
        <v>9.5</v>
      </c>
      <c r="L126" t="s">
        <v>7</v>
      </c>
      <c r="M126">
        <v>6.7857142857142796E-2</v>
      </c>
      <c r="N126" t="s">
        <v>8</v>
      </c>
      <c r="O126">
        <v>0.85459183673469397</v>
      </c>
      <c r="P126" t="s">
        <v>9</v>
      </c>
      <c r="Q126">
        <v>-1.7678571428571399</v>
      </c>
      <c r="R126" t="s">
        <v>10</v>
      </c>
      <c r="S126">
        <v>0.30396284422098402</v>
      </c>
      <c r="T126" t="s">
        <v>11</v>
      </c>
      <c r="U126" t="s">
        <v>669</v>
      </c>
      <c r="V126" t="s">
        <v>691</v>
      </c>
      <c r="W126">
        <v>0</v>
      </c>
      <c r="X126" t="s">
        <v>14</v>
      </c>
      <c r="Y126" t="s">
        <v>15</v>
      </c>
      <c r="Z126" t="s">
        <v>669</v>
      </c>
      <c r="AA126" t="s">
        <v>691</v>
      </c>
      <c r="AB126">
        <v>0</v>
      </c>
      <c r="AC126" t="s">
        <v>18</v>
      </c>
    </row>
    <row r="127" spans="1:29" x14ac:dyDescent="0.3">
      <c r="A127" t="s">
        <v>134</v>
      </c>
      <c r="B127" t="s">
        <v>1</v>
      </c>
      <c r="C127">
        <v>0.2</v>
      </c>
      <c r="D127" t="s">
        <v>599</v>
      </c>
      <c r="E127" t="s">
        <v>1994</v>
      </c>
      <c r="F127" t="s">
        <v>4</v>
      </c>
      <c r="G127">
        <v>140</v>
      </c>
      <c r="H127" t="s">
        <v>5</v>
      </c>
      <c r="I127">
        <v>114</v>
      </c>
      <c r="J127" t="s">
        <v>6</v>
      </c>
      <c r="K127">
        <v>18.459999999999901</v>
      </c>
      <c r="L127" t="s">
        <v>7</v>
      </c>
      <c r="M127">
        <v>0.13185714285714201</v>
      </c>
      <c r="N127" t="s">
        <v>8</v>
      </c>
      <c r="O127">
        <v>0.86254385964912295</v>
      </c>
      <c r="P127" t="s">
        <v>9</v>
      </c>
      <c r="Q127">
        <v>-3.0719230769230701</v>
      </c>
      <c r="R127" t="s">
        <v>10</v>
      </c>
      <c r="S127">
        <v>0.388978875431708</v>
      </c>
      <c r="T127" t="s">
        <v>11</v>
      </c>
      <c r="U127" t="s">
        <v>2063</v>
      </c>
      <c r="V127" t="s">
        <v>2048</v>
      </c>
      <c r="W127">
        <v>0</v>
      </c>
      <c r="X127" t="s">
        <v>14</v>
      </c>
      <c r="Y127" t="s">
        <v>15</v>
      </c>
      <c r="Z127" t="s">
        <v>2063</v>
      </c>
      <c r="AA127" t="s">
        <v>2048</v>
      </c>
      <c r="AB127">
        <v>0</v>
      </c>
      <c r="AC127" t="s">
        <v>18</v>
      </c>
    </row>
    <row r="128" spans="1:29" x14ac:dyDescent="0.3">
      <c r="A128" t="s">
        <v>134</v>
      </c>
      <c r="B128" t="s">
        <v>1</v>
      </c>
      <c r="C128">
        <v>0.2</v>
      </c>
      <c r="D128" t="s">
        <v>599</v>
      </c>
      <c r="E128" t="s">
        <v>1996</v>
      </c>
      <c r="F128" t="s">
        <v>4</v>
      </c>
      <c r="G128">
        <v>140</v>
      </c>
      <c r="H128" t="s">
        <v>5</v>
      </c>
      <c r="I128">
        <v>119</v>
      </c>
      <c r="J128" t="s">
        <v>6</v>
      </c>
      <c r="K128">
        <v>19.909999999999901</v>
      </c>
      <c r="L128" t="s">
        <v>7</v>
      </c>
      <c r="M128">
        <v>0.14221428571428499</v>
      </c>
      <c r="N128" t="s">
        <v>8</v>
      </c>
      <c r="O128">
        <v>0.86285714285714199</v>
      </c>
      <c r="P128" t="s">
        <v>9</v>
      </c>
      <c r="Q128">
        <v>-3.9414285714285699</v>
      </c>
      <c r="R128" t="s">
        <v>10</v>
      </c>
      <c r="S128">
        <v>0.41594843483039601</v>
      </c>
      <c r="T128" t="s">
        <v>11</v>
      </c>
      <c r="U128" t="s">
        <v>2063</v>
      </c>
      <c r="V128" t="s">
        <v>2048</v>
      </c>
      <c r="W128">
        <v>0</v>
      </c>
      <c r="X128" t="s">
        <v>14</v>
      </c>
      <c r="Y128" t="s">
        <v>15</v>
      </c>
      <c r="Z128" t="s">
        <v>2063</v>
      </c>
      <c r="AA128" t="s">
        <v>2048</v>
      </c>
      <c r="AB128">
        <v>0</v>
      </c>
      <c r="AC128" t="s">
        <v>18</v>
      </c>
    </row>
    <row r="129" spans="1:29" x14ac:dyDescent="0.3">
      <c r="A129" t="s">
        <v>134</v>
      </c>
      <c r="B129" t="s">
        <v>1</v>
      </c>
      <c r="C129">
        <v>0.2</v>
      </c>
      <c r="D129" t="s">
        <v>599</v>
      </c>
      <c r="E129" t="s">
        <v>1997</v>
      </c>
      <c r="F129" t="s">
        <v>4</v>
      </c>
      <c r="G129">
        <v>140</v>
      </c>
      <c r="H129" t="s">
        <v>5</v>
      </c>
      <c r="I129">
        <v>122</v>
      </c>
      <c r="J129" t="s">
        <v>6</v>
      </c>
      <c r="K129">
        <v>16.889999999999901</v>
      </c>
      <c r="L129" t="s">
        <v>7</v>
      </c>
      <c r="M129">
        <v>0.120642857142856</v>
      </c>
      <c r="N129" t="s">
        <v>8</v>
      </c>
      <c r="O129">
        <v>0.86139344262295003</v>
      </c>
      <c r="P129" t="s">
        <v>9</v>
      </c>
      <c r="Q129">
        <v>-4.9000000000000004</v>
      </c>
      <c r="R129" t="s">
        <v>10</v>
      </c>
      <c r="S129">
        <v>0.43676722599440998</v>
      </c>
      <c r="T129" t="s">
        <v>11</v>
      </c>
      <c r="U129" t="s">
        <v>2063</v>
      </c>
      <c r="V129" t="s">
        <v>2048</v>
      </c>
      <c r="W129">
        <v>0</v>
      </c>
      <c r="X129" t="s">
        <v>14</v>
      </c>
      <c r="Y129" t="s">
        <v>15</v>
      </c>
      <c r="Z129" t="s">
        <v>2063</v>
      </c>
      <c r="AA129" t="s">
        <v>2048</v>
      </c>
      <c r="AB129">
        <v>0</v>
      </c>
      <c r="AC129" t="s">
        <v>18</v>
      </c>
    </row>
    <row r="130" spans="1:29" x14ac:dyDescent="0.3">
      <c r="A130" t="s">
        <v>134</v>
      </c>
      <c r="B130" t="s">
        <v>1</v>
      </c>
      <c r="C130">
        <v>0.2</v>
      </c>
      <c r="D130" t="s">
        <v>1998</v>
      </c>
      <c r="E130" t="s">
        <v>1999</v>
      </c>
      <c r="F130" t="s">
        <v>4</v>
      </c>
      <c r="G130">
        <v>139</v>
      </c>
      <c r="H130" t="s">
        <v>5</v>
      </c>
      <c r="I130">
        <v>97</v>
      </c>
      <c r="J130" t="s">
        <v>6</v>
      </c>
      <c r="K130">
        <v>4.0812491994315403</v>
      </c>
      <c r="L130" t="s">
        <v>7</v>
      </c>
      <c r="M130">
        <v>2.9361505031881601E-2</v>
      </c>
      <c r="N130" t="s">
        <v>8</v>
      </c>
      <c r="O130">
        <v>0.99588916700444796</v>
      </c>
      <c r="P130" t="s">
        <v>9</v>
      </c>
      <c r="Q130">
        <v>-2.2028571428571402</v>
      </c>
      <c r="R130" t="s">
        <v>10</v>
      </c>
      <c r="S130">
        <v>0.31380801938515002</v>
      </c>
      <c r="T130" t="s">
        <v>11</v>
      </c>
      <c r="U130" t="s">
        <v>669</v>
      </c>
      <c r="V130" t="s">
        <v>691</v>
      </c>
      <c r="W130">
        <v>0</v>
      </c>
      <c r="X130" t="s">
        <v>14</v>
      </c>
      <c r="Y130" t="s">
        <v>15</v>
      </c>
      <c r="Z130" t="s">
        <v>669</v>
      </c>
      <c r="AA130" t="s">
        <v>691</v>
      </c>
      <c r="AB130">
        <v>0</v>
      </c>
      <c r="AC130" t="s">
        <v>18</v>
      </c>
    </row>
    <row r="131" spans="1:29" x14ac:dyDescent="0.3">
      <c r="A131" t="s">
        <v>134</v>
      </c>
      <c r="B131" t="s">
        <v>1</v>
      </c>
      <c r="C131">
        <v>0.2</v>
      </c>
      <c r="D131" t="s">
        <v>1998</v>
      </c>
      <c r="E131" t="s">
        <v>2002</v>
      </c>
      <c r="F131" t="s">
        <v>4</v>
      </c>
      <c r="G131">
        <v>139</v>
      </c>
      <c r="H131" t="s">
        <v>5</v>
      </c>
      <c r="I131">
        <v>108</v>
      </c>
      <c r="J131" t="s">
        <v>6</v>
      </c>
      <c r="K131">
        <v>-10.228750800568401</v>
      </c>
      <c r="L131" t="s">
        <v>7</v>
      </c>
      <c r="M131">
        <v>-7.3588135255888407E-2</v>
      </c>
      <c r="N131" t="s">
        <v>8</v>
      </c>
      <c r="O131">
        <v>1.00093749258732</v>
      </c>
      <c r="P131" t="s">
        <v>9</v>
      </c>
      <c r="Q131">
        <v>-3.8170967741935402</v>
      </c>
      <c r="R131" t="s">
        <v>10</v>
      </c>
      <c r="S131">
        <v>0.38248687452389202</v>
      </c>
      <c r="T131" t="s">
        <v>11</v>
      </c>
      <c r="U131" t="s">
        <v>2064</v>
      </c>
      <c r="V131" t="s">
        <v>2050</v>
      </c>
      <c r="W131">
        <v>0</v>
      </c>
      <c r="X131" t="s">
        <v>14</v>
      </c>
      <c r="Y131" t="s">
        <v>15</v>
      </c>
      <c r="Z131" t="s">
        <v>2064</v>
      </c>
      <c r="AA131" t="s">
        <v>2050</v>
      </c>
      <c r="AB131">
        <v>0</v>
      </c>
      <c r="AC131" t="s">
        <v>18</v>
      </c>
    </row>
    <row r="132" spans="1:29" x14ac:dyDescent="0.3">
      <c r="A132" t="s">
        <v>134</v>
      </c>
      <c r="B132" t="s">
        <v>1</v>
      </c>
      <c r="C132">
        <v>0.2</v>
      </c>
      <c r="D132" t="s">
        <v>1998</v>
      </c>
      <c r="E132" t="s">
        <v>2004</v>
      </c>
      <c r="F132" t="s">
        <v>4</v>
      </c>
      <c r="G132">
        <v>139</v>
      </c>
      <c r="H132" t="s">
        <v>5</v>
      </c>
      <c r="I132">
        <v>114</v>
      </c>
      <c r="J132" t="s">
        <v>6</v>
      </c>
      <c r="K132">
        <v>-17.538750800568401</v>
      </c>
      <c r="L132" t="s">
        <v>7</v>
      </c>
      <c r="M132">
        <v>-0.126178063313442</v>
      </c>
      <c r="N132" t="s">
        <v>8</v>
      </c>
      <c r="O132">
        <v>1.0023793789423801</v>
      </c>
      <c r="P132" t="s">
        <v>9</v>
      </c>
      <c r="Q132">
        <v>-5.2724000000000002</v>
      </c>
      <c r="R132" t="s">
        <v>10</v>
      </c>
      <c r="S132">
        <v>0.46169016925651801</v>
      </c>
      <c r="T132" t="s">
        <v>11</v>
      </c>
      <c r="U132" t="s">
        <v>2065</v>
      </c>
      <c r="V132" t="s">
        <v>1237</v>
      </c>
      <c r="W132">
        <v>0</v>
      </c>
      <c r="X132" t="s">
        <v>14</v>
      </c>
      <c r="Y132" t="s">
        <v>15</v>
      </c>
      <c r="Z132" t="s">
        <v>2065</v>
      </c>
      <c r="AA132" t="s">
        <v>1237</v>
      </c>
      <c r="AB132">
        <v>0</v>
      </c>
      <c r="AC132" t="s">
        <v>18</v>
      </c>
    </row>
    <row r="133" spans="1:29" x14ac:dyDescent="0.3">
      <c r="A133" t="s">
        <v>134</v>
      </c>
      <c r="B133" t="s">
        <v>1</v>
      </c>
      <c r="C133">
        <v>0.2</v>
      </c>
      <c r="D133" t="s">
        <v>1998</v>
      </c>
      <c r="E133" t="s">
        <v>2005</v>
      </c>
      <c r="F133" t="s">
        <v>4</v>
      </c>
      <c r="G133">
        <v>139</v>
      </c>
      <c r="H133" t="s">
        <v>5</v>
      </c>
      <c r="I133">
        <v>118</v>
      </c>
      <c r="J133" t="s">
        <v>6</v>
      </c>
      <c r="K133">
        <v>-9.4087508005684501</v>
      </c>
      <c r="L133" t="s">
        <v>7</v>
      </c>
      <c r="M133">
        <v>-6.7688854680348506E-2</v>
      </c>
      <c r="N133" t="s">
        <v>8</v>
      </c>
      <c r="O133">
        <v>1.0161970271138201</v>
      </c>
      <c r="P133" t="s">
        <v>9</v>
      </c>
      <c r="Q133">
        <v>-6.1580952380952301</v>
      </c>
      <c r="R133" t="s">
        <v>10</v>
      </c>
      <c r="S133">
        <v>0.49988756657735001</v>
      </c>
      <c r="T133" t="s">
        <v>11</v>
      </c>
      <c r="U133" t="s">
        <v>2066</v>
      </c>
      <c r="V133" t="s">
        <v>2055</v>
      </c>
      <c r="W133">
        <v>0</v>
      </c>
      <c r="X133" t="s">
        <v>14</v>
      </c>
      <c r="Y133" t="s">
        <v>15</v>
      </c>
      <c r="Z133" t="s">
        <v>2066</v>
      </c>
      <c r="AA133" t="s">
        <v>2055</v>
      </c>
      <c r="AB133">
        <v>0</v>
      </c>
      <c r="AC133" t="s">
        <v>18</v>
      </c>
    </row>
    <row r="134" spans="1:29" x14ac:dyDescent="0.3">
      <c r="A134" t="s">
        <v>134</v>
      </c>
      <c r="B134" t="s">
        <v>1</v>
      </c>
      <c r="C134">
        <v>0.1</v>
      </c>
      <c r="D134" t="s">
        <v>590</v>
      </c>
      <c r="E134" t="s">
        <v>1979</v>
      </c>
      <c r="F134" t="s">
        <v>4</v>
      </c>
      <c r="G134">
        <v>135</v>
      </c>
      <c r="H134" t="s">
        <v>5</v>
      </c>
      <c r="I134">
        <v>106</v>
      </c>
      <c r="J134" t="s">
        <v>6</v>
      </c>
      <c r="K134">
        <v>7.6399999999999899</v>
      </c>
      <c r="L134" t="s">
        <v>7</v>
      </c>
      <c r="M134">
        <v>5.65925925925925E-2</v>
      </c>
      <c r="N134" t="s">
        <v>8</v>
      </c>
      <c r="O134">
        <v>0.29952830188679203</v>
      </c>
      <c r="P134" t="s">
        <v>9</v>
      </c>
      <c r="Q134">
        <v>-0.83137931034482704</v>
      </c>
      <c r="R134" t="s">
        <v>10</v>
      </c>
      <c r="S134">
        <v>0.132131142657641</v>
      </c>
      <c r="T134" t="s">
        <v>11</v>
      </c>
      <c r="U134" t="s">
        <v>2067</v>
      </c>
      <c r="V134" t="s">
        <v>691</v>
      </c>
      <c r="W134">
        <v>0</v>
      </c>
      <c r="X134" t="s">
        <v>14</v>
      </c>
      <c r="Y134" t="s">
        <v>15</v>
      </c>
      <c r="Z134" t="s">
        <v>2067</v>
      </c>
      <c r="AA134" t="s">
        <v>691</v>
      </c>
      <c r="AB134">
        <v>0</v>
      </c>
      <c r="AC134" t="s">
        <v>18</v>
      </c>
    </row>
    <row r="135" spans="1:29" x14ac:dyDescent="0.3">
      <c r="A135" t="s">
        <v>134</v>
      </c>
      <c r="B135" t="s">
        <v>1</v>
      </c>
      <c r="C135">
        <v>0.1</v>
      </c>
      <c r="D135" t="s">
        <v>590</v>
      </c>
      <c r="E135" t="s">
        <v>1982</v>
      </c>
      <c r="F135" t="s">
        <v>4</v>
      </c>
      <c r="G135">
        <v>135</v>
      </c>
      <c r="H135" t="s">
        <v>5</v>
      </c>
      <c r="I135">
        <v>116</v>
      </c>
      <c r="J135" t="s">
        <v>6</v>
      </c>
      <c r="K135">
        <v>11.0899999999999</v>
      </c>
      <c r="L135" t="s">
        <v>7</v>
      </c>
      <c r="M135">
        <v>8.2148148148147998E-2</v>
      </c>
      <c r="N135" t="s">
        <v>8</v>
      </c>
      <c r="O135">
        <v>0.30086206896551698</v>
      </c>
      <c r="P135" t="s">
        <v>9</v>
      </c>
      <c r="Q135">
        <v>-1.25315789473684</v>
      </c>
      <c r="R135" t="s">
        <v>10</v>
      </c>
      <c r="S135">
        <v>0.15408242628728899</v>
      </c>
      <c r="T135" t="s">
        <v>11</v>
      </c>
      <c r="U135" t="s">
        <v>2067</v>
      </c>
      <c r="V135" t="s">
        <v>691</v>
      </c>
      <c r="W135">
        <v>0</v>
      </c>
      <c r="X135" t="s">
        <v>14</v>
      </c>
      <c r="Y135" t="s">
        <v>15</v>
      </c>
      <c r="Z135" t="s">
        <v>2067</v>
      </c>
      <c r="AA135" t="s">
        <v>691</v>
      </c>
      <c r="AB135">
        <v>0</v>
      </c>
      <c r="AC135" t="s">
        <v>18</v>
      </c>
    </row>
    <row r="136" spans="1:29" x14ac:dyDescent="0.3">
      <c r="A136" t="s">
        <v>134</v>
      </c>
      <c r="B136" t="s">
        <v>1</v>
      </c>
      <c r="C136">
        <v>0.1</v>
      </c>
      <c r="D136" t="s">
        <v>590</v>
      </c>
      <c r="E136" t="s">
        <v>1985</v>
      </c>
      <c r="F136" t="s">
        <v>4</v>
      </c>
      <c r="G136">
        <v>135</v>
      </c>
      <c r="H136" t="s">
        <v>5</v>
      </c>
      <c r="I136">
        <v>119</v>
      </c>
      <c r="J136" t="s">
        <v>6</v>
      </c>
      <c r="K136">
        <v>12.159999999999901</v>
      </c>
      <c r="L136" t="s">
        <v>7</v>
      </c>
      <c r="M136">
        <v>9.0074074074073807E-2</v>
      </c>
      <c r="N136" t="s">
        <v>8</v>
      </c>
      <c r="O136">
        <v>0.30336134453781499</v>
      </c>
      <c r="P136" t="s">
        <v>9</v>
      </c>
      <c r="Q136">
        <v>-1.4962500000000001</v>
      </c>
      <c r="R136" t="s">
        <v>10</v>
      </c>
      <c r="S136">
        <v>0.17343053321070001</v>
      </c>
      <c r="T136" t="s">
        <v>11</v>
      </c>
      <c r="U136" t="s">
        <v>2067</v>
      </c>
      <c r="V136" t="s">
        <v>691</v>
      </c>
      <c r="W136">
        <v>0</v>
      </c>
      <c r="X136" t="s">
        <v>14</v>
      </c>
      <c r="Y136" t="s">
        <v>15</v>
      </c>
      <c r="Z136" t="s">
        <v>2067</v>
      </c>
      <c r="AA136" t="s">
        <v>691</v>
      </c>
      <c r="AB136">
        <v>0</v>
      </c>
      <c r="AC136" t="s">
        <v>18</v>
      </c>
    </row>
    <row r="137" spans="1:29" x14ac:dyDescent="0.3">
      <c r="A137" t="s">
        <v>134</v>
      </c>
      <c r="B137" t="s">
        <v>1</v>
      </c>
      <c r="C137">
        <v>0.1</v>
      </c>
      <c r="D137" t="s">
        <v>590</v>
      </c>
      <c r="E137" t="s">
        <v>1988</v>
      </c>
      <c r="F137" t="s">
        <v>4</v>
      </c>
      <c r="G137">
        <v>135</v>
      </c>
      <c r="H137" t="s">
        <v>5</v>
      </c>
      <c r="I137">
        <v>119</v>
      </c>
      <c r="J137" t="s">
        <v>6</v>
      </c>
      <c r="K137">
        <v>9.0999999999999606</v>
      </c>
      <c r="L137" t="s">
        <v>7</v>
      </c>
      <c r="M137">
        <v>6.7407407407407097E-2</v>
      </c>
      <c r="N137" t="s">
        <v>8</v>
      </c>
      <c r="O137">
        <v>0.30336134453781499</v>
      </c>
      <c r="P137" t="s">
        <v>9</v>
      </c>
      <c r="Q137">
        <v>-1.6875</v>
      </c>
      <c r="R137" t="s">
        <v>10</v>
      </c>
      <c r="S137">
        <v>0.178621951670075</v>
      </c>
      <c r="T137" t="s">
        <v>11</v>
      </c>
      <c r="U137" t="s">
        <v>2067</v>
      </c>
      <c r="V137" t="s">
        <v>691</v>
      </c>
      <c r="W137">
        <v>0</v>
      </c>
      <c r="X137" t="s">
        <v>14</v>
      </c>
      <c r="Y137" t="s">
        <v>15</v>
      </c>
      <c r="Z137" t="s">
        <v>2067</v>
      </c>
      <c r="AA137" t="s">
        <v>691</v>
      </c>
      <c r="AB137">
        <v>0</v>
      </c>
      <c r="AC137" t="s">
        <v>18</v>
      </c>
    </row>
    <row r="138" spans="1:29" x14ac:dyDescent="0.3">
      <c r="A138" t="s">
        <v>134</v>
      </c>
      <c r="B138" t="s">
        <v>1</v>
      </c>
      <c r="C138">
        <v>0.1</v>
      </c>
      <c r="D138" t="s">
        <v>599</v>
      </c>
      <c r="E138" t="s">
        <v>1991</v>
      </c>
      <c r="F138" t="s">
        <v>4</v>
      </c>
      <c r="G138">
        <v>140</v>
      </c>
      <c r="H138" t="s">
        <v>5</v>
      </c>
      <c r="I138">
        <v>106</v>
      </c>
      <c r="J138" t="s">
        <v>6</v>
      </c>
      <c r="K138">
        <v>9.8232435294644898</v>
      </c>
      <c r="L138" t="s">
        <v>7</v>
      </c>
      <c r="M138">
        <v>7.01660252104606E-2</v>
      </c>
      <c r="N138" t="s">
        <v>8</v>
      </c>
      <c r="O138">
        <v>0.36616267480626802</v>
      </c>
      <c r="P138" t="s">
        <v>9</v>
      </c>
      <c r="Q138">
        <v>-0.85264705882352898</v>
      </c>
      <c r="R138" t="s">
        <v>10</v>
      </c>
      <c r="S138">
        <v>0.14547917997155599</v>
      </c>
      <c r="T138" t="s">
        <v>11</v>
      </c>
      <c r="U138" t="s">
        <v>2068</v>
      </c>
      <c r="V138" t="s">
        <v>691</v>
      </c>
      <c r="W138">
        <v>0</v>
      </c>
      <c r="X138" t="s">
        <v>14</v>
      </c>
      <c r="Y138" t="s">
        <v>15</v>
      </c>
      <c r="Z138" t="s">
        <v>2068</v>
      </c>
      <c r="AA138" t="s">
        <v>691</v>
      </c>
      <c r="AB138">
        <v>0</v>
      </c>
      <c r="AC138" t="s">
        <v>18</v>
      </c>
    </row>
    <row r="139" spans="1:29" x14ac:dyDescent="0.3">
      <c r="A139" t="s">
        <v>134</v>
      </c>
      <c r="B139" t="s">
        <v>1</v>
      </c>
      <c r="C139">
        <v>0.1</v>
      </c>
      <c r="D139" t="s">
        <v>599</v>
      </c>
      <c r="E139" t="s">
        <v>1994</v>
      </c>
      <c r="F139" t="s">
        <v>4</v>
      </c>
      <c r="G139">
        <v>140</v>
      </c>
      <c r="H139" t="s">
        <v>5</v>
      </c>
      <c r="I139">
        <v>118</v>
      </c>
      <c r="J139" t="s">
        <v>6</v>
      </c>
      <c r="K139">
        <v>15.663243529464401</v>
      </c>
      <c r="L139" t="s">
        <v>7</v>
      </c>
      <c r="M139">
        <v>0.111880310924746</v>
      </c>
      <c r="N139" t="s">
        <v>8</v>
      </c>
      <c r="O139">
        <v>0.37206138584291898</v>
      </c>
      <c r="P139" t="s">
        <v>9</v>
      </c>
      <c r="Q139">
        <v>-1.2836363636363599</v>
      </c>
      <c r="R139" t="s">
        <v>10</v>
      </c>
      <c r="S139">
        <v>0.17745604647338301</v>
      </c>
      <c r="T139" t="s">
        <v>11</v>
      </c>
      <c r="U139" t="s">
        <v>2068</v>
      </c>
      <c r="V139" t="s">
        <v>691</v>
      </c>
      <c r="W139">
        <v>0</v>
      </c>
      <c r="X139" t="s">
        <v>14</v>
      </c>
      <c r="Y139" t="s">
        <v>15</v>
      </c>
      <c r="Z139" t="s">
        <v>2068</v>
      </c>
      <c r="AA139" t="s">
        <v>691</v>
      </c>
      <c r="AB139">
        <v>0</v>
      </c>
      <c r="AC139" t="s">
        <v>18</v>
      </c>
    </row>
    <row r="140" spans="1:29" x14ac:dyDescent="0.3">
      <c r="A140" t="s">
        <v>134</v>
      </c>
      <c r="B140" t="s">
        <v>1</v>
      </c>
      <c r="C140">
        <v>0.1</v>
      </c>
      <c r="D140" t="s">
        <v>599</v>
      </c>
      <c r="E140" t="s">
        <v>1996</v>
      </c>
      <c r="F140" t="s">
        <v>4</v>
      </c>
      <c r="G140">
        <v>140</v>
      </c>
      <c r="H140" t="s">
        <v>5</v>
      </c>
      <c r="I140">
        <v>120</v>
      </c>
      <c r="J140" t="s">
        <v>6</v>
      </c>
      <c r="K140">
        <v>8.3732435294644798</v>
      </c>
      <c r="L140" t="s">
        <v>7</v>
      </c>
      <c r="M140">
        <v>5.9808882353317702E-2</v>
      </c>
      <c r="N140" t="s">
        <v>8</v>
      </c>
      <c r="O140">
        <v>0.37086036274553702</v>
      </c>
      <c r="P140" t="s">
        <v>9</v>
      </c>
      <c r="Q140">
        <v>-1.8065</v>
      </c>
      <c r="R140" t="s">
        <v>10</v>
      </c>
      <c r="S140">
        <v>0.19248954476435801</v>
      </c>
      <c r="T140" t="s">
        <v>11</v>
      </c>
      <c r="U140" t="s">
        <v>2068</v>
      </c>
      <c r="V140" t="s">
        <v>691</v>
      </c>
      <c r="W140">
        <v>0</v>
      </c>
      <c r="X140" t="s">
        <v>14</v>
      </c>
      <c r="Y140" t="s">
        <v>15</v>
      </c>
      <c r="Z140" t="s">
        <v>2068</v>
      </c>
      <c r="AA140" t="s">
        <v>691</v>
      </c>
      <c r="AB140">
        <v>0</v>
      </c>
      <c r="AC140" t="s">
        <v>18</v>
      </c>
    </row>
    <row r="141" spans="1:29" x14ac:dyDescent="0.3">
      <c r="A141" t="s">
        <v>134</v>
      </c>
      <c r="B141" t="s">
        <v>1</v>
      </c>
      <c r="C141">
        <v>0.1</v>
      </c>
      <c r="D141" t="s">
        <v>599</v>
      </c>
      <c r="E141" t="s">
        <v>1997</v>
      </c>
      <c r="F141" t="s">
        <v>4</v>
      </c>
      <c r="G141">
        <v>140</v>
      </c>
      <c r="H141" t="s">
        <v>5</v>
      </c>
      <c r="I141">
        <v>124</v>
      </c>
      <c r="J141" t="s">
        <v>6</v>
      </c>
      <c r="K141">
        <v>13.1232435294644</v>
      </c>
      <c r="L141" t="s">
        <v>7</v>
      </c>
      <c r="M141">
        <v>9.3737453781888996E-2</v>
      </c>
      <c r="N141" t="s">
        <v>8</v>
      </c>
      <c r="O141">
        <v>0.37115518975374501</v>
      </c>
      <c r="P141" t="s">
        <v>9</v>
      </c>
      <c r="Q141">
        <v>-2.0562499999999999</v>
      </c>
      <c r="R141" t="s">
        <v>10</v>
      </c>
      <c r="S141">
        <v>0.20525146405106301</v>
      </c>
      <c r="T141" t="s">
        <v>11</v>
      </c>
      <c r="U141" t="s">
        <v>2068</v>
      </c>
      <c r="V141" t="s">
        <v>691</v>
      </c>
      <c r="W141">
        <v>0</v>
      </c>
      <c r="X141" t="s">
        <v>14</v>
      </c>
      <c r="Y141" t="s">
        <v>15</v>
      </c>
      <c r="Z141" t="s">
        <v>2068</v>
      </c>
      <c r="AA141" t="s">
        <v>691</v>
      </c>
      <c r="AB141">
        <v>0</v>
      </c>
      <c r="AC141" t="s">
        <v>18</v>
      </c>
    </row>
    <row r="142" spans="1:29" x14ac:dyDescent="0.3">
      <c r="A142" t="s">
        <v>134</v>
      </c>
      <c r="B142" t="s">
        <v>1</v>
      </c>
      <c r="C142">
        <v>0.1</v>
      </c>
      <c r="D142" t="s">
        <v>1998</v>
      </c>
      <c r="E142" t="s">
        <v>1999</v>
      </c>
      <c r="F142" t="s">
        <v>4</v>
      </c>
      <c r="G142">
        <v>139</v>
      </c>
      <c r="H142" t="s">
        <v>5</v>
      </c>
      <c r="I142">
        <v>100</v>
      </c>
      <c r="J142" t="s">
        <v>6</v>
      </c>
      <c r="K142">
        <v>4.01580091875792</v>
      </c>
      <c r="L142" t="s">
        <v>7</v>
      </c>
      <c r="M142">
        <v>2.88906540917836E-2</v>
      </c>
      <c r="N142" t="s">
        <v>8</v>
      </c>
      <c r="O142">
        <v>0.44423880029857599</v>
      </c>
      <c r="P142" t="s">
        <v>9</v>
      </c>
      <c r="Q142">
        <v>-1.0361045925923</v>
      </c>
      <c r="R142" t="s">
        <v>10</v>
      </c>
      <c r="S142">
        <v>0.14536983175031501</v>
      </c>
      <c r="T142" t="s">
        <v>11</v>
      </c>
      <c r="U142" t="s">
        <v>2068</v>
      </c>
      <c r="V142" t="s">
        <v>691</v>
      </c>
      <c r="W142">
        <v>0</v>
      </c>
      <c r="X142" t="s">
        <v>14</v>
      </c>
      <c r="Y142" t="s">
        <v>15</v>
      </c>
      <c r="Z142" t="s">
        <v>2068</v>
      </c>
      <c r="AA142" t="s">
        <v>691</v>
      </c>
      <c r="AB142">
        <v>0</v>
      </c>
      <c r="AC142" t="s">
        <v>18</v>
      </c>
    </row>
    <row r="143" spans="1:29" x14ac:dyDescent="0.3">
      <c r="A143" t="s">
        <v>134</v>
      </c>
      <c r="B143" t="s">
        <v>1</v>
      </c>
      <c r="C143">
        <v>0.1</v>
      </c>
      <c r="D143" t="s">
        <v>1998</v>
      </c>
      <c r="E143" t="s">
        <v>2002</v>
      </c>
      <c r="F143" t="s">
        <v>4</v>
      </c>
      <c r="G143">
        <v>139</v>
      </c>
      <c r="H143" t="s">
        <v>5</v>
      </c>
      <c r="I143">
        <v>113</v>
      </c>
      <c r="J143" t="s">
        <v>6</v>
      </c>
      <c r="K143">
        <v>10.218833104158699</v>
      </c>
      <c r="L143" t="s">
        <v>7</v>
      </c>
      <c r="M143">
        <v>7.3516784922005599E-2</v>
      </c>
      <c r="N143" t="s">
        <v>8</v>
      </c>
      <c r="O143">
        <v>0.45505545740953002</v>
      </c>
      <c r="P143" t="s">
        <v>9</v>
      </c>
      <c r="Q143">
        <v>-1.58470898396608</v>
      </c>
      <c r="R143" t="s">
        <v>10</v>
      </c>
      <c r="S143">
        <v>0.17725691345549299</v>
      </c>
      <c r="T143" t="s">
        <v>11</v>
      </c>
      <c r="U143" t="s">
        <v>2068</v>
      </c>
      <c r="V143" t="s">
        <v>691</v>
      </c>
      <c r="W143">
        <v>0</v>
      </c>
      <c r="X143" t="s">
        <v>14</v>
      </c>
      <c r="Y143" t="s">
        <v>15</v>
      </c>
      <c r="Z143" t="s">
        <v>2068</v>
      </c>
      <c r="AA143" t="s">
        <v>691</v>
      </c>
      <c r="AB143">
        <v>0</v>
      </c>
      <c r="AC143" t="s">
        <v>18</v>
      </c>
    </row>
    <row r="144" spans="1:29" x14ac:dyDescent="0.3">
      <c r="A144" t="s">
        <v>134</v>
      </c>
      <c r="B144" t="s">
        <v>1</v>
      </c>
      <c r="C144">
        <v>0.1</v>
      </c>
      <c r="D144" t="s">
        <v>1998</v>
      </c>
      <c r="E144" t="s">
        <v>2004</v>
      </c>
      <c r="F144" t="s">
        <v>4</v>
      </c>
      <c r="G144">
        <v>139</v>
      </c>
      <c r="H144" t="s">
        <v>5</v>
      </c>
      <c r="I144">
        <v>117</v>
      </c>
      <c r="J144" t="s">
        <v>6</v>
      </c>
      <c r="K144">
        <v>5.7088331041587796</v>
      </c>
      <c r="L144" t="s">
        <v>7</v>
      </c>
      <c r="M144">
        <v>4.1070741756538E-2</v>
      </c>
      <c r="N144" t="s">
        <v>8</v>
      </c>
      <c r="O144">
        <v>0.45847236484852</v>
      </c>
      <c r="P144" t="s">
        <v>9</v>
      </c>
      <c r="Q144">
        <v>-2.17874698105082</v>
      </c>
      <c r="R144" t="s">
        <v>10</v>
      </c>
      <c r="S144">
        <v>0.20512074562191601</v>
      </c>
      <c r="T144" t="s">
        <v>11</v>
      </c>
      <c r="U144" t="s">
        <v>176</v>
      </c>
      <c r="V144" t="s">
        <v>2050</v>
      </c>
      <c r="W144">
        <v>0</v>
      </c>
      <c r="X144" t="s">
        <v>14</v>
      </c>
      <c r="Y144" t="s">
        <v>15</v>
      </c>
      <c r="Z144" t="s">
        <v>176</v>
      </c>
      <c r="AA144" t="s">
        <v>2050</v>
      </c>
      <c r="AB144">
        <v>0</v>
      </c>
      <c r="AC144" t="s">
        <v>18</v>
      </c>
    </row>
    <row r="145" spans="1:29" x14ac:dyDescent="0.3">
      <c r="A145" t="s">
        <v>134</v>
      </c>
      <c r="B145" t="s">
        <v>1</v>
      </c>
      <c r="C145">
        <v>0.1</v>
      </c>
      <c r="D145" t="s">
        <v>1998</v>
      </c>
      <c r="E145" t="s">
        <v>2005</v>
      </c>
      <c r="F145" t="s">
        <v>4</v>
      </c>
      <c r="G145">
        <v>139</v>
      </c>
      <c r="H145" t="s">
        <v>5</v>
      </c>
      <c r="I145">
        <v>121</v>
      </c>
      <c r="J145" t="s">
        <v>6</v>
      </c>
      <c r="K145">
        <v>0.90883310415879104</v>
      </c>
      <c r="L145" t="s">
        <v>7</v>
      </c>
      <c r="M145">
        <v>6.5383676558186396E-3</v>
      </c>
      <c r="N145" t="s">
        <v>8</v>
      </c>
      <c r="O145">
        <v>0.457035261878321</v>
      </c>
      <c r="P145" t="s">
        <v>9</v>
      </c>
      <c r="Q145">
        <v>-3.0218018657287802</v>
      </c>
      <c r="R145" t="s">
        <v>10</v>
      </c>
      <c r="S145">
        <v>0.229040469793412</v>
      </c>
      <c r="T145" t="s">
        <v>11</v>
      </c>
      <c r="U145" t="s">
        <v>2069</v>
      </c>
      <c r="V145" t="s">
        <v>1249</v>
      </c>
      <c r="W145">
        <v>0</v>
      </c>
      <c r="X145" t="s">
        <v>14</v>
      </c>
      <c r="Y145" t="s">
        <v>15</v>
      </c>
      <c r="Z145" t="s">
        <v>2069</v>
      </c>
      <c r="AA145" t="s">
        <v>1249</v>
      </c>
      <c r="AB145">
        <v>0</v>
      </c>
      <c r="AC145" t="s">
        <v>18</v>
      </c>
    </row>
    <row r="146" spans="1:29" x14ac:dyDescent="0.3">
      <c r="A146" t="s">
        <v>175</v>
      </c>
      <c r="B146" t="s">
        <v>1</v>
      </c>
      <c r="C146">
        <v>0.4</v>
      </c>
      <c r="D146" t="s">
        <v>590</v>
      </c>
      <c r="E146" t="s">
        <v>1979</v>
      </c>
      <c r="F146" t="s">
        <v>4</v>
      </c>
      <c r="G146">
        <v>90</v>
      </c>
      <c r="H146" t="s">
        <v>5</v>
      </c>
      <c r="I146">
        <v>65</v>
      </c>
      <c r="J146" t="s">
        <v>6</v>
      </c>
      <c r="K146">
        <v>24.37</v>
      </c>
      <c r="L146" t="s">
        <v>7</v>
      </c>
      <c r="M146">
        <v>0.27077777777777701</v>
      </c>
      <c r="N146" t="s">
        <v>8</v>
      </c>
      <c r="O146">
        <v>1.9427692307692299</v>
      </c>
      <c r="P146" t="s">
        <v>9</v>
      </c>
      <c r="Q146">
        <v>-4.0763999999999898</v>
      </c>
      <c r="R146" t="s">
        <v>10</v>
      </c>
      <c r="S146">
        <v>0.434443556956218</v>
      </c>
      <c r="T146" t="s">
        <v>11</v>
      </c>
      <c r="U146" t="s">
        <v>2044</v>
      </c>
      <c r="V146" t="s">
        <v>691</v>
      </c>
      <c r="W146">
        <v>0</v>
      </c>
      <c r="X146" t="s">
        <v>14</v>
      </c>
      <c r="Y146" t="s">
        <v>15</v>
      </c>
      <c r="Z146" t="s">
        <v>2044</v>
      </c>
      <c r="AA146" t="s">
        <v>691</v>
      </c>
      <c r="AB146">
        <v>0</v>
      </c>
      <c r="AC146" t="s">
        <v>18</v>
      </c>
    </row>
    <row r="147" spans="1:29" x14ac:dyDescent="0.3">
      <c r="A147" t="s">
        <v>175</v>
      </c>
      <c r="B147" t="s">
        <v>1</v>
      </c>
      <c r="C147">
        <v>0.4</v>
      </c>
      <c r="D147" t="s">
        <v>590</v>
      </c>
      <c r="E147" t="s">
        <v>1982</v>
      </c>
      <c r="F147" t="s">
        <v>4</v>
      </c>
      <c r="G147">
        <v>90</v>
      </c>
      <c r="H147" t="s">
        <v>5</v>
      </c>
      <c r="I147">
        <v>73</v>
      </c>
      <c r="J147" t="s">
        <v>6</v>
      </c>
      <c r="K147">
        <v>46.37</v>
      </c>
      <c r="L147" t="s">
        <v>7</v>
      </c>
      <c r="M147">
        <v>0.51522222222222203</v>
      </c>
      <c r="N147" t="s">
        <v>8</v>
      </c>
      <c r="O147">
        <v>1.9493150684931499</v>
      </c>
      <c r="P147" t="s">
        <v>9</v>
      </c>
      <c r="Q147">
        <v>-5.6429411764705799</v>
      </c>
      <c r="R147" t="s">
        <v>10</v>
      </c>
      <c r="S147">
        <v>0.50213148400263696</v>
      </c>
      <c r="T147" t="s">
        <v>11</v>
      </c>
      <c r="U147" t="s">
        <v>2044</v>
      </c>
      <c r="V147" t="s">
        <v>691</v>
      </c>
      <c r="W147">
        <v>0</v>
      </c>
      <c r="X147" t="s">
        <v>14</v>
      </c>
      <c r="Y147" t="s">
        <v>15</v>
      </c>
      <c r="Z147" t="s">
        <v>2044</v>
      </c>
      <c r="AA147" t="s">
        <v>691</v>
      </c>
      <c r="AB147">
        <v>0</v>
      </c>
      <c r="AC147" t="s">
        <v>18</v>
      </c>
    </row>
    <row r="148" spans="1:29" x14ac:dyDescent="0.3">
      <c r="A148" t="s">
        <v>175</v>
      </c>
      <c r="B148" t="s">
        <v>1</v>
      </c>
      <c r="C148">
        <v>0.4</v>
      </c>
      <c r="D148" t="s">
        <v>590</v>
      </c>
      <c r="E148" t="s">
        <v>1985</v>
      </c>
      <c r="F148" t="s">
        <v>4</v>
      </c>
      <c r="G148">
        <v>90</v>
      </c>
      <c r="H148" t="s">
        <v>5</v>
      </c>
      <c r="I148">
        <v>74</v>
      </c>
      <c r="J148" t="s">
        <v>6</v>
      </c>
      <c r="K148">
        <v>24.66</v>
      </c>
      <c r="L148" t="s">
        <v>7</v>
      </c>
      <c r="M148">
        <v>0.27400000000000002</v>
      </c>
      <c r="N148" t="s">
        <v>8</v>
      </c>
      <c r="O148">
        <v>1.9309459459459399</v>
      </c>
      <c r="P148" t="s">
        <v>9</v>
      </c>
      <c r="Q148">
        <v>-7.3893749999999896</v>
      </c>
      <c r="R148" t="s">
        <v>10</v>
      </c>
      <c r="S148">
        <v>0.55127201786688695</v>
      </c>
      <c r="T148" t="s">
        <v>11</v>
      </c>
      <c r="U148" t="s">
        <v>2044</v>
      </c>
      <c r="V148" t="s">
        <v>691</v>
      </c>
      <c r="W148">
        <v>0</v>
      </c>
      <c r="X148" t="s">
        <v>14</v>
      </c>
      <c r="Y148" t="s">
        <v>15</v>
      </c>
      <c r="Z148" t="s">
        <v>2044</v>
      </c>
      <c r="AA148" t="s">
        <v>691</v>
      </c>
      <c r="AB148">
        <v>0</v>
      </c>
      <c r="AC148" t="s">
        <v>18</v>
      </c>
    </row>
    <row r="149" spans="1:29" x14ac:dyDescent="0.3">
      <c r="A149" t="s">
        <v>175</v>
      </c>
      <c r="B149" t="s">
        <v>1</v>
      </c>
      <c r="C149">
        <v>0.4</v>
      </c>
      <c r="D149" t="s">
        <v>590</v>
      </c>
      <c r="E149" t="s">
        <v>1988</v>
      </c>
      <c r="F149" t="s">
        <v>4</v>
      </c>
      <c r="G149">
        <v>90</v>
      </c>
      <c r="H149" t="s">
        <v>5</v>
      </c>
      <c r="I149">
        <v>74</v>
      </c>
      <c r="J149" t="s">
        <v>6</v>
      </c>
      <c r="K149">
        <v>22.17</v>
      </c>
      <c r="L149" t="s">
        <v>7</v>
      </c>
      <c r="M149">
        <v>0.24633333333333299</v>
      </c>
      <c r="N149" t="s">
        <v>8</v>
      </c>
      <c r="O149">
        <v>1.9309459459459399</v>
      </c>
      <c r="P149" t="s">
        <v>9</v>
      </c>
      <c r="Q149">
        <v>-7.5449999999999902</v>
      </c>
      <c r="R149" t="s">
        <v>10</v>
      </c>
      <c r="S149">
        <v>0.55282135137755595</v>
      </c>
      <c r="T149" t="s">
        <v>11</v>
      </c>
      <c r="U149" t="s">
        <v>2044</v>
      </c>
      <c r="V149" t="s">
        <v>691</v>
      </c>
      <c r="W149">
        <v>0</v>
      </c>
      <c r="X149" t="s">
        <v>14</v>
      </c>
      <c r="Y149" t="s">
        <v>15</v>
      </c>
      <c r="Z149" t="s">
        <v>2044</v>
      </c>
      <c r="AA149" t="s">
        <v>691</v>
      </c>
      <c r="AB149">
        <v>0</v>
      </c>
      <c r="AC149" t="s">
        <v>18</v>
      </c>
    </row>
    <row r="150" spans="1:29" x14ac:dyDescent="0.3">
      <c r="A150" t="s">
        <v>175</v>
      </c>
      <c r="B150" t="s">
        <v>1</v>
      </c>
      <c r="C150">
        <v>0.4</v>
      </c>
      <c r="D150" t="s">
        <v>599</v>
      </c>
      <c r="E150" t="s">
        <v>1991</v>
      </c>
      <c r="F150" t="s">
        <v>4</v>
      </c>
      <c r="G150">
        <v>95</v>
      </c>
      <c r="H150" t="s">
        <v>5</v>
      </c>
      <c r="I150">
        <v>70</v>
      </c>
      <c r="J150" t="s">
        <v>6</v>
      </c>
      <c r="K150">
        <v>58.32</v>
      </c>
      <c r="L150" t="s">
        <v>7</v>
      </c>
      <c r="M150">
        <v>0.61389473684210505</v>
      </c>
      <c r="N150" t="s">
        <v>8</v>
      </c>
      <c r="O150">
        <v>2.4545714285714202</v>
      </c>
      <c r="P150" t="s">
        <v>9</v>
      </c>
      <c r="Q150">
        <v>-4.5399999999999903</v>
      </c>
      <c r="R150" t="s">
        <v>10</v>
      </c>
      <c r="S150">
        <v>0.51478464225249798</v>
      </c>
      <c r="T150" t="s">
        <v>11</v>
      </c>
      <c r="U150" t="s">
        <v>2045</v>
      </c>
      <c r="V150" t="s">
        <v>2046</v>
      </c>
      <c r="W150">
        <v>0</v>
      </c>
      <c r="X150" t="s">
        <v>14</v>
      </c>
      <c r="Y150" t="s">
        <v>15</v>
      </c>
      <c r="Z150" t="s">
        <v>2045</v>
      </c>
      <c r="AA150" t="s">
        <v>2046</v>
      </c>
      <c r="AB150">
        <v>0</v>
      </c>
      <c r="AC150" t="s">
        <v>18</v>
      </c>
    </row>
    <row r="151" spans="1:29" x14ac:dyDescent="0.3">
      <c r="A151" t="s">
        <v>175</v>
      </c>
      <c r="B151" t="s">
        <v>1</v>
      </c>
      <c r="C151">
        <v>0.4</v>
      </c>
      <c r="D151" t="s">
        <v>599</v>
      </c>
      <c r="E151" t="s">
        <v>1994</v>
      </c>
      <c r="F151" t="s">
        <v>4</v>
      </c>
      <c r="G151">
        <v>95</v>
      </c>
      <c r="H151" t="s">
        <v>5</v>
      </c>
      <c r="I151">
        <v>79</v>
      </c>
      <c r="J151" t="s">
        <v>6</v>
      </c>
      <c r="K151">
        <v>58.819999999999901</v>
      </c>
      <c r="L151" t="s">
        <v>7</v>
      </c>
      <c r="M151">
        <v>0.61915789473684102</v>
      </c>
      <c r="N151" t="s">
        <v>8</v>
      </c>
      <c r="O151">
        <v>2.41202531645569</v>
      </c>
      <c r="P151" t="s">
        <v>9</v>
      </c>
      <c r="Q151">
        <v>-8.2331249999999994</v>
      </c>
      <c r="R151" t="s">
        <v>10</v>
      </c>
      <c r="S151">
        <v>0.60150557067814403</v>
      </c>
      <c r="T151" t="s">
        <v>11</v>
      </c>
      <c r="U151" t="s">
        <v>2047</v>
      </c>
      <c r="V151" t="s">
        <v>2048</v>
      </c>
      <c r="W151">
        <v>0</v>
      </c>
      <c r="X151" t="s">
        <v>14</v>
      </c>
      <c r="Y151" t="s">
        <v>15</v>
      </c>
      <c r="Z151" t="s">
        <v>2047</v>
      </c>
      <c r="AA151" t="s">
        <v>2048</v>
      </c>
      <c r="AB151">
        <v>0</v>
      </c>
      <c r="AC151" t="s">
        <v>18</v>
      </c>
    </row>
    <row r="152" spans="1:29" x14ac:dyDescent="0.3">
      <c r="A152" t="s">
        <v>175</v>
      </c>
      <c r="B152" t="s">
        <v>1</v>
      </c>
      <c r="C152">
        <v>0.4</v>
      </c>
      <c r="D152" t="s">
        <v>599</v>
      </c>
      <c r="E152" t="s">
        <v>1996</v>
      </c>
      <c r="F152" t="s">
        <v>4</v>
      </c>
      <c r="G152">
        <v>95</v>
      </c>
      <c r="H152" t="s">
        <v>5</v>
      </c>
      <c r="I152">
        <v>83</v>
      </c>
      <c r="J152" t="s">
        <v>6</v>
      </c>
      <c r="K152">
        <v>62</v>
      </c>
      <c r="L152" t="s">
        <v>7</v>
      </c>
      <c r="M152">
        <v>0.65263157894736801</v>
      </c>
      <c r="N152" t="s">
        <v>8</v>
      </c>
      <c r="O152">
        <v>2.3609638554216801</v>
      </c>
      <c r="P152" t="s">
        <v>9</v>
      </c>
      <c r="Q152">
        <v>-11.1633333333333</v>
      </c>
      <c r="R152" t="s">
        <v>10</v>
      </c>
      <c r="S152">
        <v>0.704410996826491</v>
      </c>
      <c r="T152" t="s">
        <v>11</v>
      </c>
      <c r="U152" t="s">
        <v>2049</v>
      </c>
      <c r="V152" t="s">
        <v>2050</v>
      </c>
      <c r="W152">
        <v>0</v>
      </c>
      <c r="X152" t="s">
        <v>14</v>
      </c>
      <c r="Y152" t="s">
        <v>15</v>
      </c>
      <c r="Z152" t="s">
        <v>2051</v>
      </c>
      <c r="AA152" t="s">
        <v>2052</v>
      </c>
      <c r="AB152">
        <v>0</v>
      </c>
      <c r="AC152" t="s">
        <v>18</v>
      </c>
    </row>
    <row r="153" spans="1:29" x14ac:dyDescent="0.3">
      <c r="A153" t="s">
        <v>175</v>
      </c>
      <c r="B153" t="s">
        <v>1</v>
      </c>
      <c r="C153">
        <v>0.4</v>
      </c>
      <c r="D153" t="s">
        <v>599</v>
      </c>
      <c r="E153" t="s">
        <v>1997</v>
      </c>
      <c r="F153" t="s">
        <v>4</v>
      </c>
      <c r="G153">
        <v>95</v>
      </c>
      <c r="H153" t="s">
        <v>5</v>
      </c>
      <c r="I153">
        <v>83</v>
      </c>
      <c r="J153" t="s">
        <v>6</v>
      </c>
      <c r="K153">
        <v>41.489999999999903</v>
      </c>
      <c r="L153" t="s">
        <v>7</v>
      </c>
      <c r="M153">
        <v>0.43673684210526298</v>
      </c>
      <c r="N153" t="s">
        <v>8</v>
      </c>
      <c r="O153">
        <v>2.3609638554216801</v>
      </c>
      <c r="P153" t="s">
        <v>9</v>
      </c>
      <c r="Q153">
        <v>-12.8725</v>
      </c>
      <c r="R153" t="s">
        <v>10</v>
      </c>
      <c r="S153">
        <v>0.71458475202405503</v>
      </c>
      <c r="T153" t="s">
        <v>11</v>
      </c>
      <c r="U153" t="s">
        <v>2049</v>
      </c>
      <c r="V153" t="s">
        <v>2050</v>
      </c>
      <c r="W153">
        <v>0</v>
      </c>
      <c r="X153" t="s">
        <v>14</v>
      </c>
      <c r="Y153" t="s">
        <v>15</v>
      </c>
      <c r="Z153" t="s">
        <v>2051</v>
      </c>
      <c r="AA153" t="s">
        <v>2052</v>
      </c>
      <c r="AB153">
        <v>0</v>
      </c>
      <c r="AC153" t="s">
        <v>18</v>
      </c>
    </row>
    <row r="154" spans="1:29" x14ac:dyDescent="0.3">
      <c r="A154" t="s">
        <v>175</v>
      </c>
      <c r="B154" t="s">
        <v>1</v>
      </c>
      <c r="C154">
        <v>0.4</v>
      </c>
      <c r="D154" t="s">
        <v>1998</v>
      </c>
      <c r="E154" t="s">
        <v>1999</v>
      </c>
      <c r="F154" t="s">
        <v>4</v>
      </c>
      <c r="G154">
        <v>96</v>
      </c>
      <c r="H154" t="s">
        <v>5</v>
      </c>
      <c r="I154">
        <v>75</v>
      </c>
      <c r="J154" t="s">
        <v>6</v>
      </c>
      <c r="K154">
        <v>101.916650090327</v>
      </c>
      <c r="L154" t="s">
        <v>7</v>
      </c>
      <c r="M154">
        <v>1.0616317717742401</v>
      </c>
      <c r="N154" t="s">
        <v>8</v>
      </c>
      <c r="O154">
        <v>2.9141111407667002</v>
      </c>
      <c r="P154" t="s">
        <v>9</v>
      </c>
      <c r="Q154">
        <v>-5.5543659746273901</v>
      </c>
      <c r="R154" t="s">
        <v>10</v>
      </c>
      <c r="S154">
        <v>0.54350387680384704</v>
      </c>
      <c r="T154" t="s">
        <v>11</v>
      </c>
      <c r="U154" t="s">
        <v>2053</v>
      </c>
      <c r="V154" t="s">
        <v>691</v>
      </c>
      <c r="W154">
        <v>0</v>
      </c>
      <c r="X154" t="s">
        <v>14</v>
      </c>
      <c r="Y154" t="s">
        <v>15</v>
      </c>
      <c r="Z154" t="s">
        <v>2053</v>
      </c>
      <c r="AA154" t="s">
        <v>691</v>
      </c>
      <c r="AB154">
        <v>0</v>
      </c>
      <c r="AC154" t="s">
        <v>18</v>
      </c>
    </row>
    <row r="155" spans="1:29" x14ac:dyDescent="0.3">
      <c r="A155" t="s">
        <v>175</v>
      </c>
      <c r="B155" t="s">
        <v>1</v>
      </c>
      <c r="C155">
        <v>0.4</v>
      </c>
      <c r="D155" t="s">
        <v>1998</v>
      </c>
      <c r="E155" t="s">
        <v>2002</v>
      </c>
      <c r="F155" t="s">
        <v>4</v>
      </c>
      <c r="G155">
        <v>96</v>
      </c>
      <c r="H155" t="s">
        <v>5</v>
      </c>
      <c r="I155">
        <v>80</v>
      </c>
      <c r="J155" t="s">
        <v>6</v>
      </c>
      <c r="K155">
        <v>62.738335557503099</v>
      </c>
      <c r="L155" t="s">
        <v>7</v>
      </c>
      <c r="M155">
        <v>0.65352432872399102</v>
      </c>
      <c r="N155" t="s">
        <v>8</v>
      </c>
      <c r="O155">
        <v>2.8593541944687799</v>
      </c>
      <c r="P155" t="s">
        <v>9</v>
      </c>
      <c r="Q155">
        <v>-10.375624999999999</v>
      </c>
      <c r="R155" t="s">
        <v>10</v>
      </c>
      <c r="S155">
        <v>0.649019344681105</v>
      </c>
      <c r="T155" t="s">
        <v>11</v>
      </c>
      <c r="U155" t="s">
        <v>2047</v>
      </c>
      <c r="V155" t="s">
        <v>2048</v>
      </c>
      <c r="W155">
        <v>0</v>
      </c>
      <c r="X155" t="s">
        <v>14</v>
      </c>
      <c r="Y155" t="s">
        <v>15</v>
      </c>
      <c r="Z155" t="s">
        <v>2047</v>
      </c>
      <c r="AA155" t="s">
        <v>2048</v>
      </c>
      <c r="AB155">
        <v>0</v>
      </c>
      <c r="AC155" t="s">
        <v>18</v>
      </c>
    </row>
    <row r="156" spans="1:29" x14ac:dyDescent="0.3">
      <c r="A156" t="s">
        <v>175</v>
      </c>
      <c r="B156" t="s">
        <v>1</v>
      </c>
      <c r="C156">
        <v>0.4</v>
      </c>
      <c r="D156" t="s">
        <v>1998</v>
      </c>
      <c r="E156" t="s">
        <v>2004</v>
      </c>
      <c r="F156" t="s">
        <v>4</v>
      </c>
      <c r="G156">
        <v>96</v>
      </c>
      <c r="H156" t="s">
        <v>5</v>
      </c>
      <c r="I156">
        <v>82</v>
      </c>
      <c r="J156" t="s">
        <v>6</v>
      </c>
      <c r="K156">
        <v>59.208335557503098</v>
      </c>
      <c r="L156" t="s">
        <v>7</v>
      </c>
      <c r="M156">
        <v>0.61675349539065805</v>
      </c>
      <c r="N156" t="s">
        <v>8</v>
      </c>
      <c r="O156">
        <v>2.8408333604573501</v>
      </c>
      <c r="P156" t="s">
        <v>9</v>
      </c>
      <c r="Q156">
        <v>-12.409999999999901</v>
      </c>
      <c r="R156" t="s">
        <v>10</v>
      </c>
      <c r="S156">
        <v>0.73114861802422104</v>
      </c>
      <c r="T156" t="s">
        <v>11</v>
      </c>
      <c r="U156" t="s">
        <v>2054</v>
      </c>
      <c r="V156" t="s">
        <v>2055</v>
      </c>
      <c r="W156">
        <v>0</v>
      </c>
      <c r="X156" t="s">
        <v>14</v>
      </c>
      <c r="Y156" t="s">
        <v>15</v>
      </c>
      <c r="Z156" t="s">
        <v>2054</v>
      </c>
      <c r="AA156" t="s">
        <v>2055</v>
      </c>
      <c r="AB156">
        <v>0</v>
      </c>
      <c r="AC156" t="s">
        <v>18</v>
      </c>
    </row>
    <row r="157" spans="1:29" x14ac:dyDescent="0.3">
      <c r="A157" t="s">
        <v>175</v>
      </c>
      <c r="B157" t="s">
        <v>1</v>
      </c>
      <c r="C157">
        <v>0.4</v>
      </c>
      <c r="D157" t="s">
        <v>1998</v>
      </c>
      <c r="E157" t="s">
        <v>2005</v>
      </c>
      <c r="F157" t="s">
        <v>4</v>
      </c>
      <c r="G157">
        <v>96</v>
      </c>
      <c r="H157" t="s">
        <v>5</v>
      </c>
      <c r="I157">
        <v>82</v>
      </c>
      <c r="J157" t="s">
        <v>6</v>
      </c>
      <c r="K157">
        <v>35.218335557503202</v>
      </c>
      <c r="L157" t="s">
        <v>7</v>
      </c>
      <c r="M157">
        <v>0.36685766205732501</v>
      </c>
      <c r="N157" t="s">
        <v>8</v>
      </c>
      <c r="O157">
        <v>2.8408333604573501</v>
      </c>
      <c r="P157" t="s">
        <v>9</v>
      </c>
      <c r="Q157">
        <v>-14.123571428571401</v>
      </c>
      <c r="R157" t="s">
        <v>10</v>
      </c>
      <c r="S157">
        <v>0.74854134014983198</v>
      </c>
      <c r="T157" t="s">
        <v>11</v>
      </c>
      <c r="U157" t="s">
        <v>2054</v>
      </c>
      <c r="V157" t="s">
        <v>2055</v>
      </c>
      <c r="W157">
        <v>0</v>
      </c>
      <c r="X157" t="s">
        <v>14</v>
      </c>
      <c r="Y157" t="s">
        <v>15</v>
      </c>
      <c r="Z157" t="s">
        <v>2054</v>
      </c>
      <c r="AA157" t="s">
        <v>2055</v>
      </c>
      <c r="AB157">
        <v>0</v>
      </c>
      <c r="AC157" t="s">
        <v>18</v>
      </c>
    </row>
    <row r="158" spans="1:29" x14ac:dyDescent="0.3">
      <c r="A158" t="s">
        <v>175</v>
      </c>
      <c r="B158" t="s">
        <v>1</v>
      </c>
      <c r="C158">
        <v>0.3</v>
      </c>
      <c r="D158" t="s">
        <v>590</v>
      </c>
      <c r="E158" t="s">
        <v>1979</v>
      </c>
      <c r="F158" t="s">
        <v>4</v>
      </c>
      <c r="G158">
        <v>90</v>
      </c>
      <c r="H158" t="s">
        <v>5</v>
      </c>
      <c r="I158">
        <v>68</v>
      </c>
      <c r="J158" t="s">
        <v>6</v>
      </c>
      <c r="K158">
        <v>23.059999999999899</v>
      </c>
      <c r="L158" t="s">
        <v>7</v>
      </c>
      <c r="M158">
        <v>0.25622222222222202</v>
      </c>
      <c r="N158" t="s">
        <v>8</v>
      </c>
      <c r="O158">
        <v>1.3194117647058801</v>
      </c>
      <c r="P158" t="s">
        <v>9</v>
      </c>
      <c r="Q158">
        <v>-3.03</v>
      </c>
      <c r="R158" t="s">
        <v>10</v>
      </c>
      <c r="S158">
        <v>0.30464239797484999</v>
      </c>
      <c r="T158" t="s">
        <v>11</v>
      </c>
      <c r="U158" t="s">
        <v>2056</v>
      </c>
      <c r="V158" t="s">
        <v>691</v>
      </c>
      <c r="W158">
        <v>0</v>
      </c>
      <c r="X158" t="s">
        <v>14</v>
      </c>
      <c r="Y158" t="s">
        <v>15</v>
      </c>
      <c r="Z158" t="s">
        <v>2056</v>
      </c>
      <c r="AA158" t="s">
        <v>691</v>
      </c>
      <c r="AB158">
        <v>0</v>
      </c>
      <c r="AC158" t="s">
        <v>18</v>
      </c>
    </row>
    <row r="159" spans="1:29" x14ac:dyDescent="0.3">
      <c r="A159" t="s">
        <v>175</v>
      </c>
      <c r="B159" t="s">
        <v>1</v>
      </c>
      <c r="C159">
        <v>0.3</v>
      </c>
      <c r="D159" t="s">
        <v>590</v>
      </c>
      <c r="E159" t="s">
        <v>1982</v>
      </c>
      <c r="F159" t="s">
        <v>4</v>
      </c>
      <c r="G159">
        <v>90</v>
      </c>
      <c r="H159" t="s">
        <v>5</v>
      </c>
      <c r="I159">
        <v>77</v>
      </c>
      <c r="J159" t="s">
        <v>6</v>
      </c>
      <c r="K159">
        <v>49.889999999999901</v>
      </c>
      <c r="L159" t="s">
        <v>7</v>
      </c>
      <c r="M159">
        <v>0.55433333333333301</v>
      </c>
      <c r="N159" t="s">
        <v>8</v>
      </c>
      <c r="O159">
        <v>1.34493506493506</v>
      </c>
      <c r="P159" t="s">
        <v>9</v>
      </c>
      <c r="Q159">
        <v>-4.12846153846154</v>
      </c>
      <c r="R159" t="s">
        <v>10</v>
      </c>
      <c r="S159">
        <v>0.36219950494162101</v>
      </c>
      <c r="T159" t="s">
        <v>11</v>
      </c>
      <c r="U159" t="s">
        <v>2056</v>
      </c>
      <c r="V159" t="s">
        <v>691</v>
      </c>
      <c r="W159">
        <v>0</v>
      </c>
      <c r="X159" t="s">
        <v>14</v>
      </c>
      <c r="Y159" t="s">
        <v>15</v>
      </c>
      <c r="Z159" t="s">
        <v>2056</v>
      </c>
      <c r="AA159" t="s">
        <v>691</v>
      </c>
      <c r="AB159">
        <v>0</v>
      </c>
      <c r="AC159" t="s">
        <v>18</v>
      </c>
    </row>
    <row r="160" spans="1:29" x14ac:dyDescent="0.3">
      <c r="A160" t="s">
        <v>175</v>
      </c>
      <c r="B160" t="s">
        <v>1</v>
      </c>
      <c r="C160">
        <v>0.3</v>
      </c>
      <c r="D160" t="s">
        <v>590</v>
      </c>
      <c r="E160" t="s">
        <v>1985</v>
      </c>
      <c r="F160" t="s">
        <v>4</v>
      </c>
      <c r="G160">
        <v>90</v>
      </c>
      <c r="H160" t="s">
        <v>5</v>
      </c>
      <c r="I160">
        <v>77</v>
      </c>
      <c r="J160" t="s">
        <v>6</v>
      </c>
      <c r="K160">
        <v>45.2</v>
      </c>
      <c r="L160" t="s">
        <v>7</v>
      </c>
      <c r="M160">
        <v>0.50222222222222201</v>
      </c>
      <c r="N160" t="s">
        <v>8</v>
      </c>
      <c r="O160">
        <v>1.34493506493506</v>
      </c>
      <c r="P160" t="s">
        <v>9</v>
      </c>
      <c r="Q160">
        <v>-4.4892307692307698</v>
      </c>
      <c r="R160" t="s">
        <v>10</v>
      </c>
      <c r="S160">
        <v>0.37146243208250601</v>
      </c>
      <c r="T160" t="s">
        <v>11</v>
      </c>
      <c r="U160" t="s">
        <v>2056</v>
      </c>
      <c r="V160" t="s">
        <v>691</v>
      </c>
      <c r="W160">
        <v>0</v>
      </c>
      <c r="X160" t="s">
        <v>14</v>
      </c>
      <c r="Y160" t="s">
        <v>15</v>
      </c>
      <c r="Z160" t="s">
        <v>2056</v>
      </c>
      <c r="AA160" t="s">
        <v>691</v>
      </c>
      <c r="AB160">
        <v>0</v>
      </c>
      <c r="AC160" t="s">
        <v>18</v>
      </c>
    </row>
    <row r="161" spans="1:29" x14ac:dyDescent="0.3">
      <c r="A161" t="s">
        <v>175</v>
      </c>
      <c r="B161" t="s">
        <v>1</v>
      </c>
      <c r="C161">
        <v>0.3</v>
      </c>
      <c r="D161" t="s">
        <v>590</v>
      </c>
      <c r="E161" t="s">
        <v>1988</v>
      </c>
      <c r="F161" t="s">
        <v>4</v>
      </c>
      <c r="G161">
        <v>90</v>
      </c>
      <c r="H161" t="s">
        <v>5</v>
      </c>
      <c r="I161">
        <v>77</v>
      </c>
      <c r="J161" t="s">
        <v>6</v>
      </c>
      <c r="K161">
        <v>28.16</v>
      </c>
      <c r="L161" t="s">
        <v>7</v>
      </c>
      <c r="M161">
        <v>0.31288888888888799</v>
      </c>
      <c r="N161" t="s">
        <v>8</v>
      </c>
      <c r="O161">
        <v>1.34493506493506</v>
      </c>
      <c r="P161" t="s">
        <v>9</v>
      </c>
      <c r="Q161">
        <v>-5.8</v>
      </c>
      <c r="R161" t="s">
        <v>10</v>
      </c>
      <c r="S161">
        <v>0.39470885928167199</v>
      </c>
      <c r="T161" t="s">
        <v>11</v>
      </c>
      <c r="U161" t="s">
        <v>2056</v>
      </c>
      <c r="V161" t="s">
        <v>691</v>
      </c>
      <c r="W161">
        <v>0</v>
      </c>
      <c r="X161" t="s">
        <v>14</v>
      </c>
      <c r="Y161" t="s">
        <v>15</v>
      </c>
      <c r="Z161" t="s">
        <v>2056</v>
      </c>
      <c r="AA161" t="s">
        <v>691</v>
      </c>
      <c r="AB161">
        <v>0</v>
      </c>
      <c r="AC161" t="s">
        <v>18</v>
      </c>
    </row>
    <row r="162" spans="1:29" x14ac:dyDescent="0.3">
      <c r="A162" t="s">
        <v>175</v>
      </c>
      <c r="B162" t="s">
        <v>1</v>
      </c>
      <c r="C162">
        <v>0.3</v>
      </c>
      <c r="D162" t="s">
        <v>599</v>
      </c>
      <c r="E162" t="s">
        <v>1991</v>
      </c>
      <c r="F162" t="s">
        <v>4</v>
      </c>
      <c r="G162">
        <v>95</v>
      </c>
      <c r="H162" t="s">
        <v>5</v>
      </c>
      <c r="I162">
        <v>71</v>
      </c>
      <c r="J162" t="s">
        <v>6</v>
      </c>
      <c r="K162">
        <v>44.509999999999899</v>
      </c>
      <c r="L162" t="s">
        <v>7</v>
      </c>
      <c r="M162">
        <v>0.46852631578947301</v>
      </c>
      <c r="N162" t="s">
        <v>8</v>
      </c>
      <c r="O162">
        <v>1.6153521126760499</v>
      </c>
      <c r="P162" t="s">
        <v>9</v>
      </c>
      <c r="Q162">
        <v>-2.9241666666666601</v>
      </c>
      <c r="R162" t="s">
        <v>10</v>
      </c>
      <c r="S162">
        <v>0.34705637085623398</v>
      </c>
      <c r="T162" t="s">
        <v>11</v>
      </c>
      <c r="U162" t="s">
        <v>2057</v>
      </c>
      <c r="V162" t="s">
        <v>691</v>
      </c>
      <c r="W162">
        <v>0</v>
      </c>
      <c r="X162" t="s">
        <v>14</v>
      </c>
      <c r="Y162" t="s">
        <v>15</v>
      </c>
      <c r="Z162" t="s">
        <v>2057</v>
      </c>
      <c r="AA162" t="s">
        <v>691</v>
      </c>
      <c r="AB162">
        <v>0</v>
      </c>
      <c r="AC162" t="s">
        <v>18</v>
      </c>
    </row>
    <row r="163" spans="1:29" x14ac:dyDescent="0.3">
      <c r="A163" t="s">
        <v>175</v>
      </c>
      <c r="B163" t="s">
        <v>1</v>
      </c>
      <c r="C163">
        <v>0.3</v>
      </c>
      <c r="D163" t="s">
        <v>599</v>
      </c>
      <c r="E163" t="s">
        <v>1994</v>
      </c>
      <c r="F163" t="s">
        <v>4</v>
      </c>
      <c r="G163">
        <v>95</v>
      </c>
      <c r="H163" t="s">
        <v>5</v>
      </c>
      <c r="I163">
        <v>82</v>
      </c>
      <c r="J163" t="s">
        <v>6</v>
      </c>
      <c r="K163">
        <v>48.959999999999901</v>
      </c>
      <c r="L163" t="s">
        <v>7</v>
      </c>
      <c r="M163">
        <v>0.51536842105263103</v>
      </c>
      <c r="N163" t="s">
        <v>8</v>
      </c>
      <c r="O163">
        <v>1.6021951219512101</v>
      </c>
      <c r="P163" t="s">
        <v>9</v>
      </c>
      <c r="Q163">
        <v>-6.34</v>
      </c>
      <c r="R163" t="s">
        <v>10</v>
      </c>
      <c r="S163">
        <v>0.43471985069434899</v>
      </c>
      <c r="T163" t="s">
        <v>11</v>
      </c>
      <c r="U163" t="s">
        <v>2057</v>
      </c>
      <c r="V163" t="s">
        <v>691</v>
      </c>
      <c r="W163">
        <v>0</v>
      </c>
      <c r="X163" t="s">
        <v>14</v>
      </c>
      <c r="Y163" t="s">
        <v>15</v>
      </c>
      <c r="Z163" t="s">
        <v>2057</v>
      </c>
      <c r="AA163" t="s">
        <v>691</v>
      </c>
      <c r="AB163">
        <v>0</v>
      </c>
      <c r="AC163" t="s">
        <v>18</v>
      </c>
    </row>
    <row r="164" spans="1:29" x14ac:dyDescent="0.3">
      <c r="A164" t="s">
        <v>175</v>
      </c>
      <c r="B164" t="s">
        <v>1</v>
      </c>
      <c r="C164">
        <v>0.3</v>
      </c>
      <c r="D164" t="s">
        <v>599</v>
      </c>
      <c r="E164" t="s">
        <v>1996</v>
      </c>
      <c r="F164" t="s">
        <v>4</v>
      </c>
      <c r="G164">
        <v>95</v>
      </c>
      <c r="H164" t="s">
        <v>5</v>
      </c>
      <c r="I164">
        <v>84</v>
      </c>
      <c r="J164" t="s">
        <v>6</v>
      </c>
      <c r="K164">
        <v>49.119999999999898</v>
      </c>
      <c r="L164" t="s">
        <v>7</v>
      </c>
      <c r="M164">
        <v>0.51705263157894699</v>
      </c>
      <c r="N164" t="s">
        <v>8</v>
      </c>
      <c r="O164">
        <v>1.6085714285714201</v>
      </c>
      <c r="P164" t="s">
        <v>9</v>
      </c>
      <c r="Q164">
        <v>-7.8181818181818201</v>
      </c>
      <c r="R164" t="s">
        <v>10</v>
      </c>
      <c r="S164">
        <v>0.469639711595569</v>
      </c>
      <c r="T164" t="s">
        <v>11</v>
      </c>
      <c r="U164" t="s">
        <v>2057</v>
      </c>
      <c r="V164" t="s">
        <v>691</v>
      </c>
      <c r="W164">
        <v>0</v>
      </c>
      <c r="X164" t="s">
        <v>14</v>
      </c>
      <c r="Y164" t="s">
        <v>15</v>
      </c>
      <c r="Z164" t="s">
        <v>2057</v>
      </c>
      <c r="AA164" t="s">
        <v>691</v>
      </c>
      <c r="AB164">
        <v>0</v>
      </c>
      <c r="AC164" t="s">
        <v>18</v>
      </c>
    </row>
    <row r="165" spans="1:29" x14ac:dyDescent="0.3">
      <c r="A165" t="s">
        <v>175</v>
      </c>
      <c r="B165" t="s">
        <v>1</v>
      </c>
      <c r="C165">
        <v>0.3</v>
      </c>
      <c r="D165" t="s">
        <v>599</v>
      </c>
      <c r="E165" t="s">
        <v>1997</v>
      </c>
      <c r="F165" t="s">
        <v>4</v>
      </c>
      <c r="G165">
        <v>95</v>
      </c>
      <c r="H165" t="s">
        <v>5</v>
      </c>
      <c r="I165">
        <v>86</v>
      </c>
      <c r="J165" t="s">
        <v>6</v>
      </c>
      <c r="K165">
        <v>45.519999999999897</v>
      </c>
      <c r="L165" t="s">
        <v>7</v>
      </c>
      <c r="M165">
        <v>0.479157894736842</v>
      </c>
      <c r="N165" t="s">
        <v>8</v>
      </c>
      <c r="O165">
        <v>1.60732558139534</v>
      </c>
      <c r="P165" t="s">
        <v>9</v>
      </c>
      <c r="Q165">
        <v>-10.3011111111111</v>
      </c>
      <c r="R165" t="s">
        <v>10</v>
      </c>
      <c r="S165">
        <v>0.52367227855700804</v>
      </c>
      <c r="T165" t="s">
        <v>11</v>
      </c>
      <c r="U165" t="s">
        <v>2058</v>
      </c>
      <c r="V165" t="s">
        <v>2050</v>
      </c>
      <c r="W165">
        <v>0</v>
      </c>
      <c r="X165" t="s">
        <v>14</v>
      </c>
      <c r="Y165" t="s">
        <v>15</v>
      </c>
      <c r="Z165" t="s">
        <v>2059</v>
      </c>
      <c r="AA165" t="s">
        <v>2052</v>
      </c>
      <c r="AB165">
        <v>0</v>
      </c>
      <c r="AC165" t="s">
        <v>18</v>
      </c>
    </row>
    <row r="166" spans="1:29" x14ac:dyDescent="0.3">
      <c r="A166" t="s">
        <v>175</v>
      </c>
      <c r="B166" t="s">
        <v>1</v>
      </c>
      <c r="C166">
        <v>0.3</v>
      </c>
      <c r="D166" t="s">
        <v>1998</v>
      </c>
      <c r="E166" t="s">
        <v>1999</v>
      </c>
      <c r="F166" t="s">
        <v>4</v>
      </c>
      <c r="G166">
        <v>96</v>
      </c>
      <c r="H166" t="s">
        <v>5</v>
      </c>
      <c r="I166">
        <v>72</v>
      </c>
      <c r="J166" t="s">
        <v>6</v>
      </c>
      <c r="K166">
        <v>52.854284193970003</v>
      </c>
      <c r="L166" t="s">
        <v>7</v>
      </c>
      <c r="M166">
        <v>0.55056546035385401</v>
      </c>
      <c r="N166" t="s">
        <v>8</v>
      </c>
      <c r="O166">
        <v>1.97200394713847</v>
      </c>
      <c r="P166" t="s">
        <v>9</v>
      </c>
      <c r="Q166">
        <v>-3.7137500000000001</v>
      </c>
      <c r="R166" t="s">
        <v>10</v>
      </c>
      <c r="S166">
        <v>0.41703981049427102</v>
      </c>
      <c r="T166" t="s">
        <v>11</v>
      </c>
      <c r="U166" t="s">
        <v>2057</v>
      </c>
      <c r="V166" t="s">
        <v>691</v>
      </c>
      <c r="W166">
        <v>0</v>
      </c>
      <c r="X166" t="s">
        <v>14</v>
      </c>
      <c r="Y166" t="s">
        <v>15</v>
      </c>
      <c r="Z166" t="s">
        <v>2057</v>
      </c>
      <c r="AA166" t="s">
        <v>691</v>
      </c>
      <c r="AB166">
        <v>0</v>
      </c>
      <c r="AC166" t="s">
        <v>18</v>
      </c>
    </row>
    <row r="167" spans="1:29" x14ac:dyDescent="0.3">
      <c r="A167" t="s">
        <v>175</v>
      </c>
      <c r="B167" t="s">
        <v>1</v>
      </c>
      <c r="C167">
        <v>0.3</v>
      </c>
      <c r="D167" t="s">
        <v>1998</v>
      </c>
      <c r="E167" t="s">
        <v>2002</v>
      </c>
      <c r="F167" t="s">
        <v>4</v>
      </c>
      <c r="G167">
        <v>96</v>
      </c>
      <c r="H167" t="s">
        <v>5</v>
      </c>
      <c r="I167">
        <v>79</v>
      </c>
      <c r="J167" t="s">
        <v>6</v>
      </c>
      <c r="K167">
        <v>35.914284193969998</v>
      </c>
      <c r="L167" t="s">
        <v>7</v>
      </c>
      <c r="M167">
        <v>0.37410712702052101</v>
      </c>
      <c r="N167" t="s">
        <v>8</v>
      </c>
      <c r="O167">
        <v>1.97195296448063</v>
      </c>
      <c r="P167" t="s">
        <v>9</v>
      </c>
      <c r="Q167">
        <v>-7.0511764705882296</v>
      </c>
      <c r="R167" t="s">
        <v>10</v>
      </c>
      <c r="S167">
        <v>0.50272855484575896</v>
      </c>
      <c r="T167" t="s">
        <v>11</v>
      </c>
      <c r="U167" t="s">
        <v>2060</v>
      </c>
      <c r="V167" t="s">
        <v>2050</v>
      </c>
      <c r="W167">
        <v>0</v>
      </c>
      <c r="X167" t="s">
        <v>14</v>
      </c>
      <c r="Y167" t="s">
        <v>15</v>
      </c>
      <c r="Z167" t="s">
        <v>2060</v>
      </c>
      <c r="AA167" t="s">
        <v>2050</v>
      </c>
      <c r="AB167">
        <v>0</v>
      </c>
      <c r="AC167" t="s">
        <v>18</v>
      </c>
    </row>
    <row r="168" spans="1:29" x14ac:dyDescent="0.3">
      <c r="A168" t="s">
        <v>175</v>
      </c>
      <c r="B168" t="s">
        <v>1</v>
      </c>
      <c r="C168">
        <v>0.3</v>
      </c>
      <c r="D168" t="s">
        <v>1998</v>
      </c>
      <c r="E168" t="s">
        <v>2004</v>
      </c>
      <c r="F168" t="s">
        <v>4</v>
      </c>
      <c r="G168">
        <v>96</v>
      </c>
      <c r="H168" t="s">
        <v>5</v>
      </c>
      <c r="I168">
        <v>84</v>
      </c>
      <c r="J168" t="s">
        <v>6</v>
      </c>
      <c r="K168">
        <v>39.65428419397</v>
      </c>
      <c r="L168" t="s">
        <v>7</v>
      </c>
      <c r="M168">
        <v>0.413065460353854</v>
      </c>
      <c r="N168" t="s">
        <v>8</v>
      </c>
      <c r="O168">
        <v>1.92767004992821</v>
      </c>
      <c r="P168" t="s">
        <v>9</v>
      </c>
      <c r="Q168">
        <v>-10.189166666666599</v>
      </c>
      <c r="R168" t="s">
        <v>10</v>
      </c>
      <c r="S168">
        <v>0.56484030848064404</v>
      </c>
      <c r="T168" t="s">
        <v>11</v>
      </c>
      <c r="U168" t="s">
        <v>2061</v>
      </c>
      <c r="V168" t="s">
        <v>2055</v>
      </c>
      <c r="W168">
        <v>0</v>
      </c>
      <c r="X168" t="s">
        <v>14</v>
      </c>
      <c r="Y168" t="s">
        <v>15</v>
      </c>
      <c r="Z168" t="s">
        <v>2061</v>
      </c>
      <c r="AA168" t="s">
        <v>2055</v>
      </c>
      <c r="AB168">
        <v>0</v>
      </c>
      <c r="AC168" t="s">
        <v>18</v>
      </c>
    </row>
    <row r="169" spans="1:29" x14ac:dyDescent="0.3">
      <c r="A169" t="s">
        <v>175</v>
      </c>
      <c r="B169" t="s">
        <v>1</v>
      </c>
      <c r="C169">
        <v>0.3</v>
      </c>
      <c r="D169" t="s">
        <v>1998</v>
      </c>
      <c r="E169" t="s">
        <v>2005</v>
      </c>
      <c r="F169" t="s">
        <v>4</v>
      </c>
      <c r="G169">
        <v>96</v>
      </c>
      <c r="H169" t="s">
        <v>5</v>
      </c>
      <c r="I169">
        <v>84</v>
      </c>
      <c r="J169" t="s">
        <v>6</v>
      </c>
      <c r="K169">
        <v>18.694284193970098</v>
      </c>
      <c r="L169" t="s">
        <v>7</v>
      </c>
      <c r="M169">
        <v>0.19473212702052101</v>
      </c>
      <c r="N169" t="s">
        <v>8</v>
      </c>
      <c r="O169">
        <v>1.92767004992821</v>
      </c>
      <c r="P169" t="s">
        <v>9</v>
      </c>
      <c r="Q169">
        <v>-11.935833333333299</v>
      </c>
      <c r="R169" t="s">
        <v>10</v>
      </c>
      <c r="S169">
        <v>0.58134080271986499</v>
      </c>
      <c r="T169" t="s">
        <v>11</v>
      </c>
      <c r="U169" t="s">
        <v>2061</v>
      </c>
      <c r="V169" t="s">
        <v>2055</v>
      </c>
      <c r="W169">
        <v>0</v>
      </c>
      <c r="X169" t="s">
        <v>14</v>
      </c>
      <c r="Y169" t="s">
        <v>15</v>
      </c>
      <c r="Z169" t="s">
        <v>2061</v>
      </c>
      <c r="AA169" t="s">
        <v>2055</v>
      </c>
      <c r="AB169">
        <v>0</v>
      </c>
      <c r="AC169" t="s">
        <v>18</v>
      </c>
    </row>
    <row r="170" spans="1:29" x14ac:dyDescent="0.3">
      <c r="A170" t="s">
        <v>175</v>
      </c>
      <c r="B170" t="s">
        <v>1</v>
      </c>
      <c r="C170">
        <v>0.2</v>
      </c>
      <c r="D170" t="s">
        <v>590</v>
      </c>
      <c r="E170" t="s">
        <v>1979</v>
      </c>
      <c r="F170" t="s">
        <v>4</v>
      </c>
      <c r="G170">
        <v>90</v>
      </c>
      <c r="H170" t="s">
        <v>5</v>
      </c>
      <c r="I170">
        <v>67</v>
      </c>
      <c r="J170" t="s">
        <v>6</v>
      </c>
      <c r="K170">
        <v>8.4799999999999898</v>
      </c>
      <c r="L170" t="s">
        <v>7</v>
      </c>
      <c r="M170">
        <v>9.4222222222222096E-2</v>
      </c>
      <c r="N170" t="s">
        <v>8</v>
      </c>
      <c r="O170">
        <v>0.80447761194029799</v>
      </c>
      <c r="P170" t="s">
        <v>9</v>
      </c>
      <c r="Q170">
        <v>-1.9747826086956499</v>
      </c>
      <c r="R170" t="s">
        <v>10</v>
      </c>
      <c r="S170">
        <v>0.19755948399988199</v>
      </c>
      <c r="T170" t="s">
        <v>11</v>
      </c>
      <c r="U170" t="s">
        <v>2062</v>
      </c>
      <c r="V170" t="s">
        <v>691</v>
      </c>
      <c r="W170">
        <v>0</v>
      </c>
      <c r="X170" t="s">
        <v>14</v>
      </c>
      <c r="Y170" t="s">
        <v>15</v>
      </c>
      <c r="Z170" t="s">
        <v>2062</v>
      </c>
      <c r="AA170" t="s">
        <v>691</v>
      </c>
      <c r="AB170">
        <v>0</v>
      </c>
      <c r="AC170" t="s">
        <v>18</v>
      </c>
    </row>
    <row r="171" spans="1:29" x14ac:dyDescent="0.3">
      <c r="A171" t="s">
        <v>175</v>
      </c>
      <c r="B171" t="s">
        <v>1</v>
      </c>
      <c r="C171">
        <v>0.2</v>
      </c>
      <c r="D171" t="s">
        <v>590</v>
      </c>
      <c r="E171" t="s">
        <v>1982</v>
      </c>
      <c r="F171" t="s">
        <v>4</v>
      </c>
      <c r="G171">
        <v>90</v>
      </c>
      <c r="H171" t="s">
        <v>5</v>
      </c>
      <c r="I171">
        <v>77</v>
      </c>
      <c r="J171" t="s">
        <v>6</v>
      </c>
      <c r="K171">
        <v>22.279999999999902</v>
      </c>
      <c r="L171" t="s">
        <v>7</v>
      </c>
      <c r="M171">
        <v>0.247555555555555</v>
      </c>
      <c r="N171" t="s">
        <v>8</v>
      </c>
      <c r="O171">
        <v>0.79714285714285704</v>
      </c>
      <c r="P171" t="s">
        <v>9</v>
      </c>
      <c r="Q171">
        <v>-3.0076923076923001</v>
      </c>
      <c r="R171" t="s">
        <v>10</v>
      </c>
      <c r="S171">
        <v>0.230299501506287</v>
      </c>
      <c r="T171" t="s">
        <v>11</v>
      </c>
      <c r="U171" t="s">
        <v>2062</v>
      </c>
      <c r="V171" t="s">
        <v>691</v>
      </c>
      <c r="W171">
        <v>0</v>
      </c>
      <c r="X171" t="s">
        <v>14</v>
      </c>
      <c r="Y171" t="s">
        <v>15</v>
      </c>
      <c r="Z171" t="s">
        <v>2062</v>
      </c>
      <c r="AA171" t="s">
        <v>691</v>
      </c>
      <c r="AB171">
        <v>0</v>
      </c>
      <c r="AC171" t="s">
        <v>18</v>
      </c>
    </row>
    <row r="172" spans="1:29" x14ac:dyDescent="0.3">
      <c r="A172" t="s">
        <v>175</v>
      </c>
      <c r="B172" t="s">
        <v>1</v>
      </c>
      <c r="C172">
        <v>0.2</v>
      </c>
      <c r="D172" t="s">
        <v>590</v>
      </c>
      <c r="E172" t="s">
        <v>1985</v>
      </c>
      <c r="F172" t="s">
        <v>4</v>
      </c>
      <c r="G172">
        <v>90</v>
      </c>
      <c r="H172" t="s">
        <v>5</v>
      </c>
      <c r="I172">
        <v>80</v>
      </c>
      <c r="J172" t="s">
        <v>6</v>
      </c>
      <c r="K172">
        <v>28.5199999999999</v>
      </c>
      <c r="L172" t="s">
        <v>7</v>
      </c>
      <c r="M172">
        <v>0.316888888888888</v>
      </c>
      <c r="N172" t="s">
        <v>8</v>
      </c>
      <c r="O172">
        <v>0.791875</v>
      </c>
      <c r="P172" t="s">
        <v>9</v>
      </c>
      <c r="Q172">
        <v>-3.4830000000000001</v>
      </c>
      <c r="R172" t="s">
        <v>10</v>
      </c>
      <c r="S172">
        <v>0.24755960035561</v>
      </c>
      <c r="T172" t="s">
        <v>11</v>
      </c>
      <c r="U172" t="s">
        <v>2062</v>
      </c>
      <c r="V172" t="s">
        <v>691</v>
      </c>
      <c r="W172">
        <v>0</v>
      </c>
      <c r="X172" t="s">
        <v>14</v>
      </c>
      <c r="Y172" t="s">
        <v>15</v>
      </c>
      <c r="Z172" t="s">
        <v>2062</v>
      </c>
      <c r="AA172" t="s">
        <v>691</v>
      </c>
      <c r="AB172">
        <v>0</v>
      </c>
      <c r="AC172" t="s">
        <v>18</v>
      </c>
    </row>
    <row r="173" spans="1:29" x14ac:dyDescent="0.3">
      <c r="A173" t="s">
        <v>175</v>
      </c>
      <c r="B173" t="s">
        <v>1</v>
      </c>
      <c r="C173">
        <v>0.2</v>
      </c>
      <c r="D173" t="s">
        <v>590</v>
      </c>
      <c r="E173" t="s">
        <v>1988</v>
      </c>
      <c r="F173" t="s">
        <v>4</v>
      </c>
      <c r="G173">
        <v>90</v>
      </c>
      <c r="H173" t="s">
        <v>5</v>
      </c>
      <c r="I173">
        <v>80</v>
      </c>
      <c r="J173" t="s">
        <v>6</v>
      </c>
      <c r="K173">
        <v>21.689999999999898</v>
      </c>
      <c r="L173" t="s">
        <v>7</v>
      </c>
      <c r="M173">
        <v>0.24099999999999899</v>
      </c>
      <c r="N173" t="s">
        <v>8</v>
      </c>
      <c r="O173">
        <v>0.791875</v>
      </c>
      <c r="P173" t="s">
        <v>9</v>
      </c>
      <c r="Q173">
        <v>-4.1660000000000004</v>
      </c>
      <c r="R173" t="s">
        <v>10</v>
      </c>
      <c r="S173">
        <v>0.25391293506741103</v>
      </c>
      <c r="T173" t="s">
        <v>11</v>
      </c>
      <c r="U173" t="s">
        <v>2062</v>
      </c>
      <c r="V173" t="s">
        <v>691</v>
      </c>
      <c r="W173">
        <v>0</v>
      </c>
      <c r="X173" t="s">
        <v>14</v>
      </c>
      <c r="Y173" t="s">
        <v>15</v>
      </c>
      <c r="Z173" t="s">
        <v>2062</v>
      </c>
      <c r="AA173" t="s">
        <v>691</v>
      </c>
      <c r="AB173">
        <v>0</v>
      </c>
      <c r="AC173" t="s">
        <v>18</v>
      </c>
    </row>
    <row r="174" spans="1:29" x14ac:dyDescent="0.3">
      <c r="A174" t="s">
        <v>175</v>
      </c>
      <c r="B174" t="s">
        <v>1</v>
      </c>
      <c r="C174">
        <v>0.2</v>
      </c>
      <c r="D174" t="s">
        <v>599</v>
      </c>
      <c r="E174" t="s">
        <v>1991</v>
      </c>
      <c r="F174" t="s">
        <v>4</v>
      </c>
      <c r="G174">
        <v>95</v>
      </c>
      <c r="H174" t="s">
        <v>5</v>
      </c>
      <c r="I174">
        <v>69</v>
      </c>
      <c r="J174" t="s">
        <v>6</v>
      </c>
      <c r="K174">
        <v>17.059999999999999</v>
      </c>
      <c r="L174" t="s">
        <v>7</v>
      </c>
      <c r="M174">
        <v>0.179578947368421</v>
      </c>
      <c r="N174" t="s">
        <v>8</v>
      </c>
      <c r="O174">
        <v>0.95550724637681095</v>
      </c>
      <c r="P174" t="s">
        <v>9</v>
      </c>
      <c r="Q174">
        <v>-1.87961538461538</v>
      </c>
      <c r="R174" t="s">
        <v>10</v>
      </c>
      <c r="S174">
        <v>0.21292452186719599</v>
      </c>
      <c r="T174" t="s">
        <v>11</v>
      </c>
      <c r="U174" t="s">
        <v>669</v>
      </c>
      <c r="V174" t="s">
        <v>691</v>
      </c>
      <c r="W174">
        <v>0</v>
      </c>
      <c r="X174" t="s">
        <v>14</v>
      </c>
      <c r="Y174" t="s">
        <v>15</v>
      </c>
      <c r="Z174" t="s">
        <v>669</v>
      </c>
      <c r="AA174" t="s">
        <v>691</v>
      </c>
      <c r="AB174">
        <v>0</v>
      </c>
      <c r="AC174" t="s">
        <v>18</v>
      </c>
    </row>
    <row r="175" spans="1:29" x14ac:dyDescent="0.3">
      <c r="A175" t="s">
        <v>175</v>
      </c>
      <c r="B175" t="s">
        <v>1</v>
      </c>
      <c r="C175">
        <v>0.2</v>
      </c>
      <c r="D175" t="s">
        <v>599</v>
      </c>
      <c r="E175" t="s">
        <v>1994</v>
      </c>
      <c r="F175" t="s">
        <v>4</v>
      </c>
      <c r="G175">
        <v>95</v>
      </c>
      <c r="H175" t="s">
        <v>5</v>
      </c>
      <c r="I175">
        <v>82</v>
      </c>
      <c r="J175" t="s">
        <v>6</v>
      </c>
      <c r="K175">
        <v>32.139999999999901</v>
      </c>
      <c r="L175" t="s">
        <v>7</v>
      </c>
      <c r="M175">
        <v>0.33831578947368302</v>
      </c>
      <c r="N175" t="s">
        <v>8</v>
      </c>
      <c r="O175">
        <v>0.95890243902439098</v>
      </c>
      <c r="P175" t="s">
        <v>9</v>
      </c>
      <c r="Q175">
        <v>-3.57615384615384</v>
      </c>
      <c r="R175" t="s">
        <v>10</v>
      </c>
      <c r="S175">
        <v>0.28097187737610002</v>
      </c>
      <c r="T175" t="s">
        <v>11</v>
      </c>
      <c r="U175" t="s">
        <v>2063</v>
      </c>
      <c r="V175" t="s">
        <v>2048</v>
      </c>
      <c r="W175">
        <v>0</v>
      </c>
      <c r="X175" t="s">
        <v>14</v>
      </c>
      <c r="Y175" t="s">
        <v>15</v>
      </c>
      <c r="Z175" t="s">
        <v>2063</v>
      </c>
      <c r="AA175" t="s">
        <v>2048</v>
      </c>
      <c r="AB175">
        <v>0</v>
      </c>
      <c r="AC175" t="s">
        <v>18</v>
      </c>
    </row>
    <row r="176" spans="1:29" x14ac:dyDescent="0.3">
      <c r="A176" t="s">
        <v>175</v>
      </c>
      <c r="B176" t="s">
        <v>1</v>
      </c>
      <c r="C176">
        <v>0.2</v>
      </c>
      <c r="D176" t="s">
        <v>599</v>
      </c>
      <c r="E176" t="s">
        <v>1996</v>
      </c>
      <c r="F176" t="s">
        <v>4</v>
      </c>
      <c r="G176">
        <v>95</v>
      </c>
      <c r="H176" t="s">
        <v>5</v>
      </c>
      <c r="I176">
        <v>84</v>
      </c>
      <c r="J176" t="s">
        <v>6</v>
      </c>
      <c r="K176">
        <v>28.6799999999999</v>
      </c>
      <c r="L176" t="s">
        <v>7</v>
      </c>
      <c r="M176">
        <v>0.30189473684210499</v>
      </c>
      <c r="N176" t="s">
        <v>8</v>
      </c>
      <c r="O176">
        <v>0.95416666666666705</v>
      </c>
      <c r="P176" t="s">
        <v>9</v>
      </c>
      <c r="Q176">
        <v>-4.6790909090909096</v>
      </c>
      <c r="R176" t="s">
        <v>10</v>
      </c>
      <c r="S176">
        <v>0.29622876855980601</v>
      </c>
      <c r="T176" t="s">
        <v>11</v>
      </c>
      <c r="U176" t="s">
        <v>2063</v>
      </c>
      <c r="V176" t="s">
        <v>2048</v>
      </c>
      <c r="W176">
        <v>0</v>
      </c>
      <c r="X176" t="s">
        <v>14</v>
      </c>
      <c r="Y176" t="s">
        <v>15</v>
      </c>
      <c r="Z176" t="s">
        <v>2063</v>
      </c>
      <c r="AA176" t="s">
        <v>2048</v>
      </c>
      <c r="AB176">
        <v>0</v>
      </c>
      <c r="AC176" t="s">
        <v>18</v>
      </c>
    </row>
    <row r="177" spans="1:29" x14ac:dyDescent="0.3">
      <c r="A177" t="s">
        <v>175</v>
      </c>
      <c r="B177" t="s">
        <v>1</v>
      </c>
      <c r="C177">
        <v>0.2</v>
      </c>
      <c r="D177" t="s">
        <v>599</v>
      </c>
      <c r="E177" t="s">
        <v>1997</v>
      </c>
      <c r="F177" t="s">
        <v>4</v>
      </c>
      <c r="G177">
        <v>95</v>
      </c>
      <c r="H177" t="s">
        <v>5</v>
      </c>
      <c r="I177">
        <v>86</v>
      </c>
      <c r="J177" t="s">
        <v>6</v>
      </c>
      <c r="K177">
        <v>31.1299999999999</v>
      </c>
      <c r="L177" t="s">
        <v>7</v>
      </c>
      <c r="M177">
        <v>0.32768421052631502</v>
      </c>
      <c r="N177" t="s">
        <v>8</v>
      </c>
      <c r="O177">
        <v>0.95674418604651201</v>
      </c>
      <c r="P177" t="s">
        <v>9</v>
      </c>
      <c r="Q177">
        <v>-5.68333333333333</v>
      </c>
      <c r="R177" t="s">
        <v>10</v>
      </c>
      <c r="S177">
        <v>0.30929890300517798</v>
      </c>
      <c r="T177" t="s">
        <v>11</v>
      </c>
      <c r="U177" t="s">
        <v>2063</v>
      </c>
      <c r="V177" t="s">
        <v>2048</v>
      </c>
      <c r="W177">
        <v>0</v>
      </c>
      <c r="X177" t="s">
        <v>14</v>
      </c>
      <c r="Y177" t="s">
        <v>15</v>
      </c>
      <c r="Z177" t="s">
        <v>2063</v>
      </c>
      <c r="AA177" t="s">
        <v>2048</v>
      </c>
      <c r="AB177">
        <v>0</v>
      </c>
      <c r="AC177" t="s">
        <v>18</v>
      </c>
    </row>
    <row r="178" spans="1:29" x14ac:dyDescent="0.3">
      <c r="A178" t="s">
        <v>175</v>
      </c>
      <c r="B178" t="s">
        <v>1</v>
      </c>
      <c r="C178">
        <v>0.2</v>
      </c>
      <c r="D178" t="s">
        <v>1998</v>
      </c>
      <c r="E178" t="s">
        <v>1999</v>
      </c>
      <c r="F178" t="s">
        <v>4</v>
      </c>
      <c r="G178">
        <v>96</v>
      </c>
      <c r="H178" t="s">
        <v>5</v>
      </c>
      <c r="I178">
        <v>70</v>
      </c>
      <c r="J178" t="s">
        <v>6</v>
      </c>
      <c r="K178">
        <v>15.401249199431501</v>
      </c>
      <c r="L178" t="s">
        <v>7</v>
      </c>
      <c r="M178">
        <v>0.16042967916074499</v>
      </c>
      <c r="N178" t="s">
        <v>8</v>
      </c>
      <c r="O178">
        <v>1.1055892742775899</v>
      </c>
      <c r="P178" t="s">
        <v>9</v>
      </c>
      <c r="Q178">
        <v>-2.38423076923076</v>
      </c>
      <c r="R178" t="s">
        <v>10</v>
      </c>
      <c r="S178">
        <v>0.24263783247361201</v>
      </c>
      <c r="T178" t="s">
        <v>11</v>
      </c>
      <c r="U178" t="s">
        <v>669</v>
      </c>
      <c r="V178" t="s">
        <v>691</v>
      </c>
      <c r="W178">
        <v>0</v>
      </c>
      <c r="X178" t="s">
        <v>14</v>
      </c>
      <c r="Y178" t="s">
        <v>15</v>
      </c>
      <c r="Z178" t="s">
        <v>669</v>
      </c>
      <c r="AA178" t="s">
        <v>691</v>
      </c>
      <c r="AB178">
        <v>0</v>
      </c>
      <c r="AC178" t="s">
        <v>18</v>
      </c>
    </row>
    <row r="179" spans="1:29" x14ac:dyDescent="0.3">
      <c r="A179" t="s">
        <v>175</v>
      </c>
      <c r="B179" t="s">
        <v>1</v>
      </c>
      <c r="C179">
        <v>0.2</v>
      </c>
      <c r="D179" t="s">
        <v>1998</v>
      </c>
      <c r="E179" t="s">
        <v>2002</v>
      </c>
      <c r="F179" t="s">
        <v>4</v>
      </c>
      <c r="G179">
        <v>96</v>
      </c>
      <c r="H179" t="s">
        <v>5</v>
      </c>
      <c r="I179">
        <v>78</v>
      </c>
      <c r="J179" t="s">
        <v>6</v>
      </c>
      <c r="K179">
        <v>7.8512491994315203</v>
      </c>
      <c r="L179" t="s">
        <v>7</v>
      </c>
      <c r="M179">
        <v>8.1783845827411703E-2</v>
      </c>
      <c r="N179" t="s">
        <v>8</v>
      </c>
      <c r="O179">
        <v>1.1091185794798899</v>
      </c>
      <c r="P179" t="s">
        <v>9</v>
      </c>
      <c r="Q179">
        <v>-4.37</v>
      </c>
      <c r="R179" t="s">
        <v>10</v>
      </c>
      <c r="S179">
        <v>0.298448628743119</v>
      </c>
      <c r="T179" t="s">
        <v>11</v>
      </c>
      <c r="U179" t="s">
        <v>2064</v>
      </c>
      <c r="V179" t="s">
        <v>2050</v>
      </c>
      <c r="W179">
        <v>0</v>
      </c>
      <c r="X179" t="s">
        <v>14</v>
      </c>
      <c r="Y179" t="s">
        <v>15</v>
      </c>
      <c r="Z179" t="s">
        <v>2064</v>
      </c>
      <c r="AA179" t="s">
        <v>2050</v>
      </c>
      <c r="AB179">
        <v>0</v>
      </c>
      <c r="AC179" t="s">
        <v>18</v>
      </c>
    </row>
    <row r="180" spans="1:29" x14ac:dyDescent="0.3">
      <c r="A180" t="s">
        <v>175</v>
      </c>
      <c r="B180" t="s">
        <v>1</v>
      </c>
      <c r="C180">
        <v>0.2</v>
      </c>
      <c r="D180" t="s">
        <v>1998</v>
      </c>
      <c r="E180" t="s">
        <v>2004</v>
      </c>
      <c r="F180" t="s">
        <v>4</v>
      </c>
      <c r="G180">
        <v>96</v>
      </c>
      <c r="H180" t="s">
        <v>5</v>
      </c>
      <c r="I180">
        <v>82</v>
      </c>
      <c r="J180" t="s">
        <v>6</v>
      </c>
      <c r="K180">
        <v>6.7712491994315398</v>
      </c>
      <c r="L180" t="s">
        <v>7</v>
      </c>
      <c r="M180">
        <v>7.0533845827411901E-2</v>
      </c>
      <c r="N180" t="s">
        <v>8</v>
      </c>
      <c r="O180">
        <v>1.1095274292613599</v>
      </c>
      <c r="P180" t="s">
        <v>9</v>
      </c>
      <c r="Q180">
        <v>-6.0149999999999997</v>
      </c>
      <c r="R180" t="s">
        <v>10</v>
      </c>
      <c r="S180">
        <v>0.36128830411401103</v>
      </c>
      <c r="T180" t="s">
        <v>11</v>
      </c>
      <c r="U180" t="s">
        <v>2065</v>
      </c>
      <c r="V180" t="s">
        <v>1237</v>
      </c>
      <c r="W180">
        <v>0</v>
      </c>
      <c r="X180" t="s">
        <v>14</v>
      </c>
      <c r="Y180" t="s">
        <v>15</v>
      </c>
      <c r="Z180" t="s">
        <v>2065</v>
      </c>
      <c r="AA180" t="s">
        <v>1237</v>
      </c>
      <c r="AB180">
        <v>0</v>
      </c>
      <c r="AC180" t="s">
        <v>18</v>
      </c>
    </row>
    <row r="181" spans="1:29" x14ac:dyDescent="0.3">
      <c r="A181" t="s">
        <v>175</v>
      </c>
      <c r="B181" t="s">
        <v>1</v>
      </c>
      <c r="C181">
        <v>0.2</v>
      </c>
      <c r="D181" t="s">
        <v>1998</v>
      </c>
      <c r="E181" t="s">
        <v>2005</v>
      </c>
      <c r="F181" t="s">
        <v>4</v>
      </c>
      <c r="G181">
        <v>96</v>
      </c>
      <c r="H181" t="s">
        <v>5</v>
      </c>
      <c r="I181">
        <v>84</v>
      </c>
      <c r="J181" t="s">
        <v>6</v>
      </c>
      <c r="K181">
        <v>5.8012491994315702</v>
      </c>
      <c r="L181" t="s">
        <v>7</v>
      </c>
      <c r="M181">
        <v>6.04296791607455E-2</v>
      </c>
      <c r="N181" t="s">
        <v>8</v>
      </c>
      <c r="O181">
        <v>1.1216815380884699</v>
      </c>
      <c r="P181" t="s">
        <v>9</v>
      </c>
      <c r="Q181">
        <v>-7.3683333333333296</v>
      </c>
      <c r="R181" t="s">
        <v>10</v>
      </c>
      <c r="S181">
        <v>0.38643847466154801</v>
      </c>
      <c r="T181" t="s">
        <v>11</v>
      </c>
      <c r="U181" t="s">
        <v>2066</v>
      </c>
      <c r="V181" t="s">
        <v>2055</v>
      </c>
      <c r="W181">
        <v>0</v>
      </c>
      <c r="X181" t="s">
        <v>14</v>
      </c>
      <c r="Y181" t="s">
        <v>15</v>
      </c>
      <c r="Z181" t="s">
        <v>2066</v>
      </c>
      <c r="AA181" t="s">
        <v>2055</v>
      </c>
      <c r="AB181">
        <v>0</v>
      </c>
      <c r="AC181" t="s">
        <v>18</v>
      </c>
    </row>
    <row r="182" spans="1:29" x14ac:dyDescent="0.3">
      <c r="A182" t="s">
        <v>175</v>
      </c>
      <c r="B182" t="s">
        <v>1</v>
      </c>
      <c r="C182">
        <v>0.1</v>
      </c>
      <c r="D182" t="s">
        <v>590</v>
      </c>
      <c r="E182" t="s">
        <v>1979</v>
      </c>
      <c r="F182" t="s">
        <v>4</v>
      </c>
      <c r="G182">
        <v>90</v>
      </c>
      <c r="H182" t="s">
        <v>5</v>
      </c>
      <c r="I182">
        <v>70</v>
      </c>
      <c r="J182" t="s">
        <v>6</v>
      </c>
      <c r="K182">
        <v>5.2099999999999902</v>
      </c>
      <c r="L182" t="s">
        <v>7</v>
      </c>
      <c r="M182">
        <v>5.7888888888888802E-2</v>
      </c>
      <c r="N182" t="s">
        <v>8</v>
      </c>
      <c r="O182">
        <v>0.34899999999999998</v>
      </c>
      <c r="P182" t="s">
        <v>9</v>
      </c>
      <c r="Q182">
        <v>-0.96099999999999997</v>
      </c>
      <c r="R182" t="s">
        <v>10</v>
      </c>
      <c r="S182">
        <v>9.8132555247844699E-2</v>
      </c>
      <c r="T182" t="s">
        <v>11</v>
      </c>
      <c r="U182" t="s">
        <v>2067</v>
      </c>
      <c r="V182" t="s">
        <v>691</v>
      </c>
      <c r="W182">
        <v>0</v>
      </c>
      <c r="X182" t="s">
        <v>14</v>
      </c>
      <c r="Y182" t="s">
        <v>15</v>
      </c>
      <c r="Z182" t="s">
        <v>2067</v>
      </c>
      <c r="AA182" t="s">
        <v>691</v>
      </c>
      <c r="AB182">
        <v>0</v>
      </c>
      <c r="AC182" t="s">
        <v>18</v>
      </c>
    </row>
    <row r="183" spans="1:29" x14ac:dyDescent="0.3">
      <c r="A183" t="s">
        <v>175</v>
      </c>
      <c r="B183" t="s">
        <v>1</v>
      </c>
      <c r="C183">
        <v>0.1</v>
      </c>
      <c r="D183" t="s">
        <v>590</v>
      </c>
      <c r="E183" t="s">
        <v>1982</v>
      </c>
      <c r="F183" t="s">
        <v>4</v>
      </c>
      <c r="G183">
        <v>90</v>
      </c>
      <c r="H183" t="s">
        <v>5</v>
      </c>
      <c r="I183">
        <v>79</v>
      </c>
      <c r="J183" t="s">
        <v>6</v>
      </c>
      <c r="K183">
        <v>12.549999999999899</v>
      </c>
      <c r="L183" t="s">
        <v>7</v>
      </c>
      <c r="M183">
        <v>0.13944444444444401</v>
      </c>
      <c r="N183" t="s">
        <v>8</v>
      </c>
      <c r="O183">
        <v>0.34746835443037899</v>
      </c>
      <c r="P183" t="s">
        <v>9</v>
      </c>
      <c r="Q183">
        <v>-1.3545454545454501</v>
      </c>
      <c r="R183" t="s">
        <v>10</v>
      </c>
      <c r="S183">
        <v>0.111043133592091</v>
      </c>
      <c r="T183" t="s">
        <v>11</v>
      </c>
      <c r="U183" t="s">
        <v>2067</v>
      </c>
      <c r="V183" t="s">
        <v>691</v>
      </c>
      <c r="W183">
        <v>0</v>
      </c>
      <c r="X183" t="s">
        <v>14</v>
      </c>
      <c r="Y183" t="s">
        <v>15</v>
      </c>
      <c r="Z183" t="s">
        <v>2067</v>
      </c>
      <c r="AA183" t="s">
        <v>691</v>
      </c>
      <c r="AB183">
        <v>0</v>
      </c>
      <c r="AC183" t="s">
        <v>18</v>
      </c>
    </row>
    <row r="184" spans="1:29" x14ac:dyDescent="0.3">
      <c r="A184" t="s">
        <v>175</v>
      </c>
      <c r="B184" t="s">
        <v>1</v>
      </c>
      <c r="C184">
        <v>0.1</v>
      </c>
      <c r="D184" t="s">
        <v>590</v>
      </c>
      <c r="E184" t="s">
        <v>1985</v>
      </c>
      <c r="F184" t="s">
        <v>4</v>
      </c>
      <c r="G184">
        <v>90</v>
      </c>
      <c r="H184" t="s">
        <v>5</v>
      </c>
      <c r="I184">
        <v>82</v>
      </c>
      <c r="J184" t="s">
        <v>6</v>
      </c>
      <c r="K184">
        <v>15.799999999999899</v>
      </c>
      <c r="L184" t="s">
        <v>7</v>
      </c>
      <c r="M184">
        <v>0.17555555555555499</v>
      </c>
      <c r="N184" t="s">
        <v>8</v>
      </c>
      <c r="O184">
        <v>0.349390243902439</v>
      </c>
      <c r="P184" t="s">
        <v>9</v>
      </c>
      <c r="Q184">
        <v>-1.60625</v>
      </c>
      <c r="R184" t="s">
        <v>10</v>
      </c>
      <c r="S184">
        <v>0.123998516398033</v>
      </c>
      <c r="T184" t="s">
        <v>11</v>
      </c>
      <c r="U184" t="s">
        <v>2067</v>
      </c>
      <c r="V184" t="s">
        <v>691</v>
      </c>
      <c r="W184">
        <v>0</v>
      </c>
      <c r="X184" t="s">
        <v>14</v>
      </c>
      <c r="Y184" t="s">
        <v>15</v>
      </c>
      <c r="Z184" t="s">
        <v>2067</v>
      </c>
      <c r="AA184" t="s">
        <v>691</v>
      </c>
      <c r="AB184">
        <v>0</v>
      </c>
      <c r="AC184" t="s">
        <v>18</v>
      </c>
    </row>
    <row r="185" spans="1:29" x14ac:dyDescent="0.3">
      <c r="A185" t="s">
        <v>175</v>
      </c>
      <c r="B185" t="s">
        <v>1</v>
      </c>
      <c r="C185">
        <v>0.1</v>
      </c>
      <c r="D185" t="s">
        <v>590</v>
      </c>
      <c r="E185" t="s">
        <v>1988</v>
      </c>
      <c r="F185" t="s">
        <v>4</v>
      </c>
      <c r="G185">
        <v>90</v>
      </c>
      <c r="H185" t="s">
        <v>5</v>
      </c>
      <c r="I185">
        <v>82</v>
      </c>
      <c r="J185" t="s">
        <v>6</v>
      </c>
      <c r="K185">
        <v>14.969999999999899</v>
      </c>
      <c r="L185" t="s">
        <v>7</v>
      </c>
      <c r="M185">
        <v>0.166333333333333</v>
      </c>
      <c r="N185" t="s">
        <v>8</v>
      </c>
      <c r="O185">
        <v>0.349390243902439</v>
      </c>
      <c r="P185" t="s">
        <v>9</v>
      </c>
      <c r="Q185">
        <v>-1.71</v>
      </c>
      <c r="R185" t="s">
        <v>10</v>
      </c>
      <c r="S185">
        <v>0.12667263307740001</v>
      </c>
      <c r="T185" t="s">
        <v>11</v>
      </c>
      <c r="U185" t="s">
        <v>2067</v>
      </c>
      <c r="V185" t="s">
        <v>691</v>
      </c>
      <c r="W185">
        <v>0</v>
      </c>
      <c r="X185" t="s">
        <v>14</v>
      </c>
      <c r="Y185" t="s">
        <v>15</v>
      </c>
      <c r="Z185" t="s">
        <v>2067</v>
      </c>
      <c r="AA185" t="s">
        <v>691</v>
      </c>
      <c r="AB185">
        <v>0</v>
      </c>
      <c r="AC185" t="s">
        <v>18</v>
      </c>
    </row>
    <row r="186" spans="1:29" x14ac:dyDescent="0.3">
      <c r="A186" t="s">
        <v>175</v>
      </c>
      <c r="B186" t="s">
        <v>1</v>
      </c>
      <c r="C186">
        <v>0.1</v>
      </c>
      <c r="D186" t="s">
        <v>599</v>
      </c>
      <c r="E186" t="s">
        <v>1991</v>
      </c>
      <c r="F186" t="s">
        <v>4</v>
      </c>
      <c r="G186">
        <v>95</v>
      </c>
      <c r="H186" t="s">
        <v>5</v>
      </c>
      <c r="I186">
        <v>72</v>
      </c>
      <c r="J186" t="s">
        <v>6</v>
      </c>
      <c r="K186">
        <v>8.4732435294644901</v>
      </c>
      <c r="L186" t="s">
        <v>7</v>
      </c>
      <c r="M186">
        <v>8.9192037152257805E-2</v>
      </c>
      <c r="N186" t="s">
        <v>8</v>
      </c>
      <c r="O186">
        <v>0.418933937909229</v>
      </c>
      <c r="P186" t="s">
        <v>9</v>
      </c>
      <c r="Q186">
        <v>-0.94304347826086898</v>
      </c>
      <c r="R186" t="s">
        <v>10</v>
      </c>
      <c r="S186">
        <v>0.104696392356253</v>
      </c>
      <c r="T186" t="s">
        <v>11</v>
      </c>
      <c r="U186" t="s">
        <v>2068</v>
      </c>
      <c r="V186" t="s">
        <v>691</v>
      </c>
      <c r="W186">
        <v>0</v>
      </c>
      <c r="X186" t="s">
        <v>14</v>
      </c>
      <c r="Y186" t="s">
        <v>15</v>
      </c>
      <c r="Z186" t="s">
        <v>2068</v>
      </c>
      <c r="AA186" t="s">
        <v>691</v>
      </c>
      <c r="AB186">
        <v>0</v>
      </c>
      <c r="AC186" t="s">
        <v>18</v>
      </c>
    </row>
    <row r="187" spans="1:29" x14ac:dyDescent="0.3">
      <c r="A187" t="s">
        <v>175</v>
      </c>
      <c r="B187" t="s">
        <v>1</v>
      </c>
      <c r="C187">
        <v>0.1</v>
      </c>
      <c r="D187" t="s">
        <v>599</v>
      </c>
      <c r="E187" t="s">
        <v>1994</v>
      </c>
      <c r="F187" t="s">
        <v>4</v>
      </c>
      <c r="G187">
        <v>95</v>
      </c>
      <c r="H187" t="s">
        <v>5</v>
      </c>
      <c r="I187">
        <v>83</v>
      </c>
      <c r="J187" t="s">
        <v>6</v>
      </c>
      <c r="K187">
        <v>19.433243529464399</v>
      </c>
      <c r="L187" t="s">
        <v>7</v>
      </c>
      <c r="M187">
        <v>0.204560458204889</v>
      </c>
      <c r="N187" t="s">
        <v>8</v>
      </c>
      <c r="O187">
        <v>0.42148486180077699</v>
      </c>
      <c r="P187" t="s">
        <v>9</v>
      </c>
      <c r="Q187">
        <v>-1.2958333333333301</v>
      </c>
      <c r="R187" t="s">
        <v>10</v>
      </c>
      <c r="S187">
        <v>0.12595071286890999</v>
      </c>
      <c r="T187" t="s">
        <v>11</v>
      </c>
      <c r="U187" t="s">
        <v>2068</v>
      </c>
      <c r="V187" t="s">
        <v>691</v>
      </c>
      <c r="W187">
        <v>0</v>
      </c>
      <c r="X187" t="s">
        <v>14</v>
      </c>
      <c r="Y187" t="s">
        <v>15</v>
      </c>
      <c r="Z187" t="s">
        <v>2068</v>
      </c>
      <c r="AA187" t="s">
        <v>691</v>
      </c>
      <c r="AB187">
        <v>0</v>
      </c>
      <c r="AC187" t="s">
        <v>18</v>
      </c>
    </row>
    <row r="188" spans="1:29" x14ac:dyDescent="0.3">
      <c r="A188" t="s">
        <v>175</v>
      </c>
      <c r="B188" t="s">
        <v>1</v>
      </c>
      <c r="C188">
        <v>0.1</v>
      </c>
      <c r="D188" t="s">
        <v>599</v>
      </c>
      <c r="E188" t="s">
        <v>1996</v>
      </c>
      <c r="F188" t="s">
        <v>4</v>
      </c>
      <c r="G188">
        <v>95</v>
      </c>
      <c r="H188" t="s">
        <v>5</v>
      </c>
      <c r="I188">
        <v>84</v>
      </c>
      <c r="J188" t="s">
        <v>6</v>
      </c>
      <c r="K188">
        <v>15.1932435294644</v>
      </c>
      <c r="L188" t="s">
        <v>7</v>
      </c>
      <c r="M188">
        <v>0.15992887925752</v>
      </c>
      <c r="N188" t="s">
        <v>8</v>
      </c>
      <c r="O188">
        <v>0.419205280112672</v>
      </c>
      <c r="P188" t="s">
        <v>9</v>
      </c>
      <c r="Q188">
        <v>-1.82</v>
      </c>
      <c r="R188" t="s">
        <v>10</v>
      </c>
      <c r="S188">
        <v>0.13459605406612399</v>
      </c>
      <c r="T188" t="s">
        <v>11</v>
      </c>
      <c r="U188" t="s">
        <v>2068</v>
      </c>
      <c r="V188" t="s">
        <v>691</v>
      </c>
      <c r="W188">
        <v>0</v>
      </c>
      <c r="X188" t="s">
        <v>14</v>
      </c>
      <c r="Y188" t="s">
        <v>15</v>
      </c>
      <c r="Z188" t="s">
        <v>2068</v>
      </c>
      <c r="AA188" t="s">
        <v>691</v>
      </c>
      <c r="AB188">
        <v>0</v>
      </c>
      <c r="AC188" t="s">
        <v>18</v>
      </c>
    </row>
    <row r="189" spans="1:29" x14ac:dyDescent="0.3">
      <c r="A189" t="s">
        <v>175</v>
      </c>
      <c r="B189" t="s">
        <v>1</v>
      </c>
      <c r="C189">
        <v>0.1</v>
      </c>
      <c r="D189" t="s">
        <v>599</v>
      </c>
      <c r="E189" t="s">
        <v>1997</v>
      </c>
      <c r="F189" t="s">
        <v>4</v>
      </c>
      <c r="G189">
        <v>95</v>
      </c>
      <c r="H189" t="s">
        <v>5</v>
      </c>
      <c r="I189">
        <v>87</v>
      </c>
      <c r="J189" t="s">
        <v>6</v>
      </c>
      <c r="K189">
        <v>18.0132435294644</v>
      </c>
      <c r="L189" t="s">
        <v>7</v>
      </c>
      <c r="M189">
        <v>0.18961308978383601</v>
      </c>
      <c r="N189" t="s">
        <v>8</v>
      </c>
      <c r="O189">
        <v>0.417163718729477</v>
      </c>
      <c r="P189" t="s">
        <v>9</v>
      </c>
      <c r="Q189">
        <v>-2.2850000000000001</v>
      </c>
      <c r="R189" t="s">
        <v>10</v>
      </c>
      <c r="S189">
        <v>0.14251457837995701</v>
      </c>
      <c r="T189" t="s">
        <v>11</v>
      </c>
      <c r="U189" t="s">
        <v>2068</v>
      </c>
      <c r="V189" t="s">
        <v>691</v>
      </c>
      <c r="W189">
        <v>0</v>
      </c>
      <c r="X189" t="s">
        <v>14</v>
      </c>
      <c r="Y189" t="s">
        <v>15</v>
      </c>
      <c r="Z189" t="s">
        <v>2068</v>
      </c>
      <c r="AA189" t="s">
        <v>691</v>
      </c>
      <c r="AB189">
        <v>0</v>
      </c>
      <c r="AC189" t="s">
        <v>18</v>
      </c>
    </row>
    <row r="190" spans="1:29" x14ac:dyDescent="0.3">
      <c r="A190" t="s">
        <v>175</v>
      </c>
      <c r="B190" t="s">
        <v>1</v>
      </c>
      <c r="C190">
        <v>0.1</v>
      </c>
      <c r="D190" t="s">
        <v>1998</v>
      </c>
      <c r="E190" t="s">
        <v>1999</v>
      </c>
      <c r="F190" t="s">
        <v>4</v>
      </c>
      <c r="G190">
        <v>96</v>
      </c>
      <c r="H190" t="s">
        <v>5</v>
      </c>
      <c r="I190">
        <v>72</v>
      </c>
      <c r="J190" t="s">
        <v>6</v>
      </c>
      <c r="K190">
        <v>9.3160459672262004</v>
      </c>
      <c r="L190" t="s">
        <v>7</v>
      </c>
      <c r="M190">
        <v>9.7042145491939596E-2</v>
      </c>
      <c r="N190" t="s">
        <v>8</v>
      </c>
      <c r="O190">
        <v>0.505118240729448</v>
      </c>
      <c r="P190" t="s">
        <v>9</v>
      </c>
      <c r="Q190">
        <v>-1.1271861402205801</v>
      </c>
      <c r="R190" t="s">
        <v>10</v>
      </c>
      <c r="S190">
        <v>0.111427751728189</v>
      </c>
      <c r="T190" t="s">
        <v>11</v>
      </c>
      <c r="U190" t="s">
        <v>2068</v>
      </c>
      <c r="V190" t="s">
        <v>691</v>
      </c>
      <c r="W190">
        <v>0</v>
      </c>
      <c r="X190" t="s">
        <v>14</v>
      </c>
      <c r="Y190" t="s">
        <v>15</v>
      </c>
      <c r="Z190" t="s">
        <v>2068</v>
      </c>
      <c r="AA190" t="s">
        <v>691</v>
      </c>
      <c r="AB190">
        <v>0</v>
      </c>
      <c r="AC190" t="s">
        <v>18</v>
      </c>
    </row>
    <row r="191" spans="1:29" x14ac:dyDescent="0.3">
      <c r="A191" t="s">
        <v>175</v>
      </c>
      <c r="B191" t="s">
        <v>1</v>
      </c>
      <c r="C191">
        <v>0.1</v>
      </c>
      <c r="D191" t="s">
        <v>1998</v>
      </c>
      <c r="E191" t="s">
        <v>2002</v>
      </c>
      <c r="F191" t="s">
        <v>4</v>
      </c>
      <c r="G191">
        <v>96</v>
      </c>
      <c r="H191" t="s">
        <v>5</v>
      </c>
      <c r="I191">
        <v>81</v>
      </c>
      <c r="J191" t="s">
        <v>6</v>
      </c>
      <c r="K191">
        <v>16.155899989939499</v>
      </c>
      <c r="L191" t="s">
        <v>7</v>
      </c>
      <c r="M191">
        <v>0.16829062489520399</v>
      </c>
      <c r="N191" t="s">
        <v>8</v>
      </c>
      <c r="O191">
        <v>0.51599876530789601</v>
      </c>
      <c r="P191" t="s">
        <v>9</v>
      </c>
      <c r="Q191">
        <v>-1.70933333333333</v>
      </c>
      <c r="R191" t="s">
        <v>10</v>
      </c>
      <c r="S191">
        <v>0.13521941121665801</v>
      </c>
      <c r="T191" t="s">
        <v>11</v>
      </c>
      <c r="U191" t="s">
        <v>2068</v>
      </c>
      <c r="V191" t="s">
        <v>691</v>
      </c>
      <c r="W191">
        <v>0</v>
      </c>
      <c r="X191" t="s">
        <v>14</v>
      </c>
      <c r="Y191" t="s">
        <v>15</v>
      </c>
      <c r="Z191" t="s">
        <v>2068</v>
      </c>
      <c r="AA191" t="s">
        <v>691</v>
      </c>
      <c r="AB191">
        <v>0</v>
      </c>
      <c r="AC191" t="s">
        <v>18</v>
      </c>
    </row>
    <row r="192" spans="1:29" x14ac:dyDescent="0.3">
      <c r="A192" t="s">
        <v>175</v>
      </c>
      <c r="B192" t="s">
        <v>1</v>
      </c>
      <c r="C192">
        <v>0.1</v>
      </c>
      <c r="D192" t="s">
        <v>1998</v>
      </c>
      <c r="E192" t="s">
        <v>2004</v>
      </c>
      <c r="F192" t="s">
        <v>4</v>
      </c>
      <c r="G192">
        <v>96</v>
      </c>
      <c r="H192" t="s">
        <v>5</v>
      </c>
      <c r="I192">
        <v>84</v>
      </c>
      <c r="J192" t="s">
        <v>6</v>
      </c>
      <c r="K192">
        <v>14.0358999899395</v>
      </c>
      <c r="L192" t="s">
        <v>7</v>
      </c>
      <c r="M192">
        <v>0.14620729156187001</v>
      </c>
      <c r="N192" t="s">
        <v>8</v>
      </c>
      <c r="O192">
        <v>0.51959404749927995</v>
      </c>
      <c r="P192" t="s">
        <v>9</v>
      </c>
      <c r="Q192">
        <v>-2.4674999999999998</v>
      </c>
      <c r="R192" t="s">
        <v>10</v>
      </c>
      <c r="S192">
        <v>0.15801723572270401</v>
      </c>
      <c r="T192" t="s">
        <v>11</v>
      </c>
      <c r="U192" t="s">
        <v>176</v>
      </c>
      <c r="V192" t="s">
        <v>2050</v>
      </c>
      <c r="W192">
        <v>0</v>
      </c>
      <c r="X192" t="s">
        <v>14</v>
      </c>
      <c r="Y192" t="s">
        <v>15</v>
      </c>
      <c r="Z192" t="s">
        <v>176</v>
      </c>
      <c r="AA192" t="s">
        <v>2050</v>
      </c>
      <c r="AB192">
        <v>0</v>
      </c>
      <c r="AC192" t="s">
        <v>18</v>
      </c>
    </row>
    <row r="193" spans="1:29" x14ac:dyDescent="0.3">
      <c r="A193" t="s">
        <v>175</v>
      </c>
      <c r="B193" t="s">
        <v>1</v>
      </c>
      <c r="C193">
        <v>0.1</v>
      </c>
      <c r="D193" t="s">
        <v>1998</v>
      </c>
      <c r="E193" t="s">
        <v>2005</v>
      </c>
      <c r="F193" t="s">
        <v>4</v>
      </c>
      <c r="G193">
        <v>96</v>
      </c>
      <c r="H193" t="s">
        <v>5</v>
      </c>
      <c r="I193">
        <v>87</v>
      </c>
      <c r="J193" t="s">
        <v>6</v>
      </c>
      <c r="K193">
        <v>12.6758999899395</v>
      </c>
      <c r="L193" t="s">
        <v>7</v>
      </c>
      <c r="M193">
        <v>0.13204062489520399</v>
      </c>
      <c r="N193" t="s">
        <v>8</v>
      </c>
      <c r="O193">
        <v>0.51569999988436299</v>
      </c>
      <c r="P193" t="s">
        <v>9</v>
      </c>
      <c r="Q193">
        <v>-3.57666666666666</v>
      </c>
      <c r="R193" t="s">
        <v>10</v>
      </c>
      <c r="S193">
        <v>0.17422287663206401</v>
      </c>
      <c r="T193" t="s">
        <v>11</v>
      </c>
      <c r="U193" t="s">
        <v>2069</v>
      </c>
      <c r="V193" t="s">
        <v>1249</v>
      </c>
      <c r="W193">
        <v>0</v>
      </c>
      <c r="X193" t="s">
        <v>14</v>
      </c>
      <c r="Y193" t="s">
        <v>15</v>
      </c>
      <c r="Z193" t="s">
        <v>2069</v>
      </c>
      <c r="AA193" t="s">
        <v>1249</v>
      </c>
      <c r="AB193">
        <v>0</v>
      </c>
      <c r="AC193" t="s">
        <v>18</v>
      </c>
    </row>
    <row r="194" spans="1:29" x14ac:dyDescent="0.3">
      <c r="A194" t="s">
        <v>221</v>
      </c>
      <c r="B194" t="s">
        <v>1</v>
      </c>
      <c r="C194">
        <v>0.4</v>
      </c>
      <c r="D194" t="s">
        <v>590</v>
      </c>
      <c r="E194" t="s">
        <v>1979</v>
      </c>
      <c r="F194" t="s">
        <v>4</v>
      </c>
      <c r="G194">
        <v>136</v>
      </c>
      <c r="H194" t="s">
        <v>5</v>
      </c>
      <c r="I194">
        <v>95</v>
      </c>
      <c r="J194" t="s">
        <v>6</v>
      </c>
      <c r="K194">
        <v>18.8799999999999</v>
      </c>
      <c r="L194" t="s">
        <v>7</v>
      </c>
      <c r="M194">
        <v>0.13882352941176401</v>
      </c>
      <c r="N194" t="s">
        <v>8</v>
      </c>
      <c r="O194">
        <v>1.61505263157894</v>
      </c>
      <c r="P194" t="s">
        <v>9</v>
      </c>
      <c r="Q194">
        <v>-3.2817073170731699</v>
      </c>
      <c r="R194" t="s">
        <v>10</v>
      </c>
      <c r="S194">
        <v>0.52175381439599999</v>
      </c>
      <c r="T194" t="s">
        <v>11</v>
      </c>
      <c r="U194" t="s">
        <v>2070</v>
      </c>
      <c r="V194" t="s">
        <v>2071</v>
      </c>
      <c r="W194">
        <v>0</v>
      </c>
      <c r="X194" t="s">
        <v>14</v>
      </c>
      <c r="Y194" t="s">
        <v>15</v>
      </c>
      <c r="Z194" t="s">
        <v>2072</v>
      </c>
      <c r="AA194" t="s">
        <v>2073</v>
      </c>
      <c r="AB194">
        <v>0</v>
      </c>
      <c r="AC194" t="s">
        <v>18</v>
      </c>
    </row>
    <row r="195" spans="1:29" x14ac:dyDescent="0.3">
      <c r="A195" t="s">
        <v>221</v>
      </c>
      <c r="B195" t="s">
        <v>1</v>
      </c>
      <c r="C195">
        <v>0.4</v>
      </c>
      <c r="D195" t="s">
        <v>590</v>
      </c>
      <c r="E195" t="s">
        <v>1982</v>
      </c>
      <c r="F195" t="s">
        <v>4</v>
      </c>
      <c r="G195">
        <v>136</v>
      </c>
      <c r="H195" t="s">
        <v>5</v>
      </c>
      <c r="I195">
        <v>105</v>
      </c>
      <c r="J195" t="s">
        <v>6</v>
      </c>
      <c r="K195">
        <v>11.239999999999901</v>
      </c>
      <c r="L195" t="s">
        <v>7</v>
      </c>
      <c r="M195">
        <v>8.2647058823529199E-2</v>
      </c>
      <c r="N195" t="s">
        <v>8</v>
      </c>
      <c r="O195">
        <v>1.6017142857142801</v>
      </c>
      <c r="P195" t="s">
        <v>9</v>
      </c>
      <c r="Q195">
        <v>-5.0625806451612902</v>
      </c>
      <c r="R195" t="s">
        <v>10</v>
      </c>
      <c r="S195">
        <v>0.66375524668847696</v>
      </c>
      <c r="T195" t="s">
        <v>11</v>
      </c>
      <c r="U195" t="s">
        <v>2070</v>
      </c>
      <c r="V195" t="s">
        <v>2071</v>
      </c>
      <c r="W195">
        <v>0</v>
      </c>
      <c r="X195" t="s">
        <v>14</v>
      </c>
      <c r="Y195" t="s">
        <v>15</v>
      </c>
      <c r="Z195" t="s">
        <v>2074</v>
      </c>
      <c r="AA195" t="s">
        <v>2075</v>
      </c>
      <c r="AB195">
        <v>0</v>
      </c>
      <c r="AC195" t="s">
        <v>18</v>
      </c>
    </row>
    <row r="196" spans="1:29" x14ac:dyDescent="0.3">
      <c r="A196" t="s">
        <v>221</v>
      </c>
      <c r="B196" t="s">
        <v>1</v>
      </c>
      <c r="C196">
        <v>0.4</v>
      </c>
      <c r="D196" t="s">
        <v>590</v>
      </c>
      <c r="E196" t="s">
        <v>1985</v>
      </c>
      <c r="F196" t="s">
        <v>4</v>
      </c>
      <c r="G196">
        <v>136</v>
      </c>
      <c r="H196" t="s">
        <v>5</v>
      </c>
      <c r="I196">
        <v>107</v>
      </c>
      <c r="J196" t="s">
        <v>6</v>
      </c>
      <c r="K196">
        <v>-3.7699999999999898</v>
      </c>
      <c r="L196" t="s">
        <v>7</v>
      </c>
      <c r="M196">
        <v>-2.7720588235294E-2</v>
      </c>
      <c r="N196" t="s">
        <v>8</v>
      </c>
      <c r="O196">
        <v>1.58130841121495</v>
      </c>
      <c r="P196" t="s">
        <v>9</v>
      </c>
      <c r="Q196">
        <v>-5.9644827586206901</v>
      </c>
      <c r="R196" t="s">
        <v>10</v>
      </c>
      <c r="S196">
        <v>0.78549896103043204</v>
      </c>
      <c r="T196" t="s">
        <v>11</v>
      </c>
      <c r="U196" t="s">
        <v>2076</v>
      </c>
      <c r="V196" t="s">
        <v>1987</v>
      </c>
      <c r="W196">
        <v>0</v>
      </c>
      <c r="X196" t="s">
        <v>14</v>
      </c>
      <c r="Y196" t="s">
        <v>15</v>
      </c>
      <c r="Z196" t="s">
        <v>2077</v>
      </c>
      <c r="AA196" t="s">
        <v>2078</v>
      </c>
      <c r="AB196">
        <v>0</v>
      </c>
      <c r="AC196" t="s">
        <v>18</v>
      </c>
    </row>
    <row r="197" spans="1:29" x14ac:dyDescent="0.3">
      <c r="A197" t="s">
        <v>221</v>
      </c>
      <c r="B197" t="s">
        <v>1</v>
      </c>
      <c r="C197">
        <v>0.4</v>
      </c>
      <c r="D197" t="s">
        <v>590</v>
      </c>
      <c r="E197" t="s">
        <v>1988</v>
      </c>
      <c r="F197" t="s">
        <v>4</v>
      </c>
      <c r="G197">
        <v>136</v>
      </c>
      <c r="H197" t="s">
        <v>5</v>
      </c>
      <c r="I197">
        <v>109</v>
      </c>
      <c r="J197" t="s">
        <v>6</v>
      </c>
      <c r="K197">
        <v>8.4500000000001094</v>
      </c>
      <c r="L197" t="s">
        <v>7</v>
      </c>
      <c r="M197">
        <v>6.21323529411772E-2</v>
      </c>
      <c r="N197" t="s">
        <v>8</v>
      </c>
      <c r="O197">
        <v>1.6040366972477</v>
      </c>
      <c r="P197" t="s">
        <v>9</v>
      </c>
      <c r="Q197">
        <v>-6.1625925925925902</v>
      </c>
      <c r="R197" t="s">
        <v>10</v>
      </c>
      <c r="S197">
        <v>0.82468811175649603</v>
      </c>
      <c r="T197" t="s">
        <v>11</v>
      </c>
      <c r="U197" t="s">
        <v>2076</v>
      </c>
      <c r="V197" t="s">
        <v>1987</v>
      </c>
      <c r="W197">
        <v>0</v>
      </c>
      <c r="X197" t="s">
        <v>14</v>
      </c>
      <c r="Y197" t="s">
        <v>15</v>
      </c>
      <c r="Z197" t="s">
        <v>2077</v>
      </c>
      <c r="AA197" t="s">
        <v>2078</v>
      </c>
      <c r="AB197">
        <v>0</v>
      </c>
      <c r="AC197" t="s">
        <v>18</v>
      </c>
    </row>
    <row r="198" spans="1:29" x14ac:dyDescent="0.3">
      <c r="A198" t="s">
        <v>221</v>
      </c>
      <c r="B198" t="s">
        <v>1</v>
      </c>
      <c r="C198">
        <v>0.4</v>
      </c>
      <c r="D198" t="s">
        <v>599</v>
      </c>
      <c r="E198" t="s">
        <v>1991</v>
      </c>
      <c r="F198" t="s">
        <v>4</v>
      </c>
      <c r="G198">
        <v>128</v>
      </c>
      <c r="H198" t="s">
        <v>5</v>
      </c>
      <c r="I198">
        <v>87</v>
      </c>
      <c r="J198" t="s">
        <v>6</v>
      </c>
      <c r="K198">
        <v>28.219999999999899</v>
      </c>
      <c r="L198" t="s">
        <v>7</v>
      </c>
      <c r="M198">
        <v>0.22046874999999899</v>
      </c>
      <c r="N198" t="s">
        <v>8</v>
      </c>
      <c r="O198">
        <v>2.1288505747126401</v>
      </c>
      <c r="P198" t="s">
        <v>9</v>
      </c>
      <c r="Q198">
        <v>-3.8290243902438998</v>
      </c>
      <c r="R198" t="s">
        <v>10</v>
      </c>
      <c r="S198">
        <v>0.64245185106041103</v>
      </c>
      <c r="T198" t="s">
        <v>11</v>
      </c>
      <c r="U198" t="s">
        <v>2070</v>
      </c>
      <c r="V198" t="s">
        <v>2071</v>
      </c>
      <c r="W198">
        <v>0</v>
      </c>
      <c r="X198" t="s">
        <v>14</v>
      </c>
      <c r="Y198" t="s">
        <v>15</v>
      </c>
      <c r="Z198" t="s">
        <v>2079</v>
      </c>
      <c r="AA198" t="s">
        <v>2080</v>
      </c>
      <c r="AB198">
        <v>0</v>
      </c>
      <c r="AC198" t="s">
        <v>18</v>
      </c>
    </row>
    <row r="199" spans="1:29" x14ac:dyDescent="0.3">
      <c r="A199" t="s">
        <v>221</v>
      </c>
      <c r="B199" t="s">
        <v>1</v>
      </c>
      <c r="C199">
        <v>0.4</v>
      </c>
      <c r="D199" t="s">
        <v>599</v>
      </c>
      <c r="E199" t="s">
        <v>1994</v>
      </c>
      <c r="F199" t="s">
        <v>4</v>
      </c>
      <c r="G199">
        <v>128</v>
      </c>
      <c r="H199" t="s">
        <v>5</v>
      </c>
      <c r="I199">
        <v>99</v>
      </c>
      <c r="J199" t="s">
        <v>6</v>
      </c>
      <c r="K199">
        <v>12.11</v>
      </c>
      <c r="L199" t="s">
        <v>7</v>
      </c>
      <c r="M199">
        <v>9.4609375000000204E-2</v>
      </c>
      <c r="N199" t="s">
        <v>8</v>
      </c>
      <c r="O199">
        <v>2.08050505050505</v>
      </c>
      <c r="P199" t="s">
        <v>9</v>
      </c>
      <c r="Q199">
        <v>-6.6848275862068904</v>
      </c>
      <c r="R199" t="s">
        <v>10</v>
      </c>
      <c r="S199">
        <v>0.801744113105062</v>
      </c>
      <c r="T199" t="s">
        <v>11</v>
      </c>
      <c r="U199" t="s">
        <v>2081</v>
      </c>
      <c r="V199" t="s">
        <v>2013</v>
      </c>
      <c r="W199">
        <v>0</v>
      </c>
      <c r="X199" t="s">
        <v>14</v>
      </c>
      <c r="Y199" t="s">
        <v>15</v>
      </c>
      <c r="Z199" t="s">
        <v>2082</v>
      </c>
      <c r="AA199" t="s">
        <v>2073</v>
      </c>
      <c r="AB199">
        <v>0</v>
      </c>
      <c r="AC199" t="s">
        <v>18</v>
      </c>
    </row>
    <row r="200" spans="1:29" x14ac:dyDescent="0.3">
      <c r="A200" t="s">
        <v>221</v>
      </c>
      <c r="B200" t="s">
        <v>1</v>
      </c>
      <c r="C200">
        <v>0.4</v>
      </c>
      <c r="D200" t="s">
        <v>599</v>
      </c>
      <c r="E200" t="s">
        <v>1996</v>
      </c>
      <c r="F200" t="s">
        <v>4</v>
      </c>
      <c r="G200">
        <v>128</v>
      </c>
      <c r="H200" t="s">
        <v>5</v>
      </c>
      <c r="I200">
        <v>106</v>
      </c>
      <c r="J200" t="s">
        <v>6</v>
      </c>
      <c r="K200">
        <v>53.77</v>
      </c>
      <c r="L200" t="s">
        <v>7</v>
      </c>
      <c r="M200">
        <v>0.42007812500000002</v>
      </c>
      <c r="N200" t="s">
        <v>8</v>
      </c>
      <c r="O200">
        <v>2.0495283018867898</v>
      </c>
      <c r="P200" t="s">
        <v>9</v>
      </c>
      <c r="Q200">
        <v>-7.43090909090908</v>
      </c>
      <c r="R200" t="s">
        <v>10</v>
      </c>
      <c r="S200">
        <v>0.95456370386081302</v>
      </c>
      <c r="T200" t="s">
        <v>11</v>
      </c>
      <c r="U200" t="s">
        <v>2081</v>
      </c>
      <c r="V200" t="s">
        <v>2013</v>
      </c>
      <c r="W200">
        <v>0</v>
      </c>
      <c r="X200" t="s">
        <v>14</v>
      </c>
      <c r="Y200" t="s">
        <v>15</v>
      </c>
      <c r="Z200" t="s">
        <v>2083</v>
      </c>
      <c r="AA200" t="s">
        <v>2084</v>
      </c>
      <c r="AB200">
        <v>0</v>
      </c>
      <c r="AC200" t="s">
        <v>18</v>
      </c>
    </row>
    <row r="201" spans="1:29" x14ac:dyDescent="0.3">
      <c r="A201" t="s">
        <v>221</v>
      </c>
      <c r="B201" t="s">
        <v>1</v>
      </c>
      <c r="C201">
        <v>0.4</v>
      </c>
      <c r="D201" t="s">
        <v>599</v>
      </c>
      <c r="E201" t="s">
        <v>1997</v>
      </c>
      <c r="F201" t="s">
        <v>4</v>
      </c>
      <c r="G201">
        <v>128</v>
      </c>
      <c r="H201" t="s">
        <v>5</v>
      </c>
      <c r="I201">
        <v>108</v>
      </c>
      <c r="J201" t="s">
        <v>6</v>
      </c>
      <c r="K201">
        <v>62.25</v>
      </c>
      <c r="L201" t="s">
        <v>7</v>
      </c>
      <c r="M201">
        <v>0.486328125</v>
      </c>
      <c r="N201" t="s">
        <v>8</v>
      </c>
      <c r="O201">
        <v>2.0637962962962901</v>
      </c>
      <c r="P201" t="s">
        <v>9</v>
      </c>
      <c r="Q201">
        <v>-8.0319999999999894</v>
      </c>
      <c r="R201" t="s">
        <v>10</v>
      </c>
      <c r="S201">
        <v>0.99496126321462597</v>
      </c>
      <c r="T201" t="s">
        <v>11</v>
      </c>
      <c r="U201" t="s">
        <v>2081</v>
      </c>
      <c r="V201" t="s">
        <v>2013</v>
      </c>
      <c r="W201">
        <v>0</v>
      </c>
      <c r="X201" t="s">
        <v>14</v>
      </c>
      <c r="Y201" t="s">
        <v>15</v>
      </c>
      <c r="Z201" t="s">
        <v>2085</v>
      </c>
      <c r="AA201" t="s">
        <v>2086</v>
      </c>
      <c r="AB201">
        <v>0</v>
      </c>
      <c r="AC201" t="s">
        <v>18</v>
      </c>
    </row>
    <row r="202" spans="1:29" x14ac:dyDescent="0.3">
      <c r="A202" t="s">
        <v>221</v>
      </c>
      <c r="B202" t="s">
        <v>1</v>
      </c>
      <c r="C202">
        <v>0.4</v>
      </c>
      <c r="D202" t="s">
        <v>1998</v>
      </c>
      <c r="E202" t="s">
        <v>1999</v>
      </c>
      <c r="F202" t="s">
        <v>4</v>
      </c>
      <c r="G202">
        <v>127</v>
      </c>
      <c r="H202" t="s">
        <v>5</v>
      </c>
      <c r="I202">
        <v>86</v>
      </c>
      <c r="J202" t="s">
        <v>6</v>
      </c>
      <c r="K202">
        <v>4.48317087964063</v>
      </c>
      <c r="L202" t="s">
        <v>7</v>
      </c>
      <c r="M202">
        <v>3.53005581074066E-2</v>
      </c>
      <c r="N202" t="s">
        <v>8</v>
      </c>
      <c r="O202">
        <v>2.5474418604651099</v>
      </c>
      <c r="P202" t="s">
        <v>9</v>
      </c>
      <c r="Q202">
        <v>-5.2340690029355903</v>
      </c>
      <c r="R202" t="s">
        <v>10</v>
      </c>
      <c r="S202">
        <v>0.71649874144709202</v>
      </c>
      <c r="T202" t="s">
        <v>11</v>
      </c>
      <c r="U202" t="s">
        <v>2087</v>
      </c>
      <c r="V202" t="s">
        <v>2071</v>
      </c>
      <c r="W202">
        <v>0</v>
      </c>
      <c r="X202" t="s">
        <v>14</v>
      </c>
      <c r="Y202" t="s">
        <v>15</v>
      </c>
      <c r="Z202" t="s">
        <v>2088</v>
      </c>
      <c r="AA202" t="s">
        <v>2080</v>
      </c>
      <c r="AB202">
        <v>0</v>
      </c>
      <c r="AC202" t="s">
        <v>18</v>
      </c>
    </row>
    <row r="203" spans="1:29" x14ac:dyDescent="0.3">
      <c r="A203" t="s">
        <v>221</v>
      </c>
      <c r="B203" t="s">
        <v>1</v>
      </c>
      <c r="C203">
        <v>0.4</v>
      </c>
      <c r="D203" t="s">
        <v>1998</v>
      </c>
      <c r="E203" t="s">
        <v>2002</v>
      </c>
      <c r="F203" t="s">
        <v>4</v>
      </c>
      <c r="G203">
        <v>127</v>
      </c>
      <c r="H203" t="s">
        <v>5</v>
      </c>
      <c r="I203">
        <v>96</v>
      </c>
      <c r="J203" t="s">
        <v>6</v>
      </c>
      <c r="K203">
        <v>-32.509999999999899</v>
      </c>
      <c r="L203" t="s">
        <v>7</v>
      </c>
      <c r="M203">
        <v>-0.255984251968503</v>
      </c>
      <c r="N203" t="s">
        <v>8</v>
      </c>
      <c r="O203">
        <v>2.5554166666666598</v>
      </c>
      <c r="P203" t="s">
        <v>9</v>
      </c>
      <c r="Q203">
        <v>-8.9622580645161207</v>
      </c>
      <c r="R203" t="s">
        <v>10</v>
      </c>
      <c r="S203">
        <v>1.0017563092521899</v>
      </c>
      <c r="T203" t="s">
        <v>11</v>
      </c>
      <c r="U203" t="s">
        <v>2089</v>
      </c>
      <c r="V203" t="s">
        <v>1987</v>
      </c>
      <c r="W203">
        <v>0</v>
      </c>
      <c r="X203" t="s">
        <v>14</v>
      </c>
      <c r="Y203" t="s">
        <v>15</v>
      </c>
      <c r="Z203" t="s">
        <v>2090</v>
      </c>
      <c r="AA203" t="s">
        <v>1278</v>
      </c>
      <c r="AB203">
        <v>0</v>
      </c>
      <c r="AC203" t="s">
        <v>18</v>
      </c>
    </row>
    <row r="204" spans="1:29" x14ac:dyDescent="0.3">
      <c r="A204" t="s">
        <v>221</v>
      </c>
      <c r="B204" t="s">
        <v>1</v>
      </c>
      <c r="C204">
        <v>0.4</v>
      </c>
      <c r="D204" t="s">
        <v>1998</v>
      </c>
      <c r="E204" t="s">
        <v>2004</v>
      </c>
      <c r="F204" t="s">
        <v>4</v>
      </c>
      <c r="G204">
        <v>127</v>
      </c>
      <c r="H204" t="s">
        <v>5</v>
      </c>
      <c r="I204">
        <v>99</v>
      </c>
      <c r="J204" t="s">
        <v>6</v>
      </c>
      <c r="K204">
        <v>-46.135068080322597</v>
      </c>
      <c r="L204" t="s">
        <v>7</v>
      </c>
      <c r="M204">
        <v>-0.36326825260096601</v>
      </c>
      <c r="N204" t="s">
        <v>8</v>
      </c>
      <c r="O204">
        <v>2.5506060606060599</v>
      </c>
      <c r="P204" t="s">
        <v>9</v>
      </c>
      <c r="Q204">
        <v>-10.665895288582901</v>
      </c>
      <c r="R204" t="s">
        <v>10</v>
      </c>
      <c r="S204">
        <v>1.1208450555139</v>
      </c>
      <c r="T204" t="s">
        <v>11</v>
      </c>
      <c r="U204" t="s">
        <v>2089</v>
      </c>
      <c r="V204" t="s">
        <v>1987</v>
      </c>
      <c r="W204">
        <v>0</v>
      </c>
      <c r="X204" t="s">
        <v>14</v>
      </c>
      <c r="Y204" t="s">
        <v>15</v>
      </c>
      <c r="Z204" t="s">
        <v>2091</v>
      </c>
      <c r="AA204" t="s">
        <v>2092</v>
      </c>
      <c r="AB204">
        <v>0</v>
      </c>
      <c r="AC204" t="s">
        <v>18</v>
      </c>
    </row>
    <row r="205" spans="1:29" x14ac:dyDescent="0.3">
      <c r="A205" t="s">
        <v>221</v>
      </c>
      <c r="B205" t="s">
        <v>1</v>
      </c>
      <c r="C205">
        <v>0.4</v>
      </c>
      <c r="D205" t="s">
        <v>1998</v>
      </c>
      <c r="E205" t="s">
        <v>2005</v>
      </c>
      <c r="F205" t="s">
        <v>4</v>
      </c>
      <c r="G205">
        <v>127</v>
      </c>
      <c r="H205" t="s">
        <v>5</v>
      </c>
      <c r="I205">
        <v>99</v>
      </c>
      <c r="J205" t="s">
        <v>6</v>
      </c>
      <c r="K205">
        <v>-38.279999999999902</v>
      </c>
      <c r="L205" t="s">
        <v>7</v>
      </c>
      <c r="M205">
        <v>-0.30141732283464401</v>
      </c>
      <c r="N205" t="s">
        <v>8</v>
      </c>
      <c r="O205">
        <v>2.5506060606060599</v>
      </c>
      <c r="P205" t="s">
        <v>9</v>
      </c>
      <c r="Q205">
        <v>-10.385357142857099</v>
      </c>
      <c r="R205" t="s">
        <v>10</v>
      </c>
      <c r="S205">
        <v>1.20123837292842</v>
      </c>
      <c r="T205" t="s">
        <v>11</v>
      </c>
      <c r="U205" t="s">
        <v>2089</v>
      </c>
      <c r="V205" t="s">
        <v>1987</v>
      </c>
      <c r="W205">
        <v>0</v>
      </c>
      <c r="X205" t="s">
        <v>14</v>
      </c>
      <c r="Y205" t="s">
        <v>15</v>
      </c>
      <c r="Z205" t="s">
        <v>2091</v>
      </c>
      <c r="AA205" t="s">
        <v>2092</v>
      </c>
      <c r="AB205">
        <v>0</v>
      </c>
      <c r="AC205" t="s">
        <v>18</v>
      </c>
    </row>
    <row r="206" spans="1:29" x14ac:dyDescent="0.3">
      <c r="A206" t="s">
        <v>221</v>
      </c>
      <c r="B206" t="s">
        <v>1</v>
      </c>
      <c r="C206">
        <v>0.3</v>
      </c>
      <c r="D206" t="s">
        <v>590</v>
      </c>
      <c r="E206" t="s">
        <v>1979</v>
      </c>
      <c r="F206" t="s">
        <v>4</v>
      </c>
      <c r="G206">
        <v>136</v>
      </c>
      <c r="H206" t="s">
        <v>5</v>
      </c>
      <c r="I206">
        <v>97</v>
      </c>
      <c r="J206" t="s">
        <v>6</v>
      </c>
      <c r="K206">
        <v>21.759999999999899</v>
      </c>
      <c r="L206" t="s">
        <v>7</v>
      </c>
      <c r="M206">
        <v>0.159999999999999</v>
      </c>
      <c r="N206" t="s">
        <v>8</v>
      </c>
      <c r="O206">
        <v>1.1389690721649399</v>
      </c>
      <c r="P206" t="s">
        <v>9</v>
      </c>
      <c r="Q206">
        <v>-2.2748717948717898</v>
      </c>
      <c r="R206" t="s">
        <v>10</v>
      </c>
      <c r="S206">
        <v>0.35491162772946</v>
      </c>
      <c r="T206" t="s">
        <v>11</v>
      </c>
      <c r="U206" t="s">
        <v>2093</v>
      </c>
      <c r="V206" t="s">
        <v>2071</v>
      </c>
      <c r="W206">
        <v>0</v>
      </c>
      <c r="X206" t="s">
        <v>14</v>
      </c>
      <c r="Y206" t="s">
        <v>15</v>
      </c>
      <c r="Z206" t="s">
        <v>2094</v>
      </c>
      <c r="AA206" t="s">
        <v>2073</v>
      </c>
      <c r="AB206">
        <v>0</v>
      </c>
      <c r="AC206" t="s">
        <v>18</v>
      </c>
    </row>
    <row r="207" spans="1:29" x14ac:dyDescent="0.3">
      <c r="A207" t="s">
        <v>221</v>
      </c>
      <c r="B207" t="s">
        <v>1</v>
      </c>
      <c r="C207">
        <v>0.3</v>
      </c>
      <c r="D207" t="s">
        <v>590</v>
      </c>
      <c r="E207" t="s">
        <v>1982</v>
      </c>
      <c r="F207" t="s">
        <v>4</v>
      </c>
      <c r="G207">
        <v>136</v>
      </c>
      <c r="H207" t="s">
        <v>5</v>
      </c>
      <c r="I207">
        <v>111</v>
      </c>
      <c r="J207" t="s">
        <v>6</v>
      </c>
      <c r="K207">
        <v>22.959999999999901</v>
      </c>
      <c r="L207" t="s">
        <v>7</v>
      </c>
      <c r="M207">
        <v>0.16882352941176401</v>
      </c>
      <c r="N207" t="s">
        <v>8</v>
      </c>
      <c r="O207">
        <v>1.1097297297297199</v>
      </c>
      <c r="P207" t="s">
        <v>9</v>
      </c>
      <c r="Q207">
        <v>-4.0087999999999999</v>
      </c>
      <c r="R207" t="s">
        <v>10</v>
      </c>
      <c r="S207">
        <v>0.47844057564823</v>
      </c>
      <c r="T207" t="s">
        <v>11</v>
      </c>
      <c r="U207" t="s">
        <v>2093</v>
      </c>
      <c r="V207" t="s">
        <v>2071</v>
      </c>
      <c r="W207">
        <v>0</v>
      </c>
      <c r="X207" t="s">
        <v>14</v>
      </c>
      <c r="Y207" t="s">
        <v>15</v>
      </c>
      <c r="Z207" t="s">
        <v>2095</v>
      </c>
      <c r="AA207" t="s">
        <v>2075</v>
      </c>
      <c r="AB207">
        <v>0</v>
      </c>
      <c r="AC207" t="s">
        <v>18</v>
      </c>
    </row>
    <row r="208" spans="1:29" x14ac:dyDescent="0.3">
      <c r="A208" t="s">
        <v>221</v>
      </c>
      <c r="B208" t="s">
        <v>1</v>
      </c>
      <c r="C208">
        <v>0.3</v>
      </c>
      <c r="D208" t="s">
        <v>590</v>
      </c>
      <c r="E208" t="s">
        <v>1985</v>
      </c>
      <c r="F208" t="s">
        <v>4</v>
      </c>
      <c r="G208">
        <v>136</v>
      </c>
      <c r="H208" t="s">
        <v>5</v>
      </c>
      <c r="I208">
        <v>112</v>
      </c>
      <c r="J208" t="s">
        <v>6</v>
      </c>
      <c r="K208">
        <v>25.639999999999901</v>
      </c>
      <c r="L208" t="s">
        <v>7</v>
      </c>
      <c r="M208">
        <v>0.188529411764705</v>
      </c>
      <c r="N208" t="s">
        <v>8</v>
      </c>
      <c r="O208">
        <v>1.10633928571428</v>
      </c>
      <c r="P208" t="s">
        <v>9</v>
      </c>
      <c r="Q208">
        <v>-4.0945833333333299</v>
      </c>
      <c r="R208" t="s">
        <v>10</v>
      </c>
      <c r="S208">
        <v>0.52084640183134501</v>
      </c>
      <c r="T208" t="s">
        <v>11</v>
      </c>
      <c r="U208" t="s">
        <v>2093</v>
      </c>
      <c r="V208" t="s">
        <v>2071</v>
      </c>
      <c r="W208">
        <v>0</v>
      </c>
      <c r="X208" t="s">
        <v>14</v>
      </c>
      <c r="Y208" t="s">
        <v>15</v>
      </c>
      <c r="Z208" t="s">
        <v>2095</v>
      </c>
      <c r="AA208" t="s">
        <v>2075</v>
      </c>
      <c r="AB208">
        <v>0</v>
      </c>
      <c r="AC208" t="s">
        <v>18</v>
      </c>
    </row>
    <row r="209" spans="1:29" x14ac:dyDescent="0.3">
      <c r="A209" t="s">
        <v>221</v>
      </c>
      <c r="B209" t="s">
        <v>1</v>
      </c>
      <c r="C209">
        <v>0.3</v>
      </c>
      <c r="D209" t="s">
        <v>590</v>
      </c>
      <c r="E209" t="s">
        <v>1988</v>
      </c>
      <c r="F209" t="s">
        <v>4</v>
      </c>
      <c r="G209">
        <v>136</v>
      </c>
      <c r="H209" t="s">
        <v>5</v>
      </c>
      <c r="I209">
        <v>113</v>
      </c>
      <c r="J209" t="s">
        <v>6</v>
      </c>
      <c r="K209">
        <v>22.0899999999999</v>
      </c>
      <c r="L209" t="s">
        <v>7</v>
      </c>
      <c r="M209">
        <v>0.16242647058823501</v>
      </c>
      <c r="N209" t="s">
        <v>8</v>
      </c>
      <c r="O209">
        <v>1.10955752212389</v>
      </c>
      <c r="P209" t="s">
        <v>9</v>
      </c>
      <c r="Q209">
        <v>-4.4908695652173902</v>
      </c>
      <c r="R209" t="s">
        <v>10</v>
      </c>
      <c r="S209">
        <v>0.57090502423176004</v>
      </c>
      <c r="T209" t="s">
        <v>11</v>
      </c>
      <c r="U209" t="s">
        <v>2093</v>
      </c>
      <c r="V209" t="s">
        <v>2071</v>
      </c>
      <c r="W209">
        <v>0</v>
      </c>
      <c r="X209" t="s">
        <v>14</v>
      </c>
      <c r="Y209" t="s">
        <v>15</v>
      </c>
      <c r="Z209" t="s">
        <v>2096</v>
      </c>
      <c r="AA209" t="s">
        <v>2078</v>
      </c>
      <c r="AB209">
        <v>0</v>
      </c>
      <c r="AC209" t="s">
        <v>18</v>
      </c>
    </row>
    <row r="210" spans="1:29" x14ac:dyDescent="0.3">
      <c r="A210" t="s">
        <v>221</v>
      </c>
      <c r="B210" t="s">
        <v>1</v>
      </c>
      <c r="C210">
        <v>0.3</v>
      </c>
      <c r="D210" t="s">
        <v>599</v>
      </c>
      <c r="E210" t="s">
        <v>1991</v>
      </c>
      <c r="F210" t="s">
        <v>4</v>
      </c>
      <c r="G210">
        <v>128</v>
      </c>
      <c r="H210" t="s">
        <v>5</v>
      </c>
      <c r="I210">
        <v>89</v>
      </c>
      <c r="J210" t="s">
        <v>6</v>
      </c>
      <c r="K210">
        <v>23.749999999999901</v>
      </c>
      <c r="L210" t="s">
        <v>7</v>
      </c>
      <c r="M210">
        <v>0.185546874999999</v>
      </c>
      <c r="N210" t="s">
        <v>8</v>
      </c>
      <c r="O210">
        <v>1.45808988764044</v>
      </c>
      <c r="P210" t="s">
        <v>9</v>
      </c>
      <c r="Q210">
        <v>-2.71846153846153</v>
      </c>
      <c r="R210" t="s">
        <v>10</v>
      </c>
      <c r="S210">
        <v>0.435079109547654</v>
      </c>
      <c r="T210" t="s">
        <v>11</v>
      </c>
      <c r="U210" t="s">
        <v>2093</v>
      </c>
      <c r="V210" t="s">
        <v>2071</v>
      </c>
      <c r="W210">
        <v>0</v>
      </c>
      <c r="X210" t="s">
        <v>14</v>
      </c>
      <c r="Y210" t="s">
        <v>15</v>
      </c>
      <c r="Z210" t="s">
        <v>2097</v>
      </c>
      <c r="AA210" t="s">
        <v>2080</v>
      </c>
      <c r="AB210">
        <v>0</v>
      </c>
      <c r="AC210" t="s">
        <v>18</v>
      </c>
    </row>
    <row r="211" spans="1:29" x14ac:dyDescent="0.3">
      <c r="A211" t="s">
        <v>221</v>
      </c>
      <c r="B211" t="s">
        <v>1</v>
      </c>
      <c r="C211">
        <v>0.3</v>
      </c>
      <c r="D211" t="s">
        <v>599</v>
      </c>
      <c r="E211" t="s">
        <v>1994</v>
      </c>
      <c r="F211" t="s">
        <v>4</v>
      </c>
      <c r="G211">
        <v>128</v>
      </c>
      <c r="H211" t="s">
        <v>5</v>
      </c>
      <c r="I211">
        <v>104</v>
      </c>
      <c r="J211" t="s">
        <v>6</v>
      </c>
      <c r="K211">
        <v>20.079999999999899</v>
      </c>
      <c r="L211" t="s">
        <v>7</v>
      </c>
      <c r="M211">
        <v>0.15687499999999899</v>
      </c>
      <c r="N211" t="s">
        <v>8</v>
      </c>
      <c r="O211">
        <v>1.4153846153846099</v>
      </c>
      <c r="P211" t="s">
        <v>9</v>
      </c>
      <c r="Q211">
        <v>-5.2966666666666598</v>
      </c>
      <c r="R211" t="s">
        <v>10</v>
      </c>
      <c r="S211">
        <v>0.58391389331448995</v>
      </c>
      <c r="T211" t="s">
        <v>11</v>
      </c>
      <c r="U211" t="s">
        <v>2098</v>
      </c>
      <c r="V211" t="s">
        <v>2013</v>
      </c>
      <c r="W211">
        <v>0</v>
      </c>
      <c r="X211" t="s">
        <v>14</v>
      </c>
      <c r="Y211" t="s">
        <v>15</v>
      </c>
      <c r="Z211" t="s">
        <v>2098</v>
      </c>
      <c r="AA211" t="s">
        <v>2013</v>
      </c>
      <c r="AB211">
        <v>0</v>
      </c>
      <c r="AC211" t="s">
        <v>18</v>
      </c>
    </row>
    <row r="212" spans="1:29" x14ac:dyDescent="0.3">
      <c r="A212" t="s">
        <v>221</v>
      </c>
      <c r="B212" t="s">
        <v>1</v>
      </c>
      <c r="C212">
        <v>0.3</v>
      </c>
      <c r="D212" t="s">
        <v>599</v>
      </c>
      <c r="E212" t="s">
        <v>1996</v>
      </c>
      <c r="F212" t="s">
        <v>4</v>
      </c>
      <c r="G212">
        <v>128</v>
      </c>
      <c r="H212" t="s">
        <v>5</v>
      </c>
      <c r="I212">
        <v>109</v>
      </c>
      <c r="J212" t="s">
        <v>6</v>
      </c>
      <c r="K212">
        <v>46.28</v>
      </c>
      <c r="L212" t="s">
        <v>7</v>
      </c>
      <c r="M212">
        <v>0.36156250000000001</v>
      </c>
      <c r="N212" t="s">
        <v>8</v>
      </c>
      <c r="O212">
        <v>1.4167889908256801</v>
      </c>
      <c r="P212" t="s">
        <v>9</v>
      </c>
      <c r="Q212">
        <v>-5.6921052631578899</v>
      </c>
      <c r="R212" t="s">
        <v>10</v>
      </c>
      <c r="S212">
        <v>0.657858276950539</v>
      </c>
      <c r="T212" t="s">
        <v>11</v>
      </c>
      <c r="U212" t="s">
        <v>2098</v>
      </c>
      <c r="V212" t="s">
        <v>2013</v>
      </c>
      <c r="W212">
        <v>0</v>
      </c>
      <c r="X212" t="s">
        <v>14</v>
      </c>
      <c r="Y212" t="s">
        <v>15</v>
      </c>
      <c r="Z212" t="s">
        <v>2098</v>
      </c>
      <c r="AA212" t="s">
        <v>2013</v>
      </c>
      <c r="AB212">
        <v>0</v>
      </c>
      <c r="AC212" t="s">
        <v>18</v>
      </c>
    </row>
    <row r="213" spans="1:29" x14ac:dyDescent="0.3">
      <c r="A213" t="s">
        <v>221</v>
      </c>
      <c r="B213" t="s">
        <v>1</v>
      </c>
      <c r="C213">
        <v>0.3</v>
      </c>
      <c r="D213" t="s">
        <v>599</v>
      </c>
      <c r="E213" t="s">
        <v>1997</v>
      </c>
      <c r="F213" t="s">
        <v>4</v>
      </c>
      <c r="G213">
        <v>128</v>
      </c>
      <c r="H213" t="s">
        <v>5</v>
      </c>
      <c r="I213">
        <v>111</v>
      </c>
      <c r="J213" t="s">
        <v>6</v>
      </c>
      <c r="K213">
        <v>51.07</v>
      </c>
      <c r="L213" t="s">
        <v>7</v>
      </c>
      <c r="M213">
        <v>0.398984375</v>
      </c>
      <c r="N213" t="s">
        <v>8</v>
      </c>
      <c r="O213">
        <v>1.4236036036035999</v>
      </c>
      <c r="P213" t="s">
        <v>9</v>
      </c>
      <c r="Q213">
        <v>-6.2911764705882298</v>
      </c>
      <c r="R213" t="s">
        <v>10</v>
      </c>
      <c r="S213">
        <v>0.721148745069082</v>
      </c>
      <c r="T213" t="s">
        <v>11</v>
      </c>
      <c r="U213" t="s">
        <v>2098</v>
      </c>
      <c r="V213" t="s">
        <v>2013</v>
      </c>
      <c r="W213">
        <v>0</v>
      </c>
      <c r="X213" t="s">
        <v>14</v>
      </c>
      <c r="Y213" t="s">
        <v>15</v>
      </c>
      <c r="Z213" t="s">
        <v>2099</v>
      </c>
      <c r="AA213" t="s">
        <v>2084</v>
      </c>
      <c r="AB213">
        <v>0</v>
      </c>
      <c r="AC213" t="s">
        <v>18</v>
      </c>
    </row>
    <row r="214" spans="1:29" x14ac:dyDescent="0.3">
      <c r="A214" t="s">
        <v>221</v>
      </c>
      <c r="B214" t="s">
        <v>1</v>
      </c>
      <c r="C214">
        <v>0.3</v>
      </c>
      <c r="D214" t="s">
        <v>1998</v>
      </c>
      <c r="E214" t="s">
        <v>1999</v>
      </c>
      <c r="F214" t="s">
        <v>4</v>
      </c>
      <c r="G214">
        <v>127</v>
      </c>
      <c r="H214" t="s">
        <v>5</v>
      </c>
      <c r="I214">
        <v>88</v>
      </c>
      <c r="J214" t="s">
        <v>6</v>
      </c>
      <c r="K214">
        <v>12.54206939006</v>
      </c>
      <c r="L214" t="s">
        <v>7</v>
      </c>
      <c r="M214">
        <v>9.8756451890236505E-2</v>
      </c>
      <c r="N214" t="s">
        <v>8</v>
      </c>
      <c r="O214">
        <v>1.6879805718196199</v>
      </c>
      <c r="P214" t="s">
        <v>9</v>
      </c>
      <c r="Q214">
        <v>-3.48718515205299</v>
      </c>
      <c r="R214" t="s">
        <v>10</v>
      </c>
      <c r="S214">
        <v>0.47828087055894097</v>
      </c>
      <c r="T214" t="s">
        <v>11</v>
      </c>
      <c r="U214" t="s">
        <v>2100</v>
      </c>
      <c r="V214" t="s">
        <v>2071</v>
      </c>
      <c r="W214">
        <v>0</v>
      </c>
      <c r="X214" t="s">
        <v>14</v>
      </c>
      <c r="Y214" t="s">
        <v>15</v>
      </c>
      <c r="Z214" t="s">
        <v>2101</v>
      </c>
      <c r="AA214" t="s">
        <v>2080</v>
      </c>
      <c r="AB214">
        <v>0</v>
      </c>
      <c r="AC214" t="s">
        <v>18</v>
      </c>
    </row>
    <row r="215" spans="1:29" x14ac:dyDescent="0.3">
      <c r="A215" t="s">
        <v>221</v>
      </c>
      <c r="B215" t="s">
        <v>1</v>
      </c>
      <c r="C215">
        <v>0.3</v>
      </c>
      <c r="D215" t="s">
        <v>1998</v>
      </c>
      <c r="E215" t="s">
        <v>2002</v>
      </c>
      <c r="F215" t="s">
        <v>4</v>
      </c>
      <c r="G215">
        <v>127</v>
      </c>
      <c r="H215" t="s">
        <v>5</v>
      </c>
      <c r="I215">
        <v>100</v>
      </c>
      <c r="J215" t="s">
        <v>6</v>
      </c>
      <c r="K215">
        <v>-0.49793060993993499</v>
      </c>
      <c r="L215" t="s">
        <v>7</v>
      </c>
      <c r="M215">
        <v>-3.92071346409397E-3</v>
      </c>
      <c r="N215" t="s">
        <v>8</v>
      </c>
      <c r="O215">
        <v>1.6877229032012599</v>
      </c>
      <c r="P215" t="s">
        <v>9</v>
      </c>
      <c r="Q215">
        <v>-6.2692674418543204</v>
      </c>
      <c r="R215" t="s">
        <v>10</v>
      </c>
      <c r="S215">
        <v>0.68028932431188804</v>
      </c>
      <c r="T215" t="s">
        <v>11</v>
      </c>
      <c r="U215" t="s">
        <v>2102</v>
      </c>
      <c r="V215" t="s">
        <v>2080</v>
      </c>
      <c r="W215">
        <v>0</v>
      </c>
      <c r="X215" t="s">
        <v>14</v>
      </c>
      <c r="Y215" t="s">
        <v>15</v>
      </c>
      <c r="Z215" t="s">
        <v>2103</v>
      </c>
      <c r="AA215" t="s">
        <v>2084</v>
      </c>
      <c r="AB215">
        <v>0</v>
      </c>
      <c r="AC215" t="s">
        <v>18</v>
      </c>
    </row>
    <row r="216" spans="1:29" x14ac:dyDescent="0.3">
      <c r="A216" t="s">
        <v>221</v>
      </c>
      <c r="B216" t="s">
        <v>1</v>
      </c>
      <c r="C216">
        <v>0.3</v>
      </c>
      <c r="D216" t="s">
        <v>1998</v>
      </c>
      <c r="E216" t="s">
        <v>2004</v>
      </c>
      <c r="F216" t="s">
        <v>4</v>
      </c>
      <c r="G216">
        <v>127</v>
      </c>
      <c r="H216" t="s">
        <v>5</v>
      </c>
      <c r="I216">
        <v>105</v>
      </c>
      <c r="J216" t="s">
        <v>6</v>
      </c>
      <c r="K216">
        <v>-23.4079306099399</v>
      </c>
      <c r="L216" t="s">
        <v>7</v>
      </c>
      <c r="M216">
        <v>-0.184314414251495</v>
      </c>
      <c r="N216" t="s">
        <v>8</v>
      </c>
      <c r="O216">
        <v>1.68954562209644</v>
      </c>
      <c r="P216" t="s">
        <v>9</v>
      </c>
      <c r="Q216">
        <v>-9.1277373150030297</v>
      </c>
      <c r="R216" t="s">
        <v>10</v>
      </c>
      <c r="S216">
        <v>0.79308127110980597</v>
      </c>
      <c r="T216" t="s">
        <v>11</v>
      </c>
      <c r="U216" t="s">
        <v>2104</v>
      </c>
      <c r="V216" t="s">
        <v>1987</v>
      </c>
      <c r="W216">
        <v>0</v>
      </c>
      <c r="X216" t="s">
        <v>14</v>
      </c>
      <c r="Y216" t="s">
        <v>15</v>
      </c>
      <c r="Z216" t="s">
        <v>2105</v>
      </c>
      <c r="AA216" t="s">
        <v>1278</v>
      </c>
      <c r="AB216">
        <v>0</v>
      </c>
      <c r="AC216" t="s">
        <v>18</v>
      </c>
    </row>
    <row r="217" spans="1:29" x14ac:dyDescent="0.3">
      <c r="A217" t="s">
        <v>221</v>
      </c>
      <c r="B217" t="s">
        <v>1</v>
      </c>
      <c r="C217">
        <v>0.3</v>
      </c>
      <c r="D217" t="s">
        <v>1998</v>
      </c>
      <c r="E217" t="s">
        <v>2005</v>
      </c>
      <c r="F217" t="s">
        <v>4</v>
      </c>
      <c r="G217">
        <v>127</v>
      </c>
      <c r="H217" t="s">
        <v>5</v>
      </c>
      <c r="I217">
        <v>105</v>
      </c>
      <c r="J217" t="s">
        <v>6</v>
      </c>
      <c r="K217">
        <v>-42.587930609939903</v>
      </c>
      <c r="L217" t="s">
        <v>7</v>
      </c>
      <c r="M217">
        <v>-0.33533803629873898</v>
      </c>
      <c r="N217" t="s">
        <v>8</v>
      </c>
      <c r="O217">
        <v>1.68954562209644</v>
      </c>
      <c r="P217" t="s">
        <v>9</v>
      </c>
      <c r="Q217">
        <v>-9.9995554968212197</v>
      </c>
      <c r="R217" t="s">
        <v>10</v>
      </c>
      <c r="S217">
        <v>0.82680991993197395</v>
      </c>
      <c r="T217" t="s">
        <v>11</v>
      </c>
      <c r="U217" t="s">
        <v>2104</v>
      </c>
      <c r="V217" t="s">
        <v>1987</v>
      </c>
      <c r="W217">
        <v>0</v>
      </c>
      <c r="X217" t="s">
        <v>14</v>
      </c>
      <c r="Y217" t="s">
        <v>15</v>
      </c>
      <c r="Z217" t="s">
        <v>2105</v>
      </c>
      <c r="AA217" t="s">
        <v>1278</v>
      </c>
      <c r="AB217">
        <v>0</v>
      </c>
      <c r="AC217" t="s">
        <v>18</v>
      </c>
    </row>
    <row r="218" spans="1:29" x14ac:dyDescent="0.3">
      <c r="A218" t="s">
        <v>221</v>
      </c>
      <c r="B218" t="s">
        <v>1</v>
      </c>
      <c r="C218">
        <v>0.2</v>
      </c>
      <c r="D218" t="s">
        <v>590</v>
      </c>
      <c r="E218" t="s">
        <v>1979</v>
      </c>
      <c r="F218" t="s">
        <v>4</v>
      </c>
      <c r="G218">
        <v>136</v>
      </c>
      <c r="H218" t="s">
        <v>5</v>
      </c>
      <c r="I218">
        <v>99</v>
      </c>
      <c r="J218" t="s">
        <v>6</v>
      </c>
      <c r="K218">
        <v>13.5099999999999</v>
      </c>
      <c r="L218" t="s">
        <v>7</v>
      </c>
      <c r="M218">
        <v>9.9338235294117602E-2</v>
      </c>
      <c r="N218" t="s">
        <v>8</v>
      </c>
      <c r="O218">
        <v>0.67939393939393899</v>
      </c>
      <c r="P218" t="s">
        <v>9</v>
      </c>
      <c r="Q218">
        <v>-1.4527027027027</v>
      </c>
      <c r="R218" t="s">
        <v>10</v>
      </c>
      <c r="S218">
        <v>0.206277355880567</v>
      </c>
      <c r="T218" t="s">
        <v>11</v>
      </c>
      <c r="U218" t="s">
        <v>2053</v>
      </c>
      <c r="V218" t="s">
        <v>2071</v>
      </c>
      <c r="W218">
        <v>0</v>
      </c>
      <c r="X218" t="s">
        <v>14</v>
      </c>
      <c r="Y218" t="s">
        <v>15</v>
      </c>
      <c r="Z218" t="s">
        <v>2053</v>
      </c>
      <c r="AA218" t="s">
        <v>2071</v>
      </c>
      <c r="AB218">
        <v>0</v>
      </c>
      <c r="AC218" t="s">
        <v>18</v>
      </c>
    </row>
    <row r="219" spans="1:29" x14ac:dyDescent="0.3">
      <c r="A219" t="s">
        <v>221</v>
      </c>
      <c r="B219" t="s">
        <v>1</v>
      </c>
      <c r="C219">
        <v>0.2</v>
      </c>
      <c r="D219" t="s">
        <v>590</v>
      </c>
      <c r="E219" t="s">
        <v>1982</v>
      </c>
      <c r="F219" t="s">
        <v>4</v>
      </c>
      <c r="G219">
        <v>136</v>
      </c>
      <c r="H219" t="s">
        <v>5</v>
      </c>
      <c r="I219">
        <v>114</v>
      </c>
      <c r="J219" t="s">
        <v>6</v>
      </c>
      <c r="K219">
        <v>20.77</v>
      </c>
      <c r="L219" t="s">
        <v>7</v>
      </c>
      <c r="M219">
        <v>0.152720588235294</v>
      </c>
      <c r="N219" t="s">
        <v>8</v>
      </c>
      <c r="O219">
        <v>0.66903508771929798</v>
      </c>
      <c r="P219" t="s">
        <v>9</v>
      </c>
      <c r="Q219">
        <v>-2.5227272727272698</v>
      </c>
      <c r="R219" t="s">
        <v>10</v>
      </c>
      <c r="S219">
        <v>0.26880829933205702</v>
      </c>
      <c r="T219" t="s">
        <v>11</v>
      </c>
      <c r="U219" t="s">
        <v>2053</v>
      </c>
      <c r="V219" t="s">
        <v>2071</v>
      </c>
      <c r="W219">
        <v>0</v>
      </c>
      <c r="X219" t="s">
        <v>14</v>
      </c>
      <c r="Y219" t="s">
        <v>15</v>
      </c>
      <c r="Z219" t="s">
        <v>2106</v>
      </c>
      <c r="AA219" t="s">
        <v>2075</v>
      </c>
      <c r="AB219">
        <v>0</v>
      </c>
      <c r="AC219" t="s">
        <v>18</v>
      </c>
    </row>
    <row r="220" spans="1:29" x14ac:dyDescent="0.3">
      <c r="A220" t="s">
        <v>221</v>
      </c>
      <c r="B220" t="s">
        <v>1</v>
      </c>
      <c r="C220">
        <v>0.2</v>
      </c>
      <c r="D220" t="s">
        <v>590</v>
      </c>
      <c r="E220" t="s">
        <v>1985</v>
      </c>
      <c r="F220" t="s">
        <v>4</v>
      </c>
      <c r="G220">
        <v>136</v>
      </c>
      <c r="H220" t="s">
        <v>5</v>
      </c>
      <c r="I220">
        <v>116</v>
      </c>
      <c r="J220" t="s">
        <v>6</v>
      </c>
      <c r="K220">
        <v>18.9499999999999</v>
      </c>
      <c r="L220" t="s">
        <v>7</v>
      </c>
      <c r="M220">
        <v>0.13933823529411701</v>
      </c>
      <c r="N220" t="s">
        <v>8</v>
      </c>
      <c r="O220">
        <v>0.66663793103448299</v>
      </c>
      <c r="P220" t="s">
        <v>9</v>
      </c>
      <c r="Q220">
        <v>-2.919</v>
      </c>
      <c r="R220" t="s">
        <v>10</v>
      </c>
      <c r="S220">
        <v>0.31689468565707601</v>
      </c>
      <c r="T220" t="s">
        <v>11</v>
      </c>
      <c r="U220" t="s">
        <v>2053</v>
      </c>
      <c r="V220" t="s">
        <v>2071</v>
      </c>
      <c r="W220">
        <v>0</v>
      </c>
      <c r="X220" t="s">
        <v>14</v>
      </c>
      <c r="Y220" t="s">
        <v>15</v>
      </c>
      <c r="Z220" t="s">
        <v>2106</v>
      </c>
      <c r="AA220" t="s">
        <v>2075</v>
      </c>
      <c r="AB220">
        <v>0</v>
      </c>
      <c r="AC220" t="s">
        <v>18</v>
      </c>
    </row>
    <row r="221" spans="1:29" x14ac:dyDescent="0.3">
      <c r="A221" t="s">
        <v>221</v>
      </c>
      <c r="B221" t="s">
        <v>1</v>
      </c>
      <c r="C221">
        <v>0.2</v>
      </c>
      <c r="D221" t="s">
        <v>590</v>
      </c>
      <c r="E221" t="s">
        <v>1988</v>
      </c>
      <c r="F221" t="s">
        <v>4</v>
      </c>
      <c r="G221">
        <v>136</v>
      </c>
      <c r="H221" t="s">
        <v>5</v>
      </c>
      <c r="I221">
        <v>117</v>
      </c>
      <c r="J221" t="s">
        <v>6</v>
      </c>
      <c r="K221">
        <v>17.069999999999901</v>
      </c>
      <c r="L221" t="s">
        <v>7</v>
      </c>
      <c r="M221">
        <v>0.125514705882352</v>
      </c>
      <c r="N221" t="s">
        <v>8</v>
      </c>
      <c r="O221">
        <v>0.66880341880341898</v>
      </c>
      <c r="P221" t="s">
        <v>9</v>
      </c>
      <c r="Q221">
        <v>-3.22</v>
      </c>
      <c r="R221" t="s">
        <v>10</v>
      </c>
      <c r="S221">
        <v>0.34752962688438899</v>
      </c>
      <c r="T221" t="s">
        <v>11</v>
      </c>
      <c r="U221" t="s">
        <v>2053</v>
      </c>
      <c r="V221" t="s">
        <v>2071</v>
      </c>
      <c r="W221">
        <v>0</v>
      </c>
      <c r="X221" t="s">
        <v>14</v>
      </c>
      <c r="Y221" t="s">
        <v>15</v>
      </c>
      <c r="Z221" t="s">
        <v>1345</v>
      </c>
      <c r="AA221" t="s">
        <v>2084</v>
      </c>
      <c r="AB221">
        <v>0</v>
      </c>
      <c r="AC221" t="s">
        <v>18</v>
      </c>
    </row>
    <row r="222" spans="1:29" x14ac:dyDescent="0.3">
      <c r="A222" t="s">
        <v>221</v>
      </c>
      <c r="B222" t="s">
        <v>1</v>
      </c>
      <c r="C222">
        <v>0.2</v>
      </c>
      <c r="D222" t="s">
        <v>599</v>
      </c>
      <c r="E222" t="s">
        <v>1991</v>
      </c>
      <c r="F222" t="s">
        <v>4</v>
      </c>
      <c r="G222">
        <v>128</v>
      </c>
      <c r="H222" t="s">
        <v>5</v>
      </c>
      <c r="I222">
        <v>90</v>
      </c>
      <c r="J222" t="s">
        <v>6</v>
      </c>
      <c r="K222">
        <v>14.39</v>
      </c>
      <c r="L222" t="s">
        <v>7</v>
      </c>
      <c r="M222">
        <v>0.112421875</v>
      </c>
      <c r="N222" t="s">
        <v>8</v>
      </c>
      <c r="O222">
        <v>0.89388888888888896</v>
      </c>
      <c r="P222" t="s">
        <v>9</v>
      </c>
      <c r="Q222">
        <v>-1.73842105263157</v>
      </c>
      <c r="R222" t="s">
        <v>10</v>
      </c>
      <c r="S222">
        <v>0.24908907731784199</v>
      </c>
      <c r="T222" t="s">
        <v>11</v>
      </c>
      <c r="U222" t="s">
        <v>2053</v>
      </c>
      <c r="V222" t="s">
        <v>2071</v>
      </c>
      <c r="W222">
        <v>0</v>
      </c>
      <c r="X222" t="s">
        <v>14</v>
      </c>
      <c r="Y222" t="s">
        <v>15</v>
      </c>
      <c r="Z222" t="s">
        <v>2053</v>
      </c>
      <c r="AA222" t="s">
        <v>2071</v>
      </c>
      <c r="AB222">
        <v>0</v>
      </c>
      <c r="AC222" t="s">
        <v>18</v>
      </c>
    </row>
    <row r="223" spans="1:29" x14ac:dyDescent="0.3">
      <c r="A223" t="s">
        <v>221</v>
      </c>
      <c r="B223" t="s">
        <v>1</v>
      </c>
      <c r="C223">
        <v>0.2</v>
      </c>
      <c r="D223" t="s">
        <v>599</v>
      </c>
      <c r="E223" t="s">
        <v>1994</v>
      </c>
      <c r="F223" t="s">
        <v>4</v>
      </c>
      <c r="G223">
        <v>128</v>
      </c>
      <c r="H223" t="s">
        <v>5</v>
      </c>
      <c r="I223">
        <v>105</v>
      </c>
      <c r="J223" t="s">
        <v>6</v>
      </c>
      <c r="K223">
        <v>18.239999999999998</v>
      </c>
      <c r="L223" t="s">
        <v>7</v>
      </c>
      <c r="M223">
        <v>0.14249999999999999</v>
      </c>
      <c r="N223" t="s">
        <v>8</v>
      </c>
      <c r="O223">
        <v>0.85723809523809502</v>
      </c>
      <c r="P223" t="s">
        <v>9</v>
      </c>
      <c r="Q223">
        <v>-3.1204347826086898</v>
      </c>
      <c r="R223" t="s">
        <v>10</v>
      </c>
      <c r="S223">
        <v>0.30886124487163702</v>
      </c>
      <c r="T223" t="s">
        <v>11</v>
      </c>
      <c r="U223" t="s">
        <v>2053</v>
      </c>
      <c r="V223" t="s">
        <v>2071</v>
      </c>
      <c r="W223">
        <v>0</v>
      </c>
      <c r="X223" t="s">
        <v>14</v>
      </c>
      <c r="Y223" t="s">
        <v>15</v>
      </c>
      <c r="Z223" t="s">
        <v>2053</v>
      </c>
      <c r="AA223" t="s">
        <v>2071</v>
      </c>
      <c r="AB223">
        <v>0</v>
      </c>
      <c r="AC223" t="s">
        <v>18</v>
      </c>
    </row>
    <row r="224" spans="1:29" x14ac:dyDescent="0.3">
      <c r="A224" t="s">
        <v>221</v>
      </c>
      <c r="B224" t="s">
        <v>1</v>
      </c>
      <c r="C224">
        <v>0.2</v>
      </c>
      <c r="D224" t="s">
        <v>599</v>
      </c>
      <c r="E224" t="s">
        <v>1996</v>
      </c>
      <c r="F224" t="s">
        <v>4</v>
      </c>
      <c r="G224">
        <v>128</v>
      </c>
      <c r="H224" t="s">
        <v>5</v>
      </c>
      <c r="I224">
        <v>109</v>
      </c>
      <c r="J224" t="s">
        <v>6</v>
      </c>
      <c r="K224">
        <v>16</v>
      </c>
      <c r="L224" t="s">
        <v>7</v>
      </c>
      <c r="M224">
        <v>0.125</v>
      </c>
      <c r="N224" t="s">
        <v>8</v>
      </c>
      <c r="O224">
        <v>0.85311926605504595</v>
      </c>
      <c r="P224" t="s">
        <v>9</v>
      </c>
      <c r="Q224">
        <v>-4.0521052631578902</v>
      </c>
      <c r="R224" t="s">
        <v>10</v>
      </c>
      <c r="S224">
        <v>0.38786699014945403</v>
      </c>
      <c r="T224" t="s">
        <v>11</v>
      </c>
      <c r="U224" t="s">
        <v>2107</v>
      </c>
      <c r="V224" t="s">
        <v>2013</v>
      </c>
      <c r="W224">
        <v>0</v>
      </c>
      <c r="X224" t="s">
        <v>14</v>
      </c>
      <c r="Y224" t="s">
        <v>15</v>
      </c>
      <c r="Z224" t="s">
        <v>2107</v>
      </c>
      <c r="AA224" t="s">
        <v>2013</v>
      </c>
      <c r="AB224">
        <v>0</v>
      </c>
      <c r="AC224" t="s">
        <v>18</v>
      </c>
    </row>
    <row r="225" spans="1:29" x14ac:dyDescent="0.3">
      <c r="A225" t="s">
        <v>221</v>
      </c>
      <c r="B225" t="s">
        <v>1</v>
      </c>
      <c r="C225">
        <v>0.2</v>
      </c>
      <c r="D225" t="s">
        <v>599</v>
      </c>
      <c r="E225" t="s">
        <v>1997</v>
      </c>
      <c r="F225" t="s">
        <v>4</v>
      </c>
      <c r="G225">
        <v>128</v>
      </c>
      <c r="H225" t="s">
        <v>5</v>
      </c>
      <c r="I225">
        <v>114</v>
      </c>
      <c r="J225" t="s">
        <v>6</v>
      </c>
      <c r="K225">
        <v>33.14</v>
      </c>
      <c r="L225" t="s">
        <v>7</v>
      </c>
      <c r="M225">
        <v>0.25890625</v>
      </c>
      <c r="N225" t="s">
        <v>8</v>
      </c>
      <c r="O225">
        <v>0.85596491228070204</v>
      </c>
      <c r="P225" t="s">
        <v>9</v>
      </c>
      <c r="Q225">
        <v>-4.6028571428571396</v>
      </c>
      <c r="R225" t="s">
        <v>10</v>
      </c>
      <c r="S225">
        <v>0.43548161238701699</v>
      </c>
      <c r="T225" t="s">
        <v>11</v>
      </c>
      <c r="U225" t="s">
        <v>2107</v>
      </c>
      <c r="V225" t="s">
        <v>2013</v>
      </c>
      <c r="W225">
        <v>0</v>
      </c>
      <c r="X225" t="s">
        <v>14</v>
      </c>
      <c r="Y225" t="s">
        <v>15</v>
      </c>
      <c r="Z225" t="s">
        <v>1345</v>
      </c>
      <c r="AA225" t="s">
        <v>2084</v>
      </c>
      <c r="AB225">
        <v>0</v>
      </c>
      <c r="AC225" t="s">
        <v>18</v>
      </c>
    </row>
    <row r="226" spans="1:29" x14ac:dyDescent="0.3">
      <c r="A226" t="s">
        <v>221</v>
      </c>
      <c r="B226" t="s">
        <v>1</v>
      </c>
      <c r="C226">
        <v>0.2</v>
      </c>
      <c r="D226" t="s">
        <v>1998</v>
      </c>
      <c r="E226" t="s">
        <v>1999</v>
      </c>
      <c r="F226" t="s">
        <v>4</v>
      </c>
      <c r="G226">
        <v>127</v>
      </c>
      <c r="H226" t="s">
        <v>5</v>
      </c>
      <c r="I226">
        <v>88</v>
      </c>
      <c r="J226" t="s">
        <v>6</v>
      </c>
      <c r="K226">
        <v>12.0683989494666</v>
      </c>
      <c r="L226" t="s">
        <v>7</v>
      </c>
      <c r="M226">
        <v>9.5026763381627105E-2</v>
      </c>
      <c r="N226" t="s">
        <v>8</v>
      </c>
      <c r="O226">
        <v>1.0026674782088101</v>
      </c>
      <c r="P226" t="s">
        <v>9</v>
      </c>
      <c r="Q226">
        <v>-1.95298305468997</v>
      </c>
      <c r="R226" t="s">
        <v>10</v>
      </c>
      <c r="S226">
        <v>0.27924866738475201</v>
      </c>
      <c r="T226" t="s">
        <v>11</v>
      </c>
      <c r="U226" t="s">
        <v>2108</v>
      </c>
      <c r="V226" t="s">
        <v>2071</v>
      </c>
      <c r="W226">
        <v>0</v>
      </c>
      <c r="X226" t="s">
        <v>14</v>
      </c>
      <c r="Y226" t="s">
        <v>15</v>
      </c>
      <c r="Z226" t="s">
        <v>2109</v>
      </c>
      <c r="AA226" t="s">
        <v>2080</v>
      </c>
      <c r="AB226">
        <v>0</v>
      </c>
      <c r="AC226" t="s">
        <v>18</v>
      </c>
    </row>
    <row r="227" spans="1:29" x14ac:dyDescent="0.3">
      <c r="A227" t="s">
        <v>221</v>
      </c>
      <c r="B227" t="s">
        <v>1</v>
      </c>
      <c r="C227">
        <v>0.2</v>
      </c>
      <c r="D227" t="s">
        <v>1998</v>
      </c>
      <c r="E227" t="s">
        <v>2002</v>
      </c>
      <c r="F227" t="s">
        <v>4</v>
      </c>
      <c r="G227">
        <v>127</v>
      </c>
      <c r="H227" t="s">
        <v>5</v>
      </c>
      <c r="I227">
        <v>103</v>
      </c>
      <c r="J227" t="s">
        <v>6</v>
      </c>
      <c r="K227">
        <v>5.41839894946665</v>
      </c>
      <c r="L227" t="s">
        <v>7</v>
      </c>
      <c r="M227">
        <v>4.2664558657217702E-2</v>
      </c>
      <c r="N227" t="s">
        <v>8</v>
      </c>
      <c r="O227">
        <v>0.98985182604248201</v>
      </c>
      <c r="P227" t="s">
        <v>9</v>
      </c>
      <c r="Q227">
        <v>-4.0223474638712</v>
      </c>
      <c r="R227" t="s">
        <v>10</v>
      </c>
      <c r="S227">
        <v>0.40198791414516799</v>
      </c>
      <c r="T227" t="s">
        <v>11</v>
      </c>
      <c r="U227" t="s">
        <v>2110</v>
      </c>
      <c r="V227" t="s">
        <v>2084</v>
      </c>
      <c r="W227">
        <v>0</v>
      </c>
      <c r="X227" t="s">
        <v>14</v>
      </c>
      <c r="Y227" t="s">
        <v>15</v>
      </c>
      <c r="Z227" t="s">
        <v>2111</v>
      </c>
      <c r="AA227" t="s">
        <v>2080</v>
      </c>
      <c r="AB227">
        <v>0</v>
      </c>
      <c r="AC227" t="s">
        <v>18</v>
      </c>
    </row>
    <row r="228" spans="1:29" x14ac:dyDescent="0.3">
      <c r="A228" t="s">
        <v>221</v>
      </c>
      <c r="B228" t="s">
        <v>1</v>
      </c>
      <c r="C228">
        <v>0.2</v>
      </c>
      <c r="D228" t="s">
        <v>1998</v>
      </c>
      <c r="E228" t="s">
        <v>2004</v>
      </c>
      <c r="F228" t="s">
        <v>4</v>
      </c>
      <c r="G228">
        <v>127</v>
      </c>
      <c r="H228" t="s">
        <v>5</v>
      </c>
      <c r="I228">
        <v>107</v>
      </c>
      <c r="J228" t="s">
        <v>6</v>
      </c>
      <c r="K228">
        <v>-1.7016010505333301</v>
      </c>
      <c r="L228" t="s">
        <v>7</v>
      </c>
      <c r="M228">
        <v>-1.33984334687663E-2</v>
      </c>
      <c r="N228" t="s">
        <v>8</v>
      </c>
      <c r="O228">
        <v>0.99004428114369802</v>
      </c>
      <c r="P228" t="s">
        <v>9</v>
      </c>
      <c r="Q228">
        <v>-5.3818169566454497</v>
      </c>
      <c r="R228" t="s">
        <v>10</v>
      </c>
      <c r="S228">
        <v>0.49378107788917902</v>
      </c>
      <c r="T228" t="s">
        <v>11</v>
      </c>
      <c r="U228" t="s">
        <v>2112</v>
      </c>
      <c r="V228" t="s">
        <v>1278</v>
      </c>
      <c r="W228">
        <v>0</v>
      </c>
      <c r="X228" t="s">
        <v>14</v>
      </c>
      <c r="Y228" t="s">
        <v>15</v>
      </c>
      <c r="Z228" t="s">
        <v>2113</v>
      </c>
      <c r="AA228" t="s">
        <v>1278</v>
      </c>
      <c r="AB228">
        <v>0</v>
      </c>
      <c r="AC228" t="s">
        <v>18</v>
      </c>
    </row>
    <row r="229" spans="1:29" x14ac:dyDescent="0.3">
      <c r="A229" t="s">
        <v>221</v>
      </c>
      <c r="B229" t="s">
        <v>1</v>
      </c>
      <c r="C229">
        <v>0.2</v>
      </c>
      <c r="D229" t="s">
        <v>1998</v>
      </c>
      <c r="E229" t="s">
        <v>2005</v>
      </c>
      <c r="F229" t="s">
        <v>4</v>
      </c>
      <c r="G229">
        <v>127</v>
      </c>
      <c r="H229" t="s">
        <v>5</v>
      </c>
      <c r="I229">
        <v>111</v>
      </c>
      <c r="J229" t="s">
        <v>6</v>
      </c>
      <c r="K229">
        <v>-10.241601050533299</v>
      </c>
      <c r="L229" t="s">
        <v>7</v>
      </c>
      <c r="M229">
        <v>-8.0642527956955298E-2</v>
      </c>
      <c r="N229" t="s">
        <v>8</v>
      </c>
      <c r="O229">
        <v>0.99355619894032099</v>
      </c>
      <c r="P229" t="s">
        <v>9</v>
      </c>
      <c r="Q229">
        <v>-7.5328961958068099</v>
      </c>
      <c r="R229" t="s">
        <v>10</v>
      </c>
      <c r="S229">
        <v>0.54706104301955405</v>
      </c>
      <c r="T229" t="s">
        <v>11</v>
      </c>
      <c r="U229" t="s">
        <v>2114</v>
      </c>
      <c r="V229" t="s">
        <v>1987</v>
      </c>
      <c r="W229">
        <v>0</v>
      </c>
      <c r="X229" t="s">
        <v>14</v>
      </c>
      <c r="Y229" t="s">
        <v>15</v>
      </c>
      <c r="Z229" t="s">
        <v>2113</v>
      </c>
      <c r="AA229" t="s">
        <v>1278</v>
      </c>
      <c r="AB229">
        <v>0</v>
      </c>
      <c r="AC229" t="s">
        <v>18</v>
      </c>
    </row>
    <row r="230" spans="1:29" x14ac:dyDescent="0.3">
      <c r="A230" t="s">
        <v>221</v>
      </c>
      <c r="B230" t="s">
        <v>1</v>
      </c>
      <c r="C230">
        <v>0.1</v>
      </c>
      <c r="D230" t="s">
        <v>590</v>
      </c>
      <c r="E230" t="s">
        <v>1979</v>
      </c>
      <c r="F230" t="s">
        <v>4</v>
      </c>
      <c r="G230">
        <v>136</v>
      </c>
      <c r="H230" t="s">
        <v>5</v>
      </c>
      <c r="I230">
        <v>105</v>
      </c>
      <c r="J230" t="s">
        <v>6</v>
      </c>
      <c r="K230">
        <v>8.5569920024403494</v>
      </c>
      <c r="L230" t="s">
        <v>7</v>
      </c>
      <c r="M230">
        <v>6.2919058841473099E-2</v>
      </c>
      <c r="N230" t="s">
        <v>8</v>
      </c>
      <c r="O230">
        <v>0.29473325716609799</v>
      </c>
      <c r="P230" t="s">
        <v>9</v>
      </c>
      <c r="Q230">
        <v>-0.72225806451612895</v>
      </c>
      <c r="R230" t="s">
        <v>10</v>
      </c>
      <c r="S230">
        <v>9.7414004295432705E-2</v>
      </c>
      <c r="T230" t="s">
        <v>11</v>
      </c>
      <c r="U230" t="s">
        <v>2115</v>
      </c>
      <c r="V230" t="s">
        <v>2071</v>
      </c>
      <c r="W230">
        <v>0</v>
      </c>
      <c r="X230" t="s">
        <v>14</v>
      </c>
      <c r="Y230" t="s">
        <v>15</v>
      </c>
      <c r="Z230" t="s">
        <v>2115</v>
      </c>
      <c r="AA230" t="s">
        <v>2071</v>
      </c>
      <c r="AB230">
        <v>0</v>
      </c>
      <c r="AC230" t="s">
        <v>18</v>
      </c>
    </row>
    <row r="231" spans="1:29" x14ac:dyDescent="0.3">
      <c r="A231" t="s">
        <v>221</v>
      </c>
      <c r="B231" t="s">
        <v>1</v>
      </c>
      <c r="C231">
        <v>0.1</v>
      </c>
      <c r="D231" t="s">
        <v>590</v>
      </c>
      <c r="E231" t="s">
        <v>1982</v>
      </c>
      <c r="F231" t="s">
        <v>4</v>
      </c>
      <c r="G231">
        <v>136</v>
      </c>
      <c r="H231" t="s">
        <v>5</v>
      </c>
      <c r="I231">
        <v>118</v>
      </c>
      <c r="J231" t="s">
        <v>6</v>
      </c>
      <c r="K231">
        <v>11.9769920024403</v>
      </c>
      <c r="L231" t="s">
        <v>7</v>
      </c>
      <c r="M231">
        <v>8.8066117665002497E-2</v>
      </c>
      <c r="N231" t="s">
        <v>8</v>
      </c>
      <c r="O231">
        <v>0.29412705086813801</v>
      </c>
      <c r="P231" t="s">
        <v>9</v>
      </c>
      <c r="Q231">
        <v>-1.26277777777777</v>
      </c>
      <c r="R231" t="s">
        <v>10</v>
      </c>
      <c r="S231">
        <v>0.117998161838848</v>
      </c>
      <c r="T231" t="s">
        <v>11</v>
      </c>
      <c r="U231" t="s">
        <v>2115</v>
      </c>
      <c r="V231" t="s">
        <v>2071</v>
      </c>
      <c r="W231">
        <v>0</v>
      </c>
      <c r="X231" t="s">
        <v>14</v>
      </c>
      <c r="Y231" t="s">
        <v>15</v>
      </c>
      <c r="Z231" t="s">
        <v>2115</v>
      </c>
      <c r="AA231" t="s">
        <v>2071</v>
      </c>
      <c r="AB231">
        <v>0</v>
      </c>
      <c r="AC231" t="s">
        <v>18</v>
      </c>
    </row>
    <row r="232" spans="1:29" x14ac:dyDescent="0.3">
      <c r="A232" t="s">
        <v>221</v>
      </c>
      <c r="B232" t="s">
        <v>1</v>
      </c>
      <c r="C232">
        <v>0.1</v>
      </c>
      <c r="D232" t="s">
        <v>590</v>
      </c>
      <c r="E232" t="s">
        <v>1985</v>
      </c>
      <c r="F232" t="s">
        <v>4</v>
      </c>
      <c r="G232">
        <v>136</v>
      </c>
      <c r="H232" t="s">
        <v>5</v>
      </c>
      <c r="I232">
        <v>122</v>
      </c>
      <c r="J232" t="s">
        <v>6</v>
      </c>
      <c r="K232">
        <v>12.7269920024403</v>
      </c>
      <c r="L232" t="s">
        <v>7</v>
      </c>
      <c r="M232">
        <v>9.3580823547355405E-2</v>
      </c>
      <c r="N232" t="s">
        <v>8</v>
      </c>
      <c r="O232">
        <v>0.29817206559377302</v>
      </c>
      <c r="P232" t="s">
        <v>9</v>
      </c>
      <c r="Q232">
        <v>-1.6892857142857101</v>
      </c>
      <c r="R232" t="s">
        <v>10</v>
      </c>
      <c r="S232">
        <v>0.14729712255143701</v>
      </c>
      <c r="T232" t="s">
        <v>11</v>
      </c>
      <c r="U232" t="s">
        <v>2115</v>
      </c>
      <c r="V232" t="s">
        <v>2071</v>
      </c>
      <c r="W232">
        <v>0</v>
      </c>
      <c r="X232" t="s">
        <v>14</v>
      </c>
      <c r="Y232" t="s">
        <v>15</v>
      </c>
      <c r="Z232" t="s">
        <v>2116</v>
      </c>
      <c r="AA232" t="s">
        <v>2117</v>
      </c>
      <c r="AB232">
        <v>0</v>
      </c>
      <c r="AC232" t="s">
        <v>18</v>
      </c>
    </row>
    <row r="233" spans="1:29" x14ac:dyDescent="0.3">
      <c r="A233" t="s">
        <v>221</v>
      </c>
      <c r="B233" t="s">
        <v>1</v>
      </c>
      <c r="C233">
        <v>0.1</v>
      </c>
      <c r="D233" t="s">
        <v>590</v>
      </c>
      <c r="E233" t="s">
        <v>1988</v>
      </c>
      <c r="F233" t="s">
        <v>4</v>
      </c>
      <c r="G233">
        <v>136</v>
      </c>
      <c r="H233" t="s">
        <v>5</v>
      </c>
      <c r="I233">
        <v>123</v>
      </c>
      <c r="J233" t="s">
        <v>6</v>
      </c>
      <c r="K233">
        <v>11.7269920024403</v>
      </c>
      <c r="L233" t="s">
        <v>7</v>
      </c>
      <c r="M233">
        <v>8.6227882370884801E-2</v>
      </c>
      <c r="N233" t="s">
        <v>8</v>
      </c>
      <c r="O233">
        <v>0.29778042278406702</v>
      </c>
      <c r="P233" t="s">
        <v>9</v>
      </c>
      <c r="Q233">
        <v>-1.9153846153846099</v>
      </c>
      <c r="R233" t="s">
        <v>10</v>
      </c>
      <c r="S233">
        <v>0.1516064560622</v>
      </c>
      <c r="T233" t="s">
        <v>11</v>
      </c>
      <c r="U233" t="s">
        <v>2115</v>
      </c>
      <c r="V233" t="s">
        <v>2071</v>
      </c>
      <c r="W233">
        <v>0</v>
      </c>
      <c r="X233" t="s">
        <v>14</v>
      </c>
      <c r="Y233" t="s">
        <v>15</v>
      </c>
      <c r="Z233" t="s">
        <v>2116</v>
      </c>
      <c r="AA233" t="s">
        <v>2117</v>
      </c>
      <c r="AB233">
        <v>0</v>
      </c>
      <c r="AC233" t="s">
        <v>18</v>
      </c>
    </row>
    <row r="234" spans="1:29" x14ac:dyDescent="0.3">
      <c r="A234" t="s">
        <v>221</v>
      </c>
      <c r="B234" t="s">
        <v>1</v>
      </c>
      <c r="C234">
        <v>0.1</v>
      </c>
      <c r="D234" t="s">
        <v>599</v>
      </c>
      <c r="E234" t="s">
        <v>1991</v>
      </c>
      <c r="F234" t="s">
        <v>4</v>
      </c>
      <c r="G234">
        <v>128</v>
      </c>
      <c r="H234" t="s">
        <v>5</v>
      </c>
      <c r="I234">
        <v>93</v>
      </c>
      <c r="J234" t="s">
        <v>6</v>
      </c>
      <c r="K234">
        <v>6.0662502177162496</v>
      </c>
      <c r="L234" t="s">
        <v>7</v>
      </c>
      <c r="M234">
        <v>4.73925798259082E-2</v>
      </c>
      <c r="N234" t="s">
        <v>8</v>
      </c>
      <c r="O234">
        <v>0.38168010986791601</v>
      </c>
      <c r="P234" t="s">
        <v>9</v>
      </c>
      <c r="Q234">
        <v>-0.84085714285714297</v>
      </c>
      <c r="R234" t="s">
        <v>10</v>
      </c>
      <c r="S234">
        <v>0.11029445789390201</v>
      </c>
      <c r="T234" t="s">
        <v>11</v>
      </c>
      <c r="U234" t="s">
        <v>2115</v>
      </c>
      <c r="V234" t="s">
        <v>2071</v>
      </c>
      <c r="W234">
        <v>0</v>
      </c>
      <c r="X234" t="s">
        <v>14</v>
      </c>
      <c r="Y234" t="s">
        <v>15</v>
      </c>
      <c r="Z234" t="s">
        <v>2115</v>
      </c>
      <c r="AA234" t="s">
        <v>2071</v>
      </c>
      <c r="AB234">
        <v>0</v>
      </c>
      <c r="AC234" t="s">
        <v>18</v>
      </c>
    </row>
    <row r="235" spans="1:29" x14ac:dyDescent="0.3">
      <c r="A235" t="s">
        <v>221</v>
      </c>
      <c r="B235" t="s">
        <v>1</v>
      </c>
      <c r="C235">
        <v>0.1</v>
      </c>
      <c r="D235" t="s">
        <v>599</v>
      </c>
      <c r="E235" t="s">
        <v>1994</v>
      </c>
      <c r="F235" t="s">
        <v>4</v>
      </c>
      <c r="G235">
        <v>128</v>
      </c>
      <c r="H235" t="s">
        <v>5</v>
      </c>
      <c r="I235">
        <v>107</v>
      </c>
      <c r="J235" t="s">
        <v>6</v>
      </c>
      <c r="K235">
        <v>9.1862502177162497</v>
      </c>
      <c r="L235" t="s">
        <v>7</v>
      </c>
      <c r="M235">
        <v>7.1767579825908201E-2</v>
      </c>
      <c r="N235" t="s">
        <v>8</v>
      </c>
      <c r="O235">
        <v>0.37846962820295499</v>
      </c>
      <c r="P235" t="s">
        <v>9</v>
      </c>
      <c r="Q235">
        <v>-1.4909523809523799</v>
      </c>
      <c r="R235" t="s">
        <v>10</v>
      </c>
      <c r="S235">
        <v>0.13746243164144101</v>
      </c>
      <c r="T235" t="s">
        <v>11</v>
      </c>
      <c r="U235" t="s">
        <v>2115</v>
      </c>
      <c r="V235" t="s">
        <v>2071</v>
      </c>
      <c r="W235">
        <v>0</v>
      </c>
      <c r="X235" t="s">
        <v>14</v>
      </c>
      <c r="Y235" t="s">
        <v>15</v>
      </c>
      <c r="Z235" t="s">
        <v>2115</v>
      </c>
      <c r="AA235" t="s">
        <v>2071</v>
      </c>
      <c r="AB235">
        <v>0</v>
      </c>
      <c r="AC235" t="s">
        <v>18</v>
      </c>
    </row>
    <row r="236" spans="1:29" x14ac:dyDescent="0.3">
      <c r="A236" t="s">
        <v>221</v>
      </c>
      <c r="B236" t="s">
        <v>1</v>
      </c>
      <c r="C236">
        <v>0.1</v>
      </c>
      <c r="D236" t="s">
        <v>599</v>
      </c>
      <c r="E236" t="s">
        <v>1996</v>
      </c>
      <c r="F236" t="s">
        <v>4</v>
      </c>
      <c r="G236">
        <v>128</v>
      </c>
      <c r="H236" t="s">
        <v>5</v>
      </c>
      <c r="I236">
        <v>112</v>
      </c>
      <c r="J236" t="s">
        <v>6</v>
      </c>
      <c r="K236">
        <v>10.0262502177162</v>
      </c>
      <c r="L236" t="s">
        <v>7</v>
      </c>
      <c r="M236">
        <v>7.83300798259082E-2</v>
      </c>
      <c r="N236" t="s">
        <v>8</v>
      </c>
      <c r="O236">
        <v>0.38460937694389502</v>
      </c>
      <c r="P236" t="s">
        <v>9</v>
      </c>
      <c r="Q236">
        <v>-2.0656249999999998</v>
      </c>
      <c r="R236" t="s">
        <v>10</v>
      </c>
      <c r="S236">
        <v>0.16875591794329201</v>
      </c>
      <c r="T236" t="s">
        <v>11</v>
      </c>
      <c r="U236" t="s">
        <v>2115</v>
      </c>
      <c r="V236" t="s">
        <v>2071</v>
      </c>
      <c r="W236">
        <v>0</v>
      </c>
      <c r="X236" t="s">
        <v>14</v>
      </c>
      <c r="Y236" t="s">
        <v>15</v>
      </c>
      <c r="Z236" t="s">
        <v>2116</v>
      </c>
      <c r="AA236" t="s">
        <v>2117</v>
      </c>
      <c r="AB236">
        <v>0</v>
      </c>
      <c r="AC236" t="s">
        <v>18</v>
      </c>
    </row>
    <row r="237" spans="1:29" x14ac:dyDescent="0.3">
      <c r="A237" t="s">
        <v>221</v>
      </c>
      <c r="B237" t="s">
        <v>1</v>
      </c>
      <c r="C237">
        <v>0.1</v>
      </c>
      <c r="D237" t="s">
        <v>599</v>
      </c>
      <c r="E237" t="s">
        <v>1997</v>
      </c>
      <c r="F237" t="s">
        <v>4</v>
      </c>
      <c r="G237">
        <v>128</v>
      </c>
      <c r="H237" t="s">
        <v>5</v>
      </c>
      <c r="I237">
        <v>118</v>
      </c>
      <c r="J237" t="s">
        <v>6</v>
      </c>
      <c r="K237">
        <v>15.556250217716199</v>
      </c>
      <c r="L237" t="s">
        <v>7</v>
      </c>
      <c r="M237">
        <v>0.121533204825908</v>
      </c>
      <c r="N237" t="s">
        <v>8</v>
      </c>
      <c r="O237">
        <v>0.38640890015013701</v>
      </c>
      <c r="P237" t="s">
        <v>9</v>
      </c>
      <c r="Q237">
        <v>-3.004</v>
      </c>
      <c r="R237" t="s">
        <v>10</v>
      </c>
      <c r="S237">
        <v>0.201943842132357</v>
      </c>
      <c r="T237" t="s">
        <v>11</v>
      </c>
      <c r="U237" t="s">
        <v>2118</v>
      </c>
      <c r="V237" t="s">
        <v>2013</v>
      </c>
      <c r="W237">
        <v>0</v>
      </c>
      <c r="X237" t="s">
        <v>14</v>
      </c>
      <c r="Y237" t="s">
        <v>15</v>
      </c>
      <c r="Z237" t="s">
        <v>2118</v>
      </c>
      <c r="AA237" t="s">
        <v>2013</v>
      </c>
      <c r="AB237">
        <v>0</v>
      </c>
      <c r="AC237" t="s">
        <v>18</v>
      </c>
    </row>
    <row r="238" spans="1:29" x14ac:dyDescent="0.3">
      <c r="A238" t="s">
        <v>221</v>
      </c>
      <c r="B238" t="s">
        <v>1</v>
      </c>
      <c r="C238">
        <v>0.1</v>
      </c>
      <c r="D238" t="s">
        <v>1998</v>
      </c>
      <c r="E238" t="s">
        <v>1999</v>
      </c>
      <c r="F238" t="s">
        <v>4</v>
      </c>
      <c r="G238">
        <v>127</v>
      </c>
      <c r="H238" t="s">
        <v>5</v>
      </c>
      <c r="I238">
        <v>91</v>
      </c>
      <c r="J238" t="s">
        <v>6</v>
      </c>
      <c r="K238">
        <v>9.2243173962449205</v>
      </c>
      <c r="L238" t="s">
        <v>7</v>
      </c>
      <c r="M238">
        <v>7.2632420442873394E-2</v>
      </c>
      <c r="N238" t="s">
        <v>8</v>
      </c>
      <c r="O238">
        <v>0.48743612898934202</v>
      </c>
      <c r="P238" t="s">
        <v>9</v>
      </c>
      <c r="Q238">
        <v>-0.97589917616070199</v>
      </c>
      <c r="R238" t="s">
        <v>10</v>
      </c>
      <c r="S238">
        <v>0.140954954287239</v>
      </c>
      <c r="T238" t="s">
        <v>11</v>
      </c>
      <c r="U238" t="s">
        <v>2119</v>
      </c>
      <c r="V238" t="s">
        <v>2071</v>
      </c>
      <c r="W238">
        <v>0</v>
      </c>
      <c r="X238" t="s">
        <v>14</v>
      </c>
      <c r="Y238" t="s">
        <v>15</v>
      </c>
      <c r="Z238" t="s">
        <v>2119</v>
      </c>
      <c r="AA238" t="s">
        <v>2071</v>
      </c>
      <c r="AB238">
        <v>0</v>
      </c>
      <c r="AC238" t="s">
        <v>18</v>
      </c>
    </row>
    <row r="239" spans="1:29" x14ac:dyDescent="0.3">
      <c r="A239" t="s">
        <v>221</v>
      </c>
      <c r="B239" t="s">
        <v>1</v>
      </c>
      <c r="C239">
        <v>0.1</v>
      </c>
      <c r="D239" t="s">
        <v>1998</v>
      </c>
      <c r="E239" t="s">
        <v>2002</v>
      </c>
      <c r="F239" t="s">
        <v>4</v>
      </c>
      <c r="G239">
        <v>127</v>
      </c>
      <c r="H239" t="s">
        <v>5</v>
      </c>
      <c r="I239">
        <v>103</v>
      </c>
      <c r="J239" t="s">
        <v>6</v>
      </c>
      <c r="K239">
        <v>5.4248558715810304</v>
      </c>
      <c r="L239" t="s">
        <v>7</v>
      </c>
      <c r="M239">
        <v>4.2715400563630199E-2</v>
      </c>
      <c r="N239" t="s">
        <v>8</v>
      </c>
      <c r="O239">
        <v>0.47987077461150202</v>
      </c>
      <c r="P239" t="s">
        <v>9</v>
      </c>
      <c r="Q239">
        <v>-1.83340974639182</v>
      </c>
      <c r="R239" t="s">
        <v>10</v>
      </c>
      <c r="S239">
        <v>0.193227366510825</v>
      </c>
      <c r="T239" t="s">
        <v>11</v>
      </c>
      <c r="U239" t="s">
        <v>2119</v>
      </c>
      <c r="V239" t="s">
        <v>2071</v>
      </c>
      <c r="W239">
        <v>0</v>
      </c>
      <c r="X239" t="s">
        <v>14</v>
      </c>
      <c r="Y239" t="s">
        <v>15</v>
      </c>
      <c r="Z239" t="s">
        <v>201</v>
      </c>
      <c r="AA239" t="s">
        <v>2084</v>
      </c>
      <c r="AB239">
        <v>0</v>
      </c>
      <c r="AC239" t="s">
        <v>18</v>
      </c>
    </row>
    <row r="240" spans="1:29" x14ac:dyDescent="0.3">
      <c r="A240" t="s">
        <v>221</v>
      </c>
      <c r="B240" t="s">
        <v>1</v>
      </c>
      <c r="C240">
        <v>0.1</v>
      </c>
      <c r="D240" t="s">
        <v>1998</v>
      </c>
      <c r="E240" t="s">
        <v>2004</v>
      </c>
      <c r="F240" t="s">
        <v>4</v>
      </c>
      <c r="G240">
        <v>127</v>
      </c>
      <c r="H240" t="s">
        <v>5</v>
      </c>
      <c r="I240">
        <v>110</v>
      </c>
      <c r="J240" t="s">
        <v>6</v>
      </c>
      <c r="K240">
        <v>8.47485587158104</v>
      </c>
      <c r="L240" t="s">
        <v>7</v>
      </c>
      <c r="M240">
        <v>6.6731148595126299E-2</v>
      </c>
      <c r="N240" t="s">
        <v>8</v>
      </c>
      <c r="O240">
        <v>0.47504157995354401</v>
      </c>
      <c r="P240" t="s">
        <v>9</v>
      </c>
      <c r="Q240">
        <v>-2.5752775249005202</v>
      </c>
      <c r="R240" t="s">
        <v>10</v>
      </c>
      <c r="S240">
        <v>0.21614695813936199</v>
      </c>
      <c r="T240" t="s">
        <v>11</v>
      </c>
      <c r="U240" t="s">
        <v>2119</v>
      </c>
      <c r="V240" t="s">
        <v>2071</v>
      </c>
      <c r="W240">
        <v>0</v>
      </c>
      <c r="X240" t="s">
        <v>14</v>
      </c>
      <c r="Y240" t="s">
        <v>15</v>
      </c>
      <c r="Z240" t="s">
        <v>2120</v>
      </c>
      <c r="AA240" t="s">
        <v>2084</v>
      </c>
      <c r="AB240">
        <v>0</v>
      </c>
      <c r="AC240" t="s">
        <v>18</v>
      </c>
    </row>
    <row r="241" spans="1:29" x14ac:dyDescent="0.3">
      <c r="A241" t="s">
        <v>221</v>
      </c>
      <c r="B241" t="s">
        <v>1</v>
      </c>
      <c r="C241">
        <v>0.1</v>
      </c>
      <c r="D241" t="s">
        <v>1998</v>
      </c>
      <c r="E241" t="s">
        <v>2005</v>
      </c>
      <c r="F241" t="s">
        <v>4</v>
      </c>
      <c r="G241">
        <v>127</v>
      </c>
      <c r="H241" t="s">
        <v>5</v>
      </c>
      <c r="I241">
        <v>115</v>
      </c>
      <c r="J241" t="s">
        <v>6</v>
      </c>
      <c r="K241">
        <v>7.3348558715810404</v>
      </c>
      <c r="L241" t="s">
        <v>7</v>
      </c>
      <c r="M241">
        <v>5.7754770642370397E-2</v>
      </c>
      <c r="N241" t="s">
        <v>8</v>
      </c>
      <c r="O241">
        <v>0.47369194604252002</v>
      </c>
      <c r="P241" t="s">
        <v>9</v>
      </c>
      <c r="Q241">
        <v>-3.9283098269423999</v>
      </c>
      <c r="R241" t="s">
        <v>10</v>
      </c>
      <c r="S241">
        <v>0.24671059400651099</v>
      </c>
      <c r="T241" t="s">
        <v>11</v>
      </c>
      <c r="U241" t="s">
        <v>2110</v>
      </c>
      <c r="V241" t="s">
        <v>2084</v>
      </c>
      <c r="W241">
        <v>0</v>
      </c>
      <c r="X241" t="s">
        <v>14</v>
      </c>
      <c r="Y241" t="s">
        <v>15</v>
      </c>
      <c r="Z241" t="s">
        <v>2120</v>
      </c>
      <c r="AA241" t="s">
        <v>2084</v>
      </c>
      <c r="AB241">
        <v>0</v>
      </c>
      <c r="AC241" t="s">
        <v>18</v>
      </c>
    </row>
    <row r="242" spans="1:29" x14ac:dyDescent="0.3">
      <c r="A242" t="s">
        <v>262</v>
      </c>
      <c r="B242" t="s">
        <v>1</v>
      </c>
      <c r="C242">
        <v>0.4</v>
      </c>
      <c r="D242" t="s">
        <v>590</v>
      </c>
      <c r="E242" t="s">
        <v>1979</v>
      </c>
      <c r="F242" t="s">
        <v>4</v>
      </c>
      <c r="G242">
        <v>375</v>
      </c>
      <c r="H242" t="s">
        <v>5</v>
      </c>
      <c r="I242">
        <v>248</v>
      </c>
      <c r="J242" t="s">
        <v>6</v>
      </c>
      <c r="K242">
        <v>-23.790000000000099</v>
      </c>
      <c r="L242" t="s">
        <v>7</v>
      </c>
      <c r="M242">
        <v>-6.3440000000000302E-2</v>
      </c>
      <c r="N242" t="s">
        <v>8</v>
      </c>
      <c r="O242">
        <v>1.8076612903225799</v>
      </c>
      <c r="P242" t="s">
        <v>9</v>
      </c>
      <c r="Q242">
        <v>-3.7172440944881902</v>
      </c>
      <c r="R242" t="s">
        <v>10</v>
      </c>
      <c r="S242">
        <v>1.6186201607205499</v>
      </c>
      <c r="T242" t="s">
        <v>11</v>
      </c>
      <c r="U242" t="s">
        <v>1980</v>
      </c>
      <c r="V242" t="s">
        <v>720</v>
      </c>
      <c r="W242">
        <v>0</v>
      </c>
      <c r="X242" t="s">
        <v>14</v>
      </c>
      <c r="Y242" t="s">
        <v>15</v>
      </c>
      <c r="Z242" t="s">
        <v>2121</v>
      </c>
      <c r="AA242" t="s">
        <v>720</v>
      </c>
      <c r="AB242">
        <v>0</v>
      </c>
      <c r="AC242" t="s">
        <v>18</v>
      </c>
    </row>
    <row r="243" spans="1:29" x14ac:dyDescent="0.3">
      <c r="A243" t="s">
        <v>262</v>
      </c>
      <c r="B243" t="s">
        <v>1</v>
      </c>
      <c r="C243">
        <v>0.4</v>
      </c>
      <c r="D243" t="s">
        <v>590</v>
      </c>
      <c r="E243" t="s">
        <v>1982</v>
      </c>
      <c r="F243" t="s">
        <v>4</v>
      </c>
      <c r="G243">
        <v>375</v>
      </c>
      <c r="H243" t="s">
        <v>5</v>
      </c>
      <c r="I243">
        <v>280</v>
      </c>
      <c r="J243" t="s">
        <v>6</v>
      </c>
      <c r="K243">
        <v>-0.36000000000003601</v>
      </c>
      <c r="L243" t="s">
        <v>7</v>
      </c>
      <c r="M243">
        <v>-9.6000000000009598E-4</v>
      </c>
      <c r="N243" t="s">
        <v>8</v>
      </c>
      <c r="O243">
        <v>1.8187499999999901</v>
      </c>
      <c r="P243" t="s">
        <v>9</v>
      </c>
      <c r="Q243">
        <v>-5.3643157894736797</v>
      </c>
      <c r="R243" t="s">
        <v>10</v>
      </c>
      <c r="S243">
        <v>2.2132978770507301</v>
      </c>
      <c r="T243" t="s">
        <v>11</v>
      </c>
      <c r="U243" t="s">
        <v>1980</v>
      </c>
      <c r="V243" t="s">
        <v>720</v>
      </c>
      <c r="W243">
        <v>0</v>
      </c>
      <c r="X243" t="s">
        <v>14</v>
      </c>
      <c r="Y243" t="s">
        <v>15</v>
      </c>
      <c r="Z243" t="s">
        <v>2122</v>
      </c>
      <c r="AA243" t="s">
        <v>2123</v>
      </c>
      <c r="AB243">
        <v>0</v>
      </c>
      <c r="AC243" t="s">
        <v>18</v>
      </c>
    </row>
    <row r="244" spans="1:29" x14ac:dyDescent="0.3">
      <c r="A244" t="s">
        <v>262</v>
      </c>
      <c r="B244" t="s">
        <v>1</v>
      </c>
      <c r="C244">
        <v>0.4</v>
      </c>
      <c r="D244" t="s">
        <v>590</v>
      </c>
      <c r="E244" t="s">
        <v>1985</v>
      </c>
      <c r="F244" t="s">
        <v>4</v>
      </c>
      <c r="G244">
        <v>375</v>
      </c>
      <c r="H244" t="s">
        <v>5</v>
      </c>
      <c r="I244">
        <v>283</v>
      </c>
      <c r="J244" t="s">
        <v>6</v>
      </c>
      <c r="K244">
        <v>-61.589999999999897</v>
      </c>
      <c r="L244" t="s">
        <v>7</v>
      </c>
      <c r="M244">
        <v>-0.164239999999999</v>
      </c>
      <c r="N244" t="s">
        <v>8</v>
      </c>
      <c r="O244">
        <v>1.8125441696113</v>
      </c>
      <c r="P244" t="s">
        <v>9</v>
      </c>
      <c r="Q244">
        <v>-6.2449999999999903</v>
      </c>
      <c r="R244" t="s">
        <v>10</v>
      </c>
      <c r="S244">
        <v>2.5364693768514099</v>
      </c>
      <c r="T244" t="s">
        <v>11</v>
      </c>
      <c r="U244" t="s">
        <v>1980</v>
      </c>
      <c r="V244" t="s">
        <v>720</v>
      </c>
      <c r="W244">
        <v>0</v>
      </c>
      <c r="X244" t="s">
        <v>14</v>
      </c>
      <c r="Y244" t="s">
        <v>15</v>
      </c>
      <c r="Z244" t="s">
        <v>2122</v>
      </c>
      <c r="AA244" t="s">
        <v>2123</v>
      </c>
      <c r="AB244">
        <v>0</v>
      </c>
      <c r="AC244" t="s">
        <v>18</v>
      </c>
    </row>
    <row r="245" spans="1:29" x14ac:dyDescent="0.3">
      <c r="A245" t="s">
        <v>262</v>
      </c>
      <c r="B245" t="s">
        <v>1</v>
      </c>
      <c r="C245">
        <v>0.4</v>
      </c>
      <c r="D245" t="s">
        <v>590</v>
      </c>
      <c r="E245" t="s">
        <v>1988</v>
      </c>
      <c r="F245" t="s">
        <v>4</v>
      </c>
      <c r="G245">
        <v>375</v>
      </c>
      <c r="H245" t="s">
        <v>5</v>
      </c>
      <c r="I245">
        <v>284</v>
      </c>
      <c r="J245" t="s">
        <v>6</v>
      </c>
      <c r="K245">
        <v>-100.019999999999</v>
      </c>
      <c r="L245" t="s">
        <v>7</v>
      </c>
      <c r="M245">
        <v>-0.26671999999999901</v>
      </c>
      <c r="N245" t="s">
        <v>8</v>
      </c>
      <c r="O245">
        <v>1.8123591549295699</v>
      </c>
      <c r="P245" t="s">
        <v>9</v>
      </c>
      <c r="Q245">
        <v>-6.7552747252747203</v>
      </c>
      <c r="R245" t="s">
        <v>10</v>
      </c>
      <c r="S245">
        <v>2.8090526365597599</v>
      </c>
      <c r="T245" t="s">
        <v>11</v>
      </c>
      <c r="U245" t="s">
        <v>1980</v>
      </c>
      <c r="V245" t="s">
        <v>720</v>
      </c>
      <c r="W245">
        <v>0</v>
      </c>
      <c r="X245" t="s">
        <v>14</v>
      </c>
      <c r="Y245" t="s">
        <v>15</v>
      </c>
      <c r="Z245" t="s">
        <v>2124</v>
      </c>
      <c r="AA245" t="s">
        <v>718</v>
      </c>
      <c r="AB245">
        <v>0</v>
      </c>
      <c r="AC245" t="s">
        <v>18</v>
      </c>
    </row>
    <row r="246" spans="1:29" x14ac:dyDescent="0.3">
      <c r="A246" t="s">
        <v>262</v>
      </c>
      <c r="B246" t="s">
        <v>1</v>
      </c>
      <c r="C246">
        <v>0.4</v>
      </c>
      <c r="D246" t="s">
        <v>599</v>
      </c>
      <c r="E246" t="s">
        <v>1991</v>
      </c>
      <c r="F246" t="s">
        <v>4</v>
      </c>
      <c r="G246">
        <v>376</v>
      </c>
      <c r="H246" t="s">
        <v>5</v>
      </c>
      <c r="I246">
        <v>251</v>
      </c>
      <c r="J246" t="s">
        <v>6</v>
      </c>
      <c r="K246">
        <v>1.1299999999999299</v>
      </c>
      <c r="L246" t="s">
        <v>7</v>
      </c>
      <c r="M246">
        <v>3.0053191489359801E-3</v>
      </c>
      <c r="N246" t="s">
        <v>8</v>
      </c>
      <c r="O246">
        <v>2.2309163346613499</v>
      </c>
      <c r="P246" t="s">
        <v>9</v>
      </c>
      <c r="Q246">
        <v>-4.4706399999999897</v>
      </c>
      <c r="R246" t="s">
        <v>10</v>
      </c>
      <c r="S246">
        <v>1.72164841022899</v>
      </c>
      <c r="T246" t="s">
        <v>11</v>
      </c>
      <c r="U246" t="s">
        <v>1992</v>
      </c>
      <c r="V246" t="s">
        <v>720</v>
      </c>
      <c r="W246">
        <v>0</v>
      </c>
      <c r="X246" t="s">
        <v>14</v>
      </c>
      <c r="Y246" t="s">
        <v>15</v>
      </c>
      <c r="Z246" t="s">
        <v>2125</v>
      </c>
      <c r="AA246" t="s">
        <v>720</v>
      </c>
      <c r="AB246">
        <v>0</v>
      </c>
      <c r="AC246" t="s">
        <v>18</v>
      </c>
    </row>
    <row r="247" spans="1:29" x14ac:dyDescent="0.3">
      <c r="A247" t="s">
        <v>262</v>
      </c>
      <c r="B247" t="s">
        <v>1</v>
      </c>
      <c r="C247">
        <v>0.4</v>
      </c>
      <c r="D247" t="s">
        <v>599</v>
      </c>
      <c r="E247" t="s">
        <v>1994</v>
      </c>
      <c r="F247" t="s">
        <v>4</v>
      </c>
      <c r="G247">
        <v>376</v>
      </c>
      <c r="H247" t="s">
        <v>5</v>
      </c>
      <c r="I247">
        <v>286</v>
      </c>
      <c r="J247" t="s">
        <v>6</v>
      </c>
      <c r="K247">
        <v>-22.001965021530999</v>
      </c>
      <c r="L247" t="s">
        <v>7</v>
      </c>
      <c r="M247">
        <v>-5.8515864418965502E-2</v>
      </c>
      <c r="N247" t="s">
        <v>8</v>
      </c>
      <c r="O247">
        <v>2.2081468531468502</v>
      </c>
      <c r="P247" t="s">
        <v>9</v>
      </c>
      <c r="Q247">
        <v>-7.2614662780170001</v>
      </c>
      <c r="R247" t="s">
        <v>10</v>
      </c>
      <c r="S247">
        <v>2.2613112931002801</v>
      </c>
      <c r="T247" t="s">
        <v>11</v>
      </c>
      <c r="U247" t="s">
        <v>1992</v>
      </c>
      <c r="V247" t="s">
        <v>720</v>
      </c>
      <c r="W247">
        <v>0</v>
      </c>
      <c r="X247" t="s">
        <v>14</v>
      </c>
      <c r="Y247" t="s">
        <v>15</v>
      </c>
      <c r="Z247" t="s">
        <v>2126</v>
      </c>
      <c r="AA247" t="s">
        <v>2123</v>
      </c>
      <c r="AB247">
        <v>0</v>
      </c>
      <c r="AC247" t="s">
        <v>18</v>
      </c>
    </row>
    <row r="248" spans="1:29" x14ac:dyDescent="0.3">
      <c r="A248" t="s">
        <v>262</v>
      </c>
      <c r="B248" t="s">
        <v>1</v>
      </c>
      <c r="C248">
        <v>0.4</v>
      </c>
      <c r="D248" t="s">
        <v>599</v>
      </c>
      <c r="E248" t="s">
        <v>1996</v>
      </c>
      <c r="F248" t="s">
        <v>4</v>
      </c>
      <c r="G248">
        <v>376</v>
      </c>
      <c r="H248" t="s">
        <v>5</v>
      </c>
      <c r="I248">
        <v>293</v>
      </c>
      <c r="J248" t="s">
        <v>6</v>
      </c>
      <c r="K248">
        <v>12.5200000000003</v>
      </c>
      <c r="L248" t="s">
        <v>7</v>
      </c>
      <c r="M248">
        <v>3.3297872340426499E-2</v>
      </c>
      <c r="N248" t="s">
        <v>8</v>
      </c>
      <c r="O248">
        <v>2.2135494880545998</v>
      </c>
      <c r="P248" t="s">
        <v>9</v>
      </c>
      <c r="Q248">
        <v>-7.6632530120481803</v>
      </c>
      <c r="R248" t="s">
        <v>10</v>
      </c>
      <c r="S248">
        <v>2.6479906253775201</v>
      </c>
      <c r="T248" t="s">
        <v>11</v>
      </c>
      <c r="U248" t="s">
        <v>1992</v>
      </c>
      <c r="V248" t="s">
        <v>720</v>
      </c>
      <c r="W248">
        <v>0</v>
      </c>
      <c r="X248" t="s">
        <v>14</v>
      </c>
      <c r="Y248" t="s">
        <v>15</v>
      </c>
      <c r="Z248" t="s">
        <v>2126</v>
      </c>
      <c r="AA248" t="s">
        <v>2123</v>
      </c>
      <c r="AB248">
        <v>0</v>
      </c>
      <c r="AC248" t="s">
        <v>18</v>
      </c>
    </row>
    <row r="249" spans="1:29" x14ac:dyDescent="0.3">
      <c r="A249" t="s">
        <v>262</v>
      </c>
      <c r="B249" t="s">
        <v>1</v>
      </c>
      <c r="C249">
        <v>0.4</v>
      </c>
      <c r="D249" t="s">
        <v>599</v>
      </c>
      <c r="E249" t="s">
        <v>1997</v>
      </c>
      <c r="F249" t="s">
        <v>4</v>
      </c>
      <c r="G249">
        <v>376</v>
      </c>
      <c r="H249" t="s">
        <v>5</v>
      </c>
      <c r="I249">
        <v>294</v>
      </c>
      <c r="J249" t="s">
        <v>6</v>
      </c>
      <c r="K249">
        <v>-52.909999999999599</v>
      </c>
      <c r="L249" t="s">
        <v>7</v>
      </c>
      <c r="M249">
        <v>-0.14071808510638101</v>
      </c>
      <c r="N249" t="s">
        <v>8</v>
      </c>
      <c r="O249">
        <v>2.2120068027210902</v>
      </c>
      <c r="P249" t="s">
        <v>9</v>
      </c>
      <c r="Q249">
        <v>-8.5760975609755992</v>
      </c>
      <c r="R249" t="s">
        <v>10</v>
      </c>
      <c r="S249">
        <v>2.8616444401034098</v>
      </c>
      <c r="T249" t="s">
        <v>11</v>
      </c>
      <c r="U249" t="s">
        <v>1992</v>
      </c>
      <c r="V249" t="s">
        <v>720</v>
      </c>
      <c r="W249">
        <v>0</v>
      </c>
      <c r="X249" t="s">
        <v>14</v>
      </c>
      <c r="Y249" t="s">
        <v>15</v>
      </c>
      <c r="Z249" t="s">
        <v>2127</v>
      </c>
      <c r="AA249" t="s">
        <v>718</v>
      </c>
      <c r="AB249">
        <v>0</v>
      </c>
      <c r="AC249" t="s">
        <v>18</v>
      </c>
    </row>
    <row r="250" spans="1:29" x14ac:dyDescent="0.3">
      <c r="A250" t="s">
        <v>262</v>
      </c>
      <c r="B250" t="s">
        <v>1</v>
      </c>
      <c r="C250">
        <v>0.4</v>
      </c>
      <c r="D250" t="s">
        <v>1998</v>
      </c>
      <c r="E250" t="s">
        <v>1999</v>
      </c>
      <c r="F250" t="s">
        <v>4</v>
      </c>
      <c r="G250">
        <v>370</v>
      </c>
      <c r="H250" t="s">
        <v>5</v>
      </c>
      <c r="I250">
        <v>249</v>
      </c>
      <c r="J250" t="s">
        <v>6</v>
      </c>
      <c r="K250">
        <v>-1.06059430430931</v>
      </c>
      <c r="L250" t="s">
        <v>7</v>
      </c>
      <c r="M250">
        <v>-2.8664710927278798E-3</v>
      </c>
      <c r="N250" t="s">
        <v>8</v>
      </c>
      <c r="O250">
        <v>2.6453917015469299</v>
      </c>
      <c r="P250" t="s">
        <v>9</v>
      </c>
      <c r="Q250">
        <v>-5.45258783462394</v>
      </c>
      <c r="R250" t="s">
        <v>10</v>
      </c>
      <c r="S250">
        <v>1.90059189357045</v>
      </c>
      <c r="T250" t="s">
        <v>11</v>
      </c>
      <c r="U250" t="s">
        <v>2128</v>
      </c>
      <c r="V250" t="s">
        <v>720</v>
      </c>
      <c r="W250">
        <v>0</v>
      </c>
      <c r="X250" t="s">
        <v>14</v>
      </c>
      <c r="Y250" t="s">
        <v>15</v>
      </c>
      <c r="Z250" t="s">
        <v>2129</v>
      </c>
      <c r="AA250" t="s">
        <v>595</v>
      </c>
      <c r="AB250">
        <v>0</v>
      </c>
      <c r="AC250" t="s">
        <v>18</v>
      </c>
    </row>
    <row r="251" spans="1:29" x14ac:dyDescent="0.3">
      <c r="A251" t="s">
        <v>262</v>
      </c>
      <c r="B251" t="s">
        <v>1</v>
      </c>
      <c r="C251">
        <v>0.4</v>
      </c>
      <c r="D251" t="s">
        <v>1998</v>
      </c>
      <c r="E251" t="s">
        <v>2002</v>
      </c>
      <c r="F251" t="s">
        <v>4</v>
      </c>
      <c r="G251">
        <v>370</v>
      </c>
      <c r="H251" t="s">
        <v>5</v>
      </c>
      <c r="I251">
        <v>292</v>
      </c>
      <c r="J251" t="s">
        <v>6</v>
      </c>
      <c r="K251">
        <v>55.177440674159499</v>
      </c>
      <c r="L251" t="s">
        <v>7</v>
      </c>
      <c r="M251">
        <v>0.14912821803826901</v>
      </c>
      <c r="N251" t="s">
        <v>8</v>
      </c>
      <c r="O251">
        <v>2.6808990879629699</v>
      </c>
      <c r="P251" t="s">
        <v>9</v>
      </c>
      <c r="Q251">
        <v>-9.3287832437311309</v>
      </c>
      <c r="R251" t="s">
        <v>10</v>
      </c>
      <c r="S251">
        <v>2.8549417434160498</v>
      </c>
      <c r="T251" t="s">
        <v>11</v>
      </c>
      <c r="U251" t="s">
        <v>2128</v>
      </c>
      <c r="V251" t="s">
        <v>720</v>
      </c>
      <c r="W251">
        <v>0</v>
      </c>
      <c r="X251" t="s">
        <v>14</v>
      </c>
      <c r="Y251" t="s">
        <v>15</v>
      </c>
      <c r="Z251" t="s">
        <v>2130</v>
      </c>
      <c r="AA251" t="s">
        <v>1987</v>
      </c>
      <c r="AB251">
        <v>0</v>
      </c>
      <c r="AC251" t="s">
        <v>18</v>
      </c>
    </row>
    <row r="252" spans="1:29" x14ac:dyDescent="0.3">
      <c r="A252" t="s">
        <v>262</v>
      </c>
      <c r="B252" t="s">
        <v>1</v>
      </c>
      <c r="C252">
        <v>0.4</v>
      </c>
      <c r="D252" t="s">
        <v>1998</v>
      </c>
      <c r="E252" t="s">
        <v>2004</v>
      </c>
      <c r="F252" t="s">
        <v>4</v>
      </c>
      <c r="G252">
        <v>370</v>
      </c>
      <c r="H252" t="s">
        <v>5</v>
      </c>
      <c r="I252">
        <v>305</v>
      </c>
      <c r="J252" t="s">
        <v>6</v>
      </c>
      <c r="K252">
        <v>96.019405695690907</v>
      </c>
      <c r="L252" t="s">
        <v>7</v>
      </c>
      <c r="M252">
        <v>0.25951190728565099</v>
      </c>
      <c r="N252" t="s">
        <v>8</v>
      </c>
      <c r="O252">
        <v>2.6751230612628998</v>
      </c>
      <c r="P252" t="s">
        <v>9</v>
      </c>
      <c r="Q252">
        <v>-11.0752788921461</v>
      </c>
      <c r="R252" t="s">
        <v>10</v>
      </c>
      <c r="S252">
        <v>3.2023839668262699</v>
      </c>
      <c r="T252" t="s">
        <v>11</v>
      </c>
      <c r="U252" t="s">
        <v>2128</v>
      </c>
      <c r="V252" t="s">
        <v>720</v>
      </c>
      <c r="W252">
        <v>0</v>
      </c>
      <c r="X252" t="s">
        <v>14</v>
      </c>
      <c r="Y252" t="s">
        <v>15</v>
      </c>
      <c r="Z252" t="s">
        <v>2131</v>
      </c>
      <c r="AA252" t="s">
        <v>2132</v>
      </c>
      <c r="AB252">
        <v>0</v>
      </c>
      <c r="AC252" t="s">
        <v>18</v>
      </c>
    </row>
    <row r="253" spans="1:29" x14ac:dyDescent="0.3">
      <c r="A253" t="s">
        <v>262</v>
      </c>
      <c r="B253" t="s">
        <v>1</v>
      </c>
      <c r="C253">
        <v>0.4</v>
      </c>
      <c r="D253" t="s">
        <v>1998</v>
      </c>
      <c r="E253" t="s">
        <v>2005</v>
      </c>
      <c r="F253" t="s">
        <v>4</v>
      </c>
      <c r="G253">
        <v>370</v>
      </c>
      <c r="H253" t="s">
        <v>5</v>
      </c>
      <c r="I253">
        <v>306</v>
      </c>
      <c r="J253" t="s">
        <v>6</v>
      </c>
      <c r="K253">
        <v>49.209405695690997</v>
      </c>
      <c r="L253" t="s">
        <v>7</v>
      </c>
      <c r="M253">
        <v>0.13299839377213701</v>
      </c>
      <c r="N253" t="s">
        <v>8</v>
      </c>
      <c r="O253">
        <v>2.6702370381868801</v>
      </c>
      <c r="P253" t="s">
        <v>9</v>
      </c>
      <c r="Q253">
        <v>-11.9981738748358</v>
      </c>
      <c r="R253" t="s">
        <v>10</v>
      </c>
      <c r="S253">
        <v>3.5027305474789201</v>
      </c>
      <c r="T253" t="s">
        <v>11</v>
      </c>
      <c r="U253" t="s">
        <v>2128</v>
      </c>
      <c r="V253" t="s">
        <v>720</v>
      </c>
      <c r="W253">
        <v>0</v>
      </c>
      <c r="X253" t="s">
        <v>14</v>
      </c>
      <c r="Y253" t="s">
        <v>15</v>
      </c>
      <c r="Z253" t="s">
        <v>2133</v>
      </c>
      <c r="AA253" t="s">
        <v>2132</v>
      </c>
      <c r="AB253">
        <v>0</v>
      </c>
      <c r="AC253" t="s">
        <v>18</v>
      </c>
    </row>
    <row r="254" spans="1:29" x14ac:dyDescent="0.3">
      <c r="A254" t="s">
        <v>262</v>
      </c>
      <c r="B254" t="s">
        <v>1</v>
      </c>
      <c r="C254">
        <v>0.3</v>
      </c>
      <c r="D254" t="s">
        <v>590</v>
      </c>
      <c r="E254" t="s">
        <v>1979</v>
      </c>
      <c r="F254" t="s">
        <v>4</v>
      </c>
      <c r="G254">
        <v>375</v>
      </c>
      <c r="H254" t="s">
        <v>5</v>
      </c>
      <c r="I254">
        <v>258</v>
      </c>
      <c r="J254" t="s">
        <v>6</v>
      </c>
      <c r="K254">
        <v>-14.1</v>
      </c>
      <c r="L254" t="s">
        <v>7</v>
      </c>
      <c r="M254">
        <v>-3.7600000000000001E-2</v>
      </c>
      <c r="N254" t="s">
        <v>8</v>
      </c>
      <c r="O254">
        <v>1.19441860465116</v>
      </c>
      <c r="P254" t="s">
        <v>9</v>
      </c>
      <c r="Q254">
        <v>-2.7543589743589698</v>
      </c>
      <c r="R254" t="s">
        <v>10</v>
      </c>
      <c r="S254">
        <v>1.1610855766117101</v>
      </c>
      <c r="T254" t="s">
        <v>11</v>
      </c>
      <c r="U254" t="s">
        <v>2006</v>
      </c>
      <c r="V254" t="s">
        <v>720</v>
      </c>
      <c r="W254">
        <v>0</v>
      </c>
      <c r="X254" t="s">
        <v>14</v>
      </c>
      <c r="Y254" t="s">
        <v>15</v>
      </c>
      <c r="Z254" t="s">
        <v>2134</v>
      </c>
      <c r="AA254" t="s">
        <v>720</v>
      </c>
      <c r="AB254">
        <v>0</v>
      </c>
      <c r="AC254" t="s">
        <v>18</v>
      </c>
    </row>
    <row r="255" spans="1:29" x14ac:dyDescent="0.3">
      <c r="A255" t="s">
        <v>262</v>
      </c>
      <c r="B255" t="s">
        <v>1</v>
      </c>
      <c r="C255">
        <v>0.3</v>
      </c>
      <c r="D255" t="s">
        <v>590</v>
      </c>
      <c r="E255" t="s">
        <v>1982</v>
      </c>
      <c r="F255" t="s">
        <v>4</v>
      </c>
      <c r="G255">
        <v>375</v>
      </c>
      <c r="H255" t="s">
        <v>5</v>
      </c>
      <c r="I255">
        <v>298</v>
      </c>
      <c r="J255" t="s">
        <v>6</v>
      </c>
      <c r="K255">
        <v>10.26</v>
      </c>
      <c r="L255" t="s">
        <v>7</v>
      </c>
      <c r="M255">
        <v>2.73600000000002E-2</v>
      </c>
      <c r="N255" t="s">
        <v>8</v>
      </c>
      <c r="O255">
        <v>1.19694630872483</v>
      </c>
      <c r="P255" t="s">
        <v>9</v>
      </c>
      <c r="Q255">
        <v>-4.4990909090909001</v>
      </c>
      <c r="R255" t="s">
        <v>10</v>
      </c>
      <c r="S255">
        <v>1.5600324136668899</v>
      </c>
      <c r="T255" t="s">
        <v>11</v>
      </c>
      <c r="U255" t="s">
        <v>2006</v>
      </c>
      <c r="V255" t="s">
        <v>720</v>
      </c>
      <c r="W255">
        <v>0</v>
      </c>
      <c r="X255" t="s">
        <v>14</v>
      </c>
      <c r="Y255" t="s">
        <v>15</v>
      </c>
      <c r="Z255" t="s">
        <v>2135</v>
      </c>
      <c r="AA255" t="s">
        <v>2123</v>
      </c>
      <c r="AB255">
        <v>0</v>
      </c>
      <c r="AC255" t="s">
        <v>18</v>
      </c>
    </row>
    <row r="256" spans="1:29" x14ac:dyDescent="0.3">
      <c r="A256" t="s">
        <v>262</v>
      </c>
      <c r="B256" t="s">
        <v>1</v>
      </c>
      <c r="C256">
        <v>0.3</v>
      </c>
      <c r="D256" t="s">
        <v>590</v>
      </c>
      <c r="E256" t="s">
        <v>1985</v>
      </c>
      <c r="F256" t="s">
        <v>4</v>
      </c>
      <c r="G256">
        <v>375</v>
      </c>
      <c r="H256" t="s">
        <v>5</v>
      </c>
      <c r="I256">
        <v>309</v>
      </c>
      <c r="J256" t="s">
        <v>6</v>
      </c>
      <c r="K256">
        <v>11.3300000000001</v>
      </c>
      <c r="L256" t="s">
        <v>7</v>
      </c>
      <c r="M256">
        <v>3.0213333333333599E-2</v>
      </c>
      <c r="N256" t="s">
        <v>8</v>
      </c>
      <c r="O256">
        <v>1.1909708737864</v>
      </c>
      <c r="P256" t="s">
        <v>9</v>
      </c>
      <c r="Q256">
        <v>-5.4042424242424199</v>
      </c>
      <c r="R256" t="s">
        <v>10</v>
      </c>
      <c r="S256">
        <v>1.86516380055663</v>
      </c>
      <c r="T256" t="s">
        <v>11</v>
      </c>
      <c r="U256" t="s">
        <v>2006</v>
      </c>
      <c r="V256" t="s">
        <v>720</v>
      </c>
      <c r="W256">
        <v>0</v>
      </c>
      <c r="X256" t="s">
        <v>14</v>
      </c>
      <c r="Y256" t="s">
        <v>15</v>
      </c>
      <c r="Z256" t="s">
        <v>2136</v>
      </c>
      <c r="AA256" t="s">
        <v>718</v>
      </c>
      <c r="AB256">
        <v>0</v>
      </c>
      <c r="AC256" t="s">
        <v>18</v>
      </c>
    </row>
    <row r="257" spans="1:29" x14ac:dyDescent="0.3">
      <c r="A257" t="s">
        <v>262</v>
      </c>
      <c r="B257" t="s">
        <v>1</v>
      </c>
      <c r="C257">
        <v>0.3</v>
      </c>
      <c r="D257" t="s">
        <v>590</v>
      </c>
      <c r="E257" t="s">
        <v>1988</v>
      </c>
      <c r="F257" t="s">
        <v>4</v>
      </c>
      <c r="G257">
        <v>375</v>
      </c>
      <c r="H257" t="s">
        <v>5</v>
      </c>
      <c r="I257">
        <v>311</v>
      </c>
      <c r="J257" t="s">
        <v>6</v>
      </c>
      <c r="K257">
        <v>-42.449999999999797</v>
      </c>
      <c r="L257" t="s">
        <v>7</v>
      </c>
      <c r="M257">
        <v>-0.113199999999999</v>
      </c>
      <c r="N257" t="s">
        <v>8</v>
      </c>
      <c r="O257">
        <v>1.18942122186495</v>
      </c>
      <c r="P257" t="s">
        <v>9</v>
      </c>
      <c r="Q257">
        <v>-6.4431249999999904</v>
      </c>
      <c r="R257" t="s">
        <v>10</v>
      </c>
      <c r="S257">
        <v>1.99355987592379</v>
      </c>
      <c r="T257" t="s">
        <v>11</v>
      </c>
      <c r="U257" t="s">
        <v>2006</v>
      </c>
      <c r="V257" t="s">
        <v>720</v>
      </c>
      <c r="W257">
        <v>0</v>
      </c>
      <c r="X257" t="s">
        <v>14</v>
      </c>
      <c r="Y257" t="s">
        <v>15</v>
      </c>
      <c r="Z257" t="s">
        <v>2136</v>
      </c>
      <c r="AA257" t="s">
        <v>718</v>
      </c>
      <c r="AB257">
        <v>0</v>
      </c>
      <c r="AC257" t="s">
        <v>18</v>
      </c>
    </row>
    <row r="258" spans="1:29" x14ac:dyDescent="0.3">
      <c r="A258" t="s">
        <v>262</v>
      </c>
      <c r="B258" t="s">
        <v>1</v>
      </c>
      <c r="C258">
        <v>0.3</v>
      </c>
      <c r="D258" t="s">
        <v>599</v>
      </c>
      <c r="E258" t="s">
        <v>1991</v>
      </c>
      <c r="F258" t="s">
        <v>4</v>
      </c>
      <c r="G258">
        <v>376</v>
      </c>
      <c r="H258" t="s">
        <v>5</v>
      </c>
      <c r="I258">
        <v>261</v>
      </c>
      <c r="J258" t="s">
        <v>6</v>
      </c>
      <c r="K258">
        <v>19.489999999999899</v>
      </c>
      <c r="L258" t="s">
        <v>7</v>
      </c>
      <c r="M258">
        <v>5.1835106382978599E-2</v>
      </c>
      <c r="N258" t="s">
        <v>8</v>
      </c>
      <c r="O258">
        <v>1.46601532567049</v>
      </c>
      <c r="P258" t="s">
        <v>9</v>
      </c>
      <c r="Q258">
        <v>-3.1577391304347802</v>
      </c>
      <c r="R258" t="s">
        <v>10</v>
      </c>
      <c r="S258">
        <v>1.20859080018819</v>
      </c>
      <c r="T258" t="s">
        <v>11</v>
      </c>
      <c r="U258" t="s">
        <v>2137</v>
      </c>
      <c r="V258" t="s">
        <v>720</v>
      </c>
      <c r="W258">
        <v>0</v>
      </c>
      <c r="X258" t="s">
        <v>14</v>
      </c>
      <c r="Y258" t="s">
        <v>15</v>
      </c>
      <c r="Z258" t="s">
        <v>2138</v>
      </c>
      <c r="AA258" t="s">
        <v>720</v>
      </c>
      <c r="AB258">
        <v>0</v>
      </c>
      <c r="AC258" t="s">
        <v>18</v>
      </c>
    </row>
    <row r="259" spans="1:29" x14ac:dyDescent="0.3">
      <c r="A259" t="s">
        <v>262</v>
      </c>
      <c r="B259" t="s">
        <v>1</v>
      </c>
      <c r="C259">
        <v>0.3</v>
      </c>
      <c r="D259" t="s">
        <v>599</v>
      </c>
      <c r="E259" t="s">
        <v>1994</v>
      </c>
      <c r="F259" t="s">
        <v>4</v>
      </c>
      <c r="G259">
        <v>376</v>
      </c>
      <c r="H259" t="s">
        <v>5</v>
      </c>
      <c r="I259">
        <v>301</v>
      </c>
      <c r="J259" t="s">
        <v>6</v>
      </c>
      <c r="K259">
        <v>1.3900000000000601</v>
      </c>
      <c r="L259" t="s">
        <v>7</v>
      </c>
      <c r="M259">
        <v>3.6968085106384601E-3</v>
      </c>
      <c r="N259" t="s">
        <v>8</v>
      </c>
      <c r="O259">
        <v>1.4581063122923501</v>
      </c>
      <c r="P259" t="s">
        <v>9</v>
      </c>
      <c r="Q259">
        <v>-5.8333333333333304</v>
      </c>
      <c r="R259" t="s">
        <v>10</v>
      </c>
      <c r="S259">
        <v>1.5771490973082301</v>
      </c>
      <c r="T259" t="s">
        <v>11</v>
      </c>
      <c r="U259" t="s">
        <v>2137</v>
      </c>
      <c r="V259" t="s">
        <v>720</v>
      </c>
      <c r="W259">
        <v>0</v>
      </c>
      <c r="X259" t="s">
        <v>14</v>
      </c>
      <c r="Y259" t="s">
        <v>15</v>
      </c>
      <c r="Z259" t="s">
        <v>2139</v>
      </c>
      <c r="AA259" t="s">
        <v>2123</v>
      </c>
      <c r="AB259">
        <v>0</v>
      </c>
      <c r="AC259" t="s">
        <v>18</v>
      </c>
    </row>
    <row r="260" spans="1:29" x14ac:dyDescent="0.3">
      <c r="A260" t="s">
        <v>262</v>
      </c>
      <c r="B260" t="s">
        <v>1</v>
      </c>
      <c r="C260">
        <v>0.3</v>
      </c>
      <c r="D260" t="s">
        <v>599</v>
      </c>
      <c r="E260" t="s">
        <v>1996</v>
      </c>
      <c r="F260" t="s">
        <v>4</v>
      </c>
      <c r="G260">
        <v>376</v>
      </c>
      <c r="H260" t="s">
        <v>5</v>
      </c>
      <c r="I260">
        <v>314</v>
      </c>
      <c r="J260" t="s">
        <v>6</v>
      </c>
      <c r="K260">
        <v>11.7700000000002</v>
      </c>
      <c r="L260" t="s">
        <v>7</v>
      </c>
      <c r="M260">
        <v>3.1303191489362302E-2</v>
      </c>
      <c r="N260" t="s">
        <v>8</v>
      </c>
      <c r="O260">
        <v>1.4592356687898</v>
      </c>
      <c r="P260" t="s">
        <v>9</v>
      </c>
      <c r="Q260">
        <v>-7.2004838709677399</v>
      </c>
      <c r="R260" t="s">
        <v>10</v>
      </c>
      <c r="S260">
        <v>1.89875432328072</v>
      </c>
      <c r="T260" t="s">
        <v>11</v>
      </c>
      <c r="U260" t="s">
        <v>2137</v>
      </c>
      <c r="V260" t="s">
        <v>720</v>
      </c>
      <c r="W260">
        <v>0</v>
      </c>
      <c r="X260" t="s">
        <v>14</v>
      </c>
      <c r="Y260" t="s">
        <v>15</v>
      </c>
      <c r="Z260" t="s">
        <v>2139</v>
      </c>
      <c r="AA260" t="s">
        <v>2123</v>
      </c>
      <c r="AB260">
        <v>0</v>
      </c>
      <c r="AC260" t="s">
        <v>18</v>
      </c>
    </row>
    <row r="261" spans="1:29" x14ac:dyDescent="0.3">
      <c r="A261" t="s">
        <v>262</v>
      </c>
      <c r="B261" t="s">
        <v>1</v>
      </c>
      <c r="C261">
        <v>0.3</v>
      </c>
      <c r="D261" t="s">
        <v>599</v>
      </c>
      <c r="E261" t="s">
        <v>1997</v>
      </c>
      <c r="F261" t="s">
        <v>4</v>
      </c>
      <c r="G261">
        <v>376</v>
      </c>
      <c r="H261" t="s">
        <v>5</v>
      </c>
      <c r="I261">
        <v>319</v>
      </c>
      <c r="J261" t="s">
        <v>6</v>
      </c>
      <c r="K261">
        <v>33.720000000000297</v>
      </c>
      <c r="L261" t="s">
        <v>7</v>
      </c>
      <c r="M261">
        <v>8.9680851063830599E-2</v>
      </c>
      <c r="N261" t="s">
        <v>8</v>
      </c>
      <c r="O261">
        <v>1.4692789968652</v>
      </c>
      <c r="P261" t="s">
        <v>9</v>
      </c>
      <c r="Q261">
        <v>-7.63122807017543</v>
      </c>
      <c r="R261" t="s">
        <v>10</v>
      </c>
      <c r="S261">
        <v>2.0764916138502199</v>
      </c>
      <c r="T261" t="s">
        <v>11</v>
      </c>
      <c r="U261" t="s">
        <v>2137</v>
      </c>
      <c r="V261" t="s">
        <v>720</v>
      </c>
      <c r="W261">
        <v>0</v>
      </c>
      <c r="X261" t="s">
        <v>14</v>
      </c>
      <c r="Y261" t="s">
        <v>15</v>
      </c>
      <c r="Z261" t="s">
        <v>2139</v>
      </c>
      <c r="AA261" t="s">
        <v>2123</v>
      </c>
      <c r="AB261">
        <v>0</v>
      </c>
      <c r="AC261" t="s">
        <v>18</v>
      </c>
    </row>
    <row r="262" spans="1:29" x14ac:dyDescent="0.3">
      <c r="A262" t="s">
        <v>262</v>
      </c>
      <c r="B262" t="s">
        <v>1</v>
      </c>
      <c r="C262">
        <v>0.3</v>
      </c>
      <c r="D262" t="s">
        <v>1998</v>
      </c>
      <c r="E262" t="s">
        <v>1999</v>
      </c>
      <c r="F262" t="s">
        <v>4</v>
      </c>
      <c r="G262">
        <v>370</v>
      </c>
      <c r="H262" t="s">
        <v>5</v>
      </c>
      <c r="I262">
        <v>251</v>
      </c>
      <c r="J262" t="s">
        <v>6</v>
      </c>
      <c r="K262">
        <v>-12.3058795883131</v>
      </c>
      <c r="L262" t="s">
        <v>7</v>
      </c>
      <c r="M262">
        <v>-3.3259134022467898E-2</v>
      </c>
      <c r="N262" t="s">
        <v>8</v>
      </c>
      <c r="O262">
        <v>1.75126875497658</v>
      </c>
      <c r="P262" t="s">
        <v>9</v>
      </c>
      <c r="Q262">
        <v>-3.7972633368692001</v>
      </c>
      <c r="R262" t="s">
        <v>10</v>
      </c>
      <c r="S262">
        <v>1.30835475209338</v>
      </c>
      <c r="T262" t="s">
        <v>11</v>
      </c>
      <c r="U262" t="s">
        <v>2016</v>
      </c>
      <c r="V262" t="s">
        <v>595</v>
      </c>
      <c r="W262">
        <v>0</v>
      </c>
      <c r="X262" t="s">
        <v>14</v>
      </c>
      <c r="Y262" t="s">
        <v>15</v>
      </c>
      <c r="Z262" t="s">
        <v>2140</v>
      </c>
      <c r="AA262" t="s">
        <v>595</v>
      </c>
      <c r="AB262">
        <v>0</v>
      </c>
      <c r="AC262" t="s">
        <v>18</v>
      </c>
    </row>
    <row r="263" spans="1:29" x14ac:dyDescent="0.3">
      <c r="A263" t="s">
        <v>262</v>
      </c>
      <c r="B263" t="s">
        <v>1</v>
      </c>
      <c r="C263">
        <v>0.3</v>
      </c>
      <c r="D263" t="s">
        <v>1998</v>
      </c>
      <c r="E263" t="s">
        <v>2002</v>
      </c>
      <c r="F263" t="s">
        <v>4</v>
      </c>
      <c r="G263">
        <v>370</v>
      </c>
      <c r="H263" t="s">
        <v>5</v>
      </c>
      <c r="I263">
        <v>298</v>
      </c>
      <c r="J263" t="s">
        <v>6</v>
      </c>
      <c r="K263">
        <v>23.555549940429501</v>
      </c>
      <c r="L263" t="s">
        <v>7</v>
      </c>
      <c r="M263">
        <v>6.3663648487647301E-2</v>
      </c>
      <c r="N263" t="s">
        <v>8</v>
      </c>
      <c r="O263">
        <v>1.75831697147356</v>
      </c>
      <c r="P263" t="s">
        <v>9</v>
      </c>
      <c r="Q263">
        <v>-6.9503181605373996</v>
      </c>
      <c r="R263" t="s">
        <v>10</v>
      </c>
      <c r="S263">
        <v>1.92855937119445</v>
      </c>
      <c r="T263" t="s">
        <v>11</v>
      </c>
      <c r="U263" t="s">
        <v>2016</v>
      </c>
      <c r="V263" t="s">
        <v>595</v>
      </c>
      <c r="W263">
        <v>0</v>
      </c>
      <c r="X263" t="s">
        <v>14</v>
      </c>
      <c r="Y263" t="s">
        <v>15</v>
      </c>
      <c r="Z263" t="s">
        <v>2141</v>
      </c>
      <c r="AA263" t="s">
        <v>718</v>
      </c>
      <c r="AB263">
        <v>0</v>
      </c>
      <c r="AC263" t="s">
        <v>18</v>
      </c>
    </row>
    <row r="264" spans="1:29" x14ac:dyDescent="0.3">
      <c r="A264" t="s">
        <v>262</v>
      </c>
      <c r="B264" t="s">
        <v>1</v>
      </c>
      <c r="C264">
        <v>0.3</v>
      </c>
      <c r="D264" t="s">
        <v>1998</v>
      </c>
      <c r="E264" t="s">
        <v>2004</v>
      </c>
      <c r="F264" t="s">
        <v>4</v>
      </c>
      <c r="G264">
        <v>370</v>
      </c>
      <c r="H264" t="s">
        <v>5</v>
      </c>
      <c r="I264">
        <v>315</v>
      </c>
      <c r="J264" t="s">
        <v>6</v>
      </c>
      <c r="K264">
        <v>1.40554994042952</v>
      </c>
      <c r="L264" t="s">
        <v>7</v>
      </c>
      <c r="M264">
        <v>3.7987836227825001E-3</v>
      </c>
      <c r="N264" t="s">
        <v>8</v>
      </c>
      <c r="O264">
        <v>1.7587887539654601</v>
      </c>
      <c r="P264" t="s">
        <v>9</v>
      </c>
      <c r="Q264">
        <v>-10.047507410158</v>
      </c>
      <c r="R264" t="s">
        <v>10</v>
      </c>
      <c r="S264">
        <v>2.3363163015520301</v>
      </c>
      <c r="T264" t="s">
        <v>11</v>
      </c>
      <c r="U264" t="s">
        <v>2016</v>
      </c>
      <c r="V264" t="s">
        <v>595</v>
      </c>
      <c r="W264">
        <v>0</v>
      </c>
      <c r="X264" t="s">
        <v>14</v>
      </c>
      <c r="Y264" t="s">
        <v>15</v>
      </c>
      <c r="Z264" t="s">
        <v>2142</v>
      </c>
      <c r="AA264" t="s">
        <v>1987</v>
      </c>
      <c r="AB264">
        <v>0</v>
      </c>
      <c r="AC264" t="s">
        <v>18</v>
      </c>
    </row>
    <row r="265" spans="1:29" x14ac:dyDescent="0.3">
      <c r="A265" t="s">
        <v>262</v>
      </c>
      <c r="B265" t="s">
        <v>1</v>
      </c>
      <c r="C265">
        <v>0.3</v>
      </c>
      <c r="D265" t="s">
        <v>1998</v>
      </c>
      <c r="E265" t="s">
        <v>2005</v>
      </c>
      <c r="F265" t="s">
        <v>4</v>
      </c>
      <c r="G265">
        <v>370</v>
      </c>
      <c r="H265" t="s">
        <v>5</v>
      </c>
      <c r="I265">
        <v>321</v>
      </c>
      <c r="J265" t="s">
        <v>6</v>
      </c>
      <c r="K265">
        <v>4.1155499404294904</v>
      </c>
      <c r="L265" t="s">
        <v>7</v>
      </c>
      <c r="M265">
        <v>1.11231079471067E-2</v>
      </c>
      <c r="N265" t="s">
        <v>8</v>
      </c>
      <c r="O265">
        <v>1.75709799843963</v>
      </c>
      <c r="P265" t="s">
        <v>9</v>
      </c>
      <c r="Q265">
        <v>-11.426794031809999</v>
      </c>
      <c r="R265" t="s">
        <v>10</v>
      </c>
      <c r="S265">
        <v>2.4879550490268501</v>
      </c>
      <c r="T265" t="s">
        <v>11</v>
      </c>
      <c r="U265" t="s">
        <v>2016</v>
      </c>
      <c r="V265" t="s">
        <v>595</v>
      </c>
      <c r="W265">
        <v>0</v>
      </c>
      <c r="X265" t="s">
        <v>14</v>
      </c>
      <c r="Y265" t="s">
        <v>15</v>
      </c>
      <c r="Z265" t="s">
        <v>2143</v>
      </c>
      <c r="AA265" t="s">
        <v>2132</v>
      </c>
      <c r="AB265">
        <v>0</v>
      </c>
      <c r="AC265" t="s">
        <v>18</v>
      </c>
    </row>
    <row r="266" spans="1:29" x14ac:dyDescent="0.3">
      <c r="A266" t="s">
        <v>262</v>
      </c>
      <c r="B266" t="s">
        <v>1</v>
      </c>
      <c r="C266">
        <v>0.2</v>
      </c>
      <c r="D266" t="s">
        <v>590</v>
      </c>
      <c r="E266" t="s">
        <v>1979</v>
      </c>
      <c r="F266" t="s">
        <v>4</v>
      </c>
      <c r="G266">
        <v>375</v>
      </c>
      <c r="H266" t="s">
        <v>5</v>
      </c>
      <c r="I266">
        <v>269</v>
      </c>
      <c r="J266" t="s">
        <v>6</v>
      </c>
      <c r="K266">
        <v>-13.079190133485399</v>
      </c>
      <c r="L266" t="s">
        <v>7</v>
      </c>
      <c r="M266">
        <v>-3.4877840355960997E-2</v>
      </c>
      <c r="N266" t="s">
        <v>8</v>
      </c>
      <c r="O266">
        <v>0.69888776902049998</v>
      </c>
      <c r="P266" t="s">
        <v>9</v>
      </c>
      <c r="Q266">
        <v>-1.8969811320754699</v>
      </c>
      <c r="R266" t="s">
        <v>10</v>
      </c>
      <c r="S266">
        <v>0.79581466026535796</v>
      </c>
      <c r="T266" t="s">
        <v>11</v>
      </c>
      <c r="U266" t="s">
        <v>2019</v>
      </c>
      <c r="V266" t="s">
        <v>720</v>
      </c>
      <c r="W266">
        <v>0</v>
      </c>
      <c r="X266" t="s">
        <v>14</v>
      </c>
      <c r="Y266" t="s">
        <v>15</v>
      </c>
      <c r="Z266" t="s">
        <v>2144</v>
      </c>
      <c r="AA266" t="s">
        <v>720</v>
      </c>
      <c r="AB266">
        <v>0</v>
      </c>
      <c r="AC266" t="s">
        <v>18</v>
      </c>
    </row>
    <row r="267" spans="1:29" x14ac:dyDescent="0.3">
      <c r="A267" t="s">
        <v>262</v>
      </c>
      <c r="B267" t="s">
        <v>1</v>
      </c>
      <c r="C267">
        <v>0.2</v>
      </c>
      <c r="D267" t="s">
        <v>590</v>
      </c>
      <c r="E267" t="s">
        <v>1982</v>
      </c>
      <c r="F267" t="s">
        <v>4</v>
      </c>
      <c r="G267">
        <v>375</v>
      </c>
      <c r="H267" t="s">
        <v>5</v>
      </c>
      <c r="I267">
        <v>302</v>
      </c>
      <c r="J267" t="s">
        <v>6</v>
      </c>
      <c r="K267">
        <v>-0.539190133485419</v>
      </c>
      <c r="L267" t="s">
        <v>7</v>
      </c>
      <c r="M267">
        <v>-1.4378403559611101E-3</v>
      </c>
      <c r="N267" t="s">
        <v>8</v>
      </c>
      <c r="O267">
        <v>0.69924109227322695</v>
      </c>
      <c r="P267" t="s">
        <v>9</v>
      </c>
      <c r="Q267">
        <v>-2.90013698630136</v>
      </c>
      <c r="R267" t="s">
        <v>10</v>
      </c>
      <c r="S267">
        <v>0.92046038458894297</v>
      </c>
      <c r="T267" t="s">
        <v>11</v>
      </c>
      <c r="U267" t="s">
        <v>2019</v>
      </c>
      <c r="V267" t="s">
        <v>720</v>
      </c>
      <c r="W267">
        <v>0</v>
      </c>
      <c r="X267" t="s">
        <v>14</v>
      </c>
      <c r="Y267" t="s">
        <v>15</v>
      </c>
      <c r="Z267" t="s">
        <v>2144</v>
      </c>
      <c r="AA267" t="s">
        <v>720</v>
      </c>
      <c r="AB267">
        <v>0</v>
      </c>
      <c r="AC267" t="s">
        <v>18</v>
      </c>
    </row>
    <row r="268" spans="1:29" x14ac:dyDescent="0.3">
      <c r="A268" t="s">
        <v>262</v>
      </c>
      <c r="B268" t="s">
        <v>1</v>
      </c>
      <c r="C268">
        <v>0.2</v>
      </c>
      <c r="D268" t="s">
        <v>590</v>
      </c>
      <c r="E268" t="s">
        <v>1985</v>
      </c>
      <c r="F268" t="s">
        <v>4</v>
      </c>
      <c r="G268">
        <v>375</v>
      </c>
      <c r="H268" t="s">
        <v>5</v>
      </c>
      <c r="I268">
        <v>321</v>
      </c>
      <c r="J268" t="s">
        <v>6</v>
      </c>
      <c r="K268">
        <v>-6.4291901334854797</v>
      </c>
      <c r="L268" t="s">
        <v>7</v>
      </c>
      <c r="M268">
        <v>-1.7144507022627899E-2</v>
      </c>
      <c r="N268" t="s">
        <v>8</v>
      </c>
      <c r="O268">
        <v>0.69828912731001402</v>
      </c>
      <c r="P268" t="s">
        <v>9</v>
      </c>
      <c r="Q268">
        <v>-4.2699999999999996</v>
      </c>
      <c r="R268" t="s">
        <v>10</v>
      </c>
      <c r="S268">
        <v>1.1751929885392201</v>
      </c>
      <c r="T268" t="s">
        <v>11</v>
      </c>
      <c r="U268" t="s">
        <v>2019</v>
      </c>
      <c r="V268" t="s">
        <v>720</v>
      </c>
      <c r="W268">
        <v>0</v>
      </c>
      <c r="X268" t="s">
        <v>14</v>
      </c>
      <c r="Y268" t="s">
        <v>15</v>
      </c>
      <c r="Z268" t="s">
        <v>2145</v>
      </c>
      <c r="AA268" t="s">
        <v>718</v>
      </c>
      <c r="AB268">
        <v>0</v>
      </c>
      <c r="AC268" t="s">
        <v>18</v>
      </c>
    </row>
    <row r="269" spans="1:29" x14ac:dyDescent="0.3">
      <c r="A269" t="s">
        <v>262</v>
      </c>
      <c r="B269" t="s">
        <v>1</v>
      </c>
      <c r="C269">
        <v>0.2</v>
      </c>
      <c r="D269" t="s">
        <v>590</v>
      </c>
      <c r="E269" t="s">
        <v>1988</v>
      </c>
      <c r="F269" t="s">
        <v>4</v>
      </c>
      <c r="G269">
        <v>375</v>
      </c>
      <c r="H269" t="s">
        <v>5</v>
      </c>
      <c r="I269">
        <v>327</v>
      </c>
      <c r="J269" t="s">
        <v>6</v>
      </c>
      <c r="K269">
        <v>-31.289190133485501</v>
      </c>
      <c r="L269" t="s">
        <v>7</v>
      </c>
      <c r="M269">
        <v>-8.3437840355961398E-2</v>
      </c>
      <c r="N269" t="s">
        <v>8</v>
      </c>
      <c r="O269">
        <v>0.69602694148781197</v>
      </c>
      <c r="P269" t="s">
        <v>9</v>
      </c>
      <c r="Q269">
        <v>-5.3935416666666596</v>
      </c>
      <c r="R269" t="s">
        <v>10</v>
      </c>
      <c r="S269">
        <v>1.3322992411482499</v>
      </c>
      <c r="T269" t="s">
        <v>11</v>
      </c>
      <c r="U269" t="s">
        <v>2019</v>
      </c>
      <c r="V269" t="s">
        <v>720</v>
      </c>
      <c r="W269">
        <v>0</v>
      </c>
      <c r="X269" t="s">
        <v>14</v>
      </c>
      <c r="Y269" t="s">
        <v>15</v>
      </c>
      <c r="Z269" t="s">
        <v>2145</v>
      </c>
      <c r="AA269" t="s">
        <v>718</v>
      </c>
      <c r="AB269">
        <v>0</v>
      </c>
      <c r="AC269" t="s">
        <v>18</v>
      </c>
    </row>
    <row r="270" spans="1:29" x14ac:dyDescent="0.3">
      <c r="A270" t="s">
        <v>262</v>
      </c>
      <c r="B270" t="s">
        <v>1</v>
      </c>
      <c r="C270">
        <v>0.2</v>
      </c>
      <c r="D270" t="s">
        <v>599</v>
      </c>
      <c r="E270" t="s">
        <v>1991</v>
      </c>
      <c r="F270" t="s">
        <v>4</v>
      </c>
      <c r="G270">
        <v>376</v>
      </c>
      <c r="H270" t="s">
        <v>5</v>
      </c>
      <c r="I270">
        <v>272</v>
      </c>
      <c r="J270" t="s">
        <v>6</v>
      </c>
      <c r="K270">
        <v>19.589295236153902</v>
      </c>
      <c r="L270" t="s">
        <v>7</v>
      </c>
      <c r="M270">
        <v>5.2099189457856097E-2</v>
      </c>
      <c r="N270" t="s">
        <v>8</v>
      </c>
      <c r="O270">
        <v>0.84790182072115405</v>
      </c>
      <c r="P270" t="s">
        <v>9</v>
      </c>
      <c r="Q270">
        <v>-2.0292307692307601</v>
      </c>
      <c r="R270" t="s">
        <v>10</v>
      </c>
      <c r="S270">
        <v>0.733008951559874</v>
      </c>
      <c r="T270" t="s">
        <v>11</v>
      </c>
      <c r="U270" t="s">
        <v>2146</v>
      </c>
      <c r="V270" t="s">
        <v>720</v>
      </c>
      <c r="W270">
        <v>0</v>
      </c>
      <c r="X270" t="s">
        <v>14</v>
      </c>
      <c r="Y270" t="s">
        <v>15</v>
      </c>
      <c r="Z270" t="s">
        <v>2147</v>
      </c>
      <c r="AA270" t="s">
        <v>720</v>
      </c>
      <c r="AB270">
        <v>0</v>
      </c>
      <c r="AC270" t="s">
        <v>18</v>
      </c>
    </row>
    <row r="271" spans="1:29" x14ac:dyDescent="0.3">
      <c r="A271" t="s">
        <v>262</v>
      </c>
      <c r="B271" t="s">
        <v>1</v>
      </c>
      <c r="C271">
        <v>0.2</v>
      </c>
      <c r="D271" t="s">
        <v>599</v>
      </c>
      <c r="E271" t="s">
        <v>1994</v>
      </c>
      <c r="F271" t="s">
        <v>4</v>
      </c>
      <c r="G271">
        <v>376</v>
      </c>
      <c r="H271" t="s">
        <v>5</v>
      </c>
      <c r="I271">
        <v>301</v>
      </c>
      <c r="J271" t="s">
        <v>6</v>
      </c>
      <c r="K271">
        <v>-7.0807047638461</v>
      </c>
      <c r="L271" t="s">
        <v>7</v>
      </c>
      <c r="M271">
        <v>-1.8831661605973601E-2</v>
      </c>
      <c r="N271" t="s">
        <v>8</v>
      </c>
      <c r="O271">
        <v>0.84062888782775402</v>
      </c>
      <c r="P271" t="s">
        <v>9</v>
      </c>
      <c r="Q271">
        <v>-3.4681333333333302</v>
      </c>
      <c r="R271" t="s">
        <v>10</v>
      </c>
      <c r="S271">
        <v>0.89247124936127498</v>
      </c>
      <c r="T271" t="s">
        <v>11</v>
      </c>
      <c r="U271" t="s">
        <v>2146</v>
      </c>
      <c r="V271" t="s">
        <v>720</v>
      </c>
      <c r="W271">
        <v>0</v>
      </c>
      <c r="X271" t="s">
        <v>14</v>
      </c>
      <c r="Y271" t="s">
        <v>15</v>
      </c>
      <c r="Z271" t="s">
        <v>2147</v>
      </c>
      <c r="AA271" t="s">
        <v>720</v>
      </c>
      <c r="AB271">
        <v>0</v>
      </c>
      <c r="AC271" t="s">
        <v>18</v>
      </c>
    </row>
    <row r="272" spans="1:29" x14ac:dyDescent="0.3">
      <c r="A272" t="s">
        <v>262</v>
      </c>
      <c r="B272" t="s">
        <v>1</v>
      </c>
      <c r="C272">
        <v>0.2</v>
      </c>
      <c r="D272" t="s">
        <v>599</v>
      </c>
      <c r="E272" t="s">
        <v>1996</v>
      </c>
      <c r="F272" t="s">
        <v>4</v>
      </c>
      <c r="G272">
        <v>376</v>
      </c>
      <c r="H272" t="s">
        <v>5</v>
      </c>
      <c r="I272">
        <v>323</v>
      </c>
      <c r="J272" t="s">
        <v>6</v>
      </c>
      <c r="K272">
        <v>4.0492952361538999</v>
      </c>
      <c r="L272" t="s">
        <v>7</v>
      </c>
      <c r="M272">
        <v>1.07694022238135E-2</v>
      </c>
      <c r="N272" t="s">
        <v>8</v>
      </c>
      <c r="O272">
        <v>0.84309379330078604</v>
      </c>
      <c r="P272" t="s">
        <v>9</v>
      </c>
      <c r="Q272">
        <v>-5.06169811320754</v>
      </c>
      <c r="R272" t="s">
        <v>10</v>
      </c>
      <c r="S272">
        <v>1.1612629790706299</v>
      </c>
      <c r="T272" t="s">
        <v>11</v>
      </c>
      <c r="U272" t="s">
        <v>2146</v>
      </c>
      <c r="V272" t="s">
        <v>720</v>
      </c>
      <c r="W272">
        <v>0</v>
      </c>
      <c r="X272" t="s">
        <v>14</v>
      </c>
      <c r="Y272" t="s">
        <v>15</v>
      </c>
      <c r="Z272" t="s">
        <v>2148</v>
      </c>
      <c r="AA272" t="s">
        <v>2123</v>
      </c>
      <c r="AB272">
        <v>0</v>
      </c>
      <c r="AC272" t="s">
        <v>18</v>
      </c>
    </row>
    <row r="273" spans="1:29" x14ac:dyDescent="0.3">
      <c r="A273" t="s">
        <v>262</v>
      </c>
      <c r="B273" t="s">
        <v>1</v>
      </c>
      <c r="C273">
        <v>0.2</v>
      </c>
      <c r="D273" t="s">
        <v>599</v>
      </c>
      <c r="E273" t="s">
        <v>1997</v>
      </c>
      <c r="F273" t="s">
        <v>4</v>
      </c>
      <c r="G273">
        <v>376</v>
      </c>
      <c r="H273" t="s">
        <v>5</v>
      </c>
      <c r="I273">
        <v>328</v>
      </c>
      <c r="J273" t="s">
        <v>6</v>
      </c>
      <c r="K273">
        <v>-6.2007047638460504</v>
      </c>
      <c r="L273" t="s">
        <v>7</v>
      </c>
      <c r="M273">
        <v>-1.6491236074058599E-2</v>
      </c>
      <c r="N273" t="s">
        <v>8</v>
      </c>
      <c r="O273">
        <v>0.84341248547607905</v>
      </c>
      <c r="P273" t="s">
        <v>9</v>
      </c>
      <c r="Q273">
        <v>-5.8924999999999903</v>
      </c>
      <c r="R273" t="s">
        <v>10</v>
      </c>
      <c r="S273">
        <v>1.25032609903894</v>
      </c>
      <c r="T273" t="s">
        <v>11</v>
      </c>
      <c r="U273" t="s">
        <v>2146</v>
      </c>
      <c r="V273" t="s">
        <v>720</v>
      </c>
      <c r="W273">
        <v>0</v>
      </c>
      <c r="X273" t="s">
        <v>14</v>
      </c>
      <c r="Y273" t="s">
        <v>15</v>
      </c>
      <c r="Z273" t="s">
        <v>2148</v>
      </c>
      <c r="AA273" t="s">
        <v>2123</v>
      </c>
      <c r="AB273">
        <v>0</v>
      </c>
      <c r="AC273" t="s">
        <v>18</v>
      </c>
    </row>
    <row r="274" spans="1:29" x14ac:dyDescent="0.3">
      <c r="A274" t="s">
        <v>262</v>
      </c>
      <c r="B274" t="s">
        <v>1</v>
      </c>
      <c r="C274">
        <v>0.2</v>
      </c>
      <c r="D274" t="s">
        <v>1998</v>
      </c>
      <c r="E274" t="s">
        <v>1999</v>
      </c>
      <c r="F274" t="s">
        <v>4</v>
      </c>
      <c r="G274">
        <v>370</v>
      </c>
      <c r="H274" t="s">
        <v>5</v>
      </c>
      <c r="I274">
        <v>261</v>
      </c>
      <c r="J274" t="s">
        <v>6</v>
      </c>
      <c r="K274">
        <v>12.042162668866499</v>
      </c>
      <c r="L274" t="s">
        <v>7</v>
      </c>
      <c r="M274">
        <v>3.2546385591531203E-2</v>
      </c>
      <c r="N274" t="s">
        <v>8</v>
      </c>
      <c r="O274">
        <v>1.03008525906306</v>
      </c>
      <c r="P274" t="s">
        <v>9</v>
      </c>
      <c r="Q274">
        <v>-2.3560558710696702</v>
      </c>
      <c r="R274" t="s">
        <v>10</v>
      </c>
      <c r="S274">
        <v>0.79471979885661903</v>
      </c>
      <c r="T274" t="s">
        <v>11</v>
      </c>
      <c r="U274" t="s">
        <v>2027</v>
      </c>
      <c r="V274" t="s">
        <v>595</v>
      </c>
      <c r="W274">
        <v>0</v>
      </c>
      <c r="X274" t="s">
        <v>14</v>
      </c>
      <c r="Y274" t="s">
        <v>15</v>
      </c>
      <c r="Z274" t="s">
        <v>2149</v>
      </c>
      <c r="AA274" t="s">
        <v>595</v>
      </c>
      <c r="AB274">
        <v>0</v>
      </c>
      <c r="AC274" t="s">
        <v>18</v>
      </c>
    </row>
    <row r="275" spans="1:29" x14ac:dyDescent="0.3">
      <c r="A275" t="s">
        <v>262</v>
      </c>
      <c r="B275" t="s">
        <v>1</v>
      </c>
      <c r="C275">
        <v>0.2</v>
      </c>
      <c r="D275" t="s">
        <v>1998</v>
      </c>
      <c r="E275" t="s">
        <v>2002</v>
      </c>
      <c r="F275" t="s">
        <v>4</v>
      </c>
      <c r="G275">
        <v>370</v>
      </c>
      <c r="H275" t="s">
        <v>5</v>
      </c>
      <c r="I275">
        <v>302</v>
      </c>
      <c r="J275" t="s">
        <v>6</v>
      </c>
      <c r="K275">
        <v>21.4078033531081</v>
      </c>
      <c r="L275" t="s">
        <v>7</v>
      </c>
      <c r="M275">
        <v>5.7858927981373397E-2</v>
      </c>
      <c r="N275" t="s">
        <v>8</v>
      </c>
      <c r="O275">
        <v>1.0453349143030599</v>
      </c>
      <c r="P275" t="s">
        <v>9</v>
      </c>
      <c r="Q275">
        <v>-4.3276961877414397</v>
      </c>
      <c r="R275" t="s">
        <v>10</v>
      </c>
      <c r="S275">
        <v>1.19724410769562</v>
      </c>
      <c r="T275" t="s">
        <v>11</v>
      </c>
      <c r="U275" t="s">
        <v>2027</v>
      </c>
      <c r="V275" t="s">
        <v>595</v>
      </c>
      <c r="W275">
        <v>0</v>
      </c>
      <c r="X275" t="s">
        <v>14</v>
      </c>
      <c r="Y275" t="s">
        <v>15</v>
      </c>
      <c r="Z275" t="s">
        <v>2150</v>
      </c>
      <c r="AA275" t="s">
        <v>595</v>
      </c>
      <c r="AB275">
        <v>0</v>
      </c>
      <c r="AC275" t="s">
        <v>18</v>
      </c>
    </row>
    <row r="276" spans="1:29" x14ac:dyDescent="0.3">
      <c r="A276" t="s">
        <v>262</v>
      </c>
      <c r="B276" t="s">
        <v>1</v>
      </c>
      <c r="C276">
        <v>0.2</v>
      </c>
      <c r="D276" t="s">
        <v>1998</v>
      </c>
      <c r="E276" t="s">
        <v>2004</v>
      </c>
      <c r="F276" t="s">
        <v>4</v>
      </c>
      <c r="G276">
        <v>370</v>
      </c>
      <c r="H276" t="s">
        <v>5</v>
      </c>
      <c r="I276">
        <v>318</v>
      </c>
      <c r="J276" t="s">
        <v>6</v>
      </c>
      <c r="K276">
        <v>15.382162668866499</v>
      </c>
      <c r="L276" t="s">
        <v>7</v>
      </c>
      <c r="M276">
        <v>4.1573412618558098E-2</v>
      </c>
      <c r="N276" t="s">
        <v>8</v>
      </c>
      <c r="O276">
        <v>1.0420203998437501</v>
      </c>
      <c r="P276" t="s">
        <v>9</v>
      </c>
      <c r="Q276">
        <v>-6.0765447015663101</v>
      </c>
      <c r="R276" t="s">
        <v>10</v>
      </c>
      <c r="S276">
        <v>1.3611882570120299</v>
      </c>
      <c r="T276" t="s">
        <v>11</v>
      </c>
      <c r="U276" t="s">
        <v>2027</v>
      </c>
      <c r="V276" t="s">
        <v>595</v>
      </c>
      <c r="W276">
        <v>0</v>
      </c>
      <c r="X276" t="s">
        <v>14</v>
      </c>
      <c r="Y276" t="s">
        <v>15</v>
      </c>
      <c r="Z276" t="s">
        <v>2150</v>
      </c>
      <c r="AA276" t="s">
        <v>595</v>
      </c>
      <c r="AB276">
        <v>0</v>
      </c>
      <c r="AC276" t="s">
        <v>18</v>
      </c>
    </row>
    <row r="277" spans="1:29" x14ac:dyDescent="0.3">
      <c r="A277" t="s">
        <v>262</v>
      </c>
      <c r="B277" t="s">
        <v>1</v>
      </c>
      <c r="C277">
        <v>0.2</v>
      </c>
      <c r="D277" t="s">
        <v>1998</v>
      </c>
      <c r="E277" t="s">
        <v>2005</v>
      </c>
      <c r="F277" t="s">
        <v>4</v>
      </c>
      <c r="G277">
        <v>370</v>
      </c>
      <c r="H277" t="s">
        <v>5</v>
      </c>
      <c r="I277">
        <v>329</v>
      </c>
      <c r="J277" t="s">
        <v>6</v>
      </c>
      <c r="K277">
        <v>10.552162668866499</v>
      </c>
      <c r="L277" t="s">
        <v>7</v>
      </c>
      <c r="M277">
        <v>2.8519358564504101E-2</v>
      </c>
      <c r="N277" t="s">
        <v>8</v>
      </c>
      <c r="O277">
        <v>1.0402885384202201</v>
      </c>
      <c r="P277" t="s">
        <v>9</v>
      </c>
      <c r="Q277">
        <v>-8.0903113773509201</v>
      </c>
      <c r="R277" t="s">
        <v>10</v>
      </c>
      <c r="S277">
        <v>1.6176002872678601</v>
      </c>
      <c r="T277" t="s">
        <v>11</v>
      </c>
      <c r="U277" t="s">
        <v>2027</v>
      </c>
      <c r="V277" t="s">
        <v>595</v>
      </c>
      <c r="W277">
        <v>0</v>
      </c>
      <c r="X277" t="s">
        <v>14</v>
      </c>
      <c r="Y277" t="s">
        <v>15</v>
      </c>
      <c r="Z277" t="s">
        <v>2151</v>
      </c>
      <c r="AA277" t="s">
        <v>2132</v>
      </c>
      <c r="AB277">
        <v>0</v>
      </c>
      <c r="AC277" t="s">
        <v>18</v>
      </c>
    </row>
    <row r="278" spans="1:29" x14ac:dyDescent="0.3">
      <c r="A278" t="s">
        <v>262</v>
      </c>
      <c r="B278" t="s">
        <v>1</v>
      </c>
      <c r="C278">
        <v>0.1</v>
      </c>
      <c r="D278" t="s">
        <v>590</v>
      </c>
      <c r="E278" t="s">
        <v>1979</v>
      </c>
      <c r="F278" t="s">
        <v>4</v>
      </c>
      <c r="G278">
        <v>375</v>
      </c>
      <c r="H278" t="s">
        <v>5</v>
      </c>
      <c r="I278">
        <v>278</v>
      </c>
      <c r="J278" t="s">
        <v>6</v>
      </c>
      <c r="K278">
        <v>-17.0710769593964</v>
      </c>
      <c r="L278" t="s">
        <v>7</v>
      </c>
      <c r="M278">
        <v>-4.5522871891723798E-2</v>
      </c>
      <c r="N278" t="s">
        <v>8</v>
      </c>
      <c r="O278">
        <v>0.286572183879158</v>
      </c>
      <c r="P278" t="s">
        <v>9</v>
      </c>
      <c r="Q278">
        <v>-0.99730045441033599</v>
      </c>
      <c r="R278" t="s">
        <v>10</v>
      </c>
      <c r="S278">
        <v>0.43388247990975998</v>
      </c>
      <c r="T278" t="s">
        <v>11</v>
      </c>
      <c r="U278" t="s">
        <v>2030</v>
      </c>
      <c r="V278" t="s">
        <v>720</v>
      </c>
      <c r="W278">
        <v>0</v>
      </c>
      <c r="X278" t="s">
        <v>14</v>
      </c>
      <c r="Y278" t="s">
        <v>15</v>
      </c>
      <c r="Z278" t="s">
        <v>2152</v>
      </c>
      <c r="AA278" t="s">
        <v>720</v>
      </c>
      <c r="AB278">
        <v>0</v>
      </c>
      <c r="AC278" t="s">
        <v>18</v>
      </c>
    </row>
    <row r="279" spans="1:29" x14ac:dyDescent="0.3">
      <c r="A279" t="s">
        <v>262</v>
      </c>
      <c r="B279" t="s">
        <v>1</v>
      </c>
      <c r="C279">
        <v>0.1</v>
      </c>
      <c r="D279" t="s">
        <v>590</v>
      </c>
      <c r="E279" t="s">
        <v>1982</v>
      </c>
      <c r="F279" t="s">
        <v>4</v>
      </c>
      <c r="G279">
        <v>375</v>
      </c>
      <c r="H279" t="s">
        <v>5</v>
      </c>
      <c r="I279">
        <v>306</v>
      </c>
      <c r="J279" t="s">
        <v>6</v>
      </c>
      <c r="K279">
        <v>-12.4736616493232</v>
      </c>
      <c r="L279" t="s">
        <v>7</v>
      </c>
      <c r="M279">
        <v>-3.3263097731528503E-2</v>
      </c>
      <c r="N279" t="s">
        <v>8</v>
      </c>
      <c r="O279">
        <v>0.29057626911985801</v>
      </c>
      <c r="P279" t="s">
        <v>9</v>
      </c>
      <c r="Q279">
        <v>-1.4694202898550699</v>
      </c>
      <c r="R279" t="s">
        <v>10</v>
      </c>
      <c r="S279">
        <v>0.47966246342997898</v>
      </c>
      <c r="T279" t="s">
        <v>11</v>
      </c>
      <c r="U279" t="s">
        <v>2030</v>
      </c>
      <c r="V279" t="s">
        <v>720</v>
      </c>
      <c r="W279">
        <v>0</v>
      </c>
      <c r="X279" t="s">
        <v>14</v>
      </c>
      <c r="Y279" t="s">
        <v>15</v>
      </c>
      <c r="Z279" t="s">
        <v>2152</v>
      </c>
      <c r="AA279" t="s">
        <v>720</v>
      </c>
      <c r="AB279">
        <v>0</v>
      </c>
      <c r="AC279" t="s">
        <v>18</v>
      </c>
    </row>
    <row r="280" spans="1:29" x14ac:dyDescent="0.3">
      <c r="A280" t="s">
        <v>262</v>
      </c>
      <c r="B280" t="s">
        <v>1</v>
      </c>
      <c r="C280">
        <v>0.1</v>
      </c>
      <c r="D280" t="s">
        <v>590</v>
      </c>
      <c r="E280" t="s">
        <v>1985</v>
      </c>
      <c r="F280" t="s">
        <v>4</v>
      </c>
      <c r="G280">
        <v>375</v>
      </c>
      <c r="H280" t="s">
        <v>5</v>
      </c>
      <c r="I280">
        <v>327</v>
      </c>
      <c r="J280" t="s">
        <v>6</v>
      </c>
      <c r="K280">
        <v>-13.9636616493232</v>
      </c>
      <c r="L280" t="s">
        <v>7</v>
      </c>
      <c r="M280">
        <v>-3.7236431064861901E-2</v>
      </c>
      <c r="N280" t="s">
        <v>8</v>
      </c>
      <c r="O280">
        <v>0.28913253318249699</v>
      </c>
      <c r="P280" t="s">
        <v>9</v>
      </c>
      <c r="Q280">
        <v>-2.2606250000000001</v>
      </c>
      <c r="R280" t="s">
        <v>10</v>
      </c>
      <c r="S280">
        <v>0.59038013140288703</v>
      </c>
      <c r="T280" t="s">
        <v>11</v>
      </c>
      <c r="U280" t="s">
        <v>2030</v>
      </c>
      <c r="V280" t="s">
        <v>720</v>
      </c>
      <c r="W280">
        <v>0</v>
      </c>
      <c r="X280" t="s">
        <v>14</v>
      </c>
      <c r="Y280" t="s">
        <v>15</v>
      </c>
      <c r="Z280" t="s">
        <v>2152</v>
      </c>
      <c r="AA280" t="s">
        <v>720</v>
      </c>
      <c r="AB280">
        <v>0</v>
      </c>
      <c r="AC280" t="s">
        <v>18</v>
      </c>
    </row>
    <row r="281" spans="1:29" x14ac:dyDescent="0.3">
      <c r="A281" t="s">
        <v>262</v>
      </c>
      <c r="B281" t="s">
        <v>1</v>
      </c>
      <c r="C281">
        <v>0.1</v>
      </c>
      <c r="D281" t="s">
        <v>590</v>
      </c>
      <c r="E281" t="s">
        <v>1988</v>
      </c>
      <c r="F281" t="s">
        <v>4</v>
      </c>
      <c r="G281">
        <v>375</v>
      </c>
      <c r="H281" t="s">
        <v>5</v>
      </c>
      <c r="I281">
        <v>336</v>
      </c>
      <c r="J281" t="s">
        <v>6</v>
      </c>
      <c r="K281">
        <v>-13.403661649323199</v>
      </c>
      <c r="L281" t="s">
        <v>7</v>
      </c>
      <c r="M281">
        <v>-3.5743097731528499E-2</v>
      </c>
      <c r="N281" t="s">
        <v>8</v>
      </c>
      <c r="O281">
        <v>0.29183434032939498</v>
      </c>
      <c r="P281" t="s">
        <v>9</v>
      </c>
      <c r="Q281">
        <v>-2.8579487179487102</v>
      </c>
      <c r="R281" t="s">
        <v>10</v>
      </c>
      <c r="S281">
        <v>0.63806405189594695</v>
      </c>
      <c r="T281" t="s">
        <v>11</v>
      </c>
      <c r="U281" t="s">
        <v>2030</v>
      </c>
      <c r="V281" t="s">
        <v>720</v>
      </c>
      <c r="W281">
        <v>0</v>
      </c>
      <c r="X281" t="s">
        <v>14</v>
      </c>
      <c r="Y281" t="s">
        <v>15</v>
      </c>
      <c r="Z281" t="s">
        <v>2152</v>
      </c>
      <c r="AA281" t="s">
        <v>720</v>
      </c>
      <c r="AB281">
        <v>0</v>
      </c>
      <c r="AC281" t="s">
        <v>18</v>
      </c>
    </row>
    <row r="282" spans="1:29" x14ac:dyDescent="0.3">
      <c r="A282" t="s">
        <v>262</v>
      </c>
      <c r="B282" t="s">
        <v>1</v>
      </c>
      <c r="C282">
        <v>0.1</v>
      </c>
      <c r="D282" t="s">
        <v>599</v>
      </c>
      <c r="E282" t="s">
        <v>1991</v>
      </c>
      <c r="F282" t="s">
        <v>4</v>
      </c>
      <c r="G282">
        <v>376</v>
      </c>
      <c r="H282" t="s">
        <v>5</v>
      </c>
      <c r="I282">
        <v>283</v>
      </c>
      <c r="J282" t="s">
        <v>6</v>
      </c>
      <c r="K282">
        <v>7.3680622198766601</v>
      </c>
      <c r="L282" t="s">
        <v>7</v>
      </c>
      <c r="M282">
        <v>1.9595910159246398E-2</v>
      </c>
      <c r="N282" t="s">
        <v>8</v>
      </c>
      <c r="O282">
        <v>0.361501343702675</v>
      </c>
      <c r="P282" t="s">
        <v>9</v>
      </c>
      <c r="Q282">
        <v>-1.02082600051591</v>
      </c>
      <c r="R282" t="s">
        <v>10</v>
      </c>
      <c r="S282">
        <v>0.352121495537564</v>
      </c>
      <c r="T282" t="s">
        <v>11</v>
      </c>
      <c r="U282" t="s">
        <v>2034</v>
      </c>
      <c r="V282" t="s">
        <v>720</v>
      </c>
      <c r="W282">
        <v>0</v>
      </c>
      <c r="X282" t="s">
        <v>14</v>
      </c>
      <c r="Y282" t="s">
        <v>15</v>
      </c>
      <c r="Z282" t="s">
        <v>2153</v>
      </c>
      <c r="AA282" t="s">
        <v>720</v>
      </c>
      <c r="AB282">
        <v>0</v>
      </c>
      <c r="AC282" t="s">
        <v>18</v>
      </c>
    </row>
    <row r="283" spans="1:29" x14ac:dyDescent="0.3">
      <c r="A283" t="s">
        <v>262</v>
      </c>
      <c r="B283" t="s">
        <v>1</v>
      </c>
      <c r="C283">
        <v>0.1</v>
      </c>
      <c r="D283" t="s">
        <v>599</v>
      </c>
      <c r="E283" t="s">
        <v>1994</v>
      </c>
      <c r="F283" t="s">
        <v>4</v>
      </c>
      <c r="G283">
        <v>376</v>
      </c>
      <c r="H283" t="s">
        <v>5</v>
      </c>
      <c r="I283">
        <v>311</v>
      </c>
      <c r="J283" t="s">
        <v>6</v>
      </c>
      <c r="K283">
        <v>4.6746907861102303</v>
      </c>
      <c r="L283" t="s">
        <v>7</v>
      </c>
      <c r="M283">
        <v>1.2432688260931401E-2</v>
      </c>
      <c r="N283" t="s">
        <v>8</v>
      </c>
      <c r="O283">
        <v>0.36310420418737499</v>
      </c>
      <c r="P283" t="s">
        <v>9</v>
      </c>
      <c r="Q283">
        <v>-1.6653956417871201</v>
      </c>
      <c r="R283" t="s">
        <v>10</v>
      </c>
      <c r="S283">
        <v>0.42881659411676598</v>
      </c>
      <c r="T283" t="s">
        <v>11</v>
      </c>
      <c r="U283" t="s">
        <v>2034</v>
      </c>
      <c r="V283" t="s">
        <v>720</v>
      </c>
      <c r="W283">
        <v>0</v>
      </c>
      <c r="X283" t="s">
        <v>14</v>
      </c>
      <c r="Y283" t="s">
        <v>15</v>
      </c>
      <c r="Z283" t="s">
        <v>2153</v>
      </c>
      <c r="AA283" t="s">
        <v>720</v>
      </c>
      <c r="AB283">
        <v>0</v>
      </c>
      <c r="AC283" t="s">
        <v>18</v>
      </c>
    </row>
    <row r="284" spans="1:29" x14ac:dyDescent="0.3">
      <c r="A284" t="s">
        <v>262</v>
      </c>
      <c r="B284" t="s">
        <v>1</v>
      </c>
      <c r="C284">
        <v>0.1</v>
      </c>
      <c r="D284" t="s">
        <v>599</v>
      </c>
      <c r="E284" t="s">
        <v>1996</v>
      </c>
      <c r="F284" t="s">
        <v>4</v>
      </c>
      <c r="G284">
        <v>376</v>
      </c>
      <c r="H284" t="s">
        <v>5</v>
      </c>
      <c r="I284">
        <v>330</v>
      </c>
      <c r="J284" t="s">
        <v>6</v>
      </c>
      <c r="K284">
        <v>4.4530190780750001</v>
      </c>
      <c r="L284" t="s">
        <v>7</v>
      </c>
      <c r="M284">
        <v>1.1843135845944101E-2</v>
      </c>
      <c r="N284" t="s">
        <v>8</v>
      </c>
      <c r="O284">
        <v>0.36153674770008698</v>
      </c>
      <c r="P284" t="s">
        <v>9</v>
      </c>
      <c r="Q284">
        <v>-2.4968284274555201</v>
      </c>
      <c r="R284" t="s">
        <v>10</v>
      </c>
      <c r="S284">
        <v>0.50928094552444203</v>
      </c>
      <c r="T284" t="s">
        <v>11</v>
      </c>
      <c r="U284" t="s">
        <v>2034</v>
      </c>
      <c r="V284" t="s">
        <v>720</v>
      </c>
      <c r="W284">
        <v>0</v>
      </c>
      <c r="X284" t="s">
        <v>14</v>
      </c>
      <c r="Y284" t="s">
        <v>15</v>
      </c>
      <c r="Z284" t="s">
        <v>2154</v>
      </c>
      <c r="AA284" t="s">
        <v>2123</v>
      </c>
      <c r="AB284">
        <v>0</v>
      </c>
      <c r="AC284" t="s">
        <v>18</v>
      </c>
    </row>
    <row r="285" spans="1:29" x14ac:dyDescent="0.3">
      <c r="A285" t="s">
        <v>262</v>
      </c>
      <c r="B285" t="s">
        <v>1</v>
      </c>
      <c r="C285">
        <v>0.1</v>
      </c>
      <c r="D285" t="s">
        <v>599</v>
      </c>
      <c r="E285" t="s">
        <v>1997</v>
      </c>
      <c r="F285" t="s">
        <v>4</v>
      </c>
      <c r="G285">
        <v>376</v>
      </c>
      <c r="H285" t="s">
        <v>5</v>
      </c>
      <c r="I285">
        <v>339</v>
      </c>
      <c r="J285" t="s">
        <v>6</v>
      </c>
      <c r="K285">
        <v>3.7230190780750099</v>
      </c>
      <c r="L285" t="s">
        <v>7</v>
      </c>
      <c r="M285">
        <v>9.9016464842420597E-3</v>
      </c>
      <c r="N285" t="s">
        <v>8</v>
      </c>
      <c r="O285">
        <v>0.36291187829212002</v>
      </c>
      <c r="P285" t="s">
        <v>9</v>
      </c>
      <c r="Q285">
        <v>-3.22443534224199</v>
      </c>
      <c r="R285" t="s">
        <v>10</v>
      </c>
      <c r="S285">
        <v>0.58286822721953901</v>
      </c>
      <c r="T285" t="s">
        <v>11</v>
      </c>
      <c r="U285" t="s">
        <v>2034</v>
      </c>
      <c r="V285" t="s">
        <v>720</v>
      </c>
      <c r="W285">
        <v>0</v>
      </c>
      <c r="X285" t="s">
        <v>14</v>
      </c>
      <c r="Y285" t="s">
        <v>15</v>
      </c>
      <c r="Z285" t="s">
        <v>2155</v>
      </c>
      <c r="AA285" t="s">
        <v>2013</v>
      </c>
      <c r="AB285">
        <v>0</v>
      </c>
      <c r="AC285" t="s">
        <v>18</v>
      </c>
    </row>
    <row r="286" spans="1:29" x14ac:dyDescent="0.3">
      <c r="A286" t="s">
        <v>262</v>
      </c>
      <c r="B286" t="s">
        <v>1</v>
      </c>
      <c r="C286">
        <v>0.1</v>
      </c>
      <c r="D286" t="s">
        <v>1998</v>
      </c>
      <c r="E286" t="s">
        <v>1999</v>
      </c>
      <c r="F286" t="s">
        <v>4</v>
      </c>
      <c r="G286">
        <v>370</v>
      </c>
      <c r="H286" t="s">
        <v>5</v>
      </c>
      <c r="I286">
        <v>269</v>
      </c>
      <c r="J286" t="s">
        <v>6</v>
      </c>
      <c r="K286">
        <v>22.7721251070863</v>
      </c>
      <c r="L286" t="s">
        <v>7</v>
      </c>
      <c r="M286">
        <v>6.1546284073206399E-2</v>
      </c>
      <c r="N286" t="s">
        <v>8</v>
      </c>
      <c r="O286">
        <v>0.480078674306195</v>
      </c>
      <c r="P286" t="s">
        <v>9</v>
      </c>
      <c r="Q286">
        <v>-1.0531587948641501</v>
      </c>
      <c r="R286" t="s">
        <v>10</v>
      </c>
      <c r="S286">
        <v>0.38691681172713099</v>
      </c>
      <c r="T286" t="s">
        <v>11</v>
      </c>
      <c r="U286" t="s">
        <v>2038</v>
      </c>
      <c r="V286" t="s">
        <v>720</v>
      </c>
      <c r="W286">
        <v>0</v>
      </c>
      <c r="X286" t="s">
        <v>14</v>
      </c>
      <c r="Y286" t="s">
        <v>15</v>
      </c>
      <c r="Z286" t="s">
        <v>2156</v>
      </c>
      <c r="AA286" t="s">
        <v>720</v>
      </c>
      <c r="AB286">
        <v>0</v>
      </c>
      <c r="AC286" t="s">
        <v>18</v>
      </c>
    </row>
    <row r="287" spans="1:29" x14ac:dyDescent="0.3">
      <c r="A287" t="s">
        <v>262</v>
      </c>
      <c r="B287" t="s">
        <v>1</v>
      </c>
      <c r="C287">
        <v>0.1</v>
      </c>
      <c r="D287" t="s">
        <v>1998</v>
      </c>
      <c r="E287" t="s">
        <v>2002</v>
      </c>
      <c r="F287" t="s">
        <v>4</v>
      </c>
      <c r="G287">
        <v>370</v>
      </c>
      <c r="H287" t="s">
        <v>5</v>
      </c>
      <c r="I287">
        <v>307</v>
      </c>
      <c r="J287" t="s">
        <v>6</v>
      </c>
      <c r="K287">
        <v>25.4614786118929</v>
      </c>
      <c r="L287" t="s">
        <v>7</v>
      </c>
      <c r="M287">
        <v>6.8814807059170202E-2</v>
      </c>
      <c r="N287" t="s">
        <v>8</v>
      </c>
      <c r="O287">
        <v>0.47748862240300499</v>
      </c>
      <c r="P287" t="s">
        <v>9</v>
      </c>
      <c r="Q287">
        <v>-1.92265918199729</v>
      </c>
      <c r="R287" t="s">
        <v>10</v>
      </c>
      <c r="S287">
        <v>0.521452869630181</v>
      </c>
      <c r="T287" t="s">
        <v>11</v>
      </c>
      <c r="U287" t="s">
        <v>2157</v>
      </c>
      <c r="V287" t="s">
        <v>595</v>
      </c>
      <c r="W287">
        <v>0</v>
      </c>
      <c r="X287" t="s">
        <v>14</v>
      </c>
      <c r="Y287" t="s">
        <v>15</v>
      </c>
      <c r="Z287" t="s">
        <v>2158</v>
      </c>
      <c r="AA287" t="s">
        <v>718</v>
      </c>
      <c r="AB287">
        <v>0</v>
      </c>
      <c r="AC287" t="s">
        <v>18</v>
      </c>
    </row>
    <row r="288" spans="1:29" x14ac:dyDescent="0.3">
      <c r="A288" t="s">
        <v>262</v>
      </c>
      <c r="B288" t="s">
        <v>1</v>
      </c>
      <c r="C288">
        <v>0.1</v>
      </c>
      <c r="D288" t="s">
        <v>1998</v>
      </c>
      <c r="E288" t="s">
        <v>2004</v>
      </c>
      <c r="F288" t="s">
        <v>4</v>
      </c>
      <c r="G288">
        <v>370</v>
      </c>
      <c r="H288" t="s">
        <v>5</v>
      </c>
      <c r="I288">
        <v>325</v>
      </c>
      <c r="J288" t="s">
        <v>6</v>
      </c>
      <c r="K288">
        <v>32.221478611892998</v>
      </c>
      <c r="L288" t="s">
        <v>7</v>
      </c>
      <c r="M288">
        <v>8.7085077329440597E-2</v>
      </c>
      <c r="N288" t="s">
        <v>8</v>
      </c>
      <c r="O288">
        <v>0.47211156504309998</v>
      </c>
      <c r="P288" t="s">
        <v>9</v>
      </c>
      <c r="Q288">
        <v>-2.6936617783803198</v>
      </c>
      <c r="R288" t="s">
        <v>10</v>
      </c>
      <c r="S288">
        <v>0.585185078876723</v>
      </c>
      <c r="T288" t="s">
        <v>11</v>
      </c>
      <c r="U288" t="s">
        <v>2157</v>
      </c>
      <c r="V288" t="s">
        <v>595</v>
      </c>
      <c r="W288">
        <v>0</v>
      </c>
      <c r="X288" t="s">
        <v>14</v>
      </c>
      <c r="Y288" t="s">
        <v>15</v>
      </c>
      <c r="Z288" t="s">
        <v>2159</v>
      </c>
      <c r="AA288" t="s">
        <v>718</v>
      </c>
      <c r="AB288">
        <v>0</v>
      </c>
      <c r="AC288" t="s">
        <v>18</v>
      </c>
    </row>
    <row r="289" spans="1:29" x14ac:dyDescent="0.3">
      <c r="A289" t="s">
        <v>262</v>
      </c>
      <c r="B289" t="s">
        <v>1</v>
      </c>
      <c r="C289">
        <v>0.1</v>
      </c>
      <c r="D289" t="s">
        <v>1998</v>
      </c>
      <c r="E289" t="s">
        <v>2005</v>
      </c>
      <c r="F289" t="s">
        <v>4</v>
      </c>
      <c r="G289">
        <v>370</v>
      </c>
      <c r="H289" t="s">
        <v>5</v>
      </c>
      <c r="I289">
        <v>334</v>
      </c>
      <c r="J289" t="s">
        <v>6</v>
      </c>
      <c r="K289">
        <v>9.3777184808371494</v>
      </c>
      <c r="L289" t="s">
        <v>7</v>
      </c>
      <c r="M289">
        <v>2.5345185083343599E-2</v>
      </c>
      <c r="N289" t="s">
        <v>8</v>
      </c>
      <c r="O289">
        <v>0.47077114729174802</v>
      </c>
      <c r="P289" t="s">
        <v>9</v>
      </c>
      <c r="Q289">
        <v>-4.1072179087390799</v>
      </c>
      <c r="R289" t="s">
        <v>10</v>
      </c>
      <c r="S289">
        <v>0.699868396360114</v>
      </c>
      <c r="T289" t="s">
        <v>11</v>
      </c>
      <c r="U289" t="s">
        <v>2160</v>
      </c>
      <c r="V289" t="s">
        <v>595</v>
      </c>
      <c r="W289">
        <v>0</v>
      </c>
      <c r="X289" t="s">
        <v>14</v>
      </c>
      <c r="Y289" t="s">
        <v>15</v>
      </c>
      <c r="Z289" t="s">
        <v>2161</v>
      </c>
      <c r="AA289" t="s">
        <v>2132</v>
      </c>
      <c r="AB289">
        <v>0</v>
      </c>
      <c r="AC289" t="s">
        <v>18</v>
      </c>
    </row>
    <row r="290" spans="1:29" x14ac:dyDescent="0.3">
      <c r="A290" t="s">
        <v>2162</v>
      </c>
      <c r="B290" t="s">
        <v>1</v>
      </c>
      <c r="C290">
        <v>0.4</v>
      </c>
      <c r="D290" t="s">
        <v>590</v>
      </c>
      <c r="E290" t="s">
        <v>1979</v>
      </c>
      <c r="F290" t="s">
        <v>4</v>
      </c>
      <c r="G290">
        <v>249</v>
      </c>
      <c r="H290" t="s">
        <v>5</v>
      </c>
      <c r="I290">
        <v>155</v>
      </c>
      <c r="J290" t="s">
        <v>6</v>
      </c>
      <c r="K290">
        <v>-32.92</v>
      </c>
      <c r="L290" t="s">
        <v>7</v>
      </c>
      <c r="M290">
        <v>-0.13220883534136499</v>
      </c>
      <c r="N290" t="s">
        <v>8</v>
      </c>
      <c r="O290">
        <v>2.1283225806451598</v>
      </c>
      <c r="P290" t="s">
        <v>9</v>
      </c>
      <c r="Q290">
        <v>-3.8596808510638301</v>
      </c>
      <c r="R290" t="s">
        <v>10</v>
      </c>
      <c r="S290">
        <v>1.1376600342104499</v>
      </c>
      <c r="T290" t="s">
        <v>11</v>
      </c>
      <c r="U290" t="s">
        <v>1980</v>
      </c>
      <c r="V290" t="s">
        <v>720</v>
      </c>
      <c r="W290">
        <v>0</v>
      </c>
      <c r="X290" t="s">
        <v>14</v>
      </c>
      <c r="Y290" t="s">
        <v>15</v>
      </c>
      <c r="Z290" t="s">
        <v>2121</v>
      </c>
      <c r="AA290" t="s">
        <v>720</v>
      </c>
      <c r="AB290">
        <v>0</v>
      </c>
      <c r="AC290" t="s">
        <v>18</v>
      </c>
    </row>
    <row r="291" spans="1:29" x14ac:dyDescent="0.3">
      <c r="A291" t="s">
        <v>2162</v>
      </c>
      <c r="B291" t="s">
        <v>1</v>
      </c>
      <c r="C291">
        <v>0.4</v>
      </c>
      <c r="D291" t="s">
        <v>590</v>
      </c>
      <c r="E291" t="s">
        <v>1982</v>
      </c>
      <c r="F291" t="s">
        <v>4</v>
      </c>
      <c r="G291">
        <v>249</v>
      </c>
      <c r="H291" t="s">
        <v>5</v>
      </c>
      <c r="I291">
        <v>177</v>
      </c>
      <c r="J291" t="s">
        <v>6</v>
      </c>
      <c r="K291">
        <v>-42.2</v>
      </c>
      <c r="L291" t="s">
        <v>7</v>
      </c>
      <c r="M291">
        <v>-0.16947791164658599</v>
      </c>
      <c r="N291" t="s">
        <v>8</v>
      </c>
      <c r="O291">
        <v>2.1216949152542299</v>
      </c>
      <c r="P291" t="s">
        <v>9</v>
      </c>
      <c r="Q291">
        <v>-5.8019444444444401</v>
      </c>
      <c r="R291" t="s">
        <v>10</v>
      </c>
      <c r="S291">
        <v>1.63217824620811</v>
      </c>
      <c r="T291" t="s">
        <v>11</v>
      </c>
      <c r="U291" t="s">
        <v>1980</v>
      </c>
      <c r="V291" t="s">
        <v>720</v>
      </c>
      <c r="W291">
        <v>0</v>
      </c>
      <c r="X291" t="s">
        <v>14</v>
      </c>
      <c r="Y291" t="s">
        <v>15</v>
      </c>
      <c r="Z291" t="s">
        <v>2122</v>
      </c>
      <c r="AA291" t="s">
        <v>2123</v>
      </c>
      <c r="AB291">
        <v>0</v>
      </c>
      <c r="AC291" t="s">
        <v>18</v>
      </c>
    </row>
    <row r="292" spans="1:29" x14ac:dyDescent="0.3">
      <c r="A292" t="s">
        <v>2162</v>
      </c>
      <c r="B292" t="s">
        <v>1</v>
      </c>
      <c r="C292">
        <v>0.4</v>
      </c>
      <c r="D292" t="s">
        <v>590</v>
      </c>
      <c r="E292" t="s">
        <v>1985</v>
      </c>
      <c r="F292" t="s">
        <v>4</v>
      </c>
      <c r="G292">
        <v>249</v>
      </c>
      <c r="H292" t="s">
        <v>5</v>
      </c>
      <c r="I292">
        <v>179</v>
      </c>
      <c r="J292" t="s">
        <v>6</v>
      </c>
      <c r="K292">
        <v>-95.899999999999906</v>
      </c>
      <c r="L292" t="s">
        <v>7</v>
      </c>
      <c r="M292">
        <v>-0.38514056224899501</v>
      </c>
      <c r="N292" t="s">
        <v>8</v>
      </c>
      <c r="O292">
        <v>2.1150279329608899</v>
      </c>
      <c r="P292" t="s">
        <v>9</v>
      </c>
      <c r="Q292">
        <v>-6.7784285714285604</v>
      </c>
      <c r="R292" t="s">
        <v>10</v>
      </c>
      <c r="S292">
        <v>1.89139757146467</v>
      </c>
      <c r="T292" t="s">
        <v>11</v>
      </c>
      <c r="U292" t="s">
        <v>1980</v>
      </c>
      <c r="V292" t="s">
        <v>720</v>
      </c>
      <c r="W292">
        <v>0</v>
      </c>
      <c r="X292" t="s">
        <v>14</v>
      </c>
      <c r="Y292" t="s">
        <v>15</v>
      </c>
      <c r="Z292" t="s">
        <v>2122</v>
      </c>
      <c r="AA292" t="s">
        <v>2123</v>
      </c>
      <c r="AB292">
        <v>0</v>
      </c>
      <c r="AC292" t="s">
        <v>18</v>
      </c>
    </row>
    <row r="293" spans="1:29" x14ac:dyDescent="0.3">
      <c r="A293" t="s">
        <v>2162</v>
      </c>
      <c r="B293" t="s">
        <v>1</v>
      </c>
      <c r="C293">
        <v>0.4</v>
      </c>
      <c r="D293" t="s">
        <v>590</v>
      </c>
      <c r="E293" t="s">
        <v>1988</v>
      </c>
      <c r="F293" t="s">
        <v>4</v>
      </c>
      <c r="G293">
        <v>249</v>
      </c>
      <c r="H293" t="s">
        <v>5</v>
      </c>
      <c r="I293">
        <v>179</v>
      </c>
      <c r="J293" t="s">
        <v>6</v>
      </c>
      <c r="K293">
        <v>-147.01999999999899</v>
      </c>
      <c r="L293" t="s">
        <v>7</v>
      </c>
      <c r="M293">
        <v>-0.59044176706827201</v>
      </c>
      <c r="N293" t="s">
        <v>8</v>
      </c>
      <c r="O293">
        <v>2.1150279329608899</v>
      </c>
      <c r="P293" t="s">
        <v>9</v>
      </c>
      <c r="Q293">
        <v>-7.5087142857142801</v>
      </c>
      <c r="R293" t="s">
        <v>10</v>
      </c>
      <c r="S293">
        <v>2.1307706619012099</v>
      </c>
      <c r="T293" t="s">
        <v>11</v>
      </c>
      <c r="U293" t="s">
        <v>1980</v>
      </c>
      <c r="V293" t="s">
        <v>720</v>
      </c>
      <c r="W293">
        <v>0</v>
      </c>
      <c r="X293" t="s">
        <v>14</v>
      </c>
      <c r="Y293" t="s">
        <v>15</v>
      </c>
      <c r="Z293" t="s">
        <v>2124</v>
      </c>
      <c r="AA293" t="s">
        <v>718</v>
      </c>
      <c r="AB293">
        <v>0</v>
      </c>
      <c r="AC293" t="s">
        <v>18</v>
      </c>
    </row>
    <row r="294" spans="1:29" x14ac:dyDescent="0.3">
      <c r="A294" t="s">
        <v>2162</v>
      </c>
      <c r="B294" t="s">
        <v>1</v>
      </c>
      <c r="C294">
        <v>0.4</v>
      </c>
      <c r="D294" t="s">
        <v>599</v>
      </c>
      <c r="E294" t="s">
        <v>1991</v>
      </c>
      <c r="F294" t="s">
        <v>4</v>
      </c>
      <c r="G294">
        <v>258</v>
      </c>
      <c r="H294" t="s">
        <v>5</v>
      </c>
      <c r="I294">
        <v>165</v>
      </c>
      <c r="J294" t="s">
        <v>6</v>
      </c>
      <c r="K294">
        <v>-5.7400000000000198</v>
      </c>
      <c r="L294" t="s">
        <v>7</v>
      </c>
      <c r="M294">
        <v>-2.2248062015503899E-2</v>
      </c>
      <c r="N294" t="s">
        <v>8</v>
      </c>
      <c r="O294">
        <v>2.5795757575757499</v>
      </c>
      <c r="P294" t="s">
        <v>9</v>
      </c>
      <c r="Q294">
        <v>-4.6383870967741903</v>
      </c>
      <c r="R294" t="s">
        <v>10</v>
      </c>
      <c r="S294">
        <v>1.3262055964439301</v>
      </c>
      <c r="T294" t="s">
        <v>11</v>
      </c>
      <c r="U294" t="s">
        <v>1992</v>
      </c>
      <c r="V294" t="s">
        <v>720</v>
      </c>
      <c r="W294">
        <v>0</v>
      </c>
      <c r="X294" t="s">
        <v>14</v>
      </c>
      <c r="Y294" t="s">
        <v>15</v>
      </c>
      <c r="Z294" t="s">
        <v>2125</v>
      </c>
      <c r="AA294" t="s">
        <v>720</v>
      </c>
      <c r="AB294">
        <v>0</v>
      </c>
      <c r="AC294" t="s">
        <v>18</v>
      </c>
    </row>
    <row r="295" spans="1:29" x14ac:dyDescent="0.3">
      <c r="A295" t="s">
        <v>2162</v>
      </c>
      <c r="B295" t="s">
        <v>1</v>
      </c>
      <c r="C295">
        <v>0.4</v>
      </c>
      <c r="D295" t="s">
        <v>599</v>
      </c>
      <c r="E295" t="s">
        <v>1994</v>
      </c>
      <c r="F295" t="s">
        <v>4</v>
      </c>
      <c r="G295">
        <v>258</v>
      </c>
      <c r="H295" t="s">
        <v>5</v>
      </c>
      <c r="I295">
        <v>188</v>
      </c>
      <c r="J295" t="s">
        <v>6</v>
      </c>
      <c r="K295">
        <v>-84.811965021531094</v>
      </c>
      <c r="L295" t="s">
        <v>7</v>
      </c>
      <c r="M295">
        <v>-0.32872854659508199</v>
      </c>
      <c r="N295" t="s">
        <v>8</v>
      </c>
      <c r="O295">
        <v>2.5381382978723401</v>
      </c>
      <c r="P295" t="s">
        <v>9</v>
      </c>
      <c r="Q295">
        <v>-8.0283137860218705</v>
      </c>
      <c r="R295" t="s">
        <v>10</v>
      </c>
      <c r="S295">
        <v>1.8152580161963601</v>
      </c>
      <c r="T295" t="s">
        <v>11</v>
      </c>
      <c r="U295" t="s">
        <v>1992</v>
      </c>
      <c r="V295" t="s">
        <v>720</v>
      </c>
      <c r="W295">
        <v>0</v>
      </c>
      <c r="X295" t="s">
        <v>14</v>
      </c>
      <c r="Y295" t="s">
        <v>15</v>
      </c>
      <c r="Z295" t="s">
        <v>2126</v>
      </c>
      <c r="AA295" t="s">
        <v>2123</v>
      </c>
      <c r="AB295">
        <v>0</v>
      </c>
      <c r="AC295" t="s">
        <v>18</v>
      </c>
    </row>
    <row r="296" spans="1:29" x14ac:dyDescent="0.3">
      <c r="A296" t="s">
        <v>2162</v>
      </c>
      <c r="B296" t="s">
        <v>1</v>
      </c>
      <c r="C296">
        <v>0.4</v>
      </c>
      <c r="D296" t="s">
        <v>599</v>
      </c>
      <c r="E296" t="s">
        <v>1996</v>
      </c>
      <c r="F296" t="s">
        <v>4</v>
      </c>
      <c r="G296">
        <v>258</v>
      </c>
      <c r="H296" t="s">
        <v>5</v>
      </c>
      <c r="I296">
        <v>195</v>
      </c>
      <c r="J296" t="s">
        <v>6</v>
      </c>
      <c r="K296">
        <v>-41.959999999999603</v>
      </c>
      <c r="L296" t="s">
        <v>7</v>
      </c>
      <c r="M296">
        <v>-0.162635658914727</v>
      </c>
      <c r="N296" t="s">
        <v>8</v>
      </c>
      <c r="O296">
        <v>2.5344102564102502</v>
      </c>
      <c r="P296" t="s">
        <v>9</v>
      </c>
      <c r="Q296">
        <v>-8.5106349206349101</v>
      </c>
      <c r="R296" t="s">
        <v>10</v>
      </c>
      <c r="S296">
        <v>2.1640997502728498</v>
      </c>
      <c r="T296" t="s">
        <v>11</v>
      </c>
      <c r="U296" t="s">
        <v>1992</v>
      </c>
      <c r="V296" t="s">
        <v>720</v>
      </c>
      <c r="W296">
        <v>0</v>
      </c>
      <c r="X296" t="s">
        <v>14</v>
      </c>
      <c r="Y296" t="s">
        <v>15</v>
      </c>
      <c r="Z296" t="s">
        <v>2126</v>
      </c>
      <c r="AA296" t="s">
        <v>2123</v>
      </c>
      <c r="AB296">
        <v>0</v>
      </c>
      <c r="AC296" t="s">
        <v>18</v>
      </c>
    </row>
    <row r="297" spans="1:29" x14ac:dyDescent="0.3">
      <c r="A297" t="s">
        <v>2162</v>
      </c>
      <c r="B297" t="s">
        <v>1</v>
      </c>
      <c r="C297">
        <v>0.4</v>
      </c>
      <c r="D297" t="s">
        <v>599</v>
      </c>
      <c r="E297" t="s">
        <v>1997</v>
      </c>
      <c r="F297" t="s">
        <v>4</v>
      </c>
      <c r="G297">
        <v>258</v>
      </c>
      <c r="H297" t="s">
        <v>5</v>
      </c>
      <c r="I297">
        <v>195</v>
      </c>
      <c r="J297" t="s">
        <v>6</v>
      </c>
      <c r="K297">
        <v>-116.829999999999</v>
      </c>
      <c r="L297" t="s">
        <v>7</v>
      </c>
      <c r="M297">
        <v>-0.45282945736433899</v>
      </c>
      <c r="N297" t="s">
        <v>8</v>
      </c>
      <c r="O297">
        <v>2.5344102564102502</v>
      </c>
      <c r="P297" t="s">
        <v>9</v>
      </c>
      <c r="Q297">
        <v>-9.6990476190476098</v>
      </c>
      <c r="R297" t="s">
        <v>10</v>
      </c>
      <c r="S297">
        <v>2.3549538486169501</v>
      </c>
      <c r="T297" t="s">
        <v>11</v>
      </c>
      <c r="U297" t="s">
        <v>1992</v>
      </c>
      <c r="V297" t="s">
        <v>720</v>
      </c>
      <c r="W297">
        <v>0</v>
      </c>
      <c r="X297" t="s">
        <v>14</v>
      </c>
      <c r="Y297" t="s">
        <v>15</v>
      </c>
      <c r="Z297" t="s">
        <v>2127</v>
      </c>
      <c r="AA297" t="s">
        <v>718</v>
      </c>
      <c r="AB297">
        <v>0</v>
      </c>
      <c r="AC297" t="s">
        <v>18</v>
      </c>
    </row>
    <row r="298" spans="1:29" x14ac:dyDescent="0.3">
      <c r="A298" t="s">
        <v>2162</v>
      </c>
      <c r="B298" t="s">
        <v>1</v>
      </c>
      <c r="C298">
        <v>0.4</v>
      </c>
      <c r="D298" t="s">
        <v>1998</v>
      </c>
      <c r="E298" t="s">
        <v>1999</v>
      </c>
      <c r="F298" t="s">
        <v>4</v>
      </c>
      <c r="G298">
        <v>246</v>
      </c>
      <c r="H298" t="s">
        <v>5</v>
      </c>
      <c r="I298">
        <v>161</v>
      </c>
      <c r="J298" t="s">
        <v>6</v>
      </c>
      <c r="K298">
        <v>-16.270594304309199</v>
      </c>
      <c r="L298" t="s">
        <v>7</v>
      </c>
      <c r="M298">
        <v>-6.6140627253289605E-2</v>
      </c>
      <c r="N298" t="s">
        <v>8</v>
      </c>
      <c r="O298">
        <v>3.0547983458707302</v>
      </c>
      <c r="P298" t="s">
        <v>9</v>
      </c>
      <c r="Q298">
        <v>-5.9775662116411299</v>
      </c>
      <c r="R298" t="s">
        <v>10</v>
      </c>
      <c r="S298">
        <v>1.4584498186767401</v>
      </c>
      <c r="T298" t="s">
        <v>11</v>
      </c>
      <c r="U298" t="s">
        <v>2128</v>
      </c>
      <c r="V298" t="s">
        <v>720</v>
      </c>
      <c r="W298">
        <v>0</v>
      </c>
      <c r="X298" t="s">
        <v>14</v>
      </c>
      <c r="Y298" t="s">
        <v>15</v>
      </c>
      <c r="Z298" t="s">
        <v>2129</v>
      </c>
      <c r="AA298" t="s">
        <v>595</v>
      </c>
      <c r="AB298">
        <v>0</v>
      </c>
      <c r="AC298" t="s">
        <v>18</v>
      </c>
    </row>
    <row r="299" spans="1:29" x14ac:dyDescent="0.3">
      <c r="A299" t="s">
        <v>2162</v>
      </c>
      <c r="B299" t="s">
        <v>1</v>
      </c>
      <c r="C299">
        <v>0.4</v>
      </c>
      <c r="D299" t="s">
        <v>1998</v>
      </c>
      <c r="E299" t="s">
        <v>2002</v>
      </c>
      <c r="F299" t="s">
        <v>4</v>
      </c>
      <c r="G299">
        <v>246</v>
      </c>
      <c r="H299" t="s">
        <v>5</v>
      </c>
      <c r="I299">
        <v>189</v>
      </c>
      <c r="J299" t="s">
        <v>6</v>
      </c>
      <c r="K299">
        <v>-33.622559325840399</v>
      </c>
      <c r="L299" t="s">
        <v>7</v>
      </c>
      <c r="M299">
        <v>-0.13667707043024499</v>
      </c>
      <c r="N299" t="s">
        <v>8</v>
      </c>
      <c r="O299">
        <v>3.0730292787576001</v>
      </c>
      <c r="P299" t="s">
        <v>9</v>
      </c>
      <c r="Q299">
        <v>-10.7793875966847</v>
      </c>
      <c r="R299" t="s">
        <v>10</v>
      </c>
      <c r="S299">
        <v>2.3443751045767298</v>
      </c>
      <c r="T299" t="s">
        <v>11</v>
      </c>
      <c r="U299" t="s">
        <v>2128</v>
      </c>
      <c r="V299" t="s">
        <v>720</v>
      </c>
      <c r="W299">
        <v>0</v>
      </c>
      <c r="X299" t="s">
        <v>14</v>
      </c>
      <c r="Y299" t="s">
        <v>15</v>
      </c>
      <c r="Z299" t="s">
        <v>2130</v>
      </c>
      <c r="AA299" t="s">
        <v>1987</v>
      </c>
      <c r="AB299">
        <v>0</v>
      </c>
      <c r="AC299" t="s">
        <v>18</v>
      </c>
    </row>
    <row r="300" spans="1:29" x14ac:dyDescent="0.3">
      <c r="A300" t="s">
        <v>2162</v>
      </c>
      <c r="B300" t="s">
        <v>1</v>
      </c>
      <c r="C300">
        <v>0.4</v>
      </c>
      <c r="D300" t="s">
        <v>1998</v>
      </c>
      <c r="E300" t="s">
        <v>2004</v>
      </c>
      <c r="F300" t="s">
        <v>4</v>
      </c>
      <c r="G300">
        <v>246</v>
      </c>
      <c r="H300" t="s">
        <v>5</v>
      </c>
      <c r="I300">
        <v>196</v>
      </c>
      <c r="J300" t="s">
        <v>6</v>
      </c>
      <c r="K300">
        <v>-46.710594304308998</v>
      </c>
      <c r="L300" t="s">
        <v>7</v>
      </c>
      <c r="M300">
        <v>-0.189880464651662</v>
      </c>
      <c r="N300" t="s">
        <v>8</v>
      </c>
      <c r="O300">
        <v>3.0648088453325801</v>
      </c>
      <c r="P300" t="s">
        <v>9</v>
      </c>
      <c r="Q300">
        <v>-12.948262559789899</v>
      </c>
      <c r="R300" t="s">
        <v>10</v>
      </c>
      <c r="S300">
        <v>2.6511009899470102</v>
      </c>
      <c r="T300" t="s">
        <v>11</v>
      </c>
      <c r="U300" t="s">
        <v>2128</v>
      </c>
      <c r="V300" t="s">
        <v>720</v>
      </c>
      <c r="W300">
        <v>0</v>
      </c>
      <c r="X300" t="s">
        <v>14</v>
      </c>
      <c r="Y300" t="s">
        <v>15</v>
      </c>
      <c r="Z300" t="s">
        <v>2131</v>
      </c>
      <c r="AA300" t="s">
        <v>2132</v>
      </c>
      <c r="AB300">
        <v>0</v>
      </c>
      <c r="AC300" t="s">
        <v>18</v>
      </c>
    </row>
    <row r="301" spans="1:29" x14ac:dyDescent="0.3">
      <c r="A301" t="s">
        <v>2162</v>
      </c>
      <c r="B301" t="s">
        <v>1</v>
      </c>
      <c r="C301">
        <v>0.4</v>
      </c>
      <c r="D301" t="s">
        <v>1998</v>
      </c>
      <c r="E301" t="s">
        <v>2005</v>
      </c>
      <c r="F301" t="s">
        <v>4</v>
      </c>
      <c r="G301">
        <v>246</v>
      </c>
      <c r="H301" t="s">
        <v>5</v>
      </c>
      <c r="I301">
        <v>197</v>
      </c>
      <c r="J301" t="s">
        <v>6</v>
      </c>
      <c r="K301">
        <v>-96.180594304308897</v>
      </c>
      <c r="L301" t="s">
        <v>7</v>
      </c>
      <c r="M301">
        <v>-0.39097802562727202</v>
      </c>
      <c r="N301" t="s">
        <v>8</v>
      </c>
      <c r="O301">
        <v>3.0552412877420601</v>
      </c>
      <c r="P301" t="s">
        <v>9</v>
      </c>
      <c r="Q301">
        <v>-14.246186285499901</v>
      </c>
      <c r="R301" t="s">
        <v>10</v>
      </c>
      <c r="S301">
        <v>2.9534721135220798</v>
      </c>
      <c r="T301" t="s">
        <v>11</v>
      </c>
      <c r="U301" t="s">
        <v>2128</v>
      </c>
      <c r="V301" t="s">
        <v>720</v>
      </c>
      <c r="W301">
        <v>0</v>
      </c>
      <c r="X301" t="s">
        <v>14</v>
      </c>
      <c r="Y301" t="s">
        <v>15</v>
      </c>
      <c r="Z301" t="s">
        <v>2133</v>
      </c>
      <c r="AA301" t="s">
        <v>2132</v>
      </c>
      <c r="AB301">
        <v>0</v>
      </c>
      <c r="AC301" t="s">
        <v>18</v>
      </c>
    </row>
    <row r="302" spans="1:29" x14ac:dyDescent="0.3">
      <c r="A302" t="s">
        <v>2162</v>
      </c>
      <c r="B302" t="s">
        <v>1</v>
      </c>
      <c r="C302">
        <v>0.3</v>
      </c>
      <c r="D302" t="s">
        <v>590</v>
      </c>
      <c r="E302" t="s">
        <v>1979</v>
      </c>
      <c r="F302" t="s">
        <v>4</v>
      </c>
      <c r="G302">
        <v>249</v>
      </c>
      <c r="H302" t="s">
        <v>5</v>
      </c>
      <c r="I302">
        <v>158</v>
      </c>
      <c r="J302" t="s">
        <v>6</v>
      </c>
      <c r="K302">
        <v>-35.019999999999897</v>
      </c>
      <c r="L302" t="s">
        <v>7</v>
      </c>
      <c r="M302">
        <v>-0.14064257028112401</v>
      </c>
      <c r="N302" t="s">
        <v>8</v>
      </c>
      <c r="O302">
        <v>1.45101265822784</v>
      </c>
      <c r="P302" t="s">
        <v>9</v>
      </c>
      <c r="Q302">
        <v>-2.90417582417582</v>
      </c>
      <c r="R302" t="s">
        <v>10</v>
      </c>
      <c r="S302">
        <v>0.84805268210108797</v>
      </c>
      <c r="T302" t="s">
        <v>11</v>
      </c>
      <c r="U302" t="s">
        <v>2006</v>
      </c>
      <c r="V302" t="s">
        <v>720</v>
      </c>
      <c r="W302">
        <v>0</v>
      </c>
      <c r="X302" t="s">
        <v>14</v>
      </c>
      <c r="Y302" t="s">
        <v>15</v>
      </c>
      <c r="Z302" t="s">
        <v>2134</v>
      </c>
      <c r="AA302" t="s">
        <v>720</v>
      </c>
      <c r="AB302">
        <v>0</v>
      </c>
      <c r="AC302" t="s">
        <v>18</v>
      </c>
    </row>
    <row r="303" spans="1:29" x14ac:dyDescent="0.3">
      <c r="A303" t="s">
        <v>2162</v>
      </c>
      <c r="B303" t="s">
        <v>1</v>
      </c>
      <c r="C303">
        <v>0.3</v>
      </c>
      <c r="D303" t="s">
        <v>590</v>
      </c>
      <c r="E303" t="s">
        <v>1982</v>
      </c>
      <c r="F303" t="s">
        <v>4</v>
      </c>
      <c r="G303">
        <v>249</v>
      </c>
      <c r="H303" t="s">
        <v>5</v>
      </c>
      <c r="I303">
        <v>184</v>
      </c>
      <c r="J303" t="s">
        <v>6</v>
      </c>
      <c r="K303">
        <v>-38.709999999999901</v>
      </c>
      <c r="L303" t="s">
        <v>7</v>
      </c>
      <c r="M303">
        <v>-0.15546184738955801</v>
      </c>
      <c r="N303" t="s">
        <v>8</v>
      </c>
      <c r="O303">
        <v>1.43505434782608</v>
      </c>
      <c r="P303" t="s">
        <v>9</v>
      </c>
      <c r="Q303">
        <v>-4.6578461538461502</v>
      </c>
      <c r="R303" t="s">
        <v>10</v>
      </c>
      <c r="S303">
        <v>1.1589367453638399</v>
      </c>
      <c r="T303" t="s">
        <v>11</v>
      </c>
      <c r="U303" t="s">
        <v>2006</v>
      </c>
      <c r="V303" t="s">
        <v>720</v>
      </c>
      <c r="W303">
        <v>0</v>
      </c>
      <c r="X303" t="s">
        <v>14</v>
      </c>
      <c r="Y303" t="s">
        <v>15</v>
      </c>
      <c r="Z303" t="s">
        <v>2135</v>
      </c>
      <c r="AA303" t="s">
        <v>2123</v>
      </c>
      <c r="AB303">
        <v>0</v>
      </c>
      <c r="AC303" t="s">
        <v>18</v>
      </c>
    </row>
    <row r="304" spans="1:29" x14ac:dyDescent="0.3">
      <c r="A304" t="s">
        <v>2162</v>
      </c>
      <c r="B304" t="s">
        <v>1</v>
      </c>
      <c r="C304">
        <v>0.3</v>
      </c>
      <c r="D304" t="s">
        <v>590</v>
      </c>
      <c r="E304" t="s">
        <v>1985</v>
      </c>
      <c r="F304" t="s">
        <v>4</v>
      </c>
      <c r="G304">
        <v>249</v>
      </c>
      <c r="H304" t="s">
        <v>5</v>
      </c>
      <c r="I304">
        <v>192</v>
      </c>
      <c r="J304" t="s">
        <v>6</v>
      </c>
      <c r="K304">
        <v>-42.1799999999999</v>
      </c>
      <c r="L304" t="s">
        <v>7</v>
      </c>
      <c r="M304">
        <v>-0.169397590361445</v>
      </c>
      <c r="N304" t="s">
        <v>8</v>
      </c>
      <c r="O304">
        <v>1.4204687499999999</v>
      </c>
      <c r="P304" t="s">
        <v>9</v>
      </c>
      <c r="Q304">
        <v>-5.5247368421052601</v>
      </c>
      <c r="R304" t="s">
        <v>10</v>
      </c>
      <c r="S304">
        <v>1.40581761533296</v>
      </c>
      <c r="T304" t="s">
        <v>11</v>
      </c>
      <c r="U304" t="s">
        <v>2006</v>
      </c>
      <c r="V304" t="s">
        <v>720</v>
      </c>
      <c r="W304">
        <v>0</v>
      </c>
      <c r="X304" t="s">
        <v>14</v>
      </c>
      <c r="Y304" t="s">
        <v>15</v>
      </c>
      <c r="Z304" t="s">
        <v>2136</v>
      </c>
      <c r="AA304" t="s">
        <v>718</v>
      </c>
      <c r="AB304">
        <v>0</v>
      </c>
      <c r="AC304" t="s">
        <v>18</v>
      </c>
    </row>
    <row r="305" spans="1:29" x14ac:dyDescent="0.3">
      <c r="A305" t="s">
        <v>2162</v>
      </c>
      <c r="B305" t="s">
        <v>1</v>
      </c>
      <c r="C305">
        <v>0.3</v>
      </c>
      <c r="D305" t="s">
        <v>590</v>
      </c>
      <c r="E305" t="s">
        <v>1988</v>
      </c>
      <c r="F305" t="s">
        <v>4</v>
      </c>
      <c r="G305">
        <v>249</v>
      </c>
      <c r="H305" t="s">
        <v>5</v>
      </c>
      <c r="I305">
        <v>193</v>
      </c>
      <c r="J305" t="s">
        <v>6</v>
      </c>
      <c r="K305">
        <v>-93.039999999999907</v>
      </c>
      <c r="L305" t="s">
        <v>7</v>
      </c>
      <c r="M305">
        <v>-0.37365461847389497</v>
      </c>
      <c r="N305" t="s">
        <v>8</v>
      </c>
      <c r="O305">
        <v>1.41533678756476</v>
      </c>
      <c r="P305" t="s">
        <v>9</v>
      </c>
      <c r="Q305">
        <v>-6.5392857142857101</v>
      </c>
      <c r="R305" t="s">
        <v>10</v>
      </c>
      <c r="S305">
        <v>1.49515446691513</v>
      </c>
      <c r="T305" t="s">
        <v>11</v>
      </c>
      <c r="U305" t="s">
        <v>2006</v>
      </c>
      <c r="V305" t="s">
        <v>720</v>
      </c>
      <c r="W305">
        <v>0</v>
      </c>
      <c r="X305" t="s">
        <v>14</v>
      </c>
      <c r="Y305" t="s">
        <v>15</v>
      </c>
      <c r="Z305" t="s">
        <v>2136</v>
      </c>
      <c r="AA305" t="s">
        <v>718</v>
      </c>
      <c r="AB305">
        <v>0</v>
      </c>
      <c r="AC305" t="s">
        <v>18</v>
      </c>
    </row>
    <row r="306" spans="1:29" x14ac:dyDescent="0.3">
      <c r="A306" t="s">
        <v>2162</v>
      </c>
      <c r="B306" t="s">
        <v>1</v>
      </c>
      <c r="C306">
        <v>0.3</v>
      </c>
      <c r="D306" t="s">
        <v>599</v>
      </c>
      <c r="E306" t="s">
        <v>1991</v>
      </c>
      <c r="F306" t="s">
        <v>4</v>
      </c>
      <c r="G306">
        <v>258</v>
      </c>
      <c r="H306" t="s">
        <v>5</v>
      </c>
      <c r="I306">
        <v>168</v>
      </c>
      <c r="J306" t="s">
        <v>6</v>
      </c>
      <c r="K306">
        <v>-7.5900000000000096</v>
      </c>
      <c r="L306" t="s">
        <v>7</v>
      </c>
      <c r="M306">
        <v>-2.9418604651162798E-2</v>
      </c>
      <c r="N306" t="s">
        <v>8</v>
      </c>
      <c r="O306">
        <v>1.7237499999999999</v>
      </c>
      <c r="P306" t="s">
        <v>9</v>
      </c>
      <c r="Q306">
        <v>-3.302</v>
      </c>
      <c r="R306" t="s">
        <v>10</v>
      </c>
      <c r="S306">
        <v>0.94787805525253899</v>
      </c>
      <c r="T306" t="s">
        <v>11</v>
      </c>
      <c r="U306" t="s">
        <v>2137</v>
      </c>
      <c r="V306" t="s">
        <v>720</v>
      </c>
      <c r="W306">
        <v>0</v>
      </c>
      <c r="X306" t="s">
        <v>14</v>
      </c>
      <c r="Y306" t="s">
        <v>15</v>
      </c>
      <c r="Z306" t="s">
        <v>2138</v>
      </c>
      <c r="AA306" t="s">
        <v>720</v>
      </c>
      <c r="AB306">
        <v>0</v>
      </c>
      <c r="AC306" t="s">
        <v>18</v>
      </c>
    </row>
    <row r="307" spans="1:29" x14ac:dyDescent="0.3">
      <c r="A307" t="s">
        <v>2162</v>
      </c>
      <c r="B307" t="s">
        <v>1</v>
      </c>
      <c r="C307">
        <v>0.3</v>
      </c>
      <c r="D307" t="s">
        <v>599</v>
      </c>
      <c r="E307" t="s">
        <v>1994</v>
      </c>
      <c r="F307" t="s">
        <v>4</v>
      </c>
      <c r="G307">
        <v>258</v>
      </c>
      <c r="H307" t="s">
        <v>5</v>
      </c>
      <c r="I307">
        <v>193</v>
      </c>
      <c r="J307" t="s">
        <v>6</v>
      </c>
      <c r="K307">
        <v>-60.4299999999999</v>
      </c>
      <c r="L307" t="s">
        <v>7</v>
      </c>
      <c r="M307">
        <v>-0.23422480620155001</v>
      </c>
      <c r="N307" t="s">
        <v>8</v>
      </c>
      <c r="O307">
        <v>1.7094818652849699</v>
      </c>
      <c r="P307" t="s">
        <v>9</v>
      </c>
      <c r="Q307">
        <v>-6.0055384615384604</v>
      </c>
      <c r="R307" t="s">
        <v>10</v>
      </c>
      <c r="S307">
        <v>1.2618548211520999</v>
      </c>
      <c r="T307" t="s">
        <v>11</v>
      </c>
      <c r="U307" t="s">
        <v>2137</v>
      </c>
      <c r="V307" t="s">
        <v>720</v>
      </c>
      <c r="W307">
        <v>0</v>
      </c>
      <c r="X307" t="s">
        <v>14</v>
      </c>
      <c r="Y307" t="s">
        <v>15</v>
      </c>
      <c r="Z307" t="s">
        <v>2139</v>
      </c>
      <c r="AA307" t="s">
        <v>2123</v>
      </c>
      <c r="AB307">
        <v>0</v>
      </c>
      <c r="AC307" t="s">
        <v>18</v>
      </c>
    </row>
    <row r="308" spans="1:29" x14ac:dyDescent="0.3">
      <c r="A308" t="s">
        <v>2162</v>
      </c>
      <c r="B308" t="s">
        <v>1</v>
      </c>
      <c r="C308">
        <v>0.3</v>
      </c>
      <c r="D308" t="s">
        <v>599</v>
      </c>
      <c r="E308" t="s">
        <v>1996</v>
      </c>
      <c r="F308" t="s">
        <v>4</v>
      </c>
      <c r="G308">
        <v>258</v>
      </c>
      <c r="H308" t="s">
        <v>5</v>
      </c>
      <c r="I308">
        <v>204</v>
      </c>
      <c r="J308" t="s">
        <v>6</v>
      </c>
      <c r="K308">
        <v>-52.669999999999703</v>
      </c>
      <c r="L308" t="s">
        <v>7</v>
      </c>
      <c r="M308">
        <v>-0.20414728682170399</v>
      </c>
      <c r="N308" t="s">
        <v>8</v>
      </c>
      <c r="O308">
        <v>1.70112745098039</v>
      </c>
      <c r="P308" t="s">
        <v>9</v>
      </c>
      <c r="Q308">
        <v>-7.4018518518518404</v>
      </c>
      <c r="R308" t="s">
        <v>10</v>
      </c>
      <c r="S308">
        <v>1.54368864982635</v>
      </c>
      <c r="T308" t="s">
        <v>11</v>
      </c>
      <c r="U308" t="s">
        <v>2137</v>
      </c>
      <c r="V308" t="s">
        <v>720</v>
      </c>
      <c r="W308">
        <v>0</v>
      </c>
      <c r="X308" t="s">
        <v>14</v>
      </c>
      <c r="Y308" t="s">
        <v>15</v>
      </c>
      <c r="Z308" t="s">
        <v>2139</v>
      </c>
      <c r="AA308" t="s">
        <v>2123</v>
      </c>
      <c r="AB308">
        <v>0</v>
      </c>
      <c r="AC308" t="s">
        <v>18</v>
      </c>
    </row>
    <row r="309" spans="1:29" x14ac:dyDescent="0.3">
      <c r="A309" t="s">
        <v>2162</v>
      </c>
      <c r="B309" t="s">
        <v>1</v>
      </c>
      <c r="C309">
        <v>0.3</v>
      </c>
      <c r="D309" t="s">
        <v>599</v>
      </c>
      <c r="E309" t="s">
        <v>1997</v>
      </c>
      <c r="F309" t="s">
        <v>4</v>
      </c>
      <c r="G309">
        <v>258</v>
      </c>
      <c r="H309" t="s">
        <v>5</v>
      </c>
      <c r="I309">
        <v>208</v>
      </c>
      <c r="J309" t="s">
        <v>6</v>
      </c>
      <c r="K309">
        <v>-33.309999999999697</v>
      </c>
      <c r="L309" t="s">
        <v>7</v>
      </c>
      <c r="M309">
        <v>-0.129108527131781</v>
      </c>
      <c r="N309" t="s">
        <v>8</v>
      </c>
      <c r="O309">
        <v>1.7118269230769201</v>
      </c>
      <c r="P309" t="s">
        <v>9</v>
      </c>
      <c r="Q309">
        <v>-7.7873999999999901</v>
      </c>
      <c r="R309" t="s">
        <v>10</v>
      </c>
      <c r="S309">
        <v>1.68939487769927</v>
      </c>
      <c r="T309" t="s">
        <v>11</v>
      </c>
      <c r="U309" t="s">
        <v>2137</v>
      </c>
      <c r="V309" t="s">
        <v>720</v>
      </c>
      <c r="W309">
        <v>0</v>
      </c>
      <c r="X309" t="s">
        <v>14</v>
      </c>
      <c r="Y309" t="s">
        <v>15</v>
      </c>
      <c r="Z309" t="s">
        <v>2139</v>
      </c>
      <c r="AA309" t="s">
        <v>2123</v>
      </c>
      <c r="AB309">
        <v>0</v>
      </c>
      <c r="AC309" t="s">
        <v>18</v>
      </c>
    </row>
    <row r="310" spans="1:29" x14ac:dyDescent="0.3">
      <c r="A310" t="s">
        <v>2162</v>
      </c>
      <c r="B310" t="s">
        <v>1</v>
      </c>
      <c r="C310">
        <v>0.3</v>
      </c>
      <c r="D310" t="s">
        <v>1998</v>
      </c>
      <c r="E310" t="s">
        <v>1999</v>
      </c>
      <c r="F310" t="s">
        <v>4</v>
      </c>
      <c r="G310">
        <v>246</v>
      </c>
      <c r="H310" t="s">
        <v>5</v>
      </c>
      <c r="I310">
        <v>161</v>
      </c>
      <c r="J310" t="s">
        <v>6</v>
      </c>
      <c r="K310">
        <v>-25.515879588313101</v>
      </c>
      <c r="L310" t="s">
        <v>7</v>
      </c>
      <c r="M310">
        <v>-0.10372308775737001</v>
      </c>
      <c r="N310" t="s">
        <v>8</v>
      </c>
      <c r="O310">
        <v>2.0079407298082099</v>
      </c>
      <c r="P310" t="s">
        <v>9</v>
      </c>
      <c r="Q310">
        <v>-4.1034627892639399</v>
      </c>
      <c r="R310" t="s">
        <v>10</v>
      </c>
      <c r="S310">
        <v>0.990466877744964</v>
      </c>
      <c r="T310" t="s">
        <v>11</v>
      </c>
      <c r="U310" t="s">
        <v>2016</v>
      </c>
      <c r="V310" t="s">
        <v>595</v>
      </c>
      <c r="W310">
        <v>0</v>
      </c>
      <c r="X310" t="s">
        <v>14</v>
      </c>
      <c r="Y310" t="s">
        <v>15</v>
      </c>
      <c r="Z310" t="s">
        <v>2140</v>
      </c>
      <c r="AA310" t="s">
        <v>595</v>
      </c>
      <c r="AB310">
        <v>0</v>
      </c>
      <c r="AC310" t="s">
        <v>18</v>
      </c>
    </row>
    <row r="311" spans="1:29" x14ac:dyDescent="0.3">
      <c r="A311" t="s">
        <v>2162</v>
      </c>
      <c r="B311" t="s">
        <v>1</v>
      </c>
      <c r="C311">
        <v>0.3</v>
      </c>
      <c r="D311" t="s">
        <v>1998</v>
      </c>
      <c r="E311" t="s">
        <v>2002</v>
      </c>
      <c r="F311" t="s">
        <v>4</v>
      </c>
      <c r="G311">
        <v>246</v>
      </c>
      <c r="H311" t="s">
        <v>5</v>
      </c>
      <c r="I311">
        <v>190</v>
      </c>
      <c r="J311" t="s">
        <v>6</v>
      </c>
      <c r="K311">
        <v>-39.064450059570497</v>
      </c>
      <c r="L311" t="s">
        <v>7</v>
      </c>
      <c r="M311">
        <v>-0.158798577477928</v>
      </c>
      <c r="N311" t="s">
        <v>8</v>
      </c>
      <c r="O311">
        <v>2.0042550394690601</v>
      </c>
      <c r="P311" t="s">
        <v>9</v>
      </c>
      <c r="Q311">
        <v>-7.4977304921195103</v>
      </c>
      <c r="R311" t="s">
        <v>10</v>
      </c>
      <c r="S311">
        <v>1.5474242829700999</v>
      </c>
      <c r="T311" t="s">
        <v>11</v>
      </c>
      <c r="U311" t="s">
        <v>2016</v>
      </c>
      <c r="V311" t="s">
        <v>595</v>
      </c>
      <c r="W311">
        <v>0</v>
      </c>
      <c r="X311" t="s">
        <v>14</v>
      </c>
      <c r="Y311" t="s">
        <v>15</v>
      </c>
      <c r="Z311" t="s">
        <v>2141</v>
      </c>
      <c r="AA311" t="s">
        <v>718</v>
      </c>
      <c r="AB311">
        <v>0</v>
      </c>
      <c r="AC311" t="s">
        <v>18</v>
      </c>
    </row>
    <row r="312" spans="1:29" x14ac:dyDescent="0.3">
      <c r="A312" t="s">
        <v>2162</v>
      </c>
      <c r="B312" t="s">
        <v>1</v>
      </c>
      <c r="C312">
        <v>0.3</v>
      </c>
      <c r="D312" t="s">
        <v>1998</v>
      </c>
      <c r="E312" t="s">
        <v>2004</v>
      </c>
      <c r="F312" t="s">
        <v>4</v>
      </c>
      <c r="G312">
        <v>246</v>
      </c>
      <c r="H312" t="s">
        <v>5</v>
      </c>
      <c r="I312">
        <v>200</v>
      </c>
      <c r="J312" t="s">
        <v>6</v>
      </c>
      <c r="K312">
        <v>-95.624450059570506</v>
      </c>
      <c r="L312" t="s">
        <v>7</v>
      </c>
      <c r="M312">
        <v>-0.38871727666492101</v>
      </c>
      <c r="N312" t="s">
        <v>8</v>
      </c>
      <c r="O312">
        <v>2.0003922874956102</v>
      </c>
      <c r="P312" t="s">
        <v>9</v>
      </c>
      <c r="Q312">
        <v>-10.7761501643194</v>
      </c>
      <c r="R312" t="s">
        <v>10</v>
      </c>
      <c r="S312">
        <v>1.9063676217264101</v>
      </c>
      <c r="T312" t="s">
        <v>11</v>
      </c>
      <c r="U312" t="s">
        <v>2016</v>
      </c>
      <c r="V312" t="s">
        <v>595</v>
      </c>
      <c r="W312">
        <v>0</v>
      </c>
      <c r="X312" t="s">
        <v>14</v>
      </c>
      <c r="Y312" t="s">
        <v>15</v>
      </c>
      <c r="Z312" t="s">
        <v>2142</v>
      </c>
      <c r="AA312" t="s">
        <v>1987</v>
      </c>
      <c r="AB312">
        <v>0</v>
      </c>
      <c r="AC312" t="s">
        <v>18</v>
      </c>
    </row>
    <row r="313" spans="1:29" x14ac:dyDescent="0.3">
      <c r="A313" t="s">
        <v>2162</v>
      </c>
      <c r="B313" t="s">
        <v>1</v>
      </c>
      <c r="C313">
        <v>0.3</v>
      </c>
      <c r="D313" t="s">
        <v>1998</v>
      </c>
      <c r="E313" t="s">
        <v>2005</v>
      </c>
      <c r="F313" t="s">
        <v>4</v>
      </c>
      <c r="G313">
        <v>246</v>
      </c>
      <c r="H313" t="s">
        <v>5</v>
      </c>
      <c r="I313">
        <v>203</v>
      </c>
      <c r="J313" t="s">
        <v>6</v>
      </c>
      <c r="K313">
        <v>-102.29445005957</v>
      </c>
      <c r="L313" t="s">
        <v>7</v>
      </c>
      <c r="M313">
        <v>-0.41583109780313099</v>
      </c>
      <c r="N313" t="s">
        <v>8</v>
      </c>
      <c r="O313">
        <v>2.0042288546754801</v>
      </c>
      <c r="P313" t="s">
        <v>9</v>
      </c>
      <c r="Q313">
        <v>-11.840765292062599</v>
      </c>
      <c r="R313" t="s">
        <v>10</v>
      </c>
      <c r="S313">
        <v>2.0519984902045501</v>
      </c>
      <c r="T313" t="s">
        <v>11</v>
      </c>
      <c r="U313" t="s">
        <v>2016</v>
      </c>
      <c r="V313" t="s">
        <v>595</v>
      </c>
      <c r="W313">
        <v>0</v>
      </c>
      <c r="X313" t="s">
        <v>14</v>
      </c>
      <c r="Y313" t="s">
        <v>15</v>
      </c>
      <c r="Z313" t="s">
        <v>2143</v>
      </c>
      <c r="AA313" t="s">
        <v>2132</v>
      </c>
      <c r="AB313">
        <v>0</v>
      </c>
      <c r="AC313" t="s">
        <v>18</v>
      </c>
    </row>
    <row r="314" spans="1:29" x14ac:dyDescent="0.3">
      <c r="A314" t="s">
        <v>2162</v>
      </c>
      <c r="B314" t="s">
        <v>1</v>
      </c>
      <c r="C314">
        <v>0.2</v>
      </c>
      <c r="D314" t="s">
        <v>590</v>
      </c>
      <c r="E314" t="s">
        <v>1979</v>
      </c>
      <c r="F314" t="s">
        <v>4</v>
      </c>
      <c r="G314">
        <v>249</v>
      </c>
      <c r="H314" t="s">
        <v>5</v>
      </c>
      <c r="I314">
        <v>166</v>
      </c>
      <c r="J314" t="s">
        <v>6</v>
      </c>
      <c r="K314">
        <v>-23.649190133485401</v>
      </c>
      <c r="L314" t="s">
        <v>7</v>
      </c>
      <c r="M314">
        <v>-9.4976667202752593E-2</v>
      </c>
      <c r="N314" t="s">
        <v>8</v>
      </c>
      <c r="O314">
        <v>0.83633017991876202</v>
      </c>
      <c r="P314" t="s">
        <v>9</v>
      </c>
      <c r="Q314">
        <v>-1.9575903614457799</v>
      </c>
      <c r="R314" t="s">
        <v>10</v>
      </c>
      <c r="S314">
        <v>0.57796727930022196</v>
      </c>
      <c r="T314" t="s">
        <v>11</v>
      </c>
      <c r="U314" t="s">
        <v>2019</v>
      </c>
      <c r="V314" t="s">
        <v>720</v>
      </c>
      <c r="W314">
        <v>0</v>
      </c>
      <c r="X314" t="s">
        <v>14</v>
      </c>
      <c r="Y314" t="s">
        <v>15</v>
      </c>
      <c r="Z314" t="s">
        <v>2144</v>
      </c>
      <c r="AA314" t="s">
        <v>720</v>
      </c>
      <c r="AB314">
        <v>0</v>
      </c>
      <c r="AC314" t="s">
        <v>18</v>
      </c>
    </row>
    <row r="315" spans="1:29" x14ac:dyDescent="0.3">
      <c r="A315" t="s">
        <v>2162</v>
      </c>
      <c r="B315" t="s">
        <v>1</v>
      </c>
      <c r="C315">
        <v>0.2</v>
      </c>
      <c r="D315" t="s">
        <v>590</v>
      </c>
      <c r="E315" t="s">
        <v>1982</v>
      </c>
      <c r="F315" t="s">
        <v>4</v>
      </c>
      <c r="G315">
        <v>249</v>
      </c>
      <c r="H315" t="s">
        <v>5</v>
      </c>
      <c r="I315">
        <v>190</v>
      </c>
      <c r="J315" t="s">
        <v>6</v>
      </c>
      <c r="K315">
        <v>-16.9791901334854</v>
      </c>
      <c r="L315" t="s">
        <v>7</v>
      </c>
      <c r="M315">
        <v>-6.8189518608375202E-2</v>
      </c>
      <c r="N315" t="s">
        <v>8</v>
      </c>
      <c r="O315">
        <v>0.82484636771849795</v>
      </c>
      <c r="P315" t="s">
        <v>9</v>
      </c>
      <c r="Q315">
        <v>-2.94406779661016</v>
      </c>
      <c r="R315" t="s">
        <v>10</v>
      </c>
      <c r="S315">
        <v>0.66064455095168295</v>
      </c>
      <c r="T315" t="s">
        <v>11</v>
      </c>
      <c r="U315" t="s">
        <v>2019</v>
      </c>
      <c r="V315" t="s">
        <v>720</v>
      </c>
      <c r="W315">
        <v>0</v>
      </c>
      <c r="X315" t="s">
        <v>14</v>
      </c>
      <c r="Y315" t="s">
        <v>15</v>
      </c>
      <c r="Z315" t="s">
        <v>2144</v>
      </c>
      <c r="AA315" t="s">
        <v>720</v>
      </c>
      <c r="AB315">
        <v>0</v>
      </c>
      <c r="AC315" t="s">
        <v>18</v>
      </c>
    </row>
    <row r="316" spans="1:29" x14ac:dyDescent="0.3">
      <c r="A316" t="s">
        <v>2162</v>
      </c>
      <c r="B316" t="s">
        <v>1</v>
      </c>
      <c r="C316">
        <v>0.2</v>
      </c>
      <c r="D316" t="s">
        <v>590</v>
      </c>
      <c r="E316" t="s">
        <v>1985</v>
      </c>
      <c r="F316" t="s">
        <v>4</v>
      </c>
      <c r="G316">
        <v>249</v>
      </c>
      <c r="H316" t="s">
        <v>5</v>
      </c>
      <c r="I316">
        <v>204</v>
      </c>
      <c r="J316" t="s">
        <v>6</v>
      </c>
      <c r="K316">
        <v>-32.119190133485397</v>
      </c>
      <c r="L316" t="s">
        <v>7</v>
      </c>
      <c r="M316">
        <v>-0.12899273145977999</v>
      </c>
      <c r="N316" t="s">
        <v>8</v>
      </c>
      <c r="O316">
        <v>0.819464754247621</v>
      </c>
      <c r="P316" t="s">
        <v>9</v>
      </c>
      <c r="Q316">
        <v>-4.4286666666666603</v>
      </c>
      <c r="R316" t="s">
        <v>10</v>
      </c>
      <c r="S316">
        <v>0.87046334307165296</v>
      </c>
      <c r="T316" t="s">
        <v>11</v>
      </c>
      <c r="U316" t="s">
        <v>2019</v>
      </c>
      <c r="V316" t="s">
        <v>720</v>
      </c>
      <c r="W316">
        <v>0</v>
      </c>
      <c r="X316" t="s">
        <v>14</v>
      </c>
      <c r="Y316" t="s">
        <v>15</v>
      </c>
      <c r="Z316" t="s">
        <v>2145</v>
      </c>
      <c r="AA316" t="s">
        <v>718</v>
      </c>
      <c r="AB316">
        <v>0</v>
      </c>
      <c r="AC316" t="s">
        <v>18</v>
      </c>
    </row>
    <row r="317" spans="1:29" x14ac:dyDescent="0.3">
      <c r="A317" t="s">
        <v>2162</v>
      </c>
      <c r="B317" t="s">
        <v>1</v>
      </c>
      <c r="C317">
        <v>0.2</v>
      </c>
      <c r="D317" t="s">
        <v>590</v>
      </c>
      <c r="E317" t="s">
        <v>1988</v>
      </c>
      <c r="F317" t="s">
        <v>4</v>
      </c>
      <c r="G317">
        <v>249</v>
      </c>
      <c r="H317" t="s">
        <v>5</v>
      </c>
      <c r="I317">
        <v>209</v>
      </c>
      <c r="J317" t="s">
        <v>6</v>
      </c>
      <c r="K317">
        <v>-48.949190133485402</v>
      </c>
      <c r="L317" t="s">
        <v>7</v>
      </c>
      <c r="M317">
        <v>-0.196583092905564</v>
      </c>
      <c r="N317" t="s">
        <v>8</v>
      </c>
      <c r="O317">
        <v>0.81512349218428004</v>
      </c>
      <c r="P317" t="s">
        <v>9</v>
      </c>
      <c r="Q317">
        <v>-5.4827500000000002</v>
      </c>
      <c r="R317" t="s">
        <v>10</v>
      </c>
      <c r="S317">
        <v>0.97551215558176696</v>
      </c>
      <c r="T317" t="s">
        <v>11</v>
      </c>
      <c r="U317" t="s">
        <v>2019</v>
      </c>
      <c r="V317" t="s">
        <v>720</v>
      </c>
      <c r="W317">
        <v>0</v>
      </c>
      <c r="X317" t="s">
        <v>14</v>
      </c>
      <c r="Y317" t="s">
        <v>15</v>
      </c>
      <c r="Z317" t="s">
        <v>2145</v>
      </c>
      <c r="AA317" t="s">
        <v>718</v>
      </c>
      <c r="AB317">
        <v>0</v>
      </c>
      <c r="AC317" t="s">
        <v>18</v>
      </c>
    </row>
    <row r="318" spans="1:29" x14ac:dyDescent="0.3">
      <c r="A318" t="s">
        <v>2162</v>
      </c>
      <c r="B318" t="s">
        <v>1</v>
      </c>
      <c r="C318">
        <v>0.2</v>
      </c>
      <c r="D318" t="s">
        <v>599</v>
      </c>
      <c r="E318" t="s">
        <v>1991</v>
      </c>
      <c r="F318" t="s">
        <v>4</v>
      </c>
      <c r="G318">
        <v>258</v>
      </c>
      <c r="H318" t="s">
        <v>5</v>
      </c>
      <c r="I318">
        <v>175</v>
      </c>
      <c r="J318" t="s">
        <v>6</v>
      </c>
      <c r="K318">
        <v>1.3792952361539099</v>
      </c>
      <c r="L318" t="s">
        <v>7</v>
      </c>
      <c r="M318">
        <v>5.3461055664880503E-3</v>
      </c>
      <c r="N318" t="s">
        <v>8</v>
      </c>
      <c r="O318">
        <v>0.98668168706373705</v>
      </c>
      <c r="P318" t="s">
        <v>9</v>
      </c>
      <c r="Q318">
        <v>-2.0637349397590299</v>
      </c>
      <c r="R318" t="s">
        <v>10</v>
      </c>
      <c r="S318">
        <v>0.56655331741465897</v>
      </c>
      <c r="T318" t="s">
        <v>11</v>
      </c>
      <c r="U318" t="s">
        <v>2146</v>
      </c>
      <c r="V318" t="s">
        <v>720</v>
      </c>
      <c r="W318">
        <v>0</v>
      </c>
      <c r="X318" t="s">
        <v>14</v>
      </c>
      <c r="Y318" t="s">
        <v>15</v>
      </c>
      <c r="Z318" t="s">
        <v>2147</v>
      </c>
      <c r="AA318" t="s">
        <v>720</v>
      </c>
      <c r="AB318">
        <v>0</v>
      </c>
      <c r="AC318" t="s">
        <v>18</v>
      </c>
    </row>
    <row r="319" spans="1:29" x14ac:dyDescent="0.3">
      <c r="A319" t="s">
        <v>2162</v>
      </c>
      <c r="B319" t="s">
        <v>1</v>
      </c>
      <c r="C319">
        <v>0.2</v>
      </c>
      <c r="D319" t="s">
        <v>599</v>
      </c>
      <c r="E319" t="s">
        <v>1994</v>
      </c>
      <c r="F319" t="s">
        <v>4</v>
      </c>
      <c r="G319">
        <v>258</v>
      </c>
      <c r="H319" t="s">
        <v>5</v>
      </c>
      <c r="I319">
        <v>196</v>
      </c>
      <c r="J319" t="s">
        <v>6</v>
      </c>
      <c r="K319">
        <v>-32.410704763846098</v>
      </c>
      <c r="L319" t="s">
        <v>7</v>
      </c>
      <c r="M319">
        <v>-0.12562288668157401</v>
      </c>
      <c r="N319" t="s">
        <v>8</v>
      </c>
      <c r="O319">
        <v>0.96739436344976504</v>
      </c>
      <c r="P319" t="s">
        <v>9</v>
      </c>
      <c r="Q319">
        <v>-3.58096774193548</v>
      </c>
      <c r="R319" t="s">
        <v>10</v>
      </c>
      <c r="S319">
        <v>0.690820045177167</v>
      </c>
      <c r="T319" t="s">
        <v>11</v>
      </c>
      <c r="U319" t="s">
        <v>2146</v>
      </c>
      <c r="V319" t="s">
        <v>720</v>
      </c>
      <c r="W319">
        <v>0</v>
      </c>
      <c r="X319" t="s">
        <v>14</v>
      </c>
      <c r="Y319" t="s">
        <v>15</v>
      </c>
      <c r="Z319" t="s">
        <v>2147</v>
      </c>
      <c r="AA319" t="s">
        <v>720</v>
      </c>
      <c r="AB319">
        <v>0</v>
      </c>
      <c r="AC319" t="s">
        <v>18</v>
      </c>
    </row>
    <row r="320" spans="1:29" x14ac:dyDescent="0.3">
      <c r="A320" t="s">
        <v>2162</v>
      </c>
      <c r="B320" t="s">
        <v>1</v>
      </c>
      <c r="C320">
        <v>0.2</v>
      </c>
      <c r="D320" t="s">
        <v>599</v>
      </c>
      <c r="E320" t="s">
        <v>1996</v>
      </c>
      <c r="F320" t="s">
        <v>4</v>
      </c>
      <c r="G320">
        <v>258</v>
      </c>
      <c r="H320" t="s">
        <v>5</v>
      </c>
      <c r="I320">
        <v>212</v>
      </c>
      <c r="J320" t="s">
        <v>6</v>
      </c>
      <c r="K320">
        <v>-31.600704763846</v>
      </c>
      <c r="L320" t="s">
        <v>7</v>
      </c>
      <c r="M320">
        <v>-0.122483351797852</v>
      </c>
      <c r="N320" t="s">
        <v>8</v>
      </c>
      <c r="O320">
        <v>0.97141176998185796</v>
      </c>
      <c r="P320" t="s">
        <v>9</v>
      </c>
      <c r="Q320">
        <v>-5.1639130434782601</v>
      </c>
      <c r="R320" t="s">
        <v>10</v>
      </c>
      <c r="S320">
        <v>0.93012852852499395</v>
      </c>
      <c r="T320" t="s">
        <v>11</v>
      </c>
      <c r="U320" t="s">
        <v>2146</v>
      </c>
      <c r="V320" t="s">
        <v>720</v>
      </c>
      <c r="W320">
        <v>0</v>
      </c>
      <c r="X320" t="s">
        <v>14</v>
      </c>
      <c r="Y320" t="s">
        <v>15</v>
      </c>
      <c r="Z320" t="s">
        <v>2148</v>
      </c>
      <c r="AA320" t="s">
        <v>2123</v>
      </c>
      <c r="AB320">
        <v>0</v>
      </c>
      <c r="AC320" t="s">
        <v>18</v>
      </c>
    </row>
    <row r="321" spans="1:29" x14ac:dyDescent="0.3">
      <c r="A321" t="s">
        <v>2162</v>
      </c>
      <c r="B321" t="s">
        <v>1</v>
      </c>
      <c r="C321">
        <v>0.2</v>
      </c>
      <c r="D321" t="s">
        <v>599</v>
      </c>
      <c r="E321" t="s">
        <v>1997</v>
      </c>
      <c r="F321" t="s">
        <v>4</v>
      </c>
      <c r="G321">
        <v>258</v>
      </c>
      <c r="H321" t="s">
        <v>5</v>
      </c>
      <c r="I321">
        <v>217</v>
      </c>
      <c r="J321" t="s">
        <v>6</v>
      </c>
      <c r="K321">
        <v>-40.330704763845901</v>
      </c>
      <c r="L321" t="s">
        <v>7</v>
      </c>
      <c r="M321">
        <v>-0.156320561100178</v>
      </c>
      <c r="N321" t="s">
        <v>8</v>
      </c>
      <c r="O321">
        <v>0.96893684440623895</v>
      </c>
      <c r="P321" t="s">
        <v>9</v>
      </c>
      <c r="Q321">
        <v>-6.1119512195121901</v>
      </c>
      <c r="R321" t="s">
        <v>10</v>
      </c>
      <c r="S321">
        <v>1.0051949725421101</v>
      </c>
      <c r="T321" t="s">
        <v>11</v>
      </c>
      <c r="U321" t="s">
        <v>2146</v>
      </c>
      <c r="V321" t="s">
        <v>720</v>
      </c>
      <c r="W321">
        <v>0</v>
      </c>
      <c r="X321" t="s">
        <v>14</v>
      </c>
      <c r="Y321" t="s">
        <v>15</v>
      </c>
      <c r="Z321" t="s">
        <v>2148</v>
      </c>
      <c r="AA321" t="s">
        <v>2123</v>
      </c>
      <c r="AB321">
        <v>0</v>
      </c>
      <c r="AC321" t="s">
        <v>18</v>
      </c>
    </row>
    <row r="322" spans="1:29" x14ac:dyDescent="0.3">
      <c r="A322" t="s">
        <v>2162</v>
      </c>
      <c r="B322" t="s">
        <v>1</v>
      </c>
      <c r="C322">
        <v>0.2</v>
      </c>
      <c r="D322" t="s">
        <v>1998</v>
      </c>
      <c r="E322" t="s">
        <v>1999</v>
      </c>
      <c r="F322" t="s">
        <v>4</v>
      </c>
      <c r="G322">
        <v>246</v>
      </c>
      <c r="H322" t="s">
        <v>5</v>
      </c>
      <c r="I322">
        <v>166</v>
      </c>
      <c r="J322" t="s">
        <v>6</v>
      </c>
      <c r="K322">
        <v>-6.2911579217087104</v>
      </c>
      <c r="L322" t="s">
        <v>7</v>
      </c>
      <c r="M322">
        <v>-2.5573812689872799E-2</v>
      </c>
      <c r="N322" t="s">
        <v>8</v>
      </c>
      <c r="O322">
        <v>1.1841480509439599</v>
      </c>
      <c r="P322" t="s">
        <v>9</v>
      </c>
      <c r="Q322">
        <v>-2.5357466797300798</v>
      </c>
      <c r="R322" t="s">
        <v>10</v>
      </c>
      <c r="S322">
        <v>0.60186859072811105</v>
      </c>
      <c r="T322" t="s">
        <v>11</v>
      </c>
      <c r="U322" t="s">
        <v>2027</v>
      </c>
      <c r="V322" t="s">
        <v>595</v>
      </c>
      <c r="W322">
        <v>0</v>
      </c>
      <c r="X322" t="s">
        <v>14</v>
      </c>
      <c r="Y322" t="s">
        <v>15</v>
      </c>
      <c r="Z322" t="s">
        <v>2149</v>
      </c>
      <c r="AA322" t="s">
        <v>595</v>
      </c>
      <c r="AB322">
        <v>0</v>
      </c>
      <c r="AC322" t="s">
        <v>18</v>
      </c>
    </row>
    <row r="323" spans="1:29" x14ac:dyDescent="0.3">
      <c r="A323" t="s">
        <v>2162</v>
      </c>
      <c r="B323" t="s">
        <v>1</v>
      </c>
      <c r="C323">
        <v>0.2</v>
      </c>
      <c r="D323" t="s">
        <v>1998</v>
      </c>
      <c r="E323" t="s">
        <v>2002</v>
      </c>
      <c r="F323" t="s">
        <v>4</v>
      </c>
      <c r="G323">
        <v>246</v>
      </c>
      <c r="H323" t="s">
        <v>5</v>
      </c>
      <c r="I323">
        <v>198</v>
      </c>
      <c r="J323" t="s">
        <v>6</v>
      </c>
      <c r="K323">
        <v>-1.00551723746704</v>
      </c>
      <c r="L323" t="s">
        <v>7</v>
      </c>
      <c r="M323">
        <v>-4.08746844498798E-3</v>
      </c>
      <c r="N323" t="s">
        <v>8</v>
      </c>
      <c r="O323">
        <v>1.18529024222607</v>
      </c>
      <c r="P323" t="s">
        <v>9</v>
      </c>
      <c r="Q323">
        <v>-4.9102705249631304</v>
      </c>
      <c r="R323" t="s">
        <v>10</v>
      </c>
      <c r="S323">
        <v>0.96629162231013199</v>
      </c>
      <c r="T323" t="s">
        <v>11</v>
      </c>
      <c r="U323" t="s">
        <v>2027</v>
      </c>
      <c r="V323" t="s">
        <v>595</v>
      </c>
      <c r="W323">
        <v>0</v>
      </c>
      <c r="X323" t="s">
        <v>14</v>
      </c>
      <c r="Y323" t="s">
        <v>15</v>
      </c>
      <c r="Z323" t="s">
        <v>2150</v>
      </c>
      <c r="AA323" t="s">
        <v>595</v>
      </c>
      <c r="AB323">
        <v>0</v>
      </c>
      <c r="AC323" t="s">
        <v>18</v>
      </c>
    </row>
    <row r="324" spans="1:29" x14ac:dyDescent="0.3">
      <c r="A324" t="s">
        <v>2162</v>
      </c>
      <c r="B324" t="s">
        <v>1</v>
      </c>
      <c r="C324">
        <v>0.2</v>
      </c>
      <c r="D324" t="s">
        <v>1998</v>
      </c>
      <c r="E324" t="s">
        <v>2004</v>
      </c>
      <c r="F324" t="s">
        <v>4</v>
      </c>
      <c r="G324">
        <v>246</v>
      </c>
      <c r="H324" t="s">
        <v>5</v>
      </c>
      <c r="I324">
        <v>205</v>
      </c>
      <c r="J324" t="s">
        <v>6</v>
      </c>
      <c r="K324">
        <v>-26.111157921708699</v>
      </c>
      <c r="L324" t="s">
        <v>7</v>
      </c>
      <c r="M324">
        <v>-0.106142918380929</v>
      </c>
      <c r="N324" t="s">
        <v>8</v>
      </c>
      <c r="O324">
        <v>1.1864349588279901</v>
      </c>
      <c r="P324" t="s">
        <v>9</v>
      </c>
      <c r="Q324">
        <v>-6.5690323044255603</v>
      </c>
      <c r="R324" t="s">
        <v>10</v>
      </c>
      <c r="S324">
        <v>1.10554181571101</v>
      </c>
      <c r="T324" t="s">
        <v>11</v>
      </c>
      <c r="U324" t="s">
        <v>2027</v>
      </c>
      <c r="V324" t="s">
        <v>595</v>
      </c>
      <c r="W324">
        <v>0</v>
      </c>
      <c r="X324" t="s">
        <v>14</v>
      </c>
      <c r="Y324" t="s">
        <v>15</v>
      </c>
      <c r="Z324" t="s">
        <v>2150</v>
      </c>
      <c r="AA324" t="s">
        <v>595</v>
      </c>
      <c r="AB324">
        <v>0</v>
      </c>
      <c r="AC324" t="s">
        <v>18</v>
      </c>
    </row>
    <row r="325" spans="1:29" x14ac:dyDescent="0.3">
      <c r="A325" t="s">
        <v>2162</v>
      </c>
      <c r="B325" t="s">
        <v>1</v>
      </c>
      <c r="C325">
        <v>0.2</v>
      </c>
      <c r="D325" t="s">
        <v>1998</v>
      </c>
      <c r="E325" t="s">
        <v>2005</v>
      </c>
      <c r="F325" t="s">
        <v>4</v>
      </c>
      <c r="G325">
        <v>246</v>
      </c>
      <c r="H325" t="s">
        <v>5</v>
      </c>
      <c r="I325">
        <v>210</v>
      </c>
      <c r="J325" t="s">
        <v>6</v>
      </c>
      <c r="K325">
        <v>-47.391157921708697</v>
      </c>
      <c r="L325" t="s">
        <v>7</v>
      </c>
      <c r="M325">
        <v>-0.19264698342157999</v>
      </c>
      <c r="N325" t="s">
        <v>8</v>
      </c>
      <c r="O325">
        <v>1.1914838502365599</v>
      </c>
      <c r="P325" t="s">
        <v>9</v>
      </c>
      <c r="Q325">
        <v>-8.2667435130940898</v>
      </c>
      <c r="R325" t="s">
        <v>10</v>
      </c>
      <c r="S325">
        <v>1.3294555916169799</v>
      </c>
      <c r="T325" t="s">
        <v>11</v>
      </c>
      <c r="U325" t="s">
        <v>2027</v>
      </c>
      <c r="V325" t="s">
        <v>595</v>
      </c>
      <c r="W325">
        <v>0</v>
      </c>
      <c r="X325" t="s">
        <v>14</v>
      </c>
      <c r="Y325" t="s">
        <v>15</v>
      </c>
      <c r="Z325" t="s">
        <v>2151</v>
      </c>
      <c r="AA325" t="s">
        <v>2132</v>
      </c>
      <c r="AB325">
        <v>0</v>
      </c>
      <c r="AC325" t="s">
        <v>18</v>
      </c>
    </row>
    <row r="326" spans="1:29" x14ac:dyDescent="0.3">
      <c r="A326" t="s">
        <v>2162</v>
      </c>
      <c r="B326" t="s">
        <v>1</v>
      </c>
      <c r="C326">
        <v>0.1</v>
      </c>
      <c r="D326" t="s">
        <v>590</v>
      </c>
      <c r="E326" t="s">
        <v>1979</v>
      </c>
      <c r="F326" t="s">
        <v>4</v>
      </c>
      <c r="G326">
        <v>249</v>
      </c>
      <c r="H326" t="s">
        <v>5</v>
      </c>
      <c r="I326">
        <v>176</v>
      </c>
      <c r="J326" t="s">
        <v>6</v>
      </c>
      <c r="K326">
        <v>-18.011076959396402</v>
      </c>
      <c r="L326" t="s">
        <v>7</v>
      </c>
      <c r="M326">
        <v>-7.2333642407214599E-2</v>
      </c>
      <c r="N326" t="s">
        <v>8</v>
      </c>
      <c r="O326">
        <v>0.33708560862730702</v>
      </c>
      <c r="P326" t="s">
        <v>9</v>
      </c>
      <c r="Q326">
        <v>-1.05942663120277</v>
      </c>
      <c r="R326" t="s">
        <v>10</v>
      </c>
      <c r="S326">
        <v>0.31525544497483199</v>
      </c>
      <c r="T326" t="s">
        <v>11</v>
      </c>
      <c r="U326" t="s">
        <v>2030</v>
      </c>
      <c r="V326" t="s">
        <v>720</v>
      </c>
      <c r="W326">
        <v>0</v>
      </c>
      <c r="X326" t="s">
        <v>14</v>
      </c>
      <c r="Y326" t="s">
        <v>15</v>
      </c>
      <c r="Z326" t="s">
        <v>2152</v>
      </c>
      <c r="AA326" t="s">
        <v>720</v>
      </c>
      <c r="AB326">
        <v>0</v>
      </c>
      <c r="AC326" t="s">
        <v>18</v>
      </c>
    </row>
    <row r="327" spans="1:29" x14ac:dyDescent="0.3">
      <c r="A327" t="s">
        <v>2162</v>
      </c>
      <c r="B327" t="s">
        <v>1</v>
      </c>
      <c r="C327">
        <v>0.1</v>
      </c>
      <c r="D327" t="s">
        <v>590</v>
      </c>
      <c r="E327" t="s">
        <v>1982</v>
      </c>
      <c r="F327" t="s">
        <v>4</v>
      </c>
      <c r="G327">
        <v>249</v>
      </c>
      <c r="H327" t="s">
        <v>5</v>
      </c>
      <c r="I327">
        <v>197</v>
      </c>
      <c r="J327" t="s">
        <v>6</v>
      </c>
      <c r="K327">
        <v>-14.743661649323199</v>
      </c>
      <c r="L327" t="s">
        <v>7</v>
      </c>
      <c r="M327">
        <v>-5.9211492567563098E-2</v>
      </c>
      <c r="N327" t="s">
        <v>8</v>
      </c>
      <c r="O327">
        <v>0.34155501700851099</v>
      </c>
      <c r="P327" t="s">
        <v>9</v>
      </c>
      <c r="Q327">
        <v>-1.5774999999999999</v>
      </c>
      <c r="R327" t="s">
        <v>10</v>
      </c>
      <c r="S327">
        <v>0.35205057617144803</v>
      </c>
      <c r="T327" t="s">
        <v>11</v>
      </c>
      <c r="U327" t="s">
        <v>2030</v>
      </c>
      <c r="V327" t="s">
        <v>720</v>
      </c>
      <c r="W327">
        <v>0</v>
      </c>
      <c r="X327" t="s">
        <v>14</v>
      </c>
      <c r="Y327" t="s">
        <v>15</v>
      </c>
      <c r="Z327" t="s">
        <v>2152</v>
      </c>
      <c r="AA327" t="s">
        <v>720</v>
      </c>
      <c r="AB327">
        <v>0</v>
      </c>
      <c r="AC327" t="s">
        <v>18</v>
      </c>
    </row>
    <row r="328" spans="1:29" x14ac:dyDescent="0.3">
      <c r="A328" t="s">
        <v>2162</v>
      </c>
      <c r="B328" t="s">
        <v>1</v>
      </c>
      <c r="C328">
        <v>0.1</v>
      </c>
      <c r="D328" t="s">
        <v>590</v>
      </c>
      <c r="E328" t="s">
        <v>1985</v>
      </c>
      <c r="F328" t="s">
        <v>4</v>
      </c>
      <c r="G328">
        <v>249</v>
      </c>
      <c r="H328" t="s">
        <v>5</v>
      </c>
      <c r="I328">
        <v>210</v>
      </c>
      <c r="J328" t="s">
        <v>6</v>
      </c>
      <c r="K328">
        <v>-19.613661649323198</v>
      </c>
      <c r="L328" t="s">
        <v>7</v>
      </c>
      <c r="M328">
        <v>-7.87697254992899E-2</v>
      </c>
      <c r="N328" t="s">
        <v>8</v>
      </c>
      <c r="O328">
        <v>0.33617303976512702</v>
      </c>
      <c r="P328" t="s">
        <v>9</v>
      </c>
      <c r="Q328">
        <v>-2.3130769230769199</v>
      </c>
      <c r="R328" t="s">
        <v>10</v>
      </c>
      <c r="S328">
        <v>0.42119271929893598</v>
      </c>
      <c r="T328" t="s">
        <v>11</v>
      </c>
      <c r="U328" t="s">
        <v>2030</v>
      </c>
      <c r="V328" t="s">
        <v>720</v>
      </c>
      <c r="W328">
        <v>0</v>
      </c>
      <c r="X328" t="s">
        <v>14</v>
      </c>
      <c r="Y328" t="s">
        <v>15</v>
      </c>
      <c r="Z328" t="s">
        <v>2152</v>
      </c>
      <c r="AA328" t="s">
        <v>720</v>
      </c>
      <c r="AB328">
        <v>0</v>
      </c>
      <c r="AC328" t="s">
        <v>18</v>
      </c>
    </row>
    <row r="329" spans="1:29" x14ac:dyDescent="0.3">
      <c r="A329" t="s">
        <v>2162</v>
      </c>
      <c r="B329" t="s">
        <v>1</v>
      </c>
      <c r="C329">
        <v>0.1</v>
      </c>
      <c r="D329" t="s">
        <v>590</v>
      </c>
      <c r="E329" t="s">
        <v>1988</v>
      </c>
      <c r="F329" t="s">
        <v>4</v>
      </c>
      <c r="G329">
        <v>249</v>
      </c>
      <c r="H329" t="s">
        <v>5</v>
      </c>
      <c r="I329">
        <v>217</v>
      </c>
      <c r="J329" t="s">
        <v>6</v>
      </c>
      <c r="K329">
        <v>-19.5536616493232</v>
      </c>
      <c r="L329" t="s">
        <v>7</v>
      </c>
      <c r="M329">
        <v>-7.8528761643868197E-2</v>
      </c>
      <c r="N329" t="s">
        <v>8</v>
      </c>
      <c r="O329">
        <v>0.34002920898929301</v>
      </c>
      <c r="P329" t="s">
        <v>9</v>
      </c>
      <c r="Q329">
        <v>-2.9168750000000001</v>
      </c>
      <c r="R329" t="s">
        <v>10</v>
      </c>
      <c r="S329">
        <v>0.46246057903426402</v>
      </c>
      <c r="T329" t="s">
        <v>11</v>
      </c>
      <c r="U329" t="s">
        <v>2030</v>
      </c>
      <c r="V329" t="s">
        <v>720</v>
      </c>
      <c r="W329">
        <v>0</v>
      </c>
      <c r="X329" t="s">
        <v>14</v>
      </c>
      <c r="Y329" t="s">
        <v>15</v>
      </c>
      <c r="Z329" t="s">
        <v>2152</v>
      </c>
      <c r="AA329" t="s">
        <v>720</v>
      </c>
      <c r="AB329">
        <v>0</v>
      </c>
      <c r="AC329" t="s">
        <v>18</v>
      </c>
    </row>
    <row r="330" spans="1:29" x14ac:dyDescent="0.3">
      <c r="A330" t="s">
        <v>2162</v>
      </c>
      <c r="B330" t="s">
        <v>1</v>
      </c>
      <c r="C330">
        <v>0.1</v>
      </c>
      <c r="D330" t="s">
        <v>599</v>
      </c>
      <c r="E330" t="s">
        <v>1991</v>
      </c>
      <c r="F330" t="s">
        <v>4</v>
      </c>
      <c r="G330">
        <v>258</v>
      </c>
      <c r="H330" t="s">
        <v>5</v>
      </c>
      <c r="I330">
        <v>186</v>
      </c>
      <c r="J330" t="s">
        <v>6</v>
      </c>
      <c r="K330">
        <v>2.5804660173864802</v>
      </c>
      <c r="L330" t="s">
        <v>7</v>
      </c>
      <c r="M330">
        <v>1.0001806268939799E-2</v>
      </c>
      <c r="N330" t="s">
        <v>8</v>
      </c>
      <c r="O330">
        <v>0.41702840895358501</v>
      </c>
      <c r="P330" t="s">
        <v>9</v>
      </c>
      <c r="Q330">
        <v>-1.0414835839997201</v>
      </c>
      <c r="R330" t="s">
        <v>10</v>
      </c>
      <c r="S330">
        <v>0.26567454994189998</v>
      </c>
      <c r="T330" t="s">
        <v>11</v>
      </c>
      <c r="U330" t="s">
        <v>2034</v>
      </c>
      <c r="V330" t="s">
        <v>720</v>
      </c>
      <c r="W330">
        <v>0</v>
      </c>
      <c r="X330" t="s">
        <v>14</v>
      </c>
      <c r="Y330" t="s">
        <v>15</v>
      </c>
      <c r="Z330" t="s">
        <v>2153</v>
      </c>
      <c r="AA330" t="s">
        <v>720</v>
      </c>
      <c r="AB330">
        <v>0</v>
      </c>
      <c r="AC330" t="s">
        <v>18</v>
      </c>
    </row>
    <row r="331" spans="1:29" x14ac:dyDescent="0.3">
      <c r="A331" t="s">
        <v>2162</v>
      </c>
      <c r="B331" t="s">
        <v>1</v>
      </c>
      <c r="C331">
        <v>0.1</v>
      </c>
      <c r="D331" t="s">
        <v>599</v>
      </c>
      <c r="E331" t="s">
        <v>1994</v>
      </c>
      <c r="F331" t="s">
        <v>4</v>
      </c>
      <c r="G331">
        <v>258</v>
      </c>
      <c r="H331" t="s">
        <v>5</v>
      </c>
      <c r="I331">
        <v>209</v>
      </c>
      <c r="J331" t="s">
        <v>6</v>
      </c>
      <c r="K331">
        <v>1.98709458362004</v>
      </c>
      <c r="L331" t="s">
        <v>7</v>
      </c>
      <c r="M331">
        <v>7.7019169907753503E-3</v>
      </c>
      <c r="N331" t="s">
        <v>8</v>
      </c>
      <c r="O331">
        <v>0.41654455167360399</v>
      </c>
      <c r="P331" t="s">
        <v>9</v>
      </c>
      <c r="Q331">
        <v>-1.7361370758400601</v>
      </c>
      <c r="R331" t="s">
        <v>10</v>
      </c>
      <c r="S331">
        <v>0.322799989367894</v>
      </c>
      <c r="T331" t="s">
        <v>11</v>
      </c>
      <c r="U331" t="s">
        <v>2034</v>
      </c>
      <c r="V331" t="s">
        <v>720</v>
      </c>
      <c r="W331">
        <v>0</v>
      </c>
      <c r="X331" t="s">
        <v>14</v>
      </c>
      <c r="Y331" t="s">
        <v>15</v>
      </c>
      <c r="Z331" t="s">
        <v>2153</v>
      </c>
      <c r="AA331" t="s">
        <v>720</v>
      </c>
      <c r="AB331">
        <v>0</v>
      </c>
      <c r="AC331" t="s">
        <v>18</v>
      </c>
    </row>
    <row r="332" spans="1:29" x14ac:dyDescent="0.3">
      <c r="A332" t="s">
        <v>2162</v>
      </c>
      <c r="B332" t="s">
        <v>1</v>
      </c>
      <c r="C332">
        <v>0.1</v>
      </c>
      <c r="D332" t="s">
        <v>599</v>
      </c>
      <c r="E332" t="s">
        <v>1996</v>
      </c>
      <c r="F332" t="s">
        <v>4</v>
      </c>
      <c r="G332">
        <v>258</v>
      </c>
      <c r="H332" t="s">
        <v>5</v>
      </c>
      <c r="I332">
        <v>219</v>
      </c>
      <c r="J332" t="s">
        <v>6</v>
      </c>
      <c r="K332">
        <v>-7.2345771244151598</v>
      </c>
      <c r="L332" t="s">
        <v>7</v>
      </c>
      <c r="M332">
        <v>-2.8040996606260301E-2</v>
      </c>
      <c r="N332" t="s">
        <v>8</v>
      </c>
      <c r="O332">
        <v>0.41497502529013103</v>
      </c>
      <c r="P332" t="s">
        <v>9</v>
      </c>
      <c r="Q332">
        <v>-2.51574635033215</v>
      </c>
      <c r="R332" t="s">
        <v>10</v>
      </c>
      <c r="S332">
        <v>0.38874547053441399</v>
      </c>
      <c r="T332" t="s">
        <v>11</v>
      </c>
      <c r="U332" t="s">
        <v>2034</v>
      </c>
      <c r="V332" t="s">
        <v>720</v>
      </c>
      <c r="W332">
        <v>0</v>
      </c>
      <c r="X332" t="s">
        <v>14</v>
      </c>
      <c r="Y332" t="s">
        <v>15</v>
      </c>
      <c r="Z332" t="s">
        <v>2154</v>
      </c>
      <c r="AA332" t="s">
        <v>2123</v>
      </c>
      <c r="AB332">
        <v>0</v>
      </c>
      <c r="AC332" t="s">
        <v>18</v>
      </c>
    </row>
    <row r="333" spans="1:29" x14ac:dyDescent="0.3">
      <c r="A333" t="s">
        <v>2162</v>
      </c>
      <c r="B333" t="s">
        <v>1</v>
      </c>
      <c r="C333">
        <v>0.1</v>
      </c>
      <c r="D333" t="s">
        <v>599</v>
      </c>
      <c r="E333" t="s">
        <v>1997</v>
      </c>
      <c r="F333" t="s">
        <v>4</v>
      </c>
      <c r="G333">
        <v>258</v>
      </c>
      <c r="H333" t="s">
        <v>5</v>
      </c>
      <c r="I333">
        <v>226</v>
      </c>
      <c r="J333" t="s">
        <v>6</v>
      </c>
      <c r="K333">
        <v>-11.884577124415101</v>
      </c>
      <c r="L333" t="s">
        <v>7</v>
      </c>
      <c r="M333">
        <v>-4.6064252420213801E-2</v>
      </c>
      <c r="N333" t="s">
        <v>8</v>
      </c>
      <c r="O333">
        <v>0.41530765725017099</v>
      </c>
      <c r="P333" t="s">
        <v>9</v>
      </c>
      <c r="Q333">
        <v>-3.3045033644673101</v>
      </c>
      <c r="R333" t="s">
        <v>10</v>
      </c>
      <c r="S333">
        <v>0.456222679248311</v>
      </c>
      <c r="T333" t="s">
        <v>11</v>
      </c>
      <c r="U333" t="s">
        <v>2034</v>
      </c>
      <c r="V333" t="s">
        <v>720</v>
      </c>
      <c r="W333">
        <v>0</v>
      </c>
      <c r="X333" t="s">
        <v>14</v>
      </c>
      <c r="Y333" t="s">
        <v>15</v>
      </c>
      <c r="Z333" t="s">
        <v>2155</v>
      </c>
      <c r="AA333" t="s">
        <v>2013</v>
      </c>
      <c r="AB333">
        <v>0</v>
      </c>
      <c r="AC333" t="s">
        <v>18</v>
      </c>
    </row>
    <row r="334" spans="1:29" x14ac:dyDescent="0.3">
      <c r="A334" t="s">
        <v>2162</v>
      </c>
      <c r="B334" t="s">
        <v>1</v>
      </c>
      <c r="C334">
        <v>0.1</v>
      </c>
      <c r="D334" t="s">
        <v>1998</v>
      </c>
      <c r="E334" t="s">
        <v>1999</v>
      </c>
      <c r="F334" t="s">
        <v>4</v>
      </c>
      <c r="G334">
        <v>246</v>
      </c>
      <c r="H334" t="s">
        <v>5</v>
      </c>
      <c r="I334">
        <v>175</v>
      </c>
      <c r="J334" t="s">
        <v>6</v>
      </c>
      <c r="K334">
        <v>16.678830213586501</v>
      </c>
      <c r="L334" t="s">
        <v>7</v>
      </c>
      <c r="M334">
        <v>6.7800122819457298E-2</v>
      </c>
      <c r="N334" t="s">
        <v>8</v>
      </c>
      <c r="O334">
        <v>0.55744999737644096</v>
      </c>
      <c r="P334" t="s">
        <v>9</v>
      </c>
      <c r="Q334">
        <v>-1.1390833708069099</v>
      </c>
      <c r="R334" t="s">
        <v>10</v>
      </c>
      <c r="S334">
        <v>0.29601001629826401</v>
      </c>
      <c r="T334" t="s">
        <v>11</v>
      </c>
      <c r="U334" t="s">
        <v>2038</v>
      </c>
      <c r="V334" t="s">
        <v>720</v>
      </c>
      <c r="W334">
        <v>0</v>
      </c>
      <c r="X334" t="s">
        <v>14</v>
      </c>
      <c r="Y334" t="s">
        <v>15</v>
      </c>
      <c r="Z334" t="s">
        <v>2156</v>
      </c>
      <c r="AA334" t="s">
        <v>720</v>
      </c>
      <c r="AB334">
        <v>0</v>
      </c>
      <c r="AC334" t="s">
        <v>18</v>
      </c>
    </row>
    <row r="335" spans="1:29" x14ac:dyDescent="0.3">
      <c r="A335" t="s">
        <v>2162</v>
      </c>
      <c r="B335" t="s">
        <v>1</v>
      </c>
      <c r="C335">
        <v>0.1</v>
      </c>
      <c r="D335" t="s">
        <v>1998</v>
      </c>
      <c r="E335" t="s">
        <v>2002</v>
      </c>
      <c r="F335" t="s">
        <v>4</v>
      </c>
      <c r="G335">
        <v>246</v>
      </c>
      <c r="H335" t="s">
        <v>5</v>
      </c>
      <c r="I335">
        <v>202</v>
      </c>
      <c r="J335" t="s">
        <v>6</v>
      </c>
      <c r="K335">
        <v>15.734376804963899</v>
      </c>
      <c r="L335" t="s">
        <v>7</v>
      </c>
      <c r="M335">
        <v>6.3960881320991703E-2</v>
      </c>
      <c r="N335" t="s">
        <v>8</v>
      </c>
      <c r="O335">
        <v>0.550552441733828</v>
      </c>
      <c r="P335" t="s">
        <v>9</v>
      </c>
      <c r="Q335">
        <v>-2.1699367369379399</v>
      </c>
      <c r="R335" t="s">
        <v>10</v>
      </c>
      <c r="S335">
        <v>0.40932805905869102</v>
      </c>
      <c r="T335" t="s">
        <v>11</v>
      </c>
      <c r="U335" t="s">
        <v>2157</v>
      </c>
      <c r="V335" t="s">
        <v>595</v>
      </c>
      <c r="W335">
        <v>0</v>
      </c>
      <c r="X335" t="s">
        <v>14</v>
      </c>
      <c r="Y335" t="s">
        <v>15</v>
      </c>
      <c r="Z335" t="s">
        <v>2158</v>
      </c>
      <c r="AA335" t="s">
        <v>718</v>
      </c>
      <c r="AB335">
        <v>0</v>
      </c>
      <c r="AC335" t="s">
        <v>18</v>
      </c>
    </row>
    <row r="336" spans="1:29" x14ac:dyDescent="0.3">
      <c r="A336" t="s">
        <v>2162</v>
      </c>
      <c r="B336" t="s">
        <v>1</v>
      </c>
      <c r="C336">
        <v>0.1</v>
      </c>
      <c r="D336" t="s">
        <v>1998</v>
      </c>
      <c r="E336" t="s">
        <v>2004</v>
      </c>
      <c r="F336" t="s">
        <v>4</v>
      </c>
      <c r="G336">
        <v>246</v>
      </c>
      <c r="H336" t="s">
        <v>5</v>
      </c>
      <c r="I336">
        <v>212</v>
      </c>
      <c r="J336" t="s">
        <v>6</v>
      </c>
      <c r="K336">
        <v>15.0943768049639</v>
      </c>
      <c r="L336" t="s">
        <v>7</v>
      </c>
      <c r="M336">
        <v>6.1359255304731602E-2</v>
      </c>
      <c r="N336" t="s">
        <v>8</v>
      </c>
      <c r="O336">
        <v>0.54666295271037502</v>
      </c>
      <c r="P336" t="s">
        <v>9</v>
      </c>
      <c r="Q336">
        <v>-2.9646520344010399</v>
      </c>
      <c r="R336" t="s">
        <v>10</v>
      </c>
      <c r="S336">
        <v>0.46344718571682703</v>
      </c>
      <c r="T336" t="s">
        <v>11</v>
      </c>
      <c r="U336" t="s">
        <v>2157</v>
      </c>
      <c r="V336" t="s">
        <v>595</v>
      </c>
      <c r="W336">
        <v>0</v>
      </c>
      <c r="X336" t="s">
        <v>14</v>
      </c>
      <c r="Y336" t="s">
        <v>15</v>
      </c>
      <c r="Z336" t="s">
        <v>2159</v>
      </c>
      <c r="AA336" t="s">
        <v>718</v>
      </c>
      <c r="AB336">
        <v>0</v>
      </c>
      <c r="AC336" t="s">
        <v>18</v>
      </c>
    </row>
    <row r="337" spans="1:29" x14ac:dyDescent="0.3">
      <c r="A337" t="s">
        <v>2162</v>
      </c>
      <c r="B337" t="s">
        <v>1</v>
      </c>
      <c r="C337">
        <v>0.1</v>
      </c>
      <c r="D337" t="s">
        <v>1998</v>
      </c>
      <c r="E337" t="s">
        <v>2005</v>
      </c>
      <c r="F337" t="s">
        <v>4</v>
      </c>
      <c r="G337">
        <v>246</v>
      </c>
      <c r="H337" t="s">
        <v>5</v>
      </c>
      <c r="I337">
        <v>215</v>
      </c>
      <c r="J337" t="s">
        <v>6</v>
      </c>
      <c r="K337">
        <v>-14.4393833260918</v>
      </c>
      <c r="L337" t="s">
        <v>7</v>
      </c>
      <c r="M337">
        <v>-5.8696680187365201E-2</v>
      </c>
      <c r="N337" t="s">
        <v>8</v>
      </c>
      <c r="O337">
        <v>0.54885511874900395</v>
      </c>
      <c r="P337" t="s">
        <v>9</v>
      </c>
      <c r="Q337">
        <v>-4.2723623824879899</v>
      </c>
      <c r="R337" t="s">
        <v>10</v>
      </c>
      <c r="S337">
        <v>0.56090628605647097</v>
      </c>
      <c r="T337" t="s">
        <v>11</v>
      </c>
      <c r="U337" t="s">
        <v>2160</v>
      </c>
      <c r="V337" t="s">
        <v>595</v>
      </c>
      <c r="W337">
        <v>0</v>
      </c>
      <c r="X337" t="s">
        <v>14</v>
      </c>
      <c r="Y337" t="s">
        <v>15</v>
      </c>
      <c r="Z337" t="s">
        <v>2161</v>
      </c>
      <c r="AA337" t="s">
        <v>2132</v>
      </c>
      <c r="AB337">
        <v>0</v>
      </c>
      <c r="AC337" t="s">
        <v>18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4E80-2AB5-495D-96AB-7B618D690013}">
  <sheetPr>
    <tabColor theme="5"/>
  </sheetPr>
  <dimension ref="A2:AF337"/>
  <sheetViews>
    <sheetView workbookViewId="0">
      <selection activeCell="A2" sqref="A2:AF337"/>
    </sheetView>
  </sheetViews>
  <sheetFormatPr defaultRowHeight="16.5" x14ac:dyDescent="0.3"/>
  <sheetData>
    <row r="2" spans="1:32" x14ac:dyDescent="0.3">
      <c r="A2" t="s">
        <v>113</v>
      </c>
      <c r="B2" t="s">
        <v>587</v>
      </c>
      <c r="C2">
        <v>0</v>
      </c>
      <c r="D2" t="s">
        <v>2163</v>
      </c>
      <c r="E2" t="s">
        <v>589</v>
      </c>
      <c r="F2">
        <v>2.5</v>
      </c>
      <c r="G2" t="s">
        <v>2</v>
      </c>
      <c r="H2" t="s">
        <v>1979</v>
      </c>
      <c r="I2" t="s">
        <v>4</v>
      </c>
      <c r="J2">
        <v>169</v>
      </c>
      <c r="K2" t="s">
        <v>5</v>
      </c>
      <c r="L2">
        <v>98</v>
      </c>
      <c r="M2" t="s">
        <v>6</v>
      </c>
      <c r="N2">
        <v>-8.7500000000000302</v>
      </c>
      <c r="O2" t="s">
        <v>7</v>
      </c>
      <c r="P2">
        <v>-5.1775147928994299E-2</v>
      </c>
      <c r="Q2" t="s">
        <v>8</v>
      </c>
      <c r="R2">
        <v>0.80224489795918297</v>
      </c>
      <c r="S2" t="s">
        <v>9</v>
      </c>
      <c r="T2">
        <v>-1.23056338028169</v>
      </c>
      <c r="U2" t="s">
        <v>10</v>
      </c>
      <c r="V2">
        <v>0.271495923668026</v>
      </c>
      <c r="W2" t="s">
        <v>11</v>
      </c>
      <c r="X2" t="s">
        <v>2164</v>
      </c>
      <c r="Y2" t="s">
        <v>1278</v>
      </c>
      <c r="Z2">
        <v>0</v>
      </c>
      <c r="AA2" t="s">
        <v>14</v>
      </c>
      <c r="AB2" t="s">
        <v>15</v>
      </c>
      <c r="AC2" t="s">
        <v>2165</v>
      </c>
      <c r="AD2" t="s">
        <v>1262</v>
      </c>
      <c r="AE2">
        <v>0</v>
      </c>
      <c r="AF2" t="s">
        <v>18</v>
      </c>
    </row>
    <row r="3" spans="1:32" x14ac:dyDescent="0.3">
      <c r="A3" t="s">
        <v>113</v>
      </c>
      <c r="B3" t="s">
        <v>587</v>
      </c>
      <c r="C3">
        <v>0</v>
      </c>
      <c r="D3" t="s">
        <v>2163</v>
      </c>
      <c r="E3" t="s">
        <v>589</v>
      </c>
      <c r="F3">
        <v>2.5</v>
      </c>
      <c r="G3" t="s">
        <v>2</v>
      </c>
      <c r="H3" t="s">
        <v>1982</v>
      </c>
      <c r="I3" t="s">
        <v>4</v>
      </c>
      <c r="J3">
        <v>169</v>
      </c>
      <c r="K3" t="s">
        <v>5</v>
      </c>
      <c r="L3">
        <v>103</v>
      </c>
      <c r="M3" t="s">
        <v>6</v>
      </c>
      <c r="N3">
        <v>-3.74000000000003</v>
      </c>
      <c r="O3" t="s">
        <v>7</v>
      </c>
      <c r="P3">
        <v>-2.2130177514793101E-2</v>
      </c>
      <c r="Q3" t="s">
        <v>8</v>
      </c>
      <c r="R3">
        <v>0.81640776699029105</v>
      </c>
      <c r="S3" t="s">
        <v>9</v>
      </c>
      <c r="T3">
        <v>-1.33075757575757</v>
      </c>
      <c r="U3" t="s">
        <v>10</v>
      </c>
      <c r="V3">
        <v>0.30699208198759997</v>
      </c>
      <c r="W3" t="s">
        <v>11</v>
      </c>
      <c r="X3" t="s">
        <v>2166</v>
      </c>
      <c r="Y3" t="s">
        <v>2167</v>
      </c>
      <c r="Z3">
        <v>0</v>
      </c>
      <c r="AA3" t="s">
        <v>14</v>
      </c>
      <c r="AB3" t="s">
        <v>15</v>
      </c>
      <c r="AC3" t="s">
        <v>2168</v>
      </c>
      <c r="AD3" t="s">
        <v>2169</v>
      </c>
      <c r="AE3">
        <v>0</v>
      </c>
      <c r="AF3" t="s">
        <v>18</v>
      </c>
    </row>
    <row r="4" spans="1:32" x14ac:dyDescent="0.3">
      <c r="A4" t="s">
        <v>113</v>
      </c>
      <c r="B4" t="s">
        <v>587</v>
      </c>
      <c r="C4">
        <v>0</v>
      </c>
      <c r="D4" t="s">
        <v>2163</v>
      </c>
      <c r="E4" t="s">
        <v>589</v>
      </c>
      <c r="F4">
        <v>2.5</v>
      </c>
      <c r="G4" t="s">
        <v>2</v>
      </c>
      <c r="H4" t="s">
        <v>1985</v>
      </c>
      <c r="I4" t="s">
        <v>4</v>
      </c>
      <c r="J4">
        <v>169</v>
      </c>
      <c r="K4" t="s">
        <v>5</v>
      </c>
      <c r="L4">
        <v>103</v>
      </c>
      <c r="M4" t="s">
        <v>6</v>
      </c>
      <c r="N4">
        <v>-0.73000000000003296</v>
      </c>
      <c r="O4" t="s">
        <v>7</v>
      </c>
      <c r="P4">
        <v>-4.3195266272191297E-3</v>
      </c>
      <c r="Q4" t="s">
        <v>8</v>
      </c>
      <c r="R4">
        <v>0.81640776699029105</v>
      </c>
      <c r="S4" t="s">
        <v>9</v>
      </c>
      <c r="T4">
        <v>-1.28515151515151</v>
      </c>
      <c r="U4" t="s">
        <v>10</v>
      </c>
      <c r="V4">
        <v>0.30865040451131998</v>
      </c>
      <c r="W4" t="s">
        <v>11</v>
      </c>
      <c r="X4" t="s">
        <v>2166</v>
      </c>
      <c r="Y4" t="s">
        <v>2167</v>
      </c>
      <c r="Z4">
        <v>0</v>
      </c>
      <c r="AA4" t="s">
        <v>14</v>
      </c>
      <c r="AB4" t="s">
        <v>15</v>
      </c>
      <c r="AC4" t="s">
        <v>2168</v>
      </c>
      <c r="AD4" t="s">
        <v>2169</v>
      </c>
      <c r="AE4">
        <v>0</v>
      </c>
      <c r="AF4" t="s">
        <v>18</v>
      </c>
    </row>
    <row r="5" spans="1:32" x14ac:dyDescent="0.3">
      <c r="A5" t="s">
        <v>113</v>
      </c>
      <c r="B5" t="s">
        <v>587</v>
      </c>
      <c r="C5">
        <v>0</v>
      </c>
      <c r="D5" t="s">
        <v>2163</v>
      </c>
      <c r="E5" t="s">
        <v>589</v>
      </c>
      <c r="F5">
        <v>2.5</v>
      </c>
      <c r="G5" t="s">
        <v>2</v>
      </c>
      <c r="H5" t="s">
        <v>1988</v>
      </c>
      <c r="I5" t="s">
        <v>4</v>
      </c>
      <c r="J5">
        <v>169</v>
      </c>
      <c r="K5" t="s">
        <v>5</v>
      </c>
      <c r="L5">
        <v>103</v>
      </c>
      <c r="M5" t="s">
        <v>6</v>
      </c>
      <c r="N5">
        <v>-0.73000000000003296</v>
      </c>
      <c r="O5" t="s">
        <v>7</v>
      </c>
      <c r="P5">
        <v>-4.3195266272191297E-3</v>
      </c>
      <c r="Q5" t="s">
        <v>8</v>
      </c>
      <c r="R5">
        <v>0.81640776699029105</v>
      </c>
      <c r="S5" t="s">
        <v>9</v>
      </c>
      <c r="T5">
        <v>-1.28515151515151</v>
      </c>
      <c r="U5" t="s">
        <v>10</v>
      </c>
      <c r="V5">
        <v>0.30865040451131998</v>
      </c>
      <c r="W5" t="s">
        <v>11</v>
      </c>
      <c r="X5" t="s">
        <v>2166</v>
      </c>
      <c r="Y5" t="s">
        <v>2167</v>
      </c>
      <c r="Z5">
        <v>0</v>
      </c>
      <c r="AA5" t="s">
        <v>14</v>
      </c>
      <c r="AB5" t="s">
        <v>15</v>
      </c>
      <c r="AC5" t="s">
        <v>2168</v>
      </c>
      <c r="AD5" t="s">
        <v>2169</v>
      </c>
      <c r="AE5">
        <v>0</v>
      </c>
      <c r="AF5" t="s">
        <v>18</v>
      </c>
    </row>
    <row r="6" spans="1:32" x14ac:dyDescent="0.3">
      <c r="A6" t="s">
        <v>113</v>
      </c>
      <c r="B6" t="s">
        <v>587</v>
      </c>
      <c r="C6">
        <v>0</v>
      </c>
      <c r="D6" t="s">
        <v>2163</v>
      </c>
      <c r="E6" t="s">
        <v>589</v>
      </c>
      <c r="F6">
        <v>2.5</v>
      </c>
      <c r="G6" t="s">
        <v>27</v>
      </c>
      <c r="H6" t="s">
        <v>1991</v>
      </c>
      <c r="I6" t="s">
        <v>4</v>
      </c>
      <c r="J6">
        <v>178</v>
      </c>
      <c r="K6" t="s">
        <v>5</v>
      </c>
      <c r="L6">
        <v>110</v>
      </c>
      <c r="M6" t="s">
        <v>6</v>
      </c>
      <c r="N6">
        <v>1.76000000000002</v>
      </c>
      <c r="O6" t="s">
        <v>7</v>
      </c>
      <c r="P6">
        <v>9.8876404494383594E-3</v>
      </c>
      <c r="Q6" t="s">
        <v>8</v>
      </c>
      <c r="R6">
        <v>0.84399999999999997</v>
      </c>
      <c r="S6" t="s">
        <v>9</v>
      </c>
      <c r="T6">
        <v>-1.3394117647058801</v>
      </c>
      <c r="U6" t="s">
        <v>10</v>
      </c>
      <c r="V6">
        <v>0.30753530999781697</v>
      </c>
      <c r="W6" t="s">
        <v>11</v>
      </c>
      <c r="X6" t="s">
        <v>2170</v>
      </c>
      <c r="Y6" t="s">
        <v>2171</v>
      </c>
      <c r="Z6">
        <v>0</v>
      </c>
      <c r="AA6" t="s">
        <v>14</v>
      </c>
      <c r="AB6" t="s">
        <v>15</v>
      </c>
      <c r="AC6" t="s">
        <v>2172</v>
      </c>
      <c r="AD6" t="s">
        <v>2171</v>
      </c>
      <c r="AE6">
        <v>0</v>
      </c>
      <c r="AF6" t="s">
        <v>18</v>
      </c>
    </row>
    <row r="7" spans="1:32" x14ac:dyDescent="0.3">
      <c r="A7" t="s">
        <v>113</v>
      </c>
      <c r="B7" t="s">
        <v>587</v>
      </c>
      <c r="C7">
        <v>0</v>
      </c>
      <c r="D7" t="s">
        <v>2163</v>
      </c>
      <c r="E7" t="s">
        <v>589</v>
      </c>
      <c r="F7">
        <v>2.5</v>
      </c>
      <c r="G7" t="s">
        <v>27</v>
      </c>
      <c r="H7" t="s">
        <v>1994</v>
      </c>
      <c r="I7" t="s">
        <v>4</v>
      </c>
      <c r="J7">
        <v>178</v>
      </c>
      <c r="K7" t="s">
        <v>5</v>
      </c>
      <c r="L7">
        <v>119</v>
      </c>
      <c r="M7" t="s">
        <v>6</v>
      </c>
      <c r="N7">
        <v>1.4300000000000701</v>
      </c>
      <c r="O7" t="s">
        <v>7</v>
      </c>
      <c r="P7">
        <v>8.0337078651689497E-3</v>
      </c>
      <c r="Q7" t="s">
        <v>8</v>
      </c>
      <c r="R7">
        <v>0.86067226890756299</v>
      </c>
      <c r="S7" t="s">
        <v>9</v>
      </c>
      <c r="T7">
        <v>-1.71169491525423</v>
      </c>
      <c r="U7" t="s">
        <v>10</v>
      </c>
      <c r="V7">
        <v>0.37388954944141201</v>
      </c>
      <c r="W7" t="s">
        <v>11</v>
      </c>
      <c r="X7" t="s">
        <v>2173</v>
      </c>
      <c r="Y7" t="s">
        <v>720</v>
      </c>
      <c r="Z7">
        <v>0</v>
      </c>
      <c r="AA7" t="s">
        <v>14</v>
      </c>
      <c r="AB7" t="s">
        <v>15</v>
      </c>
      <c r="AC7" t="s">
        <v>2172</v>
      </c>
      <c r="AD7" t="s">
        <v>2171</v>
      </c>
      <c r="AE7">
        <v>0</v>
      </c>
      <c r="AF7" t="s">
        <v>18</v>
      </c>
    </row>
    <row r="8" spans="1:32" x14ac:dyDescent="0.3">
      <c r="A8" t="s">
        <v>113</v>
      </c>
      <c r="B8" t="s">
        <v>587</v>
      </c>
      <c r="C8">
        <v>0</v>
      </c>
      <c r="D8" t="s">
        <v>2163</v>
      </c>
      <c r="E8" t="s">
        <v>589</v>
      </c>
      <c r="F8">
        <v>2.5</v>
      </c>
      <c r="G8" t="s">
        <v>27</v>
      </c>
      <c r="H8" t="s">
        <v>1996</v>
      </c>
      <c r="I8" t="s">
        <v>4</v>
      </c>
      <c r="J8">
        <v>178</v>
      </c>
      <c r="K8" t="s">
        <v>5</v>
      </c>
      <c r="L8">
        <v>120</v>
      </c>
      <c r="M8" t="s">
        <v>6</v>
      </c>
      <c r="N8">
        <v>10.18</v>
      </c>
      <c r="O8" t="s">
        <v>7</v>
      </c>
      <c r="P8">
        <v>5.7191011235955401E-2</v>
      </c>
      <c r="Q8" t="s">
        <v>8</v>
      </c>
      <c r="R8">
        <v>0.86066666666666702</v>
      </c>
      <c r="S8" t="s">
        <v>9</v>
      </c>
      <c r="T8">
        <v>-1.6051724137931001</v>
      </c>
      <c r="U8" t="s">
        <v>10</v>
      </c>
      <c r="V8">
        <v>0.38769152589789901</v>
      </c>
      <c r="W8" t="s">
        <v>11</v>
      </c>
      <c r="X8" t="s">
        <v>2173</v>
      </c>
      <c r="Y8" t="s">
        <v>720</v>
      </c>
      <c r="Z8">
        <v>0</v>
      </c>
      <c r="AA8" t="s">
        <v>14</v>
      </c>
      <c r="AB8" t="s">
        <v>15</v>
      </c>
      <c r="AC8" t="s">
        <v>2172</v>
      </c>
      <c r="AD8" t="s">
        <v>2171</v>
      </c>
      <c r="AE8">
        <v>0</v>
      </c>
      <c r="AF8" t="s">
        <v>18</v>
      </c>
    </row>
    <row r="9" spans="1:32" x14ac:dyDescent="0.3">
      <c r="A9" t="s">
        <v>113</v>
      </c>
      <c r="B9" t="s">
        <v>587</v>
      </c>
      <c r="C9">
        <v>0</v>
      </c>
      <c r="D9" t="s">
        <v>2163</v>
      </c>
      <c r="E9" t="s">
        <v>589</v>
      </c>
      <c r="F9">
        <v>2.5</v>
      </c>
      <c r="G9" t="s">
        <v>27</v>
      </c>
      <c r="H9" t="s">
        <v>1997</v>
      </c>
      <c r="I9" t="s">
        <v>4</v>
      </c>
      <c r="J9">
        <v>178</v>
      </c>
      <c r="K9" t="s">
        <v>5</v>
      </c>
      <c r="L9">
        <v>122</v>
      </c>
      <c r="M9" t="s">
        <v>6</v>
      </c>
      <c r="N9">
        <v>27.48</v>
      </c>
      <c r="O9" t="s">
        <v>7</v>
      </c>
      <c r="P9">
        <v>0.15438202247190999</v>
      </c>
      <c r="Q9" t="s">
        <v>8</v>
      </c>
      <c r="R9">
        <v>0.91270491803278697</v>
      </c>
      <c r="S9" t="s">
        <v>9</v>
      </c>
      <c r="T9">
        <v>-1.4976785714285701</v>
      </c>
      <c r="U9" t="s">
        <v>10</v>
      </c>
      <c r="V9">
        <v>0.43114961948001901</v>
      </c>
      <c r="W9" t="s">
        <v>11</v>
      </c>
      <c r="X9" t="s">
        <v>2173</v>
      </c>
      <c r="Y9" t="s">
        <v>720</v>
      </c>
      <c r="Z9">
        <v>0</v>
      </c>
      <c r="AA9" t="s">
        <v>14</v>
      </c>
      <c r="AB9" t="s">
        <v>15</v>
      </c>
      <c r="AC9" t="s">
        <v>2172</v>
      </c>
      <c r="AD9" t="s">
        <v>2171</v>
      </c>
      <c r="AE9">
        <v>0</v>
      </c>
      <c r="AF9" t="s">
        <v>18</v>
      </c>
    </row>
    <row r="10" spans="1:32" x14ac:dyDescent="0.3">
      <c r="A10" t="s">
        <v>113</v>
      </c>
      <c r="B10" t="s">
        <v>587</v>
      </c>
      <c r="C10">
        <v>0</v>
      </c>
      <c r="D10" t="s">
        <v>2163</v>
      </c>
      <c r="E10" t="s">
        <v>589</v>
      </c>
      <c r="F10">
        <v>2.5</v>
      </c>
      <c r="G10" t="s">
        <v>2174</v>
      </c>
      <c r="H10" t="s">
        <v>1999</v>
      </c>
      <c r="I10" t="s">
        <v>4</v>
      </c>
      <c r="J10">
        <v>167</v>
      </c>
      <c r="K10" t="s">
        <v>5</v>
      </c>
      <c r="L10">
        <v>93</v>
      </c>
      <c r="M10" t="s">
        <v>6</v>
      </c>
      <c r="N10">
        <v>-18.505741650601301</v>
      </c>
      <c r="O10" t="s">
        <v>7</v>
      </c>
      <c r="P10">
        <v>-0.110812824255098</v>
      </c>
      <c r="Q10" t="s">
        <v>8</v>
      </c>
      <c r="R10">
        <v>0.88382456352812699</v>
      </c>
      <c r="S10" t="s">
        <v>9</v>
      </c>
      <c r="T10">
        <v>-1.36083008187455</v>
      </c>
      <c r="U10" t="s">
        <v>10</v>
      </c>
      <c r="V10">
        <v>0.27670667740316701</v>
      </c>
      <c r="W10" t="s">
        <v>11</v>
      </c>
      <c r="X10" t="s">
        <v>2175</v>
      </c>
      <c r="Y10" t="s">
        <v>2176</v>
      </c>
      <c r="Z10">
        <v>0</v>
      </c>
      <c r="AA10" t="s">
        <v>14</v>
      </c>
      <c r="AB10" t="s">
        <v>15</v>
      </c>
      <c r="AC10" t="s">
        <v>2177</v>
      </c>
      <c r="AD10" t="s">
        <v>2171</v>
      </c>
      <c r="AE10">
        <v>0</v>
      </c>
      <c r="AF10" t="s">
        <v>18</v>
      </c>
    </row>
    <row r="11" spans="1:32" x14ac:dyDescent="0.3">
      <c r="A11" t="s">
        <v>113</v>
      </c>
      <c r="B11" t="s">
        <v>587</v>
      </c>
      <c r="C11">
        <v>0</v>
      </c>
      <c r="D11" t="s">
        <v>2163</v>
      </c>
      <c r="E11" t="s">
        <v>589</v>
      </c>
      <c r="F11">
        <v>2.5</v>
      </c>
      <c r="G11" t="s">
        <v>2174</v>
      </c>
      <c r="H11" t="s">
        <v>2002</v>
      </c>
      <c r="I11" t="s">
        <v>4</v>
      </c>
      <c r="J11">
        <v>167</v>
      </c>
      <c r="K11" t="s">
        <v>5</v>
      </c>
      <c r="L11">
        <v>107</v>
      </c>
      <c r="M11" t="s">
        <v>6</v>
      </c>
      <c r="N11">
        <v>-11.9499625813308</v>
      </c>
      <c r="O11" t="s">
        <v>7</v>
      </c>
      <c r="P11">
        <v>-7.15566621636579E-2</v>
      </c>
      <c r="Q11" t="s">
        <v>8</v>
      </c>
      <c r="R11">
        <v>0.88941696690198602</v>
      </c>
      <c r="S11" t="s">
        <v>9</v>
      </c>
      <c r="T11">
        <v>-1.7852929673307201</v>
      </c>
      <c r="U11" t="s">
        <v>10</v>
      </c>
      <c r="V11">
        <v>0.37479246553212198</v>
      </c>
      <c r="W11" t="s">
        <v>11</v>
      </c>
      <c r="X11" t="s">
        <v>2173</v>
      </c>
      <c r="Y11" t="s">
        <v>720</v>
      </c>
      <c r="Z11">
        <v>0</v>
      </c>
      <c r="AA11" t="s">
        <v>14</v>
      </c>
      <c r="AB11" t="s">
        <v>15</v>
      </c>
      <c r="AC11" t="s">
        <v>2178</v>
      </c>
      <c r="AD11" t="s">
        <v>2176</v>
      </c>
      <c r="AE11">
        <v>0</v>
      </c>
      <c r="AF11" t="s">
        <v>18</v>
      </c>
    </row>
    <row r="12" spans="1:32" x14ac:dyDescent="0.3">
      <c r="A12" t="s">
        <v>113</v>
      </c>
      <c r="B12" t="s">
        <v>587</v>
      </c>
      <c r="C12">
        <v>0</v>
      </c>
      <c r="D12" t="s">
        <v>2163</v>
      </c>
      <c r="E12" t="s">
        <v>589</v>
      </c>
      <c r="F12">
        <v>2.5</v>
      </c>
      <c r="G12" t="s">
        <v>2174</v>
      </c>
      <c r="H12" t="s">
        <v>2004</v>
      </c>
      <c r="I12" t="s">
        <v>4</v>
      </c>
      <c r="J12">
        <v>167</v>
      </c>
      <c r="K12" t="s">
        <v>5</v>
      </c>
      <c r="L12">
        <v>111</v>
      </c>
      <c r="M12" t="s">
        <v>6</v>
      </c>
      <c r="N12">
        <v>-0.66101029230886299</v>
      </c>
      <c r="O12" t="s">
        <v>7</v>
      </c>
      <c r="P12">
        <v>-3.9581454629273203E-3</v>
      </c>
      <c r="Q12" t="s">
        <v>8</v>
      </c>
      <c r="R12">
        <v>0.88006860773434703</v>
      </c>
      <c r="S12" t="s">
        <v>9</v>
      </c>
      <c r="T12">
        <v>-1.75622545983609</v>
      </c>
      <c r="U12" t="s">
        <v>10</v>
      </c>
      <c r="V12">
        <v>0.368949576959956</v>
      </c>
      <c r="W12" t="s">
        <v>11</v>
      </c>
      <c r="X12" t="s">
        <v>2173</v>
      </c>
      <c r="Y12" t="s">
        <v>720</v>
      </c>
      <c r="Z12">
        <v>0</v>
      </c>
      <c r="AA12" t="s">
        <v>14</v>
      </c>
      <c r="AB12" t="s">
        <v>15</v>
      </c>
      <c r="AC12" t="s">
        <v>2179</v>
      </c>
      <c r="AD12" t="s">
        <v>2176</v>
      </c>
      <c r="AE12">
        <v>0</v>
      </c>
      <c r="AF12" t="s">
        <v>18</v>
      </c>
    </row>
    <row r="13" spans="1:32" x14ac:dyDescent="0.3">
      <c r="A13" t="s">
        <v>113</v>
      </c>
      <c r="B13" t="s">
        <v>587</v>
      </c>
      <c r="C13">
        <v>0</v>
      </c>
      <c r="D13" t="s">
        <v>2163</v>
      </c>
      <c r="E13" t="s">
        <v>589</v>
      </c>
      <c r="F13">
        <v>2.5</v>
      </c>
      <c r="G13" t="s">
        <v>2174</v>
      </c>
      <c r="H13" t="s">
        <v>2005</v>
      </c>
      <c r="I13" t="s">
        <v>4</v>
      </c>
      <c r="J13">
        <v>167</v>
      </c>
      <c r="K13" t="s">
        <v>5</v>
      </c>
      <c r="L13">
        <v>114</v>
      </c>
      <c r="M13" t="s">
        <v>6</v>
      </c>
      <c r="N13">
        <v>17.830617810544702</v>
      </c>
      <c r="O13" t="s">
        <v>7</v>
      </c>
      <c r="P13">
        <v>0.106770166530208</v>
      </c>
      <c r="Q13" t="s">
        <v>8</v>
      </c>
      <c r="R13">
        <v>0.92976485842589596</v>
      </c>
      <c r="S13" t="s">
        <v>9</v>
      </c>
      <c r="T13">
        <v>-1.6634448311322101</v>
      </c>
      <c r="U13" t="s">
        <v>10</v>
      </c>
      <c r="V13">
        <v>0.39099518813686202</v>
      </c>
      <c r="W13" t="s">
        <v>11</v>
      </c>
      <c r="X13" t="s">
        <v>2173</v>
      </c>
      <c r="Y13" t="s">
        <v>720</v>
      </c>
      <c r="Z13">
        <v>0</v>
      </c>
      <c r="AA13" t="s">
        <v>14</v>
      </c>
      <c r="AB13" t="s">
        <v>15</v>
      </c>
      <c r="AC13" t="s">
        <v>2173</v>
      </c>
      <c r="AD13" t="s">
        <v>720</v>
      </c>
      <c r="AE13">
        <v>0</v>
      </c>
      <c r="AF13" t="s">
        <v>18</v>
      </c>
    </row>
    <row r="14" spans="1:32" x14ac:dyDescent="0.3">
      <c r="A14" t="s">
        <v>113</v>
      </c>
      <c r="B14" t="s">
        <v>587</v>
      </c>
      <c r="C14">
        <v>2.5</v>
      </c>
      <c r="D14" t="s">
        <v>2163</v>
      </c>
      <c r="E14" t="s">
        <v>589</v>
      </c>
      <c r="F14">
        <v>5</v>
      </c>
      <c r="G14" t="s">
        <v>2</v>
      </c>
      <c r="H14" t="s">
        <v>1979</v>
      </c>
      <c r="I14" t="s">
        <v>4</v>
      </c>
      <c r="J14">
        <v>169</v>
      </c>
      <c r="K14" t="s">
        <v>5</v>
      </c>
      <c r="L14">
        <v>104</v>
      </c>
      <c r="M14" t="s">
        <v>6</v>
      </c>
      <c r="N14">
        <v>-8.6700000000000106</v>
      </c>
      <c r="O14" t="s">
        <v>7</v>
      </c>
      <c r="P14">
        <v>-5.1301775147929003E-2</v>
      </c>
      <c r="Q14" t="s">
        <v>8</v>
      </c>
      <c r="R14">
        <v>0.59134615384615397</v>
      </c>
      <c r="S14" t="s">
        <v>9</v>
      </c>
      <c r="T14">
        <v>-1.07953846153846</v>
      </c>
      <c r="U14" t="s">
        <v>10</v>
      </c>
      <c r="V14">
        <v>0.222567892795353</v>
      </c>
      <c r="W14" t="s">
        <v>11</v>
      </c>
      <c r="X14" t="s">
        <v>2164</v>
      </c>
      <c r="Y14" t="s">
        <v>1278</v>
      </c>
      <c r="Z14">
        <v>0</v>
      </c>
      <c r="AA14" t="s">
        <v>14</v>
      </c>
      <c r="AB14" t="s">
        <v>15</v>
      </c>
      <c r="AC14" t="s">
        <v>2180</v>
      </c>
      <c r="AD14" t="s">
        <v>1987</v>
      </c>
      <c r="AE14">
        <v>0</v>
      </c>
      <c r="AF14" t="s">
        <v>18</v>
      </c>
    </row>
    <row r="15" spans="1:32" x14ac:dyDescent="0.3">
      <c r="A15" t="s">
        <v>113</v>
      </c>
      <c r="B15" t="s">
        <v>587</v>
      </c>
      <c r="C15">
        <v>2.5</v>
      </c>
      <c r="D15" t="s">
        <v>2163</v>
      </c>
      <c r="E15" t="s">
        <v>589</v>
      </c>
      <c r="F15">
        <v>5</v>
      </c>
      <c r="G15" t="s">
        <v>2</v>
      </c>
      <c r="H15" t="s">
        <v>1982</v>
      </c>
      <c r="I15" t="s">
        <v>4</v>
      </c>
      <c r="J15">
        <v>169</v>
      </c>
      <c r="K15" t="s">
        <v>5</v>
      </c>
      <c r="L15">
        <v>114</v>
      </c>
      <c r="M15" t="s">
        <v>6</v>
      </c>
      <c r="N15">
        <v>-24.44</v>
      </c>
      <c r="O15" t="s">
        <v>7</v>
      </c>
      <c r="P15">
        <v>-0.14461538461538401</v>
      </c>
      <c r="Q15" t="s">
        <v>8</v>
      </c>
      <c r="R15">
        <v>0.61070175438596497</v>
      </c>
      <c r="S15" t="s">
        <v>9</v>
      </c>
      <c r="T15">
        <v>-1.71018181818181</v>
      </c>
      <c r="U15" t="s">
        <v>10</v>
      </c>
      <c r="V15">
        <v>0.27634926470469501</v>
      </c>
      <c r="W15" t="s">
        <v>11</v>
      </c>
      <c r="X15" t="s">
        <v>2181</v>
      </c>
      <c r="Y15" t="s">
        <v>639</v>
      </c>
      <c r="Z15">
        <v>0</v>
      </c>
      <c r="AA15" t="s">
        <v>14</v>
      </c>
      <c r="AB15" t="s">
        <v>15</v>
      </c>
      <c r="AC15" t="s">
        <v>2182</v>
      </c>
      <c r="AD15" t="s">
        <v>639</v>
      </c>
      <c r="AE15">
        <v>0</v>
      </c>
      <c r="AF15" t="s">
        <v>18</v>
      </c>
    </row>
    <row r="16" spans="1:32" x14ac:dyDescent="0.3">
      <c r="A16" t="s">
        <v>113</v>
      </c>
      <c r="B16" t="s">
        <v>587</v>
      </c>
      <c r="C16">
        <v>2.5</v>
      </c>
      <c r="D16" t="s">
        <v>2163</v>
      </c>
      <c r="E16" t="s">
        <v>589</v>
      </c>
      <c r="F16">
        <v>5</v>
      </c>
      <c r="G16" t="s">
        <v>2</v>
      </c>
      <c r="H16" t="s">
        <v>1985</v>
      </c>
      <c r="I16" t="s">
        <v>4</v>
      </c>
      <c r="J16">
        <v>169</v>
      </c>
      <c r="K16" t="s">
        <v>5</v>
      </c>
      <c r="L16">
        <v>114</v>
      </c>
      <c r="M16" t="s">
        <v>6</v>
      </c>
      <c r="N16">
        <v>-26.51</v>
      </c>
      <c r="O16" t="s">
        <v>7</v>
      </c>
      <c r="P16">
        <v>-0.156863905325443</v>
      </c>
      <c r="Q16" t="s">
        <v>8</v>
      </c>
      <c r="R16">
        <v>0.61070175438596497</v>
      </c>
      <c r="S16" t="s">
        <v>9</v>
      </c>
      <c r="T16">
        <v>-1.7478181818181799</v>
      </c>
      <c r="U16" t="s">
        <v>10</v>
      </c>
      <c r="V16">
        <v>0.28190185633361597</v>
      </c>
      <c r="W16" t="s">
        <v>11</v>
      </c>
      <c r="X16" t="s">
        <v>2181</v>
      </c>
      <c r="Y16" t="s">
        <v>639</v>
      </c>
      <c r="Z16">
        <v>0</v>
      </c>
      <c r="AA16" t="s">
        <v>14</v>
      </c>
      <c r="AB16" t="s">
        <v>15</v>
      </c>
      <c r="AC16" t="s">
        <v>2182</v>
      </c>
      <c r="AD16" t="s">
        <v>639</v>
      </c>
      <c r="AE16">
        <v>0</v>
      </c>
      <c r="AF16" t="s">
        <v>18</v>
      </c>
    </row>
    <row r="17" spans="1:32" x14ac:dyDescent="0.3">
      <c r="A17" t="s">
        <v>113</v>
      </c>
      <c r="B17" t="s">
        <v>587</v>
      </c>
      <c r="C17">
        <v>2.5</v>
      </c>
      <c r="D17" t="s">
        <v>2163</v>
      </c>
      <c r="E17" t="s">
        <v>589</v>
      </c>
      <c r="F17">
        <v>5</v>
      </c>
      <c r="G17" t="s">
        <v>2</v>
      </c>
      <c r="H17" t="s">
        <v>1988</v>
      </c>
      <c r="I17" t="s">
        <v>4</v>
      </c>
      <c r="J17">
        <v>169</v>
      </c>
      <c r="K17" t="s">
        <v>5</v>
      </c>
      <c r="L17">
        <v>114</v>
      </c>
      <c r="M17" t="s">
        <v>6</v>
      </c>
      <c r="N17">
        <v>-24.61</v>
      </c>
      <c r="O17" t="s">
        <v>7</v>
      </c>
      <c r="P17">
        <v>-0.14562130177514801</v>
      </c>
      <c r="Q17" t="s">
        <v>8</v>
      </c>
      <c r="R17">
        <v>0.61070175438596497</v>
      </c>
      <c r="S17" t="s">
        <v>9</v>
      </c>
      <c r="T17">
        <v>-1.71327272727272</v>
      </c>
      <c r="U17" t="s">
        <v>10</v>
      </c>
      <c r="V17">
        <v>0.28764618331504099</v>
      </c>
      <c r="W17" t="s">
        <v>11</v>
      </c>
      <c r="X17" t="s">
        <v>2181</v>
      </c>
      <c r="Y17" t="s">
        <v>639</v>
      </c>
      <c r="Z17">
        <v>0</v>
      </c>
      <c r="AA17" t="s">
        <v>14</v>
      </c>
      <c r="AB17" t="s">
        <v>15</v>
      </c>
      <c r="AC17" t="s">
        <v>2182</v>
      </c>
      <c r="AD17" t="s">
        <v>639</v>
      </c>
      <c r="AE17">
        <v>0</v>
      </c>
      <c r="AF17" t="s">
        <v>18</v>
      </c>
    </row>
    <row r="18" spans="1:32" x14ac:dyDescent="0.3">
      <c r="A18" t="s">
        <v>113</v>
      </c>
      <c r="B18" t="s">
        <v>587</v>
      </c>
      <c r="C18">
        <v>2.5</v>
      </c>
      <c r="D18" t="s">
        <v>2163</v>
      </c>
      <c r="E18" t="s">
        <v>589</v>
      </c>
      <c r="F18">
        <v>5</v>
      </c>
      <c r="G18" t="s">
        <v>27</v>
      </c>
      <c r="H18" t="s">
        <v>1991</v>
      </c>
      <c r="I18" t="s">
        <v>4</v>
      </c>
      <c r="J18">
        <v>178</v>
      </c>
      <c r="K18" t="s">
        <v>5</v>
      </c>
      <c r="L18">
        <v>109</v>
      </c>
      <c r="M18" t="s">
        <v>6</v>
      </c>
      <c r="N18">
        <v>-15.3599999999999</v>
      </c>
      <c r="O18" t="s">
        <v>7</v>
      </c>
      <c r="P18">
        <v>-8.6292134831460296E-2</v>
      </c>
      <c r="Q18" t="s">
        <v>8</v>
      </c>
      <c r="R18">
        <v>0.645321100917431</v>
      </c>
      <c r="S18" t="s">
        <v>9</v>
      </c>
      <c r="T18">
        <v>-1.2420289855072399</v>
      </c>
      <c r="U18" t="s">
        <v>10</v>
      </c>
      <c r="V18">
        <v>0.251922202325843</v>
      </c>
      <c r="W18" t="s">
        <v>11</v>
      </c>
      <c r="X18" t="s">
        <v>736</v>
      </c>
      <c r="Y18" t="s">
        <v>650</v>
      </c>
      <c r="Z18">
        <v>0</v>
      </c>
      <c r="AA18" t="s">
        <v>14</v>
      </c>
      <c r="AB18" t="s">
        <v>15</v>
      </c>
      <c r="AC18" t="s">
        <v>2183</v>
      </c>
      <c r="AD18" t="s">
        <v>1987</v>
      </c>
      <c r="AE18">
        <v>0</v>
      </c>
      <c r="AF18" t="s">
        <v>18</v>
      </c>
    </row>
    <row r="19" spans="1:32" x14ac:dyDescent="0.3">
      <c r="A19" t="s">
        <v>113</v>
      </c>
      <c r="B19" t="s">
        <v>587</v>
      </c>
      <c r="C19">
        <v>2.5</v>
      </c>
      <c r="D19" t="s">
        <v>2163</v>
      </c>
      <c r="E19" t="s">
        <v>589</v>
      </c>
      <c r="F19">
        <v>5</v>
      </c>
      <c r="G19" t="s">
        <v>27</v>
      </c>
      <c r="H19" t="s">
        <v>1994</v>
      </c>
      <c r="I19" t="s">
        <v>4</v>
      </c>
      <c r="J19">
        <v>178</v>
      </c>
      <c r="K19" t="s">
        <v>5</v>
      </c>
      <c r="L19">
        <v>131</v>
      </c>
      <c r="M19" t="s">
        <v>6</v>
      </c>
      <c r="N19">
        <v>1.9500000000000499</v>
      </c>
      <c r="O19" t="s">
        <v>7</v>
      </c>
      <c r="P19">
        <v>1.09550561797756E-2</v>
      </c>
      <c r="Q19" t="s">
        <v>8</v>
      </c>
      <c r="R19">
        <v>0.73137404580152598</v>
      </c>
      <c r="S19" t="s">
        <v>9</v>
      </c>
      <c r="T19">
        <v>-1.99702127659574</v>
      </c>
      <c r="U19" t="s">
        <v>10</v>
      </c>
      <c r="V19">
        <v>0.36715788066404598</v>
      </c>
      <c r="W19" t="s">
        <v>11</v>
      </c>
      <c r="X19" t="s">
        <v>2181</v>
      </c>
      <c r="Y19" t="s">
        <v>639</v>
      </c>
      <c r="Z19">
        <v>0</v>
      </c>
      <c r="AA19" t="s">
        <v>14</v>
      </c>
      <c r="AB19" t="s">
        <v>15</v>
      </c>
      <c r="AC19" t="s">
        <v>2182</v>
      </c>
      <c r="AD19" t="s">
        <v>639</v>
      </c>
      <c r="AE19">
        <v>0</v>
      </c>
      <c r="AF19" t="s">
        <v>18</v>
      </c>
    </row>
    <row r="20" spans="1:32" x14ac:dyDescent="0.3">
      <c r="A20" t="s">
        <v>113</v>
      </c>
      <c r="B20" t="s">
        <v>587</v>
      </c>
      <c r="C20">
        <v>2.5</v>
      </c>
      <c r="D20" t="s">
        <v>2163</v>
      </c>
      <c r="E20" t="s">
        <v>589</v>
      </c>
      <c r="F20">
        <v>5</v>
      </c>
      <c r="G20" t="s">
        <v>27</v>
      </c>
      <c r="H20" t="s">
        <v>1996</v>
      </c>
      <c r="I20" t="s">
        <v>4</v>
      </c>
      <c r="J20">
        <v>178</v>
      </c>
      <c r="K20" t="s">
        <v>5</v>
      </c>
      <c r="L20">
        <v>134</v>
      </c>
      <c r="M20" t="s">
        <v>6</v>
      </c>
      <c r="N20">
        <v>16.87</v>
      </c>
      <c r="O20" t="s">
        <v>7</v>
      </c>
      <c r="P20">
        <v>9.4775280898876504E-2</v>
      </c>
      <c r="Q20" t="s">
        <v>8</v>
      </c>
      <c r="R20">
        <v>0.74037313432835805</v>
      </c>
      <c r="S20" t="s">
        <v>9</v>
      </c>
      <c r="T20">
        <v>-1.8713636363636299</v>
      </c>
      <c r="U20" t="s">
        <v>10</v>
      </c>
      <c r="V20">
        <v>0.39112353759229501</v>
      </c>
      <c r="W20" t="s">
        <v>11</v>
      </c>
      <c r="X20" t="s">
        <v>2181</v>
      </c>
      <c r="Y20" t="s">
        <v>639</v>
      </c>
      <c r="Z20">
        <v>0</v>
      </c>
      <c r="AA20" t="s">
        <v>14</v>
      </c>
      <c r="AB20" t="s">
        <v>15</v>
      </c>
      <c r="AC20" t="s">
        <v>2184</v>
      </c>
      <c r="AD20" t="s">
        <v>2176</v>
      </c>
      <c r="AE20">
        <v>0</v>
      </c>
      <c r="AF20" t="s">
        <v>18</v>
      </c>
    </row>
    <row r="21" spans="1:32" x14ac:dyDescent="0.3">
      <c r="A21" t="s">
        <v>113</v>
      </c>
      <c r="B21" t="s">
        <v>587</v>
      </c>
      <c r="C21">
        <v>2.5</v>
      </c>
      <c r="D21" t="s">
        <v>2163</v>
      </c>
      <c r="E21" t="s">
        <v>589</v>
      </c>
      <c r="F21">
        <v>5</v>
      </c>
      <c r="G21" t="s">
        <v>27</v>
      </c>
      <c r="H21" t="s">
        <v>1997</v>
      </c>
      <c r="I21" t="s">
        <v>4</v>
      </c>
      <c r="J21">
        <v>178</v>
      </c>
      <c r="K21" t="s">
        <v>5</v>
      </c>
      <c r="L21">
        <v>134</v>
      </c>
      <c r="M21" t="s">
        <v>6</v>
      </c>
      <c r="N21">
        <v>20.43</v>
      </c>
      <c r="O21" t="s">
        <v>7</v>
      </c>
      <c r="P21">
        <v>0.11477528089887599</v>
      </c>
      <c r="Q21" t="s">
        <v>8</v>
      </c>
      <c r="R21">
        <v>0.74037313432835805</v>
      </c>
      <c r="S21" t="s">
        <v>9</v>
      </c>
      <c r="T21">
        <v>-1.79045454545454</v>
      </c>
      <c r="U21" t="s">
        <v>10</v>
      </c>
      <c r="V21">
        <v>0.40043615784424602</v>
      </c>
      <c r="W21" t="s">
        <v>11</v>
      </c>
      <c r="X21" t="s">
        <v>2181</v>
      </c>
      <c r="Y21" t="s">
        <v>639</v>
      </c>
      <c r="Z21">
        <v>0</v>
      </c>
      <c r="AA21" t="s">
        <v>14</v>
      </c>
      <c r="AB21" t="s">
        <v>15</v>
      </c>
      <c r="AC21" t="s">
        <v>2184</v>
      </c>
      <c r="AD21" t="s">
        <v>2176</v>
      </c>
      <c r="AE21">
        <v>0</v>
      </c>
      <c r="AF21" t="s">
        <v>18</v>
      </c>
    </row>
    <row r="22" spans="1:32" x14ac:dyDescent="0.3">
      <c r="A22" t="s">
        <v>113</v>
      </c>
      <c r="B22" t="s">
        <v>587</v>
      </c>
      <c r="C22">
        <v>2.5</v>
      </c>
      <c r="D22" t="s">
        <v>2163</v>
      </c>
      <c r="E22" t="s">
        <v>589</v>
      </c>
      <c r="F22">
        <v>5</v>
      </c>
      <c r="G22" t="s">
        <v>2174</v>
      </c>
      <c r="H22" t="s">
        <v>1999</v>
      </c>
      <c r="I22" t="s">
        <v>4</v>
      </c>
      <c r="J22">
        <v>167</v>
      </c>
      <c r="K22" t="s">
        <v>5</v>
      </c>
      <c r="L22">
        <v>101</v>
      </c>
      <c r="M22" t="s">
        <v>6</v>
      </c>
      <c r="N22">
        <v>-19.034708007287701</v>
      </c>
      <c r="O22" t="s">
        <v>7</v>
      </c>
      <c r="P22">
        <v>-0.11398028746878799</v>
      </c>
      <c r="Q22" t="s">
        <v>8</v>
      </c>
      <c r="R22">
        <v>0.76781810029445796</v>
      </c>
      <c r="S22" t="s">
        <v>9</v>
      </c>
      <c r="T22">
        <v>-1.4633990323792101</v>
      </c>
      <c r="U22" t="s">
        <v>10</v>
      </c>
      <c r="V22">
        <v>0.27625402297699198</v>
      </c>
      <c r="W22" t="s">
        <v>11</v>
      </c>
      <c r="X22" t="s">
        <v>1463</v>
      </c>
      <c r="Y22" t="s">
        <v>720</v>
      </c>
      <c r="Z22">
        <v>0</v>
      </c>
      <c r="AA22" t="s">
        <v>14</v>
      </c>
      <c r="AB22" t="s">
        <v>15</v>
      </c>
      <c r="AC22" t="s">
        <v>1463</v>
      </c>
      <c r="AD22" t="s">
        <v>720</v>
      </c>
      <c r="AE22">
        <v>0</v>
      </c>
      <c r="AF22" t="s">
        <v>18</v>
      </c>
    </row>
    <row r="23" spans="1:32" x14ac:dyDescent="0.3">
      <c r="A23" t="s">
        <v>113</v>
      </c>
      <c r="B23" t="s">
        <v>587</v>
      </c>
      <c r="C23">
        <v>2.5</v>
      </c>
      <c r="D23" t="s">
        <v>2163</v>
      </c>
      <c r="E23" t="s">
        <v>589</v>
      </c>
      <c r="F23">
        <v>5</v>
      </c>
      <c r="G23" t="s">
        <v>2174</v>
      </c>
      <c r="H23" t="s">
        <v>2002</v>
      </c>
      <c r="I23" t="s">
        <v>4</v>
      </c>
      <c r="J23">
        <v>167</v>
      </c>
      <c r="K23" t="s">
        <v>5</v>
      </c>
      <c r="L23">
        <v>117</v>
      </c>
      <c r="M23" t="s">
        <v>6</v>
      </c>
      <c r="N23">
        <v>-12.7265140855234</v>
      </c>
      <c r="O23" t="s">
        <v>7</v>
      </c>
      <c r="P23">
        <v>-7.6206671170799004E-2</v>
      </c>
      <c r="Q23" t="s">
        <v>8</v>
      </c>
      <c r="R23">
        <v>0.80971285452761099</v>
      </c>
      <c r="S23" t="s">
        <v>9</v>
      </c>
      <c r="T23">
        <v>-2.1492583613050802</v>
      </c>
      <c r="U23" t="s">
        <v>10</v>
      </c>
      <c r="V23">
        <v>0.36266528600680198</v>
      </c>
      <c r="W23" t="s">
        <v>11</v>
      </c>
      <c r="X23" t="s">
        <v>1463</v>
      </c>
      <c r="Y23" t="s">
        <v>720</v>
      </c>
      <c r="Z23">
        <v>0</v>
      </c>
      <c r="AA23" t="s">
        <v>14</v>
      </c>
      <c r="AB23" t="s">
        <v>15</v>
      </c>
      <c r="AC23" t="s">
        <v>2185</v>
      </c>
      <c r="AD23" t="s">
        <v>2186</v>
      </c>
      <c r="AE23">
        <v>0</v>
      </c>
      <c r="AF23" t="s">
        <v>18</v>
      </c>
    </row>
    <row r="24" spans="1:32" x14ac:dyDescent="0.3">
      <c r="A24" t="s">
        <v>113</v>
      </c>
      <c r="B24" t="s">
        <v>587</v>
      </c>
      <c r="C24">
        <v>2.5</v>
      </c>
      <c r="D24" t="s">
        <v>2163</v>
      </c>
      <c r="E24" t="s">
        <v>589</v>
      </c>
      <c r="F24">
        <v>5</v>
      </c>
      <c r="G24" t="s">
        <v>2174</v>
      </c>
      <c r="H24" t="s">
        <v>2004</v>
      </c>
      <c r="I24" t="s">
        <v>4</v>
      </c>
      <c r="J24">
        <v>167</v>
      </c>
      <c r="K24" t="s">
        <v>5</v>
      </c>
      <c r="L24">
        <v>122</v>
      </c>
      <c r="M24" t="s">
        <v>6</v>
      </c>
      <c r="N24">
        <v>11.7260364341167</v>
      </c>
      <c r="O24" t="s">
        <v>7</v>
      </c>
      <c r="P24">
        <v>7.0215787030639201E-2</v>
      </c>
      <c r="Q24" t="s">
        <v>8</v>
      </c>
      <c r="R24">
        <v>0.83414470997009804</v>
      </c>
      <c r="S24" t="s">
        <v>9</v>
      </c>
      <c r="T24">
        <v>-2.0008804040496702</v>
      </c>
      <c r="U24" t="s">
        <v>10</v>
      </c>
      <c r="V24">
        <v>0.38400593643970898</v>
      </c>
      <c r="W24" t="s">
        <v>11</v>
      </c>
      <c r="X24" t="s">
        <v>1463</v>
      </c>
      <c r="Y24" t="s">
        <v>720</v>
      </c>
      <c r="Z24">
        <v>0</v>
      </c>
      <c r="AA24" t="s">
        <v>14</v>
      </c>
      <c r="AB24" t="s">
        <v>15</v>
      </c>
      <c r="AC24" t="s">
        <v>2187</v>
      </c>
      <c r="AD24" t="s">
        <v>2186</v>
      </c>
      <c r="AE24">
        <v>0</v>
      </c>
      <c r="AF24" t="s">
        <v>18</v>
      </c>
    </row>
    <row r="25" spans="1:32" x14ac:dyDescent="0.3">
      <c r="A25" t="s">
        <v>113</v>
      </c>
      <c r="B25" t="s">
        <v>587</v>
      </c>
      <c r="C25">
        <v>2.5</v>
      </c>
      <c r="D25" t="s">
        <v>2163</v>
      </c>
      <c r="E25" t="s">
        <v>589</v>
      </c>
      <c r="F25">
        <v>5</v>
      </c>
      <c r="G25" t="s">
        <v>2174</v>
      </c>
      <c r="H25" t="s">
        <v>2005</v>
      </c>
      <c r="I25" t="s">
        <v>4</v>
      </c>
      <c r="J25">
        <v>167</v>
      </c>
      <c r="K25" t="s">
        <v>5</v>
      </c>
      <c r="L25">
        <v>124</v>
      </c>
      <c r="M25" t="s">
        <v>6</v>
      </c>
      <c r="N25">
        <v>27.117084145094701</v>
      </c>
      <c r="O25" t="s">
        <v>7</v>
      </c>
      <c r="P25">
        <v>0.162377749371824</v>
      </c>
      <c r="Q25" t="s">
        <v>8</v>
      </c>
      <c r="R25">
        <v>0.82851334368025698</v>
      </c>
      <c r="S25" t="s">
        <v>9</v>
      </c>
      <c r="T25">
        <v>-1.7585714063083</v>
      </c>
      <c r="U25" t="s">
        <v>10</v>
      </c>
      <c r="V25">
        <v>0.40497052739136102</v>
      </c>
      <c r="W25" t="s">
        <v>11</v>
      </c>
      <c r="X25" t="s">
        <v>1463</v>
      </c>
      <c r="Y25" t="s">
        <v>720</v>
      </c>
      <c r="Z25">
        <v>0</v>
      </c>
      <c r="AA25" t="s">
        <v>14</v>
      </c>
      <c r="AB25" t="s">
        <v>15</v>
      </c>
      <c r="AC25" t="s">
        <v>2188</v>
      </c>
      <c r="AD25" t="s">
        <v>2186</v>
      </c>
      <c r="AE25">
        <v>0</v>
      </c>
      <c r="AF25" t="s">
        <v>18</v>
      </c>
    </row>
    <row r="26" spans="1:32" x14ac:dyDescent="0.3">
      <c r="A26" t="s">
        <v>113</v>
      </c>
      <c r="B26" t="s">
        <v>587</v>
      </c>
      <c r="C26">
        <v>5</v>
      </c>
      <c r="D26" t="s">
        <v>2163</v>
      </c>
      <c r="E26" t="s">
        <v>589</v>
      </c>
      <c r="F26">
        <v>7.5</v>
      </c>
      <c r="G26" t="s">
        <v>2</v>
      </c>
      <c r="H26" t="s">
        <v>1979</v>
      </c>
      <c r="I26" t="s">
        <v>4</v>
      </c>
      <c r="J26">
        <v>169</v>
      </c>
      <c r="K26" t="s">
        <v>5</v>
      </c>
      <c r="L26">
        <v>105</v>
      </c>
      <c r="M26" t="s">
        <v>6</v>
      </c>
      <c r="N26">
        <v>-12.809999999999899</v>
      </c>
      <c r="O26" t="s">
        <v>7</v>
      </c>
      <c r="P26">
        <v>-7.5798816568047198E-2</v>
      </c>
      <c r="Q26" t="s">
        <v>8</v>
      </c>
      <c r="R26">
        <v>0.413333333333333</v>
      </c>
      <c r="S26" t="s">
        <v>9</v>
      </c>
      <c r="T26">
        <v>-0.87828125000000001</v>
      </c>
      <c r="U26" t="s">
        <v>10</v>
      </c>
      <c r="V26">
        <v>0.17404207782341599</v>
      </c>
      <c r="W26" t="s">
        <v>11</v>
      </c>
      <c r="X26" t="s">
        <v>2189</v>
      </c>
      <c r="Y26" t="s">
        <v>1278</v>
      </c>
      <c r="Z26">
        <v>0</v>
      </c>
      <c r="AA26" t="s">
        <v>14</v>
      </c>
      <c r="AB26" t="s">
        <v>15</v>
      </c>
      <c r="AC26" t="s">
        <v>1397</v>
      </c>
      <c r="AD26" t="s">
        <v>720</v>
      </c>
      <c r="AE26">
        <v>0</v>
      </c>
      <c r="AF26" t="s">
        <v>18</v>
      </c>
    </row>
    <row r="27" spans="1:32" x14ac:dyDescent="0.3">
      <c r="A27" t="s">
        <v>113</v>
      </c>
      <c r="B27" t="s">
        <v>587</v>
      </c>
      <c r="C27">
        <v>5</v>
      </c>
      <c r="D27" t="s">
        <v>2163</v>
      </c>
      <c r="E27" t="s">
        <v>589</v>
      </c>
      <c r="F27">
        <v>7.5</v>
      </c>
      <c r="G27" t="s">
        <v>2</v>
      </c>
      <c r="H27" t="s">
        <v>1982</v>
      </c>
      <c r="I27" t="s">
        <v>4</v>
      </c>
      <c r="J27">
        <v>169</v>
      </c>
      <c r="K27" t="s">
        <v>5</v>
      </c>
      <c r="L27">
        <v>121</v>
      </c>
      <c r="M27" t="s">
        <v>6</v>
      </c>
      <c r="N27">
        <v>-23.9299999999999</v>
      </c>
      <c r="O27" t="s">
        <v>7</v>
      </c>
      <c r="P27">
        <v>-0.141597633136094</v>
      </c>
      <c r="Q27" t="s">
        <v>8</v>
      </c>
      <c r="R27">
        <v>0.41305785123966898</v>
      </c>
      <c r="S27" t="s">
        <v>9</v>
      </c>
      <c r="T27">
        <v>-1.53979166666666</v>
      </c>
      <c r="U27" t="s">
        <v>10</v>
      </c>
      <c r="V27">
        <v>0.23449648788765501</v>
      </c>
      <c r="W27" t="s">
        <v>11</v>
      </c>
      <c r="X27" t="s">
        <v>2166</v>
      </c>
      <c r="Y27" t="s">
        <v>2167</v>
      </c>
      <c r="Z27">
        <v>0</v>
      </c>
      <c r="AA27" t="s">
        <v>14</v>
      </c>
      <c r="AB27" t="s">
        <v>15</v>
      </c>
      <c r="AC27" t="s">
        <v>2190</v>
      </c>
      <c r="AD27" t="s">
        <v>2167</v>
      </c>
      <c r="AE27">
        <v>0</v>
      </c>
      <c r="AF27" t="s">
        <v>18</v>
      </c>
    </row>
    <row r="28" spans="1:32" x14ac:dyDescent="0.3">
      <c r="A28" t="s">
        <v>113</v>
      </c>
      <c r="B28" t="s">
        <v>587</v>
      </c>
      <c r="C28">
        <v>5</v>
      </c>
      <c r="D28" t="s">
        <v>2163</v>
      </c>
      <c r="E28" t="s">
        <v>589</v>
      </c>
      <c r="F28">
        <v>7.5</v>
      </c>
      <c r="G28" t="s">
        <v>2</v>
      </c>
      <c r="H28" t="s">
        <v>1985</v>
      </c>
      <c r="I28" t="s">
        <v>4</v>
      </c>
      <c r="J28">
        <v>169</v>
      </c>
      <c r="K28" t="s">
        <v>5</v>
      </c>
      <c r="L28">
        <v>124</v>
      </c>
      <c r="M28" t="s">
        <v>6</v>
      </c>
      <c r="N28">
        <v>-21.1999999999999</v>
      </c>
      <c r="O28" t="s">
        <v>7</v>
      </c>
      <c r="P28">
        <v>-0.12544378698224801</v>
      </c>
      <c r="Q28" t="s">
        <v>8</v>
      </c>
      <c r="R28">
        <v>0.40975806451612901</v>
      </c>
      <c r="S28" t="s">
        <v>9</v>
      </c>
      <c r="T28">
        <v>-1.60022222222222</v>
      </c>
      <c r="U28" t="s">
        <v>10</v>
      </c>
      <c r="V28">
        <v>0.25482637213109899</v>
      </c>
      <c r="W28" t="s">
        <v>11</v>
      </c>
      <c r="X28" t="s">
        <v>2166</v>
      </c>
      <c r="Y28" t="s">
        <v>2167</v>
      </c>
      <c r="Z28">
        <v>0</v>
      </c>
      <c r="AA28" t="s">
        <v>14</v>
      </c>
      <c r="AB28" t="s">
        <v>15</v>
      </c>
      <c r="AC28" t="s">
        <v>2190</v>
      </c>
      <c r="AD28" t="s">
        <v>2167</v>
      </c>
      <c r="AE28">
        <v>0</v>
      </c>
      <c r="AF28" t="s">
        <v>18</v>
      </c>
    </row>
    <row r="29" spans="1:32" x14ac:dyDescent="0.3">
      <c r="A29" t="s">
        <v>113</v>
      </c>
      <c r="B29" t="s">
        <v>587</v>
      </c>
      <c r="C29">
        <v>5</v>
      </c>
      <c r="D29" t="s">
        <v>2163</v>
      </c>
      <c r="E29" t="s">
        <v>589</v>
      </c>
      <c r="F29">
        <v>7.5</v>
      </c>
      <c r="G29" t="s">
        <v>2</v>
      </c>
      <c r="H29" t="s">
        <v>1988</v>
      </c>
      <c r="I29" t="s">
        <v>4</v>
      </c>
      <c r="J29">
        <v>169</v>
      </c>
      <c r="K29" t="s">
        <v>5</v>
      </c>
      <c r="L29">
        <v>124</v>
      </c>
      <c r="M29" t="s">
        <v>6</v>
      </c>
      <c r="N29">
        <v>-20.889999999999901</v>
      </c>
      <c r="O29" t="s">
        <v>7</v>
      </c>
      <c r="P29">
        <v>-0.12360946745562</v>
      </c>
      <c r="Q29" t="s">
        <v>8</v>
      </c>
      <c r="R29">
        <v>0.40975806451612901</v>
      </c>
      <c r="S29" t="s">
        <v>9</v>
      </c>
      <c r="T29">
        <v>-1.5933333333333299</v>
      </c>
      <c r="U29" t="s">
        <v>10</v>
      </c>
      <c r="V29">
        <v>0.276542365095368</v>
      </c>
      <c r="W29" t="s">
        <v>11</v>
      </c>
      <c r="X29" t="s">
        <v>2166</v>
      </c>
      <c r="Y29" t="s">
        <v>2167</v>
      </c>
      <c r="Z29">
        <v>0</v>
      </c>
      <c r="AA29" t="s">
        <v>14</v>
      </c>
      <c r="AB29" t="s">
        <v>15</v>
      </c>
      <c r="AC29" t="s">
        <v>2191</v>
      </c>
      <c r="AD29" t="s">
        <v>2192</v>
      </c>
      <c r="AE29">
        <v>0</v>
      </c>
      <c r="AF29" t="s">
        <v>18</v>
      </c>
    </row>
    <row r="30" spans="1:32" x14ac:dyDescent="0.3">
      <c r="A30" t="s">
        <v>113</v>
      </c>
      <c r="B30" t="s">
        <v>587</v>
      </c>
      <c r="C30">
        <v>5</v>
      </c>
      <c r="D30" t="s">
        <v>2163</v>
      </c>
      <c r="E30" t="s">
        <v>589</v>
      </c>
      <c r="F30">
        <v>7.5</v>
      </c>
      <c r="G30" t="s">
        <v>27</v>
      </c>
      <c r="H30" t="s">
        <v>1991</v>
      </c>
      <c r="I30" t="s">
        <v>4</v>
      </c>
      <c r="J30">
        <v>178</v>
      </c>
      <c r="K30" t="s">
        <v>5</v>
      </c>
      <c r="L30">
        <v>104</v>
      </c>
      <c r="M30" t="s">
        <v>6</v>
      </c>
      <c r="N30">
        <v>-18.0399999999999</v>
      </c>
      <c r="O30" t="s">
        <v>7</v>
      </c>
      <c r="P30">
        <v>-0.101348314606741</v>
      </c>
      <c r="Q30" t="s">
        <v>8</v>
      </c>
      <c r="R30">
        <v>0.52096153846153803</v>
      </c>
      <c r="S30" t="s">
        <v>9</v>
      </c>
      <c r="T30">
        <v>-0.97594594594594597</v>
      </c>
      <c r="U30" t="s">
        <v>10</v>
      </c>
      <c r="V30">
        <v>0.205319863445835</v>
      </c>
      <c r="W30" t="s">
        <v>11</v>
      </c>
      <c r="X30" t="s">
        <v>2193</v>
      </c>
      <c r="Y30" t="s">
        <v>635</v>
      </c>
      <c r="Z30">
        <v>0</v>
      </c>
      <c r="AA30" t="s">
        <v>14</v>
      </c>
      <c r="AB30" t="s">
        <v>15</v>
      </c>
      <c r="AC30" t="s">
        <v>2194</v>
      </c>
      <c r="AD30" t="s">
        <v>2013</v>
      </c>
      <c r="AE30">
        <v>0</v>
      </c>
      <c r="AF30" t="s">
        <v>18</v>
      </c>
    </row>
    <row r="31" spans="1:32" x14ac:dyDescent="0.3">
      <c r="A31" t="s">
        <v>113</v>
      </c>
      <c r="B31" t="s">
        <v>587</v>
      </c>
      <c r="C31">
        <v>5</v>
      </c>
      <c r="D31" t="s">
        <v>2163</v>
      </c>
      <c r="E31" t="s">
        <v>589</v>
      </c>
      <c r="F31">
        <v>7.5</v>
      </c>
      <c r="G31" t="s">
        <v>27</v>
      </c>
      <c r="H31" t="s">
        <v>1994</v>
      </c>
      <c r="I31" t="s">
        <v>4</v>
      </c>
      <c r="J31">
        <v>178</v>
      </c>
      <c r="K31" t="s">
        <v>5</v>
      </c>
      <c r="L31">
        <v>137</v>
      </c>
      <c r="M31" t="s">
        <v>6</v>
      </c>
      <c r="N31">
        <v>6.7000000000000197</v>
      </c>
      <c r="O31" t="s">
        <v>7</v>
      </c>
      <c r="P31">
        <v>3.76404494382023E-2</v>
      </c>
      <c r="Q31" t="s">
        <v>8</v>
      </c>
      <c r="R31">
        <v>0.54759124087591204</v>
      </c>
      <c r="S31" t="s">
        <v>9</v>
      </c>
      <c r="T31">
        <v>-1.6663414634146301</v>
      </c>
      <c r="U31" t="s">
        <v>10</v>
      </c>
      <c r="V31">
        <v>0.29654036074635898</v>
      </c>
      <c r="W31" t="s">
        <v>11</v>
      </c>
      <c r="X31" t="s">
        <v>2193</v>
      </c>
      <c r="Y31" t="s">
        <v>635</v>
      </c>
      <c r="Z31">
        <v>0</v>
      </c>
      <c r="AA31" t="s">
        <v>14</v>
      </c>
      <c r="AB31" t="s">
        <v>15</v>
      </c>
      <c r="AC31" t="s">
        <v>2190</v>
      </c>
      <c r="AD31" t="s">
        <v>2167</v>
      </c>
      <c r="AE31">
        <v>0</v>
      </c>
      <c r="AF31" t="s">
        <v>18</v>
      </c>
    </row>
    <row r="32" spans="1:32" x14ac:dyDescent="0.3">
      <c r="A32" t="s">
        <v>113</v>
      </c>
      <c r="B32" t="s">
        <v>587</v>
      </c>
      <c r="C32">
        <v>5</v>
      </c>
      <c r="D32" t="s">
        <v>2163</v>
      </c>
      <c r="E32" t="s">
        <v>589</v>
      </c>
      <c r="F32">
        <v>7.5</v>
      </c>
      <c r="G32" t="s">
        <v>27</v>
      </c>
      <c r="H32" t="s">
        <v>1996</v>
      </c>
      <c r="I32" t="s">
        <v>4</v>
      </c>
      <c r="J32">
        <v>178</v>
      </c>
      <c r="K32" t="s">
        <v>5</v>
      </c>
      <c r="L32">
        <v>142</v>
      </c>
      <c r="M32" t="s">
        <v>6</v>
      </c>
      <c r="N32">
        <v>17.690000000000001</v>
      </c>
      <c r="O32" t="s">
        <v>7</v>
      </c>
      <c r="P32">
        <v>9.9382022471910095E-2</v>
      </c>
      <c r="Q32" t="s">
        <v>8</v>
      </c>
      <c r="R32">
        <v>0.57584507042253497</v>
      </c>
      <c r="S32" t="s">
        <v>9</v>
      </c>
      <c r="T32">
        <v>-1.77999999999999</v>
      </c>
      <c r="U32" t="s">
        <v>10</v>
      </c>
      <c r="V32">
        <v>0.32588508767744201</v>
      </c>
      <c r="W32" t="s">
        <v>11</v>
      </c>
      <c r="X32" t="s">
        <v>2193</v>
      </c>
      <c r="Y32" t="s">
        <v>635</v>
      </c>
      <c r="Z32">
        <v>0</v>
      </c>
      <c r="AA32" t="s">
        <v>14</v>
      </c>
      <c r="AB32" t="s">
        <v>15</v>
      </c>
      <c r="AC32" t="s">
        <v>2190</v>
      </c>
      <c r="AD32" t="s">
        <v>2167</v>
      </c>
      <c r="AE32">
        <v>0</v>
      </c>
      <c r="AF32" t="s">
        <v>18</v>
      </c>
    </row>
    <row r="33" spans="1:32" x14ac:dyDescent="0.3">
      <c r="A33" t="s">
        <v>113</v>
      </c>
      <c r="B33" t="s">
        <v>587</v>
      </c>
      <c r="C33">
        <v>5</v>
      </c>
      <c r="D33" t="s">
        <v>2163</v>
      </c>
      <c r="E33" t="s">
        <v>589</v>
      </c>
      <c r="F33">
        <v>7.5</v>
      </c>
      <c r="G33" t="s">
        <v>27</v>
      </c>
      <c r="H33" t="s">
        <v>1997</v>
      </c>
      <c r="I33" t="s">
        <v>4</v>
      </c>
      <c r="J33">
        <v>178</v>
      </c>
      <c r="K33" t="s">
        <v>5</v>
      </c>
      <c r="L33">
        <v>143</v>
      </c>
      <c r="M33" t="s">
        <v>6</v>
      </c>
      <c r="N33">
        <v>28.209999999999901</v>
      </c>
      <c r="O33" t="s">
        <v>7</v>
      </c>
      <c r="P33">
        <v>0.15848314606741501</v>
      </c>
      <c r="Q33" t="s">
        <v>8</v>
      </c>
      <c r="R33">
        <v>0.57874125874125804</v>
      </c>
      <c r="S33" t="s">
        <v>9</v>
      </c>
      <c r="T33">
        <v>-1.5585714285714201</v>
      </c>
      <c r="U33" t="s">
        <v>10</v>
      </c>
      <c r="V33">
        <v>0.34363845505171497</v>
      </c>
      <c r="W33" t="s">
        <v>11</v>
      </c>
      <c r="X33" t="s">
        <v>2193</v>
      </c>
      <c r="Y33" t="s">
        <v>635</v>
      </c>
      <c r="Z33">
        <v>0</v>
      </c>
      <c r="AA33" t="s">
        <v>14</v>
      </c>
      <c r="AB33" t="s">
        <v>15</v>
      </c>
      <c r="AC33" t="s">
        <v>2190</v>
      </c>
      <c r="AD33" t="s">
        <v>2167</v>
      </c>
      <c r="AE33">
        <v>0</v>
      </c>
      <c r="AF33" t="s">
        <v>18</v>
      </c>
    </row>
    <row r="34" spans="1:32" x14ac:dyDescent="0.3">
      <c r="A34" t="s">
        <v>113</v>
      </c>
      <c r="B34" t="s">
        <v>587</v>
      </c>
      <c r="C34">
        <v>5</v>
      </c>
      <c r="D34" t="s">
        <v>2163</v>
      </c>
      <c r="E34" t="s">
        <v>589</v>
      </c>
      <c r="F34">
        <v>7.5</v>
      </c>
      <c r="G34" t="s">
        <v>2174</v>
      </c>
      <c r="H34" t="s">
        <v>1999</v>
      </c>
      <c r="I34" t="s">
        <v>4</v>
      </c>
      <c r="J34">
        <v>167</v>
      </c>
      <c r="K34" t="s">
        <v>5</v>
      </c>
      <c r="L34">
        <v>105</v>
      </c>
      <c r="M34" t="s">
        <v>6</v>
      </c>
      <c r="N34">
        <v>-1.07820128319181</v>
      </c>
      <c r="O34" t="s">
        <v>7</v>
      </c>
      <c r="P34">
        <v>-6.4562951089330101E-3</v>
      </c>
      <c r="Q34" t="s">
        <v>8</v>
      </c>
      <c r="R34">
        <v>0.68726565512753501</v>
      </c>
      <c r="S34" t="s">
        <v>9</v>
      </c>
      <c r="T34">
        <v>-1.1813079850255299</v>
      </c>
      <c r="U34" t="s">
        <v>10</v>
      </c>
      <c r="V34">
        <v>0.265213168845295</v>
      </c>
      <c r="W34" t="s">
        <v>11</v>
      </c>
      <c r="X34" t="s">
        <v>2170</v>
      </c>
      <c r="Y34" t="s">
        <v>2171</v>
      </c>
      <c r="Z34">
        <v>0</v>
      </c>
      <c r="AA34" t="s">
        <v>14</v>
      </c>
      <c r="AB34" t="s">
        <v>15</v>
      </c>
      <c r="AC34" t="s">
        <v>2195</v>
      </c>
      <c r="AD34" t="s">
        <v>2171</v>
      </c>
      <c r="AE34">
        <v>0</v>
      </c>
      <c r="AF34" t="s">
        <v>18</v>
      </c>
    </row>
    <row r="35" spans="1:32" x14ac:dyDescent="0.3">
      <c r="A35" t="s">
        <v>113</v>
      </c>
      <c r="B35" t="s">
        <v>587</v>
      </c>
      <c r="C35">
        <v>5</v>
      </c>
      <c r="D35" t="s">
        <v>2163</v>
      </c>
      <c r="E35" t="s">
        <v>589</v>
      </c>
      <c r="F35">
        <v>7.5</v>
      </c>
      <c r="G35" t="s">
        <v>2174</v>
      </c>
      <c r="H35" t="s">
        <v>2002</v>
      </c>
      <c r="I35" t="s">
        <v>4</v>
      </c>
      <c r="J35">
        <v>167</v>
      </c>
      <c r="K35" t="s">
        <v>5</v>
      </c>
      <c r="L35">
        <v>129</v>
      </c>
      <c r="M35" t="s">
        <v>6</v>
      </c>
      <c r="N35">
        <v>24.395519378972701</v>
      </c>
      <c r="O35" t="s">
        <v>7</v>
      </c>
      <c r="P35">
        <v>0.14608095436510601</v>
      </c>
      <c r="Q35" t="s">
        <v>8</v>
      </c>
      <c r="R35">
        <v>0.69560382781698504</v>
      </c>
      <c r="S35" t="s">
        <v>9</v>
      </c>
      <c r="T35">
        <v>-1.71940458972153</v>
      </c>
      <c r="U35" t="s">
        <v>10</v>
      </c>
      <c r="V35">
        <v>0.31477705969416497</v>
      </c>
      <c r="W35" t="s">
        <v>11</v>
      </c>
      <c r="X35" t="s">
        <v>2170</v>
      </c>
      <c r="Y35" t="s">
        <v>2171</v>
      </c>
      <c r="Z35">
        <v>0</v>
      </c>
      <c r="AA35" t="s">
        <v>14</v>
      </c>
      <c r="AB35" t="s">
        <v>15</v>
      </c>
      <c r="AC35" t="s">
        <v>2195</v>
      </c>
      <c r="AD35" t="s">
        <v>2171</v>
      </c>
      <c r="AE35">
        <v>0</v>
      </c>
      <c r="AF35" t="s">
        <v>18</v>
      </c>
    </row>
    <row r="36" spans="1:32" x14ac:dyDescent="0.3">
      <c r="A36" t="s">
        <v>113</v>
      </c>
      <c r="B36" t="s">
        <v>587</v>
      </c>
      <c r="C36">
        <v>5</v>
      </c>
      <c r="D36" t="s">
        <v>2163</v>
      </c>
      <c r="E36" t="s">
        <v>589</v>
      </c>
      <c r="F36">
        <v>7.5</v>
      </c>
      <c r="G36" t="s">
        <v>2174</v>
      </c>
      <c r="H36" t="s">
        <v>2004</v>
      </c>
      <c r="I36" t="s">
        <v>4</v>
      </c>
      <c r="J36">
        <v>167</v>
      </c>
      <c r="K36" t="s">
        <v>5</v>
      </c>
      <c r="L36">
        <v>133</v>
      </c>
      <c r="M36" t="s">
        <v>6</v>
      </c>
      <c r="N36">
        <v>33.900456024910397</v>
      </c>
      <c r="O36" t="s">
        <v>7</v>
      </c>
      <c r="P36">
        <v>0.20299674266413401</v>
      </c>
      <c r="Q36" t="s">
        <v>8</v>
      </c>
      <c r="R36">
        <v>0.72453303600293995</v>
      </c>
      <c r="S36" t="s">
        <v>9</v>
      </c>
      <c r="T36">
        <v>-1.8371305224553101</v>
      </c>
      <c r="U36" t="s">
        <v>10</v>
      </c>
      <c r="V36">
        <v>0.33468979151902201</v>
      </c>
      <c r="W36" t="s">
        <v>11</v>
      </c>
      <c r="X36" t="s">
        <v>2170</v>
      </c>
      <c r="Y36" t="s">
        <v>2171</v>
      </c>
      <c r="Z36">
        <v>0</v>
      </c>
      <c r="AA36" t="s">
        <v>14</v>
      </c>
      <c r="AB36" t="s">
        <v>15</v>
      </c>
      <c r="AC36" t="s">
        <v>2195</v>
      </c>
      <c r="AD36" t="s">
        <v>2171</v>
      </c>
      <c r="AE36">
        <v>0</v>
      </c>
      <c r="AF36" t="s">
        <v>18</v>
      </c>
    </row>
    <row r="37" spans="1:32" x14ac:dyDescent="0.3">
      <c r="A37" t="s">
        <v>113</v>
      </c>
      <c r="B37" t="s">
        <v>587</v>
      </c>
      <c r="C37">
        <v>5</v>
      </c>
      <c r="D37" t="s">
        <v>2163</v>
      </c>
      <c r="E37" t="s">
        <v>589</v>
      </c>
      <c r="F37">
        <v>7.5</v>
      </c>
      <c r="G37" t="s">
        <v>2174</v>
      </c>
      <c r="H37" t="s">
        <v>2005</v>
      </c>
      <c r="I37" t="s">
        <v>4</v>
      </c>
      <c r="J37">
        <v>167</v>
      </c>
      <c r="K37" t="s">
        <v>5</v>
      </c>
      <c r="L37">
        <v>137</v>
      </c>
      <c r="M37" t="s">
        <v>6</v>
      </c>
      <c r="N37">
        <v>49.7804560249104</v>
      </c>
      <c r="O37" t="s">
        <v>7</v>
      </c>
      <c r="P37">
        <v>0.29808656302341602</v>
      </c>
      <c r="Q37" t="s">
        <v>8</v>
      </c>
      <c r="R37">
        <v>0.74301382327292798</v>
      </c>
      <c r="S37" t="s">
        <v>9</v>
      </c>
      <c r="T37">
        <v>-1.73374792544935</v>
      </c>
      <c r="U37" t="s">
        <v>10</v>
      </c>
      <c r="V37">
        <v>0.37791673148967497</v>
      </c>
      <c r="W37" t="s">
        <v>11</v>
      </c>
      <c r="X37" t="s">
        <v>2170</v>
      </c>
      <c r="Y37" t="s">
        <v>2171</v>
      </c>
      <c r="Z37">
        <v>0</v>
      </c>
      <c r="AA37" t="s">
        <v>14</v>
      </c>
      <c r="AB37" t="s">
        <v>15</v>
      </c>
      <c r="AC37" t="s">
        <v>2195</v>
      </c>
      <c r="AD37" t="s">
        <v>2171</v>
      </c>
      <c r="AE37">
        <v>0</v>
      </c>
      <c r="AF37" t="s">
        <v>18</v>
      </c>
    </row>
    <row r="38" spans="1:32" x14ac:dyDescent="0.3">
      <c r="A38" t="s">
        <v>113</v>
      </c>
      <c r="B38" t="s">
        <v>587</v>
      </c>
      <c r="C38">
        <v>7.5</v>
      </c>
      <c r="D38" t="s">
        <v>2163</v>
      </c>
      <c r="E38" t="s">
        <v>589</v>
      </c>
      <c r="F38">
        <v>10</v>
      </c>
      <c r="G38" t="s">
        <v>2</v>
      </c>
      <c r="H38" t="s">
        <v>1979</v>
      </c>
      <c r="I38" t="s">
        <v>4</v>
      </c>
      <c r="J38">
        <v>169</v>
      </c>
      <c r="K38" t="s">
        <v>5</v>
      </c>
      <c r="L38">
        <v>111</v>
      </c>
      <c r="M38" t="s">
        <v>6</v>
      </c>
      <c r="N38">
        <v>-5.81</v>
      </c>
      <c r="O38" t="s">
        <v>7</v>
      </c>
      <c r="P38">
        <v>-3.4378698224851997E-2</v>
      </c>
      <c r="Q38" t="s">
        <v>8</v>
      </c>
      <c r="R38">
        <v>0.27495495495495398</v>
      </c>
      <c r="S38" t="s">
        <v>9</v>
      </c>
      <c r="T38">
        <v>-0.62637931034482697</v>
      </c>
      <c r="U38" t="s">
        <v>10</v>
      </c>
      <c r="V38">
        <v>0.12878187580457701</v>
      </c>
      <c r="W38" t="s">
        <v>11</v>
      </c>
      <c r="X38" t="s">
        <v>2196</v>
      </c>
      <c r="Y38" t="s">
        <v>720</v>
      </c>
      <c r="Z38">
        <v>0</v>
      </c>
      <c r="AA38" t="s">
        <v>14</v>
      </c>
      <c r="AB38" t="s">
        <v>15</v>
      </c>
      <c r="AC38" t="s">
        <v>2197</v>
      </c>
      <c r="AD38" t="s">
        <v>720</v>
      </c>
      <c r="AE38">
        <v>0</v>
      </c>
      <c r="AF38" t="s">
        <v>18</v>
      </c>
    </row>
    <row r="39" spans="1:32" x14ac:dyDescent="0.3">
      <c r="A39" t="s">
        <v>113</v>
      </c>
      <c r="B39" t="s">
        <v>587</v>
      </c>
      <c r="C39">
        <v>7.5</v>
      </c>
      <c r="D39" t="s">
        <v>2163</v>
      </c>
      <c r="E39" t="s">
        <v>589</v>
      </c>
      <c r="F39">
        <v>10</v>
      </c>
      <c r="G39" t="s">
        <v>2</v>
      </c>
      <c r="H39" t="s">
        <v>1982</v>
      </c>
      <c r="I39" t="s">
        <v>4</v>
      </c>
      <c r="J39">
        <v>169</v>
      </c>
      <c r="K39" t="s">
        <v>5</v>
      </c>
      <c r="L39">
        <v>128</v>
      </c>
      <c r="M39" t="s">
        <v>6</v>
      </c>
      <c r="N39">
        <v>-10.139999999999899</v>
      </c>
      <c r="O39" t="s">
        <v>7</v>
      </c>
      <c r="P39">
        <v>-5.9999999999999797E-2</v>
      </c>
      <c r="Q39" t="s">
        <v>8</v>
      </c>
      <c r="R39">
        <v>0.31085937499999999</v>
      </c>
      <c r="S39" t="s">
        <v>9</v>
      </c>
      <c r="T39">
        <v>-1.21780487804877</v>
      </c>
      <c r="U39" t="s">
        <v>10</v>
      </c>
      <c r="V39">
        <v>0.21412696324631</v>
      </c>
      <c r="W39" t="s">
        <v>11</v>
      </c>
      <c r="X39" t="s">
        <v>701</v>
      </c>
      <c r="Y39" t="s">
        <v>2198</v>
      </c>
      <c r="Z39">
        <v>0</v>
      </c>
      <c r="AA39" t="s">
        <v>14</v>
      </c>
      <c r="AB39" t="s">
        <v>15</v>
      </c>
      <c r="AC39" t="s">
        <v>2199</v>
      </c>
      <c r="AD39" t="s">
        <v>1987</v>
      </c>
      <c r="AE39">
        <v>0</v>
      </c>
      <c r="AF39" t="s">
        <v>18</v>
      </c>
    </row>
    <row r="40" spans="1:32" x14ac:dyDescent="0.3">
      <c r="A40" t="s">
        <v>113</v>
      </c>
      <c r="B40" t="s">
        <v>587</v>
      </c>
      <c r="C40">
        <v>7.5</v>
      </c>
      <c r="D40" t="s">
        <v>2163</v>
      </c>
      <c r="E40" t="s">
        <v>589</v>
      </c>
      <c r="F40">
        <v>10</v>
      </c>
      <c r="G40" t="s">
        <v>2</v>
      </c>
      <c r="H40" t="s">
        <v>1985</v>
      </c>
      <c r="I40" t="s">
        <v>4</v>
      </c>
      <c r="J40">
        <v>169</v>
      </c>
      <c r="K40" t="s">
        <v>5</v>
      </c>
      <c r="L40">
        <v>135</v>
      </c>
      <c r="M40" t="s">
        <v>6</v>
      </c>
      <c r="N40">
        <v>-8.8299999999999592</v>
      </c>
      <c r="O40" t="s">
        <v>7</v>
      </c>
      <c r="P40">
        <v>-5.22485207100589E-2</v>
      </c>
      <c r="Q40" t="s">
        <v>8</v>
      </c>
      <c r="R40">
        <v>0.30844444444444402</v>
      </c>
      <c r="S40" t="s">
        <v>9</v>
      </c>
      <c r="T40">
        <v>-1.4844117647058801</v>
      </c>
      <c r="U40" t="s">
        <v>10</v>
      </c>
      <c r="V40">
        <v>0.225505439332575</v>
      </c>
      <c r="W40" t="s">
        <v>11</v>
      </c>
      <c r="X40" t="s">
        <v>701</v>
      </c>
      <c r="Y40" t="s">
        <v>2198</v>
      </c>
      <c r="Z40">
        <v>0</v>
      </c>
      <c r="AA40" t="s">
        <v>14</v>
      </c>
      <c r="AB40" t="s">
        <v>15</v>
      </c>
      <c r="AC40" t="s">
        <v>2199</v>
      </c>
      <c r="AD40" t="s">
        <v>1987</v>
      </c>
      <c r="AE40">
        <v>0</v>
      </c>
      <c r="AF40" t="s">
        <v>18</v>
      </c>
    </row>
    <row r="41" spans="1:32" x14ac:dyDescent="0.3">
      <c r="A41" t="s">
        <v>113</v>
      </c>
      <c r="B41" t="s">
        <v>587</v>
      </c>
      <c r="C41">
        <v>7.5</v>
      </c>
      <c r="D41" t="s">
        <v>2163</v>
      </c>
      <c r="E41" t="s">
        <v>589</v>
      </c>
      <c r="F41">
        <v>10</v>
      </c>
      <c r="G41" t="s">
        <v>2</v>
      </c>
      <c r="H41" t="s">
        <v>1988</v>
      </c>
      <c r="I41" t="s">
        <v>4</v>
      </c>
      <c r="J41">
        <v>169</v>
      </c>
      <c r="K41" t="s">
        <v>5</v>
      </c>
      <c r="L41">
        <v>138</v>
      </c>
      <c r="M41" t="s">
        <v>6</v>
      </c>
      <c r="N41">
        <v>-9.1799999999999695</v>
      </c>
      <c r="O41" t="s">
        <v>7</v>
      </c>
      <c r="P41">
        <v>-5.4319526627218701E-2</v>
      </c>
      <c r="Q41" t="s">
        <v>8</v>
      </c>
      <c r="R41">
        <v>0.30623188405797103</v>
      </c>
      <c r="S41" t="s">
        <v>9</v>
      </c>
      <c r="T41">
        <v>-1.6593548387096699</v>
      </c>
      <c r="U41" t="s">
        <v>10</v>
      </c>
      <c r="V41">
        <v>0.23100411221926001</v>
      </c>
      <c r="W41" t="s">
        <v>11</v>
      </c>
      <c r="X41" t="s">
        <v>701</v>
      </c>
      <c r="Y41" t="s">
        <v>2198</v>
      </c>
      <c r="Z41">
        <v>0</v>
      </c>
      <c r="AA41" t="s">
        <v>14</v>
      </c>
      <c r="AB41" t="s">
        <v>15</v>
      </c>
      <c r="AC41" t="s">
        <v>2199</v>
      </c>
      <c r="AD41" t="s">
        <v>1987</v>
      </c>
      <c r="AE41">
        <v>0</v>
      </c>
      <c r="AF41" t="s">
        <v>18</v>
      </c>
    </row>
    <row r="42" spans="1:32" x14ac:dyDescent="0.3">
      <c r="A42" t="s">
        <v>113</v>
      </c>
      <c r="B42" t="s">
        <v>587</v>
      </c>
      <c r="C42">
        <v>7.5</v>
      </c>
      <c r="D42" t="s">
        <v>2163</v>
      </c>
      <c r="E42" t="s">
        <v>589</v>
      </c>
      <c r="F42">
        <v>10</v>
      </c>
      <c r="G42" t="s">
        <v>27</v>
      </c>
      <c r="H42" t="s">
        <v>1991</v>
      </c>
      <c r="I42" t="s">
        <v>4</v>
      </c>
      <c r="J42">
        <v>178</v>
      </c>
      <c r="K42" t="s">
        <v>5</v>
      </c>
      <c r="L42">
        <v>109</v>
      </c>
      <c r="M42" t="s">
        <v>6</v>
      </c>
      <c r="N42">
        <v>-9.82</v>
      </c>
      <c r="O42" t="s">
        <v>7</v>
      </c>
      <c r="P42">
        <v>-5.5168539325842703E-2</v>
      </c>
      <c r="Q42" t="s">
        <v>8</v>
      </c>
      <c r="R42">
        <v>0.386697247706422</v>
      </c>
      <c r="S42" t="s">
        <v>9</v>
      </c>
      <c r="T42">
        <v>-0.753188405797101</v>
      </c>
      <c r="U42" t="s">
        <v>10</v>
      </c>
      <c r="V42">
        <v>0.16619669735915299</v>
      </c>
      <c r="W42" t="s">
        <v>11</v>
      </c>
      <c r="X42" t="s">
        <v>2200</v>
      </c>
      <c r="Y42" t="s">
        <v>2092</v>
      </c>
      <c r="Z42">
        <v>0</v>
      </c>
      <c r="AA42" t="s">
        <v>14</v>
      </c>
      <c r="AB42" t="s">
        <v>15</v>
      </c>
      <c r="AC42" t="s">
        <v>2201</v>
      </c>
      <c r="AD42" t="s">
        <v>2013</v>
      </c>
      <c r="AE42">
        <v>0</v>
      </c>
      <c r="AF42" t="s">
        <v>18</v>
      </c>
    </row>
    <row r="43" spans="1:32" x14ac:dyDescent="0.3">
      <c r="A43" t="s">
        <v>113</v>
      </c>
      <c r="B43" t="s">
        <v>587</v>
      </c>
      <c r="C43">
        <v>7.5</v>
      </c>
      <c r="D43" t="s">
        <v>2163</v>
      </c>
      <c r="E43" t="s">
        <v>589</v>
      </c>
      <c r="F43">
        <v>10</v>
      </c>
      <c r="G43" t="s">
        <v>27</v>
      </c>
      <c r="H43" t="s">
        <v>1994</v>
      </c>
      <c r="I43" t="s">
        <v>4</v>
      </c>
      <c r="J43">
        <v>178</v>
      </c>
      <c r="K43" t="s">
        <v>5</v>
      </c>
      <c r="L43">
        <v>138</v>
      </c>
      <c r="M43" t="s">
        <v>6</v>
      </c>
      <c r="N43">
        <v>5.93</v>
      </c>
      <c r="O43" t="s">
        <v>7</v>
      </c>
      <c r="P43">
        <v>3.3314606741573001E-2</v>
      </c>
      <c r="Q43" t="s">
        <v>8</v>
      </c>
      <c r="R43">
        <v>0.43057971014492702</v>
      </c>
      <c r="S43" t="s">
        <v>9</v>
      </c>
      <c r="T43">
        <v>-1.3372499999999901</v>
      </c>
      <c r="U43" t="s">
        <v>10</v>
      </c>
      <c r="V43">
        <v>0.27241172396524699</v>
      </c>
      <c r="W43" t="s">
        <v>11</v>
      </c>
      <c r="X43" t="s">
        <v>2202</v>
      </c>
      <c r="Y43" t="s">
        <v>595</v>
      </c>
      <c r="Z43">
        <v>0</v>
      </c>
      <c r="AA43" t="s">
        <v>14</v>
      </c>
      <c r="AB43" t="s">
        <v>15</v>
      </c>
      <c r="AC43" t="s">
        <v>2201</v>
      </c>
      <c r="AD43" t="s">
        <v>2013</v>
      </c>
      <c r="AE43">
        <v>0</v>
      </c>
      <c r="AF43" t="s">
        <v>18</v>
      </c>
    </row>
    <row r="44" spans="1:32" x14ac:dyDescent="0.3">
      <c r="A44" t="s">
        <v>113</v>
      </c>
      <c r="B44" t="s">
        <v>587</v>
      </c>
      <c r="C44">
        <v>7.5</v>
      </c>
      <c r="D44" t="s">
        <v>2163</v>
      </c>
      <c r="E44" t="s">
        <v>589</v>
      </c>
      <c r="F44">
        <v>10</v>
      </c>
      <c r="G44" t="s">
        <v>27</v>
      </c>
      <c r="H44" t="s">
        <v>1996</v>
      </c>
      <c r="I44" t="s">
        <v>4</v>
      </c>
      <c r="J44">
        <v>178</v>
      </c>
      <c r="K44" t="s">
        <v>5</v>
      </c>
      <c r="L44">
        <v>150</v>
      </c>
      <c r="M44" t="s">
        <v>6</v>
      </c>
      <c r="N44">
        <v>23.189999999999898</v>
      </c>
      <c r="O44" t="s">
        <v>7</v>
      </c>
      <c r="P44">
        <v>0.13028089887640401</v>
      </c>
      <c r="Q44" t="s">
        <v>8</v>
      </c>
      <c r="R44">
        <v>0.44626666666666598</v>
      </c>
      <c r="S44" t="s">
        <v>9</v>
      </c>
      <c r="T44">
        <v>-1.56249999999999</v>
      </c>
      <c r="U44" t="s">
        <v>10</v>
      </c>
      <c r="V44">
        <v>0.32607788019956302</v>
      </c>
      <c r="W44" t="s">
        <v>11</v>
      </c>
      <c r="X44" t="s">
        <v>2202</v>
      </c>
      <c r="Y44" t="s">
        <v>595</v>
      </c>
      <c r="Z44">
        <v>0</v>
      </c>
      <c r="AA44" t="s">
        <v>14</v>
      </c>
      <c r="AB44" t="s">
        <v>15</v>
      </c>
      <c r="AC44" t="s">
        <v>2201</v>
      </c>
      <c r="AD44" t="s">
        <v>2013</v>
      </c>
      <c r="AE44">
        <v>0</v>
      </c>
      <c r="AF44" t="s">
        <v>18</v>
      </c>
    </row>
    <row r="45" spans="1:32" x14ac:dyDescent="0.3">
      <c r="A45" t="s">
        <v>113</v>
      </c>
      <c r="B45" t="s">
        <v>587</v>
      </c>
      <c r="C45">
        <v>7.5</v>
      </c>
      <c r="D45" t="s">
        <v>2163</v>
      </c>
      <c r="E45" t="s">
        <v>589</v>
      </c>
      <c r="F45">
        <v>10</v>
      </c>
      <c r="G45" t="s">
        <v>27</v>
      </c>
      <c r="H45" t="s">
        <v>1997</v>
      </c>
      <c r="I45" t="s">
        <v>4</v>
      </c>
      <c r="J45">
        <v>178</v>
      </c>
      <c r="K45" t="s">
        <v>5</v>
      </c>
      <c r="L45">
        <v>153</v>
      </c>
      <c r="M45" t="s">
        <v>6</v>
      </c>
      <c r="N45">
        <v>23.889999999999901</v>
      </c>
      <c r="O45" t="s">
        <v>7</v>
      </c>
      <c r="P45">
        <v>0.13421348314606699</v>
      </c>
      <c r="Q45" t="s">
        <v>8</v>
      </c>
      <c r="R45">
        <v>0.44209150326797297</v>
      </c>
      <c r="S45" t="s">
        <v>9</v>
      </c>
      <c r="T45">
        <v>-1.74999999999999</v>
      </c>
      <c r="U45" t="s">
        <v>10</v>
      </c>
      <c r="V45">
        <v>0.33037545762687098</v>
      </c>
      <c r="W45" t="s">
        <v>11</v>
      </c>
      <c r="X45" t="s">
        <v>2202</v>
      </c>
      <c r="Y45" t="s">
        <v>595</v>
      </c>
      <c r="Z45">
        <v>0</v>
      </c>
      <c r="AA45" t="s">
        <v>14</v>
      </c>
      <c r="AB45" t="s">
        <v>15</v>
      </c>
      <c r="AC45" t="s">
        <v>2201</v>
      </c>
      <c r="AD45" t="s">
        <v>2013</v>
      </c>
      <c r="AE45">
        <v>0</v>
      </c>
      <c r="AF45" t="s">
        <v>18</v>
      </c>
    </row>
    <row r="46" spans="1:32" x14ac:dyDescent="0.3">
      <c r="A46" t="s">
        <v>113</v>
      </c>
      <c r="B46" t="s">
        <v>587</v>
      </c>
      <c r="C46">
        <v>7.5</v>
      </c>
      <c r="D46" t="s">
        <v>2163</v>
      </c>
      <c r="E46" t="s">
        <v>589</v>
      </c>
      <c r="F46">
        <v>10</v>
      </c>
      <c r="G46" t="s">
        <v>2174</v>
      </c>
      <c r="H46" t="s">
        <v>1999</v>
      </c>
      <c r="I46" t="s">
        <v>4</v>
      </c>
      <c r="J46">
        <v>167</v>
      </c>
      <c r="K46" t="s">
        <v>5</v>
      </c>
      <c r="L46">
        <v>106</v>
      </c>
      <c r="M46" t="s">
        <v>6</v>
      </c>
      <c r="N46">
        <v>-23.290729761330599</v>
      </c>
      <c r="O46" t="s">
        <v>7</v>
      </c>
      <c r="P46">
        <v>-0.13946544767263799</v>
      </c>
      <c r="Q46" t="s">
        <v>8</v>
      </c>
      <c r="R46">
        <v>0.47632803046713101</v>
      </c>
      <c r="S46" t="s">
        <v>9</v>
      </c>
      <c r="T46">
        <v>-1.2095328031286301</v>
      </c>
      <c r="U46" t="s">
        <v>10</v>
      </c>
      <c r="V46">
        <v>0.24982411911028299</v>
      </c>
      <c r="W46" t="s">
        <v>11</v>
      </c>
      <c r="X46" t="s">
        <v>1463</v>
      </c>
      <c r="Y46" t="s">
        <v>720</v>
      </c>
      <c r="Z46">
        <v>0</v>
      </c>
      <c r="AA46" t="s">
        <v>14</v>
      </c>
      <c r="AB46" t="s">
        <v>15</v>
      </c>
      <c r="AC46" t="s">
        <v>2203</v>
      </c>
      <c r="AD46" t="s">
        <v>720</v>
      </c>
      <c r="AE46">
        <v>0</v>
      </c>
      <c r="AF46" t="s">
        <v>18</v>
      </c>
    </row>
    <row r="47" spans="1:32" x14ac:dyDescent="0.3">
      <c r="A47" t="s">
        <v>113</v>
      </c>
      <c r="B47" t="s">
        <v>587</v>
      </c>
      <c r="C47">
        <v>7.5</v>
      </c>
      <c r="D47" t="s">
        <v>2163</v>
      </c>
      <c r="E47" t="s">
        <v>589</v>
      </c>
      <c r="F47">
        <v>10</v>
      </c>
      <c r="G47" t="s">
        <v>2174</v>
      </c>
      <c r="H47" t="s">
        <v>2002</v>
      </c>
      <c r="I47" t="s">
        <v>4</v>
      </c>
      <c r="J47">
        <v>167</v>
      </c>
      <c r="K47" t="s">
        <v>5</v>
      </c>
      <c r="L47">
        <v>126</v>
      </c>
      <c r="M47" t="s">
        <v>6</v>
      </c>
      <c r="N47">
        <v>-8.9858775515760296</v>
      </c>
      <c r="O47" t="s">
        <v>7</v>
      </c>
      <c r="P47">
        <v>-5.3807650009437297E-2</v>
      </c>
      <c r="Q47" t="s">
        <v>8</v>
      </c>
      <c r="R47">
        <v>0.51624355683313805</v>
      </c>
      <c r="S47" t="s">
        <v>9</v>
      </c>
      <c r="T47">
        <v>-1.8056723344524701</v>
      </c>
      <c r="U47" t="s">
        <v>10</v>
      </c>
      <c r="V47">
        <v>0.28937429286394001</v>
      </c>
      <c r="W47" t="s">
        <v>11</v>
      </c>
      <c r="X47" t="s">
        <v>1463</v>
      </c>
      <c r="Y47" t="s">
        <v>720</v>
      </c>
      <c r="Z47">
        <v>0</v>
      </c>
      <c r="AA47" t="s">
        <v>14</v>
      </c>
      <c r="AB47" t="s">
        <v>15</v>
      </c>
      <c r="AC47" t="s">
        <v>2204</v>
      </c>
      <c r="AD47" t="s">
        <v>720</v>
      </c>
      <c r="AE47">
        <v>0</v>
      </c>
      <c r="AF47" t="s">
        <v>18</v>
      </c>
    </row>
    <row r="48" spans="1:32" x14ac:dyDescent="0.3">
      <c r="A48" t="s">
        <v>113</v>
      </c>
      <c r="B48" t="s">
        <v>587</v>
      </c>
      <c r="C48">
        <v>7.5</v>
      </c>
      <c r="D48" t="s">
        <v>2163</v>
      </c>
      <c r="E48" t="s">
        <v>589</v>
      </c>
      <c r="F48">
        <v>10</v>
      </c>
      <c r="G48" t="s">
        <v>2174</v>
      </c>
      <c r="H48" t="s">
        <v>2004</v>
      </c>
      <c r="I48" t="s">
        <v>4</v>
      </c>
      <c r="J48">
        <v>167</v>
      </c>
      <c r="K48" t="s">
        <v>5</v>
      </c>
      <c r="L48">
        <v>136</v>
      </c>
      <c r="M48" t="s">
        <v>6</v>
      </c>
      <c r="N48">
        <v>-1.17507660589022</v>
      </c>
      <c r="O48" t="s">
        <v>7</v>
      </c>
      <c r="P48">
        <v>-7.0363868616181201E-3</v>
      </c>
      <c r="Q48" t="s">
        <v>8</v>
      </c>
      <c r="R48">
        <v>0.51561567436475697</v>
      </c>
      <c r="S48" t="s">
        <v>9</v>
      </c>
      <c r="T48">
        <v>-2.2999615586934499</v>
      </c>
      <c r="U48" t="s">
        <v>10</v>
      </c>
      <c r="V48">
        <v>0.32985801154310601</v>
      </c>
      <c r="W48" t="s">
        <v>11</v>
      </c>
      <c r="X48" t="s">
        <v>1463</v>
      </c>
      <c r="Y48" t="s">
        <v>720</v>
      </c>
      <c r="Z48">
        <v>0</v>
      </c>
      <c r="AA48" t="s">
        <v>14</v>
      </c>
      <c r="AB48" t="s">
        <v>15</v>
      </c>
      <c r="AC48" t="s">
        <v>2204</v>
      </c>
      <c r="AD48" t="s">
        <v>720</v>
      </c>
      <c r="AE48">
        <v>0</v>
      </c>
      <c r="AF48" t="s">
        <v>18</v>
      </c>
    </row>
    <row r="49" spans="1:32" x14ac:dyDescent="0.3">
      <c r="A49" t="s">
        <v>113</v>
      </c>
      <c r="B49" t="s">
        <v>587</v>
      </c>
      <c r="C49">
        <v>7.5</v>
      </c>
      <c r="D49" t="s">
        <v>2163</v>
      </c>
      <c r="E49" t="s">
        <v>589</v>
      </c>
      <c r="F49">
        <v>10</v>
      </c>
      <c r="G49" t="s">
        <v>2174</v>
      </c>
      <c r="H49" t="s">
        <v>2005</v>
      </c>
      <c r="I49" t="s">
        <v>4</v>
      </c>
      <c r="J49">
        <v>167</v>
      </c>
      <c r="K49" t="s">
        <v>5</v>
      </c>
      <c r="L49">
        <v>137</v>
      </c>
      <c r="M49" t="s">
        <v>6</v>
      </c>
      <c r="N49">
        <v>1.33602136714199</v>
      </c>
      <c r="O49" t="s">
        <v>7</v>
      </c>
      <c r="P49">
        <v>8.0001279469580702E-3</v>
      </c>
      <c r="Q49" t="s">
        <v>8</v>
      </c>
      <c r="R49">
        <v>0.513895851924138</v>
      </c>
      <c r="S49" t="s">
        <v>9</v>
      </c>
      <c r="T49">
        <v>-2.3022570115488299</v>
      </c>
      <c r="U49" t="s">
        <v>10</v>
      </c>
      <c r="V49">
        <v>0.35438964968743197</v>
      </c>
      <c r="W49" t="s">
        <v>11</v>
      </c>
      <c r="X49" t="s">
        <v>1463</v>
      </c>
      <c r="Y49" t="s">
        <v>720</v>
      </c>
      <c r="Z49">
        <v>0</v>
      </c>
      <c r="AA49" t="s">
        <v>14</v>
      </c>
      <c r="AB49" t="s">
        <v>15</v>
      </c>
      <c r="AC49" t="s">
        <v>2204</v>
      </c>
      <c r="AD49" t="s">
        <v>720</v>
      </c>
      <c r="AE49">
        <v>0</v>
      </c>
      <c r="AF49" t="s">
        <v>18</v>
      </c>
    </row>
    <row r="50" spans="1:32" x14ac:dyDescent="0.3">
      <c r="A50" t="s">
        <v>2043</v>
      </c>
      <c r="B50" t="s">
        <v>587</v>
      </c>
      <c r="C50">
        <v>0</v>
      </c>
      <c r="D50" t="s">
        <v>2163</v>
      </c>
      <c r="E50" t="s">
        <v>589</v>
      </c>
      <c r="F50">
        <v>2.5</v>
      </c>
      <c r="G50" t="s">
        <v>2</v>
      </c>
      <c r="H50" t="s">
        <v>1979</v>
      </c>
      <c r="I50" t="s">
        <v>4</v>
      </c>
      <c r="J50">
        <v>92</v>
      </c>
      <c r="K50" t="s">
        <v>5</v>
      </c>
      <c r="L50">
        <v>38</v>
      </c>
      <c r="M50" t="s">
        <v>6</v>
      </c>
      <c r="N50">
        <v>-34.819999999999901</v>
      </c>
      <c r="O50" t="s">
        <v>7</v>
      </c>
      <c r="P50">
        <v>-0.37847826086956499</v>
      </c>
      <c r="Q50" t="s">
        <v>8</v>
      </c>
      <c r="R50">
        <v>0.83631578947368401</v>
      </c>
      <c r="S50" t="s">
        <v>9</v>
      </c>
      <c r="T50">
        <v>-1.2333333333333301</v>
      </c>
      <c r="U50" t="s">
        <v>10</v>
      </c>
      <c r="V50">
        <v>0.17229483393025799</v>
      </c>
      <c r="W50" t="s">
        <v>11</v>
      </c>
      <c r="X50" t="s">
        <v>2164</v>
      </c>
      <c r="Y50" t="s">
        <v>1278</v>
      </c>
      <c r="Z50">
        <v>0</v>
      </c>
      <c r="AA50" t="s">
        <v>14</v>
      </c>
      <c r="AB50" t="s">
        <v>15</v>
      </c>
      <c r="AC50" t="s">
        <v>2205</v>
      </c>
      <c r="AD50" t="s">
        <v>1278</v>
      </c>
      <c r="AE50">
        <v>0</v>
      </c>
      <c r="AF50" t="s">
        <v>18</v>
      </c>
    </row>
    <row r="51" spans="1:32" x14ac:dyDescent="0.3">
      <c r="A51" t="s">
        <v>2043</v>
      </c>
      <c r="B51" t="s">
        <v>587</v>
      </c>
      <c r="C51">
        <v>0</v>
      </c>
      <c r="D51" t="s">
        <v>2163</v>
      </c>
      <c r="E51" t="s">
        <v>589</v>
      </c>
      <c r="F51">
        <v>2.5</v>
      </c>
      <c r="G51" t="s">
        <v>2</v>
      </c>
      <c r="H51" t="s">
        <v>1982</v>
      </c>
      <c r="I51" t="s">
        <v>4</v>
      </c>
      <c r="J51">
        <v>92</v>
      </c>
      <c r="K51" t="s">
        <v>5</v>
      </c>
      <c r="L51">
        <v>41</v>
      </c>
      <c r="M51" t="s">
        <v>6</v>
      </c>
      <c r="N51">
        <v>-29.53</v>
      </c>
      <c r="O51" t="s">
        <v>7</v>
      </c>
      <c r="P51">
        <v>-0.32097826086956499</v>
      </c>
      <c r="Q51" t="s">
        <v>8</v>
      </c>
      <c r="R51">
        <v>0.87390243902439002</v>
      </c>
      <c r="S51" t="s">
        <v>9</v>
      </c>
      <c r="T51">
        <v>-1.2815686274509801</v>
      </c>
      <c r="U51" t="s">
        <v>10</v>
      </c>
      <c r="V51">
        <v>0.200388859801618</v>
      </c>
      <c r="W51" t="s">
        <v>11</v>
      </c>
      <c r="X51" t="s">
        <v>2166</v>
      </c>
      <c r="Y51" t="s">
        <v>2167</v>
      </c>
      <c r="Z51">
        <v>0</v>
      </c>
      <c r="AA51" t="s">
        <v>14</v>
      </c>
      <c r="AB51" t="s">
        <v>15</v>
      </c>
      <c r="AC51" t="s">
        <v>2168</v>
      </c>
      <c r="AD51" t="s">
        <v>2169</v>
      </c>
      <c r="AE51">
        <v>0</v>
      </c>
      <c r="AF51" t="s">
        <v>18</v>
      </c>
    </row>
    <row r="52" spans="1:32" x14ac:dyDescent="0.3">
      <c r="A52" t="s">
        <v>2043</v>
      </c>
      <c r="B52" t="s">
        <v>587</v>
      </c>
      <c r="C52">
        <v>0</v>
      </c>
      <c r="D52" t="s">
        <v>2163</v>
      </c>
      <c r="E52" t="s">
        <v>589</v>
      </c>
      <c r="F52">
        <v>2.5</v>
      </c>
      <c r="G52" t="s">
        <v>2</v>
      </c>
      <c r="H52" t="s">
        <v>1985</v>
      </c>
      <c r="I52" t="s">
        <v>4</v>
      </c>
      <c r="J52">
        <v>92</v>
      </c>
      <c r="K52" t="s">
        <v>5</v>
      </c>
      <c r="L52">
        <v>41</v>
      </c>
      <c r="M52" t="s">
        <v>6</v>
      </c>
      <c r="N52">
        <v>-27.13</v>
      </c>
      <c r="O52" t="s">
        <v>7</v>
      </c>
      <c r="P52">
        <v>-0.29489130434782601</v>
      </c>
      <c r="Q52" t="s">
        <v>8</v>
      </c>
      <c r="R52">
        <v>0.87390243902439002</v>
      </c>
      <c r="S52" t="s">
        <v>9</v>
      </c>
      <c r="T52">
        <v>-1.2345098039215601</v>
      </c>
      <c r="U52" t="s">
        <v>10</v>
      </c>
      <c r="V52">
        <v>0.20265062995521901</v>
      </c>
      <c r="W52" t="s">
        <v>11</v>
      </c>
      <c r="X52" t="s">
        <v>2166</v>
      </c>
      <c r="Y52" t="s">
        <v>2167</v>
      </c>
      <c r="Z52">
        <v>0</v>
      </c>
      <c r="AA52" t="s">
        <v>14</v>
      </c>
      <c r="AB52" t="s">
        <v>15</v>
      </c>
      <c r="AC52" t="s">
        <v>2168</v>
      </c>
      <c r="AD52" t="s">
        <v>2169</v>
      </c>
      <c r="AE52">
        <v>0</v>
      </c>
      <c r="AF52" t="s">
        <v>18</v>
      </c>
    </row>
    <row r="53" spans="1:32" x14ac:dyDescent="0.3">
      <c r="A53" t="s">
        <v>2043</v>
      </c>
      <c r="B53" t="s">
        <v>587</v>
      </c>
      <c r="C53">
        <v>0</v>
      </c>
      <c r="D53" t="s">
        <v>2163</v>
      </c>
      <c r="E53" t="s">
        <v>589</v>
      </c>
      <c r="F53">
        <v>2.5</v>
      </c>
      <c r="G53" t="s">
        <v>2</v>
      </c>
      <c r="H53" t="s">
        <v>1988</v>
      </c>
      <c r="I53" t="s">
        <v>4</v>
      </c>
      <c r="J53">
        <v>92</v>
      </c>
      <c r="K53" t="s">
        <v>5</v>
      </c>
      <c r="L53">
        <v>41</v>
      </c>
      <c r="M53" t="s">
        <v>6</v>
      </c>
      <c r="N53">
        <v>-27.13</v>
      </c>
      <c r="O53" t="s">
        <v>7</v>
      </c>
      <c r="P53">
        <v>-0.29489130434782601</v>
      </c>
      <c r="Q53" t="s">
        <v>8</v>
      </c>
      <c r="R53">
        <v>0.87390243902439002</v>
      </c>
      <c r="S53" t="s">
        <v>9</v>
      </c>
      <c r="T53">
        <v>-1.2345098039215601</v>
      </c>
      <c r="U53" t="s">
        <v>10</v>
      </c>
      <c r="V53">
        <v>0.20265062995521901</v>
      </c>
      <c r="W53" t="s">
        <v>11</v>
      </c>
      <c r="X53" t="s">
        <v>2166</v>
      </c>
      <c r="Y53" t="s">
        <v>2167</v>
      </c>
      <c r="Z53">
        <v>0</v>
      </c>
      <c r="AA53" t="s">
        <v>14</v>
      </c>
      <c r="AB53" t="s">
        <v>15</v>
      </c>
      <c r="AC53" t="s">
        <v>2168</v>
      </c>
      <c r="AD53" t="s">
        <v>2169</v>
      </c>
      <c r="AE53">
        <v>0</v>
      </c>
      <c r="AF53" t="s">
        <v>18</v>
      </c>
    </row>
    <row r="54" spans="1:32" x14ac:dyDescent="0.3">
      <c r="A54" t="s">
        <v>2043</v>
      </c>
      <c r="B54" t="s">
        <v>587</v>
      </c>
      <c r="C54">
        <v>0</v>
      </c>
      <c r="D54" t="s">
        <v>2163</v>
      </c>
      <c r="E54" t="s">
        <v>589</v>
      </c>
      <c r="F54">
        <v>2.5</v>
      </c>
      <c r="G54" t="s">
        <v>27</v>
      </c>
      <c r="H54" t="s">
        <v>1991</v>
      </c>
      <c r="I54" t="s">
        <v>4</v>
      </c>
      <c r="J54">
        <v>94</v>
      </c>
      <c r="K54" t="s">
        <v>5</v>
      </c>
      <c r="L54">
        <v>46</v>
      </c>
      <c r="M54" t="s">
        <v>6</v>
      </c>
      <c r="N54">
        <v>-24.9499999999999</v>
      </c>
      <c r="O54" t="s">
        <v>7</v>
      </c>
      <c r="P54">
        <v>-0.26542553191489299</v>
      </c>
      <c r="Q54" t="s">
        <v>8</v>
      </c>
      <c r="R54">
        <v>0.94369565217391305</v>
      </c>
      <c r="S54" t="s">
        <v>9</v>
      </c>
      <c r="T54">
        <v>-1.4241666666666599</v>
      </c>
      <c r="U54" t="s">
        <v>10</v>
      </c>
      <c r="V54">
        <v>0.210112734885231</v>
      </c>
      <c r="W54" t="s">
        <v>11</v>
      </c>
      <c r="X54" t="s">
        <v>2170</v>
      </c>
      <c r="Y54" t="s">
        <v>2171</v>
      </c>
      <c r="Z54">
        <v>0</v>
      </c>
      <c r="AA54" t="s">
        <v>14</v>
      </c>
      <c r="AB54" t="s">
        <v>15</v>
      </c>
      <c r="AC54" t="s">
        <v>2172</v>
      </c>
      <c r="AD54" t="s">
        <v>2171</v>
      </c>
      <c r="AE54">
        <v>0</v>
      </c>
      <c r="AF54" t="s">
        <v>18</v>
      </c>
    </row>
    <row r="55" spans="1:32" x14ac:dyDescent="0.3">
      <c r="A55" t="s">
        <v>2043</v>
      </c>
      <c r="B55" t="s">
        <v>587</v>
      </c>
      <c r="C55">
        <v>0</v>
      </c>
      <c r="D55" t="s">
        <v>2163</v>
      </c>
      <c r="E55" t="s">
        <v>589</v>
      </c>
      <c r="F55">
        <v>2.5</v>
      </c>
      <c r="G55" t="s">
        <v>27</v>
      </c>
      <c r="H55" t="s">
        <v>1994</v>
      </c>
      <c r="I55" t="s">
        <v>4</v>
      </c>
      <c r="J55">
        <v>94</v>
      </c>
      <c r="K55" t="s">
        <v>5</v>
      </c>
      <c r="L55">
        <v>51</v>
      </c>
      <c r="M55" t="s">
        <v>6</v>
      </c>
      <c r="N55">
        <v>-30.3799999999999</v>
      </c>
      <c r="O55" t="s">
        <v>7</v>
      </c>
      <c r="P55">
        <v>-0.323191489361701</v>
      </c>
      <c r="Q55" t="s">
        <v>8</v>
      </c>
      <c r="R55">
        <v>0.96901960784313801</v>
      </c>
      <c r="S55" t="s">
        <v>9</v>
      </c>
      <c r="T55">
        <v>-1.85581395348837</v>
      </c>
      <c r="U55" t="s">
        <v>10</v>
      </c>
      <c r="V55">
        <v>0.25924018087707601</v>
      </c>
      <c r="W55" t="s">
        <v>11</v>
      </c>
      <c r="X55" t="s">
        <v>2173</v>
      </c>
      <c r="Y55" t="s">
        <v>720</v>
      </c>
      <c r="Z55">
        <v>0</v>
      </c>
      <c r="AA55" t="s">
        <v>14</v>
      </c>
      <c r="AB55" t="s">
        <v>15</v>
      </c>
      <c r="AC55" t="s">
        <v>2172</v>
      </c>
      <c r="AD55" t="s">
        <v>2171</v>
      </c>
      <c r="AE55">
        <v>0</v>
      </c>
      <c r="AF55" t="s">
        <v>18</v>
      </c>
    </row>
    <row r="56" spans="1:32" x14ac:dyDescent="0.3">
      <c r="A56" t="s">
        <v>2043</v>
      </c>
      <c r="B56" t="s">
        <v>587</v>
      </c>
      <c r="C56">
        <v>0</v>
      </c>
      <c r="D56" t="s">
        <v>2163</v>
      </c>
      <c r="E56" t="s">
        <v>589</v>
      </c>
      <c r="F56">
        <v>2.5</v>
      </c>
      <c r="G56" t="s">
        <v>27</v>
      </c>
      <c r="H56" t="s">
        <v>1996</v>
      </c>
      <c r="I56" t="s">
        <v>4</v>
      </c>
      <c r="J56">
        <v>94</v>
      </c>
      <c r="K56" t="s">
        <v>5</v>
      </c>
      <c r="L56">
        <v>52</v>
      </c>
      <c r="M56" t="s">
        <v>6</v>
      </c>
      <c r="N56">
        <v>-21.6299999999999</v>
      </c>
      <c r="O56" t="s">
        <v>7</v>
      </c>
      <c r="P56">
        <v>-0.23010638297872299</v>
      </c>
      <c r="Q56" t="s">
        <v>8</v>
      </c>
      <c r="R56">
        <v>0.966923076923078</v>
      </c>
      <c r="S56" t="s">
        <v>9</v>
      </c>
      <c r="T56">
        <v>-1.7121428571428501</v>
      </c>
      <c r="U56" t="s">
        <v>10</v>
      </c>
      <c r="V56">
        <v>0.27639022034507599</v>
      </c>
      <c r="W56" t="s">
        <v>11</v>
      </c>
      <c r="X56" t="s">
        <v>2173</v>
      </c>
      <c r="Y56" t="s">
        <v>720</v>
      </c>
      <c r="Z56">
        <v>0</v>
      </c>
      <c r="AA56" t="s">
        <v>14</v>
      </c>
      <c r="AB56" t="s">
        <v>15</v>
      </c>
      <c r="AC56" t="s">
        <v>2172</v>
      </c>
      <c r="AD56" t="s">
        <v>2171</v>
      </c>
      <c r="AE56">
        <v>0</v>
      </c>
      <c r="AF56" t="s">
        <v>18</v>
      </c>
    </row>
    <row r="57" spans="1:32" x14ac:dyDescent="0.3">
      <c r="A57" t="s">
        <v>2043</v>
      </c>
      <c r="B57" t="s">
        <v>587</v>
      </c>
      <c r="C57">
        <v>0</v>
      </c>
      <c r="D57" t="s">
        <v>2163</v>
      </c>
      <c r="E57" t="s">
        <v>589</v>
      </c>
      <c r="F57">
        <v>2.5</v>
      </c>
      <c r="G57" t="s">
        <v>27</v>
      </c>
      <c r="H57" t="s">
        <v>1997</v>
      </c>
      <c r="I57" t="s">
        <v>4</v>
      </c>
      <c r="J57">
        <v>94</v>
      </c>
      <c r="K57" t="s">
        <v>5</v>
      </c>
      <c r="L57">
        <v>54</v>
      </c>
      <c r="M57" t="s">
        <v>6</v>
      </c>
      <c r="N57">
        <v>-4.3299999999999601</v>
      </c>
      <c r="O57" t="s">
        <v>7</v>
      </c>
      <c r="P57">
        <v>-4.6063829787233598E-2</v>
      </c>
      <c r="Q57" t="s">
        <v>8</v>
      </c>
      <c r="R57">
        <v>1.0805555555555499</v>
      </c>
      <c r="S57" t="s">
        <v>9</v>
      </c>
      <c r="T57">
        <v>-1.5669999999999999</v>
      </c>
      <c r="U57" t="s">
        <v>10</v>
      </c>
      <c r="V57">
        <v>0.32774673060553899</v>
      </c>
      <c r="W57" t="s">
        <v>11</v>
      </c>
      <c r="X57" t="s">
        <v>2173</v>
      </c>
      <c r="Y57" t="s">
        <v>720</v>
      </c>
      <c r="Z57">
        <v>0</v>
      </c>
      <c r="AA57" t="s">
        <v>14</v>
      </c>
      <c r="AB57" t="s">
        <v>15</v>
      </c>
      <c r="AC57" t="s">
        <v>2172</v>
      </c>
      <c r="AD57" t="s">
        <v>2171</v>
      </c>
      <c r="AE57">
        <v>0</v>
      </c>
      <c r="AF57" t="s">
        <v>18</v>
      </c>
    </row>
    <row r="58" spans="1:32" x14ac:dyDescent="0.3">
      <c r="A58" t="s">
        <v>2043</v>
      </c>
      <c r="B58" t="s">
        <v>587</v>
      </c>
      <c r="C58">
        <v>0</v>
      </c>
      <c r="D58" t="s">
        <v>2163</v>
      </c>
      <c r="E58" t="s">
        <v>589</v>
      </c>
      <c r="F58">
        <v>2.5</v>
      </c>
      <c r="G58" t="s">
        <v>2174</v>
      </c>
      <c r="H58" t="s">
        <v>1999</v>
      </c>
      <c r="I58" t="s">
        <v>4</v>
      </c>
      <c r="J58">
        <v>87</v>
      </c>
      <c r="K58" t="s">
        <v>5</v>
      </c>
      <c r="L58">
        <v>43</v>
      </c>
      <c r="M58" t="s">
        <v>6</v>
      </c>
      <c r="N58">
        <v>-18.595741650601301</v>
      </c>
      <c r="O58" t="s">
        <v>7</v>
      </c>
      <c r="P58">
        <v>-0.21374415690346399</v>
      </c>
      <c r="Q58" t="s">
        <v>8</v>
      </c>
      <c r="R58">
        <v>1.0489694048399001</v>
      </c>
      <c r="S58" t="s">
        <v>9</v>
      </c>
      <c r="T58">
        <v>-1.44775968315266</v>
      </c>
      <c r="U58" t="s">
        <v>10</v>
      </c>
      <c r="V58">
        <v>0.209582862727624</v>
      </c>
      <c r="W58" t="s">
        <v>11</v>
      </c>
      <c r="X58" t="s">
        <v>2175</v>
      </c>
      <c r="Y58" t="s">
        <v>2176</v>
      </c>
      <c r="Z58">
        <v>0</v>
      </c>
      <c r="AA58" t="s">
        <v>14</v>
      </c>
      <c r="AB58" t="s">
        <v>15</v>
      </c>
      <c r="AC58" t="s">
        <v>2177</v>
      </c>
      <c r="AD58" t="s">
        <v>2171</v>
      </c>
      <c r="AE58">
        <v>0</v>
      </c>
      <c r="AF58" t="s">
        <v>18</v>
      </c>
    </row>
    <row r="59" spans="1:32" x14ac:dyDescent="0.3">
      <c r="A59" t="s">
        <v>2043</v>
      </c>
      <c r="B59" t="s">
        <v>587</v>
      </c>
      <c r="C59">
        <v>0</v>
      </c>
      <c r="D59" t="s">
        <v>2163</v>
      </c>
      <c r="E59" t="s">
        <v>589</v>
      </c>
      <c r="F59">
        <v>2.5</v>
      </c>
      <c r="G59" t="s">
        <v>2174</v>
      </c>
      <c r="H59" t="s">
        <v>2002</v>
      </c>
      <c r="I59" t="s">
        <v>4</v>
      </c>
      <c r="J59">
        <v>87</v>
      </c>
      <c r="K59" t="s">
        <v>5</v>
      </c>
      <c r="L59">
        <v>51</v>
      </c>
      <c r="M59" t="s">
        <v>6</v>
      </c>
      <c r="N59">
        <v>-24.049962581330799</v>
      </c>
      <c r="O59" t="s">
        <v>7</v>
      </c>
      <c r="P59">
        <v>-0.27643635150954998</v>
      </c>
      <c r="Q59" t="s">
        <v>8</v>
      </c>
      <c r="R59">
        <v>1.0397571658531799</v>
      </c>
      <c r="S59" t="s">
        <v>9</v>
      </c>
      <c r="T59">
        <v>-2.1410438344400902</v>
      </c>
      <c r="U59" t="s">
        <v>10</v>
      </c>
      <c r="V59">
        <v>0.30366359592127401</v>
      </c>
      <c r="W59" t="s">
        <v>11</v>
      </c>
      <c r="X59" t="s">
        <v>2173</v>
      </c>
      <c r="Y59" t="s">
        <v>720</v>
      </c>
      <c r="Z59">
        <v>0</v>
      </c>
      <c r="AA59" t="s">
        <v>14</v>
      </c>
      <c r="AB59" t="s">
        <v>15</v>
      </c>
      <c r="AC59" t="s">
        <v>2178</v>
      </c>
      <c r="AD59" t="s">
        <v>2176</v>
      </c>
      <c r="AE59">
        <v>0</v>
      </c>
      <c r="AF59" t="s">
        <v>18</v>
      </c>
    </row>
    <row r="60" spans="1:32" x14ac:dyDescent="0.3">
      <c r="A60" t="s">
        <v>2043</v>
      </c>
      <c r="B60" t="s">
        <v>587</v>
      </c>
      <c r="C60">
        <v>0</v>
      </c>
      <c r="D60" t="s">
        <v>2163</v>
      </c>
      <c r="E60" t="s">
        <v>589</v>
      </c>
      <c r="F60">
        <v>2.5</v>
      </c>
      <c r="G60" t="s">
        <v>2174</v>
      </c>
      <c r="H60" t="s">
        <v>2004</v>
      </c>
      <c r="I60" t="s">
        <v>4</v>
      </c>
      <c r="J60">
        <v>87</v>
      </c>
      <c r="K60" t="s">
        <v>5</v>
      </c>
      <c r="L60">
        <v>54</v>
      </c>
      <c r="M60" t="s">
        <v>6</v>
      </c>
      <c r="N60">
        <v>-14.3510102923088</v>
      </c>
      <c r="O60" t="s">
        <v>7</v>
      </c>
      <c r="P60">
        <v>-0.16495414129090599</v>
      </c>
      <c r="Q60" t="s">
        <v>8</v>
      </c>
      <c r="R60">
        <v>1.0201410270094899</v>
      </c>
      <c r="S60" t="s">
        <v>9</v>
      </c>
      <c r="T60">
        <v>-2.1042007803279201</v>
      </c>
      <c r="U60" t="s">
        <v>10</v>
      </c>
      <c r="V60">
        <v>0.29540819304836302</v>
      </c>
      <c r="W60" t="s">
        <v>11</v>
      </c>
      <c r="X60" t="s">
        <v>2173</v>
      </c>
      <c r="Y60" t="s">
        <v>720</v>
      </c>
      <c r="Z60">
        <v>0</v>
      </c>
      <c r="AA60" t="s">
        <v>14</v>
      </c>
      <c r="AB60" t="s">
        <v>15</v>
      </c>
      <c r="AC60" t="s">
        <v>2179</v>
      </c>
      <c r="AD60" t="s">
        <v>2176</v>
      </c>
      <c r="AE60">
        <v>0</v>
      </c>
      <c r="AF60" t="s">
        <v>18</v>
      </c>
    </row>
    <row r="61" spans="1:32" x14ac:dyDescent="0.3">
      <c r="A61" t="s">
        <v>2043</v>
      </c>
      <c r="B61" t="s">
        <v>587</v>
      </c>
      <c r="C61">
        <v>0</v>
      </c>
      <c r="D61" t="s">
        <v>2163</v>
      </c>
      <c r="E61" t="s">
        <v>589</v>
      </c>
      <c r="F61">
        <v>2.5</v>
      </c>
      <c r="G61" t="s">
        <v>2174</v>
      </c>
      <c r="H61" t="s">
        <v>2005</v>
      </c>
      <c r="I61" t="s">
        <v>4</v>
      </c>
      <c r="J61">
        <v>87</v>
      </c>
      <c r="K61" t="s">
        <v>5</v>
      </c>
      <c r="L61">
        <v>57</v>
      </c>
      <c r="M61" t="s">
        <v>6</v>
      </c>
      <c r="N61">
        <v>4.14061781054476</v>
      </c>
      <c r="O61" t="s">
        <v>7</v>
      </c>
      <c r="P61">
        <v>4.7593308167181103E-2</v>
      </c>
      <c r="Q61" t="s">
        <v>8</v>
      </c>
      <c r="R61">
        <v>1.11216129579916</v>
      </c>
      <c r="S61" t="s">
        <v>9</v>
      </c>
      <c r="T61">
        <v>-1.9750858683335699</v>
      </c>
      <c r="U61" t="s">
        <v>10</v>
      </c>
      <c r="V61">
        <v>0.32089326773858801</v>
      </c>
      <c r="W61" t="s">
        <v>11</v>
      </c>
      <c r="X61" t="s">
        <v>2173</v>
      </c>
      <c r="Y61" t="s">
        <v>720</v>
      </c>
      <c r="Z61">
        <v>0</v>
      </c>
      <c r="AA61" t="s">
        <v>14</v>
      </c>
      <c r="AB61" t="s">
        <v>15</v>
      </c>
      <c r="AC61" t="s">
        <v>2173</v>
      </c>
      <c r="AD61" t="s">
        <v>720</v>
      </c>
      <c r="AE61">
        <v>0</v>
      </c>
      <c r="AF61" t="s">
        <v>18</v>
      </c>
    </row>
    <row r="62" spans="1:32" x14ac:dyDescent="0.3">
      <c r="A62" t="s">
        <v>2043</v>
      </c>
      <c r="B62" t="s">
        <v>587</v>
      </c>
      <c r="C62">
        <v>2.5</v>
      </c>
      <c r="D62" t="s">
        <v>2163</v>
      </c>
      <c r="E62" t="s">
        <v>589</v>
      </c>
      <c r="F62">
        <v>5</v>
      </c>
      <c r="G62" t="s">
        <v>2</v>
      </c>
      <c r="H62" t="s">
        <v>1979</v>
      </c>
      <c r="I62" t="s">
        <v>4</v>
      </c>
      <c r="J62">
        <v>92</v>
      </c>
      <c r="K62" t="s">
        <v>5</v>
      </c>
      <c r="L62">
        <v>43</v>
      </c>
      <c r="M62" t="s">
        <v>6</v>
      </c>
      <c r="N62">
        <v>-26.71</v>
      </c>
      <c r="O62" t="s">
        <v>7</v>
      </c>
      <c r="P62">
        <v>-0.29032608695652101</v>
      </c>
      <c r="Q62" t="s">
        <v>8</v>
      </c>
      <c r="R62">
        <v>0.64953488372093005</v>
      </c>
      <c r="S62" t="s">
        <v>9</v>
      </c>
      <c r="T62">
        <v>-1.1151020408163199</v>
      </c>
      <c r="U62" t="s">
        <v>10</v>
      </c>
      <c r="V62">
        <v>0.155849012557429</v>
      </c>
      <c r="W62" t="s">
        <v>11</v>
      </c>
      <c r="X62" t="s">
        <v>2164</v>
      </c>
      <c r="Y62" t="s">
        <v>1278</v>
      </c>
      <c r="Z62">
        <v>0</v>
      </c>
      <c r="AA62" t="s">
        <v>14</v>
      </c>
      <c r="AB62" t="s">
        <v>15</v>
      </c>
      <c r="AC62" t="s">
        <v>2180</v>
      </c>
      <c r="AD62" t="s">
        <v>1987</v>
      </c>
      <c r="AE62">
        <v>0</v>
      </c>
      <c r="AF62" t="s">
        <v>18</v>
      </c>
    </row>
    <row r="63" spans="1:32" x14ac:dyDescent="0.3">
      <c r="A63" t="s">
        <v>2043</v>
      </c>
      <c r="B63" t="s">
        <v>587</v>
      </c>
      <c r="C63">
        <v>2.5</v>
      </c>
      <c r="D63" t="s">
        <v>2163</v>
      </c>
      <c r="E63" t="s">
        <v>589</v>
      </c>
      <c r="F63">
        <v>5</v>
      </c>
      <c r="G63" t="s">
        <v>2</v>
      </c>
      <c r="H63" t="s">
        <v>1982</v>
      </c>
      <c r="I63" t="s">
        <v>4</v>
      </c>
      <c r="J63">
        <v>92</v>
      </c>
      <c r="K63" t="s">
        <v>5</v>
      </c>
      <c r="L63">
        <v>46</v>
      </c>
      <c r="M63" t="s">
        <v>6</v>
      </c>
      <c r="N63">
        <v>-49.08</v>
      </c>
      <c r="O63" t="s">
        <v>7</v>
      </c>
      <c r="P63">
        <v>-0.53347826086956496</v>
      </c>
      <c r="Q63" t="s">
        <v>8</v>
      </c>
      <c r="R63">
        <v>0.70521739130434802</v>
      </c>
      <c r="S63" t="s">
        <v>9</v>
      </c>
      <c r="T63">
        <v>-1.7721739130434699</v>
      </c>
      <c r="U63" t="s">
        <v>10</v>
      </c>
      <c r="V63">
        <v>0.201189215897457</v>
      </c>
      <c r="W63" t="s">
        <v>11</v>
      </c>
      <c r="X63" t="s">
        <v>2181</v>
      </c>
      <c r="Y63" t="s">
        <v>639</v>
      </c>
      <c r="Z63">
        <v>0</v>
      </c>
      <c r="AA63" t="s">
        <v>14</v>
      </c>
      <c r="AB63" t="s">
        <v>15</v>
      </c>
      <c r="AC63" t="s">
        <v>2182</v>
      </c>
      <c r="AD63" t="s">
        <v>639</v>
      </c>
      <c r="AE63">
        <v>0</v>
      </c>
      <c r="AF63" t="s">
        <v>18</v>
      </c>
    </row>
    <row r="64" spans="1:32" x14ac:dyDescent="0.3">
      <c r="A64" t="s">
        <v>2043</v>
      </c>
      <c r="B64" t="s">
        <v>587</v>
      </c>
      <c r="C64">
        <v>2.5</v>
      </c>
      <c r="D64" t="s">
        <v>2163</v>
      </c>
      <c r="E64" t="s">
        <v>589</v>
      </c>
      <c r="F64">
        <v>5</v>
      </c>
      <c r="G64" t="s">
        <v>2</v>
      </c>
      <c r="H64" t="s">
        <v>1985</v>
      </c>
      <c r="I64" t="s">
        <v>4</v>
      </c>
      <c r="J64">
        <v>92</v>
      </c>
      <c r="K64" t="s">
        <v>5</v>
      </c>
      <c r="L64">
        <v>46</v>
      </c>
      <c r="M64" t="s">
        <v>6</v>
      </c>
      <c r="N64">
        <v>-49.199999999999903</v>
      </c>
      <c r="O64" t="s">
        <v>7</v>
      </c>
      <c r="P64">
        <v>-0.53478260869565197</v>
      </c>
      <c r="Q64" t="s">
        <v>8</v>
      </c>
      <c r="R64">
        <v>0.70521739130434802</v>
      </c>
      <c r="S64" t="s">
        <v>9</v>
      </c>
      <c r="T64">
        <v>-1.77478260869565</v>
      </c>
      <c r="U64" t="s">
        <v>10</v>
      </c>
      <c r="V64">
        <v>0.20194758008712399</v>
      </c>
      <c r="W64" t="s">
        <v>11</v>
      </c>
      <c r="X64" t="s">
        <v>2181</v>
      </c>
      <c r="Y64" t="s">
        <v>639</v>
      </c>
      <c r="Z64">
        <v>0</v>
      </c>
      <c r="AA64" t="s">
        <v>14</v>
      </c>
      <c r="AB64" t="s">
        <v>15</v>
      </c>
      <c r="AC64" t="s">
        <v>2182</v>
      </c>
      <c r="AD64" t="s">
        <v>639</v>
      </c>
      <c r="AE64">
        <v>0</v>
      </c>
      <c r="AF64" t="s">
        <v>18</v>
      </c>
    </row>
    <row r="65" spans="1:32" x14ac:dyDescent="0.3">
      <c r="A65" t="s">
        <v>2043</v>
      </c>
      <c r="B65" t="s">
        <v>587</v>
      </c>
      <c r="C65">
        <v>2.5</v>
      </c>
      <c r="D65" t="s">
        <v>2163</v>
      </c>
      <c r="E65" t="s">
        <v>589</v>
      </c>
      <c r="F65">
        <v>5</v>
      </c>
      <c r="G65" t="s">
        <v>2</v>
      </c>
      <c r="H65" t="s">
        <v>1988</v>
      </c>
      <c r="I65" t="s">
        <v>4</v>
      </c>
      <c r="J65">
        <v>92</v>
      </c>
      <c r="K65" t="s">
        <v>5</v>
      </c>
      <c r="L65">
        <v>46</v>
      </c>
      <c r="M65" t="s">
        <v>6</v>
      </c>
      <c r="N65">
        <v>-45.749999999999901</v>
      </c>
      <c r="O65" t="s">
        <v>7</v>
      </c>
      <c r="P65">
        <v>-0.497282608695651</v>
      </c>
      <c r="Q65" t="s">
        <v>8</v>
      </c>
      <c r="R65">
        <v>0.70521739130434802</v>
      </c>
      <c r="S65" t="s">
        <v>9</v>
      </c>
      <c r="T65">
        <v>-1.69978260869565</v>
      </c>
      <c r="U65" t="s">
        <v>10</v>
      </c>
      <c r="V65">
        <v>0.204012307048618</v>
      </c>
      <c r="W65" t="s">
        <v>11</v>
      </c>
      <c r="X65" t="s">
        <v>2181</v>
      </c>
      <c r="Y65" t="s">
        <v>639</v>
      </c>
      <c r="Z65">
        <v>0</v>
      </c>
      <c r="AA65" t="s">
        <v>14</v>
      </c>
      <c r="AB65" t="s">
        <v>15</v>
      </c>
      <c r="AC65" t="s">
        <v>2182</v>
      </c>
      <c r="AD65" t="s">
        <v>639</v>
      </c>
      <c r="AE65">
        <v>0</v>
      </c>
      <c r="AF65" t="s">
        <v>18</v>
      </c>
    </row>
    <row r="66" spans="1:32" x14ac:dyDescent="0.3">
      <c r="A66" t="s">
        <v>2043</v>
      </c>
      <c r="B66" t="s">
        <v>587</v>
      </c>
      <c r="C66">
        <v>2.5</v>
      </c>
      <c r="D66" t="s">
        <v>2163</v>
      </c>
      <c r="E66" t="s">
        <v>589</v>
      </c>
      <c r="F66">
        <v>5</v>
      </c>
      <c r="G66" t="s">
        <v>27</v>
      </c>
      <c r="H66" t="s">
        <v>1991</v>
      </c>
      <c r="I66" t="s">
        <v>4</v>
      </c>
      <c r="J66">
        <v>94</v>
      </c>
      <c r="K66" t="s">
        <v>5</v>
      </c>
      <c r="L66">
        <v>45</v>
      </c>
      <c r="M66" t="s">
        <v>6</v>
      </c>
      <c r="N66">
        <v>-31.899999999999899</v>
      </c>
      <c r="O66" t="s">
        <v>7</v>
      </c>
      <c r="P66">
        <v>-0.33936170212765798</v>
      </c>
      <c r="Q66" t="s">
        <v>8</v>
      </c>
      <c r="R66">
        <v>0.70733333333333304</v>
      </c>
      <c r="S66" t="s">
        <v>9</v>
      </c>
      <c r="T66">
        <v>-1.30061224489795</v>
      </c>
      <c r="U66" t="s">
        <v>10</v>
      </c>
      <c r="V66">
        <v>0.177224984630973</v>
      </c>
      <c r="W66" t="s">
        <v>11</v>
      </c>
      <c r="X66" t="s">
        <v>736</v>
      </c>
      <c r="Y66" t="s">
        <v>650</v>
      </c>
      <c r="Z66">
        <v>0</v>
      </c>
      <c r="AA66" t="s">
        <v>14</v>
      </c>
      <c r="AB66" t="s">
        <v>15</v>
      </c>
      <c r="AC66" t="s">
        <v>2183</v>
      </c>
      <c r="AD66" t="s">
        <v>1987</v>
      </c>
      <c r="AE66">
        <v>0</v>
      </c>
      <c r="AF66" t="s">
        <v>18</v>
      </c>
    </row>
    <row r="67" spans="1:32" x14ac:dyDescent="0.3">
      <c r="A67" t="s">
        <v>2043</v>
      </c>
      <c r="B67" t="s">
        <v>587</v>
      </c>
      <c r="C67">
        <v>2.5</v>
      </c>
      <c r="D67" t="s">
        <v>2163</v>
      </c>
      <c r="E67" t="s">
        <v>589</v>
      </c>
      <c r="F67">
        <v>5</v>
      </c>
      <c r="G67" t="s">
        <v>27</v>
      </c>
      <c r="H67" t="s">
        <v>1994</v>
      </c>
      <c r="I67" t="s">
        <v>4</v>
      </c>
      <c r="J67">
        <v>94</v>
      </c>
      <c r="K67" t="s">
        <v>5</v>
      </c>
      <c r="L67">
        <v>58</v>
      </c>
      <c r="M67" t="s">
        <v>6</v>
      </c>
      <c r="N67">
        <v>-24.439999999999898</v>
      </c>
      <c r="O67" t="s">
        <v>7</v>
      </c>
      <c r="P67">
        <v>-0.25999999999999901</v>
      </c>
      <c r="Q67" t="s">
        <v>8</v>
      </c>
      <c r="R67">
        <v>0.900517241379311</v>
      </c>
      <c r="S67" t="s">
        <v>9</v>
      </c>
      <c r="T67">
        <v>-2.1297222222222199</v>
      </c>
      <c r="U67" t="s">
        <v>10</v>
      </c>
      <c r="V67">
        <v>0.27360682611526499</v>
      </c>
      <c r="W67" t="s">
        <v>11</v>
      </c>
      <c r="X67" t="s">
        <v>2181</v>
      </c>
      <c r="Y67" t="s">
        <v>639</v>
      </c>
      <c r="Z67">
        <v>0</v>
      </c>
      <c r="AA67" t="s">
        <v>14</v>
      </c>
      <c r="AB67" t="s">
        <v>15</v>
      </c>
      <c r="AC67" t="s">
        <v>2182</v>
      </c>
      <c r="AD67" t="s">
        <v>639</v>
      </c>
      <c r="AE67">
        <v>0</v>
      </c>
      <c r="AF67" t="s">
        <v>18</v>
      </c>
    </row>
    <row r="68" spans="1:32" x14ac:dyDescent="0.3">
      <c r="A68" t="s">
        <v>2043</v>
      </c>
      <c r="B68" t="s">
        <v>587</v>
      </c>
      <c r="C68">
        <v>2.5</v>
      </c>
      <c r="D68" t="s">
        <v>2163</v>
      </c>
      <c r="E68" t="s">
        <v>589</v>
      </c>
      <c r="F68">
        <v>5</v>
      </c>
      <c r="G68" t="s">
        <v>27</v>
      </c>
      <c r="H68" t="s">
        <v>1996</v>
      </c>
      <c r="I68" t="s">
        <v>4</v>
      </c>
      <c r="J68">
        <v>94</v>
      </c>
      <c r="K68" t="s">
        <v>5</v>
      </c>
      <c r="L68">
        <v>61</v>
      </c>
      <c r="M68" t="s">
        <v>6</v>
      </c>
      <c r="N68">
        <v>-9.3899999999999508</v>
      </c>
      <c r="O68" t="s">
        <v>7</v>
      </c>
      <c r="P68">
        <v>-9.9893617021276096E-2</v>
      </c>
      <c r="Q68" t="s">
        <v>8</v>
      </c>
      <c r="R68">
        <v>0.91196721311475404</v>
      </c>
      <c r="S68" t="s">
        <v>9</v>
      </c>
      <c r="T68">
        <v>-1.97030303030302</v>
      </c>
      <c r="U68" t="s">
        <v>10</v>
      </c>
      <c r="V68">
        <v>0.29872880246431599</v>
      </c>
      <c r="W68" t="s">
        <v>11</v>
      </c>
      <c r="X68" t="s">
        <v>2181</v>
      </c>
      <c r="Y68" t="s">
        <v>639</v>
      </c>
      <c r="Z68">
        <v>0</v>
      </c>
      <c r="AA68" t="s">
        <v>14</v>
      </c>
      <c r="AB68" t="s">
        <v>15</v>
      </c>
      <c r="AC68" t="s">
        <v>2184</v>
      </c>
      <c r="AD68" t="s">
        <v>2176</v>
      </c>
      <c r="AE68">
        <v>0</v>
      </c>
      <c r="AF68" t="s">
        <v>18</v>
      </c>
    </row>
    <row r="69" spans="1:32" x14ac:dyDescent="0.3">
      <c r="A69" t="s">
        <v>2043</v>
      </c>
      <c r="B69" t="s">
        <v>587</v>
      </c>
      <c r="C69">
        <v>2.5</v>
      </c>
      <c r="D69" t="s">
        <v>2163</v>
      </c>
      <c r="E69" t="s">
        <v>589</v>
      </c>
      <c r="F69">
        <v>5</v>
      </c>
      <c r="G69" t="s">
        <v>27</v>
      </c>
      <c r="H69" t="s">
        <v>1997</v>
      </c>
      <c r="I69" t="s">
        <v>4</v>
      </c>
      <c r="J69">
        <v>94</v>
      </c>
      <c r="K69" t="s">
        <v>5</v>
      </c>
      <c r="L69">
        <v>61</v>
      </c>
      <c r="M69" t="s">
        <v>6</v>
      </c>
      <c r="N69">
        <v>-5.7399999999999496</v>
      </c>
      <c r="O69" t="s">
        <v>7</v>
      </c>
      <c r="P69">
        <v>-6.1063829787233501E-2</v>
      </c>
      <c r="Q69" t="s">
        <v>8</v>
      </c>
      <c r="R69">
        <v>0.91196721311475404</v>
      </c>
      <c r="S69" t="s">
        <v>9</v>
      </c>
      <c r="T69">
        <v>-1.8596969696969601</v>
      </c>
      <c r="U69" t="s">
        <v>10</v>
      </c>
      <c r="V69">
        <v>0.30926094359471801</v>
      </c>
      <c r="W69" t="s">
        <v>11</v>
      </c>
      <c r="X69" t="s">
        <v>2181</v>
      </c>
      <c r="Y69" t="s">
        <v>639</v>
      </c>
      <c r="Z69">
        <v>0</v>
      </c>
      <c r="AA69" t="s">
        <v>14</v>
      </c>
      <c r="AB69" t="s">
        <v>15</v>
      </c>
      <c r="AC69" t="s">
        <v>2184</v>
      </c>
      <c r="AD69" t="s">
        <v>2176</v>
      </c>
      <c r="AE69">
        <v>0</v>
      </c>
      <c r="AF69" t="s">
        <v>18</v>
      </c>
    </row>
    <row r="70" spans="1:32" x14ac:dyDescent="0.3">
      <c r="A70" t="s">
        <v>2043</v>
      </c>
      <c r="B70" t="s">
        <v>587</v>
      </c>
      <c r="C70">
        <v>2.5</v>
      </c>
      <c r="D70" t="s">
        <v>2163</v>
      </c>
      <c r="E70" t="s">
        <v>589</v>
      </c>
      <c r="F70">
        <v>5</v>
      </c>
      <c r="G70" t="s">
        <v>2174</v>
      </c>
      <c r="H70" t="s">
        <v>1999</v>
      </c>
      <c r="I70" t="s">
        <v>4</v>
      </c>
      <c r="J70">
        <v>87</v>
      </c>
      <c r="K70" t="s">
        <v>5</v>
      </c>
      <c r="L70">
        <v>46</v>
      </c>
      <c r="M70" t="s">
        <v>6</v>
      </c>
      <c r="N70">
        <v>-28.894708007287701</v>
      </c>
      <c r="O70" t="s">
        <v>7</v>
      </c>
      <c r="P70">
        <v>-0.33212308054353701</v>
      </c>
      <c r="Q70" t="s">
        <v>8</v>
      </c>
      <c r="R70">
        <v>0.91042669847261504</v>
      </c>
      <c r="S70" t="s">
        <v>9</v>
      </c>
      <c r="T70">
        <v>-1.72620332041531</v>
      </c>
      <c r="U70" t="s">
        <v>10</v>
      </c>
      <c r="V70">
        <v>0.22501206560175799</v>
      </c>
      <c r="W70" t="s">
        <v>11</v>
      </c>
      <c r="X70" t="s">
        <v>1463</v>
      </c>
      <c r="Y70" t="s">
        <v>720</v>
      </c>
      <c r="Z70">
        <v>0</v>
      </c>
      <c r="AA70" t="s">
        <v>14</v>
      </c>
      <c r="AB70" t="s">
        <v>15</v>
      </c>
      <c r="AC70" t="s">
        <v>1463</v>
      </c>
      <c r="AD70" t="s">
        <v>720</v>
      </c>
      <c r="AE70">
        <v>0</v>
      </c>
      <c r="AF70" t="s">
        <v>18</v>
      </c>
    </row>
    <row r="71" spans="1:32" x14ac:dyDescent="0.3">
      <c r="A71" t="s">
        <v>2043</v>
      </c>
      <c r="B71" t="s">
        <v>587</v>
      </c>
      <c r="C71">
        <v>2.5</v>
      </c>
      <c r="D71" t="s">
        <v>2163</v>
      </c>
      <c r="E71" t="s">
        <v>589</v>
      </c>
      <c r="F71">
        <v>5</v>
      </c>
      <c r="G71" t="s">
        <v>2174</v>
      </c>
      <c r="H71" t="s">
        <v>2002</v>
      </c>
      <c r="I71" t="s">
        <v>4</v>
      </c>
      <c r="J71">
        <v>87</v>
      </c>
      <c r="K71" t="s">
        <v>5</v>
      </c>
      <c r="L71">
        <v>57</v>
      </c>
      <c r="M71" t="s">
        <v>6</v>
      </c>
      <c r="N71">
        <v>-21.3965140855234</v>
      </c>
      <c r="O71" t="s">
        <v>7</v>
      </c>
      <c r="P71">
        <v>-0.24593694351176301</v>
      </c>
      <c r="Q71" t="s">
        <v>8</v>
      </c>
      <c r="R71">
        <v>0.98028778911808101</v>
      </c>
      <c r="S71" t="s">
        <v>9</v>
      </c>
      <c r="T71">
        <v>-2.5757639355084598</v>
      </c>
      <c r="U71" t="s">
        <v>10</v>
      </c>
      <c r="V71">
        <v>0.30156148466505101</v>
      </c>
      <c r="W71" t="s">
        <v>11</v>
      </c>
      <c r="X71" t="s">
        <v>1463</v>
      </c>
      <c r="Y71" t="s">
        <v>720</v>
      </c>
      <c r="Z71">
        <v>0</v>
      </c>
      <c r="AA71" t="s">
        <v>14</v>
      </c>
      <c r="AB71" t="s">
        <v>15</v>
      </c>
      <c r="AC71" t="s">
        <v>2185</v>
      </c>
      <c r="AD71" t="s">
        <v>2186</v>
      </c>
      <c r="AE71">
        <v>0</v>
      </c>
      <c r="AF71" t="s">
        <v>18</v>
      </c>
    </row>
    <row r="72" spans="1:32" x14ac:dyDescent="0.3">
      <c r="A72" t="s">
        <v>2043</v>
      </c>
      <c r="B72" t="s">
        <v>587</v>
      </c>
      <c r="C72">
        <v>2.5</v>
      </c>
      <c r="D72" t="s">
        <v>2163</v>
      </c>
      <c r="E72" t="s">
        <v>589</v>
      </c>
      <c r="F72">
        <v>5</v>
      </c>
      <c r="G72" t="s">
        <v>2174</v>
      </c>
      <c r="H72" t="s">
        <v>2004</v>
      </c>
      <c r="I72" t="s">
        <v>4</v>
      </c>
      <c r="J72">
        <v>87</v>
      </c>
      <c r="K72" t="s">
        <v>5</v>
      </c>
      <c r="L72">
        <v>62</v>
      </c>
      <c r="M72" t="s">
        <v>6</v>
      </c>
      <c r="N72">
        <v>3.3760364341167501</v>
      </c>
      <c r="O72" t="s">
        <v>7</v>
      </c>
      <c r="P72">
        <v>3.8805016484100598E-2</v>
      </c>
      <c r="Q72" t="s">
        <v>8</v>
      </c>
      <c r="R72">
        <v>1.0146073325217999</v>
      </c>
      <c r="S72" t="s">
        <v>9</v>
      </c>
      <c r="T72">
        <v>-2.3811847272894102</v>
      </c>
      <c r="U72" t="s">
        <v>10</v>
      </c>
      <c r="V72">
        <v>0.32116674700374698</v>
      </c>
      <c r="W72" t="s">
        <v>11</v>
      </c>
      <c r="X72" t="s">
        <v>1463</v>
      </c>
      <c r="Y72" t="s">
        <v>720</v>
      </c>
      <c r="Z72">
        <v>0</v>
      </c>
      <c r="AA72" t="s">
        <v>14</v>
      </c>
      <c r="AB72" t="s">
        <v>15</v>
      </c>
      <c r="AC72" t="s">
        <v>2187</v>
      </c>
      <c r="AD72" t="s">
        <v>2186</v>
      </c>
      <c r="AE72">
        <v>0</v>
      </c>
      <c r="AF72" t="s">
        <v>18</v>
      </c>
    </row>
    <row r="73" spans="1:32" x14ac:dyDescent="0.3">
      <c r="A73" t="s">
        <v>2043</v>
      </c>
      <c r="B73" t="s">
        <v>587</v>
      </c>
      <c r="C73">
        <v>2.5</v>
      </c>
      <c r="D73" t="s">
        <v>2163</v>
      </c>
      <c r="E73" t="s">
        <v>589</v>
      </c>
      <c r="F73">
        <v>5</v>
      </c>
      <c r="G73" t="s">
        <v>2174</v>
      </c>
      <c r="H73" t="s">
        <v>2005</v>
      </c>
      <c r="I73" t="s">
        <v>4</v>
      </c>
      <c r="J73">
        <v>87</v>
      </c>
      <c r="K73" t="s">
        <v>5</v>
      </c>
      <c r="L73">
        <v>64</v>
      </c>
      <c r="M73" t="s">
        <v>6</v>
      </c>
      <c r="N73">
        <v>18.767084145094699</v>
      </c>
      <c r="O73" t="s">
        <v>7</v>
      </c>
      <c r="P73">
        <v>0.21571361086315799</v>
      </c>
      <c r="Q73" t="s">
        <v>8</v>
      </c>
      <c r="R73">
        <v>0.99805710338050002</v>
      </c>
      <c r="S73" t="s">
        <v>9</v>
      </c>
      <c r="T73">
        <v>-1.96124219440248</v>
      </c>
      <c r="U73" t="s">
        <v>10</v>
      </c>
      <c r="V73">
        <v>0.34418909855804802</v>
      </c>
      <c r="W73" t="s">
        <v>11</v>
      </c>
      <c r="X73" t="s">
        <v>1463</v>
      </c>
      <c r="Y73" t="s">
        <v>720</v>
      </c>
      <c r="Z73">
        <v>0</v>
      </c>
      <c r="AA73" t="s">
        <v>14</v>
      </c>
      <c r="AB73" t="s">
        <v>15</v>
      </c>
      <c r="AC73" t="s">
        <v>2188</v>
      </c>
      <c r="AD73" t="s">
        <v>2186</v>
      </c>
      <c r="AE73">
        <v>0</v>
      </c>
      <c r="AF73" t="s">
        <v>18</v>
      </c>
    </row>
    <row r="74" spans="1:32" x14ac:dyDescent="0.3">
      <c r="A74" t="s">
        <v>2043</v>
      </c>
      <c r="B74" t="s">
        <v>587</v>
      </c>
      <c r="C74">
        <v>5</v>
      </c>
      <c r="D74" t="s">
        <v>2163</v>
      </c>
      <c r="E74" t="s">
        <v>589</v>
      </c>
      <c r="F74">
        <v>7.5</v>
      </c>
      <c r="G74" t="s">
        <v>2</v>
      </c>
      <c r="H74" t="s">
        <v>1979</v>
      </c>
      <c r="I74" t="s">
        <v>4</v>
      </c>
      <c r="J74">
        <v>92</v>
      </c>
      <c r="K74" t="s">
        <v>5</v>
      </c>
      <c r="L74">
        <v>46</v>
      </c>
      <c r="M74" t="s">
        <v>6</v>
      </c>
      <c r="N74">
        <v>-18.7699999999999</v>
      </c>
      <c r="O74" t="s">
        <v>7</v>
      </c>
      <c r="P74">
        <v>-0.204021739130434</v>
      </c>
      <c r="Q74" t="s">
        <v>8</v>
      </c>
      <c r="R74">
        <v>0.51043478260869601</v>
      </c>
      <c r="S74" t="s">
        <v>9</v>
      </c>
      <c r="T74">
        <v>-0.91847826086956497</v>
      </c>
      <c r="U74" t="s">
        <v>10</v>
      </c>
      <c r="V74">
        <v>0.131324792626965</v>
      </c>
      <c r="W74" t="s">
        <v>11</v>
      </c>
      <c r="X74" t="s">
        <v>2189</v>
      </c>
      <c r="Y74" t="s">
        <v>1278</v>
      </c>
      <c r="Z74">
        <v>0</v>
      </c>
      <c r="AA74" t="s">
        <v>14</v>
      </c>
      <c r="AB74" t="s">
        <v>15</v>
      </c>
      <c r="AC74" t="s">
        <v>1397</v>
      </c>
      <c r="AD74" t="s">
        <v>720</v>
      </c>
      <c r="AE74">
        <v>0</v>
      </c>
      <c r="AF74" t="s">
        <v>18</v>
      </c>
    </row>
    <row r="75" spans="1:32" x14ac:dyDescent="0.3">
      <c r="A75" t="s">
        <v>2043</v>
      </c>
      <c r="B75" t="s">
        <v>587</v>
      </c>
      <c r="C75">
        <v>5</v>
      </c>
      <c r="D75" t="s">
        <v>2163</v>
      </c>
      <c r="E75" t="s">
        <v>589</v>
      </c>
      <c r="F75">
        <v>7.5</v>
      </c>
      <c r="G75" t="s">
        <v>2</v>
      </c>
      <c r="H75" t="s">
        <v>1982</v>
      </c>
      <c r="I75" t="s">
        <v>4</v>
      </c>
      <c r="J75">
        <v>92</v>
      </c>
      <c r="K75" t="s">
        <v>5</v>
      </c>
      <c r="L75">
        <v>53</v>
      </c>
      <c r="M75" t="s">
        <v>6</v>
      </c>
      <c r="N75">
        <v>-38.099999999999902</v>
      </c>
      <c r="O75" t="s">
        <v>7</v>
      </c>
      <c r="P75">
        <v>-0.41413043478260803</v>
      </c>
      <c r="Q75" t="s">
        <v>8</v>
      </c>
      <c r="R75">
        <v>0.49471698113207502</v>
      </c>
      <c r="S75" t="s">
        <v>9</v>
      </c>
      <c r="T75">
        <v>-1.64923076923076</v>
      </c>
      <c r="U75" t="s">
        <v>10</v>
      </c>
      <c r="V75">
        <v>0.18509286895250199</v>
      </c>
      <c r="W75" t="s">
        <v>11</v>
      </c>
      <c r="X75" t="s">
        <v>2166</v>
      </c>
      <c r="Y75" t="s">
        <v>2167</v>
      </c>
      <c r="Z75">
        <v>0</v>
      </c>
      <c r="AA75" t="s">
        <v>14</v>
      </c>
      <c r="AB75" t="s">
        <v>15</v>
      </c>
      <c r="AC75" t="s">
        <v>2190</v>
      </c>
      <c r="AD75" t="s">
        <v>2167</v>
      </c>
      <c r="AE75">
        <v>0</v>
      </c>
      <c r="AF75" t="s">
        <v>18</v>
      </c>
    </row>
    <row r="76" spans="1:32" x14ac:dyDescent="0.3">
      <c r="A76" t="s">
        <v>2043</v>
      </c>
      <c r="B76" t="s">
        <v>587</v>
      </c>
      <c r="C76">
        <v>5</v>
      </c>
      <c r="D76" t="s">
        <v>2163</v>
      </c>
      <c r="E76" t="s">
        <v>589</v>
      </c>
      <c r="F76">
        <v>7.5</v>
      </c>
      <c r="G76" t="s">
        <v>2</v>
      </c>
      <c r="H76" t="s">
        <v>1985</v>
      </c>
      <c r="I76" t="s">
        <v>4</v>
      </c>
      <c r="J76">
        <v>92</v>
      </c>
      <c r="K76" t="s">
        <v>5</v>
      </c>
      <c r="L76">
        <v>53</v>
      </c>
      <c r="M76" t="s">
        <v>6</v>
      </c>
      <c r="N76">
        <v>-39.059999999999903</v>
      </c>
      <c r="O76" t="s">
        <v>7</v>
      </c>
      <c r="P76">
        <v>-0.42456521739130298</v>
      </c>
      <c r="Q76" t="s">
        <v>8</v>
      </c>
      <c r="R76">
        <v>0.49471698113207502</v>
      </c>
      <c r="S76" t="s">
        <v>9</v>
      </c>
      <c r="T76">
        <v>-1.67384615384615</v>
      </c>
      <c r="U76" t="s">
        <v>10</v>
      </c>
      <c r="V76">
        <v>0.20283020304122401</v>
      </c>
      <c r="W76" t="s">
        <v>11</v>
      </c>
      <c r="X76" t="s">
        <v>2166</v>
      </c>
      <c r="Y76" t="s">
        <v>2167</v>
      </c>
      <c r="Z76">
        <v>0</v>
      </c>
      <c r="AA76" t="s">
        <v>14</v>
      </c>
      <c r="AB76" t="s">
        <v>15</v>
      </c>
      <c r="AC76" t="s">
        <v>2190</v>
      </c>
      <c r="AD76" t="s">
        <v>2167</v>
      </c>
      <c r="AE76">
        <v>0</v>
      </c>
      <c r="AF76" t="s">
        <v>18</v>
      </c>
    </row>
    <row r="77" spans="1:32" x14ac:dyDescent="0.3">
      <c r="A77" t="s">
        <v>2043</v>
      </c>
      <c r="B77" t="s">
        <v>587</v>
      </c>
      <c r="C77">
        <v>5</v>
      </c>
      <c r="D77" t="s">
        <v>2163</v>
      </c>
      <c r="E77" t="s">
        <v>589</v>
      </c>
      <c r="F77">
        <v>7.5</v>
      </c>
      <c r="G77" t="s">
        <v>2</v>
      </c>
      <c r="H77" t="s">
        <v>1988</v>
      </c>
      <c r="I77" t="s">
        <v>4</v>
      </c>
      <c r="J77">
        <v>92</v>
      </c>
      <c r="K77" t="s">
        <v>5</v>
      </c>
      <c r="L77">
        <v>53</v>
      </c>
      <c r="M77" t="s">
        <v>6</v>
      </c>
      <c r="N77">
        <v>-35.119999999999898</v>
      </c>
      <c r="O77" t="s">
        <v>7</v>
      </c>
      <c r="P77">
        <v>-0.38173913043478103</v>
      </c>
      <c r="Q77" t="s">
        <v>8</v>
      </c>
      <c r="R77">
        <v>0.49471698113207502</v>
      </c>
      <c r="S77" t="s">
        <v>9</v>
      </c>
      <c r="T77">
        <v>-1.5728205128205099</v>
      </c>
      <c r="U77" t="s">
        <v>10</v>
      </c>
      <c r="V77">
        <v>0.217283268343376</v>
      </c>
      <c r="W77" t="s">
        <v>11</v>
      </c>
      <c r="X77" t="s">
        <v>2166</v>
      </c>
      <c r="Y77" t="s">
        <v>2167</v>
      </c>
      <c r="Z77">
        <v>0</v>
      </c>
      <c r="AA77" t="s">
        <v>14</v>
      </c>
      <c r="AB77" t="s">
        <v>15</v>
      </c>
      <c r="AC77" t="s">
        <v>2190</v>
      </c>
      <c r="AD77" t="s">
        <v>2167</v>
      </c>
      <c r="AE77">
        <v>0</v>
      </c>
      <c r="AF77" t="s">
        <v>18</v>
      </c>
    </row>
    <row r="78" spans="1:32" x14ac:dyDescent="0.3">
      <c r="A78" t="s">
        <v>2043</v>
      </c>
      <c r="B78" t="s">
        <v>587</v>
      </c>
      <c r="C78">
        <v>5</v>
      </c>
      <c r="D78" t="s">
        <v>2163</v>
      </c>
      <c r="E78" t="s">
        <v>589</v>
      </c>
      <c r="F78">
        <v>7.5</v>
      </c>
      <c r="G78" t="s">
        <v>27</v>
      </c>
      <c r="H78" t="s">
        <v>1991</v>
      </c>
      <c r="I78" t="s">
        <v>4</v>
      </c>
      <c r="J78">
        <v>94</v>
      </c>
      <c r="K78" t="s">
        <v>5</v>
      </c>
      <c r="L78">
        <v>42</v>
      </c>
      <c r="M78" t="s">
        <v>6</v>
      </c>
      <c r="N78">
        <v>-26.1099999999999</v>
      </c>
      <c r="O78" t="s">
        <v>7</v>
      </c>
      <c r="P78">
        <v>-0.27776595744680799</v>
      </c>
      <c r="Q78" t="s">
        <v>8</v>
      </c>
      <c r="R78">
        <v>0.66666666666666696</v>
      </c>
      <c r="S78" t="s">
        <v>9</v>
      </c>
      <c r="T78">
        <v>-1.04057692307692</v>
      </c>
      <c r="U78" t="s">
        <v>10</v>
      </c>
      <c r="V78">
        <v>0.15454934408176599</v>
      </c>
      <c r="W78" t="s">
        <v>11</v>
      </c>
      <c r="X78" t="s">
        <v>2193</v>
      </c>
      <c r="Y78" t="s">
        <v>635</v>
      </c>
      <c r="Z78">
        <v>0</v>
      </c>
      <c r="AA78" t="s">
        <v>14</v>
      </c>
      <c r="AB78" t="s">
        <v>15</v>
      </c>
      <c r="AC78" t="s">
        <v>2194</v>
      </c>
      <c r="AD78" t="s">
        <v>2013</v>
      </c>
      <c r="AE78">
        <v>0</v>
      </c>
      <c r="AF78" t="s">
        <v>18</v>
      </c>
    </row>
    <row r="79" spans="1:32" x14ac:dyDescent="0.3">
      <c r="A79" t="s">
        <v>2043</v>
      </c>
      <c r="B79" t="s">
        <v>587</v>
      </c>
      <c r="C79">
        <v>5</v>
      </c>
      <c r="D79" t="s">
        <v>2163</v>
      </c>
      <c r="E79" t="s">
        <v>589</v>
      </c>
      <c r="F79">
        <v>7.5</v>
      </c>
      <c r="G79" t="s">
        <v>27</v>
      </c>
      <c r="H79" t="s">
        <v>1994</v>
      </c>
      <c r="I79" t="s">
        <v>4</v>
      </c>
      <c r="J79">
        <v>94</v>
      </c>
      <c r="K79" t="s">
        <v>5</v>
      </c>
      <c r="L79">
        <v>63</v>
      </c>
      <c r="M79" t="s">
        <v>6</v>
      </c>
      <c r="N79">
        <v>-12.8399999999999</v>
      </c>
      <c r="O79" t="s">
        <v>7</v>
      </c>
      <c r="P79">
        <v>-0.13659574468085001</v>
      </c>
      <c r="Q79" t="s">
        <v>8</v>
      </c>
      <c r="R79">
        <v>0.68619047619047602</v>
      </c>
      <c r="S79" t="s">
        <v>9</v>
      </c>
      <c r="T79">
        <v>-1.8087096774193501</v>
      </c>
      <c r="U79" t="s">
        <v>10</v>
      </c>
      <c r="V79">
        <v>0.22575124814752401</v>
      </c>
      <c r="W79" t="s">
        <v>11</v>
      </c>
      <c r="X79" t="s">
        <v>2193</v>
      </c>
      <c r="Y79" t="s">
        <v>635</v>
      </c>
      <c r="Z79">
        <v>0</v>
      </c>
      <c r="AA79" t="s">
        <v>14</v>
      </c>
      <c r="AB79" t="s">
        <v>15</v>
      </c>
      <c r="AC79" t="s">
        <v>2190</v>
      </c>
      <c r="AD79" t="s">
        <v>2167</v>
      </c>
      <c r="AE79">
        <v>0</v>
      </c>
      <c r="AF79" t="s">
        <v>18</v>
      </c>
    </row>
    <row r="80" spans="1:32" x14ac:dyDescent="0.3">
      <c r="A80" t="s">
        <v>2043</v>
      </c>
      <c r="B80" t="s">
        <v>587</v>
      </c>
      <c r="C80">
        <v>5</v>
      </c>
      <c r="D80" t="s">
        <v>2163</v>
      </c>
      <c r="E80" t="s">
        <v>589</v>
      </c>
      <c r="F80">
        <v>7.5</v>
      </c>
      <c r="G80" t="s">
        <v>27</v>
      </c>
      <c r="H80" t="s">
        <v>1996</v>
      </c>
      <c r="I80" t="s">
        <v>4</v>
      </c>
      <c r="J80">
        <v>94</v>
      </c>
      <c r="K80" t="s">
        <v>5</v>
      </c>
      <c r="L80">
        <v>65</v>
      </c>
      <c r="M80" t="s">
        <v>6</v>
      </c>
      <c r="N80">
        <v>-4.1400000000000103</v>
      </c>
      <c r="O80" t="s">
        <v>7</v>
      </c>
      <c r="P80">
        <v>-4.4042553191489399E-2</v>
      </c>
      <c r="Q80" t="s">
        <v>8</v>
      </c>
      <c r="R80">
        <v>0.75507692307692298</v>
      </c>
      <c r="S80" t="s">
        <v>9</v>
      </c>
      <c r="T80">
        <v>-1.8351724137931</v>
      </c>
      <c r="U80" t="s">
        <v>10</v>
      </c>
      <c r="V80">
        <v>0.24766168958349399</v>
      </c>
      <c r="W80" t="s">
        <v>11</v>
      </c>
      <c r="X80" t="s">
        <v>2193</v>
      </c>
      <c r="Y80" t="s">
        <v>635</v>
      </c>
      <c r="Z80">
        <v>0</v>
      </c>
      <c r="AA80" t="s">
        <v>14</v>
      </c>
      <c r="AB80" t="s">
        <v>15</v>
      </c>
      <c r="AC80" t="s">
        <v>2190</v>
      </c>
      <c r="AD80" t="s">
        <v>2167</v>
      </c>
      <c r="AE80">
        <v>0</v>
      </c>
      <c r="AF80" t="s">
        <v>18</v>
      </c>
    </row>
    <row r="81" spans="1:32" x14ac:dyDescent="0.3">
      <c r="A81" t="s">
        <v>2043</v>
      </c>
      <c r="B81" t="s">
        <v>587</v>
      </c>
      <c r="C81">
        <v>5</v>
      </c>
      <c r="D81" t="s">
        <v>2163</v>
      </c>
      <c r="E81" t="s">
        <v>589</v>
      </c>
      <c r="F81">
        <v>7.5</v>
      </c>
      <c r="G81" t="s">
        <v>27</v>
      </c>
      <c r="H81" t="s">
        <v>1997</v>
      </c>
      <c r="I81" t="s">
        <v>4</v>
      </c>
      <c r="J81">
        <v>94</v>
      </c>
      <c r="K81" t="s">
        <v>5</v>
      </c>
      <c r="L81">
        <v>66</v>
      </c>
      <c r="M81" t="s">
        <v>6</v>
      </c>
      <c r="N81">
        <v>6.5099999999999802</v>
      </c>
      <c r="O81" t="s">
        <v>7</v>
      </c>
      <c r="P81">
        <v>6.9255319148935901E-2</v>
      </c>
      <c r="Q81" t="s">
        <v>8</v>
      </c>
      <c r="R81">
        <v>0.758636363636363</v>
      </c>
      <c r="S81" t="s">
        <v>9</v>
      </c>
      <c r="T81">
        <v>-1.5557142857142801</v>
      </c>
      <c r="U81" t="s">
        <v>10</v>
      </c>
      <c r="V81">
        <v>0.267096205103388</v>
      </c>
      <c r="W81" t="s">
        <v>11</v>
      </c>
      <c r="X81" t="s">
        <v>2193</v>
      </c>
      <c r="Y81" t="s">
        <v>635</v>
      </c>
      <c r="Z81">
        <v>0</v>
      </c>
      <c r="AA81" t="s">
        <v>14</v>
      </c>
      <c r="AB81" t="s">
        <v>15</v>
      </c>
      <c r="AC81" t="s">
        <v>2190</v>
      </c>
      <c r="AD81" t="s">
        <v>2167</v>
      </c>
      <c r="AE81">
        <v>0</v>
      </c>
      <c r="AF81" t="s">
        <v>18</v>
      </c>
    </row>
    <row r="82" spans="1:32" x14ac:dyDescent="0.3">
      <c r="A82" t="s">
        <v>2043</v>
      </c>
      <c r="B82" t="s">
        <v>587</v>
      </c>
      <c r="C82">
        <v>5</v>
      </c>
      <c r="D82" t="s">
        <v>2163</v>
      </c>
      <c r="E82" t="s">
        <v>589</v>
      </c>
      <c r="F82">
        <v>7.5</v>
      </c>
      <c r="G82" t="s">
        <v>2174</v>
      </c>
      <c r="H82" t="s">
        <v>1999</v>
      </c>
      <c r="I82" t="s">
        <v>4</v>
      </c>
      <c r="J82">
        <v>87</v>
      </c>
      <c r="K82" t="s">
        <v>5</v>
      </c>
      <c r="L82">
        <v>48</v>
      </c>
      <c r="M82" t="s">
        <v>6</v>
      </c>
      <c r="N82">
        <v>-8.6482012831918098</v>
      </c>
      <c r="O82" t="s">
        <v>7</v>
      </c>
      <c r="P82">
        <v>-9.9404612450480503E-2</v>
      </c>
      <c r="Q82" t="s">
        <v>8</v>
      </c>
      <c r="R82">
        <v>0.90485195392481499</v>
      </c>
      <c r="S82" t="s">
        <v>9</v>
      </c>
      <c r="T82">
        <v>-1.3354126941431499</v>
      </c>
      <c r="U82" t="s">
        <v>10</v>
      </c>
      <c r="V82">
        <v>0.21821696426627499</v>
      </c>
      <c r="W82" t="s">
        <v>11</v>
      </c>
      <c r="X82" t="s">
        <v>2170</v>
      </c>
      <c r="Y82" t="s">
        <v>2171</v>
      </c>
      <c r="Z82">
        <v>0</v>
      </c>
      <c r="AA82" t="s">
        <v>14</v>
      </c>
      <c r="AB82" t="s">
        <v>15</v>
      </c>
      <c r="AC82" t="s">
        <v>2195</v>
      </c>
      <c r="AD82" t="s">
        <v>2171</v>
      </c>
      <c r="AE82">
        <v>0</v>
      </c>
      <c r="AF82" t="s">
        <v>18</v>
      </c>
    </row>
    <row r="83" spans="1:32" x14ac:dyDescent="0.3">
      <c r="A83" t="s">
        <v>2043</v>
      </c>
      <c r="B83" t="s">
        <v>587</v>
      </c>
      <c r="C83">
        <v>5</v>
      </c>
      <c r="D83" t="s">
        <v>2163</v>
      </c>
      <c r="E83" t="s">
        <v>589</v>
      </c>
      <c r="F83">
        <v>7.5</v>
      </c>
      <c r="G83" t="s">
        <v>2174</v>
      </c>
      <c r="H83" t="s">
        <v>2002</v>
      </c>
      <c r="I83" t="s">
        <v>4</v>
      </c>
      <c r="J83">
        <v>87</v>
      </c>
      <c r="K83" t="s">
        <v>5</v>
      </c>
      <c r="L83">
        <v>64</v>
      </c>
      <c r="M83" t="s">
        <v>6</v>
      </c>
      <c r="N83">
        <v>12.795519378972701</v>
      </c>
      <c r="O83" t="s">
        <v>7</v>
      </c>
      <c r="P83">
        <v>0.14707493539049099</v>
      </c>
      <c r="Q83" t="s">
        <v>8</v>
      </c>
      <c r="R83">
        <v>0.88567021544361102</v>
      </c>
      <c r="S83" t="s">
        <v>9</v>
      </c>
      <c r="T83">
        <v>-1.9081467134529699</v>
      </c>
      <c r="U83" t="s">
        <v>10</v>
      </c>
      <c r="V83">
        <v>0.25374908569046301</v>
      </c>
      <c r="W83" t="s">
        <v>11</v>
      </c>
      <c r="X83" t="s">
        <v>2170</v>
      </c>
      <c r="Y83" t="s">
        <v>2171</v>
      </c>
      <c r="Z83">
        <v>0</v>
      </c>
      <c r="AA83" t="s">
        <v>14</v>
      </c>
      <c r="AB83" t="s">
        <v>15</v>
      </c>
      <c r="AC83" t="s">
        <v>2195</v>
      </c>
      <c r="AD83" t="s">
        <v>2171</v>
      </c>
      <c r="AE83">
        <v>0</v>
      </c>
      <c r="AF83" t="s">
        <v>18</v>
      </c>
    </row>
    <row r="84" spans="1:32" x14ac:dyDescent="0.3">
      <c r="A84" t="s">
        <v>2043</v>
      </c>
      <c r="B84" t="s">
        <v>587</v>
      </c>
      <c r="C84">
        <v>5</v>
      </c>
      <c r="D84" t="s">
        <v>2163</v>
      </c>
      <c r="E84" t="s">
        <v>589</v>
      </c>
      <c r="F84">
        <v>7.5</v>
      </c>
      <c r="G84" t="s">
        <v>2174</v>
      </c>
      <c r="H84" t="s">
        <v>2004</v>
      </c>
      <c r="I84" t="s">
        <v>4</v>
      </c>
      <c r="J84">
        <v>87</v>
      </c>
      <c r="K84" t="s">
        <v>5</v>
      </c>
      <c r="L84">
        <v>66</v>
      </c>
      <c r="M84" t="s">
        <v>6</v>
      </c>
      <c r="N84">
        <v>20.270456024910398</v>
      </c>
      <c r="O84" t="s">
        <v>7</v>
      </c>
      <c r="P84">
        <v>0.23299374741276399</v>
      </c>
      <c r="Q84" t="s">
        <v>8</v>
      </c>
      <c r="R84">
        <v>0.94943778467259199</v>
      </c>
      <c r="S84" t="s">
        <v>9</v>
      </c>
      <c r="T84">
        <v>-2.0186875125466899</v>
      </c>
      <c r="U84" t="s">
        <v>10</v>
      </c>
      <c r="V84">
        <v>0.27088033282853302</v>
      </c>
      <c r="W84" t="s">
        <v>11</v>
      </c>
      <c r="X84" t="s">
        <v>2170</v>
      </c>
      <c r="Y84" t="s">
        <v>2171</v>
      </c>
      <c r="Z84">
        <v>0</v>
      </c>
      <c r="AA84" t="s">
        <v>14</v>
      </c>
      <c r="AB84" t="s">
        <v>15</v>
      </c>
      <c r="AC84" t="s">
        <v>2195</v>
      </c>
      <c r="AD84" t="s">
        <v>2171</v>
      </c>
      <c r="AE84">
        <v>0</v>
      </c>
      <c r="AF84" t="s">
        <v>18</v>
      </c>
    </row>
    <row r="85" spans="1:32" x14ac:dyDescent="0.3">
      <c r="A85" t="s">
        <v>2043</v>
      </c>
      <c r="B85" t="s">
        <v>587</v>
      </c>
      <c r="C85">
        <v>5</v>
      </c>
      <c r="D85" t="s">
        <v>2163</v>
      </c>
      <c r="E85" t="s">
        <v>589</v>
      </c>
      <c r="F85">
        <v>7.5</v>
      </c>
      <c r="G85" t="s">
        <v>2174</v>
      </c>
      <c r="H85" t="s">
        <v>2005</v>
      </c>
      <c r="I85" t="s">
        <v>4</v>
      </c>
      <c r="J85">
        <v>87</v>
      </c>
      <c r="K85" t="s">
        <v>5</v>
      </c>
      <c r="L85">
        <v>70</v>
      </c>
      <c r="M85" t="s">
        <v>6</v>
      </c>
      <c r="N85">
        <v>36.2804560249104</v>
      </c>
      <c r="O85" t="s">
        <v>7</v>
      </c>
      <c r="P85">
        <v>0.41701673591851102</v>
      </c>
      <c r="Q85" t="s">
        <v>8</v>
      </c>
      <c r="R85">
        <v>0.97275562554844397</v>
      </c>
      <c r="S85" t="s">
        <v>9</v>
      </c>
      <c r="T85">
        <v>-1.8713198684400301</v>
      </c>
      <c r="U85" t="s">
        <v>10</v>
      </c>
      <c r="V85">
        <v>0.318282741975073</v>
      </c>
      <c r="W85" t="s">
        <v>11</v>
      </c>
      <c r="X85" t="s">
        <v>2170</v>
      </c>
      <c r="Y85" t="s">
        <v>2171</v>
      </c>
      <c r="Z85">
        <v>0</v>
      </c>
      <c r="AA85" t="s">
        <v>14</v>
      </c>
      <c r="AB85" t="s">
        <v>15</v>
      </c>
      <c r="AC85" t="s">
        <v>2195</v>
      </c>
      <c r="AD85" t="s">
        <v>2171</v>
      </c>
      <c r="AE85">
        <v>0</v>
      </c>
      <c r="AF85" t="s">
        <v>18</v>
      </c>
    </row>
    <row r="86" spans="1:32" x14ac:dyDescent="0.3">
      <c r="A86" t="s">
        <v>2043</v>
      </c>
      <c r="B86" t="s">
        <v>587</v>
      </c>
      <c r="C86">
        <v>7.5</v>
      </c>
      <c r="D86" t="s">
        <v>2163</v>
      </c>
      <c r="E86" t="s">
        <v>589</v>
      </c>
      <c r="F86">
        <v>10</v>
      </c>
      <c r="G86" t="s">
        <v>2</v>
      </c>
      <c r="H86" t="s">
        <v>1979</v>
      </c>
      <c r="I86" t="s">
        <v>4</v>
      </c>
      <c r="J86">
        <v>92</v>
      </c>
      <c r="K86" t="s">
        <v>5</v>
      </c>
      <c r="L86">
        <v>54</v>
      </c>
      <c r="M86" t="s">
        <v>6</v>
      </c>
      <c r="N86">
        <v>-7.5499999999999901</v>
      </c>
      <c r="O86" t="s">
        <v>7</v>
      </c>
      <c r="P86">
        <v>-8.2065217391304193E-2</v>
      </c>
      <c r="Q86" t="s">
        <v>8</v>
      </c>
      <c r="R86">
        <v>0.35574074074074002</v>
      </c>
      <c r="S86" t="s">
        <v>9</v>
      </c>
      <c r="T86">
        <v>-0.70421052631578895</v>
      </c>
      <c r="U86" t="s">
        <v>10</v>
      </c>
      <c r="V86">
        <v>9.9555155064522796E-2</v>
      </c>
      <c r="W86" t="s">
        <v>11</v>
      </c>
      <c r="X86" t="s">
        <v>2196</v>
      </c>
      <c r="Y86" t="s">
        <v>720</v>
      </c>
      <c r="Z86">
        <v>0</v>
      </c>
      <c r="AA86" t="s">
        <v>14</v>
      </c>
      <c r="AB86" t="s">
        <v>15</v>
      </c>
      <c r="AC86" t="s">
        <v>2197</v>
      </c>
      <c r="AD86" t="s">
        <v>720</v>
      </c>
      <c r="AE86">
        <v>0</v>
      </c>
      <c r="AF86" t="s">
        <v>18</v>
      </c>
    </row>
    <row r="87" spans="1:32" x14ac:dyDescent="0.3">
      <c r="A87" t="s">
        <v>2043</v>
      </c>
      <c r="B87" t="s">
        <v>587</v>
      </c>
      <c r="C87">
        <v>7.5</v>
      </c>
      <c r="D87" t="s">
        <v>2163</v>
      </c>
      <c r="E87" t="s">
        <v>589</v>
      </c>
      <c r="F87">
        <v>10</v>
      </c>
      <c r="G87" t="s">
        <v>2</v>
      </c>
      <c r="H87" t="s">
        <v>1982</v>
      </c>
      <c r="I87" t="s">
        <v>4</v>
      </c>
      <c r="J87">
        <v>92</v>
      </c>
      <c r="K87" t="s">
        <v>5</v>
      </c>
      <c r="L87">
        <v>62</v>
      </c>
      <c r="M87" t="s">
        <v>6</v>
      </c>
      <c r="N87">
        <v>-14.059999999999899</v>
      </c>
      <c r="O87" t="s">
        <v>7</v>
      </c>
      <c r="P87">
        <v>-0.152826086956521</v>
      </c>
      <c r="Q87" t="s">
        <v>8</v>
      </c>
      <c r="R87">
        <v>0.429516129032258</v>
      </c>
      <c r="S87" t="s">
        <v>9</v>
      </c>
      <c r="T87">
        <v>-1.3563333333333301</v>
      </c>
      <c r="U87" t="s">
        <v>10</v>
      </c>
      <c r="V87">
        <v>0.18161699851171501</v>
      </c>
      <c r="W87" t="s">
        <v>11</v>
      </c>
      <c r="X87" t="s">
        <v>701</v>
      </c>
      <c r="Y87" t="s">
        <v>2198</v>
      </c>
      <c r="Z87">
        <v>0</v>
      </c>
      <c r="AA87" t="s">
        <v>14</v>
      </c>
      <c r="AB87" t="s">
        <v>15</v>
      </c>
      <c r="AC87" t="s">
        <v>2199</v>
      </c>
      <c r="AD87" t="s">
        <v>1987</v>
      </c>
      <c r="AE87">
        <v>0</v>
      </c>
      <c r="AF87" t="s">
        <v>18</v>
      </c>
    </row>
    <row r="88" spans="1:32" x14ac:dyDescent="0.3">
      <c r="A88" t="s">
        <v>2043</v>
      </c>
      <c r="B88" t="s">
        <v>587</v>
      </c>
      <c r="C88">
        <v>7.5</v>
      </c>
      <c r="D88" t="s">
        <v>2163</v>
      </c>
      <c r="E88" t="s">
        <v>589</v>
      </c>
      <c r="F88">
        <v>10</v>
      </c>
      <c r="G88" t="s">
        <v>2</v>
      </c>
      <c r="H88" t="s">
        <v>1985</v>
      </c>
      <c r="I88" t="s">
        <v>4</v>
      </c>
      <c r="J88">
        <v>92</v>
      </c>
      <c r="K88" t="s">
        <v>5</v>
      </c>
      <c r="L88">
        <v>65</v>
      </c>
      <c r="M88" t="s">
        <v>6</v>
      </c>
      <c r="N88">
        <v>-16.849999999999898</v>
      </c>
      <c r="O88" t="s">
        <v>7</v>
      </c>
      <c r="P88">
        <v>-0.183152173913043</v>
      </c>
      <c r="Q88" t="s">
        <v>8</v>
      </c>
      <c r="R88">
        <v>0.42015384615384599</v>
      </c>
      <c r="S88" t="s">
        <v>9</v>
      </c>
      <c r="T88">
        <v>-1.6355555555555501</v>
      </c>
      <c r="U88" t="s">
        <v>10</v>
      </c>
      <c r="V88">
        <v>0.188083811935431</v>
      </c>
      <c r="W88" t="s">
        <v>11</v>
      </c>
      <c r="X88" t="s">
        <v>701</v>
      </c>
      <c r="Y88" t="s">
        <v>2198</v>
      </c>
      <c r="Z88">
        <v>0</v>
      </c>
      <c r="AA88" t="s">
        <v>14</v>
      </c>
      <c r="AB88" t="s">
        <v>15</v>
      </c>
      <c r="AC88" t="s">
        <v>2199</v>
      </c>
      <c r="AD88" t="s">
        <v>1987</v>
      </c>
      <c r="AE88">
        <v>0</v>
      </c>
      <c r="AF88" t="s">
        <v>18</v>
      </c>
    </row>
    <row r="89" spans="1:32" x14ac:dyDescent="0.3">
      <c r="A89" t="s">
        <v>2043</v>
      </c>
      <c r="B89" t="s">
        <v>587</v>
      </c>
      <c r="C89">
        <v>7.5</v>
      </c>
      <c r="D89" t="s">
        <v>2163</v>
      </c>
      <c r="E89" t="s">
        <v>589</v>
      </c>
      <c r="F89">
        <v>10</v>
      </c>
      <c r="G89" t="s">
        <v>2</v>
      </c>
      <c r="H89" t="s">
        <v>1988</v>
      </c>
      <c r="I89" t="s">
        <v>4</v>
      </c>
      <c r="J89">
        <v>92</v>
      </c>
      <c r="K89" t="s">
        <v>5</v>
      </c>
      <c r="L89">
        <v>66</v>
      </c>
      <c r="M89" t="s">
        <v>6</v>
      </c>
      <c r="N89">
        <v>-18.3599999999999</v>
      </c>
      <c r="O89" t="s">
        <v>7</v>
      </c>
      <c r="P89">
        <v>-0.19956521739130401</v>
      </c>
      <c r="Q89" t="s">
        <v>8</v>
      </c>
      <c r="R89">
        <v>0.41787878787878702</v>
      </c>
      <c r="S89" t="s">
        <v>9</v>
      </c>
      <c r="T89">
        <v>-1.7669230769230699</v>
      </c>
      <c r="U89" t="s">
        <v>10</v>
      </c>
      <c r="V89">
        <v>0.192951537087341</v>
      </c>
      <c r="W89" t="s">
        <v>11</v>
      </c>
      <c r="X89" t="s">
        <v>701</v>
      </c>
      <c r="Y89" t="s">
        <v>2198</v>
      </c>
      <c r="Z89">
        <v>0</v>
      </c>
      <c r="AA89" t="s">
        <v>14</v>
      </c>
      <c r="AB89" t="s">
        <v>15</v>
      </c>
      <c r="AC89" t="s">
        <v>2199</v>
      </c>
      <c r="AD89" t="s">
        <v>1987</v>
      </c>
      <c r="AE89">
        <v>0</v>
      </c>
      <c r="AF89" t="s">
        <v>18</v>
      </c>
    </row>
    <row r="90" spans="1:32" x14ac:dyDescent="0.3">
      <c r="A90" t="s">
        <v>2043</v>
      </c>
      <c r="B90" t="s">
        <v>587</v>
      </c>
      <c r="C90">
        <v>7.5</v>
      </c>
      <c r="D90" t="s">
        <v>2163</v>
      </c>
      <c r="E90" t="s">
        <v>589</v>
      </c>
      <c r="F90">
        <v>10</v>
      </c>
      <c r="G90" t="s">
        <v>27</v>
      </c>
      <c r="H90" t="s">
        <v>1991</v>
      </c>
      <c r="I90" t="s">
        <v>4</v>
      </c>
      <c r="J90">
        <v>94</v>
      </c>
      <c r="K90" t="s">
        <v>5</v>
      </c>
      <c r="L90">
        <v>49</v>
      </c>
      <c r="M90" t="s">
        <v>6</v>
      </c>
      <c r="N90">
        <v>-12.7099999999999</v>
      </c>
      <c r="O90" t="s">
        <v>7</v>
      </c>
      <c r="P90">
        <v>-0.135212765957446</v>
      </c>
      <c r="Q90" t="s">
        <v>8</v>
      </c>
      <c r="R90">
        <v>0.50857142857142801</v>
      </c>
      <c r="S90" t="s">
        <v>9</v>
      </c>
      <c r="T90">
        <v>-0.83622222222222198</v>
      </c>
      <c r="U90" t="s">
        <v>10</v>
      </c>
      <c r="V90">
        <v>0.12799749280379899</v>
      </c>
      <c r="W90" t="s">
        <v>11</v>
      </c>
      <c r="X90" t="s">
        <v>2200</v>
      </c>
      <c r="Y90" t="s">
        <v>2092</v>
      </c>
      <c r="Z90">
        <v>0</v>
      </c>
      <c r="AA90" t="s">
        <v>14</v>
      </c>
      <c r="AB90" t="s">
        <v>15</v>
      </c>
      <c r="AC90" t="s">
        <v>2201</v>
      </c>
      <c r="AD90" t="s">
        <v>2013</v>
      </c>
      <c r="AE90">
        <v>0</v>
      </c>
      <c r="AF90" t="s">
        <v>18</v>
      </c>
    </row>
    <row r="91" spans="1:32" x14ac:dyDescent="0.3">
      <c r="A91" t="s">
        <v>2043</v>
      </c>
      <c r="B91" t="s">
        <v>587</v>
      </c>
      <c r="C91">
        <v>7.5</v>
      </c>
      <c r="D91" t="s">
        <v>2163</v>
      </c>
      <c r="E91" t="s">
        <v>589</v>
      </c>
      <c r="F91">
        <v>10</v>
      </c>
      <c r="G91" t="s">
        <v>27</v>
      </c>
      <c r="H91" t="s">
        <v>1994</v>
      </c>
      <c r="I91" t="s">
        <v>4</v>
      </c>
      <c r="J91">
        <v>94</v>
      </c>
      <c r="K91" t="s">
        <v>5</v>
      </c>
      <c r="L91">
        <v>66</v>
      </c>
      <c r="M91" t="s">
        <v>6</v>
      </c>
      <c r="N91">
        <v>-2.75999999999999</v>
      </c>
      <c r="O91" t="s">
        <v>7</v>
      </c>
      <c r="P91">
        <v>-2.93617021276594E-2</v>
      </c>
      <c r="Q91" t="s">
        <v>8</v>
      </c>
      <c r="R91">
        <v>0.58560606060606002</v>
      </c>
      <c r="S91" t="s">
        <v>9</v>
      </c>
      <c r="T91">
        <v>-1.47892857142857</v>
      </c>
      <c r="U91" t="s">
        <v>10</v>
      </c>
      <c r="V91">
        <v>0.22231677363888999</v>
      </c>
      <c r="W91" t="s">
        <v>11</v>
      </c>
      <c r="X91" t="s">
        <v>2202</v>
      </c>
      <c r="Y91" t="s">
        <v>595</v>
      </c>
      <c r="Z91">
        <v>0</v>
      </c>
      <c r="AA91" t="s">
        <v>14</v>
      </c>
      <c r="AB91" t="s">
        <v>15</v>
      </c>
      <c r="AC91" t="s">
        <v>2201</v>
      </c>
      <c r="AD91" t="s">
        <v>2013</v>
      </c>
      <c r="AE91">
        <v>0</v>
      </c>
      <c r="AF91" t="s">
        <v>18</v>
      </c>
    </row>
    <row r="92" spans="1:32" x14ac:dyDescent="0.3">
      <c r="A92" t="s">
        <v>2043</v>
      </c>
      <c r="B92" t="s">
        <v>587</v>
      </c>
      <c r="C92">
        <v>7.5</v>
      </c>
      <c r="D92" t="s">
        <v>2163</v>
      </c>
      <c r="E92" t="s">
        <v>589</v>
      </c>
      <c r="F92">
        <v>10</v>
      </c>
      <c r="G92" t="s">
        <v>27</v>
      </c>
      <c r="H92" t="s">
        <v>1996</v>
      </c>
      <c r="I92" t="s">
        <v>4</v>
      </c>
      <c r="J92">
        <v>94</v>
      </c>
      <c r="K92" t="s">
        <v>5</v>
      </c>
      <c r="L92">
        <v>74</v>
      </c>
      <c r="M92" t="s">
        <v>6</v>
      </c>
      <c r="N92">
        <v>11.81</v>
      </c>
      <c r="O92" t="s">
        <v>7</v>
      </c>
      <c r="P92">
        <v>0.12563829787233999</v>
      </c>
      <c r="Q92" t="s">
        <v>8</v>
      </c>
      <c r="R92">
        <v>0.608108108108107</v>
      </c>
      <c r="S92" t="s">
        <v>9</v>
      </c>
      <c r="T92">
        <v>-1.65949999999999</v>
      </c>
      <c r="U92" t="s">
        <v>10</v>
      </c>
      <c r="V92">
        <v>0.26810800768598397</v>
      </c>
      <c r="W92" t="s">
        <v>11</v>
      </c>
      <c r="X92" t="s">
        <v>2202</v>
      </c>
      <c r="Y92" t="s">
        <v>595</v>
      </c>
      <c r="Z92">
        <v>0</v>
      </c>
      <c r="AA92" t="s">
        <v>14</v>
      </c>
      <c r="AB92" t="s">
        <v>15</v>
      </c>
      <c r="AC92" t="s">
        <v>2201</v>
      </c>
      <c r="AD92" t="s">
        <v>2013</v>
      </c>
      <c r="AE92">
        <v>0</v>
      </c>
      <c r="AF92" t="s">
        <v>18</v>
      </c>
    </row>
    <row r="93" spans="1:32" x14ac:dyDescent="0.3">
      <c r="A93" t="s">
        <v>2043</v>
      </c>
      <c r="B93" t="s">
        <v>587</v>
      </c>
      <c r="C93">
        <v>7.5</v>
      </c>
      <c r="D93" t="s">
        <v>2163</v>
      </c>
      <c r="E93" t="s">
        <v>589</v>
      </c>
      <c r="F93">
        <v>10</v>
      </c>
      <c r="G93" t="s">
        <v>27</v>
      </c>
      <c r="H93" t="s">
        <v>1997</v>
      </c>
      <c r="I93" t="s">
        <v>4</v>
      </c>
      <c r="J93">
        <v>94</v>
      </c>
      <c r="K93" t="s">
        <v>5</v>
      </c>
      <c r="L93">
        <v>75</v>
      </c>
      <c r="M93" t="s">
        <v>6</v>
      </c>
      <c r="N93">
        <v>12.38</v>
      </c>
      <c r="O93" t="s">
        <v>7</v>
      </c>
      <c r="P93">
        <v>0.13170212765957401</v>
      </c>
      <c r="Q93" t="s">
        <v>8</v>
      </c>
      <c r="R93">
        <v>0.60359999999999903</v>
      </c>
      <c r="S93" t="s">
        <v>9</v>
      </c>
      <c r="T93">
        <v>-1.7310526315789401</v>
      </c>
      <c r="U93" t="s">
        <v>10</v>
      </c>
      <c r="V93">
        <v>0.26941423358955502</v>
      </c>
      <c r="W93" t="s">
        <v>11</v>
      </c>
      <c r="X93" t="s">
        <v>2202</v>
      </c>
      <c r="Y93" t="s">
        <v>595</v>
      </c>
      <c r="Z93">
        <v>0</v>
      </c>
      <c r="AA93" t="s">
        <v>14</v>
      </c>
      <c r="AB93" t="s">
        <v>15</v>
      </c>
      <c r="AC93" t="s">
        <v>2201</v>
      </c>
      <c r="AD93" t="s">
        <v>2013</v>
      </c>
      <c r="AE93">
        <v>0</v>
      </c>
      <c r="AF93" t="s">
        <v>18</v>
      </c>
    </row>
    <row r="94" spans="1:32" x14ac:dyDescent="0.3">
      <c r="A94" t="s">
        <v>2043</v>
      </c>
      <c r="B94" t="s">
        <v>587</v>
      </c>
      <c r="C94">
        <v>7.5</v>
      </c>
      <c r="D94" t="s">
        <v>2163</v>
      </c>
      <c r="E94" t="s">
        <v>589</v>
      </c>
      <c r="F94">
        <v>10</v>
      </c>
      <c r="G94" t="s">
        <v>2174</v>
      </c>
      <c r="H94" t="s">
        <v>1999</v>
      </c>
      <c r="I94" t="s">
        <v>4</v>
      </c>
      <c r="J94">
        <v>87</v>
      </c>
      <c r="K94" t="s">
        <v>5</v>
      </c>
      <c r="L94">
        <v>46</v>
      </c>
      <c r="M94" t="s">
        <v>6</v>
      </c>
      <c r="N94">
        <v>-32.920729761330598</v>
      </c>
      <c r="O94" t="s">
        <v>7</v>
      </c>
      <c r="P94">
        <v>-0.37839919265897298</v>
      </c>
      <c r="Q94" t="s">
        <v>8</v>
      </c>
      <c r="R94">
        <v>0.57219067890252095</v>
      </c>
      <c r="S94" t="s">
        <v>9</v>
      </c>
      <c r="T94">
        <v>-1.4449146583133301</v>
      </c>
      <c r="U94" t="s">
        <v>10</v>
      </c>
      <c r="V94">
        <v>0.21141845954223201</v>
      </c>
      <c r="W94" t="s">
        <v>11</v>
      </c>
      <c r="X94" t="s">
        <v>1463</v>
      </c>
      <c r="Y94" t="s">
        <v>720</v>
      </c>
      <c r="Z94">
        <v>0</v>
      </c>
      <c r="AA94" t="s">
        <v>14</v>
      </c>
      <c r="AB94" t="s">
        <v>15</v>
      </c>
      <c r="AC94" t="s">
        <v>2203</v>
      </c>
      <c r="AD94" t="s">
        <v>720</v>
      </c>
      <c r="AE94">
        <v>0</v>
      </c>
      <c r="AF94" t="s">
        <v>18</v>
      </c>
    </row>
    <row r="95" spans="1:32" x14ac:dyDescent="0.3">
      <c r="A95" t="s">
        <v>2043</v>
      </c>
      <c r="B95" t="s">
        <v>587</v>
      </c>
      <c r="C95">
        <v>7.5</v>
      </c>
      <c r="D95" t="s">
        <v>2163</v>
      </c>
      <c r="E95" t="s">
        <v>589</v>
      </c>
      <c r="F95">
        <v>10</v>
      </c>
      <c r="G95" t="s">
        <v>2174</v>
      </c>
      <c r="H95" t="s">
        <v>2002</v>
      </c>
      <c r="I95" t="s">
        <v>4</v>
      </c>
      <c r="J95">
        <v>87</v>
      </c>
      <c r="K95" t="s">
        <v>5</v>
      </c>
      <c r="L95">
        <v>59</v>
      </c>
      <c r="M95" t="s">
        <v>6</v>
      </c>
      <c r="N95">
        <v>-20.955877551575998</v>
      </c>
      <c r="O95" t="s">
        <v>7</v>
      </c>
      <c r="P95">
        <v>-0.24087215576524099</v>
      </c>
      <c r="Q95" t="s">
        <v>8</v>
      </c>
      <c r="R95">
        <v>0.64384217221992401</v>
      </c>
      <c r="S95" t="s">
        <v>9</v>
      </c>
      <c r="T95">
        <v>-2.1050916325911202</v>
      </c>
      <c r="U95" t="s">
        <v>10</v>
      </c>
      <c r="V95">
        <v>0.243935187035449</v>
      </c>
      <c r="W95" t="s">
        <v>11</v>
      </c>
      <c r="X95" t="s">
        <v>1463</v>
      </c>
      <c r="Y95" t="s">
        <v>720</v>
      </c>
      <c r="Z95">
        <v>0</v>
      </c>
      <c r="AA95" t="s">
        <v>14</v>
      </c>
      <c r="AB95" t="s">
        <v>15</v>
      </c>
      <c r="AC95" t="s">
        <v>2204</v>
      </c>
      <c r="AD95" t="s">
        <v>720</v>
      </c>
      <c r="AE95">
        <v>0</v>
      </c>
      <c r="AF95" t="s">
        <v>18</v>
      </c>
    </row>
    <row r="96" spans="1:32" x14ac:dyDescent="0.3">
      <c r="A96" t="s">
        <v>2043</v>
      </c>
      <c r="B96" t="s">
        <v>587</v>
      </c>
      <c r="C96">
        <v>7.5</v>
      </c>
      <c r="D96" t="s">
        <v>2163</v>
      </c>
      <c r="E96" t="s">
        <v>589</v>
      </c>
      <c r="F96">
        <v>10</v>
      </c>
      <c r="G96" t="s">
        <v>2174</v>
      </c>
      <c r="H96" t="s">
        <v>2004</v>
      </c>
      <c r="I96" t="s">
        <v>4</v>
      </c>
      <c r="J96">
        <v>87</v>
      </c>
      <c r="K96" t="s">
        <v>5</v>
      </c>
      <c r="L96">
        <v>64</v>
      </c>
      <c r="M96" t="s">
        <v>6</v>
      </c>
      <c r="N96">
        <v>-18.3050766058902</v>
      </c>
      <c r="O96" t="s">
        <v>7</v>
      </c>
      <c r="P96">
        <v>-0.21040317937804801</v>
      </c>
      <c r="Q96" t="s">
        <v>8</v>
      </c>
      <c r="R96">
        <v>0.646152058025109</v>
      </c>
      <c r="S96" t="s">
        <v>9</v>
      </c>
      <c r="T96">
        <v>-2.5938612312824798</v>
      </c>
      <c r="U96" t="s">
        <v>10</v>
      </c>
      <c r="V96">
        <v>0.281391981028349</v>
      </c>
      <c r="W96" t="s">
        <v>11</v>
      </c>
      <c r="X96" t="s">
        <v>1463</v>
      </c>
      <c r="Y96" t="s">
        <v>720</v>
      </c>
      <c r="Z96">
        <v>0</v>
      </c>
      <c r="AA96" t="s">
        <v>14</v>
      </c>
      <c r="AB96" t="s">
        <v>15</v>
      </c>
      <c r="AC96" t="s">
        <v>2204</v>
      </c>
      <c r="AD96" t="s">
        <v>720</v>
      </c>
      <c r="AE96">
        <v>0</v>
      </c>
      <c r="AF96" t="s">
        <v>18</v>
      </c>
    </row>
    <row r="97" spans="1:32" x14ac:dyDescent="0.3">
      <c r="A97" t="s">
        <v>2043</v>
      </c>
      <c r="B97" t="s">
        <v>587</v>
      </c>
      <c r="C97">
        <v>7.5</v>
      </c>
      <c r="D97" t="s">
        <v>2163</v>
      </c>
      <c r="E97" t="s">
        <v>589</v>
      </c>
      <c r="F97">
        <v>10</v>
      </c>
      <c r="G97" t="s">
        <v>2174</v>
      </c>
      <c r="H97" t="s">
        <v>2005</v>
      </c>
      <c r="I97" t="s">
        <v>4</v>
      </c>
      <c r="J97">
        <v>87</v>
      </c>
      <c r="K97" t="s">
        <v>5</v>
      </c>
      <c r="L97">
        <v>64</v>
      </c>
      <c r="M97" t="s">
        <v>6</v>
      </c>
      <c r="N97">
        <v>-16.103978632857999</v>
      </c>
      <c r="O97" t="s">
        <v>7</v>
      </c>
      <c r="P97">
        <v>-0.18510320267652799</v>
      </c>
      <c r="Q97" t="s">
        <v>8</v>
      </c>
      <c r="R97">
        <v>0.646152058025109</v>
      </c>
      <c r="S97" t="s">
        <v>9</v>
      </c>
      <c r="T97">
        <v>-2.49816131941152</v>
      </c>
      <c r="U97" t="s">
        <v>10</v>
      </c>
      <c r="V97">
        <v>0.30500381058790699</v>
      </c>
      <c r="W97" t="s">
        <v>11</v>
      </c>
      <c r="X97" t="s">
        <v>1463</v>
      </c>
      <c r="Y97" t="s">
        <v>720</v>
      </c>
      <c r="Z97">
        <v>0</v>
      </c>
      <c r="AA97" t="s">
        <v>14</v>
      </c>
      <c r="AB97" t="s">
        <v>15</v>
      </c>
      <c r="AC97" t="s">
        <v>2204</v>
      </c>
      <c r="AD97" t="s">
        <v>720</v>
      </c>
      <c r="AE97">
        <v>0</v>
      </c>
      <c r="AF97" t="s">
        <v>18</v>
      </c>
    </row>
    <row r="98" spans="1:32" x14ac:dyDescent="0.3">
      <c r="A98" t="s">
        <v>134</v>
      </c>
      <c r="B98" t="s">
        <v>587</v>
      </c>
      <c r="C98">
        <v>0</v>
      </c>
      <c r="D98" t="s">
        <v>2163</v>
      </c>
      <c r="E98" t="s">
        <v>589</v>
      </c>
      <c r="F98">
        <v>2.5</v>
      </c>
      <c r="G98" t="s">
        <v>2</v>
      </c>
      <c r="H98" t="s">
        <v>1979</v>
      </c>
      <c r="I98" t="s">
        <v>4</v>
      </c>
      <c r="J98">
        <v>135</v>
      </c>
      <c r="K98" t="s">
        <v>5</v>
      </c>
      <c r="L98">
        <v>93</v>
      </c>
      <c r="M98" t="s">
        <v>6</v>
      </c>
      <c r="N98">
        <v>20.969999999999899</v>
      </c>
      <c r="O98" t="s">
        <v>7</v>
      </c>
      <c r="P98">
        <v>0.15533333333333299</v>
      </c>
      <c r="Q98" t="s">
        <v>8</v>
      </c>
      <c r="R98">
        <v>0.76752688172042904</v>
      </c>
      <c r="S98" t="s">
        <v>9</v>
      </c>
      <c r="T98">
        <v>-1.20023809523809</v>
      </c>
      <c r="U98" t="s">
        <v>10</v>
      </c>
      <c r="V98">
        <v>0.20512142748502399</v>
      </c>
      <c r="W98" t="s">
        <v>11</v>
      </c>
      <c r="X98" t="s">
        <v>2206</v>
      </c>
      <c r="Y98" t="s">
        <v>1431</v>
      </c>
      <c r="Z98">
        <v>0</v>
      </c>
      <c r="AA98" t="s">
        <v>14</v>
      </c>
      <c r="AB98" t="s">
        <v>15</v>
      </c>
      <c r="AC98" t="s">
        <v>2206</v>
      </c>
      <c r="AD98" t="s">
        <v>1431</v>
      </c>
      <c r="AE98">
        <v>0</v>
      </c>
      <c r="AF98" t="s">
        <v>18</v>
      </c>
    </row>
    <row r="99" spans="1:32" x14ac:dyDescent="0.3">
      <c r="A99" t="s">
        <v>134</v>
      </c>
      <c r="B99" t="s">
        <v>587</v>
      </c>
      <c r="C99">
        <v>0</v>
      </c>
      <c r="D99" t="s">
        <v>2163</v>
      </c>
      <c r="E99" t="s">
        <v>589</v>
      </c>
      <c r="F99">
        <v>2.5</v>
      </c>
      <c r="G99" t="s">
        <v>2</v>
      </c>
      <c r="H99" t="s">
        <v>1982</v>
      </c>
      <c r="I99" t="s">
        <v>4</v>
      </c>
      <c r="J99">
        <v>135</v>
      </c>
      <c r="K99" t="s">
        <v>5</v>
      </c>
      <c r="L99">
        <v>95</v>
      </c>
      <c r="M99" t="s">
        <v>6</v>
      </c>
      <c r="N99">
        <v>19.6999999999999</v>
      </c>
      <c r="O99" t="s">
        <v>7</v>
      </c>
      <c r="P99">
        <v>0.14592592592592499</v>
      </c>
      <c r="Q99" t="s">
        <v>8</v>
      </c>
      <c r="R99">
        <v>0.76631578947368295</v>
      </c>
      <c r="S99" t="s">
        <v>9</v>
      </c>
      <c r="T99">
        <v>-1.3274999999999999</v>
      </c>
      <c r="U99" t="s">
        <v>10</v>
      </c>
      <c r="V99">
        <v>0.21460572583423801</v>
      </c>
      <c r="W99" t="s">
        <v>11</v>
      </c>
      <c r="X99" t="s">
        <v>2206</v>
      </c>
      <c r="Y99" t="s">
        <v>1431</v>
      </c>
      <c r="Z99">
        <v>0</v>
      </c>
      <c r="AA99" t="s">
        <v>14</v>
      </c>
      <c r="AB99" t="s">
        <v>15</v>
      </c>
      <c r="AC99" t="s">
        <v>2206</v>
      </c>
      <c r="AD99" t="s">
        <v>1431</v>
      </c>
      <c r="AE99">
        <v>0</v>
      </c>
      <c r="AF99" t="s">
        <v>18</v>
      </c>
    </row>
    <row r="100" spans="1:32" x14ac:dyDescent="0.3">
      <c r="A100" t="s">
        <v>134</v>
      </c>
      <c r="B100" t="s">
        <v>587</v>
      </c>
      <c r="C100">
        <v>0</v>
      </c>
      <c r="D100" t="s">
        <v>2163</v>
      </c>
      <c r="E100" t="s">
        <v>589</v>
      </c>
      <c r="F100">
        <v>2.5</v>
      </c>
      <c r="G100" t="s">
        <v>2</v>
      </c>
      <c r="H100" t="s">
        <v>1985</v>
      </c>
      <c r="I100" t="s">
        <v>4</v>
      </c>
      <c r="J100">
        <v>135</v>
      </c>
      <c r="K100" t="s">
        <v>5</v>
      </c>
      <c r="L100">
        <v>95</v>
      </c>
      <c r="M100" t="s">
        <v>6</v>
      </c>
      <c r="N100">
        <v>19.529999999999902</v>
      </c>
      <c r="O100" t="s">
        <v>7</v>
      </c>
      <c r="P100">
        <v>0.144666666666666</v>
      </c>
      <c r="Q100" t="s">
        <v>8</v>
      </c>
      <c r="R100">
        <v>0.76631578947368295</v>
      </c>
      <c r="S100" t="s">
        <v>9</v>
      </c>
      <c r="T100">
        <v>-1.33175</v>
      </c>
      <c r="U100" t="s">
        <v>10</v>
      </c>
      <c r="V100">
        <v>0.21451498682268799</v>
      </c>
      <c r="W100" t="s">
        <v>11</v>
      </c>
      <c r="X100" t="s">
        <v>2206</v>
      </c>
      <c r="Y100" t="s">
        <v>1431</v>
      </c>
      <c r="Z100">
        <v>0</v>
      </c>
      <c r="AA100" t="s">
        <v>14</v>
      </c>
      <c r="AB100" t="s">
        <v>15</v>
      </c>
      <c r="AC100" t="s">
        <v>2206</v>
      </c>
      <c r="AD100" t="s">
        <v>1431</v>
      </c>
      <c r="AE100">
        <v>0</v>
      </c>
      <c r="AF100" t="s">
        <v>18</v>
      </c>
    </row>
    <row r="101" spans="1:32" x14ac:dyDescent="0.3">
      <c r="A101" t="s">
        <v>134</v>
      </c>
      <c r="B101" t="s">
        <v>587</v>
      </c>
      <c r="C101">
        <v>0</v>
      </c>
      <c r="D101" t="s">
        <v>2163</v>
      </c>
      <c r="E101" t="s">
        <v>589</v>
      </c>
      <c r="F101">
        <v>2.5</v>
      </c>
      <c r="G101" t="s">
        <v>2</v>
      </c>
      <c r="H101" t="s">
        <v>1988</v>
      </c>
      <c r="I101" t="s">
        <v>4</v>
      </c>
      <c r="J101">
        <v>135</v>
      </c>
      <c r="K101" t="s">
        <v>5</v>
      </c>
      <c r="L101">
        <v>96</v>
      </c>
      <c r="M101" t="s">
        <v>6</v>
      </c>
      <c r="N101">
        <v>29.479999999999901</v>
      </c>
      <c r="O101" t="s">
        <v>7</v>
      </c>
      <c r="P101">
        <v>0.21837037037036999</v>
      </c>
      <c r="Q101" t="s">
        <v>8</v>
      </c>
      <c r="R101">
        <v>0.83333333333333204</v>
      </c>
      <c r="S101" t="s">
        <v>9</v>
      </c>
      <c r="T101">
        <v>-1.29538461538461</v>
      </c>
      <c r="U101" t="s">
        <v>10</v>
      </c>
      <c r="V101">
        <v>0.28213330299984601</v>
      </c>
      <c r="W101" t="s">
        <v>11</v>
      </c>
      <c r="X101" t="s">
        <v>2207</v>
      </c>
      <c r="Y101" t="s">
        <v>595</v>
      </c>
      <c r="Z101">
        <v>0</v>
      </c>
      <c r="AA101" t="s">
        <v>14</v>
      </c>
      <c r="AB101" t="s">
        <v>15</v>
      </c>
      <c r="AC101" t="s">
        <v>2207</v>
      </c>
      <c r="AD101" t="s">
        <v>595</v>
      </c>
      <c r="AE101">
        <v>0</v>
      </c>
      <c r="AF101" t="s">
        <v>18</v>
      </c>
    </row>
    <row r="102" spans="1:32" x14ac:dyDescent="0.3">
      <c r="A102" t="s">
        <v>134</v>
      </c>
      <c r="B102" t="s">
        <v>587</v>
      </c>
      <c r="C102">
        <v>0</v>
      </c>
      <c r="D102" t="s">
        <v>2163</v>
      </c>
      <c r="E102" t="s">
        <v>589</v>
      </c>
      <c r="F102">
        <v>2.5</v>
      </c>
      <c r="G102" t="s">
        <v>27</v>
      </c>
      <c r="H102" t="s">
        <v>1991</v>
      </c>
      <c r="I102" t="s">
        <v>4</v>
      </c>
      <c r="J102">
        <v>140</v>
      </c>
      <c r="K102" t="s">
        <v>5</v>
      </c>
      <c r="L102">
        <v>96</v>
      </c>
      <c r="M102" t="s">
        <v>6</v>
      </c>
      <c r="N102">
        <v>16.509999999999899</v>
      </c>
      <c r="O102" t="s">
        <v>7</v>
      </c>
      <c r="P102">
        <v>0.11792857142857099</v>
      </c>
      <c r="Q102" t="s">
        <v>8</v>
      </c>
      <c r="R102">
        <v>0.78927083333333303</v>
      </c>
      <c r="S102" t="s">
        <v>9</v>
      </c>
      <c r="T102">
        <v>-1.3468181818181799</v>
      </c>
      <c r="U102" t="s">
        <v>10</v>
      </c>
      <c r="V102">
        <v>0.232196929703095</v>
      </c>
      <c r="W102" t="s">
        <v>11</v>
      </c>
      <c r="X102" t="s">
        <v>2208</v>
      </c>
      <c r="Y102" t="s">
        <v>2209</v>
      </c>
      <c r="Z102">
        <v>0</v>
      </c>
      <c r="AA102" t="s">
        <v>14</v>
      </c>
      <c r="AB102" t="s">
        <v>15</v>
      </c>
      <c r="AC102" t="s">
        <v>2208</v>
      </c>
      <c r="AD102" t="s">
        <v>2209</v>
      </c>
      <c r="AE102">
        <v>0</v>
      </c>
      <c r="AF102" t="s">
        <v>18</v>
      </c>
    </row>
    <row r="103" spans="1:32" x14ac:dyDescent="0.3">
      <c r="A103" t="s">
        <v>134</v>
      </c>
      <c r="B103" t="s">
        <v>587</v>
      </c>
      <c r="C103">
        <v>0</v>
      </c>
      <c r="D103" t="s">
        <v>2163</v>
      </c>
      <c r="E103" t="s">
        <v>589</v>
      </c>
      <c r="F103">
        <v>2.5</v>
      </c>
      <c r="G103" t="s">
        <v>27</v>
      </c>
      <c r="H103" t="s">
        <v>1994</v>
      </c>
      <c r="I103" t="s">
        <v>4</v>
      </c>
      <c r="J103">
        <v>140</v>
      </c>
      <c r="K103" t="s">
        <v>5</v>
      </c>
      <c r="L103">
        <v>102</v>
      </c>
      <c r="M103" t="s">
        <v>6</v>
      </c>
      <c r="N103">
        <v>27.229881927069801</v>
      </c>
      <c r="O103" t="s">
        <v>7</v>
      </c>
      <c r="P103">
        <v>0.19449915662192699</v>
      </c>
      <c r="Q103" t="s">
        <v>8</v>
      </c>
      <c r="R103">
        <v>0.79862745098039101</v>
      </c>
      <c r="S103" t="s">
        <v>9</v>
      </c>
      <c r="T103">
        <v>-1.4271083703402601</v>
      </c>
      <c r="U103" t="s">
        <v>10</v>
      </c>
      <c r="V103">
        <v>0.25520587190439198</v>
      </c>
      <c r="W103" t="s">
        <v>11</v>
      </c>
      <c r="X103" t="s">
        <v>2208</v>
      </c>
      <c r="Y103" t="s">
        <v>2209</v>
      </c>
      <c r="Z103">
        <v>0</v>
      </c>
      <c r="AA103" t="s">
        <v>14</v>
      </c>
      <c r="AB103" t="s">
        <v>15</v>
      </c>
      <c r="AC103" t="s">
        <v>2208</v>
      </c>
      <c r="AD103" t="s">
        <v>2209</v>
      </c>
      <c r="AE103">
        <v>0</v>
      </c>
      <c r="AF103" t="s">
        <v>18</v>
      </c>
    </row>
    <row r="104" spans="1:32" x14ac:dyDescent="0.3">
      <c r="A104" t="s">
        <v>134</v>
      </c>
      <c r="B104" t="s">
        <v>587</v>
      </c>
      <c r="C104">
        <v>0</v>
      </c>
      <c r="D104" t="s">
        <v>2163</v>
      </c>
      <c r="E104" t="s">
        <v>589</v>
      </c>
      <c r="F104">
        <v>2.5</v>
      </c>
      <c r="G104" t="s">
        <v>27</v>
      </c>
      <c r="H104" t="s">
        <v>1996</v>
      </c>
      <c r="I104" t="s">
        <v>4</v>
      </c>
      <c r="J104">
        <v>140</v>
      </c>
      <c r="K104" t="s">
        <v>5</v>
      </c>
      <c r="L104">
        <v>103</v>
      </c>
      <c r="M104" t="s">
        <v>6</v>
      </c>
      <c r="N104">
        <v>35.019999999999897</v>
      </c>
      <c r="O104" t="s">
        <v>7</v>
      </c>
      <c r="P104">
        <v>0.250142857142856</v>
      </c>
      <c r="Q104" t="s">
        <v>8</v>
      </c>
      <c r="R104">
        <v>0.79980582524271804</v>
      </c>
      <c r="S104" t="s">
        <v>9</v>
      </c>
      <c r="T104">
        <v>-1.27999999999999</v>
      </c>
      <c r="U104" t="s">
        <v>10</v>
      </c>
      <c r="V104">
        <v>0.28706400568225299</v>
      </c>
      <c r="W104" t="s">
        <v>11</v>
      </c>
      <c r="X104" t="s">
        <v>2208</v>
      </c>
      <c r="Y104" t="s">
        <v>2209</v>
      </c>
      <c r="Z104">
        <v>0</v>
      </c>
      <c r="AA104" t="s">
        <v>14</v>
      </c>
      <c r="AB104" t="s">
        <v>15</v>
      </c>
      <c r="AC104" t="s">
        <v>2210</v>
      </c>
      <c r="AD104" t="s">
        <v>2211</v>
      </c>
      <c r="AE104">
        <v>0</v>
      </c>
      <c r="AF104" t="s">
        <v>18</v>
      </c>
    </row>
    <row r="105" spans="1:32" x14ac:dyDescent="0.3">
      <c r="A105" t="s">
        <v>134</v>
      </c>
      <c r="B105" t="s">
        <v>587</v>
      </c>
      <c r="C105">
        <v>0</v>
      </c>
      <c r="D105" t="s">
        <v>2163</v>
      </c>
      <c r="E105" t="s">
        <v>589</v>
      </c>
      <c r="F105">
        <v>2.5</v>
      </c>
      <c r="G105" t="s">
        <v>27</v>
      </c>
      <c r="H105" t="s">
        <v>1997</v>
      </c>
      <c r="I105" t="s">
        <v>4</v>
      </c>
      <c r="J105">
        <v>140</v>
      </c>
      <c r="K105" t="s">
        <v>5</v>
      </c>
      <c r="L105">
        <v>104</v>
      </c>
      <c r="M105" t="s">
        <v>6</v>
      </c>
      <c r="N105">
        <v>44.969999999999899</v>
      </c>
      <c r="O105" t="s">
        <v>7</v>
      </c>
      <c r="P105">
        <v>0.32121428571428501</v>
      </c>
      <c r="Q105" t="s">
        <v>8</v>
      </c>
      <c r="R105">
        <v>0.86134615384615298</v>
      </c>
      <c r="S105" t="s">
        <v>9</v>
      </c>
      <c r="T105">
        <v>-1.2391666666666601</v>
      </c>
      <c r="U105" t="s">
        <v>10</v>
      </c>
      <c r="V105">
        <v>0.33335024322511903</v>
      </c>
      <c r="W105" t="s">
        <v>11</v>
      </c>
      <c r="X105" t="s">
        <v>2208</v>
      </c>
      <c r="Y105" t="s">
        <v>2209</v>
      </c>
      <c r="Z105">
        <v>0</v>
      </c>
      <c r="AA105" t="s">
        <v>14</v>
      </c>
      <c r="AB105" t="s">
        <v>15</v>
      </c>
      <c r="AC105" t="s">
        <v>2210</v>
      </c>
      <c r="AD105" t="s">
        <v>2211</v>
      </c>
      <c r="AE105">
        <v>0</v>
      </c>
      <c r="AF105" t="s">
        <v>18</v>
      </c>
    </row>
    <row r="106" spans="1:32" x14ac:dyDescent="0.3">
      <c r="A106" t="s">
        <v>134</v>
      </c>
      <c r="B106" t="s">
        <v>587</v>
      </c>
      <c r="C106">
        <v>0</v>
      </c>
      <c r="D106" t="s">
        <v>2163</v>
      </c>
      <c r="E106" t="s">
        <v>589</v>
      </c>
      <c r="F106">
        <v>2.5</v>
      </c>
      <c r="G106" t="s">
        <v>2174</v>
      </c>
      <c r="H106" t="s">
        <v>1999</v>
      </c>
      <c r="I106" t="s">
        <v>4</v>
      </c>
      <c r="J106">
        <v>139</v>
      </c>
      <c r="K106" t="s">
        <v>5</v>
      </c>
      <c r="L106">
        <v>88</v>
      </c>
      <c r="M106" t="s">
        <v>6</v>
      </c>
      <c r="N106">
        <v>4.7619248206065299</v>
      </c>
      <c r="O106" t="s">
        <v>7</v>
      </c>
      <c r="P106">
        <v>3.4258451946809598E-2</v>
      </c>
      <c r="Q106" t="s">
        <v>8</v>
      </c>
      <c r="R106">
        <v>0.83662604268928598</v>
      </c>
      <c r="S106" t="s">
        <v>9</v>
      </c>
      <c r="T106">
        <v>-1.3502189595303999</v>
      </c>
      <c r="U106" t="s">
        <v>10</v>
      </c>
      <c r="V106">
        <v>0.24320967662712401</v>
      </c>
      <c r="W106" t="s">
        <v>11</v>
      </c>
      <c r="X106" t="s">
        <v>2208</v>
      </c>
      <c r="Y106" t="s">
        <v>2209</v>
      </c>
      <c r="Z106">
        <v>0</v>
      </c>
      <c r="AA106" t="s">
        <v>14</v>
      </c>
      <c r="AB106" t="s">
        <v>15</v>
      </c>
      <c r="AC106" t="s">
        <v>2208</v>
      </c>
      <c r="AD106" t="s">
        <v>2209</v>
      </c>
      <c r="AE106">
        <v>0</v>
      </c>
      <c r="AF106" t="s">
        <v>18</v>
      </c>
    </row>
    <row r="107" spans="1:32" x14ac:dyDescent="0.3">
      <c r="A107" t="s">
        <v>134</v>
      </c>
      <c r="B107" t="s">
        <v>587</v>
      </c>
      <c r="C107">
        <v>0</v>
      </c>
      <c r="D107" t="s">
        <v>2163</v>
      </c>
      <c r="E107" t="s">
        <v>589</v>
      </c>
      <c r="F107">
        <v>2.5</v>
      </c>
      <c r="G107" t="s">
        <v>2174</v>
      </c>
      <c r="H107" t="s">
        <v>2002</v>
      </c>
      <c r="I107" t="s">
        <v>4</v>
      </c>
      <c r="J107">
        <v>139</v>
      </c>
      <c r="K107" t="s">
        <v>5</v>
      </c>
      <c r="L107">
        <v>99</v>
      </c>
      <c r="M107" t="s">
        <v>6</v>
      </c>
      <c r="N107">
        <v>26.8509746271077</v>
      </c>
      <c r="O107" t="s">
        <v>7</v>
      </c>
      <c r="P107">
        <v>0.19317247933171</v>
      </c>
      <c r="Q107" t="s">
        <v>8</v>
      </c>
      <c r="R107">
        <v>0.84804533679736804</v>
      </c>
      <c r="S107" t="s">
        <v>9</v>
      </c>
      <c r="T107">
        <v>-1.4276378428957901</v>
      </c>
      <c r="U107" t="s">
        <v>10</v>
      </c>
      <c r="V107">
        <v>0.28439245964256199</v>
      </c>
      <c r="W107" t="s">
        <v>11</v>
      </c>
      <c r="X107" t="s">
        <v>2208</v>
      </c>
      <c r="Y107" t="s">
        <v>2209</v>
      </c>
      <c r="Z107">
        <v>0</v>
      </c>
      <c r="AA107" t="s">
        <v>14</v>
      </c>
      <c r="AB107" t="s">
        <v>15</v>
      </c>
      <c r="AC107" t="s">
        <v>2208</v>
      </c>
      <c r="AD107" t="s">
        <v>2209</v>
      </c>
      <c r="AE107">
        <v>0</v>
      </c>
      <c r="AF107" t="s">
        <v>18</v>
      </c>
    </row>
    <row r="108" spans="1:32" x14ac:dyDescent="0.3">
      <c r="A108" t="s">
        <v>134</v>
      </c>
      <c r="B108" t="s">
        <v>587</v>
      </c>
      <c r="C108">
        <v>0</v>
      </c>
      <c r="D108" t="s">
        <v>2163</v>
      </c>
      <c r="E108" t="s">
        <v>589</v>
      </c>
      <c r="F108">
        <v>2.5</v>
      </c>
      <c r="G108" t="s">
        <v>2174</v>
      </c>
      <c r="H108" t="s">
        <v>2004</v>
      </c>
      <c r="I108" t="s">
        <v>4</v>
      </c>
      <c r="J108">
        <v>139</v>
      </c>
      <c r="K108" t="s">
        <v>5</v>
      </c>
      <c r="L108">
        <v>101</v>
      </c>
      <c r="M108" t="s">
        <v>6</v>
      </c>
      <c r="N108">
        <v>40.171092700037804</v>
      </c>
      <c r="O108" t="s">
        <v>7</v>
      </c>
      <c r="P108">
        <v>0.28900066690674697</v>
      </c>
      <c r="Q108" t="s">
        <v>8</v>
      </c>
      <c r="R108">
        <v>0.85006424101920197</v>
      </c>
      <c r="S108" t="s">
        <v>9</v>
      </c>
      <c r="T108">
        <v>-1.20224725376056</v>
      </c>
      <c r="U108" t="s">
        <v>10</v>
      </c>
      <c r="V108">
        <v>0.30900833198371502</v>
      </c>
      <c r="W108" t="s">
        <v>11</v>
      </c>
      <c r="X108" t="s">
        <v>2208</v>
      </c>
      <c r="Y108" t="s">
        <v>2209</v>
      </c>
      <c r="Z108">
        <v>0</v>
      </c>
      <c r="AA108" t="s">
        <v>14</v>
      </c>
      <c r="AB108" t="s">
        <v>15</v>
      </c>
      <c r="AC108" t="s">
        <v>2208</v>
      </c>
      <c r="AD108" t="s">
        <v>2209</v>
      </c>
      <c r="AE108">
        <v>0</v>
      </c>
      <c r="AF108" t="s">
        <v>18</v>
      </c>
    </row>
    <row r="109" spans="1:32" x14ac:dyDescent="0.3">
      <c r="A109" t="s">
        <v>134</v>
      </c>
      <c r="B109" t="s">
        <v>587</v>
      </c>
      <c r="C109">
        <v>0</v>
      </c>
      <c r="D109" t="s">
        <v>2163</v>
      </c>
      <c r="E109" t="s">
        <v>589</v>
      </c>
      <c r="F109">
        <v>2.5</v>
      </c>
      <c r="G109" t="s">
        <v>2174</v>
      </c>
      <c r="H109" t="s">
        <v>2005</v>
      </c>
      <c r="I109" t="s">
        <v>4</v>
      </c>
      <c r="J109">
        <v>139</v>
      </c>
      <c r="K109" t="s">
        <v>5</v>
      </c>
      <c r="L109">
        <v>101</v>
      </c>
      <c r="M109" t="s">
        <v>6</v>
      </c>
      <c r="N109">
        <v>39.641092700037802</v>
      </c>
      <c r="O109" t="s">
        <v>7</v>
      </c>
      <c r="P109">
        <v>0.28518771726645897</v>
      </c>
      <c r="Q109" t="s">
        <v>8</v>
      </c>
      <c r="R109">
        <v>0.85006424101920197</v>
      </c>
      <c r="S109" t="s">
        <v>9</v>
      </c>
      <c r="T109">
        <v>-1.21619462218162</v>
      </c>
      <c r="U109" t="s">
        <v>10</v>
      </c>
      <c r="V109">
        <v>0.30968140225478402</v>
      </c>
      <c r="W109" t="s">
        <v>11</v>
      </c>
      <c r="X109" t="s">
        <v>2208</v>
      </c>
      <c r="Y109" t="s">
        <v>2209</v>
      </c>
      <c r="Z109">
        <v>0</v>
      </c>
      <c r="AA109" t="s">
        <v>14</v>
      </c>
      <c r="AB109" t="s">
        <v>15</v>
      </c>
      <c r="AC109" t="s">
        <v>2208</v>
      </c>
      <c r="AD109" t="s">
        <v>2209</v>
      </c>
      <c r="AE109">
        <v>0</v>
      </c>
      <c r="AF109" t="s">
        <v>18</v>
      </c>
    </row>
    <row r="110" spans="1:32" x14ac:dyDescent="0.3">
      <c r="A110" t="s">
        <v>134</v>
      </c>
      <c r="B110" t="s">
        <v>587</v>
      </c>
      <c r="C110">
        <v>2.5</v>
      </c>
      <c r="D110" t="s">
        <v>2163</v>
      </c>
      <c r="E110" t="s">
        <v>589</v>
      </c>
      <c r="F110">
        <v>5</v>
      </c>
      <c r="G110" t="s">
        <v>2</v>
      </c>
      <c r="H110" t="s">
        <v>1979</v>
      </c>
      <c r="I110" t="s">
        <v>4</v>
      </c>
      <c r="J110">
        <v>135</v>
      </c>
      <c r="K110" t="s">
        <v>5</v>
      </c>
      <c r="L110">
        <v>96</v>
      </c>
      <c r="M110" t="s">
        <v>6</v>
      </c>
      <c r="N110">
        <v>9.1599999999999895</v>
      </c>
      <c r="O110" t="s">
        <v>7</v>
      </c>
      <c r="P110">
        <v>6.7851851851851802E-2</v>
      </c>
      <c r="Q110" t="s">
        <v>8</v>
      </c>
      <c r="R110">
        <v>0.58906249999999905</v>
      </c>
      <c r="S110" t="s">
        <v>9</v>
      </c>
      <c r="T110">
        <v>-1.2151282051282</v>
      </c>
      <c r="U110" t="s">
        <v>10</v>
      </c>
      <c r="V110">
        <v>0.21170842902245501</v>
      </c>
      <c r="W110" t="s">
        <v>11</v>
      </c>
      <c r="X110" t="s">
        <v>2212</v>
      </c>
      <c r="Y110" t="s">
        <v>50</v>
      </c>
      <c r="Z110">
        <v>0</v>
      </c>
      <c r="AA110" t="s">
        <v>14</v>
      </c>
      <c r="AB110" t="s">
        <v>15</v>
      </c>
      <c r="AC110" t="s">
        <v>2212</v>
      </c>
      <c r="AD110" t="s">
        <v>50</v>
      </c>
      <c r="AE110">
        <v>0</v>
      </c>
      <c r="AF110" t="s">
        <v>18</v>
      </c>
    </row>
    <row r="111" spans="1:32" x14ac:dyDescent="0.3">
      <c r="A111" t="s">
        <v>134</v>
      </c>
      <c r="B111" t="s">
        <v>587</v>
      </c>
      <c r="C111">
        <v>2.5</v>
      </c>
      <c r="D111" t="s">
        <v>2163</v>
      </c>
      <c r="E111" t="s">
        <v>589</v>
      </c>
      <c r="F111">
        <v>5</v>
      </c>
      <c r="G111" t="s">
        <v>2</v>
      </c>
      <c r="H111" t="s">
        <v>1982</v>
      </c>
      <c r="I111" t="s">
        <v>4</v>
      </c>
      <c r="J111">
        <v>135</v>
      </c>
      <c r="K111" t="s">
        <v>5</v>
      </c>
      <c r="L111">
        <v>100</v>
      </c>
      <c r="M111" t="s">
        <v>6</v>
      </c>
      <c r="N111">
        <v>1.97999999999997</v>
      </c>
      <c r="O111" t="s">
        <v>7</v>
      </c>
      <c r="P111">
        <v>1.46666666666665E-2</v>
      </c>
      <c r="Q111" t="s">
        <v>8</v>
      </c>
      <c r="R111">
        <v>0.59099999999999997</v>
      </c>
      <c r="S111" t="s">
        <v>9</v>
      </c>
      <c r="T111">
        <v>-1.6319999999999999</v>
      </c>
      <c r="U111" t="s">
        <v>10</v>
      </c>
      <c r="V111">
        <v>0.22657586318366399</v>
      </c>
      <c r="W111" t="s">
        <v>11</v>
      </c>
      <c r="X111" t="s">
        <v>2212</v>
      </c>
      <c r="Y111" t="s">
        <v>50</v>
      </c>
      <c r="Z111">
        <v>0</v>
      </c>
      <c r="AA111" t="s">
        <v>14</v>
      </c>
      <c r="AB111" t="s">
        <v>15</v>
      </c>
      <c r="AC111" t="s">
        <v>2212</v>
      </c>
      <c r="AD111" t="s">
        <v>50</v>
      </c>
      <c r="AE111">
        <v>0</v>
      </c>
      <c r="AF111" t="s">
        <v>18</v>
      </c>
    </row>
    <row r="112" spans="1:32" x14ac:dyDescent="0.3">
      <c r="A112" t="s">
        <v>134</v>
      </c>
      <c r="B112" t="s">
        <v>587</v>
      </c>
      <c r="C112">
        <v>2.5</v>
      </c>
      <c r="D112" t="s">
        <v>2163</v>
      </c>
      <c r="E112" t="s">
        <v>589</v>
      </c>
      <c r="F112">
        <v>5</v>
      </c>
      <c r="G112" t="s">
        <v>2</v>
      </c>
      <c r="H112" t="s">
        <v>1985</v>
      </c>
      <c r="I112" t="s">
        <v>4</v>
      </c>
      <c r="J112">
        <v>135</v>
      </c>
      <c r="K112" t="s">
        <v>5</v>
      </c>
      <c r="L112">
        <v>101</v>
      </c>
      <c r="M112" t="s">
        <v>6</v>
      </c>
      <c r="N112">
        <v>7.1399999999999801</v>
      </c>
      <c r="O112" t="s">
        <v>7</v>
      </c>
      <c r="P112">
        <v>5.2888888888888701E-2</v>
      </c>
      <c r="Q112" t="s">
        <v>8</v>
      </c>
      <c r="R112">
        <v>0.64663366336633599</v>
      </c>
      <c r="S112" t="s">
        <v>9</v>
      </c>
      <c r="T112">
        <v>-1.7108823529411701</v>
      </c>
      <c r="U112" t="s">
        <v>10</v>
      </c>
      <c r="V112">
        <v>0.26988842313435102</v>
      </c>
      <c r="W112" t="s">
        <v>11</v>
      </c>
      <c r="X112" t="s">
        <v>2212</v>
      </c>
      <c r="Y112" t="s">
        <v>50</v>
      </c>
      <c r="Z112">
        <v>0</v>
      </c>
      <c r="AA112" t="s">
        <v>14</v>
      </c>
      <c r="AB112" t="s">
        <v>15</v>
      </c>
      <c r="AC112" t="s">
        <v>2212</v>
      </c>
      <c r="AD112" t="s">
        <v>50</v>
      </c>
      <c r="AE112">
        <v>0</v>
      </c>
      <c r="AF112" t="s">
        <v>18</v>
      </c>
    </row>
    <row r="113" spans="1:32" x14ac:dyDescent="0.3">
      <c r="A113" t="s">
        <v>134</v>
      </c>
      <c r="B113" t="s">
        <v>587</v>
      </c>
      <c r="C113">
        <v>2.5</v>
      </c>
      <c r="D113" t="s">
        <v>2163</v>
      </c>
      <c r="E113" t="s">
        <v>589</v>
      </c>
      <c r="F113">
        <v>5</v>
      </c>
      <c r="G113" t="s">
        <v>2</v>
      </c>
      <c r="H113" t="s">
        <v>1988</v>
      </c>
      <c r="I113" t="s">
        <v>4</v>
      </c>
      <c r="J113">
        <v>135</v>
      </c>
      <c r="K113" t="s">
        <v>5</v>
      </c>
      <c r="L113">
        <v>101</v>
      </c>
      <c r="M113" t="s">
        <v>6</v>
      </c>
      <c r="N113">
        <v>6.6599999999999797</v>
      </c>
      <c r="O113" t="s">
        <v>7</v>
      </c>
      <c r="P113">
        <v>4.9333333333333201E-2</v>
      </c>
      <c r="Q113" t="s">
        <v>8</v>
      </c>
      <c r="R113">
        <v>0.64663366336633599</v>
      </c>
      <c r="S113" t="s">
        <v>9</v>
      </c>
      <c r="T113">
        <v>-1.7250000000000001</v>
      </c>
      <c r="U113" t="s">
        <v>10</v>
      </c>
      <c r="V113">
        <v>0.26977588104026501</v>
      </c>
      <c r="W113" t="s">
        <v>11</v>
      </c>
      <c r="X113" t="s">
        <v>2212</v>
      </c>
      <c r="Y113" t="s">
        <v>50</v>
      </c>
      <c r="Z113">
        <v>0</v>
      </c>
      <c r="AA113" t="s">
        <v>14</v>
      </c>
      <c r="AB113" t="s">
        <v>15</v>
      </c>
      <c r="AC113" t="s">
        <v>2212</v>
      </c>
      <c r="AD113" t="s">
        <v>50</v>
      </c>
      <c r="AE113">
        <v>0</v>
      </c>
      <c r="AF113" t="s">
        <v>18</v>
      </c>
    </row>
    <row r="114" spans="1:32" x14ac:dyDescent="0.3">
      <c r="A114" t="s">
        <v>134</v>
      </c>
      <c r="B114" t="s">
        <v>587</v>
      </c>
      <c r="C114">
        <v>2.5</v>
      </c>
      <c r="D114" t="s">
        <v>2163</v>
      </c>
      <c r="E114" t="s">
        <v>589</v>
      </c>
      <c r="F114">
        <v>5</v>
      </c>
      <c r="G114" t="s">
        <v>27</v>
      </c>
      <c r="H114" t="s">
        <v>1991</v>
      </c>
      <c r="I114" t="s">
        <v>4</v>
      </c>
      <c r="J114">
        <v>140</v>
      </c>
      <c r="K114" t="s">
        <v>5</v>
      </c>
      <c r="L114">
        <v>94</v>
      </c>
      <c r="M114" t="s">
        <v>6</v>
      </c>
      <c r="N114">
        <v>4.0675716421358903</v>
      </c>
      <c r="O114" t="s">
        <v>7</v>
      </c>
      <c r="P114">
        <v>2.9054083158113499E-2</v>
      </c>
      <c r="Q114" t="s">
        <v>8</v>
      </c>
      <c r="R114">
        <v>0.64319148936170201</v>
      </c>
      <c r="S114" t="s">
        <v>9</v>
      </c>
      <c r="T114">
        <v>-1.2259223556057399</v>
      </c>
      <c r="U114" t="s">
        <v>10</v>
      </c>
      <c r="V114">
        <v>0.22505653028167499</v>
      </c>
      <c r="W114" t="s">
        <v>11</v>
      </c>
      <c r="X114" t="s">
        <v>2212</v>
      </c>
      <c r="Y114" t="s">
        <v>50</v>
      </c>
      <c r="Z114">
        <v>0</v>
      </c>
      <c r="AA114" t="s">
        <v>14</v>
      </c>
      <c r="AB114" t="s">
        <v>15</v>
      </c>
      <c r="AC114" t="s">
        <v>2212</v>
      </c>
      <c r="AD114" t="s">
        <v>50</v>
      </c>
      <c r="AE114">
        <v>0</v>
      </c>
      <c r="AF114" t="s">
        <v>18</v>
      </c>
    </row>
    <row r="115" spans="1:32" x14ac:dyDescent="0.3">
      <c r="A115" t="s">
        <v>134</v>
      </c>
      <c r="B115" t="s">
        <v>587</v>
      </c>
      <c r="C115">
        <v>2.5</v>
      </c>
      <c r="D115" t="s">
        <v>2163</v>
      </c>
      <c r="E115" t="s">
        <v>589</v>
      </c>
      <c r="F115">
        <v>5</v>
      </c>
      <c r="G115" t="s">
        <v>27</v>
      </c>
      <c r="H115" t="s">
        <v>1994</v>
      </c>
      <c r="I115" t="s">
        <v>4</v>
      </c>
      <c r="J115">
        <v>140</v>
      </c>
      <c r="K115" t="s">
        <v>5</v>
      </c>
      <c r="L115">
        <v>106</v>
      </c>
      <c r="M115" t="s">
        <v>6</v>
      </c>
      <c r="N115">
        <v>15.177571642135799</v>
      </c>
      <c r="O115" t="s">
        <v>7</v>
      </c>
      <c r="P115">
        <v>0.108411226015256</v>
      </c>
      <c r="Q115" t="s">
        <v>8</v>
      </c>
      <c r="R115">
        <v>0.64820754716981099</v>
      </c>
      <c r="S115" t="s">
        <v>9</v>
      </c>
      <c r="T115">
        <v>-1.5744831869960001</v>
      </c>
      <c r="U115" t="s">
        <v>10</v>
      </c>
      <c r="V115">
        <v>0.24923422993747299</v>
      </c>
      <c r="W115" t="s">
        <v>11</v>
      </c>
      <c r="X115" t="s">
        <v>2212</v>
      </c>
      <c r="Y115" t="s">
        <v>50</v>
      </c>
      <c r="Z115">
        <v>0</v>
      </c>
      <c r="AA115" t="s">
        <v>14</v>
      </c>
      <c r="AB115" t="s">
        <v>15</v>
      </c>
      <c r="AC115" t="s">
        <v>2212</v>
      </c>
      <c r="AD115" t="s">
        <v>50</v>
      </c>
      <c r="AE115">
        <v>0</v>
      </c>
      <c r="AF115" t="s">
        <v>18</v>
      </c>
    </row>
    <row r="116" spans="1:32" x14ac:dyDescent="0.3">
      <c r="A116" t="s">
        <v>134</v>
      </c>
      <c r="B116" t="s">
        <v>587</v>
      </c>
      <c r="C116">
        <v>2.5</v>
      </c>
      <c r="D116" t="s">
        <v>2163</v>
      </c>
      <c r="E116" t="s">
        <v>589</v>
      </c>
      <c r="F116">
        <v>5</v>
      </c>
      <c r="G116" t="s">
        <v>27</v>
      </c>
      <c r="H116" t="s">
        <v>1996</v>
      </c>
      <c r="I116" t="s">
        <v>4</v>
      </c>
      <c r="J116">
        <v>140</v>
      </c>
      <c r="K116" t="s">
        <v>5</v>
      </c>
      <c r="L116">
        <v>107</v>
      </c>
      <c r="M116" t="s">
        <v>6</v>
      </c>
      <c r="N116">
        <v>21.257571642135801</v>
      </c>
      <c r="O116" t="s">
        <v>7</v>
      </c>
      <c r="P116">
        <v>0.151839797443827</v>
      </c>
      <c r="Q116" t="s">
        <v>8</v>
      </c>
      <c r="R116">
        <v>0.70018691588784998</v>
      </c>
      <c r="S116" t="s">
        <v>9</v>
      </c>
      <c r="T116">
        <v>-1.6261341926625399</v>
      </c>
      <c r="U116" t="s">
        <v>10</v>
      </c>
      <c r="V116">
        <v>0.28684975848018801</v>
      </c>
      <c r="W116" t="s">
        <v>11</v>
      </c>
      <c r="X116" t="s">
        <v>2212</v>
      </c>
      <c r="Y116" t="s">
        <v>50</v>
      </c>
      <c r="Z116">
        <v>0</v>
      </c>
      <c r="AA116" t="s">
        <v>14</v>
      </c>
      <c r="AB116" t="s">
        <v>15</v>
      </c>
      <c r="AC116" t="s">
        <v>2212</v>
      </c>
      <c r="AD116" t="s">
        <v>50</v>
      </c>
      <c r="AE116">
        <v>0</v>
      </c>
      <c r="AF116" t="s">
        <v>18</v>
      </c>
    </row>
    <row r="117" spans="1:32" x14ac:dyDescent="0.3">
      <c r="A117" t="s">
        <v>134</v>
      </c>
      <c r="B117" t="s">
        <v>587</v>
      </c>
      <c r="C117">
        <v>2.5</v>
      </c>
      <c r="D117" t="s">
        <v>2163</v>
      </c>
      <c r="E117" t="s">
        <v>589</v>
      </c>
      <c r="F117">
        <v>5</v>
      </c>
      <c r="G117" t="s">
        <v>27</v>
      </c>
      <c r="H117" t="s">
        <v>1997</v>
      </c>
      <c r="I117" t="s">
        <v>4</v>
      </c>
      <c r="J117">
        <v>140</v>
      </c>
      <c r="K117" t="s">
        <v>5</v>
      </c>
      <c r="L117">
        <v>107</v>
      </c>
      <c r="M117" t="s">
        <v>6</v>
      </c>
      <c r="N117">
        <v>21.0475716421358</v>
      </c>
      <c r="O117" t="s">
        <v>7</v>
      </c>
      <c r="P117">
        <v>0.150339797443827</v>
      </c>
      <c r="Q117" t="s">
        <v>8</v>
      </c>
      <c r="R117">
        <v>0.70018691588784998</v>
      </c>
      <c r="S117" t="s">
        <v>9</v>
      </c>
      <c r="T117">
        <v>-1.63249782902618</v>
      </c>
      <c r="U117" t="s">
        <v>10</v>
      </c>
      <c r="V117">
        <v>0.28678968245882303</v>
      </c>
      <c r="W117" t="s">
        <v>11</v>
      </c>
      <c r="X117" t="s">
        <v>2212</v>
      </c>
      <c r="Y117" t="s">
        <v>50</v>
      </c>
      <c r="Z117">
        <v>0</v>
      </c>
      <c r="AA117" t="s">
        <v>14</v>
      </c>
      <c r="AB117" t="s">
        <v>15</v>
      </c>
      <c r="AC117" t="s">
        <v>2212</v>
      </c>
      <c r="AD117" t="s">
        <v>50</v>
      </c>
      <c r="AE117">
        <v>0</v>
      </c>
      <c r="AF117" t="s">
        <v>18</v>
      </c>
    </row>
    <row r="118" spans="1:32" x14ac:dyDescent="0.3">
      <c r="A118" t="s">
        <v>134</v>
      </c>
      <c r="B118" t="s">
        <v>587</v>
      </c>
      <c r="C118">
        <v>2.5</v>
      </c>
      <c r="D118" t="s">
        <v>2163</v>
      </c>
      <c r="E118" t="s">
        <v>589</v>
      </c>
      <c r="F118">
        <v>5</v>
      </c>
      <c r="G118" t="s">
        <v>2174</v>
      </c>
      <c r="H118" t="s">
        <v>1999</v>
      </c>
      <c r="I118" t="s">
        <v>4</v>
      </c>
      <c r="J118">
        <v>139</v>
      </c>
      <c r="K118" t="s">
        <v>5</v>
      </c>
      <c r="L118">
        <v>84</v>
      </c>
      <c r="M118" t="s">
        <v>6</v>
      </c>
      <c r="N118">
        <v>-2.8403038168016699</v>
      </c>
      <c r="O118" t="s">
        <v>7</v>
      </c>
      <c r="P118">
        <v>-2.0433840408645099E-2</v>
      </c>
      <c r="Q118" t="s">
        <v>8</v>
      </c>
      <c r="R118">
        <v>0.71197391505512697</v>
      </c>
      <c r="S118" t="s">
        <v>9</v>
      </c>
      <c r="T118">
        <v>-1.13902023057149</v>
      </c>
      <c r="U118" t="s">
        <v>10</v>
      </c>
      <c r="V118">
        <v>0.19955247223091499</v>
      </c>
      <c r="W118" t="s">
        <v>11</v>
      </c>
      <c r="X118" t="s">
        <v>2213</v>
      </c>
      <c r="Y118" t="s">
        <v>691</v>
      </c>
      <c r="Z118">
        <v>0</v>
      </c>
      <c r="AA118" t="s">
        <v>14</v>
      </c>
      <c r="AB118" t="s">
        <v>15</v>
      </c>
      <c r="AC118" t="s">
        <v>2213</v>
      </c>
      <c r="AD118" t="s">
        <v>691</v>
      </c>
      <c r="AE118">
        <v>0</v>
      </c>
      <c r="AF118" t="s">
        <v>18</v>
      </c>
    </row>
    <row r="119" spans="1:32" x14ac:dyDescent="0.3">
      <c r="A119" t="s">
        <v>134</v>
      </c>
      <c r="B119" t="s">
        <v>587</v>
      </c>
      <c r="C119">
        <v>2.5</v>
      </c>
      <c r="D119" t="s">
        <v>2163</v>
      </c>
      <c r="E119" t="s">
        <v>589</v>
      </c>
      <c r="F119">
        <v>5</v>
      </c>
      <c r="G119" t="s">
        <v>2174</v>
      </c>
      <c r="H119" t="s">
        <v>2002</v>
      </c>
      <c r="I119" t="s">
        <v>4</v>
      </c>
      <c r="J119">
        <v>139</v>
      </c>
      <c r="K119" t="s">
        <v>5</v>
      </c>
      <c r="L119">
        <v>100</v>
      </c>
      <c r="M119" t="s">
        <v>6</v>
      </c>
      <c r="N119">
        <v>7.2942472062324102</v>
      </c>
      <c r="O119" t="s">
        <v>7</v>
      </c>
      <c r="P119">
        <v>5.2476598605988502E-2</v>
      </c>
      <c r="Q119" t="s">
        <v>8</v>
      </c>
      <c r="R119">
        <v>0.72625808864630703</v>
      </c>
      <c r="S119" t="s">
        <v>9</v>
      </c>
      <c r="T119">
        <v>-1.67516824765123</v>
      </c>
      <c r="U119" t="s">
        <v>10</v>
      </c>
      <c r="V119">
        <v>0.24902153235817301</v>
      </c>
      <c r="W119" t="s">
        <v>11</v>
      </c>
      <c r="X119" t="s">
        <v>2213</v>
      </c>
      <c r="Y119" t="s">
        <v>691</v>
      </c>
      <c r="Z119">
        <v>0</v>
      </c>
      <c r="AA119" t="s">
        <v>14</v>
      </c>
      <c r="AB119" t="s">
        <v>15</v>
      </c>
      <c r="AC119" t="s">
        <v>2213</v>
      </c>
      <c r="AD119" t="s">
        <v>691</v>
      </c>
      <c r="AE119">
        <v>0</v>
      </c>
      <c r="AF119" t="s">
        <v>18</v>
      </c>
    </row>
    <row r="120" spans="1:32" x14ac:dyDescent="0.3">
      <c r="A120" t="s">
        <v>134</v>
      </c>
      <c r="B120" t="s">
        <v>587</v>
      </c>
      <c r="C120">
        <v>2.5</v>
      </c>
      <c r="D120" t="s">
        <v>2163</v>
      </c>
      <c r="E120" t="s">
        <v>589</v>
      </c>
      <c r="F120">
        <v>5</v>
      </c>
      <c r="G120" t="s">
        <v>2174</v>
      </c>
      <c r="H120" t="s">
        <v>2004</v>
      </c>
      <c r="I120" t="s">
        <v>4</v>
      </c>
      <c r="J120">
        <v>139</v>
      </c>
      <c r="K120" t="s">
        <v>5</v>
      </c>
      <c r="L120">
        <v>102</v>
      </c>
      <c r="M120" t="s">
        <v>6</v>
      </c>
      <c r="N120">
        <v>15.796358032003701</v>
      </c>
      <c r="O120" t="s">
        <v>7</v>
      </c>
      <c r="P120">
        <v>0.113642863539595</v>
      </c>
      <c r="Q120" t="s">
        <v>8</v>
      </c>
      <c r="R120">
        <v>0.73290008690814401</v>
      </c>
      <c r="S120" t="s">
        <v>9</v>
      </c>
      <c r="T120">
        <v>-1.59349867115208</v>
      </c>
      <c r="U120" t="s">
        <v>10</v>
      </c>
      <c r="V120">
        <v>0.26639507724420702</v>
      </c>
      <c r="W120" t="s">
        <v>11</v>
      </c>
      <c r="X120" t="s">
        <v>2213</v>
      </c>
      <c r="Y120" t="s">
        <v>691</v>
      </c>
      <c r="Z120">
        <v>0</v>
      </c>
      <c r="AA120" t="s">
        <v>14</v>
      </c>
      <c r="AB120" t="s">
        <v>15</v>
      </c>
      <c r="AC120" t="s">
        <v>2213</v>
      </c>
      <c r="AD120" t="s">
        <v>691</v>
      </c>
      <c r="AE120">
        <v>0</v>
      </c>
      <c r="AF120" t="s">
        <v>18</v>
      </c>
    </row>
    <row r="121" spans="1:32" x14ac:dyDescent="0.3">
      <c r="A121" t="s">
        <v>134</v>
      </c>
      <c r="B121" t="s">
        <v>587</v>
      </c>
      <c r="C121">
        <v>2.5</v>
      </c>
      <c r="D121" t="s">
        <v>2163</v>
      </c>
      <c r="E121" t="s">
        <v>589</v>
      </c>
      <c r="F121">
        <v>5</v>
      </c>
      <c r="G121" t="s">
        <v>2174</v>
      </c>
      <c r="H121" t="s">
        <v>2005</v>
      </c>
      <c r="I121" t="s">
        <v>4</v>
      </c>
      <c r="J121">
        <v>139</v>
      </c>
      <c r="K121" t="s">
        <v>5</v>
      </c>
      <c r="L121">
        <v>102</v>
      </c>
      <c r="M121" t="s">
        <v>6</v>
      </c>
      <c r="N121">
        <v>15.522815986519999</v>
      </c>
      <c r="O121" t="s">
        <v>7</v>
      </c>
      <c r="P121">
        <v>0.11167493515481999</v>
      </c>
      <c r="Q121" t="s">
        <v>8</v>
      </c>
      <c r="R121">
        <v>0.73290008690814401</v>
      </c>
      <c r="S121" t="s">
        <v>9</v>
      </c>
      <c r="T121">
        <v>-1.6008916994083899</v>
      </c>
      <c r="U121" t="s">
        <v>10</v>
      </c>
      <c r="V121">
        <v>0.27431630924571798</v>
      </c>
      <c r="W121" t="s">
        <v>11</v>
      </c>
      <c r="X121" t="s">
        <v>2213</v>
      </c>
      <c r="Y121" t="s">
        <v>691</v>
      </c>
      <c r="Z121">
        <v>0</v>
      </c>
      <c r="AA121" t="s">
        <v>14</v>
      </c>
      <c r="AB121" t="s">
        <v>15</v>
      </c>
      <c r="AC121" t="s">
        <v>2213</v>
      </c>
      <c r="AD121" t="s">
        <v>691</v>
      </c>
      <c r="AE121">
        <v>0</v>
      </c>
      <c r="AF121" t="s">
        <v>18</v>
      </c>
    </row>
    <row r="122" spans="1:32" x14ac:dyDescent="0.3">
      <c r="A122" t="s">
        <v>134</v>
      </c>
      <c r="B122" t="s">
        <v>587</v>
      </c>
      <c r="C122">
        <v>5</v>
      </c>
      <c r="D122" t="s">
        <v>2163</v>
      </c>
      <c r="E122" t="s">
        <v>589</v>
      </c>
      <c r="F122">
        <v>7.5</v>
      </c>
      <c r="G122" t="s">
        <v>2</v>
      </c>
      <c r="H122" t="s">
        <v>1979</v>
      </c>
      <c r="I122" t="s">
        <v>4</v>
      </c>
      <c r="J122">
        <v>135</v>
      </c>
      <c r="K122" t="s">
        <v>5</v>
      </c>
      <c r="L122">
        <v>97</v>
      </c>
      <c r="M122" t="s">
        <v>6</v>
      </c>
      <c r="N122">
        <v>13.66</v>
      </c>
      <c r="O122" t="s">
        <v>7</v>
      </c>
      <c r="P122">
        <v>0.101185185185185</v>
      </c>
      <c r="Q122" t="s">
        <v>8</v>
      </c>
      <c r="R122">
        <v>0.46845360824742199</v>
      </c>
      <c r="S122" t="s">
        <v>9</v>
      </c>
      <c r="T122">
        <v>-0.83631578947368401</v>
      </c>
      <c r="U122" t="s">
        <v>10</v>
      </c>
      <c r="V122">
        <v>0.19364272440124999</v>
      </c>
      <c r="W122" t="s">
        <v>11</v>
      </c>
      <c r="X122" t="s">
        <v>2214</v>
      </c>
      <c r="Y122" t="s">
        <v>2215</v>
      </c>
      <c r="Z122">
        <v>0</v>
      </c>
      <c r="AA122" t="s">
        <v>14</v>
      </c>
      <c r="AB122" t="s">
        <v>15</v>
      </c>
      <c r="AC122" t="s">
        <v>2214</v>
      </c>
      <c r="AD122" t="s">
        <v>2215</v>
      </c>
      <c r="AE122">
        <v>0</v>
      </c>
      <c r="AF122" t="s">
        <v>18</v>
      </c>
    </row>
    <row r="123" spans="1:32" x14ac:dyDescent="0.3">
      <c r="A123" t="s">
        <v>134</v>
      </c>
      <c r="B123" t="s">
        <v>587</v>
      </c>
      <c r="C123">
        <v>5</v>
      </c>
      <c r="D123" t="s">
        <v>2163</v>
      </c>
      <c r="E123" t="s">
        <v>589</v>
      </c>
      <c r="F123">
        <v>7.5</v>
      </c>
      <c r="G123" t="s">
        <v>2</v>
      </c>
      <c r="H123" t="s">
        <v>1982</v>
      </c>
      <c r="I123" t="s">
        <v>4</v>
      </c>
      <c r="J123">
        <v>135</v>
      </c>
      <c r="K123" t="s">
        <v>5</v>
      </c>
      <c r="L123">
        <v>106</v>
      </c>
      <c r="M123" t="s">
        <v>6</v>
      </c>
      <c r="N123">
        <v>14.3599999999999</v>
      </c>
      <c r="O123" t="s">
        <v>7</v>
      </c>
      <c r="P123">
        <v>0.10637037037037</v>
      </c>
      <c r="Q123" t="s">
        <v>8</v>
      </c>
      <c r="R123">
        <v>0.47858490566037698</v>
      </c>
      <c r="S123" t="s">
        <v>9</v>
      </c>
      <c r="T123">
        <v>-1.25413793103448</v>
      </c>
      <c r="U123" t="s">
        <v>10</v>
      </c>
      <c r="V123">
        <v>0.213059494093508</v>
      </c>
      <c r="W123" t="s">
        <v>11</v>
      </c>
      <c r="X123" t="s">
        <v>2216</v>
      </c>
      <c r="Y123" t="s">
        <v>1262</v>
      </c>
      <c r="Z123">
        <v>0</v>
      </c>
      <c r="AA123" t="s">
        <v>14</v>
      </c>
      <c r="AB123" t="s">
        <v>15</v>
      </c>
      <c r="AC123" t="s">
        <v>2216</v>
      </c>
      <c r="AD123" t="s">
        <v>1262</v>
      </c>
      <c r="AE123">
        <v>0</v>
      </c>
      <c r="AF123" t="s">
        <v>18</v>
      </c>
    </row>
    <row r="124" spans="1:32" x14ac:dyDescent="0.3">
      <c r="A124" t="s">
        <v>134</v>
      </c>
      <c r="B124" t="s">
        <v>587</v>
      </c>
      <c r="C124">
        <v>5</v>
      </c>
      <c r="D124" t="s">
        <v>2163</v>
      </c>
      <c r="E124" t="s">
        <v>589</v>
      </c>
      <c r="F124">
        <v>7.5</v>
      </c>
      <c r="G124" t="s">
        <v>2</v>
      </c>
      <c r="H124" t="s">
        <v>1985</v>
      </c>
      <c r="I124" t="s">
        <v>4</v>
      </c>
      <c r="J124">
        <v>135</v>
      </c>
      <c r="K124" t="s">
        <v>5</v>
      </c>
      <c r="L124">
        <v>109</v>
      </c>
      <c r="M124" t="s">
        <v>6</v>
      </c>
      <c r="N124">
        <v>16.54</v>
      </c>
      <c r="O124" t="s">
        <v>7</v>
      </c>
      <c r="P124">
        <v>0.122518518518518</v>
      </c>
      <c r="Q124" t="s">
        <v>8</v>
      </c>
      <c r="R124">
        <v>0.48073394495412802</v>
      </c>
      <c r="S124" t="s">
        <v>9</v>
      </c>
      <c r="T124">
        <v>-1.3792307692307699</v>
      </c>
      <c r="U124" t="s">
        <v>10</v>
      </c>
      <c r="V124">
        <v>0.22372148788104201</v>
      </c>
      <c r="W124" t="s">
        <v>11</v>
      </c>
      <c r="X124" t="s">
        <v>2216</v>
      </c>
      <c r="Y124" t="s">
        <v>1262</v>
      </c>
      <c r="Z124">
        <v>0</v>
      </c>
      <c r="AA124" t="s">
        <v>14</v>
      </c>
      <c r="AB124" t="s">
        <v>15</v>
      </c>
      <c r="AC124" t="s">
        <v>2216</v>
      </c>
      <c r="AD124" t="s">
        <v>1262</v>
      </c>
      <c r="AE124">
        <v>0</v>
      </c>
      <c r="AF124" t="s">
        <v>18</v>
      </c>
    </row>
    <row r="125" spans="1:32" x14ac:dyDescent="0.3">
      <c r="A125" t="s">
        <v>134</v>
      </c>
      <c r="B125" t="s">
        <v>587</v>
      </c>
      <c r="C125">
        <v>5</v>
      </c>
      <c r="D125" t="s">
        <v>2163</v>
      </c>
      <c r="E125" t="s">
        <v>589</v>
      </c>
      <c r="F125">
        <v>7.5</v>
      </c>
      <c r="G125" t="s">
        <v>2</v>
      </c>
      <c r="H125" t="s">
        <v>1988</v>
      </c>
      <c r="I125" t="s">
        <v>4</v>
      </c>
      <c r="J125">
        <v>135</v>
      </c>
      <c r="K125" t="s">
        <v>5</v>
      </c>
      <c r="L125">
        <v>109</v>
      </c>
      <c r="M125" t="s">
        <v>6</v>
      </c>
      <c r="N125">
        <v>14.35</v>
      </c>
      <c r="O125" t="s">
        <v>7</v>
      </c>
      <c r="P125">
        <v>0.106296296296296</v>
      </c>
      <c r="Q125" t="s">
        <v>8</v>
      </c>
      <c r="R125">
        <v>0.48073394495412802</v>
      </c>
      <c r="S125" t="s">
        <v>9</v>
      </c>
      <c r="T125">
        <v>-1.4634615384615299</v>
      </c>
      <c r="U125" t="s">
        <v>10</v>
      </c>
      <c r="V125">
        <v>0.224794371125282</v>
      </c>
      <c r="W125" t="s">
        <v>11</v>
      </c>
      <c r="X125" t="s">
        <v>2216</v>
      </c>
      <c r="Y125" t="s">
        <v>1262</v>
      </c>
      <c r="Z125">
        <v>0</v>
      </c>
      <c r="AA125" t="s">
        <v>14</v>
      </c>
      <c r="AB125" t="s">
        <v>15</v>
      </c>
      <c r="AC125" t="s">
        <v>2216</v>
      </c>
      <c r="AD125" t="s">
        <v>1262</v>
      </c>
      <c r="AE125">
        <v>0</v>
      </c>
      <c r="AF125" t="s">
        <v>18</v>
      </c>
    </row>
    <row r="126" spans="1:32" x14ac:dyDescent="0.3">
      <c r="A126" t="s">
        <v>134</v>
      </c>
      <c r="B126" t="s">
        <v>587</v>
      </c>
      <c r="C126">
        <v>5</v>
      </c>
      <c r="D126" t="s">
        <v>2163</v>
      </c>
      <c r="E126" t="s">
        <v>589</v>
      </c>
      <c r="F126">
        <v>7.5</v>
      </c>
      <c r="G126" t="s">
        <v>27</v>
      </c>
      <c r="H126" t="s">
        <v>1991</v>
      </c>
      <c r="I126" t="s">
        <v>4</v>
      </c>
      <c r="J126">
        <v>140</v>
      </c>
      <c r="K126" t="s">
        <v>5</v>
      </c>
      <c r="L126">
        <v>98</v>
      </c>
      <c r="M126" t="s">
        <v>6</v>
      </c>
      <c r="N126">
        <v>18.229999999999901</v>
      </c>
      <c r="O126" t="s">
        <v>7</v>
      </c>
      <c r="P126">
        <v>0.13021428571428501</v>
      </c>
      <c r="Q126" t="s">
        <v>8</v>
      </c>
      <c r="R126">
        <v>0.58489795918367304</v>
      </c>
      <c r="S126" t="s">
        <v>9</v>
      </c>
      <c r="T126">
        <v>-0.93071428571428505</v>
      </c>
      <c r="U126" t="s">
        <v>10</v>
      </c>
      <c r="V126">
        <v>0.20437011859094201</v>
      </c>
      <c r="W126" t="s">
        <v>11</v>
      </c>
      <c r="X126" t="s">
        <v>2217</v>
      </c>
      <c r="Y126" t="s">
        <v>2132</v>
      </c>
      <c r="Z126">
        <v>0</v>
      </c>
      <c r="AA126" t="s">
        <v>14</v>
      </c>
      <c r="AB126" t="s">
        <v>15</v>
      </c>
      <c r="AC126" t="s">
        <v>2218</v>
      </c>
      <c r="AD126" t="s">
        <v>2219</v>
      </c>
      <c r="AE126">
        <v>0</v>
      </c>
      <c r="AF126" t="s">
        <v>18</v>
      </c>
    </row>
    <row r="127" spans="1:32" x14ac:dyDescent="0.3">
      <c r="A127" t="s">
        <v>134</v>
      </c>
      <c r="B127" t="s">
        <v>587</v>
      </c>
      <c r="C127">
        <v>5</v>
      </c>
      <c r="D127" t="s">
        <v>2163</v>
      </c>
      <c r="E127" t="s">
        <v>589</v>
      </c>
      <c r="F127">
        <v>7.5</v>
      </c>
      <c r="G127" t="s">
        <v>27</v>
      </c>
      <c r="H127" t="s">
        <v>1994</v>
      </c>
      <c r="I127" t="s">
        <v>4</v>
      </c>
      <c r="J127">
        <v>140</v>
      </c>
      <c r="K127" t="s">
        <v>5</v>
      </c>
      <c r="L127">
        <v>113</v>
      </c>
      <c r="M127" t="s">
        <v>6</v>
      </c>
      <c r="N127">
        <v>27.709999999999901</v>
      </c>
      <c r="O127" t="s">
        <v>7</v>
      </c>
      <c r="P127">
        <v>0.19792857142857101</v>
      </c>
      <c r="Q127" t="s">
        <v>8</v>
      </c>
      <c r="R127">
        <v>0.590707964601769</v>
      </c>
      <c r="S127" t="s">
        <v>9</v>
      </c>
      <c r="T127">
        <v>-1.4459259259259201</v>
      </c>
      <c r="U127" t="s">
        <v>10</v>
      </c>
      <c r="V127">
        <v>0.23128275070715901</v>
      </c>
      <c r="W127" t="s">
        <v>11</v>
      </c>
      <c r="X127" t="s">
        <v>2216</v>
      </c>
      <c r="Y127" t="s">
        <v>1262</v>
      </c>
      <c r="Z127">
        <v>0</v>
      </c>
      <c r="AA127" t="s">
        <v>14</v>
      </c>
      <c r="AB127" t="s">
        <v>15</v>
      </c>
      <c r="AC127" t="s">
        <v>2216</v>
      </c>
      <c r="AD127" t="s">
        <v>1262</v>
      </c>
      <c r="AE127">
        <v>0</v>
      </c>
      <c r="AF127" t="s">
        <v>18</v>
      </c>
    </row>
    <row r="128" spans="1:32" x14ac:dyDescent="0.3">
      <c r="A128" t="s">
        <v>134</v>
      </c>
      <c r="B128" t="s">
        <v>587</v>
      </c>
      <c r="C128">
        <v>5</v>
      </c>
      <c r="D128" t="s">
        <v>2163</v>
      </c>
      <c r="E128" t="s">
        <v>589</v>
      </c>
      <c r="F128">
        <v>7.5</v>
      </c>
      <c r="G128" t="s">
        <v>27</v>
      </c>
      <c r="H128" t="s">
        <v>1996</v>
      </c>
      <c r="I128" t="s">
        <v>4</v>
      </c>
      <c r="J128">
        <v>140</v>
      </c>
      <c r="K128" t="s">
        <v>5</v>
      </c>
      <c r="L128">
        <v>114</v>
      </c>
      <c r="M128" t="s">
        <v>6</v>
      </c>
      <c r="N128">
        <v>25.06</v>
      </c>
      <c r="O128" t="s">
        <v>7</v>
      </c>
      <c r="P128">
        <v>0.17899999999999999</v>
      </c>
      <c r="Q128" t="s">
        <v>8</v>
      </c>
      <c r="R128">
        <v>0.59192982456140297</v>
      </c>
      <c r="S128" t="s">
        <v>9</v>
      </c>
      <c r="T128">
        <v>-1.63153846153846</v>
      </c>
      <c r="U128" t="s">
        <v>10</v>
      </c>
      <c r="V128">
        <v>0.23947321936053101</v>
      </c>
      <c r="W128" t="s">
        <v>11</v>
      </c>
      <c r="X128" t="s">
        <v>2216</v>
      </c>
      <c r="Y128" t="s">
        <v>1262</v>
      </c>
      <c r="Z128">
        <v>0</v>
      </c>
      <c r="AA128" t="s">
        <v>14</v>
      </c>
      <c r="AB128" t="s">
        <v>15</v>
      </c>
      <c r="AC128" t="s">
        <v>2216</v>
      </c>
      <c r="AD128" t="s">
        <v>1262</v>
      </c>
      <c r="AE128">
        <v>0</v>
      </c>
      <c r="AF128" t="s">
        <v>18</v>
      </c>
    </row>
    <row r="129" spans="1:32" x14ac:dyDescent="0.3">
      <c r="A129" t="s">
        <v>134</v>
      </c>
      <c r="B129" t="s">
        <v>587</v>
      </c>
      <c r="C129">
        <v>5</v>
      </c>
      <c r="D129" t="s">
        <v>2163</v>
      </c>
      <c r="E129" t="s">
        <v>589</v>
      </c>
      <c r="F129">
        <v>7.5</v>
      </c>
      <c r="G129" t="s">
        <v>27</v>
      </c>
      <c r="H129" t="s">
        <v>1997</v>
      </c>
      <c r="I129" t="s">
        <v>4</v>
      </c>
      <c r="J129">
        <v>140</v>
      </c>
      <c r="K129" t="s">
        <v>5</v>
      </c>
      <c r="L129">
        <v>114</v>
      </c>
      <c r="M129" t="s">
        <v>6</v>
      </c>
      <c r="N129">
        <v>24.7574413465668</v>
      </c>
      <c r="O129" t="s">
        <v>7</v>
      </c>
      <c r="P129">
        <v>0.17683886676119101</v>
      </c>
      <c r="Q129" t="s">
        <v>8</v>
      </c>
      <c r="R129">
        <v>0.59192982456140297</v>
      </c>
      <c r="S129" t="s">
        <v>9</v>
      </c>
      <c r="T129">
        <v>-1.6431753328243499</v>
      </c>
      <c r="U129" t="s">
        <v>10</v>
      </c>
      <c r="V129">
        <v>0.25804569747602202</v>
      </c>
      <c r="W129" t="s">
        <v>11</v>
      </c>
      <c r="X129" t="s">
        <v>2220</v>
      </c>
      <c r="Y129" t="s">
        <v>2221</v>
      </c>
      <c r="Z129">
        <v>0</v>
      </c>
      <c r="AA129" t="s">
        <v>14</v>
      </c>
      <c r="AB129" t="s">
        <v>15</v>
      </c>
      <c r="AC129" t="s">
        <v>2220</v>
      </c>
      <c r="AD129" t="s">
        <v>2221</v>
      </c>
      <c r="AE129">
        <v>0</v>
      </c>
      <c r="AF129" t="s">
        <v>18</v>
      </c>
    </row>
    <row r="130" spans="1:32" x14ac:dyDescent="0.3">
      <c r="A130" t="s">
        <v>134</v>
      </c>
      <c r="B130" t="s">
        <v>587</v>
      </c>
      <c r="C130">
        <v>5</v>
      </c>
      <c r="D130" t="s">
        <v>2163</v>
      </c>
      <c r="E130" t="s">
        <v>589</v>
      </c>
      <c r="F130">
        <v>7.5</v>
      </c>
      <c r="G130" t="s">
        <v>2174</v>
      </c>
      <c r="H130" t="s">
        <v>1999</v>
      </c>
      <c r="I130" t="s">
        <v>4</v>
      </c>
      <c r="J130">
        <v>139</v>
      </c>
      <c r="K130" t="s">
        <v>5</v>
      </c>
      <c r="L130">
        <v>95</v>
      </c>
      <c r="M130" t="s">
        <v>6</v>
      </c>
      <c r="N130">
        <v>11.3001262097411</v>
      </c>
      <c r="O130" t="s">
        <v>7</v>
      </c>
      <c r="P130">
        <v>8.1295872012526194E-2</v>
      </c>
      <c r="Q130" t="s">
        <v>8</v>
      </c>
      <c r="R130">
        <v>0.60422683006563505</v>
      </c>
      <c r="S130" t="s">
        <v>9</v>
      </c>
      <c r="T130">
        <v>-1.0477596056021401</v>
      </c>
      <c r="U130" t="s">
        <v>10</v>
      </c>
      <c r="V130">
        <v>0.176388848402629</v>
      </c>
      <c r="W130" t="s">
        <v>11</v>
      </c>
      <c r="X130" t="s">
        <v>2222</v>
      </c>
      <c r="Y130" t="s">
        <v>2223</v>
      </c>
      <c r="Z130">
        <v>0</v>
      </c>
      <c r="AA130" t="s">
        <v>14</v>
      </c>
      <c r="AB130" t="s">
        <v>15</v>
      </c>
      <c r="AC130" t="s">
        <v>2222</v>
      </c>
      <c r="AD130" t="s">
        <v>2223</v>
      </c>
      <c r="AE130">
        <v>0</v>
      </c>
      <c r="AF130" t="s">
        <v>18</v>
      </c>
    </row>
    <row r="131" spans="1:32" x14ac:dyDescent="0.3">
      <c r="A131" t="s">
        <v>134</v>
      </c>
      <c r="B131" t="s">
        <v>587</v>
      </c>
      <c r="C131">
        <v>5</v>
      </c>
      <c r="D131" t="s">
        <v>2163</v>
      </c>
      <c r="E131" t="s">
        <v>589</v>
      </c>
      <c r="F131">
        <v>7.5</v>
      </c>
      <c r="G131" t="s">
        <v>2174</v>
      </c>
      <c r="H131" t="s">
        <v>2002</v>
      </c>
      <c r="I131" t="s">
        <v>4</v>
      </c>
      <c r="J131">
        <v>139</v>
      </c>
      <c r="K131" t="s">
        <v>5</v>
      </c>
      <c r="L131">
        <v>107</v>
      </c>
      <c r="M131" t="s">
        <v>6</v>
      </c>
      <c r="N131">
        <v>10.765840853602599</v>
      </c>
      <c r="O131" t="s">
        <v>7</v>
      </c>
      <c r="P131">
        <v>7.7452092471961401E-2</v>
      </c>
      <c r="Q131" t="s">
        <v>8</v>
      </c>
      <c r="R131">
        <v>0.60823877435733897</v>
      </c>
      <c r="S131" t="s">
        <v>9</v>
      </c>
      <c r="T131">
        <v>-1.69736587508227</v>
      </c>
      <c r="U131" t="s">
        <v>10</v>
      </c>
      <c r="V131">
        <v>0.212479970096072</v>
      </c>
      <c r="W131" t="s">
        <v>11</v>
      </c>
      <c r="X131" t="s">
        <v>2224</v>
      </c>
      <c r="Y131" t="s">
        <v>2055</v>
      </c>
      <c r="Z131">
        <v>0</v>
      </c>
      <c r="AA131" t="s">
        <v>14</v>
      </c>
      <c r="AB131" t="s">
        <v>15</v>
      </c>
      <c r="AC131" t="s">
        <v>2224</v>
      </c>
      <c r="AD131" t="s">
        <v>2055</v>
      </c>
      <c r="AE131">
        <v>0</v>
      </c>
      <c r="AF131" t="s">
        <v>18</v>
      </c>
    </row>
    <row r="132" spans="1:32" x14ac:dyDescent="0.3">
      <c r="A132" t="s">
        <v>134</v>
      </c>
      <c r="B132" t="s">
        <v>587</v>
      </c>
      <c r="C132">
        <v>5</v>
      </c>
      <c r="D132" t="s">
        <v>2163</v>
      </c>
      <c r="E132" t="s">
        <v>589</v>
      </c>
      <c r="F132">
        <v>7.5</v>
      </c>
      <c r="G132" t="s">
        <v>2174</v>
      </c>
      <c r="H132" t="s">
        <v>2004</v>
      </c>
      <c r="I132" t="s">
        <v>4</v>
      </c>
      <c r="J132">
        <v>139</v>
      </c>
      <c r="K132" t="s">
        <v>5</v>
      </c>
      <c r="L132">
        <v>111</v>
      </c>
      <c r="M132" t="s">
        <v>6</v>
      </c>
      <c r="N132">
        <v>15.5041692690597</v>
      </c>
      <c r="O132" t="s">
        <v>7</v>
      </c>
      <c r="P132">
        <v>0.111540786108343</v>
      </c>
      <c r="Q132" t="s">
        <v>8</v>
      </c>
      <c r="R132">
        <v>0.61999076756288496</v>
      </c>
      <c r="S132" t="s">
        <v>9</v>
      </c>
      <c r="T132">
        <v>-1.90410021180073</v>
      </c>
      <c r="U132" t="s">
        <v>10</v>
      </c>
      <c r="V132">
        <v>0.25474629384651998</v>
      </c>
      <c r="W132" t="s">
        <v>11</v>
      </c>
      <c r="X132" t="s">
        <v>2225</v>
      </c>
      <c r="Y132" t="s">
        <v>635</v>
      </c>
      <c r="Z132">
        <v>0</v>
      </c>
      <c r="AA132" t="s">
        <v>14</v>
      </c>
      <c r="AB132" t="s">
        <v>15</v>
      </c>
      <c r="AC132" t="s">
        <v>2225</v>
      </c>
      <c r="AD132" t="s">
        <v>635</v>
      </c>
      <c r="AE132">
        <v>0</v>
      </c>
      <c r="AF132" t="s">
        <v>18</v>
      </c>
    </row>
    <row r="133" spans="1:32" x14ac:dyDescent="0.3">
      <c r="A133" t="s">
        <v>134</v>
      </c>
      <c r="B133" t="s">
        <v>587</v>
      </c>
      <c r="C133">
        <v>5</v>
      </c>
      <c r="D133" t="s">
        <v>2163</v>
      </c>
      <c r="E133" t="s">
        <v>589</v>
      </c>
      <c r="F133">
        <v>7.5</v>
      </c>
      <c r="G133" t="s">
        <v>2174</v>
      </c>
      <c r="H133" t="s">
        <v>2005</v>
      </c>
      <c r="I133" t="s">
        <v>4</v>
      </c>
      <c r="J133">
        <v>139</v>
      </c>
      <c r="K133" t="s">
        <v>5</v>
      </c>
      <c r="L133">
        <v>113</v>
      </c>
      <c r="M133" t="s">
        <v>6</v>
      </c>
      <c r="N133">
        <v>17.211610615626501</v>
      </c>
      <c r="O133" t="s">
        <v>7</v>
      </c>
      <c r="P133">
        <v>0.123824536803068</v>
      </c>
      <c r="Q133" t="s">
        <v>8</v>
      </c>
      <c r="R133">
        <v>0.613088276101595</v>
      </c>
      <c r="S133" t="s">
        <v>9</v>
      </c>
      <c r="T133">
        <v>-2.0025909455328299</v>
      </c>
      <c r="U133" t="s">
        <v>10</v>
      </c>
      <c r="V133">
        <v>0.26892289386779999</v>
      </c>
      <c r="W133" t="s">
        <v>11</v>
      </c>
      <c r="X133" t="s">
        <v>2225</v>
      </c>
      <c r="Y133" t="s">
        <v>635</v>
      </c>
      <c r="Z133">
        <v>0</v>
      </c>
      <c r="AA133" t="s">
        <v>14</v>
      </c>
      <c r="AB133" t="s">
        <v>15</v>
      </c>
      <c r="AC133" t="s">
        <v>2225</v>
      </c>
      <c r="AD133" t="s">
        <v>635</v>
      </c>
      <c r="AE133">
        <v>0</v>
      </c>
      <c r="AF133" t="s">
        <v>18</v>
      </c>
    </row>
    <row r="134" spans="1:32" x14ac:dyDescent="0.3">
      <c r="A134" t="s">
        <v>134</v>
      </c>
      <c r="B134" t="s">
        <v>587</v>
      </c>
      <c r="C134">
        <v>7.5</v>
      </c>
      <c r="D134" t="s">
        <v>2163</v>
      </c>
      <c r="E134" t="s">
        <v>589</v>
      </c>
      <c r="F134">
        <v>10</v>
      </c>
      <c r="G134" t="s">
        <v>2</v>
      </c>
      <c r="H134" t="s">
        <v>1979</v>
      </c>
      <c r="I134" t="s">
        <v>4</v>
      </c>
      <c r="J134">
        <v>135</v>
      </c>
      <c r="K134" t="s">
        <v>5</v>
      </c>
      <c r="L134">
        <v>102</v>
      </c>
      <c r="M134" t="s">
        <v>6</v>
      </c>
      <c r="N134">
        <v>5.6699999999999902</v>
      </c>
      <c r="O134" t="s">
        <v>7</v>
      </c>
      <c r="P134">
        <v>4.1999999999999899E-2</v>
      </c>
      <c r="Q134" t="s">
        <v>8</v>
      </c>
      <c r="R134">
        <v>0.25450980392156802</v>
      </c>
      <c r="S134" t="s">
        <v>9</v>
      </c>
      <c r="T134">
        <v>-0.61484848484848398</v>
      </c>
      <c r="U134" t="s">
        <v>10</v>
      </c>
      <c r="V134">
        <v>9.7094474674604095E-2</v>
      </c>
      <c r="W134" t="s">
        <v>11</v>
      </c>
      <c r="X134" t="s">
        <v>2226</v>
      </c>
      <c r="Y134" t="s">
        <v>1331</v>
      </c>
      <c r="Z134">
        <v>0</v>
      </c>
      <c r="AA134" t="s">
        <v>14</v>
      </c>
      <c r="AB134" t="s">
        <v>15</v>
      </c>
      <c r="AC134" t="s">
        <v>2226</v>
      </c>
      <c r="AD134" t="s">
        <v>1331</v>
      </c>
      <c r="AE134">
        <v>0</v>
      </c>
      <c r="AF134" t="s">
        <v>18</v>
      </c>
    </row>
    <row r="135" spans="1:32" x14ac:dyDescent="0.3">
      <c r="A135" t="s">
        <v>134</v>
      </c>
      <c r="B135" t="s">
        <v>587</v>
      </c>
      <c r="C135">
        <v>7.5</v>
      </c>
      <c r="D135" t="s">
        <v>2163</v>
      </c>
      <c r="E135" t="s">
        <v>589</v>
      </c>
      <c r="F135">
        <v>10</v>
      </c>
      <c r="G135" t="s">
        <v>2</v>
      </c>
      <c r="H135" t="s">
        <v>1982</v>
      </c>
      <c r="I135" t="s">
        <v>4</v>
      </c>
      <c r="J135">
        <v>135</v>
      </c>
      <c r="K135" t="s">
        <v>5</v>
      </c>
      <c r="L135">
        <v>112</v>
      </c>
      <c r="M135" t="s">
        <v>6</v>
      </c>
      <c r="N135">
        <v>9.0799999999999699</v>
      </c>
      <c r="O135" t="s">
        <v>7</v>
      </c>
      <c r="P135">
        <v>6.7259259259259005E-2</v>
      </c>
      <c r="Q135" t="s">
        <v>8</v>
      </c>
      <c r="R135">
        <v>0.27169642857142801</v>
      </c>
      <c r="S135" t="s">
        <v>9</v>
      </c>
      <c r="T135">
        <v>-0.92826086956521803</v>
      </c>
      <c r="U135" t="s">
        <v>10</v>
      </c>
      <c r="V135">
        <v>0.122054239166388</v>
      </c>
      <c r="W135" t="s">
        <v>11</v>
      </c>
      <c r="X135" t="s">
        <v>2227</v>
      </c>
      <c r="Y135" t="s">
        <v>1262</v>
      </c>
      <c r="Z135">
        <v>0</v>
      </c>
      <c r="AA135" t="s">
        <v>14</v>
      </c>
      <c r="AB135" t="s">
        <v>15</v>
      </c>
      <c r="AC135" t="s">
        <v>2227</v>
      </c>
      <c r="AD135" t="s">
        <v>1262</v>
      </c>
      <c r="AE135">
        <v>0</v>
      </c>
      <c r="AF135" t="s">
        <v>18</v>
      </c>
    </row>
    <row r="136" spans="1:32" x14ac:dyDescent="0.3">
      <c r="A136" t="s">
        <v>134</v>
      </c>
      <c r="B136" t="s">
        <v>587</v>
      </c>
      <c r="C136">
        <v>7.5</v>
      </c>
      <c r="D136" t="s">
        <v>2163</v>
      </c>
      <c r="E136" t="s">
        <v>589</v>
      </c>
      <c r="F136">
        <v>10</v>
      </c>
      <c r="G136" t="s">
        <v>2</v>
      </c>
      <c r="H136" t="s">
        <v>1985</v>
      </c>
      <c r="I136" t="s">
        <v>4</v>
      </c>
      <c r="J136">
        <v>135</v>
      </c>
      <c r="K136" t="s">
        <v>5</v>
      </c>
      <c r="L136">
        <v>116</v>
      </c>
      <c r="M136" t="s">
        <v>6</v>
      </c>
      <c r="N136">
        <v>6.2299999999999702</v>
      </c>
      <c r="O136" t="s">
        <v>7</v>
      </c>
      <c r="P136">
        <v>4.6148148148147897E-2</v>
      </c>
      <c r="Q136" t="s">
        <v>8</v>
      </c>
      <c r="R136">
        <v>0.27077586206896498</v>
      </c>
      <c r="S136" t="s">
        <v>9</v>
      </c>
      <c r="T136">
        <v>-1.32526315789473</v>
      </c>
      <c r="U136" t="s">
        <v>10</v>
      </c>
      <c r="V136">
        <v>0.13207441573638401</v>
      </c>
      <c r="W136" t="s">
        <v>11</v>
      </c>
      <c r="X136" t="s">
        <v>2228</v>
      </c>
      <c r="Y136" t="s">
        <v>2229</v>
      </c>
      <c r="Z136">
        <v>0</v>
      </c>
      <c r="AA136" t="s">
        <v>14</v>
      </c>
      <c r="AB136" t="s">
        <v>15</v>
      </c>
      <c r="AC136" t="s">
        <v>2228</v>
      </c>
      <c r="AD136" t="s">
        <v>2229</v>
      </c>
      <c r="AE136">
        <v>0</v>
      </c>
      <c r="AF136" t="s">
        <v>18</v>
      </c>
    </row>
    <row r="137" spans="1:32" x14ac:dyDescent="0.3">
      <c r="A137" t="s">
        <v>134</v>
      </c>
      <c r="B137" t="s">
        <v>587</v>
      </c>
      <c r="C137">
        <v>7.5</v>
      </c>
      <c r="D137" t="s">
        <v>2163</v>
      </c>
      <c r="E137" t="s">
        <v>589</v>
      </c>
      <c r="F137">
        <v>10</v>
      </c>
      <c r="G137" t="s">
        <v>2</v>
      </c>
      <c r="H137" t="s">
        <v>1988</v>
      </c>
      <c r="I137" t="s">
        <v>4</v>
      </c>
      <c r="J137">
        <v>135</v>
      </c>
      <c r="K137" t="s">
        <v>5</v>
      </c>
      <c r="L137">
        <v>118</v>
      </c>
      <c r="M137" t="s">
        <v>6</v>
      </c>
      <c r="N137">
        <v>6.71999999999999</v>
      </c>
      <c r="O137" t="s">
        <v>7</v>
      </c>
      <c r="P137">
        <v>4.9777777777777699E-2</v>
      </c>
      <c r="Q137" t="s">
        <v>8</v>
      </c>
      <c r="R137">
        <v>0.27093220338982998</v>
      </c>
      <c r="S137" t="s">
        <v>9</v>
      </c>
      <c r="T137">
        <v>-1.48529411764705</v>
      </c>
      <c r="U137" t="s">
        <v>10</v>
      </c>
      <c r="V137">
        <v>0.13680532207810001</v>
      </c>
      <c r="W137" t="s">
        <v>11</v>
      </c>
      <c r="X137" t="s">
        <v>2228</v>
      </c>
      <c r="Y137" t="s">
        <v>2229</v>
      </c>
      <c r="Z137">
        <v>0</v>
      </c>
      <c r="AA137" t="s">
        <v>14</v>
      </c>
      <c r="AB137" t="s">
        <v>15</v>
      </c>
      <c r="AC137" t="s">
        <v>2228</v>
      </c>
      <c r="AD137" t="s">
        <v>2229</v>
      </c>
      <c r="AE137">
        <v>0</v>
      </c>
      <c r="AF137" t="s">
        <v>18</v>
      </c>
    </row>
    <row r="138" spans="1:32" x14ac:dyDescent="0.3">
      <c r="A138" t="s">
        <v>134</v>
      </c>
      <c r="B138" t="s">
        <v>587</v>
      </c>
      <c r="C138">
        <v>7.5</v>
      </c>
      <c r="D138" t="s">
        <v>2163</v>
      </c>
      <c r="E138" t="s">
        <v>589</v>
      </c>
      <c r="F138">
        <v>10</v>
      </c>
      <c r="G138" t="s">
        <v>27</v>
      </c>
      <c r="H138" t="s">
        <v>1991</v>
      </c>
      <c r="I138" t="s">
        <v>4</v>
      </c>
      <c r="J138">
        <v>140</v>
      </c>
      <c r="K138" t="s">
        <v>5</v>
      </c>
      <c r="L138">
        <v>98</v>
      </c>
      <c r="M138" t="s">
        <v>6</v>
      </c>
      <c r="N138">
        <v>6.27</v>
      </c>
      <c r="O138" t="s">
        <v>7</v>
      </c>
      <c r="P138">
        <v>4.47857142857142E-2</v>
      </c>
      <c r="Q138" t="s">
        <v>8</v>
      </c>
      <c r="R138">
        <v>0.38632653061224398</v>
      </c>
      <c r="S138" t="s">
        <v>9</v>
      </c>
      <c r="T138">
        <v>-0.752142857142857</v>
      </c>
      <c r="U138" t="s">
        <v>10</v>
      </c>
      <c r="V138">
        <v>0.121131562185818</v>
      </c>
      <c r="W138" t="s">
        <v>11</v>
      </c>
      <c r="X138" t="s">
        <v>2230</v>
      </c>
      <c r="Y138" t="s">
        <v>691</v>
      </c>
      <c r="Z138">
        <v>0</v>
      </c>
      <c r="AA138" t="s">
        <v>14</v>
      </c>
      <c r="AB138" t="s">
        <v>15</v>
      </c>
      <c r="AC138" t="s">
        <v>2230</v>
      </c>
      <c r="AD138" t="s">
        <v>691</v>
      </c>
      <c r="AE138">
        <v>0</v>
      </c>
      <c r="AF138" t="s">
        <v>18</v>
      </c>
    </row>
    <row r="139" spans="1:32" x14ac:dyDescent="0.3">
      <c r="A139" t="s">
        <v>134</v>
      </c>
      <c r="B139" t="s">
        <v>587</v>
      </c>
      <c r="C139">
        <v>7.5</v>
      </c>
      <c r="D139" t="s">
        <v>2163</v>
      </c>
      <c r="E139" t="s">
        <v>589</v>
      </c>
      <c r="F139">
        <v>10</v>
      </c>
      <c r="G139" t="s">
        <v>27</v>
      </c>
      <c r="H139" t="s">
        <v>1994</v>
      </c>
      <c r="I139" t="s">
        <v>4</v>
      </c>
      <c r="J139">
        <v>140</v>
      </c>
      <c r="K139" t="s">
        <v>5</v>
      </c>
      <c r="L139">
        <v>117</v>
      </c>
      <c r="M139" t="s">
        <v>6</v>
      </c>
      <c r="N139">
        <v>20.2638942765408</v>
      </c>
      <c r="O139" t="s">
        <v>7</v>
      </c>
      <c r="P139">
        <v>0.144742101975291</v>
      </c>
      <c r="Q139" t="s">
        <v>8</v>
      </c>
      <c r="R139">
        <v>0.40071704509863898</v>
      </c>
      <c r="S139" t="s">
        <v>9</v>
      </c>
      <c r="T139">
        <v>-1.1573913043478199</v>
      </c>
      <c r="U139" t="s">
        <v>10</v>
      </c>
      <c r="V139">
        <v>0.16383064984949</v>
      </c>
      <c r="W139" t="s">
        <v>11</v>
      </c>
      <c r="X139" t="s">
        <v>2230</v>
      </c>
      <c r="Y139" t="s">
        <v>691</v>
      </c>
      <c r="Z139">
        <v>0</v>
      </c>
      <c r="AA139" t="s">
        <v>14</v>
      </c>
      <c r="AB139" t="s">
        <v>15</v>
      </c>
      <c r="AC139" t="s">
        <v>2230</v>
      </c>
      <c r="AD139" t="s">
        <v>691</v>
      </c>
      <c r="AE139">
        <v>0</v>
      </c>
      <c r="AF139" t="s">
        <v>18</v>
      </c>
    </row>
    <row r="140" spans="1:32" x14ac:dyDescent="0.3">
      <c r="A140" t="s">
        <v>134</v>
      </c>
      <c r="B140" t="s">
        <v>587</v>
      </c>
      <c r="C140">
        <v>7.5</v>
      </c>
      <c r="D140" t="s">
        <v>2163</v>
      </c>
      <c r="E140" t="s">
        <v>589</v>
      </c>
      <c r="F140">
        <v>10</v>
      </c>
      <c r="G140" t="s">
        <v>27</v>
      </c>
      <c r="H140" t="s">
        <v>1996</v>
      </c>
      <c r="I140" t="s">
        <v>4</v>
      </c>
      <c r="J140">
        <v>140</v>
      </c>
      <c r="K140" t="s">
        <v>5</v>
      </c>
      <c r="L140">
        <v>119</v>
      </c>
      <c r="M140" t="s">
        <v>6</v>
      </c>
      <c r="N140">
        <v>15.773894276540799</v>
      </c>
      <c r="O140" t="s">
        <v>7</v>
      </c>
      <c r="P140">
        <v>0.112670673403863</v>
      </c>
      <c r="Q140" t="s">
        <v>8</v>
      </c>
      <c r="R140">
        <v>0.39978062417261201</v>
      </c>
      <c r="S140" t="s">
        <v>9</v>
      </c>
      <c r="T140">
        <v>-1.51428571428571</v>
      </c>
      <c r="U140" t="s">
        <v>10</v>
      </c>
      <c r="V140">
        <v>0.173052984770698</v>
      </c>
      <c r="W140" t="s">
        <v>11</v>
      </c>
      <c r="X140" t="s">
        <v>2231</v>
      </c>
      <c r="Y140" t="s">
        <v>2050</v>
      </c>
      <c r="Z140">
        <v>0</v>
      </c>
      <c r="AA140" t="s">
        <v>14</v>
      </c>
      <c r="AB140" t="s">
        <v>15</v>
      </c>
      <c r="AC140" t="s">
        <v>2232</v>
      </c>
      <c r="AD140" t="s">
        <v>2050</v>
      </c>
      <c r="AE140">
        <v>0</v>
      </c>
      <c r="AF140" t="s">
        <v>18</v>
      </c>
    </row>
    <row r="141" spans="1:32" x14ac:dyDescent="0.3">
      <c r="A141" t="s">
        <v>134</v>
      </c>
      <c r="B141" t="s">
        <v>587</v>
      </c>
      <c r="C141">
        <v>7.5</v>
      </c>
      <c r="D141" t="s">
        <v>2163</v>
      </c>
      <c r="E141" t="s">
        <v>589</v>
      </c>
      <c r="F141">
        <v>10</v>
      </c>
      <c r="G141" t="s">
        <v>27</v>
      </c>
      <c r="H141" t="s">
        <v>1997</v>
      </c>
      <c r="I141" t="s">
        <v>4</v>
      </c>
      <c r="J141">
        <v>140</v>
      </c>
      <c r="K141" t="s">
        <v>5</v>
      </c>
      <c r="L141">
        <v>120</v>
      </c>
      <c r="M141" t="s">
        <v>6</v>
      </c>
      <c r="N141">
        <v>8.7238942765408201</v>
      </c>
      <c r="O141" t="s">
        <v>7</v>
      </c>
      <c r="P141">
        <v>6.2313530546720099E-2</v>
      </c>
      <c r="Q141" t="s">
        <v>8</v>
      </c>
      <c r="R141">
        <v>0.39861578563784</v>
      </c>
      <c r="S141" t="s">
        <v>9</v>
      </c>
      <c r="T141">
        <v>-1.9555</v>
      </c>
      <c r="U141" t="s">
        <v>10</v>
      </c>
      <c r="V141">
        <v>0.21388833475616301</v>
      </c>
      <c r="W141" t="s">
        <v>11</v>
      </c>
      <c r="X141" t="s">
        <v>2233</v>
      </c>
      <c r="Y141" t="s">
        <v>635</v>
      </c>
      <c r="Z141">
        <v>0</v>
      </c>
      <c r="AA141" t="s">
        <v>14</v>
      </c>
      <c r="AB141" t="s">
        <v>15</v>
      </c>
      <c r="AC141" t="s">
        <v>2233</v>
      </c>
      <c r="AD141" t="s">
        <v>635</v>
      </c>
      <c r="AE141">
        <v>0</v>
      </c>
      <c r="AF141" t="s">
        <v>18</v>
      </c>
    </row>
    <row r="142" spans="1:32" x14ac:dyDescent="0.3">
      <c r="A142" t="s">
        <v>134</v>
      </c>
      <c r="B142" t="s">
        <v>587</v>
      </c>
      <c r="C142">
        <v>7.5</v>
      </c>
      <c r="D142" t="s">
        <v>2163</v>
      </c>
      <c r="E142" t="s">
        <v>589</v>
      </c>
      <c r="F142">
        <v>10</v>
      </c>
      <c r="G142" t="s">
        <v>2174</v>
      </c>
      <c r="H142" t="s">
        <v>1999</v>
      </c>
      <c r="I142" t="s">
        <v>4</v>
      </c>
      <c r="J142">
        <v>139</v>
      </c>
      <c r="K142" t="s">
        <v>5</v>
      </c>
      <c r="L142">
        <v>91</v>
      </c>
      <c r="M142" t="s">
        <v>6</v>
      </c>
      <c r="N142">
        <v>-1.24611871009524</v>
      </c>
      <c r="O142" t="s">
        <v>7</v>
      </c>
      <c r="P142">
        <v>-8.96488280644063E-3</v>
      </c>
      <c r="Q142" t="s">
        <v>8</v>
      </c>
      <c r="R142">
        <v>0.47372764264173101</v>
      </c>
      <c r="S142" t="s">
        <v>9</v>
      </c>
      <c r="T142">
        <v>-0.92406946230193399</v>
      </c>
      <c r="U142" t="s">
        <v>10</v>
      </c>
      <c r="V142">
        <v>0.14111593254699201</v>
      </c>
      <c r="W142" t="s">
        <v>11</v>
      </c>
      <c r="X142" t="s">
        <v>2230</v>
      </c>
      <c r="Y142" t="s">
        <v>691</v>
      </c>
      <c r="Z142">
        <v>0</v>
      </c>
      <c r="AA142" t="s">
        <v>14</v>
      </c>
      <c r="AB142" t="s">
        <v>15</v>
      </c>
      <c r="AC142" t="s">
        <v>2230</v>
      </c>
      <c r="AD142" t="s">
        <v>691</v>
      </c>
      <c r="AE142">
        <v>0</v>
      </c>
      <c r="AF142" t="s">
        <v>18</v>
      </c>
    </row>
    <row r="143" spans="1:32" x14ac:dyDescent="0.3">
      <c r="A143" t="s">
        <v>134</v>
      </c>
      <c r="B143" t="s">
        <v>587</v>
      </c>
      <c r="C143">
        <v>7.5</v>
      </c>
      <c r="D143" t="s">
        <v>2163</v>
      </c>
      <c r="E143" t="s">
        <v>589</v>
      </c>
      <c r="F143">
        <v>10</v>
      </c>
      <c r="G143" t="s">
        <v>2174</v>
      </c>
      <c r="H143" t="s">
        <v>2002</v>
      </c>
      <c r="I143" t="s">
        <v>4</v>
      </c>
      <c r="J143">
        <v>139</v>
      </c>
      <c r="K143" t="s">
        <v>5</v>
      </c>
      <c r="L143">
        <v>106</v>
      </c>
      <c r="M143" t="s">
        <v>6</v>
      </c>
      <c r="N143">
        <v>1.4814242897632499</v>
      </c>
      <c r="O143" t="s">
        <v>7</v>
      </c>
      <c r="P143">
        <v>1.06577287033328E-2</v>
      </c>
      <c r="Q143" t="s">
        <v>8</v>
      </c>
      <c r="R143">
        <v>0.47484065808432502</v>
      </c>
      <c r="S143" t="s">
        <v>9</v>
      </c>
      <c r="T143">
        <v>-1.4803541050659099</v>
      </c>
      <c r="U143" t="s">
        <v>10</v>
      </c>
      <c r="V143">
        <v>0.175295860400216</v>
      </c>
      <c r="W143" t="s">
        <v>11</v>
      </c>
      <c r="X143" t="s">
        <v>2230</v>
      </c>
      <c r="Y143" t="s">
        <v>691</v>
      </c>
      <c r="Z143">
        <v>0</v>
      </c>
      <c r="AA143" t="s">
        <v>14</v>
      </c>
      <c r="AB143" t="s">
        <v>15</v>
      </c>
      <c r="AC143" t="s">
        <v>2230</v>
      </c>
      <c r="AD143" t="s">
        <v>691</v>
      </c>
      <c r="AE143">
        <v>0</v>
      </c>
      <c r="AF143" t="s">
        <v>18</v>
      </c>
    </row>
    <row r="144" spans="1:32" x14ac:dyDescent="0.3">
      <c r="A144" t="s">
        <v>134</v>
      </c>
      <c r="B144" t="s">
        <v>587</v>
      </c>
      <c r="C144">
        <v>7.5</v>
      </c>
      <c r="D144" t="s">
        <v>2163</v>
      </c>
      <c r="E144" t="s">
        <v>589</v>
      </c>
      <c r="F144">
        <v>10</v>
      </c>
      <c r="G144" t="s">
        <v>2174</v>
      </c>
      <c r="H144" t="s">
        <v>2004</v>
      </c>
      <c r="I144" t="s">
        <v>4</v>
      </c>
      <c r="J144">
        <v>139</v>
      </c>
      <c r="K144" t="s">
        <v>5</v>
      </c>
      <c r="L144">
        <v>109</v>
      </c>
      <c r="M144" t="s">
        <v>6</v>
      </c>
      <c r="N144">
        <v>0.189226188685198</v>
      </c>
      <c r="O144" t="s">
        <v>7</v>
      </c>
      <c r="P144">
        <v>1.36133948694387E-3</v>
      </c>
      <c r="Q144" t="s">
        <v>8</v>
      </c>
      <c r="R144">
        <v>0.47351476841227902</v>
      </c>
      <c r="S144" t="s">
        <v>9</v>
      </c>
      <c r="T144">
        <v>-1.7141294522751001</v>
      </c>
      <c r="U144" t="s">
        <v>10</v>
      </c>
      <c r="V144">
        <v>0.209839869177982</v>
      </c>
      <c r="W144" t="s">
        <v>11</v>
      </c>
      <c r="X144" t="s">
        <v>2234</v>
      </c>
      <c r="Y144" t="s">
        <v>733</v>
      </c>
      <c r="Z144">
        <v>0</v>
      </c>
      <c r="AA144" t="s">
        <v>14</v>
      </c>
      <c r="AB144" t="s">
        <v>15</v>
      </c>
      <c r="AC144" t="s">
        <v>2234</v>
      </c>
      <c r="AD144" t="s">
        <v>733</v>
      </c>
      <c r="AE144">
        <v>0</v>
      </c>
      <c r="AF144" t="s">
        <v>18</v>
      </c>
    </row>
    <row r="145" spans="1:32" x14ac:dyDescent="0.3">
      <c r="A145" t="s">
        <v>134</v>
      </c>
      <c r="B145" t="s">
        <v>587</v>
      </c>
      <c r="C145">
        <v>7.5</v>
      </c>
      <c r="D145" t="s">
        <v>2163</v>
      </c>
      <c r="E145" t="s">
        <v>589</v>
      </c>
      <c r="F145">
        <v>10</v>
      </c>
      <c r="G145" t="s">
        <v>2174</v>
      </c>
      <c r="H145" t="s">
        <v>2005</v>
      </c>
      <c r="I145" t="s">
        <v>4</v>
      </c>
      <c r="J145">
        <v>139</v>
      </c>
      <c r="K145" t="s">
        <v>5</v>
      </c>
      <c r="L145">
        <v>110</v>
      </c>
      <c r="M145" t="s">
        <v>6</v>
      </c>
      <c r="N145">
        <v>-3.1007738113148</v>
      </c>
      <c r="O145" t="s">
        <v>7</v>
      </c>
      <c r="P145">
        <v>-2.2307725261257599E-2</v>
      </c>
      <c r="Q145" t="s">
        <v>8</v>
      </c>
      <c r="R145">
        <v>0.47239190688125798</v>
      </c>
      <c r="S145" t="s">
        <v>9</v>
      </c>
      <c r="T145">
        <v>-1.8987546058018301</v>
      </c>
      <c r="U145" t="s">
        <v>10</v>
      </c>
      <c r="V145">
        <v>0.239815260715807</v>
      </c>
      <c r="W145" t="s">
        <v>11</v>
      </c>
      <c r="X145" t="s">
        <v>2233</v>
      </c>
      <c r="Y145" t="s">
        <v>635</v>
      </c>
      <c r="Z145">
        <v>0</v>
      </c>
      <c r="AA145" t="s">
        <v>14</v>
      </c>
      <c r="AB145" t="s">
        <v>15</v>
      </c>
      <c r="AC145" t="s">
        <v>2233</v>
      </c>
      <c r="AD145" t="s">
        <v>635</v>
      </c>
      <c r="AE145">
        <v>0</v>
      </c>
      <c r="AF145" t="s">
        <v>18</v>
      </c>
    </row>
    <row r="146" spans="1:32" x14ac:dyDescent="0.3">
      <c r="A146" t="s">
        <v>175</v>
      </c>
      <c r="B146" t="s">
        <v>587</v>
      </c>
      <c r="C146">
        <v>0</v>
      </c>
      <c r="D146" t="s">
        <v>2163</v>
      </c>
      <c r="E146" t="s">
        <v>589</v>
      </c>
      <c r="F146">
        <v>2.5</v>
      </c>
      <c r="G146" t="s">
        <v>2</v>
      </c>
      <c r="H146" t="s">
        <v>1979</v>
      </c>
      <c r="I146" t="s">
        <v>4</v>
      </c>
      <c r="J146">
        <v>90</v>
      </c>
      <c r="K146" t="s">
        <v>5</v>
      </c>
      <c r="L146">
        <v>65</v>
      </c>
      <c r="M146" t="s">
        <v>6</v>
      </c>
      <c r="N146">
        <v>19.6999999999999</v>
      </c>
      <c r="O146" t="s">
        <v>7</v>
      </c>
      <c r="P146">
        <v>0.21888888888888799</v>
      </c>
      <c r="Q146" t="s">
        <v>8</v>
      </c>
      <c r="R146">
        <v>0.77661538461538404</v>
      </c>
      <c r="S146" t="s">
        <v>9</v>
      </c>
      <c r="T146">
        <v>-1.2312000000000001</v>
      </c>
      <c r="U146" t="s">
        <v>10</v>
      </c>
      <c r="V146">
        <v>0.14522078910314701</v>
      </c>
      <c r="W146" t="s">
        <v>11</v>
      </c>
      <c r="X146" t="s">
        <v>2206</v>
      </c>
      <c r="Y146" t="s">
        <v>1431</v>
      </c>
      <c r="Z146">
        <v>0</v>
      </c>
      <c r="AA146" t="s">
        <v>14</v>
      </c>
      <c r="AB146" t="s">
        <v>15</v>
      </c>
      <c r="AC146" t="s">
        <v>2206</v>
      </c>
      <c r="AD146" t="s">
        <v>1431</v>
      </c>
      <c r="AE146">
        <v>0</v>
      </c>
      <c r="AF146" t="s">
        <v>18</v>
      </c>
    </row>
    <row r="147" spans="1:32" x14ac:dyDescent="0.3">
      <c r="A147" t="s">
        <v>175</v>
      </c>
      <c r="B147" t="s">
        <v>587</v>
      </c>
      <c r="C147">
        <v>0</v>
      </c>
      <c r="D147" t="s">
        <v>2163</v>
      </c>
      <c r="E147" t="s">
        <v>589</v>
      </c>
      <c r="F147">
        <v>2.5</v>
      </c>
      <c r="G147" t="s">
        <v>2</v>
      </c>
      <c r="H147" t="s">
        <v>1982</v>
      </c>
      <c r="I147" t="s">
        <v>4</v>
      </c>
      <c r="J147">
        <v>90</v>
      </c>
      <c r="K147" t="s">
        <v>5</v>
      </c>
      <c r="L147">
        <v>66</v>
      </c>
      <c r="M147" t="s">
        <v>6</v>
      </c>
      <c r="N147">
        <v>19.779999999999902</v>
      </c>
      <c r="O147" t="s">
        <v>7</v>
      </c>
      <c r="P147">
        <v>0.21977777777777699</v>
      </c>
      <c r="Q147" t="s">
        <v>8</v>
      </c>
      <c r="R147">
        <v>0.77712121212121099</v>
      </c>
      <c r="S147" t="s">
        <v>9</v>
      </c>
      <c r="T147">
        <v>-1.3129166666666601</v>
      </c>
      <c r="U147" t="s">
        <v>10</v>
      </c>
      <c r="V147">
        <v>0.15146892157800801</v>
      </c>
      <c r="W147" t="s">
        <v>11</v>
      </c>
      <c r="X147" t="s">
        <v>2206</v>
      </c>
      <c r="Y147" t="s">
        <v>1431</v>
      </c>
      <c r="Z147">
        <v>0</v>
      </c>
      <c r="AA147" t="s">
        <v>14</v>
      </c>
      <c r="AB147" t="s">
        <v>15</v>
      </c>
      <c r="AC147" t="s">
        <v>2206</v>
      </c>
      <c r="AD147" t="s">
        <v>1431</v>
      </c>
      <c r="AE147">
        <v>0</v>
      </c>
      <c r="AF147" t="s">
        <v>18</v>
      </c>
    </row>
    <row r="148" spans="1:32" x14ac:dyDescent="0.3">
      <c r="A148" t="s">
        <v>175</v>
      </c>
      <c r="B148" t="s">
        <v>587</v>
      </c>
      <c r="C148">
        <v>0</v>
      </c>
      <c r="D148" t="s">
        <v>2163</v>
      </c>
      <c r="E148" t="s">
        <v>589</v>
      </c>
      <c r="F148">
        <v>2.5</v>
      </c>
      <c r="G148" t="s">
        <v>2</v>
      </c>
      <c r="H148" t="s">
        <v>1985</v>
      </c>
      <c r="I148" t="s">
        <v>4</v>
      </c>
      <c r="J148">
        <v>90</v>
      </c>
      <c r="K148" t="s">
        <v>5</v>
      </c>
      <c r="L148">
        <v>66</v>
      </c>
      <c r="M148" t="s">
        <v>6</v>
      </c>
      <c r="N148">
        <v>19.779999999999902</v>
      </c>
      <c r="O148" t="s">
        <v>7</v>
      </c>
      <c r="P148">
        <v>0.21977777777777699</v>
      </c>
      <c r="Q148" t="s">
        <v>8</v>
      </c>
      <c r="R148">
        <v>0.77712121212121099</v>
      </c>
      <c r="S148" t="s">
        <v>9</v>
      </c>
      <c r="T148">
        <v>-1.3129166666666601</v>
      </c>
      <c r="U148" t="s">
        <v>10</v>
      </c>
      <c r="V148">
        <v>0.15146892157800801</v>
      </c>
      <c r="W148" t="s">
        <v>11</v>
      </c>
      <c r="X148" t="s">
        <v>2206</v>
      </c>
      <c r="Y148" t="s">
        <v>1431</v>
      </c>
      <c r="Z148">
        <v>0</v>
      </c>
      <c r="AA148" t="s">
        <v>14</v>
      </c>
      <c r="AB148" t="s">
        <v>15</v>
      </c>
      <c r="AC148" t="s">
        <v>2206</v>
      </c>
      <c r="AD148" t="s">
        <v>1431</v>
      </c>
      <c r="AE148">
        <v>0</v>
      </c>
      <c r="AF148" t="s">
        <v>18</v>
      </c>
    </row>
    <row r="149" spans="1:32" x14ac:dyDescent="0.3">
      <c r="A149" t="s">
        <v>175</v>
      </c>
      <c r="B149" t="s">
        <v>587</v>
      </c>
      <c r="C149">
        <v>0</v>
      </c>
      <c r="D149" t="s">
        <v>2163</v>
      </c>
      <c r="E149" t="s">
        <v>589</v>
      </c>
      <c r="F149">
        <v>2.5</v>
      </c>
      <c r="G149" t="s">
        <v>2</v>
      </c>
      <c r="H149" t="s">
        <v>1988</v>
      </c>
      <c r="I149" t="s">
        <v>4</v>
      </c>
      <c r="J149">
        <v>90</v>
      </c>
      <c r="K149" t="s">
        <v>5</v>
      </c>
      <c r="L149">
        <v>67</v>
      </c>
      <c r="M149" t="s">
        <v>6</v>
      </c>
      <c r="N149">
        <v>29.729999999999901</v>
      </c>
      <c r="O149" t="s">
        <v>7</v>
      </c>
      <c r="P149">
        <v>0.33033333333333298</v>
      </c>
      <c r="Q149" t="s">
        <v>8</v>
      </c>
      <c r="R149">
        <v>0.87298507462686503</v>
      </c>
      <c r="S149" t="s">
        <v>9</v>
      </c>
      <c r="T149">
        <v>-1.2504347826086899</v>
      </c>
      <c r="U149" t="s">
        <v>10</v>
      </c>
      <c r="V149">
        <v>0.21392836304229401</v>
      </c>
      <c r="W149" t="s">
        <v>11</v>
      </c>
      <c r="X149" t="s">
        <v>2207</v>
      </c>
      <c r="Y149" t="s">
        <v>595</v>
      </c>
      <c r="Z149">
        <v>0</v>
      </c>
      <c r="AA149" t="s">
        <v>14</v>
      </c>
      <c r="AB149" t="s">
        <v>15</v>
      </c>
      <c r="AC149" t="s">
        <v>2207</v>
      </c>
      <c r="AD149" t="s">
        <v>595</v>
      </c>
      <c r="AE149">
        <v>0</v>
      </c>
      <c r="AF149" t="s">
        <v>18</v>
      </c>
    </row>
    <row r="150" spans="1:32" x14ac:dyDescent="0.3">
      <c r="A150" t="s">
        <v>175</v>
      </c>
      <c r="B150" t="s">
        <v>587</v>
      </c>
      <c r="C150">
        <v>0</v>
      </c>
      <c r="D150" t="s">
        <v>2163</v>
      </c>
      <c r="E150" t="s">
        <v>589</v>
      </c>
      <c r="F150">
        <v>2.5</v>
      </c>
      <c r="G150" t="s">
        <v>27</v>
      </c>
      <c r="H150" t="s">
        <v>1991</v>
      </c>
      <c r="I150" t="s">
        <v>4</v>
      </c>
      <c r="J150">
        <v>95</v>
      </c>
      <c r="K150" t="s">
        <v>5</v>
      </c>
      <c r="L150">
        <v>69</v>
      </c>
      <c r="M150" t="s">
        <v>6</v>
      </c>
      <c r="N150">
        <v>15.6899999999999</v>
      </c>
      <c r="O150" t="s">
        <v>7</v>
      </c>
      <c r="P150">
        <v>0.165157894736841</v>
      </c>
      <c r="Q150" t="s">
        <v>8</v>
      </c>
      <c r="R150">
        <v>0.77521739130434697</v>
      </c>
      <c r="S150" t="s">
        <v>9</v>
      </c>
      <c r="T150">
        <v>-1.45384615384615</v>
      </c>
      <c r="U150" t="s">
        <v>10</v>
      </c>
      <c r="V150">
        <v>0.17006422046362599</v>
      </c>
      <c r="W150" t="s">
        <v>11</v>
      </c>
      <c r="X150" t="s">
        <v>2208</v>
      </c>
      <c r="Y150" t="s">
        <v>2209</v>
      </c>
      <c r="Z150">
        <v>0</v>
      </c>
      <c r="AA150" t="s">
        <v>14</v>
      </c>
      <c r="AB150" t="s">
        <v>15</v>
      </c>
      <c r="AC150" t="s">
        <v>2208</v>
      </c>
      <c r="AD150" t="s">
        <v>2209</v>
      </c>
      <c r="AE150">
        <v>0</v>
      </c>
      <c r="AF150" t="s">
        <v>18</v>
      </c>
    </row>
    <row r="151" spans="1:32" x14ac:dyDescent="0.3">
      <c r="A151" t="s">
        <v>175</v>
      </c>
      <c r="B151" t="s">
        <v>587</v>
      </c>
      <c r="C151">
        <v>0</v>
      </c>
      <c r="D151" t="s">
        <v>2163</v>
      </c>
      <c r="E151" t="s">
        <v>589</v>
      </c>
      <c r="F151">
        <v>2.5</v>
      </c>
      <c r="G151" t="s">
        <v>27</v>
      </c>
      <c r="H151" t="s">
        <v>1994</v>
      </c>
      <c r="I151" t="s">
        <v>4</v>
      </c>
      <c r="J151">
        <v>95</v>
      </c>
      <c r="K151" t="s">
        <v>5</v>
      </c>
      <c r="L151">
        <v>74</v>
      </c>
      <c r="M151" t="s">
        <v>6</v>
      </c>
      <c r="N151">
        <v>26.989881927069799</v>
      </c>
      <c r="O151" t="s">
        <v>7</v>
      </c>
      <c r="P151">
        <v>0.28410402028494502</v>
      </c>
      <c r="Q151" t="s">
        <v>8</v>
      </c>
      <c r="R151">
        <v>0.78783783783783701</v>
      </c>
      <c r="S151" t="s">
        <v>9</v>
      </c>
      <c r="T151">
        <v>-1.49095800347286</v>
      </c>
      <c r="U151" t="s">
        <v>10</v>
      </c>
      <c r="V151">
        <v>0.19001463716217201</v>
      </c>
      <c r="W151" t="s">
        <v>11</v>
      </c>
      <c r="X151" t="s">
        <v>2208</v>
      </c>
      <c r="Y151" t="s">
        <v>2209</v>
      </c>
      <c r="Z151">
        <v>0</v>
      </c>
      <c r="AA151" t="s">
        <v>14</v>
      </c>
      <c r="AB151" t="s">
        <v>15</v>
      </c>
      <c r="AC151" t="s">
        <v>2208</v>
      </c>
      <c r="AD151" t="s">
        <v>2209</v>
      </c>
      <c r="AE151">
        <v>0</v>
      </c>
      <c r="AF151" t="s">
        <v>18</v>
      </c>
    </row>
    <row r="152" spans="1:32" x14ac:dyDescent="0.3">
      <c r="A152" t="s">
        <v>175</v>
      </c>
      <c r="B152" t="s">
        <v>587</v>
      </c>
      <c r="C152">
        <v>0</v>
      </c>
      <c r="D152" t="s">
        <v>2163</v>
      </c>
      <c r="E152" t="s">
        <v>589</v>
      </c>
      <c r="F152">
        <v>2.5</v>
      </c>
      <c r="G152" t="s">
        <v>27</v>
      </c>
      <c r="H152" t="s">
        <v>1996</v>
      </c>
      <c r="I152" t="s">
        <v>4</v>
      </c>
      <c r="J152">
        <v>95</v>
      </c>
      <c r="K152" t="s">
        <v>5</v>
      </c>
      <c r="L152">
        <v>75</v>
      </c>
      <c r="M152" t="s">
        <v>6</v>
      </c>
      <c r="N152">
        <v>34.949999999999903</v>
      </c>
      <c r="O152" t="s">
        <v>7</v>
      </c>
      <c r="P152">
        <v>0.367894736842104</v>
      </c>
      <c r="Q152" t="s">
        <v>8</v>
      </c>
      <c r="R152">
        <v>0.78959999999999897</v>
      </c>
      <c r="S152" t="s">
        <v>9</v>
      </c>
      <c r="T152">
        <v>-1.21349999999999</v>
      </c>
      <c r="U152" t="s">
        <v>10</v>
      </c>
      <c r="V152">
        <v>0.22139851455509901</v>
      </c>
      <c r="W152" t="s">
        <v>11</v>
      </c>
      <c r="X152" t="s">
        <v>2208</v>
      </c>
      <c r="Y152" t="s">
        <v>2209</v>
      </c>
      <c r="Z152">
        <v>0</v>
      </c>
      <c r="AA152" t="s">
        <v>14</v>
      </c>
      <c r="AB152" t="s">
        <v>15</v>
      </c>
      <c r="AC152" t="s">
        <v>2210</v>
      </c>
      <c r="AD152" t="s">
        <v>2211</v>
      </c>
      <c r="AE152">
        <v>0</v>
      </c>
      <c r="AF152" t="s">
        <v>18</v>
      </c>
    </row>
    <row r="153" spans="1:32" x14ac:dyDescent="0.3">
      <c r="A153" t="s">
        <v>175</v>
      </c>
      <c r="B153" t="s">
        <v>587</v>
      </c>
      <c r="C153">
        <v>0</v>
      </c>
      <c r="D153" t="s">
        <v>2163</v>
      </c>
      <c r="E153" t="s">
        <v>589</v>
      </c>
      <c r="F153">
        <v>2.5</v>
      </c>
      <c r="G153" t="s">
        <v>27</v>
      </c>
      <c r="H153" t="s">
        <v>1997</v>
      </c>
      <c r="I153" t="s">
        <v>4</v>
      </c>
      <c r="J153">
        <v>95</v>
      </c>
      <c r="K153" t="s">
        <v>5</v>
      </c>
      <c r="L153">
        <v>76</v>
      </c>
      <c r="M153" t="s">
        <v>6</v>
      </c>
      <c r="N153">
        <v>44.899999999999899</v>
      </c>
      <c r="O153" t="s">
        <v>7</v>
      </c>
      <c r="P153">
        <v>0.47263157894736801</v>
      </c>
      <c r="Q153" t="s">
        <v>8</v>
      </c>
      <c r="R153">
        <v>0.87394736842105203</v>
      </c>
      <c r="S153" t="s">
        <v>9</v>
      </c>
      <c r="T153">
        <v>-1.13263157894736</v>
      </c>
      <c r="U153" t="s">
        <v>10</v>
      </c>
      <c r="V153">
        <v>0.26485466767834698</v>
      </c>
      <c r="W153" t="s">
        <v>11</v>
      </c>
      <c r="X153" t="s">
        <v>2208</v>
      </c>
      <c r="Y153" t="s">
        <v>2209</v>
      </c>
      <c r="Z153">
        <v>0</v>
      </c>
      <c r="AA153" t="s">
        <v>14</v>
      </c>
      <c r="AB153" t="s">
        <v>15</v>
      </c>
      <c r="AC153" t="s">
        <v>2210</v>
      </c>
      <c r="AD153" t="s">
        <v>2211</v>
      </c>
      <c r="AE153">
        <v>0</v>
      </c>
      <c r="AF153" t="s">
        <v>18</v>
      </c>
    </row>
    <row r="154" spans="1:32" x14ac:dyDescent="0.3">
      <c r="A154" t="s">
        <v>175</v>
      </c>
      <c r="B154" t="s">
        <v>587</v>
      </c>
      <c r="C154">
        <v>0</v>
      </c>
      <c r="D154" t="s">
        <v>2163</v>
      </c>
      <c r="E154" t="s">
        <v>589</v>
      </c>
      <c r="F154">
        <v>2.5</v>
      </c>
      <c r="G154" t="s">
        <v>2174</v>
      </c>
      <c r="H154" t="s">
        <v>1999</v>
      </c>
      <c r="I154" t="s">
        <v>4</v>
      </c>
      <c r="J154">
        <v>96</v>
      </c>
      <c r="K154" t="s">
        <v>5</v>
      </c>
      <c r="L154">
        <v>60</v>
      </c>
      <c r="M154" t="s">
        <v>6</v>
      </c>
      <c r="N154">
        <v>0.89834617881895495</v>
      </c>
      <c r="O154" t="s">
        <v>7</v>
      </c>
      <c r="P154">
        <v>9.3577726960307802E-3</v>
      </c>
      <c r="Q154" t="s">
        <v>8</v>
      </c>
      <c r="R154">
        <v>0.83444276930032002</v>
      </c>
      <c r="S154" t="s">
        <v>9</v>
      </c>
      <c r="T154">
        <v>-1.36578388831111</v>
      </c>
      <c r="U154" t="s">
        <v>10</v>
      </c>
      <c r="V154">
        <v>0.19047345281223599</v>
      </c>
      <c r="W154" t="s">
        <v>11</v>
      </c>
      <c r="X154" t="s">
        <v>2208</v>
      </c>
      <c r="Y154" t="s">
        <v>2209</v>
      </c>
      <c r="Z154">
        <v>0</v>
      </c>
      <c r="AA154" t="s">
        <v>14</v>
      </c>
      <c r="AB154" t="s">
        <v>15</v>
      </c>
      <c r="AC154" t="s">
        <v>2208</v>
      </c>
      <c r="AD154" t="s">
        <v>2209</v>
      </c>
      <c r="AE154">
        <v>0</v>
      </c>
      <c r="AF154" t="s">
        <v>18</v>
      </c>
    </row>
    <row r="155" spans="1:32" x14ac:dyDescent="0.3">
      <c r="A155" t="s">
        <v>175</v>
      </c>
      <c r="B155" t="s">
        <v>587</v>
      </c>
      <c r="C155">
        <v>0</v>
      </c>
      <c r="D155" t="s">
        <v>2163</v>
      </c>
      <c r="E155" t="s">
        <v>589</v>
      </c>
      <c r="F155">
        <v>2.5</v>
      </c>
      <c r="G155" t="s">
        <v>2174</v>
      </c>
      <c r="H155" t="s">
        <v>2002</v>
      </c>
      <c r="I155" t="s">
        <v>4</v>
      </c>
      <c r="J155">
        <v>96</v>
      </c>
      <c r="K155" t="s">
        <v>5</v>
      </c>
      <c r="L155">
        <v>69</v>
      </c>
      <c r="M155" t="s">
        <v>6</v>
      </c>
      <c r="N155">
        <v>19.924449028469699</v>
      </c>
      <c r="O155" t="s">
        <v>7</v>
      </c>
      <c r="P155">
        <v>0.207546344046559</v>
      </c>
      <c r="Q155" t="s">
        <v>8</v>
      </c>
      <c r="R155">
        <v>0.85492699629422397</v>
      </c>
      <c r="S155" t="s">
        <v>9</v>
      </c>
      <c r="T155">
        <v>-1.44687087836413</v>
      </c>
      <c r="U155" t="s">
        <v>10</v>
      </c>
      <c r="V155">
        <v>0.230157464571666</v>
      </c>
      <c r="W155" t="s">
        <v>11</v>
      </c>
      <c r="X155" t="s">
        <v>2208</v>
      </c>
      <c r="Y155" t="s">
        <v>2209</v>
      </c>
      <c r="Z155">
        <v>0</v>
      </c>
      <c r="AA155" t="s">
        <v>14</v>
      </c>
      <c r="AB155" t="s">
        <v>15</v>
      </c>
      <c r="AC155" t="s">
        <v>2208</v>
      </c>
      <c r="AD155" t="s">
        <v>2209</v>
      </c>
      <c r="AE155">
        <v>0</v>
      </c>
      <c r="AF155" t="s">
        <v>18</v>
      </c>
    </row>
    <row r="156" spans="1:32" x14ac:dyDescent="0.3">
      <c r="A156" t="s">
        <v>175</v>
      </c>
      <c r="B156" t="s">
        <v>587</v>
      </c>
      <c r="C156">
        <v>0</v>
      </c>
      <c r="D156" t="s">
        <v>2163</v>
      </c>
      <c r="E156" t="s">
        <v>589</v>
      </c>
      <c r="F156">
        <v>2.5</v>
      </c>
      <c r="G156" t="s">
        <v>2174</v>
      </c>
      <c r="H156" t="s">
        <v>2004</v>
      </c>
      <c r="I156" t="s">
        <v>4</v>
      </c>
      <c r="J156">
        <v>96</v>
      </c>
      <c r="K156" t="s">
        <v>5</v>
      </c>
      <c r="L156">
        <v>70</v>
      </c>
      <c r="M156" t="s">
        <v>6</v>
      </c>
      <c r="N156">
        <v>29.904567101399799</v>
      </c>
      <c r="O156" t="s">
        <v>7</v>
      </c>
      <c r="P156">
        <v>0.311505907306248</v>
      </c>
      <c r="Q156" t="s">
        <v>8</v>
      </c>
      <c r="R156">
        <v>0.85585661063287799</v>
      </c>
      <c r="S156" t="s">
        <v>9</v>
      </c>
      <c r="T156">
        <v>-1.1540536785731299</v>
      </c>
      <c r="U156" t="s">
        <v>10</v>
      </c>
      <c r="V156">
        <v>0.25564266282252501</v>
      </c>
      <c r="W156" t="s">
        <v>11</v>
      </c>
      <c r="X156" t="s">
        <v>2208</v>
      </c>
      <c r="Y156" t="s">
        <v>2209</v>
      </c>
      <c r="Z156">
        <v>0</v>
      </c>
      <c r="AA156" t="s">
        <v>14</v>
      </c>
      <c r="AB156" t="s">
        <v>15</v>
      </c>
      <c r="AC156" t="s">
        <v>2208</v>
      </c>
      <c r="AD156" t="s">
        <v>2209</v>
      </c>
      <c r="AE156">
        <v>0</v>
      </c>
      <c r="AF156" t="s">
        <v>18</v>
      </c>
    </row>
    <row r="157" spans="1:32" x14ac:dyDescent="0.3">
      <c r="A157" t="s">
        <v>175</v>
      </c>
      <c r="B157" t="s">
        <v>587</v>
      </c>
      <c r="C157">
        <v>0</v>
      </c>
      <c r="D157" t="s">
        <v>2163</v>
      </c>
      <c r="E157" t="s">
        <v>589</v>
      </c>
      <c r="F157">
        <v>2.5</v>
      </c>
      <c r="G157" t="s">
        <v>2174</v>
      </c>
      <c r="H157" t="s">
        <v>2005</v>
      </c>
      <c r="I157" t="s">
        <v>4</v>
      </c>
      <c r="J157">
        <v>96</v>
      </c>
      <c r="K157" t="s">
        <v>5</v>
      </c>
      <c r="L157">
        <v>70</v>
      </c>
      <c r="M157" t="s">
        <v>6</v>
      </c>
      <c r="N157">
        <v>29.374567101399801</v>
      </c>
      <c r="O157" t="s">
        <v>7</v>
      </c>
      <c r="P157">
        <v>0.30598507397291502</v>
      </c>
      <c r="Q157" t="s">
        <v>8</v>
      </c>
      <c r="R157">
        <v>0.85585661063287799</v>
      </c>
      <c r="S157" t="s">
        <v>9</v>
      </c>
      <c r="T157">
        <v>-1.17443829395775</v>
      </c>
      <c r="U157" t="s">
        <v>10</v>
      </c>
      <c r="V157">
        <v>0.25646510256066801</v>
      </c>
      <c r="W157" t="s">
        <v>11</v>
      </c>
      <c r="X157" t="s">
        <v>2208</v>
      </c>
      <c r="Y157" t="s">
        <v>2209</v>
      </c>
      <c r="Z157">
        <v>0</v>
      </c>
      <c r="AA157" t="s">
        <v>14</v>
      </c>
      <c r="AB157" t="s">
        <v>15</v>
      </c>
      <c r="AC157" t="s">
        <v>2208</v>
      </c>
      <c r="AD157" t="s">
        <v>2209</v>
      </c>
      <c r="AE157">
        <v>0</v>
      </c>
      <c r="AF157" t="s">
        <v>18</v>
      </c>
    </row>
    <row r="158" spans="1:32" x14ac:dyDescent="0.3">
      <c r="A158" t="s">
        <v>175</v>
      </c>
      <c r="B158" t="s">
        <v>587</v>
      </c>
      <c r="C158">
        <v>2.5</v>
      </c>
      <c r="D158" t="s">
        <v>2163</v>
      </c>
      <c r="E158" t="s">
        <v>589</v>
      </c>
      <c r="F158">
        <v>5</v>
      </c>
      <c r="G158" t="s">
        <v>2</v>
      </c>
      <c r="H158" t="s">
        <v>1979</v>
      </c>
      <c r="I158" t="s">
        <v>4</v>
      </c>
      <c r="J158">
        <v>90</v>
      </c>
      <c r="K158" t="s">
        <v>5</v>
      </c>
      <c r="L158">
        <v>67</v>
      </c>
      <c r="M158" t="s">
        <v>6</v>
      </c>
      <c r="N158">
        <v>10.71</v>
      </c>
      <c r="O158" t="s">
        <v>7</v>
      </c>
      <c r="P158">
        <v>0.11899999999999999</v>
      </c>
      <c r="Q158" t="s">
        <v>8</v>
      </c>
      <c r="R158">
        <v>0.63686567164178998</v>
      </c>
      <c r="S158" t="s">
        <v>9</v>
      </c>
      <c r="T158">
        <v>-1.3895652173913</v>
      </c>
      <c r="U158" t="s">
        <v>10</v>
      </c>
      <c r="V158">
        <v>0.15644411261612701</v>
      </c>
      <c r="W158" t="s">
        <v>11</v>
      </c>
      <c r="X158" t="s">
        <v>2212</v>
      </c>
      <c r="Y158" t="s">
        <v>50</v>
      </c>
      <c r="Z158">
        <v>0</v>
      </c>
      <c r="AA158" t="s">
        <v>14</v>
      </c>
      <c r="AB158" t="s">
        <v>15</v>
      </c>
      <c r="AC158" t="s">
        <v>2212</v>
      </c>
      <c r="AD158" t="s">
        <v>50</v>
      </c>
      <c r="AE158">
        <v>0</v>
      </c>
      <c r="AF158" t="s">
        <v>18</v>
      </c>
    </row>
    <row r="159" spans="1:32" x14ac:dyDescent="0.3">
      <c r="A159" t="s">
        <v>175</v>
      </c>
      <c r="B159" t="s">
        <v>587</v>
      </c>
      <c r="C159">
        <v>2.5</v>
      </c>
      <c r="D159" t="s">
        <v>2163</v>
      </c>
      <c r="E159" t="s">
        <v>589</v>
      </c>
      <c r="F159">
        <v>5</v>
      </c>
      <c r="G159" t="s">
        <v>2</v>
      </c>
      <c r="H159" t="s">
        <v>1982</v>
      </c>
      <c r="I159" t="s">
        <v>4</v>
      </c>
      <c r="J159">
        <v>90</v>
      </c>
      <c r="K159" t="s">
        <v>5</v>
      </c>
      <c r="L159">
        <v>69</v>
      </c>
      <c r="M159" t="s">
        <v>6</v>
      </c>
      <c r="N159">
        <v>5.4999999999999902</v>
      </c>
      <c r="O159" t="s">
        <v>7</v>
      </c>
      <c r="P159">
        <v>6.1111111111110998E-2</v>
      </c>
      <c r="Q159" t="s">
        <v>8</v>
      </c>
      <c r="R159">
        <v>0.63637681159420201</v>
      </c>
      <c r="S159" t="s">
        <v>9</v>
      </c>
      <c r="T159">
        <v>-1.8290476190476099</v>
      </c>
      <c r="U159" t="s">
        <v>10</v>
      </c>
      <c r="V159">
        <v>0.164224957045216</v>
      </c>
      <c r="W159" t="s">
        <v>11</v>
      </c>
      <c r="X159" t="s">
        <v>2212</v>
      </c>
      <c r="Y159" t="s">
        <v>50</v>
      </c>
      <c r="Z159">
        <v>0</v>
      </c>
      <c r="AA159" t="s">
        <v>14</v>
      </c>
      <c r="AB159" t="s">
        <v>15</v>
      </c>
      <c r="AC159" t="s">
        <v>2212</v>
      </c>
      <c r="AD159" t="s">
        <v>50</v>
      </c>
      <c r="AE159">
        <v>0</v>
      </c>
      <c r="AF159" t="s">
        <v>18</v>
      </c>
    </row>
    <row r="160" spans="1:32" x14ac:dyDescent="0.3">
      <c r="A160" t="s">
        <v>175</v>
      </c>
      <c r="B160" t="s">
        <v>587</v>
      </c>
      <c r="C160">
        <v>2.5</v>
      </c>
      <c r="D160" t="s">
        <v>2163</v>
      </c>
      <c r="E160" t="s">
        <v>589</v>
      </c>
      <c r="F160">
        <v>5</v>
      </c>
      <c r="G160" t="s">
        <v>2</v>
      </c>
      <c r="H160" t="s">
        <v>1985</v>
      </c>
      <c r="I160" t="s">
        <v>4</v>
      </c>
      <c r="J160">
        <v>90</v>
      </c>
      <c r="K160" t="s">
        <v>5</v>
      </c>
      <c r="L160">
        <v>70</v>
      </c>
      <c r="M160" t="s">
        <v>6</v>
      </c>
      <c r="N160">
        <v>13.249999999999901</v>
      </c>
      <c r="O160" t="s">
        <v>7</v>
      </c>
      <c r="P160">
        <v>0.147222222222222</v>
      </c>
      <c r="Q160" t="s">
        <v>8</v>
      </c>
      <c r="R160">
        <v>0.71599999999999897</v>
      </c>
      <c r="S160" t="s">
        <v>9</v>
      </c>
      <c r="T160">
        <v>-1.8434999999999999</v>
      </c>
      <c r="U160" t="s">
        <v>10</v>
      </c>
      <c r="V160">
        <v>0.20206434788941499</v>
      </c>
      <c r="W160" t="s">
        <v>11</v>
      </c>
      <c r="X160" t="s">
        <v>2212</v>
      </c>
      <c r="Y160" t="s">
        <v>50</v>
      </c>
      <c r="Z160">
        <v>0</v>
      </c>
      <c r="AA160" t="s">
        <v>14</v>
      </c>
      <c r="AB160" t="s">
        <v>15</v>
      </c>
      <c r="AC160" t="s">
        <v>2212</v>
      </c>
      <c r="AD160" t="s">
        <v>50</v>
      </c>
      <c r="AE160">
        <v>0</v>
      </c>
      <c r="AF160" t="s">
        <v>18</v>
      </c>
    </row>
    <row r="161" spans="1:32" x14ac:dyDescent="0.3">
      <c r="A161" t="s">
        <v>175</v>
      </c>
      <c r="B161" t="s">
        <v>587</v>
      </c>
      <c r="C161">
        <v>2.5</v>
      </c>
      <c r="D161" t="s">
        <v>2163</v>
      </c>
      <c r="E161" t="s">
        <v>589</v>
      </c>
      <c r="F161">
        <v>5</v>
      </c>
      <c r="G161" t="s">
        <v>2</v>
      </c>
      <c r="H161" t="s">
        <v>1988</v>
      </c>
      <c r="I161" t="s">
        <v>4</v>
      </c>
      <c r="J161">
        <v>90</v>
      </c>
      <c r="K161" t="s">
        <v>5</v>
      </c>
      <c r="L161">
        <v>70</v>
      </c>
      <c r="M161" t="s">
        <v>6</v>
      </c>
      <c r="N161">
        <v>13.249999999999901</v>
      </c>
      <c r="O161" t="s">
        <v>7</v>
      </c>
      <c r="P161">
        <v>0.147222222222222</v>
      </c>
      <c r="Q161" t="s">
        <v>8</v>
      </c>
      <c r="R161">
        <v>0.71599999999999897</v>
      </c>
      <c r="S161" t="s">
        <v>9</v>
      </c>
      <c r="T161">
        <v>-1.8434999999999999</v>
      </c>
      <c r="U161" t="s">
        <v>10</v>
      </c>
      <c r="V161">
        <v>0.20206434788941499</v>
      </c>
      <c r="W161" t="s">
        <v>11</v>
      </c>
      <c r="X161" t="s">
        <v>2212</v>
      </c>
      <c r="Y161" t="s">
        <v>50</v>
      </c>
      <c r="Z161">
        <v>0</v>
      </c>
      <c r="AA161" t="s">
        <v>14</v>
      </c>
      <c r="AB161" t="s">
        <v>15</v>
      </c>
      <c r="AC161" t="s">
        <v>2212</v>
      </c>
      <c r="AD161" t="s">
        <v>50</v>
      </c>
      <c r="AE161">
        <v>0</v>
      </c>
      <c r="AF161" t="s">
        <v>18</v>
      </c>
    </row>
    <row r="162" spans="1:32" x14ac:dyDescent="0.3">
      <c r="A162" t="s">
        <v>175</v>
      </c>
      <c r="B162" t="s">
        <v>587</v>
      </c>
      <c r="C162">
        <v>2.5</v>
      </c>
      <c r="D162" t="s">
        <v>2163</v>
      </c>
      <c r="E162" t="s">
        <v>589</v>
      </c>
      <c r="F162">
        <v>5</v>
      </c>
      <c r="G162" t="s">
        <v>27</v>
      </c>
      <c r="H162" t="s">
        <v>1991</v>
      </c>
      <c r="I162" t="s">
        <v>4</v>
      </c>
      <c r="J162">
        <v>95</v>
      </c>
      <c r="K162" t="s">
        <v>5</v>
      </c>
      <c r="L162">
        <v>70</v>
      </c>
      <c r="M162" t="s">
        <v>6</v>
      </c>
      <c r="N162">
        <v>9.4275716421359004</v>
      </c>
      <c r="O162" t="s">
        <v>7</v>
      </c>
      <c r="P162">
        <v>9.9237596233009498E-2</v>
      </c>
      <c r="Q162" t="s">
        <v>8</v>
      </c>
      <c r="R162">
        <v>0.65585714285714203</v>
      </c>
      <c r="S162" t="s">
        <v>9</v>
      </c>
      <c r="T162">
        <v>-1.45929713431456</v>
      </c>
      <c r="U162" t="s">
        <v>10</v>
      </c>
      <c r="V162">
        <v>0.16608197869296201</v>
      </c>
      <c r="W162" t="s">
        <v>11</v>
      </c>
      <c r="X162" t="s">
        <v>2212</v>
      </c>
      <c r="Y162" t="s">
        <v>50</v>
      </c>
      <c r="Z162">
        <v>0</v>
      </c>
      <c r="AA162" t="s">
        <v>14</v>
      </c>
      <c r="AB162" t="s">
        <v>15</v>
      </c>
      <c r="AC162" t="s">
        <v>2212</v>
      </c>
      <c r="AD162" t="s">
        <v>50</v>
      </c>
      <c r="AE162">
        <v>0</v>
      </c>
      <c r="AF162" t="s">
        <v>18</v>
      </c>
    </row>
    <row r="163" spans="1:32" x14ac:dyDescent="0.3">
      <c r="A163" t="s">
        <v>175</v>
      </c>
      <c r="B163" t="s">
        <v>587</v>
      </c>
      <c r="C163">
        <v>2.5</v>
      </c>
      <c r="D163" t="s">
        <v>2163</v>
      </c>
      <c r="E163" t="s">
        <v>589</v>
      </c>
      <c r="F163">
        <v>5</v>
      </c>
      <c r="G163" t="s">
        <v>27</v>
      </c>
      <c r="H163" t="s">
        <v>1994</v>
      </c>
      <c r="I163" t="s">
        <v>4</v>
      </c>
      <c r="J163">
        <v>95</v>
      </c>
      <c r="K163" t="s">
        <v>5</v>
      </c>
      <c r="L163">
        <v>76</v>
      </c>
      <c r="M163" t="s">
        <v>6</v>
      </c>
      <c r="N163">
        <v>17.087571642135799</v>
      </c>
      <c r="O163" t="s">
        <v>7</v>
      </c>
      <c r="P163">
        <v>0.17986917518037701</v>
      </c>
      <c r="Q163" t="s">
        <v>8</v>
      </c>
      <c r="R163">
        <v>0.66394736842105195</v>
      </c>
      <c r="S163" t="s">
        <v>9</v>
      </c>
      <c r="T163">
        <v>-1.7564435977823201</v>
      </c>
      <c r="U163" t="s">
        <v>10</v>
      </c>
      <c r="V163">
        <v>0.18528212846922901</v>
      </c>
      <c r="W163" t="s">
        <v>11</v>
      </c>
      <c r="X163" t="s">
        <v>2212</v>
      </c>
      <c r="Y163" t="s">
        <v>50</v>
      </c>
      <c r="Z163">
        <v>0</v>
      </c>
      <c r="AA163" t="s">
        <v>14</v>
      </c>
      <c r="AB163" t="s">
        <v>15</v>
      </c>
      <c r="AC163" t="s">
        <v>2212</v>
      </c>
      <c r="AD163" t="s">
        <v>50</v>
      </c>
      <c r="AE163">
        <v>0</v>
      </c>
      <c r="AF163" t="s">
        <v>18</v>
      </c>
    </row>
    <row r="164" spans="1:32" x14ac:dyDescent="0.3">
      <c r="A164" t="s">
        <v>175</v>
      </c>
      <c r="B164" t="s">
        <v>587</v>
      </c>
      <c r="C164">
        <v>2.5</v>
      </c>
      <c r="D164" t="s">
        <v>2163</v>
      </c>
      <c r="E164" t="s">
        <v>589</v>
      </c>
      <c r="F164">
        <v>5</v>
      </c>
      <c r="G164" t="s">
        <v>27</v>
      </c>
      <c r="H164" t="s">
        <v>1996</v>
      </c>
      <c r="I164" t="s">
        <v>4</v>
      </c>
      <c r="J164">
        <v>95</v>
      </c>
      <c r="K164" t="s">
        <v>5</v>
      </c>
      <c r="L164">
        <v>77</v>
      </c>
      <c r="M164" t="s">
        <v>6</v>
      </c>
      <c r="N164">
        <v>25.037571642135799</v>
      </c>
      <c r="O164" t="s">
        <v>7</v>
      </c>
      <c r="P164">
        <v>0.26355338570669301</v>
      </c>
      <c r="Q164" t="s">
        <v>8</v>
      </c>
      <c r="R164">
        <v>0.73597402597402595</v>
      </c>
      <c r="S164" t="s">
        <v>9</v>
      </c>
      <c r="T164">
        <v>-1.7573571309924501</v>
      </c>
      <c r="U164" t="s">
        <v>10</v>
      </c>
      <c r="V164">
        <v>0.217328629543557</v>
      </c>
      <c r="W164" t="s">
        <v>11</v>
      </c>
      <c r="X164" t="s">
        <v>2212</v>
      </c>
      <c r="Y164" t="s">
        <v>50</v>
      </c>
      <c r="Z164">
        <v>0</v>
      </c>
      <c r="AA164" t="s">
        <v>14</v>
      </c>
      <c r="AB164" t="s">
        <v>15</v>
      </c>
      <c r="AC164" t="s">
        <v>2212</v>
      </c>
      <c r="AD164" t="s">
        <v>50</v>
      </c>
      <c r="AE164">
        <v>0</v>
      </c>
      <c r="AF164" t="s">
        <v>18</v>
      </c>
    </row>
    <row r="165" spans="1:32" x14ac:dyDescent="0.3">
      <c r="A165" t="s">
        <v>175</v>
      </c>
      <c r="B165" t="s">
        <v>587</v>
      </c>
      <c r="C165">
        <v>2.5</v>
      </c>
      <c r="D165" t="s">
        <v>2163</v>
      </c>
      <c r="E165" t="s">
        <v>589</v>
      </c>
      <c r="F165">
        <v>5</v>
      </c>
      <c r="G165" t="s">
        <v>27</v>
      </c>
      <c r="H165" t="s">
        <v>1997</v>
      </c>
      <c r="I165" t="s">
        <v>4</v>
      </c>
      <c r="J165">
        <v>95</v>
      </c>
      <c r="K165" t="s">
        <v>5</v>
      </c>
      <c r="L165">
        <v>77</v>
      </c>
      <c r="M165" t="s">
        <v>6</v>
      </c>
      <c r="N165">
        <v>25.037571642135799</v>
      </c>
      <c r="O165" t="s">
        <v>7</v>
      </c>
      <c r="P165">
        <v>0.26355338570669301</v>
      </c>
      <c r="Q165" t="s">
        <v>8</v>
      </c>
      <c r="R165">
        <v>0.73597402597402595</v>
      </c>
      <c r="S165" t="s">
        <v>9</v>
      </c>
      <c r="T165">
        <v>-1.7573571309924501</v>
      </c>
      <c r="U165" t="s">
        <v>10</v>
      </c>
      <c r="V165">
        <v>0.217328629543557</v>
      </c>
      <c r="W165" t="s">
        <v>11</v>
      </c>
      <c r="X165" t="s">
        <v>2212</v>
      </c>
      <c r="Y165" t="s">
        <v>50</v>
      </c>
      <c r="Z165">
        <v>0</v>
      </c>
      <c r="AA165" t="s">
        <v>14</v>
      </c>
      <c r="AB165" t="s">
        <v>15</v>
      </c>
      <c r="AC165" t="s">
        <v>2212</v>
      </c>
      <c r="AD165" t="s">
        <v>50</v>
      </c>
      <c r="AE165">
        <v>0</v>
      </c>
      <c r="AF165" t="s">
        <v>18</v>
      </c>
    </row>
    <row r="166" spans="1:32" x14ac:dyDescent="0.3">
      <c r="A166" t="s">
        <v>175</v>
      </c>
      <c r="B166" t="s">
        <v>587</v>
      </c>
      <c r="C166">
        <v>2.5</v>
      </c>
      <c r="D166" t="s">
        <v>2163</v>
      </c>
      <c r="E166" t="s">
        <v>589</v>
      </c>
      <c r="F166">
        <v>5</v>
      </c>
      <c r="G166" t="s">
        <v>2174</v>
      </c>
      <c r="H166" t="s">
        <v>1999</v>
      </c>
      <c r="I166" t="s">
        <v>4</v>
      </c>
      <c r="J166">
        <v>96</v>
      </c>
      <c r="K166" t="s">
        <v>5</v>
      </c>
      <c r="L166">
        <v>57</v>
      </c>
      <c r="M166" t="s">
        <v>6</v>
      </c>
      <c r="N166">
        <v>-2.7682359223269501</v>
      </c>
      <c r="O166" t="s">
        <v>7</v>
      </c>
      <c r="P166">
        <v>-2.8835790857572399E-2</v>
      </c>
      <c r="Q166" t="s">
        <v>8</v>
      </c>
      <c r="R166">
        <v>0.74058007296466499</v>
      </c>
      <c r="S166" t="s">
        <v>9</v>
      </c>
      <c r="T166">
        <v>-1.15336666875161</v>
      </c>
      <c r="U166" t="s">
        <v>10</v>
      </c>
      <c r="V166">
        <v>0.15428802747041301</v>
      </c>
      <c r="W166" t="s">
        <v>11</v>
      </c>
      <c r="X166" t="s">
        <v>2213</v>
      </c>
      <c r="Y166" t="s">
        <v>691</v>
      </c>
      <c r="Z166">
        <v>0</v>
      </c>
      <c r="AA166" t="s">
        <v>14</v>
      </c>
      <c r="AB166" t="s">
        <v>15</v>
      </c>
      <c r="AC166" t="s">
        <v>2213</v>
      </c>
      <c r="AD166" t="s">
        <v>691</v>
      </c>
      <c r="AE166">
        <v>0</v>
      </c>
      <c r="AF166" t="s">
        <v>18</v>
      </c>
    </row>
    <row r="167" spans="1:32" x14ac:dyDescent="0.3">
      <c r="A167" t="s">
        <v>175</v>
      </c>
      <c r="B167" t="s">
        <v>587</v>
      </c>
      <c r="C167">
        <v>2.5</v>
      </c>
      <c r="D167" t="s">
        <v>2163</v>
      </c>
      <c r="E167" t="s">
        <v>589</v>
      </c>
      <c r="F167">
        <v>5</v>
      </c>
      <c r="G167" t="s">
        <v>2174</v>
      </c>
      <c r="H167" t="s">
        <v>2002</v>
      </c>
      <c r="I167" t="s">
        <v>4</v>
      </c>
      <c r="J167">
        <v>96</v>
      </c>
      <c r="K167" t="s">
        <v>5</v>
      </c>
      <c r="L167">
        <v>69</v>
      </c>
      <c r="M167" t="s">
        <v>6</v>
      </c>
      <c r="N167">
        <v>5.1636133263589796</v>
      </c>
      <c r="O167" t="s">
        <v>7</v>
      </c>
      <c r="P167">
        <v>5.3787638816239401E-2</v>
      </c>
      <c r="Q167" t="s">
        <v>8</v>
      </c>
      <c r="R167">
        <v>0.75033426317370799</v>
      </c>
      <c r="S167" t="s">
        <v>9</v>
      </c>
      <c r="T167">
        <v>-1.7262759567639601</v>
      </c>
      <c r="U167" t="s">
        <v>10</v>
      </c>
      <c r="V167">
        <v>0.198936799597349</v>
      </c>
      <c r="W167" t="s">
        <v>11</v>
      </c>
      <c r="X167" t="s">
        <v>2213</v>
      </c>
      <c r="Y167" t="s">
        <v>691</v>
      </c>
      <c r="Z167">
        <v>0</v>
      </c>
      <c r="AA167" t="s">
        <v>14</v>
      </c>
      <c r="AB167" t="s">
        <v>15</v>
      </c>
      <c r="AC167" t="s">
        <v>2213</v>
      </c>
      <c r="AD167" t="s">
        <v>691</v>
      </c>
      <c r="AE167">
        <v>0</v>
      </c>
      <c r="AF167" t="s">
        <v>18</v>
      </c>
    </row>
    <row r="168" spans="1:32" x14ac:dyDescent="0.3">
      <c r="A168" t="s">
        <v>175</v>
      </c>
      <c r="B168" t="s">
        <v>587</v>
      </c>
      <c r="C168">
        <v>2.5</v>
      </c>
      <c r="D168" t="s">
        <v>2163</v>
      </c>
      <c r="E168" t="s">
        <v>589</v>
      </c>
      <c r="F168">
        <v>5</v>
      </c>
      <c r="G168" t="s">
        <v>2174</v>
      </c>
      <c r="H168" t="s">
        <v>2004</v>
      </c>
      <c r="I168" t="s">
        <v>4</v>
      </c>
      <c r="J168">
        <v>96</v>
      </c>
      <c r="K168" t="s">
        <v>5</v>
      </c>
      <c r="L168">
        <v>70</v>
      </c>
      <c r="M168" t="s">
        <v>6</v>
      </c>
      <c r="N168">
        <v>9.3636133263589407</v>
      </c>
      <c r="O168" t="s">
        <v>7</v>
      </c>
      <c r="P168">
        <v>9.7537638816239003E-2</v>
      </c>
      <c r="Q168" t="s">
        <v>8</v>
      </c>
      <c r="R168">
        <v>0.75747234512837003</v>
      </c>
      <c r="S168" t="s">
        <v>9</v>
      </c>
      <c r="T168">
        <v>-1.6792096474087199</v>
      </c>
      <c r="U168" t="s">
        <v>10</v>
      </c>
      <c r="V168">
        <v>0.213804117001136</v>
      </c>
      <c r="W168" t="s">
        <v>11</v>
      </c>
      <c r="X168" t="s">
        <v>2213</v>
      </c>
      <c r="Y168" t="s">
        <v>691</v>
      </c>
      <c r="Z168">
        <v>0</v>
      </c>
      <c r="AA168" t="s">
        <v>14</v>
      </c>
      <c r="AB168" t="s">
        <v>15</v>
      </c>
      <c r="AC168" t="s">
        <v>2213</v>
      </c>
      <c r="AD168" t="s">
        <v>691</v>
      </c>
      <c r="AE168">
        <v>0</v>
      </c>
      <c r="AF168" t="s">
        <v>18</v>
      </c>
    </row>
    <row r="169" spans="1:32" x14ac:dyDescent="0.3">
      <c r="A169" t="s">
        <v>175</v>
      </c>
      <c r="B169" t="s">
        <v>587</v>
      </c>
      <c r="C169">
        <v>2.5</v>
      </c>
      <c r="D169" t="s">
        <v>2163</v>
      </c>
      <c r="E169" t="s">
        <v>589</v>
      </c>
      <c r="F169">
        <v>5</v>
      </c>
      <c r="G169" t="s">
        <v>2174</v>
      </c>
      <c r="H169" t="s">
        <v>2005</v>
      </c>
      <c r="I169" t="s">
        <v>4</v>
      </c>
      <c r="J169">
        <v>96</v>
      </c>
      <c r="K169" t="s">
        <v>5</v>
      </c>
      <c r="L169">
        <v>70</v>
      </c>
      <c r="M169" t="s">
        <v>6</v>
      </c>
      <c r="N169">
        <v>9.4500712808751892</v>
      </c>
      <c r="O169" t="s">
        <v>7</v>
      </c>
      <c r="P169">
        <v>9.8438242509116605E-2</v>
      </c>
      <c r="Q169" t="s">
        <v>8</v>
      </c>
      <c r="R169">
        <v>0.75747234512837003</v>
      </c>
      <c r="S169" t="s">
        <v>9</v>
      </c>
      <c r="T169">
        <v>-1.67588434146579</v>
      </c>
      <c r="U169" t="s">
        <v>10</v>
      </c>
      <c r="V169">
        <v>0.22222982264555599</v>
      </c>
      <c r="W169" t="s">
        <v>11</v>
      </c>
      <c r="X169" t="s">
        <v>2213</v>
      </c>
      <c r="Y169" t="s">
        <v>691</v>
      </c>
      <c r="Z169">
        <v>0</v>
      </c>
      <c r="AA169" t="s">
        <v>14</v>
      </c>
      <c r="AB169" t="s">
        <v>15</v>
      </c>
      <c r="AC169" t="s">
        <v>2213</v>
      </c>
      <c r="AD169" t="s">
        <v>691</v>
      </c>
      <c r="AE169">
        <v>0</v>
      </c>
      <c r="AF169" t="s">
        <v>18</v>
      </c>
    </row>
    <row r="170" spans="1:32" x14ac:dyDescent="0.3">
      <c r="A170" t="s">
        <v>175</v>
      </c>
      <c r="B170" t="s">
        <v>587</v>
      </c>
      <c r="C170">
        <v>5</v>
      </c>
      <c r="D170" t="s">
        <v>2163</v>
      </c>
      <c r="E170" t="s">
        <v>589</v>
      </c>
      <c r="F170">
        <v>7.5</v>
      </c>
      <c r="G170" t="s">
        <v>2</v>
      </c>
      <c r="H170" t="s">
        <v>1979</v>
      </c>
      <c r="I170" t="s">
        <v>4</v>
      </c>
      <c r="J170">
        <v>90</v>
      </c>
      <c r="K170" t="s">
        <v>5</v>
      </c>
      <c r="L170">
        <v>67</v>
      </c>
      <c r="M170" t="s">
        <v>6</v>
      </c>
      <c r="N170">
        <v>14.719999999999899</v>
      </c>
      <c r="O170" t="s">
        <v>7</v>
      </c>
      <c r="P170">
        <v>0.16355555555555501</v>
      </c>
      <c r="Q170" t="s">
        <v>8</v>
      </c>
      <c r="R170">
        <v>0.55417910447761198</v>
      </c>
      <c r="S170" t="s">
        <v>9</v>
      </c>
      <c r="T170">
        <v>-0.97434782608695603</v>
      </c>
      <c r="U170" t="s">
        <v>10</v>
      </c>
      <c r="V170">
        <v>0.14748226680735299</v>
      </c>
      <c r="W170" t="s">
        <v>11</v>
      </c>
      <c r="X170" t="s">
        <v>2214</v>
      </c>
      <c r="Y170" t="s">
        <v>2215</v>
      </c>
      <c r="Z170">
        <v>0</v>
      </c>
      <c r="AA170" t="s">
        <v>14</v>
      </c>
      <c r="AB170" t="s">
        <v>15</v>
      </c>
      <c r="AC170" t="s">
        <v>2214</v>
      </c>
      <c r="AD170" t="s">
        <v>2215</v>
      </c>
      <c r="AE170">
        <v>0</v>
      </c>
      <c r="AF170" t="s">
        <v>18</v>
      </c>
    </row>
    <row r="171" spans="1:32" x14ac:dyDescent="0.3">
      <c r="A171" t="s">
        <v>175</v>
      </c>
      <c r="B171" t="s">
        <v>587</v>
      </c>
      <c r="C171">
        <v>5</v>
      </c>
      <c r="D171" t="s">
        <v>2163</v>
      </c>
      <c r="E171" t="s">
        <v>589</v>
      </c>
      <c r="F171">
        <v>7.5</v>
      </c>
      <c r="G171" t="s">
        <v>2</v>
      </c>
      <c r="H171" t="s">
        <v>1982</v>
      </c>
      <c r="I171" t="s">
        <v>4</v>
      </c>
      <c r="J171">
        <v>90</v>
      </c>
      <c r="K171" t="s">
        <v>5</v>
      </c>
      <c r="L171">
        <v>72</v>
      </c>
      <c r="M171" t="s">
        <v>6</v>
      </c>
      <c r="N171">
        <v>14.889999999999899</v>
      </c>
      <c r="O171" t="s">
        <v>7</v>
      </c>
      <c r="P171">
        <v>0.16544444444444401</v>
      </c>
      <c r="Q171" t="s">
        <v>8</v>
      </c>
      <c r="R171">
        <v>0.55583333333333296</v>
      </c>
      <c r="S171" t="s">
        <v>9</v>
      </c>
      <c r="T171">
        <v>-1.39611111111111</v>
      </c>
      <c r="U171" t="s">
        <v>10</v>
      </c>
      <c r="V171">
        <v>0.156500103925305</v>
      </c>
      <c r="W171" t="s">
        <v>11</v>
      </c>
      <c r="X171" t="s">
        <v>2214</v>
      </c>
      <c r="Y171" t="s">
        <v>2215</v>
      </c>
      <c r="Z171">
        <v>0</v>
      </c>
      <c r="AA171" t="s">
        <v>14</v>
      </c>
      <c r="AB171" t="s">
        <v>15</v>
      </c>
      <c r="AC171" t="s">
        <v>2214</v>
      </c>
      <c r="AD171" t="s">
        <v>2215</v>
      </c>
      <c r="AE171">
        <v>0</v>
      </c>
      <c r="AF171" t="s">
        <v>18</v>
      </c>
    </row>
    <row r="172" spans="1:32" x14ac:dyDescent="0.3">
      <c r="A172" t="s">
        <v>175</v>
      </c>
      <c r="B172" t="s">
        <v>587</v>
      </c>
      <c r="C172">
        <v>5</v>
      </c>
      <c r="D172" t="s">
        <v>2163</v>
      </c>
      <c r="E172" t="s">
        <v>589</v>
      </c>
      <c r="F172">
        <v>7.5</v>
      </c>
      <c r="G172" t="s">
        <v>2</v>
      </c>
      <c r="H172" t="s">
        <v>1985</v>
      </c>
      <c r="I172" t="s">
        <v>4</v>
      </c>
      <c r="J172">
        <v>90</v>
      </c>
      <c r="K172" t="s">
        <v>5</v>
      </c>
      <c r="L172">
        <v>74</v>
      </c>
      <c r="M172" t="s">
        <v>6</v>
      </c>
      <c r="N172">
        <v>14.989999999999901</v>
      </c>
      <c r="O172" t="s">
        <v>7</v>
      </c>
      <c r="P172">
        <v>0.16655555555555501</v>
      </c>
      <c r="Q172" t="s">
        <v>8</v>
      </c>
      <c r="R172">
        <v>0.55797297297297299</v>
      </c>
      <c r="S172" t="s">
        <v>9</v>
      </c>
      <c r="T172">
        <v>-1.64375</v>
      </c>
      <c r="U172" t="s">
        <v>10</v>
      </c>
      <c r="V172">
        <v>0.16445152447755201</v>
      </c>
      <c r="W172" t="s">
        <v>11</v>
      </c>
      <c r="X172" t="s">
        <v>2214</v>
      </c>
      <c r="Y172" t="s">
        <v>2215</v>
      </c>
      <c r="Z172">
        <v>0</v>
      </c>
      <c r="AA172" t="s">
        <v>14</v>
      </c>
      <c r="AB172" t="s">
        <v>15</v>
      </c>
      <c r="AC172" t="s">
        <v>2214</v>
      </c>
      <c r="AD172" t="s">
        <v>2215</v>
      </c>
      <c r="AE172">
        <v>0</v>
      </c>
      <c r="AF172" t="s">
        <v>18</v>
      </c>
    </row>
    <row r="173" spans="1:32" x14ac:dyDescent="0.3">
      <c r="A173" t="s">
        <v>175</v>
      </c>
      <c r="B173" t="s">
        <v>587</v>
      </c>
      <c r="C173">
        <v>5</v>
      </c>
      <c r="D173" t="s">
        <v>2163</v>
      </c>
      <c r="E173" t="s">
        <v>589</v>
      </c>
      <c r="F173">
        <v>7.5</v>
      </c>
      <c r="G173" t="s">
        <v>2</v>
      </c>
      <c r="H173" t="s">
        <v>1988</v>
      </c>
      <c r="I173" t="s">
        <v>4</v>
      </c>
      <c r="J173">
        <v>90</v>
      </c>
      <c r="K173" t="s">
        <v>5</v>
      </c>
      <c r="L173">
        <v>74</v>
      </c>
      <c r="M173" t="s">
        <v>6</v>
      </c>
      <c r="N173">
        <v>14.49</v>
      </c>
      <c r="O173" t="s">
        <v>7</v>
      </c>
      <c r="P173">
        <v>0.161</v>
      </c>
      <c r="Q173" t="s">
        <v>8</v>
      </c>
      <c r="R173">
        <v>0.55797297297297299</v>
      </c>
      <c r="S173" t="s">
        <v>9</v>
      </c>
      <c r="T173">
        <v>-1.675</v>
      </c>
      <c r="U173" t="s">
        <v>10</v>
      </c>
      <c r="V173">
        <v>0.16442669204006499</v>
      </c>
      <c r="W173" t="s">
        <v>11</v>
      </c>
      <c r="X173" t="s">
        <v>2214</v>
      </c>
      <c r="Y173" t="s">
        <v>2215</v>
      </c>
      <c r="Z173">
        <v>0</v>
      </c>
      <c r="AA173" t="s">
        <v>14</v>
      </c>
      <c r="AB173" t="s">
        <v>15</v>
      </c>
      <c r="AC173" t="s">
        <v>2214</v>
      </c>
      <c r="AD173" t="s">
        <v>2215</v>
      </c>
      <c r="AE173">
        <v>0</v>
      </c>
      <c r="AF173" t="s">
        <v>18</v>
      </c>
    </row>
    <row r="174" spans="1:32" x14ac:dyDescent="0.3">
      <c r="A174" t="s">
        <v>175</v>
      </c>
      <c r="B174" t="s">
        <v>587</v>
      </c>
      <c r="C174">
        <v>5</v>
      </c>
      <c r="D174" t="s">
        <v>2163</v>
      </c>
      <c r="E174" t="s">
        <v>589</v>
      </c>
      <c r="F174">
        <v>7.5</v>
      </c>
      <c r="G174" t="s">
        <v>27</v>
      </c>
      <c r="H174" t="s">
        <v>1991</v>
      </c>
      <c r="I174" t="s">
        <v>4</v>
      </c>
      <c r="J174">
        <v>95</v>
      </c>
      <c r="K174" t="s">
        <v>5</v>
      </c>
      <c r="L174">
        <v>70</v>
      </c>
      <c r="M174" t="s">
        <v>6</v>
      </c>
      <c r="N174">
        <v>19.1799999999999</v>
      </c>
      <c r="O174" t="s">
        <v>7</v>
      </c>
      <c r="P174">
        <v>0.20189473684210499</v>
      </c>
      <c r="Q174" t="s">
        <v>8</v>
      </c>
      <c r="R174">
        <v>0.63985714285714201</v>
      </c>
      <c r="S174" t="s">
        <v>9</v>
      </c>
      <c r="T174">
        <v>-1.02439999999999</v>
      </c>
      <c r="U174" t="s">
        <v>10</v>
      </c>
      <c r="V174">
        <v>0.15142127514526199</v>
      </c>
      <c r="W174" t="s">
        <v>11</v>
      </c>
      <c r="X174" t="s">
        <v>2217</v>
      </c>
      <c r="Y174" t="s">
        <v>2132</v>
      </c>
      <c r="Z174">
        <v>0</v>
      </c>
      <c r="AA174" t="s">
        <v>14</v>
      </c>
      <c r="AB174" t="s">
        <v>15</v>
      </c>
      <c r="AC174" t="s">
        <v>2217</v>
      </c>
      <c r="AD174" t="s">
        <v>2132</v>
      </c>
      <c r="AE174">
        <v>0</v>
      </c>
      <c r="AF174" t="s">
        <v>18</v>
      </c>
    </row>
    <row r="175" spans="1:32" x14ac:dyDescent="0.3">
      <c r="A175" t="s">
        <v>175</v>
      </c>
      <c r="B175" t="s">
        <v>587</v>
      </c>
      <c r="C175">
        <v>5</v>
      </c>
      <c r="D175" t="s">
        <v>2163</v>
      </c>
      <c r="E175" t="s">
        <v>589</v>
      </c>
      <c r="F175">
        <v>7.5</v>
      </c>
      <c r="G175" t="s">
        <v>27</v>
      </c>
      <c r="H175" t="s">
        <v>1994</v>
      </c>
      <c r="I175" t="s">
        <v>4</v>
      </c>
      <c r="J175">
        <v>95</v>
      </c>
      <c r="K175" t="s">
        <v>5</v>
      </c>
      <c r="L175">
        <v>80</v>
      </c>
      <c r="M175" t="s">
        <v>6</v>
      </c>
      <c r="N175">
        <v>27.579999999999899</v>
      </c>
      <c r="O175" t="s">
        <v>7</v>
      </c>
      <c r="P175">
        <v>0.29031578947368297</v>
      </c>
      <c r="Q175" t="s">
        <v>8</v>
      </c>
      <c r="R175">
        <v>0.63637500000000002</v>
      </c>
      <c r="S175" t="s">
        <v>9</v>
      </c>
      <c r="T175">
        <v>-1.5553333333333299</v>
      </c>
      <c r="U175" t="s">
        <v>10</v>
      </c>
      <c r="V175">
        <v>0.170973063245004</v>
      </c>
      <c r="W175" t="s">
        <v>11</v>
      </c>
      <c r="X175" t="s">
        <v>2217</v>
      </c>
      <c r="Y175" t="s">
        <v>2132</v>
      </c>
      <c r="Z175">
        <v>0</v>
      </c>
      <c r="AA175" t="s">
        <v>14</v>
      </c>
      <c r="AB175" t="s">
        <v>15</v>
      </c>
      <c r="AC175" t="s">
        <v>2217</v>
      </c>
      <c r="AD175" t="s">
        <v>2132</v>
      </c>
      <c r="AE175">
        <v>0</v>
      </c>
      <c r="AF175" t="s">
        <v>18</v>
      </c>
    </row>
    <row r="176" spans="1:32" x14ac:dyDescent="0.3">
      <c r="A176" t="s">
        <v>175</v>
      </c>
      <c r="B176" t="s">
        <v>587</v>
      </c>
      <c r="C176">
        <v>5</v>
      </c>
      <c r="D176" t="s">
        <v>2163</v>
      </c>
      <c r="E176" t="s">
        <v>589</v>
      </c>
      <c r="F176">
        <v>7.5</v>
      </c>
      <c r="G176" t="s">
        <v>27</v>
      </c>
      <c r="H176" t="s">
        <v>1996</v>
      </c>
      <c r="I176" t="s">
        <v>4</v>
      </c>
      <c r="J176">
        <v>95</v>
      </c>
      <c r="K176" t="s">
        <v>5</v>
      </c>
      <c r="L176">
        <v>81</v>
      </c>
      <c r="M176" t="s">
        <v>6</v>
      </c>
      <c r="N176">
        <v>25.829999999999899</v>
      </c>
      <c r="O176" t="s">
        <v>7</v>
      </c>
      <c r="P176">
        <v>0.27189473684210502</v>
      </c>
      <c r="Q176" t="s">
        <v>8</v>
      </c>
      <c r="R176">
        <v>0.63753086419753002</v>
      </c>
      <c r="S176" t="s">
        <v>9</v>
      </c>
      <c r="T176">
        <v>-1.84357142857143</v>
      </c>
      <c r="U176" t="s">
        <v>10</v>
      </c>
      <c r="V176">
        <v>0.17830398082367299</v>
      </c>
      <c r="W176" t="s">
        <v>11</v>
      </c>
      <c r="X176" t="s">
        <v>2235</v>
      </c>
      <c r="Y176" t="s">
        <v>185</v>
      </c>
      <c r="Z176">
        <v>0</v>
      </c>
      <c r="AA176" t="s">
        <v>14</v>
      </c>
      <c r="AB176" t="s">
        <v>15</v>
      </c>
      <c r="AC176" t="s">
        <v>2236</v>
      </c>
      <c r="AD176" t="s">
        <v>2211</v>
      </c>
      <c r="AE176">
        <v>0</v>
      </c>
      <c r="AF176" t="s">
        <v>18</v>
      </c>
    </row>
    <row r="177" spans="1:32" x14ac:dyDescent="0.3">
      <c r="A177" t="s">
        <v>175</v>
      </c>
      <c r="B177" t="s">
        <v>587</v>
      </c>
      <c r="C177">
        <v>5</v>
      </c>
      <c r="D177" t="s">
        <v>2163</v>
      </c>
      <c r="E177" t="s">
        <v>589</v>
      </c>
      <c r="F177">
        <v>7.5</v>
      </c>
      <c r="G177" t="s">
        <v>27</v>
      </c>
      <c r="H177" t="s">
        <v>1997</v>
      </c>
      <c r="I177" t="s">
        <v>4</v>
      </c>
      <c r="J177">
        <v>95</v>
      </c>
      <c r="K177" t="s">
        <v>5</v>
      </c>
      <c r="L177">
        <v>81</v>
      </c>
      <c r="M177" t="s">
        <v>6</v>
      </c>
      <c r="N177">
        <v>25.177441346566798</v>
      </c>
      <c r="O177" t="s">
        <v>7</v>
      </c>
      <c r="P177">
        <v>0.26502569838491302</v>
      </c>
      <c r="Q177" t="s">
        <v>8</v>
      </c>
      <c r="R177">
        <v>0.63753086419753002</v>
      </c>
      <c r="S177" t="s">
        <v>9</v>
      </c>
      <c r="T177">
        <v>-1.8901827609595101</v>
      </c>
      <c r="U177" t="s">
        <v>10</v>
      </c>
      <c r="V177">
        <v>0.194666625486482</v>
      </c>
      <c r="W177" t="s">
        <v>11</v>
      </c>
      <c r="X177" t="s">
        <v>2220</v>
      </c>
      <c r="Y177" t="s">
        <v>2221</v>
      </c>
      <c r="Z177">
        <v>0</v>
      </c>
      <c r="AA177" t="s">
        <v>14</v>
      </c>
      <c r="AB177" t="s">
        <v>15</v>
      </c>
      <c r="AC177" t="s">
        <v>2220</v>
      </c>
      <c r="AD177" t="s">
        <v>2221</v>
      </c>
      <c r="AE177">
        <v>0</v>
      </c>
      <c r="AF177" t="s">
        <v>18</v>
      </c>
    </row>
    <row r="178" spans="1:32" x14ac:dyDescent="0.3">
      <c r="A178" t="s">
        <v>175</v>
      </c>
      <c r="B178" t="s">
        <v>587</v>
      </c>
      <c r="C178">
        <v>5</v>
      </c>
      <c r="D178" t="s">
        <v>2163</v>
      </c>
      <c r="E178" t="s">
        <v>589</v>
      </c>
      <c r="F178">
        <v>7.5</v>
      </c>
      <c r="G178" t="s">
        <v>2174</v>
      </c>
      <c r="H178" t="s">
        <v>1999</v>
      </c>
      <c r="I178" t="s">
        <v>4</v>
      </c>
      <c r="J178">
        <v>96</v>
      </c>
      <c r="K178" t="s">
        <v>5</v>
      </c>
      <c r="L178">
        <v>68</v>
      </c>
      <c r="M178" t="s">
        <v>6</v>
      </c>
      <c r="N178">
        <v>12.993750838280301</v>
      </c>
      <c r="O178" t="s">
        <v>7</v>
      </c>
      <c r="P178">
        <v>0.13535157123208699</v>
      </c>
      <c r="Q178" t="s">
        <v>8</v>
      </c>
      <c r="R178">
        <v>0.65669372771727297</v>
      </c>
      <c r="S178" t="s">
        <v>9</v>
      </c>
      <c r="T178">
        <v>-1.13076509451764</v>
      </c>
      <c r="U178" t="s">
        <v>10</v>
      </c>
      <c r="V178">
        <v>0.138836101921118</v>
      </c>
      <c r="W178" t="s">
        <v>11</v>
      </c>
      <c r="X178" t="s">
        <v>2222</v>
      </c>
      <c r="Y178" t="s">
        <v>2223</v>
      </c>
      <c r="Z178">
        <v>0</v>
      </c>
      <c r="AA178" t="s">
        <v>14</v>
      </c>
      <c r="AB178" t="s">
        <v>15</v>
      </c>
      <c r="AC178" t="s">
        <v>2222</v>
      </c>
      <c r="AD178" t="s">
        <v>2223</v>
      </c>
      <c r="AE178">
        <v>0</v>
      </c>
      <c r="AF178" t="s">
        <v>18</v>
      </c>
    </row>
    <row r="179" spans="1:32" x14ac:dyDescent="0.3">
      <c r="A179" t="s">
        <v>175</v>
      </c>
      <c r="B179" t="s">
        <v>587</v>
      </c>
      <c r="C179">
        <v>5</v>
      </c>
      <c r="D179" t="s">
        <v>2163</v>
      </c>
      <c r="E179" t="s">
        <v>589</v>
      </c>
      <c r="F179">
        <v>7.5</v>
      </c>
      <c r="G179" t="s">
        <v>2174</v>
      </c>
      <c r="H179" t="s">
        <v>2002</v>
      </c>
      <c r="I179" t="s">
        <v>4</v>
      </c>
      <c r="J179">
        <v>96</v>
      </c>
      <c r="K179" t="s">
        <v>5</v>
      </c>
      <c r="L179">
        <v>75</v>
      </c>
      <c r="M179" t="s">
        <v>6</v>
      </c>
      <c r="N179">
        <v>11.909465482141901</v>
      </c>
      <c r="O179" t="s">
        <v>7</v>
      </c>
      <c r="P179">
        <v>0.124056932105644</v>
      </c>
      <c r="Q179" t="s">
        <v>8</v>
      </c>
      <c r="R179">
        <v>0.663802313130328</v>
      </c>
      <c r="S179" t="s">
        <v>9</v>
      </c>
      <c r="T179">
        <v>-1.8036051429825</v>
      </c>
      <c r="U179" t="s">
        <v>10</v>
      </c>
      <c r="V179">
        <v>0.16951886471490701</v>
      </c>
      <c r="W179" t="s">
        <v>11</v>
      </c>
      <c r="X179" t="s">
        <v>2224</v>
      </c>
      <c r="Y179" t="s">
        <v>2055</v>
      </c>
      <c r="Z179">
        <v>0</v>
      </c>
      <c r="AA179" t="s">
        <v>14</v>
      </c>
      <c r="AB179" t="s">
        <v>15</v>
      </c>
      <c r="AC179" t="s">
        <v>2224</v>
      </c>
      <c r="AD179" t="s">
        <v>2055</v>
      </c>
      <c r="AE179">
        <v>0</v>
      </c>
      <c r="AF179" t="s">
        <v>18</v>
      </c>
    </row>
    <row r="180" spans="1:32" x14ac:dyDescent="0.3">
      <c r="A180" t="s">
        <v>175</v>
      </c>
      <c r="B180" t="s">
        <v>587</v>
      </c>
      <c r="C180">
        <v>5</v>
      </c>
      <c r="D180" t="s">
        <v>2163</v>
      </c>
      <c r="E180" t="s">
        <v>589</v>
      </c>
      <c r="F180">
        <v>7.5</v>
      </c>
      <c r="G180" t="s">
        <v>2174</v>
      </c>
      <c r="H180" t="s">
        <v>2004</v>
      </c>
      <c r="I180" t="s">
        <v>4</v>
      </c>
      <c r="J180">
        <v>96</v>
      </c>
      <c r="K180" t="s">
        <v>5</v>
      </c>
      <c r="L180">
        <v>79</v>
      </c>
      <c r="M180" t="s">
        <v>6</v>
      </c>
      <c r="N180">
        <v>17.807793897598899</v>
      </c>
      <c r="O180" t="s">
        <v>7</v>
      </c>
      <c r="P180">
        <v>0.18549785309998901</v>
      </c>
      <c r="Q180" t="s">
        <v>8</v>
      </c>
      <c r="R180">
        <v>0.67750126364581598</v>
      </c>
      <c r="S180" t="s">
        <v>9</v>
      </c>
      <c r="T180">
        <v>-2.1008709370835601</v>
      </c>
      <c r="U180" t="s">
        <v>10</v>
      </c>
      <c r="V180">
        <v>0.21223690302280199</v>
      </c>
      <c r="W180" t="s">
        <v>11</v>
      </c>
      <c r="X180" t="s">
        <v>2225</v>
      </c>
      <c r="Y180" t="s">
        <v>635</v>
      </c>
      <c r="Z180">
        <v>0</v>
      </c>
      <c r="AA180" t="s">
        <v>14</v>
      </c>
      <c r="AB180" t="s">
        <v>15</v>
      </c>
      <c r="AC180" t="s">
        <v>2225</v>
      </c>
      <c r="AD180" t="s">
        <v>635</v>
      </c>
      <c r="AE180">
        <v>0</v>
      </c>
      <c r="AF180" t="s">
        <v>18</v>
      </c>
    </row>
    <row r="181" spans="1:32" x14ac:dyDescent="0.3">
      <c r="A181" t="s">
        <v>175</v>
      </c>
      <c r="B181" t="s">
        <v>587</v>
      </c>
      <c r="C181">
        <v>5</v>
      </c>
      <c r="D181" t="s">
        <v>2163</v>
      </c>
      <c r="E181" t="s">
        <v>589</v>
      </c>
      <c r="F181">
        <v>7.5</v>
      </c>
      <c r="G181" t="s">
        <v>2174</v>
      </c>
      <c r="H181" t="s">
        <v>2005</v>
      </c>
      <c r="I181" t="s">
        <v>4</v>
      </c>
      <c r="J181">
        <v>96</v>
      </c>
      <c r="K181" t="s">
        <v>5</v>
      </c>
      <c r="L181">
        <v>79</v>
      </c>
      <c r="M181" t="s">
        <v>6</v>
      </c>
      <c r="N181">
        <v>16.005235244165799</v>
      </c>
      <c r="O181" t="s">
        <v>7</v>
      </c>
      <c r="P181">
        <v>0.16672120046006</v>
      </c>
      <c r="Q181" t="s">
        <v>8</v>
      </c>
      <c r="R181">
        <v>0.67750126364581598</v>
      </c>
      <c r="S181" t="s">
        <v>9</v>
      </c>
      <c r="T181">
        <v>-2.2069037990502101</v>
      </c>
      <c r="U181" t="s">
        <v>10</v>
      </c>
      <c r="V181">
        <v>0.225648706042029</v>
      </c>
      <c r="W181" t="s">
        <v>11</v>
      </c>
      <c r="X181" t="s">
        <v>2225</v>
      </c>
      <c r="Y181" t="s">
        <v>635</v>
      </c>
      <c r="Z181">
        <v>0</v>
      </c>
      <c r="AA181" t="s">
        <v>14</v>
      </c>
      <c r="AB181" t="s">
        <v>15</v>
      </c>
      <c r="AC181" t="s">
        <v>2225</v>
      </c>
      <c r="AD181" t="s">
        <v>635</v>
      </c>
      <c r="AE181">
        <v>0</v>
      </c>
      <c r="AF181" t="s">
        <v>18</v>
      </c>
    </row>
    <row r="182" spans="1:32" x14ac:dyDescent="0.3">
      <c r="A182" t="s">
        <v>175</v>
      </c>
      <c r="B182" t="s">
        <v>587</v>
      </c>
      <c r="C182">
        <v>7.5</v>
      </c>
      <c r="D182" t="s">
        <v>2163</v>
      </c>
      <c r="E182" t="s">
        <v>589</v>
      </c>
      <c r="F182">
        <v>10</v>
      </c>
      <c r="G182" t="s">
        <v>2</v>
      </c>
      <c r="H182" t="s">
        <v>1979</v>
      </c>
      <c r="I182" t="s">
        <v>4</v>
      </c>
      <c r="J182">
        <v>90</v>
      </c>
      <c r="K182" t="s">
        <v>5</v>
      </c>
      <c r="L182">
        <v>68</v>
      </c>
      <c r="M182" t="s">
        <v>6</v>
      </c>
      <c r="N182">
        <v>5.4799999999999898</v>
      </c>
      <c r="O182" t="s">
        <v>7</v>
      </c>
      <c r="P182">
        <v>6.0888888888888798E-2</v>
      </c>
      <c r="Q182" t="s">
        <v>8</v>
      </c>
      <c r="R182">
        <v>0.306911764705882</v>
      </c>
      <c r="S182" t="s">
        <v>9</v>
      </c>
      <c r="T182">
        <v>-0.69954545454545403</v>
      </c>
      <c r="U182" t="s">
        <v>10</v>
      </c>
      <c r="V182">
        <v>7.1428520378253896E-2</v>
      </c>
      <c r="W182" t="s">
        <v>11</v>
      </c>
      <c r="X182" t="s">
        <v>2226</v>
      </c>
      <c r="Y182" t="s">
        <v>1331</v>
      </c>
      <c r="Z182">
        <v>0</v>
      </c>
      <c r="AA182" t="s">
        <v>14</v>
      </c>
      <c r="AB182" t="s">
        <v>15</v>
      </c>
      <c r="AC182" t="s">
        <v>2226</v>
      </c>
      <c r="AD182" t="s">
        <v>1331</v>
      </c>
      <c r="AE182">
        <v>0</v>
      </c>
      <c r="AF182" t="s">
        <v>18</v>
      </c>
    </row>
    <row r="183" spans="1:32" x14ac:dyDescent="0.3">
      <c r="A183" t="s">
        <v>175</v>
      </c>
      <c r="B183" t="s">
        <v>587</v>
      </c>
      <c r="C183">
        <v>7.5</v>
      </c>
      <c r="D183" t="s">
        <v>2163</v>
      </c>
      <c r="E183" t="s">
        <v>589</v>
      </c>
      <c r="F183">
        <v>10</v>
      </c>
      <c r="G183" t="s">
        <v>2</v>
      </c>
      <c r="H183" t="s">
        <v>1982</v>
      </c>
      <c r="I183" t="s">
        <v>4</v>
      </c>
      <c r="J183">
        <v>90</v>
      </c>
      <c r="K183" t="s">
        <v>5</v>
      </c>
      <c r="L183">
        <v>75</v>
      </c>
      <c r="M183" t="s">
        <v>6</v>
      </c>
      <c r="N183">
        <v>8.1299999999999901</v>
      </c>
      <c r="O183" t="s">
        <v>7</v>
      </c>
      <c r="P183">
        <v>9.0333333333333196E-2</v>
      </c>
      <c r="Q183" t="s">
        <v>8</v>
      </c>
      <c r="R183">
        <v>0.32119999999999899</v>
      </c>
      <c r="S183" t="s">
        <v>9</v>
      </c>
      <c r="T183">
        <v>-1.0640000000000001</v>
      </c>
      <c r="U183" t="s">
        <v>10</v>
      </c>
      <c r="V183">
        <v>8.5331300205321994E-2</v>
      </c>
      <c r="W183" t="s">
        <v>11</v>
      </c>
      <c r="X183" t="s">
        <v>255</v>
      </c>
      <c r="Y183" t="s">
        <v>1278</v>
      </c>
      <c r="Z183">
        <v>0</v>
      </c>
      <c r="AA183" t="s">
        <v>14</v>
      </c>
      <c r="AB183" t="s">
        <v>15</v>
      </c>
      <c r="AC183" t="s">
        <v>255</v>
      </c>
      <c r="AD183" t="s">
        <v>1278</v>
      </c>
      <c r="AE183">
        <v>0</v>
      </c>
      <c r="AF183" t="s">
        <v>18</v>
      </c>
    </row>
    <row r="184" spans="1:32" x14ac:dyDescent="0.3">
      <c r="A184" t="s">
        <v>175</v>
      </c>
      <c r="B184" t="s">
        <v>587</v>
      </c>
      <c r="C184">
        <v>7.5</v>
      </c>
      <c r="D184" t="s">
        <v>2163</v>
      </c>
      <c r="E184" t="s">
        <v>589</v>
      </c>
      <c r="F184">
        <v>10</v>
      </c>
      <c r="G184" t="s">
        <v>2</v>
      </c>
      <c r="H184" t="s">
        <v>1985</v>
      </c>
      <c r="I184" t="s">
        <v>4</v>
      </c>
      <c r="J184">
        <v>90</v>
      </c>
      <c r="K184" t="s">
        <v>5</v>
      </c>
      <c r="L184">
        <v>78</v>
      </c>
      <c r="M184" t="s">
        <v>6</v>
      </c>
      <c r="N184">
        <v>6.3399999999999901</v>
      </c>
      <c r="O184" t="s">
        <v>7</v>
      </c>
      <c r="P184">
        <v>7.0444444444444296E-2</v>
      </c>
      <c r="Q184" t="s">
        <v>8</v>
      </c>
      <c r="R184">
        <v>0.32025641025641</v>
      </c>
      <c r="S184" t="s">
        <v>9</v>
      </c>
      <c r="T184">
        <v>-1.5533333333333299</v>
      </c>
      <c r="U184" t="s">
        <v>10</v>
      </c>
      <c r="V184">
        <v>9.4078749117109797E-2</v>
      </c>
      <c r="W184" t="s">
        <v>11</v>
      </c>
      <c r="X184" t="s">
        <v>2228</v>
      </c>
      <c r="Y184" t="s">
        <v>2229</v>
      </c>
      <c r="Z184">
        <v>0</v>
      </c>
      <c r="AA184" t="s">
        <v>14</v>
      </c>
      <c r="AB184" t="s">
        <v>15</v>
      </c>
      <c r="AC184" t="s">
        <v>2228</v>
      </c>
      <c r="AD184" t="s">
        <v>2229</v>
      </c>
      <c r="AE184">
        <v>0</v>
      </c>
      <c r="AF184" t="s">
        <v>18</v>
      </c>
    </row>
    <row r="185" spans="1:32" x14ac:dyDescent="0.3">
      <c r="A185" t="s">
        <v>175</v>
      </c>
      <c r="B185" t="s">
        <v>587</v>
      </c>
      <c r="C185">
        <v>7.5</v>
      </c>
      <c r="D185" t="s">
        <v>2163</v>
      </c>
      <c r="E185" t="s">
        <v>589</v>
      </c>
      <c r="F185">
        <v>10</v>
      </c>
      <c r="G185" t="s">
        <v>2</v>
      </c>
      <c r="H185" t="s">
        <v>1988</v>
      </c>
      <c r="I185" t="s">
        <v>4</v>
      </c>
      <c r="J185">
        <v>90</v>
      </c>
      <c r="K185" t="s">
        <v>5</v>
      </c>
      <c r="L185">
        <v>78</v>
      </c>
      <c r="M185" t="s">
        <v>6</v>
      </c>
      <c r="N185">
        <v>4.8800000000000097</v>
      </c>
      <c r="O185" t="s">
        <v>7</v>
      </c>
      <c r="P185">
        <v>5.4222222222222401E-2</v>
      </c>
      <c r="Q185" t="s">
        <v>8</v>
      </c>
      <c r="R185">
        <v>0.32025641025641</v>
      </c>
      <c r="S185" t="s">
        <v>9</v>
      </c>
      <c r="T185">
        <v>-1.6749999999999901</v>
      </c>
      <c r="U185" t="s">
        <v>10</v>
      </c>
      <c r="V185">
        <v>9.7147055384642703E-2</v>
      </c>
      <c r="W185" t="s">
        <v>11</v>
      </c>
      <c r="X185" t="s">
        <v>2228</v>
      </c>
      <c r="Y185" t="s">
        <v>2229</v>
      </c>
      <c r="Z185">
        <v>0</v>
      </c>
      <c r="AA185" t="s">
        <v>14</v>
      </c>
      <c r="AB185" t="s">
        <v>15</v>
      </c>
      <c r="AC185" t="s">
        <v>2228</v>
      </c>
      <c r="AD185" t="s">
        <v>2229</v>
      </c>
      <c r="AE185">
        <v>0</v>
      </c>
      <c r="AF185" t="s">
        <v>18</v>
      </c>
    </row>
    <row r="186" spans="1:32" x14ac:dyDescent="0.3">
      <c r="A186" t="s">
        <v>175</v>
      </c>
      <c r="B186" t="s">
        <v>587</v>
      </c>
      <c r="C186">
        <v>7.5</v>
      </c>
      <c r="D186" t="s">
        <v>2163</v>
      </c>
      <c r="E186" t="s">
        <v>589</v>
      </c>
      <c r="F186">
        <v>10</v>
      </c>
      <c r="G186" t="s">
        <v>27</v>
      </c>
      <c r="H186" t="s">
        <v>1991</v>
      </c>
      <c r="I186" t="s">
        <v>4</v>
      </c>
      <c r="J186">
        <v>95</v>
      </c>
      <c r="K186" t="s">
        <v>5</v>
      </c>
      <c r="L186">
        <v>67</v>
      </c>
      <c r="M186" t="s">
        <v>6</v>
      </c>
      <c r="N186">
        <v>5.0599999999999898</v>
      </c>
      <c r="O186" t="s">
        <v>7</v>
      </c>
      <c r="P186">
        <v>5.3263157894736797E-2</v>
      </c>
      <c r="Q186" t="s">
        <v>8</v>
      </c>
      <c r="R186">
        <v>0.41925373134328298</v>
      </c>
      <c r="S186" t="s">
        <v>9</v>
      </c>
      <c r="T186">
        <v>-0.82249999999999901</v>
      </c>
      <c r="U186" t="s">
        <v>10</v>
      </c>
      <c r="V186">
        <v>8.68320651256516E-2</v>
      </c>
      <c r="W186" t="s">
        <v>11</v>
      </c>
      <c r="X186" t="s">
        <v>2230</v>
      </c>
      <c r="Y186" t="s">
        <v>691</v>
      </c>
      <c r="Z186">
        <v>0</v>
      </c>
      <c r="AA186" t="s">
        <v>14</v>
      </c>
      <c r="AB186" t="s">
        <v>15</v>
      </c>
      <c r="AC186" t="s">
        <v>2230</v>
      </c>
      <c r="AD186" t="s">
        <v>691</v>
      </c>
      <c r="AE186">
        <v>0</v>
      </c>
      <c r="AF186" t="s">
        <v>18</v>
      </c>
    </row>
    <row r="187" spans="1:32" x14ac:dyDescent="0.3">
      <c r="A187" t="s">
        <v>175</v>
      </c>
      <c r="B187" t="s">
        <v>587</v>
      </c>
      <c r="C187">
        <v>7.5</v>
      </c>
      <c r="D187" t="s">
        <v>2163</v>
      </c>
      <c r="E187" t="s">
        <v>589</v>
      </c>
      <c r="F187">
        <v>10</v>
      </c>
      <c r="G187" t="s">
        <v>27</v>
      </c>
      <c r="H187" t="s">
        <v>1994</v>
      </c>
      <c r="I187" t="s">
        <v>4</v>
      </c>
      <c r="J187">
        <v>95</v>
      </c>
      <c r="K187" t="s">
        <v>5</v>
      </c>
      <c r="L187">
        <v>82</v>
      </c>
      <c r="M187" t="s">
        <v>6</v>
      </c>
      <c r="N187">
        <v>17.633894276540801</v>
      </c>
      <c r="O187" t="s">
        <v>7</v>
      </c>
      <c r="P187">
        <v>0.18561993975306099</v>
      </c>
      <c r="Q187" t="s">
        <v>8</v>
      </c>
      <c r="R187">
        <v>0.43029139361635099</v>
      </c>
      <c r="S187" t="s">
        <v>9</v>
      </c>
      <c r="T187">
        <v>-1.3576923076923</v>
      </c>
      <c r="U187" t="s">
        <v>10</v>
      </c>
      <c r="V187">
        <v>0.120189313471792</v>
      </c>
      <c r="W187" t="s">
        <v>11</v>
      </c>
      <c r="X187" t="s">
        <v>2230</v>
      </c>
      <c r="Y187" t="s">
        <v>691</v>
      </c>
      <c r="Z187">
        <v>0</v>
      </c>
      <c r="AA187" t="s">
        <v>14</v>
      </c>
      <c r="AB187" t="s">
        <v>15</v>
      </c>
      <c r="AC187" t="s">
        <v>2230</v>
      </c>
      <c r="AD187" t="s">
        <v>691</v>
      </c>
      <c r="AE187">
        <v>0</v>
      </c>
      <c r="AF187" t="s">
        <v>18</v>
      </c>
    </row>
    <row r="188" spans="1:32" x14ac:dyDescent="0.3">
      <c r="A188" t="s">
        <v>175</v>
      </c>
      <c r="B188" t="s">
        <v>587</v>
      </c>
      <c r="C188">
        <v>7.5</v>
      </c>
      <c r="D188" t="s">
        <v>2163</v>
      </c>
      <c r="E188" t="s">
        <v>589</v>
      </c>
      <c r="F188">
        <v>10</v>
      </c>
      <c r="G188" t="s">
        <v>27</v>
      </c>
      <c r="H188" t="s">
        <v>1996</v>
      </c>
      <c r="I188" t="s">
        <v>4</v>
      </c>
      <c r="J188">
        <v>95</v>
      </c>
      <c r="K188" t="s">
        <v>5</v>
      </c>
      <c r="L188">
        <v>83</v>
      </c>
      <c r="M188" t="s">
        <v>6</v>
      </c>
      <c r="N188">
        <v>15.133894276540801</v>
      </c>
      <c r="O188" t="s">
        <v>7</v>
      </c>
      <c r="P188">
        <v>0.159304150279377</v>
      </c>
      <c r="Q188" t="s">
        <v>8</v>
      </c>
      <c r="R188">
        <v>0.428119208151094</v>
      </c>
      <c r="S188" t="s">
        <v>9</v>
      </c>
      <c r="T188">
        <v>-1.7</v>
      </c>
      <c r="U188" t="s">
        <v>10</v>
      </c>
      <c r="V188">
        <v>0.12758141306045301</v>
      </c>
      <c r="W188" t="s">
        <v>11</v>
      </c>
      <c r="X188" t="s">
        <v>2231</v>
      </c>
      <c r="Y188" t="s">
        <v>2050</v>
      </c>
      <c r="Z188">
        <v>0</v>
      </c>
      <c r="AA188" t="s">
        <v>14</v>
      </c>
      <c r="AB188" t="s">
        <v>15</v>
      </c>
      <c r="AC188" t="s">
        <v>2232</v>
      </c>
      <c r="AD188" t="s">
        <v>2050</v>
      </c>
      <c r="AE188">
        <v>0</v>
      </c>
      <c r="AF188" t="s">
        <v>18</v>
      </c>
    </row>
    <row r="189" spans="1:32" x14ac:dyDescent="0.3">
      <c r="A189" t="s">
        <v>175</v>
      </c>
      <c r="B189" t="s">
        <v>587</v>
      </c>
      <c r="C189">
        <v>7.5</v>
      </c>
      <c r="D189" t="s">
        <v>2163</v>
      </c>
      <c r="E189" t="s">
        <v>589</v>
      </c>
      <c r="F189">
        <v>10</v>
      </c>
      <c r="G189" t="s">
        <v>27</v>
      </c>
      <c r="H189" t="s">
        <v>1997</v>
      </c>
      <c r="I189" t="s">
        <v>4</v>
      </c>
      <c r="J189">
        <v>95</v>
      </c>
      <c r="K189" t="s">
        <v>5</v>
      </c>
      <c r="L189">
        <v>83</v>
      </c>
      <c r="M189" t="s">
        <v>6</v>
      </c>
      <c r="N189">
        <v>8.6038942765408493</v>
      </c>
      <c r="O189" t="s">
        <v>7</v>
      </c>
      <c r="P189">
        <v>9.0567308174114194E-2</v>
      </c>
      <c r="Q189" t="s">
        <v>8</v>
      </c>
      <c r="R189">
        <v>0.428119208151094</v>
      </c>
      <c r="S189" t="s">
        <v>9</v>
      </c>
      <c r="T189">
        <v>-2.24416666666666</v>
      </c>
      <c r="U189" t="s">
        <v>10</v>
      </c>
      <c r="V189">
        <v>0.163098267878097</v>
      </c>
      <c r="W189" t="s">
        <v>11</v>
      </c>
      <c r="X189" t="s">
        <v>2233</v>
      </c>
      <c r="Y189" t="s">
        <v>635</v>
      </c>
      <c r="Z189">
        <v>0</v>
      </c>
      <c r="AA189" t="s">
        <v>14</v>
      </c>
      <c r="AB189" t="s">
        <v>15</v>
      </c>
      <c r="AC189" t="s">
        <v>2233</v>
      </c>
      <c r="AD189" t="s">
        <v>635</v>
      </c>
      <c r="AE189">
        <v>0</v>
      </c>
      <c r="AF189" t="s">
        <v>18</v>
      </c>
    </row>
    <row r="190" spans="1:32" x14ac:dyDescent="0.3">
      <c r="A190" t="s">
        <v>175</v>
      </c>
      <c r="B190" t="s">
        <v>587</v>
      </c>
      <c r="C190">
        <v>7.5</v>
      </c>
      <c r="D190" t="s">
        <v>2163</v>
      </c>
      <c r="E190" t="s">
        <v>589</v>
      </c>
      <c r="F190">
        <v>10</v>
      </c>
      <c r="G190" t="s">
        <v>2174</v>
      </c>
      <c r="H190" t="s">
        <v>1999</v>
      </c>
      <c r="I190" t="s">
        <v>4</v>
      </c>
      <c r="J190">
        <v>96</v>
      </c>
      <c r="K190" t="s">
        <v>5</v>
      </c>
      <c r="L190">
        <v>64</v>
      </c>
      <c r="M190" t="s">
        <v>6</v>
      </c>
      <c r="N190">
        <v>1.7030013670103199</v>
      </c>
      <c r="O190" t="s">
        <v>7</v>
      </c>
      <c r="P190">
        <v>1.77395975730242E-2</v>
      </c>
      <c r="Q190" t="s">
        <v>8</v>
      </c>
      <c r="R190">
        <v>0.526223993085987</v>
      </c>
      <c r="S190" t="s">
        <v>9</v>
      </c>
      <c r="T190">
        <v>-0.99922919345290095</v>
      </c>
      <c r="U190" t="s">
        <v>10</v>
      </c>
      <c r="V190">
        <v>0.112033258606121</v>
      </c>
      <c r="W190" t="s">
        <v>11</v>
      </c>
      <c r="X190" t="s">
        <v>2230</v>
      </c>
      <c r="Y190" t="s">
        <v>691</v>
      </c>
      <c r="Z190">
        <v>0</v>
      </c>
      <c r="AA190" t="s">
        <v>14</v>
      </c>
      <c r="AB190" t="s">
        <v>15</v>
      </c>
      <c r="AC190" t="s">
        <v>2230</v>
      </c>
      <c r="AD190" t="s">
        <v>691</v>
      </c>
      <c r="AE190">
        <v>0</v>
      </c>
      <c r="AF190" t="s">
        <v>18</v>
      </c>
    </row>
    <row r="191" spans="1:32" x14ac:dyDescent="0.3">
      <c r="A191" t="s">
        <v>175</v>
      </c>
      <c r="B191" t="s">
        <v>587</v>
      </c>
      <c r="C191">
        <v>7.5</v>
      </c>
      <c r="D191" t="s">
        <v>2163</v>
      </c>
      <c r="E191" t="s">
        <v>589</v>
      </c>
      <c r="F191">
        <v>10</v>
      </c>
      <c r="G191" t="s">
        <v>2174</v>
      </c>
      <c r="H191" t="s">
        <v>2002</v>
      </c>
      <c r="I191" t="s">
        <v>4</v>
      </c>
      <c r="J191">
        <v>96</v>
      </c>
      <c r="K191" t="s">
        <v>5</v>
      </c>
      <c r="L191">
        <v>75</v>
      </c>
      <c r="M191" t="s">
        <v>6</v>
      </c>
      <c r="N191">
        <v>4.6305443668688104</v>
      </c>
      <c r="O191" t="s">
        <v>7</v>
      </c>
      <c r="P191">
        <v>4.8234837154883498E-2</v>
      </c>
      <c r="Q191" t="s">
        <v>8</v>
      </c>
      <c r="R191">
        <v>0.52282973112058695</v>
      </c>
      <c r="S191" t="s">
        <v>9</v>
      </c>
      <c r="T191">
        <v>-1.6467469270083399</v>
      </c>
      <c r="U191" t="s">
        <v>10</v>
      </c>
      <c r="V191">
        <v>0.14229112210203301</v>
      </c>
      <c r="W191" t="s">
        <v>11</v>
      </c>
      <c r="X191" t="s">
        <v>2230</v>
      </c>
      <c r="Y191" t="s">
        <v>691</v>
      </c>
      <c r="Z191">
        <v>0</v>
      </c>
      <c r="AA191" t="s">
        <v>14</v>
      </c>
      <c r="AB191" t="s">
        <v>15</v>
      </c>
      <c r="AC191" t="s">
        <v>2230</v>
      </c>
      <c r="AD191" t="s">
        <v>691</v>
      </c>
      <c r="AE191">
        <v>0</v>
      </c>
      <c r="AF191" t="s">
        <v>18</v>
      </c>
    </row>
    <row r="192" spans="1:32" x14ac:dyDescent="0.3">
      <c r="A192" t="s">
        <v>175</v>
      </c>
      <c r="B192" t="s">
        <v>587</v>
      </c>
      <c r="C192">
        <v>7.5</v>
      </c>
      <c r="D192" t="s">
        <v>2163</v>
      </c>
      <c r="E192" t="s">
        <v>589</v>
      </c>
      <c r="F192">
        <v>10</v>
      </c>
      <c r="G192" t="s">
        <v>2174</v>
      </c>
      <c r="H192" t="s">
        <v>2004</v>
      </c>
      <c r="I192" t="s">
        <v>4</v>
      </c>
      <c r="J192">
        <v>96</v>
      </c>
      <c r="K192" t="s">
        <v>5</v>
      </c>
      <c r="L192">
        <v>76</v>
      </c>
      <c r="M192" t="s">
        <v>6</v>
      </c>
      <c r="N192">
        <v>3.0283462657907498</v>
      </c>
      <c r="O192" t="s">
        <v>7</v>
      </c>
      <c r="P192">
        <v>3.1545273601987001E-2</v>
      </c>
      <c r="Q192" t="s">
        <v>8</v>
      </c>
      <c r="R192">
        <v>0.52187144518479001</v>
      </c>
      <c r="S192" t="s">
        <v>9</v>
      </c>
      <c r="T192">
        <v>-1.8316941784126599</v>
      </c>
      <c r="U192" t="s">
        <v>10</v>
      </c>
      <c r="V192">
        <v>0.16968890412770599</v>
      </c>
      <c r="W192" t="s">
        <v>11</v>
      </c>
      <c r="X192" t="s">
        <v>2234</v>
      </c>
      <c r="Y192" t="s">
        <v>733</v>
      </c>
      <c r="Z192">
        <v>0</v>
      </c>
      <c r="AA192" t="s">
        <v>14</v>
      </c>
      <c r="AB192" t="s">
        <v>15</v>
      </c>
      <c r="AC192" t="s">
        <v>2234</v>
      </c>
      <c r="AD192" t="s">
        <v>733</v>
      </c>
      <c r="AE192">
        <v>0</v>
      </c>
      <c r="AF192" t="s">
        <v>18</v>
      </c>
    </row>
    <row r="193" spans="1:32" x14ac:dyDescent="0.3">
      <c r="A193" t="s">
        <v>175</v>
      </c>
      <c r="B193" t="s">
        <v>587</v>
      </c>
      <c r="C193">
        <v>7.5</v>
      </c>
      <c r="D193" t="s">
        <v>2163</v>
      </c>
      <c r="E193" t="s">
        <v>589</v>
      </c>
      <c r="F193">
        <v>10</v>
      </c>
      <c r="G193" t="s">
        <v>2174</v>
      </c>
      <c r="H193" t="s">
        <v>2005</v>
      </c>
      <c r="I193" t="s">
        <v>4</v>
      </c>
      <c r="J193">
        <v>96</v>
      </c>
      <c r="K193" t="s">
        <v>5</v>
      </c>
      <c r="L193">
        <v>76</v>
      </c>
      <c r="M193" t="s">
        <v>6</v>
      </c>
      <c r="N193">
        <v>-1.6916537342092399</v>
      </c>
      <c r="O193" t="s">
        <v>7</v>
      </c>
      <c r="P193">
        <v>-1.7621393064679601E-2</v>
      </c>
      <c r="Q193" t="s">
        <v>8</v>
      </c>
      <c r="R193">
        <v>0.52187144518479001</v>
      </c>
      <c r="S193" t="s">
        <v>9</v>
      </c>
      <c r="T193">
        <v>-2.0676941784126601</v>
      </c>
      <c r="U193" t="s">
        <v>10</v>
      </c>
      <c r="V193">
        <v>0.19988985233760201</v>
      </c>
      <c r="W193" t="s">
        <v>11</v>
      </c>
      <c r="X193" t="s">
        <v>2233</v>
      </c>
      <c r="Y193" t="s">
        <v>635</v>
      </c>
      <c r="Z193">
        <v>0</v>
      </c>
      <c r="AA193" t="s">
        <v>14</v>
      </c>
      <c r="AB193" t="s">
        <v>15</v>
      </c>
      <c r="AC193" t="s">
        <v>2233</v>
      </c>
      <c r="AD193" t="s">
        <v>635</v>
      </c>
      <c r="AE193">
        <v>0</v>
      </c>
      <c r="AF193" t="s">
        <v>18</v>
      </c>
    </row>
    <row r="194" spans="1:32" x14ac:dyDescent="0.3">
      <c r="A194" t="s">
        <v>221</v>
      </c>
      <c r="B194" t="s">
        <v>587</v>
      </c>
      <c r="C194">
        <v>0</v>
      </c>
      <c r="D194" t="s">
        <v>2163</v>
      </c>
      <c r="E194" t="s">
        <v>589</v>
      </c>
      <c r="F194">
        <v>2.5</v>
      </c>
      <c r="G194" t="s">
        <v>2</v>
      </c>
      <c r="H194" t="s">
        <v>1979</v>
      </c>
      <c r="I194" t="s">
        <v>4</v>
      </c>
      <c r="J194">
        <v>136</v>
      </c>
      <c r="K194" t="s">
        <v>5</v>
      </c>
      <c r="L194">
        <v>88</v>
      </c>
      <c r="M194" t="s">
        <v>6</v>
      </c>
      <c r="N194">
        <v>10.84</v>
      </c>
      <c r="O194" t="s">
        <v>7</v>
      </c>
      <c r="P194">
        <v>7.9705882352941404E-2</v>
      </c>
      <c r="Q194" t="s">
        <v>8</v>
      </c>
      <c r="R194">
        <v>0.81545454545454499</v>
      </c>
      <c r="S194" t="s">
        <v>9</v>
      </c>
      <c r="T194">
        <v>-1.2691666666666599</v>
      </c>
      <c r="U194" t="s">
        <v>10</v>
      </c>
      <c r="V194">
        <v>0.25535362413879398</v>
      </c>
      <c r="W194" t="s">
        <v>11</v>
      </c>
      <c r="X194" t="s">
        <v>2237</v>
      </c>
      <c r="Y194" t="s">
        <v>2071</v>
      </c>
      <c r="Z194">
        <v>0</v>
      </c>
      <c r="AA194" t="s">
        <v>14</v>
      </c>
      <c r="AB194" t="s">
        <v>15</v>
      </c>
      <c r="AC194" t="s">
        <v>2237</v>
      </c>
      <c r="AD194" t="s">
        <v>2071</v>
      </c>
      <c r="AE194">
        <v>0</v>
      </c>
      <c r="AF194" t="s">
        <v>18</v>
      </c>
    </row>
    <row r="195" spans="1:32" x14ac:dyDescent="0.3">
      <c r="A195" t="s">
        <v>221</v>
      </c>
      <c r="B195" t="s">
        <v>587</v>
      </c>
      <c r="C195">
        <v>0</v>
      </c>
      <c r="D195" t="s">
        <v>2163</v>
      </c>
      <c r="E195" t="s">
        <v>589</v>
      </c>
      <c r="F195">
        <v>2.5</v>
      </c>
      <c r="G195" t="s">
        <v>2</v>
      </c>
      <c r="H195" t="s">
        <v>1982</v>
      </c>
      <c r="I195" t="s">
        <v>4</v>
      </c>
      <c r="J195">
        <v>136</v>
      </c>
      <c r="K195" t="s">
        <v>5</v>
      </c>
      <c r="L195">
        <v>92</v>
      </c>
      <c r="M195" t="s">
        <v>6</v>
      </c>
      <c r="N195">
        <v>16.940000000000001</v>
      </c>
      <c r="O195" t="s">
        <v>7</v>
      </c>
      <c r="P195">
        <v>0.124558823529411</v>
      </c>
      <c r="Q195" t="s">
        <v>8</v>
      </c>
      <c r="R195">
        <v>0.81076086956521698</v>
      </c>
      <c r="S195" t="s">
        <v>9</v>
      </c>
      <c r="T195">
        <v>-1.3102272727272699</v>
      </c>
      <c r="U195" t="s">
        <v>10</v>
      </c>
      <c r="V195">
        <v>0.26168788105039797</v>
      </c>
      <c r="W195" t="s">
        <v>11</v>
      </c>
      <c r="X195" t="s">
        <v>2237</v>
      </c>
      <c r="Y195" t="s">
        <v>2071</v>
      </c>
      <c r="Z195">
        <v>0</v>
      </c>
      <c r="AA195" t="s">
        <v>14</v>
      </c>
      <c r="AB195" t="s">
        <v>15</v>
      </c>
      <c r="AC195" t="s">
        <v>2237</v>
      </c>
      <c r="AD195" t="s">
        <v>2071</v>
      </c>
      <c r="AE195">
        <v>0</v>
      </c>
      <c r="AF195" t="s">
        <v>18</v>
      </c>
    </row>
    <row r="196" spans="1:32" x14ac:dyDescent="0.3">
      <c r="A196" t="s">
        <v>221</v>
      </c>
      <c r="B196" t="s">
        <v>587</v>
      </c>
      <c r="C196">
        <v>0</v>
      </c>
      <c r="D196" t="s">
        <v>2163</v>
      </c>
      <c r="E196" t="s">
        <v>589</v>
      </c>
      <c r="F196">
        <v>2.5</v>
      </c>
      <c r="G196" t="s">
        <v>2</v>
      </c>
      <c r="H196" t="s">
        <v>1985</v>
      </c>
      <c r="I196" t="s">
        <v>4</v>
      </c>
      <c r="J196">
        <v>136</v>
      </c>
      <c r="K196" t="s">
        <v>5</v>
      </c>
      <c r="L196">
        <v>92</v>
      </c>
      <c r="M196" t="s">
        <v>6</v>
      </c>
      <c r="N196">
        <v>17.39</v>
      </c>
      <c r="O196" t="s">
        <v>7</v>
      </c>
      <c r="P196">
        <v>0.127867647058823</v>
      </c>
      <c r="Q196" t="s">
        <v>8</v>
      </c>
      <c r="R196">
        <v>0.81076086956521698</v>
      </c>
      <c r="S196" t="s">
        <v>9</v>
      </c>
      <c r="T196">
        <v>-1.2999999999999901</v>
      </c>
      <c r="U196" t="s">
        <v>10</v>
      </c>
      <c r="V196">
        <v>0.26535700009923702</v>
      </c>
      <c r="W196" t="s">
        <v>11</v>
      </c>
      <c r="X196" t="s">
        <v>2237</v>
      </c>
      <c r="Y196" t="s">
        <v>2071</v>
      </c>
      <c r="Z196">
        <v>0</v>
      </c>
      <c r="AA196" t="s">
        <v>14</v>
      </c>
      <c r="AB196" t="s">
        <v>15</v>
      </c>
      <c r="AC196" t="s">
        <v>2237</v>
      </c>
      <c r="AD196" t="s">
        <v>2071</v>
      </c>
      <c r="AE196">
        <v>0</v>
      </c>
      <c r="AF196" t="s">
        <v>18</v>
      </c>
    </row>
    <row r="197" spans="1:32" x14ac:dyDescent="0.3">
      <c r="A197" t="s">
        <v>221</v>
      </c>
      <c r="B197" t="s">
        <v>587</v>
      </c>
      <c r="C197">
        <v>0</v>
      </c>
      <c r="D197" t="s">
        <v>2163</v>
      </c>
      <c r="E197" t="s">
        <v>589</v>
      </c>
      <c r="F197">
        <v>2.5</v>
      </c>
      <c r="G197" t="s">
        <v>2</v>
      </c>
      <c r="H197" t="s">
        <v>1988</v>
      </c>
      <c r="I197" t="s">
        <v>4</v>
      </c>
      <c r="J197">
        <v>136</v>
      </c>
      <c r="K197" t="s">
        <v>5</v>
      </c>
      <c r="L197">
        <v>92</v>
      </c>
      <c r="M197" t="s">
        <v>6</v>
      </c>
      <c r="N197">
        <v>17.39</v>
      </c>
      <c r="O197" t="s">
        <v>7</v>
      </c>
      <c r="P197">
        <v>0.127867647058823</v>
      </c>
      <c r="Q197" t="s">
        <v>8</v>
      </c>
      <c r="R197">
        <v>0.81076086956521698</v>
      </c>
      <c r="S197" t="s">
        <v>9</v>
      </c>
      <c r="T197">
        <v>-1.2999999999999901</v>
      </c>
      <c r="U197" t="s">
        <v>10</v>
      </c>
      <c r="V197">
        <v>0.26535700009923702</v>
      </c>
      <c r="W197" t="s">
        <v>11</v>
      </c>
      <c r="X197" t="s">
        <v>2237</v>
      </c>
      <c r="Y197" t="s">
        <v>2071</v>
      </c>
      <c r="Z197">
        <v>0</v>
      </c>
      <c r="AA197" t="s">
        <v>14</v>
      </c>
      <c r="AB197" t="s">
        <v>15</v>
      </c>
      <c r="AC197" t="s">
        <v>2237</v>
      </c>
      <c r="AD197" t="s">
        <v>2071</v>
      </c>
      <c r="AE197">
        <v>0</v>
      </c>
      <c r="AF197" t="s">
        <v>18</v>
      </c>
    </row>
    <row r="198" spans="1:32" x14ac:dyDescent="0.3">
      <c r="A198" t="s">
        <v>221</v>
      </c>
      <c r="B198" t="s">
        <v>587</v>
      </c>
      <c r="C198">
        <v>0</v>
      </c>
      <c r="D198" t="s">
        <v>2163</v>
      </c>
      <c r="E198" t="s">
        <v>589</v>
      </c>
      <c r="F198">
        <v>2.5</v>
      </c>
      <c r="G198" t="s">
        <v>27</v>
      </c>
      <c r="H198" t="s">
        <v>1991</v>
      </c>
      <c r="I198" t="s">
        <v>4</v>
      </c>
      <c r="J198">
        <v>128</v>
      </c>
      <c r="K198" t="s">
        <v>5</v>
      </c>
      <c r="L198">
        <v>83</v>
      </c>
      <c r="M198" t="s">
        <v>6</v>
      </c>
      <c r="N198">
        <v>8.3904963749453199</v>
      </c>
      <c r="O198" t="s">
        <v>7</v>
      </c>
      <c r="P198">
        <v>6.5550752929260298E-2</v>
      </c>
      <c r="Q198" t="s">
        <v>8</v>
      </c>
      <c r="R198">
        <v>0.80686746987951796</v>
      </c>
      <c r="S198" t="s">
        <v>9</v>
      </c>
      <c r="T198">
        <v>-1.30176674722343</v>
      </c>
      <c r="U198" t="s">
        <v>10</v>
      </c>
      <c r="V198">
        <v>0.24533100327715399</v>
      </c>
      <c r="W198" t="s">
        <v>11</v>
      </c>
      <c r="X198" t="s">
        <v>2237</v>
      </c>
      <c r="Y198" t="s">
        <v>2071</v>
      </c>
      <c r="Z198">
        <v>0</v>
      </c>
      <c r="AA198" t="s">
        <v>14</v>
      </c>
      <c r="AB198" t="s">
        <v>15</v>
      </c>
      <c r="AC198" t="s">
        <v>2237</v>
      </c>
      <c r="AD198" t="s">
        <v>2071</v>
      </c>
      <c r="AE198">
        <v>0</v>
      </c>
      <c r="AF198" t="s">
        <v>18</v>
      </c>
    </row>
    <row r="199" spans="1:32" x14ac:dyDescent="0.3">
      <c r="A199" t="s">
        <v>221</v>
      </c>
      <c r="B199" t="s">
        <v>587</v>
      </c>
      <c r="C199">
        <v>0</v>
      </c>
      <c r="D199" t="s">
        <v>2163</v>
      </c>
      <c r="E199" t="s">
        <v>589</v>
      </c>
      <c r="F199">
        <v>2.5</v>
      </c>
      <c r="G199" t="s">
        <v>27</v>
      </c>
      <c r="H199" t="s">
        <v>1994</v>
      </c>
      <c r="I199" t="s">
        <v>4</v>
      </c>
      <c r="J199">
        <v>128</v>
      </c>
      <c r="K199" t="s">
        <v>5</v>
      </c>
      <c r="L199">
        <v>87</v>
      </c>
      <c r="M199" t="s">
        <v>6</v>
      </c>
      <c r="N199">
        <v>18.41</v>
      </c>
      <c r="O199" t="s">
        <v>7</v>
      </c>
      <c r="P199">
        <v>0.143828125</v>
      </c>
      <c r="Q199" t="s">
        <v>8</v>
      </c>
      <c r="R199">
        <v>0.80540229885057402</v>
      </c>
      <c r="S199" t="s">
        <v>9</v>
      </c>
      <c r="T199">
        <v>-1.25999999999999</v>
      </c>
      <c r="U199" t="s">
        <v>10</v>
      </c>
      <c r="V199">
        <v>0.26073985283860401</v>
      </c>
      <c r="W199" t="s">
        <v>11</v>
      </c>
      <c r="X199" t="s">
        <v>2237</v>
      </c>
      <c r="Y199" t="s">
        <v>2071</v>
      </c>
      <c r="Z199">
        <v>0</v>
      </c>
      <c r="AA199" t="s">
        <v>14</v>
      </c>
      <c r="AB199" t="s">
        <v>15</v>
      </c>
      <c r="AC199" t="s">
        <v>2237</v>
      </c>
      <c r="AD199" t="s">
        <v>2071</v>
      </c>
      <c r="AE199">
        <v>0</v>
      </c>
      <c r="AF199" t="s">
        <v>18</v>
      </c>
    </row>
    <row r="200" spans="1:32" x14ac:dyDescent="0.3">
      <c r="A200" t="s">
        <v>221</v>
      </c>
      <c r="B200" t="s">
        <v>587</v>
      </c>
      <c r="C200">
        <v>0</v>
      </c>
      <c r="D200" t="s">
        <v>2163</v>
      </c>
      <c r="E200" t="s">
        <v>589</v>
      </c>
      <c r="F200">
        <v>2.5</v>
      </c>
      <c r="G200" t="s">
        <v>27</v>
      </c>
      <c r="H200" t="s">
        <v>1996</v>
      </c>
      <c r="I200" t="s">
        <v>4</v>
      </c>
      <c r="J200">
        <v>128</v>
      </c>
      <c r="K200" t="s">
        <v>5</v>
      </c>
      <c r="L200">
        <v>87</v>
      </c>
      <c r="M200" t="s">
        <v>6</v>
      </c>
      <c r="N200">
        <v>18.86</v>
      </c>
      <c r="O200" t="s">
        <v>7</v>
      </c>
      <c r="P200">
        <v>0.14734375</v>
      </c>
      <c r="Q200" t="s">
        <v>8</v>
      </c>
      <c r="R200">
        <v>0.80540229885057402</v>
      </c>
      <c r="S200" t="s">
        <v>9</v>
      </c>
      <c r="T200">
        <v>-1.2490243902439</v>
      </c>
      <c r="U200" t="s">
        <v>10</v>
      </c>
      <c r="V200">
        <v>0.26370100668653701</v>
      </c>
      <c r="W200" t="s">
        <v>11</v>
      </c>
      <c r="X200" t="s">
        <v>2237</v>
      </c>
      <c r="Y200" t="s">
        <v>2071</v>
      </c>
      <c r="Z200">
        <v>0</v>
      </c>
      <c r="AA200" t="s">
        <v>14</v>
      </c>
      <c r="AB200" t="s">
        <v>15</v>
      </c>
      <c r="AC200" t="s">
        <v>2237</v>
      </c>
      <c r="AD200" t="s">
        <v>2071</v>
      </c>
      <c r="AE200">
        <v>0</v>
      </c>
      <c r="AF200" t="s">
        <v>18</v>
      </c>
    </row>
    <row r="201" spans="1:32" x14ac:dyDescent="0.3">
      <c r="A201" t="s">
        <v>221</v>
      </c>
      <c r="B201" t="s">
        <v>587</v>
      </c>
      <c r="C201">
        <v>0</v>
      </c>
      <c r="D201" t="s">
        <v>2163</v>
      </c>
      <c r="E201" t="s">
        <v>589</v>
      </c>
      <c r="F201">
        <v>2.5</v>
      </c>
      <c r="G201" t="s">
        <v>27</v>
      </c>
      <c r="H201" t="s">
        <v>1997</v>
      </c>
      <c r="I201" t="s">
        <v>4</v>
      </c>
      <c r="J201">
        <v>128</v>
      </c>
      <c r="K201" t="s">
        <v>5</v>
      </c>
      <c r="L201">
        <v>87</v>
      </c>
      <c r="M201" t="s">
        <v>6</v>
      </c>
      <c r="N201">
        <v>18.86</v>
      </c>
      <c r="O201" t="s">
        <v>7</v>
      </c>
      <c r="P201">
        <v>0.14734375</v>
      </c>
      <c r="Q201" t="s">
        <v>8</v>
      </c>
      <c r="R201">
        <v>0.80540229885057402</v>
      </c>
      <c r="S201" t="s">
        <v>9</v>
      </c>
      <c r="T201">
        <v>-1.2490243902439</v>
      </c>
      <c r="U201" t="s">
        <v>10</v>
      </c>
      <c r="V201">
        <v>0.26370100668653701</v>
      </c>
      <c r="W201" t="s">
        <v>11</v>
      </c>
      <c r="X201" t="s">
        <v>2237</v>
      </c>
      <c r="Y201" t="s">
        <v>2071</v>
      </c>
      <c r="Z201">
        <v>0</v>
      </c>
      <c r="AA201" t="s">
        <v>14</v>
      </c>
      <c r="AB201" t="s">
        <v>15</v>
      </c>
      <c r="AC201" t="s">
        <v>2237</v>
      </c>
      <c r="AD201" t="s">
        <v>2071</v>
      </c>
      <c r="AE201">
        <v>0</v>
      </c>
      <c r="AF201" t="s">
        <v>18</v>
      </c>
    </row>
    <row r="202" spans="1:32" x14ac:dyDescent="0.3">
      <c r="A202" t="s">
        <v>221</v>
      </c>
      <c r="B202" t="s">
        <v>587</v>
      </c>
      <c r="C202">
        <v>0</v>
      </c>
      <c r="D202" t="s">
        <v>2163</v>
      </c>
      <c r="E202" t="s">
        <v>589</v>
      </c>
      <c r="F202">
        <v>2.5</v>
      </c>
      <c r="G202" t="s">
        <v>2174</v>
      </c>
      <c r="H202" t="s">
        <v>1999</v>
      </c>
      <c r="I202" t="s">
        <v>4</v>
      </c>
      <c r="J202">
        <v>127</v>
      </c>
      <c r="K202" t="s">
        <v>5</v>
      </c>
      <c r="L202">
        <v>80</v>
      </c>
      <c r="M202" t="s">
        <v>6</v>
      </c>
      <c r="N202">
        <v>7.56197338867557</v>
      </c>
      <c r="O202" t="s">
        <v>7</v>
      </c>
      <c r="P202">
        <v>5.9543097548626502E-2</v>
      </c>
      <c r="Q202" t="s">
        <v>8</v>
      </c>
      <c r="R202">
        <v>0.80867683510994604</v>
      </c>
      <c r="S202" t="s">
        <v>9</v>
      </c>
      <c r="T202">
        <v>-1.2155781578748901</v>
      </c>
      <c r="U202" t="s">
        <v>10</v>
      </c>
      <c r="V202">
        <v>0.22418305260973101</v>
      </c>
      <c r="W202" t="s">
        <v>11</v>
      </c>
      <c r="X202" t="s">
        <v>2238</v>
      </c>
      <c r="Y202" t="s">
        <v>2071</v>
      </c>
      <c r="Z202">
        <v>0</v>
      </c>
      <c r="AA202" t="s">
        <v>14</v>
      </c>
      <c r="AB202" t="s">
        <v>15</v>
      </c>
      <c r="AC202" t="s">
        <v>2239</v>
      </c>
      <c r="AD202" t="s">
        <v>2240</v>
      </c>
      <c r="AE202">
        <v>0</v>
      </c>
      <c r="AF202" t="s">
        <v>18</v>
      </c>
    </row>
    <row r="203" spans="1:32" x14ac:dyDescent="0.3">
      <c r="A203" t="s">
        <v>221</v>
      </c>
      <c r="B203" t="s">
        <v>587</v>
      </c>
      <c r="C203">
        <v>0</v>
      </c>
      <c r="D203" t="s">
        <v>2163</v>
      </c>
      <c r="E203" t="s">
        <v>589</v>
      </c>
      <c r="F203">
        <v>2.5</v>
      </c>
      <c r="G203" t="s">
        <v>2174</v>
      </c>
      <c r="H203" t="s">
        <v>2002</v>
      </c>
      <c r="I203" t="s">
        <v>4</v>
      </c>
      <c r="J203">
        <v>127</v>
      </c>
      <c r="K203" t="s">
        <v>5</v>
      </c>
      <c r="L203">
        <v>82</v>
      </c>
      <c r="M203" t="s">
        <v>6</v>
      </c>
      <c r="N203">
        <v>6.9085457064968496</v>
      </c>
      <c r="O203" t="s">
        <v>7</v>
      </c>
      <c r="P203">
        <v>5.4397997688951601E-2</v>
      </c>
      <c r="Q203" t="s">
        <v>8</v>
      </c>
      <c r="R203">
        <v>0.81175788791214298</v>
      </c>
      <c r="S203" t="s">
        <v>9</v>
      </c>
      <c r="T203">
        <v>-1.32568002449553</v>
      </c>
      <c r="U203" t="s">
        <v>10</v>
      </c>
      <c r="V203">
        <v>0.25066797239316702</v>
      </c>
      <c r="W203" t="s">
        <v>11</v>
      </c>
      <c r="X203" t="s">
        <v>2241</v>
      </c>
      <c r="Y203" t="s">
        <v>2242</v>
      </c>
      <c r="Z203">
        <v>0</v>
      </c>
      <c r="AA203" t="s">
        <v>14</v>
      </c>
      <c r="AB203" t="s">
        <v>15</v>
      </c>
      <c r="AC203" t="s">
        <v>2243</v>
      </c>
      <c r="AD203" t="s">
        <v>2242</v>
      </c>
      <c r="AE203">
        <v>0</v>
      </c>
      <c r="AF203" t="s">
        <v>18</v>
      </c>
    </row>
    <row r="204" spans="1:32" x14ac:dyDescent="0.3">
      <c r="A204" t="s">
        <v>221</v>
      </c>
      <c r="B204" t="s">
        <v>587</v>
      </c>
      <c r="C204">
        <v>0</v>
      </c>
      <c r="D204" t="s">
        <v>2163</v>
      </c>
      <c r="E204" t="s">
        <v>589</v>
      </c>
      <c r="F204">
        <v>2.5</v>
      </c>
      <c r="G204" t="s">
        <v>2174</v>
      </c>
      <c r="H204" t="s">
        <v>2004</v>
      </c>
      <c r="I204" t="s">
        <v>4</v>
      </c>
      <c r="J204">
        <v>127</v>
      </c>
      <c r="K204" t="s">
        <v>5</v>
      </c>
      <c r="L204">
        <v>83</v>
      </c>
      <c r="M204" t="s">
        <v>6</v>
      </c>
      <c r="N204">
        <v>10.117782521554799</v>
      </c>
      <c r="O204" t="s">
        <v>7</v>
      </c>
      <c r="P204">
        <v>7.9667578909880798E-2</v>
      </c>
      <c r="Q204" t="s">
        <v>8</v>
      </c>
      <c r="R204">
        <v>0.833664419383081</v>
      </c>
      <c r="S204" t="s">
        <v>9</v>
      </c>
      <c r="T204">
        <v>-1.3426446428918299</v>
      </c>
      <c r="U204" t="s">
        <v>10</v>
      </c>
      <c r="V204">
        <v>0.25561004178428598</v>
      </c>
      <c r="W204" t="s">
        <v>11</v>
      </c>
      <c r="X204" t="s">
        <v>2241</v>
      </c>
      <c r="Y204" t="s">
        <v>2242</v>
      </c>
      <c r="Z204">
        <v>0</v>
      </c>
      <c r="AA204" t="s">
        <v>14</v>
      </c>
      <c r="AB204" t="s">
        <v>15</v>
      </c>
      <c r="AC204" t="s">
        <v>2243</v>
      </c>
      <c r="AD204" t="s">
        <v>2242</v>
      </c>
      <c r="AE204">
        <v>0</v>
      </c>
      <c r="AF204" t="s">
        <v>18</v>
      </c>
    </row>
    <row r="205" spans="1:32" x14ac:dyDescent="0.3">
      <c r="A205" t="s">
        <v>221</v>
      </c>
      <c r="B205" t="s">
        <v>587</v>
      </c>
      <c r="C205">
        <v>0</v>
      </c>
      <c r="D205" t="s">
        <v>2163</v>
      </c>
      <c r="E205" t="s">
        <v>589</v>
      </c>
      <c r="F205">
        <v>2.5</v>
      </c>
      <c r="G205" t="s">
        <v>2174</v>
      </c>
      <c r="H205" t="s">
        <v>2005</v>
      </c>
      <c r="I205" t="s">
        <v>4</v>
      </c>
      <c r="J205">
        <v>127</v>
      </c>
      <c r="K205" t="s">
        <v>5</v>
      </c>
      <c r="L205">
        <v>84</v>
      </c>
      <c r="M205" t="s">
        <v>6</v>
      </c>
      <c r="N205">
        <v>12.3746599664819</v>
      </c>
      <c r="O205" t="s">
        <v>7</v>
      </c>
      <c r="P205">
        <v>9.7438267452613594E-2</v>
      </c>
      <c r="Q205" t="s">
        <v>8</v>
      </c>
      <c r="R205">
        <v>0.87273852767927795</v>
      </c>
      <c r="S205" t="s">
        <v>9</v>
      </c>
      <c r="T205">
        <v>-1.4171017757808699</v>
      </c>
      <c r="U205" t="s">
        <v>10</v>
      </c>
      <c r="V205">
        <v>0.268585004495633</v>
      </c>
      <c r="W205" t="s">
        <v>11</v>
      </c>
      <c r="X205" t="s">
        <v>2244</v>
      </c>
      <c r="Y205" t="s">
        <v>2245</v>
      </c>
      <c r="Z205">
        <v>0</v>
      </c>
      <c r="AA205" t="s">
        <v>14</v>
      </c>
      <c r="AB205" t="s">
        <v>15</v>
      </c>
      <c r="AC205" t="s">
        <v>2243</v>
      </c>
      <c r="AD205" t="s">
        <v>2242</v>
      </c>
      <c r="AE205">
        <v>0</v>
      </c>
      <c r="AF205" t="s">
        <v>18</v>
      </c>
    </row>
    <row r="206" spans="1:32" x14ac:dyDescent="0.3">
      <c r="A206" t="s">
        <v>221</v>
      </c>
      <c r="B206" t="s">
        <v>587</v>
      </c>
      <c r="C206">
        <v>2.5</v>
      </c>
      <c r="D206" t="s">
        <v>2163</v>
      </c>
      <c r="E206" t="s">
        <v>589</v>
      </c>
      <c r="F206">
        <v>5</v>
      </c>
      <c r="G206" t="s">
        <v>2</v>
      </c>
      <c r="H206" t="s">
        <v>1979</v>
      </c>
      <c r="I206" t="s">
        <v>4</v>
      </c>
      <c r="J206">
        <v>136</v>
      </c>
      <c r="K206" t="s">
        <v>5</v>
      </c>
      <c r="L206">
        <v>96</v>
      </c>
      <c r="M206" t="s">
        <v>6</v>
      </c>
      <c r="N206">
        <v>15.23</v>
      </c>
      <c r="O206" t="s">
        <v>7</v>
      </c>
      <c r="P206">
        <v>0.111985294117647</v>
      </c>
      <c r="Q206" t="s">
        <v>8</v>
      </c>
      <c r="R206">
        <v>0.613645833333333</v>
      </c>
      <c r="S206" t="s">
        <v>9</v>
      </c>
      <c r="T206">
        <v>-1.0920000000000001</v>
      </c>
      <c r="U206" t="s">
        <v>10</v>
      </c>
      <c r="V206">
        <v>0.19070418424437</v>
      </c>
      <c r="W206" t="s">
        <v>11</v>
      </c>
      <c r="X206" t="s">
        <v>2246</v>
      </c>
      <c r="Y206" t="s">
        <v>2075</v>
      </c>
      <c r="Z206">
        <v>0</v>
      </c>
      <c r="AA206" t="s">
        <v>14</v>
      </c>
      <c r="AB206" t="s">
        <v>15</v>
      </c>
      <c r="AC206" t="s">
        <v>2165</v>
      </c>
      <c r="AD206" t="s">
        <v>1262</v>
      </c>
      <c r="AE206">
        <v>0</v>
      </c>
      <c r="AF206" t="s">
        <v>18</v>
      </c>
    </row>
    <row r="207" spans="1:32" x14ac:dyDescent="0.3">
      <c r="A207" t="s">
        <v>221</v>
      </c>
      <c r="B207" t="s">
        <v>587</v>
      </c>
      <c r="C207">
        <v>2.5</v>
      </c>
      <c r="D207" t="s">
        <v>2163</v>
      </c>
      <c r="E207" t="s">
        <v>589</v>
      </c>
      <c r="F207">
        <v>5</v>
      </c>
      <c r="G207" t="s">
        <v>2</v>
      </c>
      <c r="H207" t="s">
        <v>1982</v>
      </c>
      <c r="I207" t="s">
        <v>4</v>
      </c>
      <c r="J207">
        <v>136</v>
      </c>
      <c r="K207" t="s">
        <v>5</v>
      </c>
      <c r="L207">
        <v>104</v>
      </c>
      <c r="M207" t="s">
        <v>6</v>
      </c>
      <c r="N207">
        <v>12.85</v>
      </c>
      <c r="O207" t="s">
        <v>7</v>
      </c>
      <c r="P207">
        <v>9.4485294117647001E-2</v>
      </c>
      <c r="Q207" t="s">
        <v>8</v>
      </c>
      <c r="R207">
        <v>0.59894230769230705</v>
      </c>
      <c r="S207" t="s">
        <v>9</v>
      </c>
      <c r="T207">
        <v>-1.5449999999999999</v>
      </c>
      <c r="U207" t="s">
        <v>10</v>
      </c>
      <c r="V207">
        <v>0.214353399238353</v>
      </c>
      <c r="W207" t="s">
        <v>11</v>
      </c>
      <c r="X207" t="s">
        <v>2246</v>
      </c>
      <c r="Y207" t="s">
        <v>2075</v>
      </c>
      <c r="Z207">
        <v>0</v>
      </c>
      <c r="AA207" t="s">
        <v>14</v>
      </c>
      <c r="AB207" t="s">
        <v>15</v>
      </c>
      <c r="AC207" t="s">
        <v>2247</v>
      </c>
      <c r="AD207" t="s">
        <v>2075</v>
      </c>
      <c r="AE207">
        <v>0</v>
      </c>
      <c r="AF207" t="s">
        <v>18</v>
      </c>
    </row>
    <row r="208" spans="1:32" x14ac:dyDescent="0.3">
      <c r="A208" t="s">
        <v>221</v>
      </c>
      <c r="B208" t="s">
        <v>587</v>
      </c>
      <c r="C208">
        <v>2.5</v>
      </c>
      <c r="D208" t="s">
        <v>2163</v>
      </c>
      <c r="E208" t="s">
        <v>589</v>
      </c>
      <c r="F208">
        <v>5</v>
      </c>
      <c r="G208" t="s">
        <v>2</v>
      </c>
      <c r="H208" t="s">
        <v>1985</v>
      </c>
      <c r="I208" t="s">
        <v>4</v>
      </c>
      <c r="J208">
        <v>136</v>
      </c>
      <c r="K208" t="s">
        <v>5</v>
      </c>
      <c r="L208">
        <v>104</v>
      </c>
      <c r="M208" t="s">
        <v>6</v>
      </c>
      <c r="N208">
        <v>12.469999999999899</v>
      </c>
      <c r="O208" t="s">
        <v>7</v>
      </c>
      <c r="P208">
        <v>9.1691176470588096E-2</v>
      </c>
      <c r="Q208" t="s">
        <v>8</v>
      </c>
      <c r="R208">
        <v>0.59894230769230705</v>
      </c>
      <c r="S208" t="s">
        <v>9</v>
      </c>
      <c r="T208">
        <v>-1.556875</v>
      </c>
      <c r="U208" t="s">
        <v>10</v>
      </c>
      <c r="V208">
        <v>0.21499138889845301</v>
      </c>
      <c r="W208" t="s">
        <v>11</v>
      </c>
      <c r="X208" t="s">
        <v>2246</v>
      </c>
      <c r="Y208" t="s">
        <v>2075</v>
      </c>
      <c r="Z208">
        <v>0</v>
      </c>
      <c r="AA208" t="s">
        <v>14</v>
      </c>
      <c r="AB208" t="s">
        <v>15</v>
      </c>
      <c r="AC208" t="s">
        <v>2247</v>
      </c>
      <c r="AD208" t="s">
        <v>2075</v>
      </c>
      <c r="AE208">
        <v>0</v>
      </c>
      <c r="AF208" t="s">
        <v>18</v>
      </c>
    </row>
    <row r="209" spans="1:32" x14ac:dyDescent="0.3">
      <c r="A209" t="s">
        <v>221</v>
      </c>
      <c r="B209" t="s">
        <v>587</v>
      </c>
      <c r="C209">
        <v>2.5</v>
      </c>
      <c r="D209" t="s">
        <v>2163</v>
      </c>
      <c r="E209" t="s">
        <v>589</v>
      </c>
      <c r="F209">
        <v>5</v>
      </c>
      <c r="G209" t="s">
        <v>2</v>
      </c>
      <c r="H209" t="s">
        <v>1988</v>
      </c>
      <c r="I209" t="s">
        <v>4</v>
      </c>
      <c r="J209">
        <v>136</v>
      </c>
      <c r="K209" t="s">
        <v>5</v>
      </c>
      <c r="L209">
        <v>104</v>
      </c>
      <c r="M209" t="s">
        <v>6</v>
      </c>
      <c r="N209">
        <v>12.1099999999999</v>
      </c>
      <c r="O209" t="s">
        <v>7</v>
      </c>
      <c r="P209">
        <v>8.9044117647058704E-2</v>
      </c>
      <c r="Q209" t="s">
        <v>8</v>
      </c>
      <c r="R209">
        <v>0.59894230769230705</v>
      </c>
      <c r="S209" t="s">
        <v>9</v>
      </c>
      <c r="T209">
        <v>-1.568125</v>
      </c>
      <c r="U209" t="s">
        <v>10</v>
      </c>
      <c r="V209">
        <v>0.21495760269773401</v>
      </c>
      <c r="W209" t="s">
        <v>11</v>
      </c>
      <c r="X209" t="s">
        <v>2246</v>
      </c>
      <c r="Y209" t="s">
        <v>2075</v>
      </c>
      <c r="Z209">
        <v>0</v>
      </c>
      <c r="AA209" t="s">
        <v>14</v>
      </c>
      <c r="AB209" t="s">
        <v>15</v>
      </c>
      <c r="AC209" t="s">
        <v>2247</v>
      </c>
      <c r="AD209" t="s">
        <v>2075</v>
      </c>
      <c r="AE209">
        <v>0</v>
      </c>
      <c r="AF209" t="s">
        <v>18</v>
      </c>
    </row>
    <row r="210" spans="1:32" x14ac:dyDescent="0.3">
      <c r="A210" t="s">
        <v>221</v>
      </c>
      <c r="B210" t="s">
        <v>587</v>
      </c>
      <c r="C210">
        <v>2.5</v>
      </c>
      <c r="D210" t="s">
        <v>2163</v>
      </c>
      <c r="E210" t="s">
        <v>589</v>
      </c>
      <c r="F210">
        <v>5</v>
      </c>
      <c r="G210" t="s">
        <v>27</v>
      </c>
      <c r="H210" t="s">
        <v>1991</v>
      </c>
      <c r="I210" t="s">
        <v>4</v>
      </c>
      <c r="J210">
        <v>128</v>
      </c>
      <c r="K210" t="s">
        <v>5</v>
      </c>
      <c r="L210">
        <v>86</v>
      </c>
      <c r="M210" t="s">
        <v>6</v>
      </c>
      <c r="N210">
        <v>7.6399999999999899</v>
      </c>
      <c r="O210" t="s">
        <v>7</v>
      </c>
      <c r="P210">
        <v>5.96874999999999E-2</v>
      </c>
      <c r="Q210" t="s">
        <v>8</v>
      </c>
      <c r="R210">
        <v>0.64499999999999902</v>
      </c>
      <c r="S210" t="s">
        <v>9</v>
      </c>
      <c r="T210">
        <v>-1.1388095238095199</v>
      </c>
      <c r="U210" t="s">
        <v>10</v>
      </c>
      <c r="V210">
        <v>0.201481437529105</v>
      </c>
      <c r="W210" t="s">
        <v>11</v>
      </c>
      <c r="X210" t="s">
        <v>2248</v>
      </c>
      <c r="Y210" t="s">
        <v>2249</v>
      </c>
      <c r="Z210">
        <v>0</v>
      </c>
      <c r="AA210" t="s">
        <v>14</v>
      </c>
      <c r="AB210" t="s">
        <v>15</v>
      </c>
      <c r="AC210" t="s">
        <v>1443</v>
      </c>
      <c r="AD210" t="s">
        <v>2073</v>
      </c>
      <c r="AE210">
        <v>0</v>
      </c>
      <c r="AF210" t="s">
        <v>18</v>
      </c>
    </row>
    <row r="211" spans="1:32" x14ac:dyDescent="0.3">
      <c r="A211" t="s">
        <v>221</v>
      </c>
      <c r="B211" t="s">
        <v>587</v>
      </c>
      <c r="C211">
        <v>2.5</v>
      </c>
      <c r="D211" t="s">
        <v>2163</v>
      </c>
      <c r="E211" t="s">
        <v>589</v>
      </c>
      <c r="F211">
        <v>5</v>
      </c>
      <c r="G211" t="s">
        <v>27</v>
      </c>
      <c r="H211" t="s">
        <v>1994</v>
      </c>
      <c r="I211" t="s">
        <v>4</v>
      </c>
      <c r="J211">
        <v>128</v>
      </c>
      <c r="K211" t="s">
        <v>5</v>
      </c>
      <c r="L211">
        <v>93</v>
      </c>
      <c r="M211" t="s">
        <v>6</v>
      </c>
      <c r="N211">
        <v>9.4799999999999898</v>
      </c>
      <c r="O211" t="s">
        <v>7</v>
      </c>
      <c r="P211">
        <v>7.4062499999999906E-2</v>
      </c>
      <c r="Q211" t="s">
        <v>8</v>
      </c>
      <c r="R211">
        <v>0.64408602150537597</v>
      </c>
      <c r="S211" t="s">
        <v>9</v>
      </c>
      <c r="T211">
        <v>-1.44057142857142</v>
      </c>
      <c r="U211" t="s">
        <v>10</v>
      </c>
      <c r="V211">
        <v>0.22047431369954901</v>
      </c>
      <c r="W211" t="s">
        <v>11</v>
      </c>
      <c r="X211" t="s">
        <v>2196</v>
      </c>
      <c r="Y211" t="s">
        <v>2250</v>
      </c>
      <c r="Z211">
        <v>0</v>
      </c>
      <c r="AA211" t="s">
        <v>14</v>
      </c>
      <c r="AB211" t="s">
        <v>15</v>
      </c>
      <c r="AC211" t="s">
        <v>1443</v>
      </c>
      <c r="AD211" t="s">
        <v>2073</v>
      </c>
      <c r="AE211">
        <v>0</v>
      </c>
      <c r="AF211" t="s">
        <v>18</v>
      </c>
    </row>
    <row r="212" spans="1:32" x14ac:dyDescent="0.3">
      <c r="A212" t="s">
        <v>221</v>
      </c>
      <c r="B212" t="s">
        <v>587</v>
      </c>
      <c r="C212">
        <v>2.5</v>
      </c>
      <c r="D212" t="s">
        <v>2163</v>
      </c>
      <c r="E212" t="s">
        <v>589</v>
      </c>
      <c r="F212">
        <v>5</v>
      </c>
      <c r="G212" t="s">
        <v>27</v>
      </c>
      <c r="H212" t="s">
        <v>1996</v>
      </c>
      <c r="I212" t="s">
        <v>4</v>
      </c>
      <c r="J212">
        <v>128</v>
      </c>
      <c r="K212" t="s">
        <v>5</v>
      </c>
      <c r="L212">
        <v>93</v>
      </c>
      <c r="M212" t="s">
        <v>6</v>
      </c>
      <c r="N212">
        <v>10.2799999999999</v>
      </c>
      <c r="O212" t="s">
        <v>7</v>
      </c>
      <c r="P212">
        <v>8.0312499999999898E-2</v>
      </c>
      <c r="Q212" t="s">
        <v>8</v>
      </c>
      <c r="R212">
        <v>0.64408602150537597</v>
      </c>
      <c r="S212" t="s">
        <v>9</v>
      </c>
      <c r="T212">
        <v>-1.4177142857142799</v>
      </c>
      <c r="U212" t="s">
        <v>10</v>
      </c>
      <c r="V212">
        <v>0.22222955500621999</v>
      </c>
      <c r="W212" t="s">
        <v>11</v>
      </c>
      <c r="X212" t="s">
        <v>2196</v>
      </c>
      <c r="Y212" t="s">
        <v>2250</v>
      </c>
      <c r="Z212">
        <v>0</v>
      </c>
      <c r="AA212" t="s">
        <v>14</v>
      </c>
      <c r="AB212" t="s">
        <v>15</v>
      </c>
      <c r="AC212" t="s">
        <v>1443</v>
      </c>
      <c r="AD212" t="s">
        <v>2073</v>
      </c>
      <c r="AE212">
        <v>0</v>
      </c>
      <c r="AF212" t="s">
        <v>18</v>
      </c>
    </row>
    <row r="213" spans="1:32" x14ac:dyDescent="0.3">
      <c r="A213" t="s">
        <v>221</v>
      </c>
      <c r="B213" t="s">
        <v>587</v>
      </c>
      <c r="C213">
        <v>2.5</v>
      </c>
      <c r="D213" t="s">
        <v>2163</v>
      </c>
      <c r="E213" t="s">
        <v>589</v>
      </c>
      <c r="F213">
        <v>5</v>
      </c>
      <c r="G213" t="s">
        <v>27</v>
      </c>
      <c r="H213" t="s">
        <v>1997</v>
      </c>
      <c r="I213" t="s">
        <v>4</v>
      </c>
      <c r="J213">
        <v>128</v>
      </c>
      <c r="K213" t="s">
        <v>5</v>
      </c>
      <c r="L213">
        <v>93</v>
      </c>
      <c r="M213" t="s">
        <v>6</v>
      </c>
      <c r="N213">
        <v>10.2799999999999</v>
      </c>
      <c r="O213" t="s">
        <v>7</v>
      </c>
      <c r="P213">
        <v>8.0312499999999898E-2</v>
      </c>
      <c r="Q213" t="s">
        <v>8</v>
      </c>
      <c r="R213">
        <v>0.64408602150537597</v>
      </c>
      <c r="S213" t="s">
        <v>9</v>
      </c>
      <c r="T213">
        <v>-1.4177142857142799</v>
      </c>
      <c r="U213" t="s">
        <v>10</v>
      </c>
      <c r="V213">
        <v>0.22222955500621999</v>
      </c>
      <c r="W213" t="s">
        <v>11</v>
      </c>
      <c r="X213" t="s">
        <v>2196</v>
      </c>
      <c r="Y213" t="s">
        <v>2250</v>
      </c>
      <c r="Z213">
        <v>0</v>
      </c>
      <c r="AA213" t="s">
        <v>14</v>
      </c>
      <c r="AB213" t="s">
        <v>15</v>
      </c>
      <c r="AC213" t="s">
        <v>1443</v>
      </c>
      <c r="AD213" t="s">
        <v>2073</v>
      </c>
      <c r="AE213">
        <v>0</v>
      </c>
      <c r="AF213" t="s">
        <v>18</v>
      </c>
    </row>
    <row r="214" spans="1:32" x14ac:dyDescent="0.3">
      <c r="A214" t="s">
        <v>221</v>
      </c>
      <c r="B214" t="s">
        <v>587</v>
      </c>
      <c r="C214">
        <v>2.5</v>
      </c>
      <c r="D214" t="s">
        <v>2163</v>
      </c>
      <c r="E214" t="s">
        <v>589</v>
      </c>
      <c r="F214">
        <v>5</v>
      </c>
      <c r="G214" t="s">
        <v>2174</v>
      </c>
      <c r="H214" t="s">
        <v>1999</v>
      </c>
      <c r="I214" t="s">
        <v>4</v>
      </c>
      <c r="J214">
        <v>127</v>
      </c>
      <c r="K214" t="s">
        <v>5</v>
      </c>
      <c r="L214">
        <v>79</v>
      </c>
      <c r="M214" t="s">
        <v>6</v>
      </c>
      <c r="N214">
        <v>-2.6905665934786902</v>
      </c>
      <c r="O214" t="s">
        <v>7</v>
      </c>
      <c r="P214">
        <v>-2.1185563728178598E-2</v>
      </c>
      <c r="Q214" t="s">
        <v>8</v>
      </c>
      <c r="R214">
        <v>0.72305361565064397</v>
      </c>
      <c r="S214" t="s">
        <v>9</v>
      </c>
      <c r="T214">
        <v>-1.24607921312249</v>
      </c>
      <c r="U214" t="s">
        <v>10</v>
      </c>
      <c r="V214">
        <v>0.196976474017485</v>
      </c>
      <c r="W214" t="s">
        <v>11</v>
      </c>
      <c r="X214" t="s">
        <v>2251</v>
      </c>
      <c r="Y214" t="s">
        <v>2071</v>
      </c>
      <c r="Z214">
        <v>0</v>
      </c>
      <c r="AA214" t="s">
        <v>14</v>
      </c>
      <c r="AB214" t="s">
        <v>15</v>
      </c>
      <c r="AC214" t="s">
        <v>2251</v>
      </c>
      <c r="AD214" t="s">
        <v>2071</v>
      </c>
      <c r="AE214">
        <v>0</v>
      </c>
      <c r="AF214" t="s">
        <v>18</v>
      </c>
    </row>
    <row r="215" spans="1:32" x14ac:dyDescent="0.3">
      <c r="A215" t="s">
        <v>221</v>
      </c>
      <c r="B215" t="s">
        <v>587</v>
      </c>
      <c r="C215">
        <v>2.5</v>
      </c>
      <c r="D215" t="s">
        <v>2163</v>
      </c>
      <c r="E215" t="s">
        <v>589</v>
      </c>
      <c r="F215">
        <v>5</v>
      </c>
      <c r="G215" t="s">
        <v>2174</v>
      </c>
      <c r="H215" t="s">
        <v>2002</v>
      </c>
      <c r="I215" t="s">
        <v>4</v>
      </c>
      <c r="J215">
        <v>127</v>
      </c>
      <c r="K215" t="s">
        <v>5</v>
      </c>
      <c r="L215">
        <v>90</v>
      </c>
      <c r="M215" t="s">
        <v>6</v>
      </c>
      <c r="N215">
        <v>6.7194334065212997</v>
      </c>
      <c r="O215" t="s">
        <v>7</v>
      </c>
      <c r="P215">
        <v>5.2908924460797598E-2</v>
      </c>
      <c r="Q215" t="s">
        <v>8</v>
      </c>
      <c r="R215">
        <v>0.73534706262667604</v>
      </c>
      <c r="S215" t="s">
        <v>9</v>
      </c>
      <c r="T215">
        <v>-1.6070757359426899</v>
      </c>
      <c r="U215" t="s">
        <v>10</v>
      </c>
      <c r="V215">
        <v>0.23173707453305301</v>
      </c>
      <c r="W215" t="s">
        <v>11</v>
      </c>
      <c r="X215" t="s">
        <v>2175</v>
      </c>
      <c r="Y215" t="s">
        <v>2176</v>
      </c>
      <c r="Z215">
        <v>0</v>
      </c>
      <c r="AA215" t="s">
        <v>14</v>
      </c>
      <c r="AB215" t="s">
        <v>15</v>
      </c>
      <c r="AC215" t="s">
        <v>2175</v>
      </c>
      <c r="AD215" t="s">
        <v>2176</v>
      </c>
      <c r="AE215">
        <v>0</v>
      </c>
      <c r="AF215" t="s">
        <v>18</v>
      </c>
    </row>
    <row r="216" spans="1:32" x14ac:dyDescent="0.3">
      <c r="A216" t="s">
        <v>221</v>
      </c>
      <c r="B216" t="s">
        <v>587</v>
      </c>
      <c r="C216">
        <v>2.5</v>
      </c>
      <c r="D216" t="s">
        <v>2163</v>
      </c>
      <c r="E216" t="s">
        <v>589</v>
      </c>
      <c r="F216">
        <v>5</v>
      </c>
      <c r="G216" t="s">
        <v>2174</v>
      </c>
      <c r="H216" t="s">
        <v>2004</v>
      </c>
      <c r="I216" t="s">
        <v>4</v>
      </c>
      <c r="J216">
        <v>127</v>
      </c>
      <c r="K216" t="s">
        <v>5</v>
      </c>
      <c r="L216">
        <v>90</v>
      </c>
      <c r="M216" t="s">
        <v>6</v>
      </c>
      <c r="N216">
        <v>3.1199604804791101</v>
      </c>
      <c r="O216" t="s">
        <v>7</v>
      </c>
      <c r="P216">
        <v>2.4566617956528401E-2</v>
      </c>
      <c r="Q216" t="s">
        <v>8</v>
      </c>
      <c r="R216">
        <v>0.73534706262667604</v>
      </c>
      <c r="S216" t="s">
        <v>9</v>
      </c>
      <c r="T216">
        <v>-1.7043587879978801</v>
      </c>
      <c r="U216" t="s">
        <v>10</v>
      </c>
      <c r="V216">
        <v>0.240894393154308</v>
      </c>
      <c r="W216" t="s">
        <v>11</v>
      </c>
      <c r="X216" t="s">
        <v>2175</v>
      </c>
      <c r="Y216" t="s">
        <v>2176</v>
      </c>
      <c r="Z216">
        <v>0</v>
      </c>
      <c r="AA216" t="s">
        <v>14</v>
      </c>
      <c r="AB216" t="s">
        <v>15</v>
      </c>
      <c r="AC216" t="s">
        <v>2175</v>
      </c>
      <c r="AD216" t="s">
        <v>2176</v>
      </c>
      <c r="AE216">
        <v>0</v>
      </c>
      <c r="AF216" t="s">
        <v>18</v>
      </c>
    </row>
    <row r="217" spans="1:32" x14ac:dyDescent="0.3">
      <c r="A217" t="s">
        <v>221</v>
      </c>
      <c r="B217" t="s">
        <v>587</v>
      </c>
      <c r="C217">
        <v>2.5</v>
      </c>
      <c r="D217" t="s">
        <v>2163</v>
      </c>
      <c r="E217" t="s">
        <v>589</v>
      </c>
      <c r="F217">
        <v>5</v>
      </c>
      <c r="G217" t="s">
        <v>2174</v>
      </c>
      <c r="H217" t="s">
        <v>2005</v>
      </c>
      <c r="I217" t="s">
        <v>4</v>
      </c>
      <c r="J217">
        <v>127</v>
      </c>
      <c r="K217" t="s">
        <v>5</v>
      </c>
      <c r="L217">
        <v>92</v>
      </c>
      <c r="M217" t="s">
        <v>6</v>
      </c>
      <c r="N217">
        <v>27.318410087218201</v>
      </c>
      <c r="O217" t="s">
        <v>7</v>
      </c>
      <c r="P217">
        <v>0.21510559123793799</v>
      </c>
      <c r="Q217" t="s">
        <v>8</v>
      </c>
      <c r="R217">
        <v>0.89934440481673905</v>
      </c>
      <c r="S217" t="s">
        <v>9</v>
      </c>
      <c r="T217">
        <v>-1.5834650044548999</v>
      </c>
      <c r="U217" t="s">
        <v>10</v>
      </c>
      <c r="V217">
        <v>0.33495741646097899</v>
      </c>
      <c r="W217" t="s">
        <v>11</v>
      </c>
      <c r="X217" t="s">
        <v>2175</v>
      </c>
      <c r="Y217" t="s">
        <v>2176</v>
      </c>
      <c r="Z217">
        <v>0</v>
      </c>
      <c r="AA217" t="s">
        <v>14</v>
      </c>
      <c r="AB217" t="s">
        <v>15</v>
      </c>
      <c r="AC217" t="s">
        <v>2175</v>
      </c>
      <c r="AD217" t="s">
        <v>2176</v>
      </c>
      <c r="AE217">
        <v>0</v>
      </c>
      <c r="AF217" t="s">
        <v>18</v>
      </c>
    </row>
    <row r="218" spans="1:32" x14ac:dyDescent="0.3">
      <c r="A218" t="s">
        <v>221</v>
      </c>
      <c r="B218" t="s">
        <v>587</v>
      </c>
      <c r="C218">
        <v>5</v>
      </c>
      <c r="D218" t="s">
        <v>2163</v>
      </c>
      <c r="E218" t="s">
        <v>589</v>
      </c>
      <c r="F218">
        <v>7.5</v>
      </c>
      <c r="G218" t="s">
        <v>2</v>
      </c>
      <c r="H218" t="s">
        <v>1979</v>
      </c>
      <c r="I218" t="s">
        <v>4</v>
      </c>
      <c r="J218">
        <v>136</v>
      </c>
      <c r="K218" t="s">
        <v>5</v>
      </c>
      <c r="L218">
        <v>92</v>
      </c>
      <c r="M218" t="s">
        <v>6</v>
      </c>
      <c r="N218">
        <v>2.00999999999995</v>
      </c>
      <c r="O218" t="s">
        <v>7</v>
      </c>
      <c r="P218">
        <v>1.47794117647055E-2</v>
      </c>
      <c r="Q218" t="s">
        <v>8</v>
      </c>
      <c r="R218">
        <v>0.40586956521739098</v>
      </c>
      <c r="S218" t="s">
        <v>9</v>
      </c>
      <c r="T218">
        <v>-0.80295454545454603</v>
      </c>
      <c r="U218" t="s">
        <v>10</v>
      </c>
      <c r="V218">
        <v>0.13662710734410899</v>
      </c>
      <c r="W218" t="s">
        <v>11</v>
      </c>
      <c r="X218" t="s">
        <v>2227</v>
      </c>
      <c r="Y218" t="s">
        <v>1262</v>
      </c>
      <c r="Z218">
        <v>0</v>
      </c>
      <c r="AA218" t="s">
        <v>14</v>
      </c>
      <c r="AB218" t="s">
        <v>15</v>
      </c>
      <c r="AC218" t="s">
        <v>2252</v>
      </c>
      <c r="AD218" t="s">
        <v>1262</v>
      </c>
      <c r="AE218">
        <v>0</v>
      </c>
      <c r="AF218" t="s">
        <v>18</v>
      </c>
    </row>
    <row r="219" spans="1:32" x14ac:dyDescent="0.3">
      <c r="A219" t="s">
        <v>221</v>
      </c>
      <c r="B219" t="s">
        <v>587</v>
      </c>
      <c r="C219">
        <v>5</v>
      </c>
      <c r="D219" t="s">
        <v>2163</v>
      </c>
      <c r="E219" t="s">
        <v>589</v>
      </c>
      <c r="F219">
        <v>7.5</v>
      </c>
      <c r="G219" t="s">
        <v>2</v>
      </c>
      <c r="H219" t="s">
        <v>1982</v>
      </c>
      <c r="I219" t="s">
        <v>4</v>
      </c>
      <c r="J219">
        <v>136</v>
      </c>
      <c r="K219" t="s">
        <v>5</v>
      </c>
      <c r="L219">
        <v>106</v>
      </c>
      <c r="M219" t="s">
        <v>6</v>
      </c>
      <c r="N219">
        <v>3.1799999999999899</v>
      </c>
      <c r="O219" t="s">
        <v>7</v>
      </c>
      <c r="P219">
        <v>2.3382352941176399E-2</v>
      </c>
      <c r="Q219" t="s">
        <v>8</v>
      </c>
      <c r="R219">
        <v>0.41018867924528302</v>
      </c>
      <c r="S219" t="s">
        <v>9</v>
      </c>
      <c r="T219">
        <v>-1.3433333333333299</v>
      </c>
      <c r="U219" t="s">
        <v>10</v>
      </c>
      <c r="V219">
        <v>0.18508590068687</v>
      </c>
      <c r="W219" t="s">
        <v>11</v>
      </c>
      <c r="X219" t="s">
        <v>2246</v>
      </c>
      <c r="Y219" t="s">
        <v>2075</v>
      </c>
      <c r="Z219">
        <v>0</v>
      </c>
      <c r="AA219" t="s">
        <v>14</v>
      </c>
      <c r="AB219" t="s">
        <v>15</v>
      </c>
      <c r="AC219" t="s">
        <v>2253</v>
      </c>
      <c r="AD219" t="s">
        <v>2075</v>
      </c>
      <c r="AE219">
        <v>0</v>
      </c>
      <c r="AF219" t="s">
        <v>18</v>
      </c>
    </row>
    <row r="220" spans="1:32" x14ac:dyDescent="0.3">
      <c r="A220" t="s">
        <v>221</v>
      </c>
      <c r="B220" t="s">
        <v>587</v>
      </c>
      <c r="C220">
        <v>5</v>
      </c>
      <c r="D220" t="s">
        <v>2163</v>
      </c>
      <c r="E220" t="s">
        <v>589</v>
      </c>
      <c r="F220">
        <v>7.5</v>
      </c>
      <c r="G220" t="s">
        <v>2</v>
      </c>
      <c r="H220" t="s">
        <v>1985</v>
      </c>
      <c r="I220" t="s">
        <v>4</v>
      </c>
      <c r="J220">
        <v>136</v>
      </c>
      <c r="K220" t="s">
        <v>5</v>
      </c>
      <c r="L220">
        <v>110</v>
      </c>
      <c r="M220" t="s">
        <v>6</v>
      </c>
      <c r="N220">
        <v>6.74000000000001</v>
      </c>
      <c r="O220" t="s">
        <v>7</v>
      </c>
      <c r="P220">
        <v>4.9558823529411801E-2</v>
      </c>
      <c r="Q220" t="s">
        <v>8</v>
      </c>
      <c r="R220">
        <v>0.411727272727273</v>
      </c>
      <c r="S220" t="s">
        <v>9</v>
      </c>
      <c r="T220">
        <v>-1.4826923076923</v>
      </c>
      <c r="U220" t="s">
        <v>10</v>
      </c>
      <c r="V220">
        <v>0.206483796863866</v>
      </c>
      <c r="W220" t="s">
        <v>11</v>
      </c>
      <c r="X220" t="s">
        <v>2246</v>
      </c>
      <c r="Y220" t="s">
        <v>2075</v>
      </c>
      <c r="Z220">
        <v>0</v>
      </c>
      <c r="AA220" t="s">
        <v>14</v>
      </c>
      <c r="AB220" t="s">
        <v>15</v>
      </c>
      <c r="AC220" t="s">
        <v>1372</v>
      </c>
      <c r="AD220" t="s">
        <v>2254</v>
      </c>
      <c r="AE220">
        <v>0</v>
      </c>
      <c r="AF220" t="s">
        <v>18</v>
      </c>
    </row>
    <row r="221" spans="1:32" x14ac:dyDescent="0.3">
      <c r="A221" t="s">
        <v>221</v>
      </c>
      <c r="B221" t="s">
        <v>587</v>
      </c>
      <c r="C221">
        <v>5</v>
      </c>
      <c r="D221" t="s">
        <v>2163</v>
      </c>
      <c r="E221" t="s">
        <v>589</v>
      </c>
      <c r="F221">
        <v>7.5</v>
      </c>
      <c r="G221" t="s">
        <v>2</v>
      </c>
      <c r="H221" t="s">
        <v>1988</v>
      </c>
      <c r="I221" t="s">
        <v>4</v>
      </c>
      <c r="J221">
        <v>136</v>
      </c>
      <c r="K221" t="s">
        <v>5</v>
      </c>
      <c r="L221">
        <v>110</v>
      </c>
      <c r="M221" t="s">
        <v>6</v>
      </c>
      <c r="N221">
        <v>6.7399999999999904</v>
      </c>
      <c r="O221" t="s">
        <v>7</v>
      </c>
      <c r="P221">
        <v>4.9558823529411697E-2</v>
      </c>
      <c r="Q221" t="s">
        <v>8</v>
      </c>
      <c r="R221">
        <v>0.411727272727273</v>
      </c>
      <c r="S221" t="s">
        <v>9</v>
      </c>
      <c r="T221">
        <v>-1.4826923076923</v>
      </c>
      <c r="U221" t="s">
        <v>10</v>
      </c>
      <c r="V221">
        <v>0.20660077022694501</v>
      </c>
      <c r="W221" t="s">
        <v>11</v>
      </c>
      <c r="X221" t="s">
        <v>2246</v>
      </c>
      <c r="Y221" t="s">
        <v>2075</v>
      </c>
      <c r="Z221">
        <v>0</v>
      </c>
      <c r="AA221" t="s">
        <v>14</v>
      </c>
      <c r="AB221" t="s">
        <v>15</v>
      </c>
      <c r="AC221" t="s">
        <v>1372</v>
      </c>
      <c r="AD221" t="s">
        <v>2254</v>
      </c>
      <c r="AE221">
        <v>0</v>
      </c>
      <c r="AF221" t="s">
        <v>18</v>
      </c>
    </row>
    <row r="222" spans="1:32" x14ac:dyDescent="0.3">
      <c r="A222" t="s">
        <v>221</v>
      </c>
      <c r="B222" t="s">
        <v>587</v>
      </c>
      <c r="C222">
        <v>5</v>
      </c>
      <c r="D222" t="s">
        <v>2163</v>
      </c>
      <c r="E222" t="s">
        <v>589</v>
      </c>
      <c r="F222">
        <v>7.5</v>
      </c>
      <c r="G222" t="s">
        <v>27</v>
      </c>
      <c r="H222" t="s">
        <v>1991</v>
      </c>
      <c r="I222" t="s">
        <v>4</v>
      </c>
      <c r="J222">
        <v>128</v>
      </c>
      <c r="K222" t="s">
        <v>5</v>
      </c>
      <c r="L222">
        <v>86</v>
      </c>
      <c r="M222" t="s">
        <v>6</v>
      </c>
      <c r="N222">
        <v>4.2400000000000198</v>
      </c>
      <c r="O222" t="s">
        <v>7</v>
      </c>
      <c r="P222">
        <v>3.3125000000000099E-2</v>
      </c>
      <c r="Q222" t="s">
        <v>8</v>
      </c>
      <c r="R222">
        <v>0.51616279069767401</v>
      </c>
      <c r="S222" t="s">
        <v>9</v>
      </c>
      <c r="T222">
        <v>-0.95595238095238</v>
      </c>
      <c r="U222" t="s">
        <v>10</v>
      </c>
      <c r="V222">
        <v>0.15498770707026999</v>
      </c>
      <c r="W222" t="s">
        <v>11</v>
      </c>
      <c r="X222" t="s">
        <v>2255</v>
      </c>
      <c r="Y222" t="s">
        <v>2256</v>
      </c>
      <c r="Z222">
        <v>0</v>
      </c>
      <c r="AA222" t="s">
        <v>14</v>
      </c>
      <c r="AB222" t="s">
        <v>15</v>
      </c>
      <c r="AC222" t="s">
        <v>2257</v>
      </c>
      <c r="AD222" t="s">
        <v>2258</v>
      </c>
      <c r="AE222">
        <v>0</v>
      </c>
      <c r="AF222" t="s">
        <v>18</v>
      </c>
    </row>
    <row r="223" spans="1:32" x14ac:dyDescent="0.3">
      <c r="A223" t="s">
        <v>221</v>
      </c>
      <c r="B223" t="s">
        <v>587</v>
      </c>
      <c r="C223">
        <v>5</v>
      </c>
      <c r="D223" t="s">
        <v>2163</v>
      </c>
      <c r="E223" t="s">
        <v>589</v>
      </c>
      <c r="F223">
        <v>7.5</v>
      </c>
      <c r="G223" t="s">
        <v>27</v>
      </c>
      <c r="H223" t="s">
        <v>1994</v>
      </c>
      <c r="I223" t="s">
        <v>4</v>
      </c>
      <c r="J223">
        <v>128</v>
      </c>
      <c r="K223" t="s">
        <v>5</v>
      </c>
      <c r="L223">
        <v>103</v>
      </c>
      <c r="M223" t="s">
        <v>6</v>
      </c>
      <c r="N223">
        <v>17.63</v>
      </c>
      <c r="O223" t="s">
        <v>7</v>
      </c>
      <c r="P223">
        <v>0.13773437499999999</v>
      </c>
      <c r="Q223" t="s">
        <v>8</v>
      </c>
      <c r="R223">
        <v>0.52524271844660197</v>
      </c>
      <c r="S223" t="s">
        <v>9</v>
      </c>
      <c r="T223">
        <v>-1.4587999999999901</v>
      </c>
      <c r="U223" t="s">
        <v>10</v>
      </c>
      <c r="V223">
        <v>0.201660303881387</v>
      </c>
      <c r="W223" t="s">
        <v>11</v>
      </c>
      <c r="X223" t="s">
        <v>2259</v>
      </c>
      <c r="Y223" t="s">
        <v>1237</v>
      </c>
      <c r="Z223">
        <v>0</v>
      </c>
      <c r="AA223" t="s">
        <v>14</v>
      </c>
      <c r="AB223" t="s">
        <v>15</v>
      </c>
      <c r="AC223" t="s">
        <v>2260</v>
      </c>
      <c r="AD223" t="s">
        <v>2254</v>
      </c>
      <c r="AE223">
        <v>0</v>
      </c>
      <c r="AF223" t="s">
        <v>18</v>
      </c>
    </row>
    <row r="224" spans="1:32" x14ac:dyDescent="0.3">
      <c r="A224" t="s">
        <v>221</v>
      </c>
      <c r="B224" t="s">
        <v>587</v>
      </c>
      <c r="C224">
        <v>5</v>
      </c>
      <c r="D224" t="s">
        <v>2163</v>
      </c>
      <c r="E224" t="s">
        <v>589</v>
      </c>
      <c r="F224">
        <v>7.5</v>
      </c>
      <c r="G224" t="s">
        <v>27</v>
      </c>
      <c r="H224" t="s">
        <v>1996</v>
      </c>
      <c r="I224" t="s">
        <v>4</v>
      </c>
      <c r="J224">
        <v>128</v>
      </c>
      <c r="K224" t="s">
        <v>5</v>
      </c>
      <c r="L224">
        <v>105</v>
      </c>
      <c r="M224" t="s">
        <v>6</v>
      </c>
      <c r="N224">
        <v>19.440000000000001</v>
      </c>
      <c r="O224" t="s">
        <v>7</v>
      </c>
      <c r="P224">
        <v>0.15187500000000001</v>
      </c>
      <c r="Q224" t="s">
        <v>8</v>
      </c>
      <c r="R224">
        <v>0.52904761904761899</v>
      </c>
      <c r="S224" t="s">
        <v>9</v>
      </c>
      <c r="T224">
        <v>-1.5699999999999901</v>
      </c>
      <c r="U224" t="s">
        <v>10</v>
      </c>
      <c r="V224">
        <v>0.215249075618207</v>
      </c>
      <c r="W224" t="s">
        <v>11</v>
      </c>
      <c r="X224" t="s">
        <v>2259</v>
      </c>
      <c r="Y224" t="s">
        <v>1237</v>
      </c>
      <c r="Z224">
        <v>0</v>
      </c>
      <c r="AA224" t="s">
        <v>14</v>
      </c>
      <c r="AB224" t="s">
        <v>15</v>
      </c>
      <c r="AC224" t="s">
        <v>2260</v>
      </c>
      <c r="AD224" t="s">
        <v>2254</v>
      </c>
      <c r="AE224">
        <v>0</v>
      </c>
      <c r="AF224" t="s">
        <v>18</v>
      </c>
    </row>
    <row r="225" spans="1:32" x14ac:dyDescent="0.3">
      <c r="A225" t="s">
        <v>221</v>
      </c>
      <c r="B225" t="s">
        <v>587</v>
      </c>
      <c r="C225">
        <v>5</v>
      </c>
      <c r="D225" t="s">
        <v>2163</v>
      </c>
      <c r="E225" t="s">
        <v>589</v>
      </c>
      <c r="F225">
        <v>7.5</v>
      </c>
      <c r="G225" t="s">
        <v>27</v>
      </c>
      <c r="H225" t="s">
        <v>1997</v>
      </c>
      <c r="I225" t="s">
        <v>4</v>
      </c>
      <c r="J225">
        <v>128</v>
      </c>
      <c r="K225" t="s">
        <v>5</v>
      </c>
      <c r="L225">
        <v>105</v>
      </c>
      <c r="M225" t="s">
        <v>6</v>
      </c>
      <c r="N225">
        <v>19.440000000000001</v>
      </c>
      <c r="O225" t="s">
        <v>7</v>
      </c>
      <c r="P225">
        <v>0.15187500000000001</v>
      </c>
      <c r="Q225" t="s">
        <v>8</v>
      </c>
      <c r="R225">
        <v>0.52904761904761899</v>
      </c>
      <c r="S225" t="s">
        <v>9</v>
      </c>
      <c r="T225">
        <v>-1.5699999999999901</v>
      </c>
      <c r="U225" t="s">
        <v>10</v>
      </c>
      <c r="V225">
        <v>0.215249075618207</v>
      </c>
      <c r="W225" t="s">
        <v>11</v>
      </c>
      <c r="X225" t="s">
        <v>2259</v>
      </c>
      <c r="Y225" t="s">
        <v>1237</v>
      </c>
      <c r="Z225">
        <v>0</v>
      </c>
      <c r="AA225" t="s">
        <v>14</v>
      </c>
      <c r="AB225" t="s">
        <v>15</v>
      </c>
      <c r="AC225" t="s">
        <v>2260</v>
      </c>
      <c r="AD225" t="s">
        <v>2254</v>
      </c>
      <c r="AE225">
        <v>0</v>
      </c>
      <c r="AF225" t="s">
        <v>18</v>
      </c>
    </row>
    <row r="226" spans="1:32" x14ac:dyDescent="0.3">
      <c r="A226" t="s">
        <v>221</v>
      </c>
      <c r="B226" t="s">
        <v>587</v>
      </c>
      <c r="C226">
        <v>5</v>
      </c>
      <c r="D226" t="s">
        <v>2163</v>
      </c>
      <c r="E226" t="s">
        <v>589</v>
      </c>
      <c r="F226">
        <v>7.5</v>
      </c>
      <c r="G226" t="s">
        <v>2174</v>
      </c>
      <c r="H226" t="s">
        <v>1999</v>
      </c>
      <c r="I226" t="s">
        <v>4</v>
      </c>
      <c r="J226">
        <v>127</v>
      </c>
      <c r="K226" t="s">
        <v>5</v>
      </c>
      <c r="L226">
        <v>86</v>
      </c>
      <c r="M226" t="s">
        <v>6</v>
      </c>
      <c r="N226">
        <v>11.0895577421604</v>
      </c>
      <c r="O226" t="s">
        <v>7</v>
      </c>
      <c r="P226">
        <v>8.7319352300475897E-2</v>
      </c>
      <c r="Q226" t="s">
        <v>8</v>
      </c>
      <c r="R226">
        <v>0.60435179202637002</v>
      </c>
      <c r="S226" t="s">
        <v>9</v>
      </c>
      <c r="T226">
        <v>-0.99718771639286297</v>
      </c>
      <c r="U226" t="s">
        <v>10</v>
      </c>
      <c r="V226">
        <v>0.16731493464522801</v>
      </c>
      <c r="W226" t="s">
        <v>11</v>
      </c>
      <c r="X226" t="s">
        <v>690</v>
      </c>
      <c r="Y226" t="s">
        <v>2261</v>
      </c>
      <c r="Z226">
        <v>0</v>
      </c>
      <c r="AA226" t="s">
        <v>14</v>
      </c>
      <c r="AB226" t="s">
        <v>15</v>
      </c>
      <c r="AC226" t="s">
        <v>2262</v>
      </c>
      <c r="AD226" t="s">
        <v>2073</v>
      </c>
      <c r="AE226">
        <v>0</v>
      </c>
      <c r="AF226" t="s">
        <v>18</v>
      </c>
    </row>
    <row r="227" spans="1:32" x14ac:dyDescent="0.3">
      <c r="A227" t="s">
        <v>221</v>
      </c>
      <c r="B227" t="s">
        <v>587</v>
      </c>
      <c r="C227">
        <v>5</v>
      </c>
      <c r="D227" t="s">
        <v>2163</v>
      </c>
      <c r="E227" t="s">
        <v>589</v>
      </c>
      <c r="F227">
        <v>7.5</v>
      </c>
      <c r="G227" t="s">
        <v>2174</v>
      </c>
      <c r="H227" t="s">
        <v>2002</v>
      </c>
      <c r="I227" t="s">
        <v>4</v>
      </c>
      <c r="J227">
        <v>127</v>
      </c>
      <c r="K227" t="s">
        <v>5</v>
      </c>
      <c r="L227">
        <v>100</v>
      </c>
      <c r="M227" t="s">
        <v>6</v>
      </c>
      <c r="N227">
        <v>24.309557742160401</v>
      </c>
      <c r="O227" t="s">
        <v>7</v>
      </c>
      <c r="P227">
        <v>0.19141384048945201</v>
      </c>
      <c r="Q227" t="s">
        <v>8</v>
      </c>
      <c r="R227">
        <v>0.62914254114267798</v>
      </c>
      <c r="S227" t="s">
        <v>9</v>
      </c>
      <c r="T227">
        <v>-1.4298035693373099</v>
      </c>
      <c r="U227" t="s">
        <v>10</v>
      </c>
      <c r="V227">
        <v>0.20623109947163101</v>
      </c>
      <c r="W227" t="s">
        <v>11</v>
      </c>
      <c r="X227" t="s">
        <v>690</v>
      </c>
      <c r="Y227" t="s">
        <v>2261</v>
      </c>
      <c r="Z227">
        <v>0</v>
      </c>
      <c r="AA227" t="s">
        <v>14</v>
      </c>
      <c r="AB227" t="s">
        <v>15</v>
      </c>
      <c r="AC227" t="s">
        <v>2263</v>
      </c>
      <c r="AD227" t="s">
        <v>2264</v>
      </c>
      <c r="AE227">
        <v>0</v>
      </c>
      <c r="AF227" t="s">
        <v>18</v>
      </c>
    </row>
    <row r="228" spans="1:32" x14ac:dyDescent="0.3">
      <c r="A228" t="s">
        <v>221</v>
      </c>
      <c r="B228" t="s">
        <v>587</v>
      </c>
      <c r="C228">
        <v>5</v>
      </c>
      <c r="D228" t="s">
        <v>2163</v>
      </c>
      <c r="E228" t="s">
        <v>589</v>
      </c>
      <c r="F228">
        <v>7.5</v>
      </c>
      <c r="G228" t="s">
        <v>2174</v>
      </c>
      <c r="H228" t="s">
        <v>2004</v>
      </c>
      <c r="I228" t="s">
        <v>4</v>
      </c>
      <c r="J228">
        <v>127</v>
      </c>
      <c r="K228" t="s">
        <v>5</v>
      </c>
      <c r="L228">
        <v>100</v>
      </c>
      <c r="M228" t="s">
        <v>6</v>
      </c>
      <c r="N228">
        <v>18.6895577421604</v>
      </c>
      <c r="O228" t="s">
        <v>7</v>
      </c>
      <c r="P228">
        <v>0.147161871985515</v>
      </c>
      <c r="Q228" t="s">
        <v>8</v>
      </c>
      <c r="R228">
        <v>0.62914254114267798</v>
      </c>
      <c r="S228" t="s">
        <v>9</v>
      </c>
      <c r="T228">
        <v>-1.6379517174854501</v>
      </c>
      <c r="U228" t="s">
        <v>10</v>
      </c>
      <c r="V228">
        <v>0.22032018062415601</v>
      </c>
      <c r="W228" t="s">
        <v>11</v>
      </c>
      <c r="X228" t="s">
        <v>2265</v>
      </c>
      <c r="Y228" t="s">
        <v>2186</v>
      </c>
      <c r="Z228">
        <v>0</v>
      </c>
      <c r="AA228" t="s">
        <v>14</v>
      </c>
      <c r="AB228" t="s">
        <v>15</v>
      </c>
      <c r="AC228" t="s">
        <v>2265</v>
      </c>
      <c r="AD228" t="s">
        <v>2186</v>
      </c>
      <c r="AE228">
        <v>0</v>
      </c>
      <c r="AF228" t="s">
        <v>18</v>
      </c>
    </row>
    <row r="229" spans="1:32" x14ac:dyDescent="0.3">
      <c r="A229" t="s">
        <v>221</v>
      </c>
      <c r="B229" t="s">
        <v>587</v>
      </c>
      <c r="C229">
        <v>5</v>
      </c>
      <c r="D229" t="s">
        <v>2163</v>
      </c>
      <c r="E229" t="s">
        <v>589</v>
      </c>
      <c r="F229">
        <v>7.5</v>
      </c>
      <c r="G229" t="s">
        <v>2174</v>
      </c>
      <c r="H229" t="s">
        <v>2005</v>
      </c>
      <c r="I229" t="s">
        <v>4</v>
      </c>
      <c r="J229">
        <v>127</v>
      </c>
      <c r="K229" t="s">
        <v>5</v>
      </c>
      <c r="L229">
        <v>100</v>
      </c>
      <c r="M229" t="s">
        <v>6</v>
      </c>
      <c r="N229">
        <v>18.3121379832622</v>
      </c>
      <c r="O229" t="s">
        <v>7</v>
      </c>
      <c r="P229">
        <v>0.14419006286033201</v>
      </c>
      <c r="Q229" t="s">
        <v>8</v>
      </c>
      <c r="R229">
        <v>0.62914254114267798</v>
      </c>
      <c r="S229" t="s">
        <v>9</v>
      </c>
      <c r="T229">
        <v>-1.6519302270742799</v>
      </c>
      <c r="U229" t="s">
        <v>10</v>
      </c>
      <c r="V229">
        <v>0.22032660285401301</v>
      </c>
      <c r="W229" t="s">
        <v>11</v>
      </c>
      <c r="X229" t="s">
        <v>2265</v>
      </c>
      <c r="Y229" t="s">
        <v>2186</v>
      </c>
      <c r="Z229">
        <v>0</v>
      </c>
      <c r="AA229" t="s">
        <v>14</v>
      </c>
      <c r="AB229" t="s">
        <v>15</v>
      </c>
      <c r="AC229" t="s">
        <v>2265</v>
      </c>
      <c r="AD229" t="s">
        <v>2186</v>
      </c>
      <c r="AE229">
        <v>0</v>
      </c>
      <c r="AF229" t="s">
        <v>18</v>
      </c>
    </row>
    <row r="230" spans="1:32" x14ac:dyDescent="0.3">
      <c r="A230" t="s">
        <v>221</v>
      </c>
      <c r="B230" t="s">
        <v>587</v>
      </c>
      <c r="C230">
        <v>7.5</v>
      </c>
      <c r="D230" t="s">
        <v>2163</v>
      </c>
      <c r="E230" t="s">
        <v>589</v>
      </c>
      <c r="F230">
        <v>10</v>
      </c>
      <c r="G230" t="s">
        <v>2</v>
      </c>
      <c r="H230" t="s">
        <v>1979</v>
      </c>
      <c r="I230" t="s">
        <v>4</v>
      </c>
      <c r="J230">
        <v>136</v>
      </c>
      <c r="K230" t="s">
        <v>5</v>
      </c>
      <c r="L230">
        <v>93</v>
      </c>
      <c r="M230" t="s">
        <v>6</v>
      </c>
      <c r="N230">
        <v>0.86</v>
      </c>
      <c r="O230" t="s">
        <v>7</v>
      </c>
      <c r="P230">
        <v>6.3235294117647001E-3</v>
      </c>
      <c r="Q230" t="s">
        <v>8</v>
      </c>
      <c r="R230">
        <v>0.25397849462365502</v>
      </c>
      <c r="S230" t="s">
        <v>9</v>
      </c>
      <c r="T230">
        <v>-0.52930232558139501</v>
      </c>
      <c r="U230" t="s">
        <v>10</v>
      </c>
      <c r="V230">
        <v>8.8227722973092601E-2</v>
      </c>
      <c r="W230" t="s">
        <v>11</v>
      </c>
      <c r="X230" t="s">
        <v>255</v>
      </c>
      <c r="Y230" t="s">
        <v>1278</v>
      </c>
      <c r="Z230">
        <v>0</v>
      </c>
      <c r="AA230" t="s">
        <v>14</v>
      </c>
      <c r="AB230" t="s">
        <v>15</v>
      </c>
      <c r="AC230" t="s">
        <v>2266</v>
      </c>
      <c r="AD230" t="s">
        <v>2073</v>
      </c>
      <c r="AE230">
        <v>0</v>
      </c>
      <c r="AF230" t="s">
        <v>18</v>
      </c>
    </row>
    <row r="231" spans="1:32" x14ac:dyDescent="0.3">
      <c r="A231" t="s">
        <v>221</v>
      </c>
      <c r="B231" t="s">
        <v>587</v>
      </c>
      <c r="C231">
        <v>7.5</v>
      </c>
      <c r="D231" t="s">
        <v>2163</v>
      </c>
      <c r="E231" t="s">
        <v>589</v>
      </c>
      <c r="F231">
        <v>10</v>
      </c>
      <c r="G231" t="s">
        <v>2</v>
      </c>
      <c r="H231" t="s">
        <v>1982</v>
      </c>
      <c r="I231" t="s">
        <v>4</v>
      </c>
      <c r="J231">
        <v>136</v>
      </c>
      <c r="K231" t="s">
        <v>5</v>
      </c>
      <c r="L231">
        <v>113</v>
      </c>
      <c r="M231" t="s">
        <v>6</v>
      </c>
      <c r="N231">
        <v>3.5000000000000102</v>
      </c>
      <c r="O231" t="s">
        <v>7</v>
      </c>
      <c r="P231">
        <v>2.5735294117647099E-2</v>
      </c>
      <c r="Q231" t="s">
        <v>8</v>
      </c>
      <c r="R231">
        <v>0.256991150442477</v>
      </c>
      <c r="S231" t="s">
        <v>9</v>
      </c>
      <c r="T231">
        <v>-1.11043478260869</v>
      </c>
      <c r="U231" t="s">
        <v>10</v>
      </c>
      <c r="V231">
        <v>0.12500850363815899</v>
      </c>
      <c r="W231" t="s">
        <v>11</v>
      </c>
      <c r="X231" t="s">
        <v>2189</v>
      </c>
      <c r="Y231" t="s">
        <v>1278</v>
      </c>
      <c r="Z231">
        <v>0</v>
      </c>
      <c r="AA231" t="s">
        <v>14</v>
      </c>
      <c r="AB231" t="s">
        <v>15</v>
      </c>
      <c r="AC231" t="s">
        <v>2267</v>
      </c>
      <c r="AD231" t="s">
        <v>1278</v>
      </c>
      <c r="AE231">
        <v>0</v>
      </c>
      <c r="AF231" t="s">
        <v>18</v>
      </c>
    </row>
    <row r="232" spans="1:32" x14ac:dyDescent="0.3">
      <c r="A232" t="s">
        <v>221</v>
      </c>
      <c r="B232" t="s">
        <v>587</v>
      </c>
      <c r="C232">
        <v>7.5</v>
      </c>
      <c r="D232" t="s">
        <v>2163</v>
      </c>
      <c r="E232" t="s">
        <v>589</v>
      </c>
      <c r="F232">
        <v>10</v>
      </c>
      <c r="G232" t="s">
        <v>2</v>
      </c>
      <c r="H232" t="s">
        <v>1985</v>
      </c>
      <c r="I232" t="s">
        <v>4</v>
      </c>
      <c r="J232">
        <v>136</v>
      </c>
      <c r="K232" t="s">
        <v>5</v>
      </c>
      <c r="L232">
        <v>117</v>
      </c>
      <c r="M232" t="s">
        <v>6</v>
      </c>
      <c r="N232">
        <v>4.63</v>
      </c>
      <c r="O232" t="s">
        <v>7</v>
      </c>
      <c r="P232">
        <v>3.4044117647058801E-2</v>
      </c>
      <c r="Q232" t="s">
        <v>8</v>
      </c>
      <c r="R232">
        <v>0.25606837606837601</v>
      </c>
      <c r="S232" t="s">
        <v>9</v>
      </c>
      <c r="T232">
        <v>-1.3331578947368401</v>
      </c>
      <c r="U232" t="s">
        <v>10</v>
      </c>
      <c r="V232">
        <v>0.134318405298708</v>
      </c>
      <c r="W232" t="s">
        <v>11</v>
      </c>
      <c r="X232" t="s">
        <v>2189</v>
      </c>
      <c r="Y232" t="s">
        <v>1278</v>
      </c>
      <c r="Z232">
        <v>0</v>
      </c>
      <c r="AA232" t="s">
        <v>14</v>
      </c>
      <c r="AB232" t="s">
        <v>15</v>
      </c>
      <c r="AC232" t="s">
        <v>2267</v>
      </c>
      <c r="AD232" t="s">
        <v>1278</v>
      </c>
      <c r="AE232">
        <v>0</v>
      </c>
      <c r="AF232" t="s">
        <v>18</v>
      </c>
    </row>
    <row r="233" spans="1:32" x14ac:dyDescent="0.3">
      <c r="A233" t="s">
        <v>221</v>
      </c>
      <c r="B233" t="s">
        <v>587</v>
      </c>
      <c r="C233">
        <v>7.5</v>
      </c>
      <c r="D233" t="s">
        <v>2163</v>
      </c>
      <c r="E233" t="s">
        <v>589</v>
      </c>
      <c r="F233">
        <v>10</v>
      </c>
      <c r="G233" t="s">
        <v>2</v>
      </c>
      <c r="H233" t="s">
        <v>1988</v>
      </c>
      <c r="I233" t="s">
        <v>4</v>
      </c>
      <c r="J233">
        <v>136</v>
      </c>
      <c r="K233" t="s">
        <v>5</v>
      </c>
      <c r="L233">
        <v>118</v>
      </c>
      <c r="M233" t="s">
        <v>6</v>
      </c>
      <c r="N233">
        <v>3.6799999999999899</v>
      </c>
      <c r="O233" t="s">
        <v>7</v>
      </c>
      <c r="P233">
        <v>2.7058823529411701E-2</v>
      </c>
      <c r="Q233" t="s">
        <v>8</v>
      </c>
      <c r="R233">
        <v>0.254661016949152</v>
      </c>
      <c r="S233" t="s">
        <v>9</v>
      </c>
      <c r="T233">
        <v>-1.4650000000000001</v>
      </c>
      <c r="U233" t="s">
        <v>10</v>
      </c>
      <c r="V233">
        <v>0.14599780779457899</v>
      </c>
      <c r="W233" t="s">
        <v>11</v>
      </c>
      <c r="X233" t="s">
        <v>2189</v>
      </c>
      <c r="Y233" t="s">
        <v>1278</v>
      </c>
      <c r="Z233">
        <v>0</v>
      </c>
      <c r="AA233" t="s">
        <v>14</v>
      </c>
      <c r="AB233" t="s">
        <v>15</v>
      </c>
      <c r="AC233" t="s">
        <v>2267</v>
      </c>
      <c r="AD233" t="s">
        <v>1278</v>
      </c>
      <c r="AE233">
        <v>0</v>
      </c>
      <c r="AF233" t="s">
        <v>18</v>
      </c>
    </row>
    <row r="234" spans="1:32" x14ac:dyDescent="0.3">
      <c r="A234" t="s">
        <v>221</v>
      </c>
      <c r="B234" t="s">
        <v>587</v>
      </c>
      <c r="C234">
        <v>7.5</v>
      </c>
      <c r="D234" t="s">
        <v>2163</v>
      </c>
      <c r="E234" t="s">
        <v>589</v>
      </c>
      <c r="F234">
        <v>10</v>
      </c>
      <c r="G234" t="s">
        <v>27</v>
      </c>
      <c r="H234" t="s">
        <v>1991</v>
      </c>
      <c r="I234" t="s">
        <v>4</v>
      </c>
      <c r="J234">
        <v>128</v>
      </c>
      <c r="K234" t="s">
        <v>5</v>
      </c>
      <c r="L234">
        <v>88</v>
      </c>
      <c r="M234" t="s">
        <v>6</v>
      </c>
      <c r="N234">
        <v>6.3</v>
      </c>
      <c r="O234" t="s">
        <v>7</v>
      </c>
      <c r="P234">
        <v>4.9218749999999999E-2</v>
      </c>
      <c r="Q234" t="s">
        <v>8</v>
      </c>
      <c r="R234">
        <v>0.39704545454545398</v>
      </c>
      <c r="S234" t="s">
        <v>9</v>
      </c>
      <c r="T234">
        <v>-0.71599999999999997</v>
      </c>
      <c r="U234" t="s">
        <v>10</v>
      </c>
      <c r="V234">
        <v>0.12040041819867001</v>
      </c>
      <c r="W234" t="s">
        <v>11</v>
      </c>
      <c r="X234" t="s">
        <v>255</v>
      </c>
      <c r="Y234" t="s">
        <v>1278</v>
      </c>
      <c r="Z234">
        <v>0</v>
      </c>
      <c r="AA234" t="s">
        <v>14</v>
      </c>
      <c r="AB234" t="s">
        <v>15</v>
      </c>
      <c r="AC234" t="s">
        <v>2268</v>
      </c>
      <c r="AD234" t="s">
        <v>2080</v>
      </c>
      <c r="AE234">
        <v>0</v>
      </c>
      <c r="AF234" t="s">
        <v>18</v>
      </c>
    </row>
    <row r="235" spans="1:32" x14ac:dyDescent="0.3">
      <c r="A235" t="s">
        <v>221</v>
      </c>
      <c r="B235" t="s">
        <v>587</v>
      </c>
      <c r="C235">
        <v>7.5</v>
      </c>
      <c r="D235" t="s">
        <v>2163</v>
      </c>
      <c r="E235" t="s">
        <v>589</v>
      </c>
      <c r="F235">
        <v>10</v>
      </c>
      <c r="G235" t="s">
        <v>27</v>
      </c>
      <c r="H235" t="s">
        <v>1994</v>
      </c>
      <c r="I235" t="s">
        <v>4</v>
      </c>
      <c r="J235">
        <v>128</v>
      </c>
      <c r="K235" t="s">
        <v>5</v>
      </c>
      <c r="L235">
        <v>107</v>
      </c>
      <c r="M235" t="s">
        <v>6</v>
      </c>
      <c r="N235">
        <v>17.22</v>
      </c>
      <c r="O235" t="s">
        <v>7</v>
      </c>
      <c r="P235">
        <v>0.13453124999999999</v>
      </c>
      <c r="Q235" t="s">
        <v>8</v>
      </c>
      <c r="R235">
        <v>0.40056074766355099</v>
      </c>
      <c r="S235" t="s">
        <v>9</v>
      </c>
      <c r="T235">
        <v>-1.2209523809523799</v>
      </c>
      <c r="U235" t="s">
        <v>10</v>
      </c>
      <c r="V235">
        <v>0.155847045170978</v>
      </c>
      <c r="W235" t="s">
        <v>11</v>
      </c>
      <c r="X235" t="s">
        <v>760</v>
      </c>
      <c r="Y235" t="s">
        <v>2269</v>
      </c>
      <c r="Z235">
        <v>0</v>
      </c>
      <c r="AA235" t="s">
        <v>14</v>
      </c>
      <c r="AB235" t="s">
        <v>15</v>
      </c>
      <c r="AC235" t="s">
        <v>2270</v>
      </c>
      <c r="AD235" t="s">
        <v>2073</v>
      </c>
      <c r="AE235">
        <v>0</v>
      </c>
      <c r="AF235" t="s">
        <v>18</v>
      </c>
    </row>
    <row r="236" spans="1:32" x14ac:dyDescent="0.3">
      <c r="A236" t="s">
        <v>221</v>
      </c>
      <c r="B236" t="s">
        <v>587</v>
      </c>
      <c r="C236">
        <v>7.5</v>
      </c>
      <c r="D236" t="s">
        <v>2163</v>
      </c>
      <c r="E236" t="s">
        <v>589</v>
      </c>
      <c r="F236">
        <v>10</v>
      </c>
      <c r="G236" t="s">
        <v>27</v>
      </c>
      <c r="H236" t="s">
        <v>1996</v>
      </c>
      <c r="I236" t="s">
        <v>4</v>
      </c>
      <c r="J236">
        <v>128</v>
      </c>
      <c r="K236" t="s">
        <v>5</v>
      </c>
      <c r="L236">
        <v>112</v>
      </c>
      <c r="M236" t="s">
        <v>6</v>
      </c>
      <c r="N236">
        <v>19.579999999999998</v>
      </c>
      <c r="O236" t="s">
        <v>7</v>
      </c>
      <c r="P236">
        <v>0.15296874999999999</v>
      </c>
      <c r="Q236" t="s">
        <v>8</v>
      </c>
      <c r="R236">
        <v>0.39624999999999999</v>
      </c>
      <c r="S236" t="s">
        <v>9</v>
      </c>
      <c r="T236">
        <v>-1.55</v>
      </c>
      <c r="U236" t="s">
        <v>10</v>
      </c>
      <c r="V236">
        <v>0.170762958607698</v>
      </c>
      <c r="W236" t="s">
        <v>11</v>
      </c>
      <c r="X236" t="s">
        <v>760</v>
      </c>
      <c r="Y236" t="s">
        <v>2269</v>
      </c>
      <c r="Z236">
        <v>0</v>
      </c>
      <c r="AA236" t="s">
        <v>14</v>
      </c>
      <c r="AB236" t="s">
        <v>15</v>
      </c>
      <c r="AC236" t="s">
        <v>831</v>
      </c>
      <c r="AD236" t="s">
        <v>1278</v>
      </c>
      <c r="AE236">
        <v>0</v>
      </c>
      <c r="AF236" t="s">
        <v>18</v>
      </c>
    </row>
    <row r="237" spans="1:32" x14ac:dyDescent="0.3">
      <c r="A237" t="s">
        <v>221</v>
      </c>
      <c r="B237" t="s">
        <v>587</v>
      </c>
      <c r="C237">
        <v>7.5</v>
      </c>
      <c r="D237" t="s">
        <v>2163</v>
      </c>
      <c r="E237" t="s">
        <v>589</v>
      </c>
      <c r="F237">
        <v>10</v>
      </c>
      <c r="G237" t="s">
        <v>27</v>
      </c>
      <c r="H237" t="s">
        <v>1997</v>
      </c>
      <c r="I237" t="s">
        <v>4</v>
      </c>
      <c r="J237">
        <v>128</v>
      </c>
      <c r="K237" t="s">
        <v>5</v>
      </c>
      <c r="L237">
        <v>112</v>
      </c>
      <c r="M237" t="s">
        <v>6</v>
      </c>
      <c r="N237">
        <v>19.25</v>
      </c>
      <c r="O237" t="s">
        <v>7</v>
      </c>
      <c r="P237">
        <v>0.150390625</v>
      </c>
      <c r="Q237" t="s">
        <v>8</v>
      </c>
      <c r="R237">
        <v>0.39624999999999999</v>
      </c>
      <c r="S237" t="s">
        <v>9</v>
      </c>
      <c r="T237">
        <v>-1.5706249999999899</v>
      </c>
      <c r="U237" t="s">
        <v>10</v>
      </c>
      <c r="V237">
        <v>0.17338857125349899</v>
      </c>
      <c r="W237" t="s">
        <v>11</v>
      </c>
      <c r="X237" t="s">
        <v>2271</v>
      </c>
      <c r="Y237" t="s">
        <v>2272</v>
      </c>
      <c r="Z237">
        <v>0</v>
      </c>
      <c r="AA237" t="s">
        <v>14</v>
      </c>
      <c r="AB237" t="s">
        <v>15</v>
      </c>
      <c r="AC237" t="s">
        <v>831</v>
      </c>
      <c r="AD237" t="s">
        <v>1278</v>
      </c>
      <c r="AE237">
        <v>0</v>
      </c>
      <c r="AF237" t="s">
        <v>18</v>
      </c>
    </row>
    <row r="238" spans="1:32" x14ac:dyDescent="0.3">
      <c r="A238" t="s">
        <v>221</v>
      </c>
      <c r="B238" t="s">
        <v>587</v>
      </c>
      <c r="C238">
        <v>7.5</v>
      </c>
      <c r="D238" t="s">
        <v>2163</v>
      </c>
      <c r="E238" t="s">
        <v>589</v>
      </c>
      <c r="F238">
        <v>10</v>
      </c>
      <c r="G238" t="s">
        <v>2174</v>
      </c>
      <c r="H238" t="s">
        <v>1999</v>
      </c>
      <c r="I238" t="s">
        <v>4</v>
      </c>
      <c r="J238">
        <v>127</v>
      </c>
      <c r="K238" t="s">
        <v>5</v>
      </c>
      <c r="L238">
        <v>91</v>
      </c>
      <c r="M238" t="s">
        <v>6</v>
      </c>
      <c r="N238">
        <v>14.5253606474888</v>
      </c>
      <c r="O238" t="s">
        <v>7</v>
      </c>
      <c r="P238">
        <v>0.114372918484164</v>
      </c>
      <c r="Q238" t="s">
        <v>8</v>
      </c>
      <c r="R238">
        <v>0.50632264447789899</v>
      </c>
      <c r="S238" t="s">
        <v>9</v>
      </c>
      <c r="T238">
        <v>-0.87638888888888899</v>
      </c>
      <c r="U238" t="s">
        <v>10</v>
      </c>
      <c r="V238">
        <v>0.144677975878196</v>
      </c>
      <c r="W238" t="s">
        <v>11</v>
      </c>
      <c r="X238" t="s">
        <v>2273</v>
      </c>
      <c r="Y238" t="s">
        <v>2274</v>
      </c>
      <c r="Z238">
        <v>0</v>
      </c>
      <c r="AA238" t="s">
        <v>14</v>
      </c>
      <c r="AB238" t="s">
        <v>15</v>
      </c>
      <c r="AC238" t="s">
        <v>2275</v>
      </c>
      <c r="AD238" t="s">
        <v>2276</v>
      </c>
      <c r="AE238">
        <v>0</v>
      </c>
      <c r="AF238" t="s">
        <v>18</v>
      </c>
    </row>
    <row r="239" spans="1:32" x14ac:dyDescent="0.3">
      <c r="A239" t="s">
        <v>221</v>
      </c>
      <c r="B239" t="s">
        <v>587</v>
      </c>
      <c r="C239">
        <v>7.5</v>
      </c>
      <c r="D239" t="s">
        <v>2163</v>
      </c>
      <c r="E239" t="s">
        <v>589</v>
      </c>
      <c r="F239">
        <v>10</v>
      </c>
      <c r="G239" t="s">
        <v>2174</v>
      </c>
      <c r="H239" t="s">
        <v>2002</v>
      </c>
      <c r="I239" t="s">
        <v>4</v>
      </c>
      <c r="J239">
        <v>127</v>
      </c>
      <c r="K239" t="s">
        <v>5</v>
      </c>
      <c r="L239">
        <v>103</v>
      </c>
      <c r="M239" t="s">
        <v>6</v>
      </c>
      <c r="N239">
        <v>15.285360647488799</v>
      </c>
      <c r="O239" t="s">
        <v>7</v>
      </c>
      <c r="P239">
        <v>0.120357170452667</v>
      </c>
      <c r="Q239" t="s">
        <v>8</v>
      </c>
      <c r="R239">
        <v>0.498013210169794</v>
      </c>
      <c r="S239" t="s">
        <v>9</v>
      </c>
      <c r="T239">
        <v>-1.5004166666666601</v>
      </c>
      <c r="U239" t="s">
        <v>10</v>
      </c>
      <c r="V239">
        <v>0.17804339906675801</v>
      </c>
      <c r="W239" t="s">
        <v>11</v>
      </c>
      <c r="X239" t="s">
        <v>2170</v>
      </c>
      <c r="Y239" t="s">
        <v>2171</v>
      </c>
      <c r="Z239">
        <v>0</v>
      </c>
      <c r="AA239" t="s">
        <v>14</v>
      </c>
      <c r="AB239" t="s">
        <v>15</v>
      </c>
      <c r="AC239" t="s">
        <v>2170</v>
      </c>
      <c r="AD239" t="s">
        <v>2171</v>
      </c>
      <c r="AE239">
        <v>0</v>
      </c>
      <c r="AF239" t="s">
        <v>18</v>
      </c>
    </row>
    <row r="240" spans="1:32" x14ac:dyDescent="0.3">
      <c r="A240" t="s">
        <v>221</v>
      </c>
      <c r="B240" t="s">
        <v>587</v>
      </c>
      <c r="C240">
        <v>7.5</v>
      </c>
      <c r="D240" t="s">
        <v>2163</v>
      </c>
      <c r="E240" t="s">
        <v>589</v>
      </c>
      <c r="F240">
        <v>10</v>
      </c>
      <c r="G240" t="s">
        <v>2174</v>
      </c>
      <c r="H240" t="s">
        <v>2004</v>
      </c>
      <c r="I240" t="s">
        <v>4</v>
      </c>
      <c r="J240">
        <v>127</v>
      </c>
      <c r="K240" t="s">
        <v>5</v>
      </c>
      <c r="L240">
        <v>106</v>
      </c>
      <c r="M240" t="s">
        <v>6</v>
      </c>
      <c r="N240">
        <v>20.895360647488801</v>
      </c>
      <c r="O240" t="s">
        <v>7</v>
      </c>
      <c r="P240">
        <v>0.16453039879912401</v>
      </c>
      <c r="Q240" t="s">
        <v>8</v>
      </c>
      <c r="R240">
        <v>0.51920151554234695</v>
      </c>
      <c r="S240" t="s">
        <v>9</v>
      </c>
      <c r="T240">
        <v>-1.6257142857142799</v>
      </c>
      <c r="U240" t="s">
        <v>10</v>
      </c>
      <c r="V240">
        <v>0.198906708261188</v>
      </c>
      <c r="W240" t="s">
        <v>11</v>
      </c>
      <c r="X240" t="s">
        <v>2170</v>
      </c>
      <c r="Y240" t="s">
        <v>2171</v>
      </c>
      <c r="Z240">
        <v>0</v>
      </c>
      <c r="AA240" t="s">
        <v>14</v>
      </c>
      <c r="AB240" t="s">
        <v>15</v>
      </c>
      <c r="AC240" t="s">
        <v>2170</v>
      </c>
      <c r="AD240" t="s">
        <v>2171</v>
      </c>
      <c r="AE240">
        <v>0</v>
      </c>
      <c r="AF240" t="s">
        <v>18</v>
      </c>
    </row>
    <row r="241" spans="1:32" x14ac:dyDescent="0.3">
      <c r="A241" t="s">
        <v>221</v>
      </c>
      <c r="B241" t="s">
        <v>587</v>
      </c>
      <c r="C241">
        <v>7.5</v>
      </c>
      <c r="D241" t="s">
        <v>2163</v>
      </c>
      <c r="E241" t="s">
        <v>589</v>
      </c>
      <c r="F241">
        <v>10</v>
      </c>
      <c r="G241" t="s">
        <v>2174</v>
      </c>
      <c r="H241" t="s">
        <v>2005</v>
      </c>
      <c r="I241" t="s">
        <v>4</v>
      </c>
      <c r="J241">
        <v>127</v>
      </c>
      <c r="K241" t="s">
        <v>5</v>
      </c>
      <c r="L241">
        <v>106</v>
      </c>
      <c r="M241" t="s">
        <v>6</v>
      </c>
      <c r="N241">
        <v>20.6653606474888</v>
      </c>
      <c r="O241" t="s">
        <v>7</v>
      </c>
      <c r="P241">
        <v>0.16271937517707699</v>
      </c>
      <c r="Q241" t="s">
        <v>8</v>
      </c>
      <c r="R241">
        <v>0.51920151554234695</v>
      </c>
      <c r="S241" t="s">
        <v>9</v>
      </c>
      <c r="T241">
        <v>-1.6366666666666601</v>
      </c>
      <c r="U241" t="s">
        <v>10</v>
      </c>
      <c r="V241">
        <v>0.20000691986486499</v>
      </c>
      <c r="W241" t="s">
        <v>11</v>
      </c>
      <c r="X241" t="s">
        <v>2170</v>
      </c>
      <c r="Y241" t="s">
        <v>2171</v>
      </c>
      <c r="Z241">
        <v>0</v>
      </c>
      <c r="AA241" t="s">
        <v>14</v>
      </c>
      <c r="AB241" t="s">
        <v>15</v>
      </c>
      <c r="AC241" t="s">
        <v>2170</v>
      </c>
      <c r="AD241" t="s">
        <v>2171</v>
      </c>
      <c r="AE241">
        <v>0</v>
      </c>
      <c r="AF241" t="s">
        <v>18</v>
      </c>
    </row>
    <row r="242" spans="1:32" x14ac:dyDescent="0.3">
      <c r="A242" t="s">
        <v>262</v>
      </c>
      <c r="B242" t="s">
        <v>587</v>
      </c>
      <c r="C242">
        <v>0</v>
      </c>
      <c r="D242" t="s">
        <v>2163</v>
      </c>
      <c r="E242" t="s">
        <v>589</v>
      </c>
      <c r="F242">
        <v>2.5</v>
      </c>
      <c r="G242" t="s">
        <v>2</v>
      </c>
      <c r="H242" t="s">
        <v>1979</v>
      </c>
      <c r="I242" t="s">
        <v>4</v>
      </c>
      <c r="J242">
        <v>375</v>
      </c>
      <c r="K242" t="s">
        <v>5</v>
      </c>
      <c r="L242">
        <v>229</v>
      </c>
      <c r="M242" t="s">
        <v>6</v>
      </c>
      <c r="N242">
        <v>9.6</v>
      </c>
      <c r="O242" t="s">
        <v>7</v>
      </c>
      <c r="P242">
        <v>2.5600000000000001E-2</v>
      </c>
      <c r="Q242" t="s">
        <v>8</v>
      </c>
      <c r="R242">
        <v>0.80834061135371205</v>
      </c>
      <c r="S242" t="s">
        <v>9</v>
      </c>
      <c r="T242">
        <v>-1.20212328767123</v>
      </c>
      <c r="U242" t="s">
        <v>10</v>
      </c>
      <c r="V242">
        <v>0.562939509084176</v>
      </c>
      <c r="W242" t="s">
        <v>11</v>
      </c>
      <c r="X242" t="s">
        <v>2277</v>
      </c>
      <c r="Y242" t="s">
        <v>2278</v>
      </c>
      <c r="Z242">
        <v>0</v>
      </c>
      <c r="AA242" t="s">
        <v>14</v>
      </c>
      <c r="AB242" t="s">
        <v>15</v>
      </c>
      <c r="AC242" t="s">
        <v>148</v>
      </c>
      <c r="AD242" t="s">
        <v>2272</v>
      </c>
      <c r="AE242">
        <v>0</v>
      </c>
      <c r="AF242" t="s">
        <v>18</v>
      </c>
    </row>
    <row r="243" spans="1:32" x14ac:dyDescent="0.3">
      <c r="A243" t="s">
        <v>262</v>
      </c>
      <c r="B243" t="s">
        <v>587</v>
      </c>
      <c r="C243">
        <v>0</v>
      </c>
      <c r="D243" t="s">
        <v>2163</v>
      </c>
      <c r="E243" t="s">
        <v>589</v>
      </c>
      <c r="F243">
        <v>2.5</v>
      </c>
      <c r="G243" t="s">
        <v>2</v>
      </c>
      <c r="H243" t="s">
        <v>1982</v>
      </c>
      <c r="I243" t="s">
        <v>4</v>
      </c>
      <c r="J243">
        <v>375</v>
      </c>
      <c r="K243" t="s">
        <v>5</v>
      </c>
      <c r="L243">
        <v>238</v>
      </c>
      <c r="M243" t="s">
        <v>6</v>
      </c>
      <c r="N243">
        <v>14.0199999999999</v>
      </c>
      <c r="O243" t="s">
        <v>7</v>
      </c>
      <c r="P243">
        <v>3.7386666666666603E-2</v>
      </c>
      <c r="Q243" t="s">
        <v>8</v>
      </c>
      <c r="R243">
        <v>0.80970588235294105</v>
      </c>
      <c r="S243" t="s">
        <v>9</v>
      </c>
      <c r="T243">
        <v>-1.30430656934306</v>
      </c>
      <c r="U243" t="s">
        <v>10</v>
      </c>
      <c r="V243">
        <v>0.65325042161327695</v>
      </c>
      <c r="W243" t="s">
        <v>11</v>
      </c>
      <c r="X243" t="s">
        <v>2166</v>
      </c>
      <c r="Y243" t="s">
        <v>2167</v>
      </c>
      <c r="Z243">
        <v>0</v>
      </c>
      <c r="AA243" t="s">
        <v>14</v>
      </c>
      <c r="AB243" t="s">
        <v>15</v>
      </c>
      <c r="AC243" t="s">
        <v>2279</v>
      </c>
      <c r="AD243" t="s">
        <v>2280</v>
      </c>
      <c r="AE243">
        <v>0</v>
      </c>
      <c r="AF243" t="s">
        <v>18</v>
      </c>
    </row>
    <row r="244" spans="1:32" x14ac:dyDescent="0.3">
      <c r="A244" t="s">
        <v>262</v>
      </c>
      <c r="B244" t="s">
        <v>587</v>
      </c>
      <c r="C244">
        <v>0</v>
      </c>
      <c r="D244" t="s">
        <v>2163</v>
      </c>
      <c r="E244" t="s">
        <v>589</v>
      </c>
      <c r="F244">
        <v>2.5</v>
      </c>
      <c r="G244" t="s">
        <v>2</v>
      </c>
      <c r="H244" t="s">
        <v>1985</v>
      </c>
      <c r="I244" t="s">
        <v>4</v>
      </c>
      <c r="J244">
        <v>375</v>
      </c>
      <c r="K244" t="s">
        <v>5</v>
      </c>
      <c r="L244">
        <v>238</v>
      </c>
      <c r="M244" t="s">
        <v>6</v>
      </c>
      <c r="N244">
        <v>13.2699999999999</v>
      </c>
      <c r="O244" t="s">
        <v>7</v>
      </c>
      <c r="P244">
        <v>3.5386666666666601E-2</v>
      </c>
      <c r="Q244" t="s">
        <v>8</v>
      </c>
      <c r="R244">
        <v>0.80970588235294105</v>
      </c>
      <c r="S244" t="s">
        <v>9</v>
      </c>
      <c r="T244">
        <v>-1.3097810218978101</v>
      </c>
      <c r="U244" t="s">
        <v>10</v>
      </c>
      <c r="V244">
        <v>0.65807089433892796</v>
      </c>
      <c r="W244" t="s">
        <v>11</v>
      </c>
      <c r="X244" t="s">
        <v>2281</v>
      </c>
      <c r="Y244" t="s">
        <v>2169</v>
      </c>
      <c r="Z244">
        <v>0</v>
      </c>
      <c r="AA244" t="s">
        <v>14</v>
      </c>
      <c r="AB244" t="s">
        <v>15</v>
      </c>
      <c r="AC244" t="s">
        <v>2279</v>
      </c>
      <c r="AD244" t="s">
        <v>2280</v>
      </c>
      <c r="AE244">
        <v>0</v>
      </c>
      <c r="AF244" t="s">
        <v>18</v>
      </c>
    </row>
    <row r="245" spans="1:32" x14ac:dyDescent="0.3">
      <c r="A245" t="s">
        <v>262</v>
      </c>
      <c r="B245" t="s">
        <v>587</v>
      </c>
      <c r="C245">
        <v>0</v>
      </c>
      <c r="D245" t="s">
        <v>2163</v>
      </c>
      <c r="E245" t="s">
        <v>589</v>
      </c>
      <c r="F245">
        <v>2.5</v>
      </c>
      <c r="G245" t="s">
        <v>2</v>
      </c>
      <c r="H245" t="s">
        <v>1988</v>
      </c>
      <c r="I245" t="s">
        <v>4</v>
      </c>
      <c r="J245">
        <v>375</v>
      </c>
      <c r="K245" t="s">
        <v>5</v>
      </c>
      <c r="L245">
        <v>238</v>
      </c>
      <c r="M245" t="s">
        <v>6</v>
      </c>
      <c r="N245">
        <v>10.1999999999999</v>
      </c>
      <c r="O245" t="s">
        <v>7</v>
      </c>
      <c r="P245">
        <v>2.7199999999999901E-2</v>
      </c>
      <c r="Q245" t="s">
        <v>8</v>
      </c>
      <c r="R245">
        <v>0.80970588235294105</v>
      </c>
      <c r="S245" t="s">
        <v>9</v>
      </c>
      <c r="T245">
        <v>-1.3321897810218899</v>
      </c>
      <c r="U245" t="s">
        <v>10</v>
      </c>
      <c r="V245">
        <v>0.66555047881654905</v>
      </c>
      <c r="W245" t="s">
        <v>11</v>
      </c>
      <c r="X245" t="s">
        <v>2282</v>
      </c>
      <c r="Y245" t="s">
        <v>595</v>
      </c>
      <c r="Z245">
        <v>0</v>
      </c>
      <c r="AA245" t="s">
        <v>14</v>
      </c>
      <c r="AB245" t="s">
        <v>15</v>
      </c>
      <c r="AC245" t="s">
        <v>2283</v>
      </c>
      <c r="AD245" t="s">
        <v>2280</v>
      </c>
      <c r="AE245">
        <v>0</v>
      </c>
      <c r="AF245" t="s">
        <v>18</v>
      </c>
    </row>
    <row r="246" spans="1:32" x14ac:dyDescent="0.3">
      <c r="A246" t="s">
        <v>262</v>
      </c>
      <c r="B246" t="s">
        <v>587</v>
      </c>
      <c r="C246">
        <v>0</v>
      </c>
      <c r="D246" t="s">
        <v>2163</v>
      </c>
      <c r="E246" t="s">
        <v>589</v>
      </c>
      <c r="F246">
        <v>2.5</v>
      </c>
      <c r="G246" t="s">
        <v>27</v>
      </c>
      <c r="H246" t="s">
        <v>1991</v>
      </c>
      <c r="I246" t="s">
        <v>4</v>
      </c>
      <c r="J246">
        <v>376</v>
      </c>
      <c r="K246" t="s">
        <v>5</v>
      </c>
      <c r="L246">
        <v>229</v>
      </c>
      <c r="M246" t="s">
        <v>6</v>
      </c>
      <c r="N246">
        <v>0.70000000000005902</v>
      </c>
      <c r="O246" t="s">
        <v>7</v>
      </c>
      <c r="P246">
        <v>1.86170212765973E-3</v>
      </c>
      <c r="Q246" t="s">
        <v>8</v>
      </c>
      <c r="R246">
        <v>0.80008733624454198</v>
      </c>
      <c r="S246" t="s">
        <v>9</v>
      </c>
      <c r="T246">
        <v>-1.2416326530612201</v>
      </c>
      <c r="U246" t="s">
        <v>10</v>
      </c>
      <c r="V246">
        <v>0.52075912144597003</v>
      </c>
      <c r="W246" t="s">
        <v>11</v>
      </c>
      <c r="X246" t="s">
        <v>2170</v>
      </c>
      <c r="Y246" t="s">
        <v>2171</v>
      </c>
      <c r="Z246">
        <v>0</v>
      </c>
      <c r="AA246" t="s">
        <v>14</v>
      </c>
      <c r="AB246" t="s">
        <v>15</v>
      </c>
      <c r="AC246" t="s">
        <v>2284</v>
      </c>
      <c r="AD246" t="s">
        <v>2258</v>
      </c>
      <c r="AE246">
        <v>0</v>
      </c>
      <c r="AF246" t="s">
        <v>18</v>
      </c>
    </row>
    <row r="247" spans="1:32" x14ac:dyDescent="0.3">
      <c r="A247" t="s">
        <v>262</v>
      </c>
      <c r="B247" t="s">
        <v>587</v>
      </c>
      <c r="C247">
        <v>0</v>
      </c>
      <c r="D247" t="s">
        <v>2163</v>
      </c>
      <c r="E247" t="s">
        <v>589</v>
      </c>
      <c r="F247">
        <v>2.5</v>
      </c>
      <c r="G247" t="s">
        <v>27</v>
      </c>
      <c r="H247" t="s">
        <v>1994</v>
      </c>
      <c r="I247" t="s">
        <v>4</v>
      </c>
      <c r="J247">
        <v>376</v>
      </c>
      <c r="K247" t="s">
        <v>5</v>
      </c>
      <c r="L247">
        <v>241</v>
      </c>
      <c r="M247" t="s">
        <v>6</v>
      </c>
      <c r="N247">
        <v>13.07</v>
      </c>
      <c r="O247" t="s">
        <v>7</v>
      </c>
      <c r="P247">
        <v>3.4760638297872501E-2</v>
      </c>
      <c r="Q247" t="s">
        <v>8</v>
      </c>
      <c r="R247">
        <v>0.81228215767634904</v>
      </c>
      <c r="S247" t="s">
        <v>9</v>
      </c>
      <c r="T247">
        <v>-1.3532592592592501</v>
      </c>
      <c r="U247" t="s">
        <v>10</v>
      </c>
      <c r="V247">
        <v>0.61429601268476197</v>
      </c>
      <c r="W247" t="s">
        <v>11</v>
      </c>
      <c r="X247" t="s">
        <v>2285</v>
      </c>
      <c r="Y247" t="s">
        <v>2286</v>
      </c>
      <c r="Z247">
        <v>0</v>
      </c>
      <c r="AA247" t="s">
        <v>14</v>
      </c>
      <c r="AB247" t="s">
        <v>15</v>
      </c>
      <c r="AC247" t="s">
        <v>2287</v>
      </c>
      <c r="AD247" t="s">
        <v>2280</v>
      </c>
      <c r="AE247">
        <v>0</v>
      </c>
      <c r="AF247" t="s">
        <v>18</v>
      </c>
    </row>
    <row r="248" spans="1:32" x14ac:dyDescent="0.3">
      <c r="A248" t="s">
        <v>262</v>
      </c>
      <c r="B248" t="s">
        <v>587</v>
      </c>
      <c r="C248">
        <v>0</v>
      </c>
      <c r="D248" t="s">
        <v>2163</v>
      </c>
      <c r="E248" t="s">
        <v>589</v>
      </c>
      <c r="F248">
        <v>2.5</v>
      </c>
      <c r="G248" t="s">
        <v>27</v>
      </c>
      <c r="H248" t="s">
        <v>1996</v>
      </c>
      <c r="I248" t="s">
        <v>4</v>
      </c>
      <c r="J248">
        <v>376</v>
      </c>
      <c r="K248" t="s">
        <v>5</v>
      </c>
      <c r="L248">
        <v>244</v>
      </c>
      <c r="M248" t="s">
        <v>6</v>
      </c>
      <c r="N248">
        <v>28.520000000000099</v>
      </c>
      <c r="O248" t="s">
        <v>7</v>
      </c>
      <c r="P248">
        <v>7.5851063829787499E-2</v>
      </c>
      <c r="Q248" t="s">
        <v>8</v>
      </c>
      <c r="R248">
        <v>0.83618852459016402</v>
      </c>
      <c r="S248" t="s">
        <v>9</v>
      </c>
      <c r="T248">
        <v>-1.3296212121212101</v>
      </c>
      <c r="U248" t="s">
        <v>10</v>
      </c>
      <c r="V248">
        <v>0.63979060563777301</v>
      </c>
      <c r="W248" t="s">
        <v>11</v>
      </c>
      <c r="X248" t="s">
        <v>2285</v>
      </c>
      <c r="Y248" t="s">
        <v>2286</v>
      </c>
      <c r="Z248">
        <v>0</v>
      </c>
      <c r="AA248" t="s">
        <v>14</v>
      </c>
      <c r="AB248" t="s">
        <v>15</v>
      </c>
      <c r="AC248" t="s">
        <v>2287</v>
      </c>
      <c r="AD248" t="s">
        <v>2280</v>
      </c>
      <c r="AE248">
        <v>0</v>
      </c>
      <c r="AF248" t="s">
        <v>18</v>
      </c>
    </row>
    <row r="249" spans="1:32" x14ac:dyDescent="0.3">
      <c r="A249" t="s">
        <v>262</v>
      </c>
      <c r="B249" t="s">
        <v>587</v>
      </c>
      <c r="C249">
        <v>0</v>
      </c>
      <c r="D249" t="s">
        <v>2163</v>
      </c>
      <c r="E249" t="s">
        <v>589</v>
      </c>
      <c r="F249">
        <v>2.5</v>
      </c>
      <c r="G249" t="s">
        <v>27</v>
      </c>
      <c r="H249" t="s">
        <v>1997</v>
      </c>
      <c r="I249" t="s">
        <v>4</v>
      </c>
      <c r="J249">
        <v>376</v>
      </c>
      <c r="K249" t="s">
        <v>5</v>
      </c>
      <c r="L249">
        <v>244</v>
      </c>
      <c r="M249" t="s">
        <v>6</v>
      </c>
      <c r="N249">
        <v>25.450000000000099</v>
      </c>
      <c r="O249" t="s">
        <v>7</v>
      </c>
      <c r="P249">
        <v>6.7686170212766197E-2</v>
      </c>
      <c r="Q249" t="s">
        <v>8</v>
      </c>
      <c r="R249">
        <v>0.83618852459016402</v>
      </c>
      <c r="S249" t="s">
        <v>9</v>
      </c>
      <c r="T249">
        <v>-1.35287878787878</v>
      </c>
      <c r="U249" t="s">
        <v>10</v>
      </c>
      <c r="V249">
        <v>0.62696084903530203</v>
      </c>
      <c r="W249" t="s">
        <v>11</v>
      </c>
      <c r="X249" t="s">
        <v>2282</v>
      </c>
      <c r="Y249" t="s">
        <v>595</v>
      </c>
      <c r="Z249">
        <v>0</v>
      </c>
      <c r="AA249" t="s">
        <v>14</v>
      </c>
      <c r="AB249" t="s">
        <v>15</v>
      </c>
      <c r="AC249" t="s">
        <v>2288</v>
      </c>
      <c r="AD249" t="s">
        <v>2280</v>
      </c>
      <c r="AE249">
        <v>0</v>
      </c>
      <c r="AF249" t="s">
        <v>18</v>
      </c>
    </row>
    <row r="250" spans="1:32" x14ac:dyDescent="0.3">
      <c r="A250" t="s">
        <v>262</v>
      </c>
      <c r="B250" t="s">
        <v>587</v>
      </c>
      <c r="C250">
        <v>0</v>
      </c>
      <c r="D250" t="s">
        <v>2163</v>
      </c>
      <c r="E250" t="s">
        <v>589</v>
      </c>
      <c r="F250">
        <v>2.5</v>
      </c>
      <c r="G250" t="s">
        <v>2174</v>
      </c>
      <c r="H250" t="s">
        <v>1999</v>
      </c>
      <c r="I250" t="s">
        <v>4</v>
      </c>
      <c r="J250">
        <v>370</v>
      </c>
      <c r="K250" t="s">
        <v>5</v>
      </c>
      <c r="L250">
        <v>226</v>
      </c>
      <c r="M250" t="s">
        <v>6</v>
      </c>
      <c r="N250">
        <v>3.1543578501005198</v>
      </c>
      <c r="O250" t="s">
        <v>7</v>
      </c>
      <c r="P250">
        <v>8.5252914867581693E-3</v>
      </c>
      <c r="Q250" t="s">
        <v>8</v>
      </c>
      <c r="R250">
        <v>0.88442114088296697</v>
      </c>
      <c r="S250" t="s">
        <v>9</v>
      </c>
      <c r="T250">
        <v>-1.3661445832600601</v>
      </c>
      <c r="U250" t="s">
        <v>10</v>
      </c>
      <c r="V250">
        <v>0.51726384722812502</v>
      </c>
      <c r="W250" t="s">
        <v>11</v>
      </c>
      <c r="X250" t="s">
        <v>825</v>
      </c>
      <c r="Y250" t="s">
        <v>2289</v>
      </c>
      <c r="Z250">
        <v>0</v>
      </c>
      <c r="AA250" t="s">
        <v>14</v>
      </c>
      <c r="AB250" t="s">
        <v>15</v>
      </c>
      <c r="AC250" t="s">
        <v>688</v>
      </c>
      <c r="AD250" t="s">
        <v>2290</v>
      </c>
      <c r="AE250">
        <v>0</v>
      </c>
      <c r="AF250" t="s">
        <v>18</v>
      </c>
    </row>
    <row r="251" spans="1:32" x14ac:dyDescent="0.3">
      <c r="A251" t="s">
        <v>262</v>
      </c>
      <c r="B251" t="s">
        <v>587</v>
      </c>
      <c r="C251">
        <v>0</v>
      </c>
      <c r="D251" t="s">
        <v>2163</v>
      </c>
      <c r="E251" t="s">
        <v>589</v>
      </c>
      <c r="F251">
        <v>2.5</v>
      </c>
      <c r="G251" t="s">
        <v>2174</v>
      </c>
      <c r="H251" t="s">
        <v>2002</v>
      </c>
      <c r="I251" t="s">
        <v>4</v>
      </c>
      <c r="J251">
        <v>370</v>
      </c>
      <c r="K251" t="s">
        <v>5</v>
      </c>
      <c r="L251">
        <v>248</v>
      </c>
      <c r="M251" t="s">
        <v>6</v>
      </c>
      <c r="N251">
        <v>40.369695916158797</v>
      </c>
      <c r="O251" t="s">
        <v>7</v>
      </c>
      <c r="P251">
        <v>0.109107286259888</v>
      </c>
      <c r="Q251" t="s">
        <v>8</v>
      </c>
      <c r="R251">
        <v>0.89112806736744599</v>
      </c>
      <c r="S251" t="s">
        <v>9</v>
      </c>
      <c r="T251">
        <v>-1.4805743015652999</v>
      </c>
      <c r="U251" t="s">
        <v>10</v>
      </c>
      <c r="V251">
        <v>0.61799619148488405</v>
      </c>
      <c r="W251" t="s">
        <v>11</v>
      </c>
      <c r="X251" t="s">
        <v>2291</v>
      </c>
      <c r="Y251" t="s">
        <v>77</v>
      </c>
      <c r="Z251">
        <v>0</v>
      </c>
      <c r="AA251" t="s">
        <v>14</v>
      </c>
      <c r="AB251" t="s">
        <v>15</v>
      </c>
      <c r="AC251" t="s">
        <v>2292</v>
      </c>
      <c r="AD251" t="s">
        <v>2280</v>
      </c>
      <c r="AE251">
        <v>0</v>
      </c>
      <c r="AF251" t="s">
        <v>18</v>
      </c>
    </row>
    <row r="252" spans="1:32" x14ac:dyDescent="0.3">
      <c r="A252" t="s">
        <v>262</v>
      </c>
      <c r="B252" t="s">
        <v>587</v>
      </c>
      <c r="C252">
        <v>0</v>
      </c>
      <c r="D252" t="s">
        <v>2163</v>
      </c>
      <c r="E252" t="s">
        <v>589</v>
      </c>
      <c r="F252">
        <v>2.5</v>
      </c>
      <c r="G252" t="s">
        <v>2174</v>
      </c>
      <c r="H252" t="s">
        <v>2004</v>
      </c>
      <c r="I252" t="s">
        <v>4</v>
      </c>
      <c r="J252">
        <v>370</v>
      </c>
      <c r="K252" t="s">
        <v>5</v>
      </c>
      <c r="L252">
        <v>253</v>
      </c>
      <c r="M252" t="s">
        <v>6</v>
      </c>
      <c r="N252">
        <v>49.996314955743202</v>
      </c>
      <c r="O252" t="s">
        <v>7</v>
      </c>
      <c r="P252">
        <v>0.13512517555606199</v>
      </c>
      <c r="Q252" t="s">
        <v>8</v>
      </c>
      <c r="R252">
        <v>0.89242547144418904</v>
      </c>
      <c r="S252" t="s">
        <v>9</v>
      </c>
      <c r="T252">
        <v>-1.50245580615074</v>
      </c>
      <c r="U252" t="s">
        <v>10</v>
      </c>
      <c r="V252">
        <v>0.68977670379803102</v>
      </c>
      <c r="W252" t="s">
        <v>11</v>
      </c>
      <c r="X252" t="s">
        <v>2291</v>
      </c>
      <c r="Y252" t="s">
        <v>77</v>
      </c>
      <c r="Z252">
        <v>0</v>
      </c>
      <c r="AA252" t="s">
        <v>14</v>
      </c>
      <c r="AB252" t="s">
        <v>15</v>
      </c>
      <c r="AC252" t="s">
        <v>2293</v>
      </c>
      <c r="AD252" t="s">
        <v>2280</v>
      </c>
      <c r="AE252">
        <v>0</v>
      </c>
      <c r="AF252" t="s">
        <v>18</v>
      </c>
    </row>
    <row r="253" spans="1:32" x14ac:dyDescent="0.3">
      <c r="A253" t="s">
        <v>262</v>
      </c>
      <c r="B253" t="s">
        <v>587</v>
      </c>
      <c r="C253">
        <v>0</v>
      </c>
      <c r="D253" t="s">
        <v>2163</v>
      </c>
      <c r="E253" t="s">
        <v>589</v>
      </c>
      <c r="F253">
        <v>2.5</v>
      </c>
      <c r="G253" t="s">
        <v>2174</v>
      </c>
      <c r="H253" t="s">
        <v>2005</v>
      </c>
      <c r="I253" t="s">
        <v>4</v>
      </c>
      <c r="J253">
        <v>370</v>
      </c>
      <c r="K253" t="s">
        <v>5</v>
      </c>
      <c r="L253">
        <v>254</v>
      </c>
      <c r="M253" t="s">
        <v>6</v>
      </c>
      <c r="N253">
        <v>46.445242574677799</v>
      </c>
      <c r="O253" t="s">
        <v>7</v>
      </c>
      <c r="P253">
        <v>0.125527682634264</v>
      </c>
      <c r="Q253" t="s">
        <v>8</v>
      </c>
      <c r="R253">
        <v>0.890856002680954</v>
      </c>
      <c r="S253" t="s">
        <v>9</v>
      </c>
      <c r="T253">
        <v>-1.55027743195072</v>
      </c>
      <c r="U253" t="s">
        <v>10</v>
      </c>
      <c r="V253">
        <v>0.700471628353183</v>
      </c>
      <c r="W253" t="s">
        <v>11</v>
      </c>
      <c r="X253" t="s">
        <v>2233</v>
      </c>
      <c r="Y253" t="s">
        <v>635</v>
      </c>
      <c r="Z253">
        <v>0</v>
      </c>
      <c r="AA253" t="s">
        <v>14</v>
      </c>
      <c r="AB253" t="s">
        <v>15</v>
      </c>
      <c r="AC253" t="s">
        <v>2293</v>
      </c>
      <c r="AD253" t="s">
        <v>2280</v>
      </c>
      <c r="AE253">
        <v>0</v>
      </c>
      <c r="AF253" t="s">
        <v>18</v>
      </c>
    </row>
    <row r="254" spans="1:32" x14ac:dyDescent="0.3">
      <c r="A254" t="s">
        <v>262</v>
      </c>
      <c r="B254" t="s">
        <v>587</v>
      </c>
      <c r="C254">
        <v>2.5</v>
      </c>
      <c r="D254" t="s">
        <v>2163</v>
      </c>
      <c r="E254" t="s">
        <v>589</v>
      </c>
      <c r="F254">
        <v>5</v>
      </c>
      <c r="G254" t="s">
        <v>2</v>
      </c>
      <c r="H254" t="s">
        <v>1979</v>
      </c>
      <c r="I254" t="s">
        <v>4</v>
      </c>
      <c r="J254">
        <v>375</v>
      </c>
      <c r="K254" t="s">
        <v>5</v>
      </c>
      <c r="L254">
        <v>246</v>
      </c>
      <c r="M254" t="s">
        <v>6</v>
      </c>
      <c r="N254">
        <v>6.8899999999999899</v>
      </c>
      <c r="O254" t="s">
        <v>7</v>
      </c>
      <c r="P254">
        <v>1.8373333333333301E-2</v>
      </c>
      <c r="Q254" t="s">
        <v>8</v>
      </c>
      <c r="R254">
        <v>0.60073170731707304</v>
      </c>
      <c r="S254" t="s">
        <v>9</v>
      </c>
      <c r="T254">
        <v>-1.0921705426356501</v>
      </c>
      <c r="U254" t="s">
        <v>10</v>
      </c>
      <c r="V254">
        <v>0.46254929730400801</v>
      </c>
      <c r="W254" t="s">
        <v>11</v>
      </c>
      <c r="X254" t="s">
        <v>2294</v>
      </c>
      <c r="Y254" t="s">
        <v>1228</v>
      </c>
      <c r="Z254">
        <v>0</v>
      </c>
      <c r="AA254" t="s">
        <v>14</v>
      </c>
      <c r="AB254" t="s">
        <v>15</v>
      </c>
      <c r="AC254" t="s">
        <v>2295</v>
      </c>
      <c r="AD254" t="s">
        <v>2296</v>
      </c>
      <c r="AE254">
        <v>0</v>
      </c>
      <c r="AF254" t="s">
        <v>18</v>
      </c>
    </row>
    <row r="255" spans="1:32" x14ac:dyDescent="0.3">
      <c r="A255" t="s">
        <v>262</v>
      </c>
      <c r="B255" t="s">
        <v>587</v>
      </c>
      <c r="C255">
        <v>2.5</v>
      </c>
      <c r="D255" t="s">
        <v>2163</v>
      </c>
      <c r="E255" t="s">
        <v>589</v>
      </c>
      <c r="F255">
        <v>5</v>
      </c>
      <c r="G255" t="s">
        <v>2</v>
      </c>
      <c r="H255" t="s">
        <v>1982</v>
      </c>
      <c r="I255" t="s">
        <v>4</v>
      </c>
      <c r="J255">
        <v>375</v>
      </c>
      <c r="K255" t="s">
        <v>5</v>
      </c>
      <c r="L255">
        <v>267</v>
      </c>
      <c r="M255" t="s">
        <v>6</v>
      </c>
      <c r="N255">
        <v>-9.81</v>
      </c>
      <c r="O255" t="s">
        <v>7</v>
      </c>
      <c r="P255">
        <v>-2.6159999999999999E-2</v>
      </c>
      <c r="Q255" t="s">
        <v>8</v>
      </c>
      <c r="R255">
        <v>0.60872659176029897</v>
      </c>
      <c r="S255" t="s">
        <v>9</v>
      </c>
      <c r="T255">
        <v>-1.59574074074074</v>
      </c>
      <c r="U255" t="s">
        <v>10</v>
      </c>
      <c r="V255">
        <v>0.58884678011908198</v>
      </c>
      <c r="W255" t="s">
        <v>11</v>
      </c>
      <c r="X255" t="s">
        <v>2181</v>
      </c>
      <c r="Y255" t="s">
        <v>639</v>
      </c>
      <c r="Z255">
        <v>0</v>
      </c>
      <c r="AA255" t="s">
        <v>14</v>
      </c>
      <c r="AB255" t="s">
        <v>15</v>
      </c>
      <c r="AC255" t="s">
        <v>2297</v>
      </c>
      <c r="AD255" t="s">
        <v>158</v>
      </c>
      <c r="AE255">
        <v>0</v>
      </c>
      <c r="AF255" t="s">
        <v>18</v>
      </c>
    </row>
    <row r="256" spans="1:32" x14ac:dyDescent="0.3">
      <c r="A256" t="s">
        <v>262</v>
      </c>
      <c r="B256" t="s">
        <v>587</v>
      </c>
      <c r="C256">
        <v>2.5</v>
      </c>
      <c r="D256" t="s">
        <v>2163</v>
      </c>
      <c r="E256" t="s">
        <v>589</v>
      </c>
      <c r="F256">
        <v>5</v>
      </c>
      <c r="G256" t="s">
        <v>2</v>
      </c>
      <c r="H256" t="s">
        <v>1985</v>
      </c>
      <c r="I256" t="s">
        <v>4</v>
      </c>
      <c r="J256">
        <v>375</v>
      </c>
      <c r="K256" t="s">
        <v>5</v>
      </c>
      <c r="L256">
        <v>268</v>
      </c>
      <c r="M256" t="s">
        <v>6</v>
      </c>
      <c r="N256">
        <v>-10.7899999999999</v>
      </c>
      <c r="O256" t="s">
        <v>7</v>
      </c>
      <c r="P256">
        <v>-2.8773333333333199E-2</v>
      </c>
      <c r="Q256" t="s">
        <v>8</v>
      </c>
      <c r="R256">
        <v>0.60727611940298498</v>
      </c>
      <c r="S256" t="s">
        <v>9</v>
      </c>
      <c r="T256">
        <v>-1.6218691588784999</v>
      </c>
      <c r="U256" t="s">
        <v>10</v>
      </c>
      <c r="V256">
        <v>0.59579282654045695</v>
      </c>
      <c r="W256" t="s">
        <v>11</v>
      </c>
      <c r="X256" t="s">
        <v>2181</v>
      </c>
      <c r="Y256" t="s">
        <v>639</v>
      </c>
      <c r="Z256">
        <v>0</v>
      </c>
      <c r="AA256" t="s">
        <v>14</v>
      </c>
      <c r="AB256" t="s">
        <v>15</v>
      </c>
      <c r="AC256" t="s">
        <v>2297</v>
      </c>
      <c r="AD256" t="s">
        <v>158</v>
      </c>
      <c r="AE256">
        <v>0</v>
      </c>
      <c r="AF256" t="s">
        <v>18</v>
      </c>
    </row>
    <row r="257" spans="1:32" x14ac:dyDescent="0.3">
      <c r="A257" t="s">
        <v>262</v>
      </c>
      <c r="B257" t="s">
        <v>587</v>
      </c>
      <c r="C257">
        <v>2.5</v>
      </c>
      <c r="D257" t="s">
        <v>2163</v>
      </c>
      <c r="E257" t="s">
        <v>589</v>
      </c>
      <c r="F257">
        <v>5</v>
      </c>
      <c r="G257" t="s">
        <v>2</v>
      </c>
      <c r="H257" t="s">
        <v>1988</v>
      </c>
      <c r="I257" t="s">
        <v>4</v>
      </c>
      <c r="J257">
        <v>375</v>
      </c>
      <c r="K257" t="s">
        <v>5</v>
      </c>
      <c r="L257">
        <v>269</v>
      </c>
      <c r="M257" t="s">
        <v>6</v>
      </c>
      <c r="N257">
        <v>-2.3399999999999799</v>
      </c>
      <c r="O257" t="s">
        <v>7</v>
      </c>
      <c r="P257">
        <v>-6.2399999999999496E-3</v>
      </c>
      <c r="Q257" t="s">
        <v>8</v>
      </c>
      <c r="R257">
        <v>0.60617100371747201</v>
      </c>
      <c r="S257" t="s">
        <v>9</v>
      </c>
      <c r="T257">
        <v>-1.56037735849056</v>
      </c>
      <c r="U257" t="s">
        <v>10</v>
      </c>
      <c r="V257">
        <v>0.61779949239343601</v>
      </c>
      <c r="W257" t="s">
        <v>11</v>
      </c>
      <c r="X257" t="s">
        <v>2181</v>
      </c>
      <c r="Y257" t="s">
        <v>639</v>
      </c>
      <c r="Z257">
        <v>0</v>
      </c>
      <c r="AA257" t="s">
        <v>14</v>
      </c>
      <c r="AB257" t="s">
        <v>15</v>
      </c>
      <c r="AC257" t="s">
        <v>2297</v>
      </c>
      <c r="AD257" t="s">
        <v>158</v>
      </c>
      <c r="AE257">
        <v>0</v>
      </c>
      <c r="AF257" t="s">
        <v>18</v>
      </c>
    </row>
    <row r="258" spans="1:32" x14ac:dyDescent="0.3">
      <c r="A258" t="s">
        <v>262</v>
      </c>
      <c r="B258" t="s">
        <v>587</v>
      </c>
      <c r="C258">
        <v>2.5</v>
      </c>
      <c r="D258" t="s">
        <v>2163</v>
      </c>
      <c r="E258" t="s">
        <v>589</v>
      </c>
      <c r="F258">
        <v>5</v>
      </c>
      <c r="G258" t="s">
        <v>27</v>
      </c>
      <c r="H258" t="s">
        <v>1991</v>
      </c>
      <c r="I258" t="s">
        <v>4</v>
      </c>
      <c r="J258">
        <v>376</v>
      </c>
      <c r="K258" t="s">
        <v>5</v>
      </c>
      <c r="L258">
        <v>237</v>
      </c>
      <c r="M258" t="s">
        <v>6</v>
      </c>
      <c r="N258">
        <v>-7.9999999999999201</v>
      </c>
      <c r="O258" t="s">
        <v>7</v>
      </c>
      <c r="P258">
        <v>-2.1276595744680601E-2</v>
      </c>
      <c r="Q258" t="s">
        <v>8</v>
      </c>
      <c r="R258">
        <v>0.65375527426160296</v>
      </c>
      <c r="S258" t="s">
        <v>9</v>
      </c>
      <c r="T258">
        <v>-1.1722302158273299</v>
      </c>
      <c r="U258" t="s">
        <v>10</v>
      </c>
      <c r="V258">
        <v>0.45468781036677902</v>
      </c>
      <c r="W258" t="s">
        <v>11</v>
      </c>
      <c r="X258" t="s">
        <v>2166</v>
      </c>
      <c r="Y258" t="s">
        <v>798</v>
      </c>
      <c r="Z258">
        <v>0</v>
      </c>
      <c r="AA258" t="s">
        <v>14</v>
      </c>
      <c r="AB258" t="s">
        <v>15</v>
      </c>
      <c r="AC258" t="s">
        <v>2298</v>
      </c>
      <c r="AD258" t="s">
        <v>2299</v>
      </c>
      <c r="AE258">
        <v>0</v>
      </c>
      <c r="AF258" t="s">
        <v>18</v>
      </c>
    </row>
    <row r="259" spans="1:32" x14ac:dyDescent="0.3">
      <c r="A259" t="s">
        <v>262</v>
      </c>
      <c r="B259" t="s">
        <v>587</v>
      </c>
      <c r="C259">
        <v>2.5</v>
      </c>
      <c r="D259" t="s">
        <v>2163</v>
      </c>
      <c r="E259" t="s">
        <v>589</v>
      </c>
      <c r="F259">
        <v>5</v>
      </c>
      <c r="G259" t="s">
        <v>27</v>
      </c>
      <c r="H259" t="s">
        <v>1994</v>
      </c>
      <c r="I259" t="s">
        <v>4</v>
      </c>
      <c r="J259">
        <v>376</v>
      </c>
      <c r="K259" t="s">
        <v>5</v>
      </c>
      <c r="L259">
        <v>265</v>
      </c>
      <c r="M259" t="s">
        <v>6</v>
      </c>
      <c r="N259">
        <v>-8.8799999999999102</v>
      </c>
      <c r="O259" t="s">
        <v>7</v>
      </c>
      <c r="P259">
        <v>-2.3617021276595498E-2</v>
      </c>
      <c r="Q259" t="s">
        <v>8</v>
      </c>
      <c r="R259">
        <v>0.67622641509434001</v>
      </c>
      <c r="S259" t="s">
        <v>9</v>
      </c>
      <c r="T259">
        <v>-1.69441441441441</v>
      </c>
      <c r="U259" t="s">
        <v>10</v>
      </c>
      <c r="V259">
        <v>0.57650324000726305</v>
      </c>
      <c r="W259" t="s">
        <v>11</v>
      </c>
      <c r="X259" t="s">
        <v>2181</v>
      </c>
      <c r="Y259" t="s">
        <v>639</v>
      </c>
      <c r="Z259">
        <v>0</v>
      </c>
      <c r="AA259" t="s">
        <v>14</v>
      </c>
      <c r="AB259" t="s">
        <v>15</v>
      </c>
      <c r="AC259" t="s">
        <v>2300</v>
      </c>
      <c r="AD259" t="s">
        <v>158</v>
      </c>
      <c r="AE259">
        <v>0</v>
      </c>
      <c r="AF259" t="s">
        <v>18</v>
      </c>
    </row>
    <row r="260" spans="1:32" x14ac:dyDescent="0.3">
      <c r="A260" t="s">
        <v>262</v>
      </c>
      <c r="B260" t="s">
        <v>587</v>
      </c>
      <c r="C260">
        <v>2.5</v>
      </c>
      <c r="D260" t="s">
        <v>2163</v>
      </c>
      <c r="E260" t="s">
        <v>589</v>
      </c>
      <c r="F260">
        <v>5</v>
      </c>
      <c r="G260" t="s">
        <v>27</v>
      </c>
      <c r="H260" t="s">
        <v>1996</v>
      </c>
      <c r="I260" t="s">
        <v>4</v>
      </c>
      <c r="J260">
        <v>376</v>
      </c>
      <c r="K260" t="s">
        <v>5</v>
      </c>
      <c r="L260">
        <v>266</v>
      </c>
      <c r="M260" t="s">
        <v>6</v>
      </c>
      <c r="N260">
        <v>-5.0099999999999101</v>
      </c>
      <c r="O260" t="s">
        <v>7</v>
      </c>
      <c r="P260">
        <v>-1.33244680851061E-2</v>
      </c>
      <c r="Q260" t="s">
        <v>8</v>
      </c>
      <c r="R260">
        <v>0.677255639097744</v>
      </c>
      <c r="S260" t="s">
        <v>9</v>
      </c>
      <c r="T260">
        <v>-1.6832727272727199</v>
      </c>
      <c r="U260" t="s">
        <v>10</v>
      </c>
      <c r="V260">
        <v>0.579643579575021</v>
      </c>
      <c r="W260" t="s">
        <v>11</v>
      </c>
      <c r="X260" t="s">
        <v>2181</v>
      </c>
      <c r="Y260" t="s">
        <v>639</v>
      </c>
      <c r="Z260">
        <v>0</v>
      </c>
      <c r="AA260" t="s">
        <v>14</v>
      </c>
      <c r="AB260" t="s">
        <v>15</v>
      </c>
      <c r="AC260" t="s">
        <v>2300</v>
      </c>
      <c r="AD260" t="s">
        <v>158</v>
      </c>
      <c r="AE260">
        <v>0</v>
      </c>
      <c r="AF260" t="s">
        <v>18</v>
      </c>
    </row>
    <row r="261" spans="1:32" x14ac:dyDescent="0.3">
      <c r="A261" t="s">
        <v>262</v>
      </c>
      <c r="B261" t="s">
        <v>587</v>
      </c>
      <c r="C261">
        <v>2.5</v>
      </c>
      <c r="D261" t="s">
        <v>2163</v>
      </c>
      <c r="E261" t="s">
        <v>589</v>
      </c>
      <c r="F261">
        <v>5</v>
      </c>
      <c r="G261" t="s">
        <v>27</v>
      </c>
      <c r="H261" t="s">
        <v>1997</v>
      </c>
      <c r="I261" t="s">
        <v>4</v>
      </c>
      <c r="J261">
        <v>376</v>
      </c>
      <c r="K261" t="s">
        <v>5</v>
      </c>
      <c r="L261">
        <v>266</v>
      </c>
      <c r="M261" t="s">
        <v>6</v>
      </c>
      <c r="N261">
        <v>-6.3099999999999001</v>
      </c>
      <c r="O261" t="s">
        <v>7</v>
      </c>
      <c r="P261">
        <v>-1.67819148936167E-2</v>
      </c>
      <c r="Q261" t="s">
        <v>8</v>
      </c>
      <c r="R261">
        <v>0.677255639097744</v>
      </c>
      <c r="S261" t="s">
        <v>9</v>
      </c>
      <c r="T261">
        <v>-1.6950909090909001</v>
      </c>
      <c r="U261" t="s">
        <v>10</v>
      </c>
      <c r="V261">
        <v>0.62227661264412604</v>
      </c>
      <c r="W261" t="s">
        <v>11</v>
      </c>
      <c r="X261" t="s">
        <v>2301</v>
      </c>
      <c r="Y261" t="s">
        <v>77</v>
      </c>
      <c r="Z261">
        <v>0</v>
      </c>
      <c r="AA261" t="s">
        <v>14</v>
      </c>
      <c r="AB261" t="s">
        <v>15</v>
      </c>
      <c r="AC261" t="s">
        <v>2302</v>
      </c>
      <c r="AD261" t="s">
        <v>77</v>
      </c>
      <c r="AE261">
        <v>0</v>
      </c>
      <c r="AF261" t="s">
        <v>18</v>
      </c>
    </row>
    <row r="262" spans="1:32" x14ac:dyDescent="0.3">
      <c r="A262" t="s">
        <v>262</v>
      </c>
      <c r="B262" t="s">
        <v>587</v>
      </c>
      <c r="C262">
        <v>2.5</v>
      </c>
      <c r="D262" t="s">
        <v>2163</v>
      </c>
      <c r="E262" t="s">
        <v>589</v>
      </c>
      <c r="F262">
        <v>5</v>
      </c>
      <c r="G262" t="s">
        <v>2174</v>
      </c>
      <c r="H262" t="s">
        <v>1999</v>
      </c>
      <c r="I262" t="s">
        <v>4</v>
      </c>
      <c r="J262">
        <v>370</v>
      </c>
      <c r="K262" t="s">
        <v>5</v>
      </c>
      <c r="L262">
        <v>215</v>
      </c>
      <c r="M262" t="s">
        <v>6</v>
      </c>
      <c r="N262">
        <v>-44.036894845267</v>
      </c>
      <c r="O262" t="s">
        <v>7</v>
      </c>
      <c r="P262">
        <v>-0.11901863471693699</v>
      </c>
      <c r="Q262" t="s">
        <v>8</v>
      </c>
      <c r="R262">
        <v>0.74615513940579004</v>
      </c>
      <c r="S262" t="s">
        <v>9</v>
      </c>
      <c r="T262">
        <v>-1.3190983859194301</v>
      </c>
      <c r="U262" t="s">
        <v>10</v>
      </c>
      <c r="V262">
        <v>0.46178836877732599</v>
      </c>
      <c r="W262" t="s">
        <v>11</v>
      </c>
      <c r="X262" t="s">
        <v>1463</v>
      </c>
      <c r="Y262" t="s">
        <v>720</v>
      </c>
      <c r="Z262">
        <v>0</v>
      </c>
      <c r="AA262" t="s">
        <v>14</v>
      </c>
      <c r="AB262" t="s">
        <v>15</v>
      </c>
      <c r="AC262" t="s">
        <v>1463</v>
      </c>
      <c r="AD262" t="s">
        <v>720</v>
      </c>
      <c r="AE262">
        <v>0</v>
      </c>
      <c r="AF262" t="s">
        <v>18</v>
      </c>
    </row>
    <row r="263" spans="1:32" x14ac:dyDescent="0.3">
      <c r="A263" t="s">
        <v>262</v>
      </c>
      <c r="B263" t="s">
        <v>587</v>
      </c>
      <c r="C263">
        <v>2.5</v>
      </c>
      <c r="D263" t="s">
        <v>2163</v>
      </c>
      <c r="E263" t="s">
        <v>589</v>
      </c>
      <c r="F263">
        <v>5</v>
      </c>
      <c r="G263" t="s">
        <v>2174</v>
      </c>
      <c r="H263" t="s">
        <v>2002</v>
      </c>
      <c r="I263" t="s">
        <v>4</v>
      </c>
      <c r="J263">
        <v>370</v>
      </c>
      <c r="K263" t="s">
        <v>5</v>
      </c>
      <c r="L263">
        <v>262</v>
      </c>
      <c r="M263" t="s">
        <v>6</v>
      </c>
      <c r="N263">
        <v>22.8526288683167</v>
      </c>
      <c r="O263" t="s">
        <v>7</v>
      </c>
      <c r="P263">
        <v>6.1763861806261498E-2</v>
      </c>
      <c r="Q263" t="s">
        <v>8</v>
      </c>
      <c r="R263">
        <v>0.78585158285226697</v>
      </c>
      <c r="S263" t="s">
        <v>9</v>
      </c>
      <c r="T263">
        <v>-1.69481931332386</v>
      </c>
      <c r="U263" t="s">
        <v>10</v>
      </c>
      <c r="V263">
        <v>0.59367776468090205</v>
      </c>
      <c r="W263" t="s">
        <v>11</v>
      </c>
      <c r="X263" t="s">
        <v>1463</v>
      </c>
      <c r="Y263" t="s">
        <v>720</v>
      </c>
      <c r="Z263">
        <v>0</v>
      </c>
      <c r="AA263" t="s">
        <v>14</v>
      </c>
      <c r="AB263" t="s">
        <v>15</v>
      </c>
      <c r="AC263" t="s">
        <v>2303</v>
      </c>
      <c r="AD263" t="s">
        <v>720</v>
      </c>
      <c r="AE263">
        <v>0</v>
      </c>
      <c r="AF263" t="s">
        <v>18</v>
      </c>
    </row>
    <row r="264" spans="1:32" x14ac:dyDescent="0.3">
      <c r="A264" t="s">
        <v>262</v>
      </c>
      <c r="B264" t="s">
        <v>587</v>
      </c>
      <c r="C264">
        <v>2.5</v>
      </c>
      <c r="D264" t="s">
        <v>2163</v>
      </c>
      <c r="E264" t="s">
        <v>589</v>
      </c>
      <c r="F264">
        <v>5</v>
      </c>
      <c r="G264" t="s">
        <v>2174</v>
      </c>
      <c r="H264" t="s">
        <v>2004</v>
      </c>
      <c r="I264" t="s">
        <v>4</v>
      </c>
      <c r="J264">
        <v>370</v>
      </c>
      <c r="K264" t="s">
        <v>5</v>
      </c>
      <c r="L264">
        <v>268</v>
      </c>
      <c r="M264" t="s">
        <v>6</v>
      </c>
      <c r="N264">
        <v>45.883007600868297</v>
      </c>
      <c r="O264" t="s">
        <v>7</v>
      </c>
      <c r="P264">
        <v>0.124008128650995</v>
      </c>
      <c r="Q264" t="s">
        <v>8</v>
      </c>
      <c r="R264">
        <v>0.80527279518587402</v>
      </c>
      <c r="S264" t="s">
        <v>9</v>
      </c>
      <c r="T264">
        <v>-1.6659813873425999</v>
      </c>
      <c r="U264" t="s">
        <v>10</v>
      </c>
      <c r="V264">
        <v>0.63819771500884703</v>
      </c>
      <c r="W264" t="s">
        <v>11</v>
      </c>
      <c r="X264" t="s">
        <v>1463</v>
      </c>
      <c r="Y264" t="s">
        <v>720</v>
      </c>
      <c r="Z264">
        <v>0</v>
      </c>
      <c r="AA264" t="s">
        <v>14</v>
      </c>
      <c r="AB264" t="s">
        <v>15</v>
      </c>
      <c r="AC264" t="s">
        <v>2303</v>
      </c>
      <c r="AD264" t="s">
        <v>720</v>
      </c>
      <c r="AE264">
        <v>0</v>
      </c>
      <c r="AF264" t="s">
        <v>18</v>
      </c>
    </row>
    <row r="265" spans="1:32" x14ac:dyDescent="0.3">
      <c r="A265" t="s">
        <v>262</v>
      </c>
      <c r="B265" t="s">
        <v>587</v>
      </c>
      <c r="C265">
        <v>2.5</v>
      </c>
      <c r="D265" t="s">
        <v>2163</v>
      </c>
      <c r="E265" t="s">
        <v>589</v>
      </c>
      <c r="F265">
        <v>5</v>
      </c>
      <c r="G265" t="s">
        <v>2174</v>
      </c>
      <c r="H265" t="s">
        <v>2005</v>
      </c>
      <c r="I265" t="s">
        <v>4</v>
      </c>
      <c r="J265">
        <v>370</v>
      </c>
      <c r="K265" t="s">
        <v>5</v>
      </c>
      <c r="L265">
        <v>271</v>
      </c>
      <c r="M265" t="s">
        <v>6</v>
      </c>
      <c r="N265">
        <v>76.527465309467004</v>
      </c>
      <c r="O265" t="s">
        <v>7</v>
      </c>
      <c r="P265">
        <v>0.20683098732288299</v>
      </c>
      <c r="Q265" t="s">
        <v>8</v>
      </c>
      <c r="R265">
        <v>0.86095489670547598</v>
      </c>
      <c r="S265" t="s">
        <v>9</v>
      </c>
      <c r="T265">
        <v>-1.58375062320926</v>
      </c>
      <c r="U265" t="s">
        <v>10</v>
      </c>
      <c r="V265">
        <v>0.70879165710175196</v>
      </c>
      <c r="W265" t="s">
        <v>11</v>
      </c>
      <c r="X265" t="s">
        <v>1463</v>
      </c>
      <c r="Y265" t="s">
        <v>720</v>
      </c>
      <c r="Z265">
        <v>0</v>
      </c>
      <c r="AA265" t="s">
        <v>14</v>
      </c>
      <c r="AB265" t="s">
        <v>15</v>
      </c>
      <c r="AC265" t="s">
        <v>2303</v>
      </c>
      <c r="AD265" t="s">
        <v>720</v>
      </c>
      <c r="AE265">
        <v>0</v>
      </c>
      <c r="AF265" t="s">
        <v>18</v>
      </c>
    </row>
    <row r="266" spans="1:32" x14ac:dyDescent="0.3">
      <c r="A266" t="s">
        <v>262</v>
      </c>
      <c r="B266" t="s">
        <v>587</v>
      </c>
      <c r="C266">
        <v>5</v>
      </c>
      <c r="D266" t="s">
        <v>2163</v>
      </c>
      <c r="E266" t="s">
        <v>589</v>
      </c>
      <c r="F266">
        <v>7.5</v>
      </c>
      <c r="G266" t="s">
        <v>2</v>
      </c>
      <c r="H266" t="s">
        <v>1979</v>
      </c>
      <c r="I266" t="s">
        <v>4</v>
      </c>
      <c r="J266">
        <v>375</v>
      </c>
      <c r="K266" t="s">
        <v>5</v>
      </c>
      <c r="L266">
        <v>247</v>
      </c>
      <c r="M266" t="s">
        <v>6</v>
      </c>
      <c r="N266">
        <v>-5.2300000000000102</v>
      </c>
      <c r="O266" t="s">
        <v>7</v>
      </c>
      <c r="P266">
        <v>-1.39466666666666E-2</v>
      </c>
      <c r="Q266" t="s">
        <v>8</v>
      </c>
      <c r="R266">
        <v>0.416275303643725</v>
      </c>
      <c r="S266" t="s">
        <v>9</v>
      </c>
      <c r="T266">
        <v>-0.84414062499999898</v>
      </c>
      <c r="U266" t="s">
        <v>10</v>
      </c>
      <c r="V266">
        <v>0.32907860383619802</v>
      </c>
      <c r="W266" t="s">
        <v>11</v>
      </c>
      <c r="X266" t="s">
        <v>2246</v>
      </c>
      <c r="Y266" t="s">
        <v>2075</v>
      </c>
      <c r="Z266">
        <v>0</v>
      </c>
      <c r="AA266" t="s">
        <v>14</v>
      </c>
      <c r="AB266" t="s">
        <v>15</v>
      </c>
      <c r="AC266" t="s">
        <v>2304</v>
      </c>
      <c r="AD266" t="s">
        <v>2296</v>
      </c>
      <c r="AE266">
        <v>0</v>
      </c>
      <c r="AF266" t="s">
        <v>18</v>
      </c>
    </row>
    <row r="267" spans="1:32" x14ac:dyDescent="0.3">
      <c r="A267" t="s">
        <v>262</v>
      </c>
      <c r="B267" t="s">
        <v>587</v>
      </c>
      <c r="C267">
        <v>5</v>
      </c>
      <c r="D267" t="s">
        <v>2163</v>
      </c>
      <c r="E267" t="s">
        <v>589</v>
      </c>
      <c r="F267">
        <v>7.5</v>
      </c>
      <c r="G267" t="s">
        <v>2</v>
      </c>
      <c r="H267" t="s">
        <v>1982</v>
      </c>
      <c r="I267" t="s">
        <v>4</v>
      </c>
      <c r="J267">
        <v>375</v>
      </c>
      <c r="K267" t="s">
        <v>5</v>
      </c>
      <c r="L267">
        <v>288</v>
      </c>
      <c r="M267" t="s">
        <v>6</v>
      </c>
      <c r="N267">
        <v>-1.44999999999993</v>
      </c>
      <c r="O267" t="s">
        <v>7</v>
      </c>
      <c r="P267">
        <v>-3.8666666666664802E-3</v>
      </c>
      <c r="Q267" t="s">
        <v>8</v>
      </c>
      <c r="R267">
        <v>0.418298611111111</v>
      </c>
      <c r="S267" t="s">
        <v>9</v>
      </c>
      <c r="T267">
        <v>-1.40137931034482</v>
      </c>
      <c r="U267" t="s">
        <v>10</v>
      </c>
      <c r="V267">
        <v>0.47092638124073899</v>
      </c>
      <c r="W267" t="s">
        <v>11</v>
      </c>
      <c r="X267" t="s">
        <v>2166</v>
      </c>
      <c r="Y267" t="s">
        <v>2167</v>
      </c>
      <c r="Z267">
        <v>0</v>
      </c>
      <c r="AA267" t="s">
        <v>14</v>
      </c>
      <c r="AB267" t="s">
        <v>15</v>
      </c>
      <c r="AC267" t="s">
        <v>2305</v>
      </c>
      <c r="AD267" t="s">
        <v>2269</v>
      </c>
      <c r="AE267">
        <v>0</v>
      </c>
      <c r="AF267" t="s">
        <v>18</v>
      </c>
    </row>
    <row r="268" spans="1:32" x14ac:dyDescent="0.3">
      <c r="A268" t="s">
        <v>262</v>
      </c>
      <c r="B268" t="s">
        <v>587</v>
      </c>
      <c r="C268">
        <v>5</v>
      </c>
      <c r="D268" t="s">
        <v>2163</v>
      </c>
      <c r="E268" t="s">
        <v>589</v>
      </c>
      <c r="F268">
        <v>7.5</v>
      </c>
      <c r="G268" t="s">
        <v>2</v>
      </c>
      <c r="H268" t="s">
        <v>1985</v>
      </c>
      <c r="I268" t="s">
        <v>4</v>
      </c>
      <c r="J268">
        <v>375</v>
      </c>
      <c r="K268" t="s">
        <v>5</v>
      </c>
      <c r="L268">
        <v>293</v>
      </c>
      <c r="M268" t="s">
        <v>6</v>
      </c>
      <c r="N268">
        <v>-7.0399999999998997</v>
      </c>
      <c r="O268" t="s">
        <v>7</v>
      </c>
      <c r="P268">
        <v>-1.8773333333333E-2</v>
      </c>
      <c r="Q268" t="s">
        <v>8</v>
      </c>
      <c r="R268">
        <v>0.416928327645051</v>
      </c>
      <c r="S268" t="s">
        <v>9</v>
      </c>
      <c r="T268">
        <v>-1.5756097560975599</v>
      </c>
      <c r="U268" t="s">
        <v>10</v>
      </c>
      <c r="V268">
        <v>0.49405936231262398</v>
      </c>
      <c r="W268" t="s">
        <v>11</v>
      </c>
      <c r="X268" t="s">
        <v>2166</v>
      </c>
      <c r="Y268" t="s">
        <v>2167</v>
      </c>
      <c r="Z268">
        <v>0</v>
      </c>
      <c r="AA268" t="s">
        <v>14</v>
      </c>
      <c r="AB268" t="s">
        <v>15</v>
      </c>
      <c r="AC268" t="s">
        <v>2305</v>
      </c>
      <c r="AD268" t="s">
        <v>2269</v>
      </c>
      <c r="AE268">
        <v>0</v>
      </c>
      <c r="AF268" t="s">
        <v>18</v>
      </c>
    </row>
    <row r="269" spans="1:32" x14ac:dyDescent="0.3">
      <c r="A269" t="s">
        <v>262</v>
      </c>
      <c r="B269" t="s">
        <v>587</v>
      </c>
      <c r="C269">
        <v>5</v>
      </c>
      <c r="D269" t="s">
        <v>2163</v>
      </c>
      <c r="E269" t="s">
        <v>589</v>
      </c>
      <c r="F269">
        <v>7.5</v>
      </c>
      <c r="G269" t="s">
        <v>2</v>
      </c>
      <c r="H269" t="s">
        <v>1988</v>
      </c>
      <c r="I269" t="s">
        <v>4</v>
      </c>
      <c r="J269">
        <v>375</v>
      </c>
      <c r="K269" t="s">
        <v>5</v>
      </c>
      <c r="L269">
        <v>293</v>
      </c>
      <c r="M269" t="s">
        <v>6</v>
      </c>
      <c r="N269">
        <v>-7.5999999999998797</v>
      </c>
      <c r="O269" t="s">
        <v>7</v>
      </c>
      <c r="P269">
        <v>-2.0266666666666301E-2</v>
      </c>
      <c r="Q269" t="s">
        <v>8</v>
      </c>
      <c r="R269">
        <v>0.416928327645051</v>
      </c>
      <c r="S269" t="s">
        <v>9</v>
      </c>
      <c r="T269">
        <v>-1.58243902439024</v>
      </c>
      <c r="U269" t="s">
        <v>10</v>
      </c>
      <c r="V269">
        <v>0.500946151778215</v>
      </c>
      <c r="W269" t="s">
        <v>11</v>
      </c>
      <c r="X269" t="s">
        <v>2166</v>
      </c>
      <c r="Y269" t="s">
        <v>2167</v>
      </c>
      <c r="Z269">
        <v>0</v>
      </c>
      <c r="AA269" t="s">
        <v>14</v>
      </c>
      <c r="AB269" t="s">
        <v>15</v>
      </c>
      <c r="AC269" t="s">
        <v>2305</v>
      </c>
      <c r="AD269" t="s">
        <v>2269</v>
      </c>
      <c r="AE269">
        <v>0</v>
      </c>
      <c r="AF269" t="s">
        <v>18</v>
      </c>
    </row>
    <row r="270" spans="1:32" x14ac:dyDescent="0.3">
      <c r="A270" t="s">
        <v>262</v>
      </c>
      <c r="B270" t="s">
        <v>587</v>
      </c>
      <c r="C270">
        <v>5</v>
      </c>
      <c r="D270" t="s">
        <v>2163</v>
      </c>
      <c r="E270" t="s">
        <v>589</v>
      </c>
      <c r="F270">
        <v>7.5</v>
      </c>
      <c r="G270" t="s">
        <v>27</v>
      </c>
      <c r="H270" t="s">
        <v>1991</v>
      </c>
      <c r="I270" t="s">
        <v>4</v>
      </c>
      <c r="J270">
        <v>376</v>
      </c>
      <c r="K270" t="s">
        <v>5</v>
      </c>
      <c r="L270">
        <v>240</v>
      </c>
      <c r="M270" t="s">
        <v>6</v>
      </c>
      <c r="N270">
        <v>-8.01</v>
      </c>
      <c r="O270" t="s">
        <v>7</v>
      </c>
      <c r="P270">
        <v>-2.13031914893617E-2</v>
      </c>
      <c r="Q270" t="s">
        <v>8</v>
      </c>
      <c r="R270">
        <v>0.52925</v>
      </c>
      <c r="S270" t="s">
        <v>9</v>
      </c>
      <c r="T270">
        <v>-0.99286764705882302</v>
      </c>
      <c r="U270" t="s">
        <v>10</v>
      </c>
      <c r="V270">
        <v>0.371260191277833</v>
      </c>
      <c r="W270" t="s">
        <v>11</v>
      </c>
      <c r="X270" t="s">
        <v>2170</v>
      </c>
      <c r="Y270" t="s">
        <v>2171</v>
      </c>
      <c r="Z270">
        <v>0</v>
      </c>
      <c r="AA270" t="s">
        <v>14</v>
      </c>
      <c r="AB270" t="s">
        <v>15</v>
      </c>
      <c r="AC270" t="s">
        <v>2306</v>
      </c>
      <c r="AD270" t="s">
        <v>2171</v>
      </c>
      <c r="AE270">
        <v>0</v>
      </c>
      <c r="AF270" t="s">
        <v>18</v>
      </c>
    </row>
    <row r="271" spans="1:32" x14ac:dyDescent="0.3">
      <c r="A271" t="s">
        <v>262</v>
      </c>
      <c r="B271" t="s">
        <v>587</v>
      </c>
      <c r="C271">
        <v>5</v>
      </c>
      <c r="D271" t="s">
        <v>2163</v>
      </c>
      <c r="E271" t="s">
        <v>589</v>
      </c>
      <c r="F271">
        <v>7.5</v>
      </c>
      <c r="G271" t="s">
        <v>27</v>
      </c>
      <c r="H271" t="s">
        <v>1994</v>
      </c>
      <c r="I271" t="s">
        <v>4</v>
      </c>
      <c r="J271">
        <v>376</v>
      </c>
      <c r="K271" t="s">
        <v>5</v>
      </c>
      <c r="L271">
        <v>286</v>
      </c>
      <c r="M271" t="s">
        <v>6</v>
      </c>
      <c r="N271">
        <v>11.19</v>
      </c>
      <c r="O271" t="s">
        <v>7</v>
      </c>
      <c r="P271">
        <v>2.9760638297872399E-2</v>
      </c>
      <c r="Q271" t="s">
        <v>8</v>
      </c>
      <c r="R271">
        <v>0.53097902097902105</v>
      </c>
      <c r="S271" t="s">
        <v>9</v>
      </c>
      <c r="T271">
        <v>-1.56299999999999</v>
      </c>
      <c r="U271" t="s">
        <v>10</v>
      </c>
      <c r="V271">
        <v>0.49768971616948399</v>
      </c>
      <c r="W271" t="s">
        <v>11</v>
      </c>
      <c r="X271" t="s">
        <v>2170</v>
      </c>
      <c r="Y271" t="s">
        <v>2171</v>
      </c>
      <c r="Z271">
        <v>0</v>
      </c>
      <c r="AA271" t="s">
        <v>14</v>
      </c>
      <c r="AB271" t="s">
        <v>15</v>
      </c>
      <c r="AC271" t="s">
        <v>242</v>
      </c>
      <c r="AD271" t="s">
        <v>2269</v>
      </c>
      <c r="AE271">
        <v>0</v>
      </c>
      <c r="AF271" t="s">
        <v>18</v>
      </c>
    </row>
    <row r="272" spans="1:32" x14ac:dyDescent="0.3">
      <c r="A272" t="s">
        <v>262</v>
      </c>
      <c r="B272" t="s">
        <v>587</v>
      </c>
      <c r="C272">
        <v>5</v>
      </c>
      <c r="D272" t="s">
        <v>2163</v>
      </c>
      <c r="E272" t="s">
        <v>589</v>
      </c>
      <c r="F272">
        <v>7.5</v>
      </c>
      <c r="G272" t="s">
        <v>27</v>
      </c>
      <c r="H272" t="s">
        <v>1996</v>
      </c>
      <c r="I272" t="s">
        <v>4</v>
      </c>
      <c r="J272">
        <v>376</v>
      </c>
      <c r="K272" t="s">
        <v>5</v>
      </c>
      <c r="L272">
        <v>289</v>
      </c>
      <c r="M272" t="s">
        <v>6</v>
      </c>
      <c r="N272">
        <v>4.0500000000000398</v>
      </c>
      <c r="O272" t="s">
        <v>7</v>
      </c>
      <c r="P272">
        <v>1.07712765957448E-2</v>
      </c>
      <c r="Q272" t="s">
        <v>8</v>
      </c>
      <c r="R272">
        <v>0.53058823529411703</v>
      </c>
      <c r="S272" t="s">
        <v>9</v>
      </c>
      <c r="T272">
        <v>-1.7159770114942501</v>
      </c>
      <c r="U272" t="s">
        <v>10</v>
      </c>
      <c r="V272">
        <v>0.514041446541046</v>
      </c>
      <c r="W272" t="s">
        <v>11</v>
      </c>
      <c r="X272" t="s">
        <v>2170</v>
      </c>
      <c r="Y272" t="s">
        <v>2171</v>
      </c>
      <c r="Z272">
        <v>0</v>
      </c>
      <c r="AA272" t="s">
        <v>14</v>
      </c>
      <c r="AB272" t="s">
        <v>15</v>
      </c>
      <c r="AC272" t="s">
        <v>242</v>
      </c>
      <c r="AD272" t="s">
        <v>2269</v>
      </c>
      <c r="AE272">
        <v>0</v>
      </c>
      <c r="AF272" t="s">
        <v>18</v>
      </c>
    </row>
    <row r="273" spans="1:32" x14ac:dyDescent="0.3">
      <c r="A273" t="s">
        <v>262</v>
      </c>
      <c r="B273" t="s">
        <v>587</v>
      </c>
      <c r="C273">
        <v>5</v>
      </c>
      <c r="D273" t="s">
        <v>2163</v>
      </c>
      <c r="E273" t="s">
        <v>589</v>
      </c>
      <c r="F273">
        <v>7.5</v>
      </c>
      <c r="G273" t="s">
        <v>27</v>
      </c>
      <c r="H273" t="s">
        <v>1997</v>
      </c>
      <c r="I273" t="s">
        <v>4</v>
      </c>
      <c r="J273">
        <v>376</v>
      </c>
      <c r="K273" t="s">
        <v>5</v>
      </c>
      <c r="L273">
        <v>290</v>
      </c>
      <c r="M273" t="s">
        <v>6</v>
      </c>
      <c r="N273">
        <v>7.9374413465668603</v>
      </c>
      <c r="O273" t="s">
        <v>7</v>
      </c>
      <c r="P273">
        <v>2.11102163472522E-2</v>
      </c>
      <c r="Q273" t="s">
        <v>8</v>
      </c>
      <c r="R273">
        <v>0.53227586206896504</v>
      </c>
      <c r="S273" t="s">
        <v>9</v>
      </c>
      <c r="T273">
        <v>-1.70258789131898</v>
      </c>
      <c r="U273" t="s">
        <v>10</v>
      </c>
      <c r="V273">
        <v>0.53428860725591898</v>
      </c>
      <c r="W273" t="s">
        <v>11</v>
      </c>
      <c r="X273" t="s">
        <v>2220</v>
      </c>
      <c r="Y273" t="s">
        <v>2221</v>
      </c>
      <c r="Z273">
        <v>0</v>
      </c>
      <c r="AA273" t="s">
        <v>14</v>
      </c>
      <c r="AB273" t="s">
        <v>15</v>
      </c>
      <c r="AC273" t="s">
        <v>2307</v>
      </c>
      <c r="AD273" t="s">
        <v>2221</v>
      </c>
      <c r="AE273">
        <v>0</v>
      </c>
      <c r="AF273" t="s">
        <v>18</v>
      </c>
    </row>
    <row r="274" spans="1:32" x14ac:dyDescent="0.3">
      <c r="A274" t="s">
        <v>262</v>
      </c>
      <c r="B274" t="s">
        <v>587</v>
      </c>
      <c r="C274">
        <v>5</v>
      </c>
      <c r="D274" t="s">
        <v>2163</v>
      </c>
      <c r="E274" t="s">
        <v>589</v>
      </c>
      <c r="F274">
        <v>7.5</v>
      </c>
      <c r="G274" t="s">
        <v>2174</v>
      </c>
      <c r="H274" t="s">
        <v>1999</v>
      </c>
      <c r="I274" t="s">
        <v>4</v>
      </c>
      <c r="J274">
        <v>370</v>
      </c>
      <c r="K274" t="s">
        <v>5</v>
      </c>
      <c r="L274">
        <v>236</v>
      </c>
      <c r="M274" t="s">
        <v>6</v>
      </c>
      <c r="N274">
        <v>10.4287271511316</v>
      </c>
      <c r="O274" t="s">
        <v>7</v>
      </c>
      <c r="P274">
        <v>2.8185749057112401E-2</v>
      </c>
      <c r="Q274" t="s">
        <v>8</v>
      </c>
      <c r="R274">
        <v>0.66481007448616403</v>
      </c>
      <c r="S274" t="s">
        <v>9</v>
      </c>
      <c r="T274">
        <v>-1.09303321214629</v>
      </c>
      <c r="U274" t="s">
        <v>10</v>
      </c>
      <c r="V274">
        <v>0.407197296715201</v>
      </c>
      <c r="W274" t="s">
        <v>11</v>
      </c>
      <c r="X274" t="s">
        <v>2308</v>
      </c>
      <c r="Y274" t="s">
        <v>2309</v>
      </c>
      <c r="Z274">
        <v>0</v>
      </c>
      <c r="AA274" t="s">
        <v>14</v>
      </c>
      <c r="AB274" t="s">
        <v>15</v>
      </c>
      <c r="AC274" t="s">
        <v>2310</v>
      </c>
      <c r="AD274" t="s">
        <v>718</v>
      </c>
      <c r="AE274">
        <v>0</v>
      </c>
      <c r="AF274" t="s">
        <v>18</v>
      </c>
    </row>
    <row r="275" spans="1:32" x14ac:dyDescent="0.3">
      <c r="A275" t="s">
        <v>262</v>
      </c>
      <c r="B275" t="s">
        <v>587</v>
      </c>
      <c r="C275">
        <v>5</v>
      </c>
      <c r="D275" t="s">
        <v>2163</v>
      </c>
      <c r="E275" t="s">
        <v>589</v>
      </c>
      <c r="F275">
        <v>7.5</v>
      </c>
      <c r="G275" t="s">
        <v>2174</v>
      </c>
      <c r="H275" t="s">
        <v>2002</v>
      </c>
      <c r="I275" t="s">
        <v>4</v>
      </c>
      <c r="J275">
        <v>370</v>
      </c>
      <c r="K275" t="s">
        <v>5</v>
      </c>
      <c r="L275">
        <v>286</v>
      </c>
      <c r="M275" t="s">
        <v>6</v>
      </c>
      <c r="N275">
        <v>51.778727151131598</v>
      </c>
      <c r="O275" t="s">
        <v>7</v>
      </c>
      <c r="P275">
        <v>0.13994250581386899</v>
      </c>
      <c r="Q275" t="s">
        <v>8</v>
      </c>
      <c r="R275">
        <v>0.67126199047303303</v>
      </c>
      <c r="S275" t="s">
        <v>9</v>
      </c>
      <c r="T275">
        <v>-1.6690738348113801</v>
      </c>
      <c r="U275" t="s">
        <v>10</v>
      </c>
      <c r="V275">
        <v>0.52556551678255803</v>
      </c>
      <c r="W275" t="s">
        <v>11</v>
      </c>
      <c r="X275" t="s">
        <v>2308</v>
      </c>
      <c r="Y275" t="s">
        <v>2309</v>
      </c>
      <c r="Z275">
        <v>0</v>
      </c>
      <c r="AA275" t="s">
        <v>14</v>
      </c>
      <c r="AB275" t="s">
        <v>15</v>
      </c>
      <c r="AC275" t="s">
        <v>2310</v>
      </c>
      <c r="AD275" t="s">
        <v>718</v>
      </c>
      <c r="AE275">
        <v>0</v>
      </c>
      <c r="AF275" t="s">
        <v>18</v>
      </c>
    </row>
    <row r="276" spans="1:32" x14ac:dyDescent="0.3">
      <c r="A276" t="s">
        <v>262</v>
      </c>
      <c r="B276" t="s">
        <v>587</v>
      </c>
      <c r="C276">
        <v>5</v>
      </c>
      <c r="D276" t="s">
        <v>2163</v>
      </c>
      <c r="E276" t="s">
        <v>589</v>
      </c>
      <c r="F276">
        <v>7.5</v>
      </c>
      <c r="G276" t="s">
        <v>2174</v>
      </c>
      <c r="H276" t="s">
        <v>2004</v>
      </c>
      <c r="I276" t="s">
        <v>4</v>
      </c>
      <c r="J276">
        <v>370</v>
      </c>
      <c r="K276" t="s">
        <v>5</v>
      </c>
      <c r="L276">
        <v>292</v>
      </c>
      <c r="M276" t="s">
        <v>6</v>
      </c>
      <c r="N276">
        <v>55.924843582878303</v>
      </c>
      <c r="O276" t="s">
        <v>7</v>
      </c>
      <c r="P276">
        <v>0.151148225899671</v>
      </c>
      <c r="Q276" t="s">
        <v>8</v>
      </c>
      <c r="R276">
        <v>0.66924975779207996</v>
      </c>
      <c r="S276" t="s">
        <v>9</v>
      </c>
      <c r="T276">
        <v>-1.78841135503088</v>
      </c>
      <c r="U276" t="s">
        <v>10</v>
      </c>
      <c r="V276">
        <v>0.56933343642699397</v>
      </c>
      <c r="W276" t="s">
        <v>11</v>
      </c>
      <c r="X276" t="s">
        <v>2265</v>
      </c>
      <c r="Y276" t="s">
        <v>2186</v>
      </c>
      <c r="Z276">
        <v>0</v>
      </c>
      <c r="AA276" t="s">
        <v>14</v>
      </c>
      <c r="AB276" t="s">
        <v>15</v>
      </c>
      <c r="AC276" t="s">
        <v>2311</v>
      </c>
      <c r="AD276" t="s">
        <v>158</v>
      </c>
      <c r="AE276">
        <v>0</v>
      </c>
      <c r="AF276" t="s">
        <v>18</v>
      </c>
    </row>
    <row r="277" spans="1:32" x14ac:dyDescent="0.3">
      <c r="A277" t="s">
        <v>262</v>
      </c>
      <c r="B277" t="s">
        <v>587</v>
      </c>
      <c r="C277">
        <v>5</v>
      </c>
      <c r="D277" t="s">
        <v>2163</v>
      </c>
      <c r="E277" t="s">
        <v>589</v>
      </c>
      <c r="F277">
        <v>7.5</v>
      </c>
      <c r="G277" t="s">
        <v>2174</v>
      </c>
      <c r="H277" t="s">
        <v>2005</v>
      </c>
      <c r="I277" t="s">
        <v>4</v>
      </c>
      <c r="J277">
        <v>370</v>
      </c>
      <c r="K277" t="s">
        <v>5</v>
      </c>
      <c r="L277">
        <v>297</v>
      </c>
      <c r="M277" t="s">
        <v>6</v>
      </c>
      <c r="N277">
        <v>57.494865170546902</v>
      </c>
      <c r="O277" t="s">
        <v>7</v>
      </c>
      <c r="P277">
        <v>0.155391527487964</v>
      </c>
      <c r="Q277" t="s">
        <v>8</v>
      </c>
      <c r="R277">
        <v>0.665760704630597</v>
      </c>
      <c r="S277" t="s">
        <v>9</v>
      </c>
      <c r="T277">
        <v>-1.92104197403754</v>
      </c>
      <c r="U277" t="s">
        <v>10</v>
      </c>
      <c r="V277">
        <v>0.63427583959432599</v>
      </c>
      <c r="W277" t="s">
        <v>11</v>
      </c>
      <c r="X277" t="s">
        <v>2233</v>
      </c>
      <c r="Y277" t="s">
        <v>635</v>
      </c>
      <c r="Z277">
        <v>0</v>
      </c>
      <c r="AA277" t="s">
        <v>14</v>
      </c>
      <c r="AB277" t="s">
        <v>15</v>
      </c>
      <c r="AC277" t="s">
        <v>2312</v>
      </c>
      <c r="AD277" t="s">
        <v>2221</v>
      </c>
      <c r="AE277">
        <v>0</v>
      </c>
      <c r="AF277" t="s">
        <v>18</v>
      </c>
    </row>
    <row r="278" spans="1:32" x14ac:dyDescent="0.3">
      <c r="A278" t="s">
        <v>262</v>
      </c>
      <c r="B278" t="s">
        <v>587</v>
      </c>
      <c r="C278">
        <v>7.5</v>
      </c>
      <c r="D278" t="s">
        <v>2163</v>
      </c>
      <c r="E278" t="s">
        <v>589</v>
      </c>
      <c r="F278">
        <v>10</v>
      </c>
      <c r="G278" t="s">
        <v>2</v>
      </c>
      <c r="H278" t="s">
        <v>1979</v>
      </c>
      <c r="I278" t="s">
        <v>4</v>
      </c>
      <c r="J278">
        <v>375</v>
      </c>
      <c r="K278" t="s">
        <v>5</v>
      </c>
      <c r="L278">
        <v>254</v>
      </c>
      <c r="M278" t="s">
        <v>6</v>
      </c>
      <c r="N278">
        <v>-3.6499999999999901</v>
      </c>
      <c r="O278" t="s">
        <v>7</v>
      </c>
      <c r="P278">
        <v>-9.7333333333333091E-3</v>
      </c>
      <c r="Q278" t="s">
        <v>8</v>
      </c>
      <c r="R278">
        <v>0.27153543307086597</v>
      </c>
      <c r="S278" t="s">
        <v>9</v>
      </c>
      <c r="T278">
        <v>-0.60016528925619805</v>
      </c>
      <c r="U278" t="s">
        <v>10</v>
      </c>
      <c r="V278">
        <v>0.24908419972804299</v>
      </c>
      <c r="W278" t="s">
        <v>11</v>
      </c>
      <c r="X278" t="s">
        <v>2196</v>
      </c>
      <c r="Y278" t="s">
        <v>720</v>
      </c>
      <c r="Z278">
        <v>0</v>
      </c>
      <c r="AA278" t="s">
        <v>14</v>
      </c>
      <c r="AB278" t="s">
        <v>15</v>
      </c>
      <c r="AC278" t="s">
        <v>2313</v>
      </c>
      <c r="AD278" t="s">
        <v>2123</v>
      </c>
      <c r="AE278">
        <v>0</v>
      </c>
      <c r="AF278" t="s">
        <v>18</v>
      </c>
    </row>
    <row r="279" spans="1:32" x14ac:dyDescent="0.3">
      <c r="A279" t="s">
        <v>262</v>
      </c>
      <c r="B279" t="s">
        <v>587</v>
      </c>
      <c r="C279">
        <v>7.5</v>
      </c>
      <c r="D279" t="s">
        <v>2163</v>
      </c>
      <c r="E279" t="s">
        <v>589</v>
      </c>
      <c r="F279">
        <v>10</v>
      </c>
      <c r="G279" t="s">
        <v>2</v>
      </c>
      <c r="H279" t="s">
        <v>1982</v>
      </c>
      <c r="I279" t="s">
        <v>4</v>
      </c>
      <c r="J279">
        <v>375</v>
      </c>
      <c r="K279" t="s">
        <v>5</v>
      </c>
      <c r="L279">
        <v>290</v>
      </c>
      <c r="M279" t="s">
        <v>6</v>
      </c>
      <c r="N279">
        <v>-9.1999999999999407</v>
      </c>
      <c r="O279" t="s">
        <v>7</v>
      </c>
      <c r="P279">
        <v>-2.4533333333333102E-2</v>
      </c>
      <c r="Q279" t="s">
        <v>8</v>
      </c>
      <c r="R279">
        <v>0.28562068965517201</v>
      </c>
      <c r="S279" t="s">
        <v>9</v>
      </c>
      <c r="T279">
        <v>-1.0827058823529401</v>
      </c>
      <c r="U279" t="s">
        <v>10</v>
      </c>
      <c r="V279">
        <v>0.41273177219831603</v>
      </c>
      <c r="W279" t="s">
        <v>11</v>
      </c>
      <c r="X279" t="s">
        <v>2314</v>
      </c>
      <c r="Y279" t="s">
        <v>1478</v>
      </c>
      <c r="Z279">
        <v>0</v>
      </c>
      <c r="AA279" t="s">
        <v>14</v>
      </c>
      <c r="AB279" t="s">
        <v>15</v>
      </c>
      <c r="AC279" t="s">
        <v>2315</v>
      </c>
      <c r="AD279" t="s">
        <v>2269</v>
      </c>
      <c r="AE279">
        <v>0</v>
      </c>
      <c r="AF279" t="s">
        <v>18</v>
      </c>
    </row>
    <row r="280" spans="1:32" x14ac:dyDescent="0.3">
      <c r="A280" t="s">
        <v>262</v>
      </c>
      <c r="B280" t="s">
        <v>587</v>
      </c>
      <c r="C280">
        <v>7.5</v>
      </c>
      <c r="D280" t="s">
        <v>2163</v>
      </c>
      <c r="E280" t="s">
        <v>589</v>
      </c>
      <c r="F280">
        <v>10</v>
      </c>
      <c r="G280" t="s">
        <v>2</v>
      </c>
      <c r="H280" t="s">
        <v>1985</v>
      </c>
      <c r="I280" t="s">
        <v>4</v>
      </c>
      <c r="J280">
        <v>375</v>
      </c>
      <c r="K280" t="s">
        <v>5</v>
      </c>
      <c r="L280">
        <v>306</v>
      </c>
      <c r="M280" t="s">
        <v>6</v>
      </c>
      <c r="N280">
        <v>-11.2699999999999</v>
      </c>
      <c r="O280" t="s">
        <v>7</v>
      </c>
      <c r="P280">
        <v>-3.0053333333333002E-2</v>
      </c>
      <c r="Q280" t="s">
        <v>8</v>
      </c>
      <c r="R280">
        <v>0.28271241830065302</v>
      </c>
      <c r="S280" t="s">
        <v>9</v>
      </c>
      <c r="T280">
        <v>-1.41710144927536</v>
      </c>
      <c r="U280" t="s">
        <v>10</v>
      </c>
      <c r="V280">
        <v>0.44516789181768102</v>
      </c>
      <c r="W280" t="s">
        <v>11</v>
      </c>
      <c r="X280" t="s">
        <v>2314</v>
      </c>
      <c r="Y280" t="s">
        <v>1478</v>
      </c>
      <c r="Z280">
        <v>0</v>
      </c>
      <c r="AA280" t="s">
        <v>14</v>
      </c>
      <c r="AB280" t="s">
        <v>15</v>
      </c>
      <c r="AC280" t="s">
        <v>2315</v>
      </c>
      <c r="AD280" t="s">
        <v>2269</v>
      </c>
      <c r="AE280">
        <v>0</v>
      </c>
      <c r="AF280" t="s">
        <v>18</v>
      </c>
    </row>
    <row r="281" spans="1:32" x14ac:dyDescent="0.3">
      <c r="A281" t="s">
        <v>262</v>
      </c>
      <c r="B281" t="s">
        <v>587</v>
      </c>
      <c r="C281">
        <v>7.5</v>
      </c>
      <c r="D281" t="s">
        <v>2163</v>
      </c>
      <c r="E281" t="s">
        <v>589</v>
      </c>
      <c r="F281">
        <v>10</v>
      </c>
      <c r="G281" t="s">
        <v>2</v>
      </c>
      <c r="H281" t="s">
        <v>1988</v>
      </c>
      <c r="I281" t="s">
        <v>4</v>
      </c>
      <c r="J281">
        <v>375</v>
      </c>
      <c r="K281" t="s">
        <v>5</v>
      </c>
      <c r="L281">
        <v>310</v>
      </c>
      <c r="M281" t="s">
        <v>6</v>
      </c>
      <c r="N281">
        <v>-12.8799999999998</v>
      </c>
      <c r="O281" t="s">
        <v>7</v>
      </c>
      <c r="P281">
        <v>-3.4346666666666303E-2</v>
      </c>
      <c r="Q281" t="s">
        <v>8</v>
      </c>
      <c r="R281">
        <v>0.28119354838709598</v>
      </c>
      <c r="S281" t="s">
        <v>9</v>
      </c>
      <c r="T281">
        <v>-1.5392307692307601</v>
      </c>
      <c r="U281" t="s">
        <v>10</v>
      </c>
      <c r="V281">
        <v>0.46427573722357501</v>
      </c>
      <c r="W281" t="s">
        <v>11</v>
      </c>
      <c r="X281" t="s">
        <v>2314</v>
      </c>
      <c r="Y281" t="s">
        <v>1478</v>
      </c>
      <c r="Z281">
        <v>0</v>
      </c>
      <c r="AA281" t="s">
        <v>14</v>
      </c>
      <c r="AB281" t="s">
        <v>15</v>
      </c>
      <c r="AC281" t="s">
        <v>2315</v>
      </c>
      <c r="AD281" t="s">
        <v>2269</v>
      </c>
      <c r="AE281">
        <v>0</v>
      </c>
      <c r="AF281" t="s">
        <v>18</v>
      </c>
    </row>
    <row r="282" spans="1:32" x14ac:dyDescent="0.3">
      <c r="A282" t="s">
        <v>262</v>
      </c>
      <c r="B282" t="s">
        <v>587</v>
      </c>
      <c r="C282">
        <v>7.5</v>
      </c>
      <c r="D282" t="s">
        <v>2163</v>
      </c>
      <c r="E282" t="s">
        <v>589</v>
      </c>
      <c r="F282">
        <v>10</v>
      </c>
      <c r="G282" t="s">
        <v>27</v>
      </c>
      <c r="H282" t="s">
        <v>1991</v>
      </c>
      <c r="I282" t="s">
        <v>4</v>
      </c>
      <c r="J282">
        <v>376</v>
      </c>
      <c r="K282" t="s">
        <v>5</v>
      </c>
      <c r="L282">
        <v>246</v>
      </c>
      <c r="M282" t="s">
        <v>6</v>
      </c>
      <c r="N282">
        <v>-9.1899999999999693</v>
      </c>
      <c r="O282" t="s">
        <v>7</v>
      </c>
      <c r="P282">
        <v>-2.4441489361701998E-2</v>
      </c>
      <c r="Q282" t="s">
        <v>8</v>
      </c>
      <c r="R282">
        <v>0.38166666666666599</v>
      </c>
      <c r="S282" t="s">
        <v>9</v>
      </c>
      <c r="T282">
        <v>-0.79292307692307695</v>
      </c>
      <c r="U282" t="s">
        <v>10</v>
      </c>
      <c r="V282">
        <v>0.30505179285022599</v>
      </c>
      <c r="W282" t="s">
        <v>11</v>
      </c>
      <c r="X282" t="s">
        <v>2164</v>
      </c>
      <c r="Y282" t="s">
        <v>1278</v>
      </c>
      <c r="Z282">
        <v>0</v>
      </c>
      <c r="AA282" t="s">
        <v>14</v>
      </c>
      <c r="AB282" t="s">
        <v>15</v>
      </c>
      <c r="AC282" t="s">
        <v>2313</v>
      </c>
      <c r="AD282" t="s">
        <v>2123</v>
      </c>
      <c r="AE282">
        <v>0</v>
      </c>
      <c r="AF282" t="s">
        <v>18</v>
      </c>
    </row>
    <row r="283" spans="1:32" x14ac:dyDescent="0.3">
      <c r="A283" t="s">
        <v>262</v>
      </c>
      <c r="B283" t="s">
        <v>587</v>
      </c>
      <c r="C283">
        <v>7.5</v>
      </c>
      <c r="D283" t="s">
        <v>2163</v>
      </c>
      <c r="E283" t="s">
        <v>589</v>
      </c>
      <c r="F283">
        <v>10</v>
      </c>
      <c r="G283" t="s">
        <v>27</v>
      </c>
      <c r="H283" t="s">
        <v>1994</v>
      </c>
      <c r="I283" t="s">
        <v>4</v>
      </c>
      <c r="J283">
        <v>376</v>
      </c>
      <c r="K283" t="s">
        <v>5</v>
      </c>
      <c r="L283">
        <v>294</v>
      </c>
      <c r="M283" t="s">
        <v>6</v>
      </c>
      <c r="N283">
        <v>10.3900000000001</v>
      </c>
      <c r="O283" t="s">
        <v>7</v>
      </c>
      <c r="P283">
        <v>2.7632978723404499E-2</v>
      </c>
      <c r="Q283" t="s">
        <v>8</v>
      </c>
      <c r="R283">
        <v>0.40551020408163202</v>
      </c>
      <c r="S283" t="s">
        <v>9</v>
      </c>
      <c r="T283">
        <v>-1.3271951219512099</v>
      </c>
      <c r="U283" t="s">
        <v>10</v>
      </c>
      <c r="V283">
        <v>0.43759817374742399</v>
      </c>
      <c r="W283" t="s">
        <v>11</v>
      </c>
      <c r="X283" t="s">
        <v>2316</v>
      </c>
      <c r="Y283" t="s">
        <v>2048</v>
      </c>
      <c r="Z283">
        <v>0</v>
      </c>
      <c r="AA283" t="s">
        <v>14</v>
      </c>
      <c r="AB283" t="s">
        <v>15</v>
      </c>
      <c r="AC283" t="s">
        <v>2315</v>
      </c>
      <c r="AD283" t="s">
        <v>2269</v>
      </c>
      <c r="AE283">
        <v>0</v>
      </c>
      <c r="AF283" t="s">
        <v>18</v>
      </c>
    </row>
    <row r="284" spans="1:32" x14ac:dyDescent="0.3">
      <c r="A284" t="s">
        <v>262</v>
      </c>
      <c r="B284" t="s">
        <v>587</v>
      </c>
      <c r="C284">
        <v>7.5</v>
      </c>
      <c r="D284" t="s">
        <v>2163</v>
      </c>
      <c r="E284" t="s">
        <v>589</v>
      </c>
      <c r="F284">
        <v>10</v>
      </c>
      <c r="G284" t="s">
        <v>27</v>
      </c>
      <c r="H284" t="s">
        <v>1996</v>
      </c>
      <c r="I284" t="s">
        <v>4</v>
      </c>
      <c r="J284">
        <v>376</v>
      </c>
      <c r="K284" t="s">
        <v>5</v>
      </c>
      <c r="L284">
        <v>306</v>
      </c>
      <c r="M284" t="s">
        <v>6</v>
      </c>
      <c r="N284">
        <v>6.59000000000015</v>
      </c>
      <c r="O284" t="s">
        <v>7</v>
      </c>
      <c r="P284">
        <v>1.7526595744681201E-2</v>
      </c>
      <c r="Q284" t="s">
        <v>8</v>
      </c>
      <c r="R284">
        <v>0.40506535947712402</v>
      </c>
      <c r="S284" t="s">
        <v>9</v>
      </c>
      <c r="T284">
        <v>-1.6765714285714199</v>
      </c>
      <c r="U284" t="s">
        <v>10</v>
      </c>
      <c r="V284">
        <v>0.476031633230314</v>
      </c>
      <c r="W284" t="s">
        <v>11</v>
      </c>
      <c r="X284" t="s">
        <v>2317</v>
      </c>
      <c r="Y284" t="s">
        <v>2176</v>
      </c>
      <c r="Z284">
        <v>0</v>
      </c>
      <c r="AA284" t="s">
        <v>14</v>
      </c>
      <c r="AB284" t="s">
        <v>15</v>
      </c>
      <c r="AC284" t="s">
        <v>2315</v>
      </c>
      <c r="AD284" t="s">
        <v>2269</v>
      </c>
      <c r="AE284">
        <v>0</v>
      </c>
      <c r="AF284" t="s">
        <v>18</v>
      </c>
    </row>
    <row r="285" spans="1:32" x14ac:dyDescent="0.3">
      <c r="A285" t="s">
        <v>262</v>
      </c>
      <c r="B285" t="s">
        <v>587</v>
      </c>
      <c r="C285">
        <v>7.5</v>
      </c>
      <c r="D285" t="s">
        <v>2163</v>
      </c>
      <c r="E285" t="s">
        <v>589</v>
      </c>
      <c r="F285">
        <v>10</v>
      </c>
      <c r="G285" t="s">
        <v>27</v>
      </c>
      <c r="H285" t="s">
        <v>1997</v>
      </c>
      <c r="I285" t="s">
        <v>4</v>
      </c>
      <c r="J285">
        <v>376</v>
      </c>
      <c r="K285" t="s">
        <v>5</v>
      </c>
      <c r="L285">
        <v>309</v>
      </c>
      <c r="M285" t="s">
        <v>6</v>
      </c>
      <c r="N285">
        <v>7.0700000000002099</v>
      </c>
      <c r="O285" t="s">
        <v>7</v>
      </c>
      <c r="P285">
        <v>1.88031914893622E-2</v>
      </c>
      <c r="Q285" t="s">
        <v>8</v>
      </c>
      <c r="R285">
        <v>0.42291262135922297</v>
      </c>
      <c r="S285" t="s">
        <v>9</v>
      </c>
      <c r="T285">
        <v>-1.84492537313432</v>
      </c>
      <c r="U285" t="s">
        <v>10</v>
      </c>
      <c r="V285">
        <v>0.53033002945363295</v>
      </c>
      <c r="W285" t="s">
        <v>11</v>
      </c>
      <c r="X285" t="s">
        <v>2233</v>
      </c>
      <c r="Y285" t="s">
        <v>635</v>
      </c>
      <c r="Z285">
        <v>0</v>
      </c>
      <c r="AA285" t="s">
        <v>14</v>
      </c>
      <c r="AB285" t="s">
        <v>15</v>
      </c>
      <c r="AC285" t="s">
        <v>2318</v>
      </c>
      <c r="AD285" t="s">
        <v>635</v>
      </c>
      <c r="AE285">
        <v>0</v>
      </c>
      <c r="AF285" t="s">
        <v>18</v>
      </c>
    </row>
    <row r="286" spans="1:32" x14ac:dyDescent="0.3">
      <c r="A286" t="s">
        <v>262</v>
      </c>
      <c r="B286" t="s">
        <v>587</v>
      </c>
      <c r="C286">
        <v>7.5</v>
      </c>
      <c r="D286" t="s">
        <v>2163</v>
      </c>
      <c r="E286" t="s">
        <v>589</v>
      </c>
      <c r="F286">
        <v>10</v>
      </c>
      <c r="G286" t="s">
        <v>2174</v>
      </c>
      <c r="H286" t="s">
        <v>1999</v>
      </c>
      <c r="I286" t="s">
        <v>4</v>
      </c>
      <c r="J286">
        <v>370</v>
      </c>
      <c r="K286" t="s">
        <v>5</v>
      </c>
      <c r="L286">
        <v>243</v>
      </c>
      <c r="M286" t="s">
        <v>6</v>
      </c>
      <c r="N286">
        <v>-7.4836524045211004</v>
      </c>
      <c r="O286" t="s">
        <v>7</v>
      </c>
      <c r="P286">
        <v>-2.0226087579786702E-2</v>
      </c>
      <c r="Q286" t="s">
        <v>8</v>
      </c>
      <c r="R286">
        <v>0.48930677797265498</v>
      </c>
      <c r="S286" t="s">
        <v>9</v>
      </c>
      <c r="T286">
        <v>-0.99515905080217504</v>
      </c>
      <c r="U286" t="s">
        <v>10</v>
      </c>
      <c r="V286">
        <v>0.35016451161884199</v>
      </c>
      <c r="W286" t="s">
        <v>11</v>
      </c>
      <c r="X286" t="s">
        <v>2319</v>
      </c>
      <c r="Y286" t="s">
        <v>2198</v>
      </c>
      <c r="Z286">
        <v>0</v>
      </c>
      <c r="AA286" t="s">
        <v>14</v>
      </c>
      <c r="AB286" t="s">
        <v>15</v>
      </c>
      <c r="AC286" t="s">
        <v>2320</v>
      </c>
      <c r="AD286" t="s">
        <v>2198</v>
      </c>
      <c r="AE286">
        <v>0</v>
      </c>
      <c r="AF286" t="s">
        <v>18</v>
      </c>
    </row>
    <row r="287" spans="1:32" x14ac:dyDescent="0.3">
      <c r="A287" t="s">
        <v>262</v>
      </c>
      <c r="B287" t="s">
        <v>587</v>
      </c>
      <c r="C287">
        <v>7.5</v>
      </c>
      <c r="D287" t="s">
        <v>2163</v>
      </c>
      <c r="E287" t="s">
        <v>589</v>
      </c>
      <c r="F287">
        <v>10</v>
      </c>
      <c r="G287" t="s">
        <v>2174</v>
      </c>
      <c r="H287" t="s">
        <v>2002</v>
      </c>
      <c r="I287" t="s">
        <v>4</v>
      </c>
      <c r="J287">
        <v>370</v>
      </c>
      <c r="K287" t="s">
        <v>5</v>
      </c>
      <c r="L287">
        <v>290</v>
      </c>
      <c r="M287" t="s">
        <v>6</v>
      </c>
      <c r="N287">
        <v>21.437963342474202</v>
      </c>
      <c r="O287" t="s">
        <v>7</v>
      </c>
      <c r="P287">
        <v>5.7940441466146603E-2</v>
      </c>
      <c r="Q287" t="s">
        <v>8</v>
      </c>
      <c r="R287">
        <v>0.50802936941094401</v>
      </c>
      <c r="S287" t="s">
        <v>9</v>
      </c>
      <c r="T287">
        <v>-1.5736319223337401</v>
      </c>
      <c r="U287" t="s">
        <v>10</v>
      </c>
      <c r="V287">
        <v>0.460958418867982</v>
      </c>
      <c r="W287" t="s">
        <v>11</v>
      </c>
      <c r="X287" t="s">
        <v>2319</v>
      </c>
      <c r="Y287" t="s">
        <v>2198</v>
      </c>
      <c r="Z287">
        <v>0</v>
      </c>
      <c r="AA287" t="s">
        <v>14</v>
      </c>
      <c r="AB287" t="s">
        <v>15</v>
      </c>
      <c r="AC287" t="s">
        <v>2320</v>
      </c>
      <c r="AD287" t="s">
        <v>2198</v>
      </c>
      <c r="AE287">
        <v>0</v>
      </c>
      <c r="AF287" t="s">
        <v>18</v>
      </c>
    </row>
    <row r="288" spans="1:32" x14ac:dyDescent="0.3">
      <c r="A288" t="s">
        <v>262</v>
      </c>
      <c r="B288" t="s">
        <v>587</v>
      </c>
      <c r="C288">
        <v>7.5</v>
      </c>
      <c r="D288" t="s">
        <v>2163</v>
      </c>
      <c r="E288" t="s">
        <v>589</v>
      </c>
      <c r="F288">
        <v>10</v>
      </c>
      <c r="G288" t="s">
        <v>2174</v>
      </c>
      <c r="H288" t="s">
        <v>2004</v>
      </c>
      <c r="I288" t="s">
        <v>4</v>
      </c>
      <c r="J288">
        <v>370</v>
      </c>
      <c r="K288" t="s">
        <v>5</v>
      </c>
      <c r="L288">
        <v>314</v>
      </c>
      <c r="M288" t="s">
        <v>6</v>
      </c>
      <c r="N288">
        <v>57.4564558350745</v>
      </c>
      <c r="O288" t="s">
        <v>7</v>
      </c>
      <c r="P288">
        <v>0.15528771847317399</v>
      </c>
      <c r="Q288" t="s">
        <v>8</v>
      </c>
      <c r="R288">
        <v>0.52216756130970199</v>
      </c>
      <c r="S288" t="s">
        <v>9</v>
      </c>
      <c r="T288">
        <v>-1.9018599717173601</v>
      </c>
      <c r="U288" t="s">
        <v>10</v>
      </c>
      <c r="V288">
        <v>0.53124498585263202</v>
      </c>
      <c r="W288" t="s">
        <v>11</v>
      </c>
      <c r="X288" t="s">
        <v>2321</v>
      </c>
      <c r="Y288" t="s">
        <v>595</v>
      </c>
      <c r="Z288">
        <v>0</v>
      </c>
      <c r="AA288" t="s">
        <v>14</v>
      </c>
      <c r="AB288" t="s">
        <v>15</v>
      </c>
      <c r="AC288" t="s">
        <v>2320</v>
      </c>
      <c r="AD288" t="s">
        <v>2198</v>
      </c>
      <c r="AE288">
        <v>0</v>
      </c>
      <c r="AF288" t="s">
        <v>18</v>
      </c>
    </row>
    <row r="289" spans="1:32" x14ac:dyDescent="0.3">
      <c r="A289" t="s">
        <v>262</v>
      </c>
      <c r="B289" t="s">
        <v>587</v>
      </c>
      <c r="C289">
        <v>7.5</v>
      </c>
      <c r="D289" t="s">
        <v>2163</v>
      </c>
      <c r="E289" t="s">
        <v>589</v>
      </c>
      <c r="F289">
        <v>10</v>
      </c>
      <c r="G289" t="s">
        <v>2174</v>
      </c>
      <c r="H289" t="s">
        <v>2005</v>
      </c>
      <c r="I289" t="s">
        <v>4</v>
      </c>
      <c r="J289">
        <v>370</v>
      </c>
      <c r="K289" t="s">
        <v>5</v>
      </c>
      <c r="L289">
        <v>318</v>
      </c>
      <c r="M289" t="s">
        <v>6</v>
      </c>
      <c r="N289">
        <v>52.807553808106697</v>
      </c>
      <c r="O289" t="s">
        <v>7</v>
      </c>
      <c r="P289">
        <v>0.14272311840028801</v>
      </c>
      <c r="Q289" t="s">
        <v>8</v>
      </c>
      <c r="R289">
        <v>0.51858683726807098</v>
      </c>
      <c r="S289" t="s">
        <v>9</v>
      </c>
      <c r="T289">
        <v>-2.1558280854449898</v>
      </c>
      <c r="U289" t="s">
        <v>10</v>
      </c>
      <c r="V289">
        <v>0.53080751460011799</v>
      </c>
      <c r="W289" t="s">
        <v>11</v>
      </c>
      <c r="X289" t="s">
        <v>2233</v>
      </c>
      <c r="Y289" t="s">
        <v>635</v>
      </c>
      <c r="Z289">
        <v>0</v>
      </c>
      <c r="AA289" t="s">
        <v>14</v>
      </c>
      <c r="AB289" t="s">
        <v>15</v>
      </c>
      <c r="AC289" t="s">
        <v>2320</v>
      </c>
      <c r="AD289" t="s">
        <v>2198</v>
      </c>
      <c r="AE289">
        <v>0</v>
      </c>
      <c r="AF289" t="s">
        <v>18</v>
      </c>
    </row>
    <row r="290" spans="1:32" x14ac:dyDescent="0.3">
      <c r="A290" t="s">
        <v>2162</v>
      </c>
      <c r="B290" t="s">
        <v>587</v>
      </c>
      <c r="C290">
        <v>0</v>
      </c>
      <c r="D290" t="s">
        <v>2163</v>
      </c>
      <c r="E290" t="s">
        <v>589</v>
      </c>
      <c r="F290">
        <v>2.5</v>
      </c>
      <c r="G290" t="s">
        <v>2</v>
      </c>
      <c r="H290" t="s">
        <v>1979</v>
      </c>
      <c r="I290" t="s">
        <v>4</v>
      </c>
      <c r="J290">
        <v>249</v>
      </c>
      <c r="K290" t="s">
        <v>5</v>
      </c>
      <c r="L290">
        <v>140</v>
      </c>
      <c r="M290" t="s">
        <v>6</v>
      </c>
      <c r="N290">
        <v>-16.819999999999901</v>
      </c>
      <c r="O290" t="s">
        <v>7</v>
      </c>
      <c r="P290">
        <v>-6.7550200803212501E-2</v>
      </c>
      <c r="Q290" t="s">
        <v>8</v>
      </c>
      <c r="R290">
        <v>0.84164285714285703</v>
      </c>
      <c r="S290" t="s">
        <v>9</v>
      </c>
      <c r="T290">
        <v>-1.2353211009174301</v>
      </c>
      <c r="U290" t="s">
        <v>10</v>
      </c>
      <c r="V290">
        <v>0.38129504326972402</v>
      </c>
      <c r="W290" t="s">
        <v>11</v>
      </c>
      <c r="X290" t="s">
        <v>2277</v>
      </c>
      <c r="Y290" t="s">
        <v>2278</v>
      </c>
      <c r="Z290">
        <v>0</v>
      </c>
      <c r="AA290" t="s">
        <v>14</v>
      </c>
      <c r="AB290" t="s">
        <v>15</v>
      </c>
      <c r="AC290" t="s">
        <v>148</v>
      </c>
      <c r="AD290" t="s">
        <v>2272</v>
      </c>
      <c r="AE290">
        <v>0</v>
      </c>
      <c r="AF290" t="s">
        <v>18</v>
      </c>
    </row>
    <row r="291" spans="1:32" x14ac:dyDescent="0.3">
      <c r="A291" t="s">
        <v>2162</v>
      </c>
      <c r="B291" t="s">
        <v>587</v>
      </c>
      <c r="C291">
        <v>0</v>
      </c>
      <c r="D291" t="s">
        <v>2163</v>
      </c>
      <c r="E291" t="s">
        <v>589</v>
      </c>
      <c r="F291">
        <v>2.5</v>
      </c>
      <c r="G291" t="s">
        <v>2</v>
      </c>
      <c r="H291" t="s">
        <v>1982</v>
      </c>
      <c r="I291" t="s">
        <v>4</v>
      </c>
      <c r="J291">
        <v>249</v>
      </c>
      <c r="K291" t="s">
        <v>5</v>
      </c>
      <c r="L291">
        <v>146</v>
      </c>
      <c r="M291" t="s">
        <v>6</v>
      </c>
      <c r="N291">
        <v>-9.6299999999999208</v>
      </c>
      <c r="O291" t="s">
        <v>7</v>
      </c>
      <c r="P291">
        <v>-3.8674698795180401E-2</v>
      </c>
      <c r="Q291" t="s">
        <v>8</v>
      </c>
      <c r="R291">
        <v>0.84986301369863004</v>
      </c>
      <c r="S291" t="s">
        <v>9</v>
      </c>
      <c r="T291">
        <v>-1.2981553398058201</v>
      </c>
      <c r="U291" t="s">
        <v>10</v>
      </c>
      <c r="V291">
        <v>0.46175069219072801</v>
      </c>
      <c r="W291" t="s">
        <v>11</v>
      </c>
      <c r="X291" t="s">
        <v>2166</v>
      </c>
      <c r="Y291" t="s">
        <v>2167</v>
      </c>
      <c r="Z291">
        <v>0</v>
      </c>
      <c r="AA291" t="s">
        <v>14</v>
      </c>
      <c r="AB291" t="s">
        <v>15</v>
      </c>
      <c r="AC291" t="s">
        <v>2279</v>
      </c>
      <c r="AD291" t="s">
        <v>2280</v>
      </c>
      <c r="AE291">
        <v>0</v>
      </c>
      <c r="AF291" t="s">
        <v>18</v>
      </c>
    </row>
    <row r="292" spans="1:32" x14ac:dyDescent="0.3">
      <c r="A292" t="s">
        <v>2162</v>
      </c>
      <c r="B292" t="s">
        <v>587</v>
      </c>
      <c r="C292">
        <v>0</v>
      </c>
      <c r="D292" t="s">
        <v>2163</v>
      </c>
      <c r="E292" t="s">
        <v>589</v>
      </c>
      <c r="F292">
        <v>2.5</v>
      </c>
      <c r="G292" t="s">
        <v>2</v>
      </c>
      <c r="H292" t="s">
        <v>1985</v>
      </c>
      <c r="I292" t="s">
        <v>4</v>
      </c>
      <c r="J292">
        <v>249</v>
      </c>
      <c r="K292" t="s">
        <v>5</v>
      </c>
      <c r="L292">
        <v>146</v>
      </c>
      <c r="M292" t="s">
        <v>6</v>
      </c>
      <c r="N292">
        <v>-10.5299999999999</v>
      </c>
      <c r="O292" t="s">
        <v>7</v>
      </c>
      <c r="P292">
        <v>-4.2289156626505703E-2</v>
      </c>
      <c r="Q292" t="s">
        <v>8</v>
      </c>
      <c r="R292">
        <v>0.84986301369863004</v>
      </c>
      <c r="S292" t="s">
        <v>9</v>
      </c>
      <c r="T292">
        <v>-1.30689320388349</v>
      </c>
      <c r="U292" t="s">
        <v>10</v>
      </c>
      <c r="V292">
        <v>0.46649481520505498</v>
      </c>
      <c r="W292" t="s">
        <v>11</v>
      </c>
      <c r="X292" t="s">
        <v>2281</v>
      </c>
      <c r="Y292" t="s">
        <v>2169</v>
      </c>
      <c r="Z292">
        <v>0</v>
      </c>
      <c r="AA292" t="s">
        <v>14</v>
      </c>
      <c r="AB292" t="s">
        <v>15</v>
      </c>
      <c r="AC292" t="s">
        <v>2279</v>
      </c>
      <c r="AD292" t="s">
        <v>2280</v>
      </c>
      <c r="AE292">
        <v>0</v>
      </c>
      <c r="AF292" t="s">
        <v>18</v>
      </c>
    </row>
    <row r="293" spans="1:32" x14ac:dyDescent="0.3">
      <c r="A293" t="s">
        <v>2162</v>
      </c>
      <c r="B293" t="s">
        <v>587</v>
      </c>
      <c r="C293">
        <v>0</v>
      </c>
      <c r="D293" t="s">
        <v>2163</v>
      </c>
      <c r="E293" t="s">
        <v>589</v>
      </c>
      <c r="F293">
        <v>2.5</v>
      </c>
      <c r="G293" t="s">
        <v>2</v>
      </c>
      <c r="H293" t="s">
        <v>1988</v>
      </c>
      <c r="I293" t="s">
        <v>4</v>
      </c>
      <c r="J293">
        <v>249</v>
      </c>
      <c r="K293" t="s">
        <v>5</v>
      </c>
      <c r="L293">
        <v>146</v>
      </c>
      <c r="M293" t="s">
        <v>6</v>
      </c>
      <c r="N293">
        <v>-13.329999999999901</v>
      </c>
      <c r="O293" t="s">
        <v>7</v>
      </c>
      <c r="P293">
        <v>-5.3534136546184399E-2</v>
      </c>
      <c r="Q293" t="s">
        <v>8</v>
      </c>
      <c r="R293">
        <v>0.84986301369863004</v>
      </c>
      <c r="S293" t="s">
        <v>9</v>
      </c>
      <c r="T293">
        <v>-1.33407766990291</v>
      </c>
      <c r="U293" t="s">
        <v>10</v>
      </c>
      <c r="V293">
        <v>0.47373355218312002</v>
      </c>
      <c r="W293" t="s">
        <v>11</v>
      </c>
      <c r="X293" t="s">
        <v>2282</v>
      </c>
      <c r="Y293" t="s">
        <v>595</v>
      </c>
      <c r="Z293">
        <v>0</v>
      </c>
      <c r="AA293" t="s">
        <v>14</v>
      </c>
      <c r="AB293" t="s">
        <v>15</v>
      </c>
      <c r="AC293" t="s">
        <v>2283</v>
      </c>
      <c r="AD293" t="s">
        <v>2280</v>
      </c>
      <c r="AE293">
        <v>0</v>
      </c>
      <c r="AF293" t="s">
        <v>18</v>
      </c>
    </row>
    <row r="294" spans="1:32" x14ac:dyDescent="0.3">
      <c r="A294" t="s">
        <v>2162</v>
      </c>
      <c r="B294" t="s">
        <v>587</v>
      </c>
      <c r="C294">
        <v>0</v>
      </c>
      <c r="D294" t="s">
        <v>2163</v>
      </c>
      <c r="E294" t="s">
        <v>589</v>
      </c>
      <c r="F294">
        <v>2.5</v>
      </c>
      <c r="G294" t="s">
        <v>27</v>
      </c>
      <c r="H294" t="s">
        <v>1991</v>
      </c>
      <c r="I294" t="s">
        <v>4</v>
      </c>
      <c r="J294">
        <v>258</v>
      </c>
      <c r="K294" t="s">
        <v>5</v>
      </c>
      <c r="L294">
        <v>147</v>
      </c>
      <c r="M294" t="s">
        <v>6</v>
      </c>
      <c r="N294">
        <v>-20.209999999999901</v>
      </c>
      <c r="O294" t="s">
        <v>7</v>
      </c>
      <c r="P294">
        <v>-7.8333333333333005E-2</v>
      </c>
      <c r="Q294" t="s">
        <v>8</v>
      </c>
      <c r="R294">
        <v>0.82700680272108795</v>
      </c>
      <c r="S294" t="s">
        <v>9</v>
      </c>
      <c r="T294">
        <v>-1.27729729729729</v>
      </c>
      <c r="U294" t="s">
        <v>10</v>
      </c>
      <c r="V294">
        <v>0.39109259618460901</v>
      </c>
      <c r="W294" t="s">
        <v>11</v>
      </c>
      <c r="X294" t="s">
        <v>2170</v>
      </c>
      <c r="Y294" t="s">
        <v>2171</v>
      </c>
      <c r="Z294">
        <v>0</v>
      </c>
      <c r="AA294" t="s">
        <v>14</v>
      </c>
      <c r="AB294" t="s">
        <v>15</v>
      </c>
      <c r="AC294" t="s">
        <v>2284</v>
      </c>
      <c r="AD294" t="s">
        <v>2258</v>
      </c>
      <c r="AE294">
        <v>0</v>
      </c>
      <c r="AF294" t="s">
        <v>18</v>
      </c>
    </row>
    <row r="295" spans="1:32" x14ac:dyDescent="0.3">
      <c r="A295" t="s">
        <v>2162</v>
      </c>
      <c r="B295" t="s">
        <v>587</v>
      </c>
      <c r="C295">
        <v>0</v>
      </c>
      <c r="D295" t="s">
        <v>2163</v>
      </c>
      <c r="E295" t="s">
        <v>589</v>
      </c>
      <c r="F295">
        <v>2.5</v>
      </c>
      <c r="G295" t="s">
        <v>27</v>
      </c>
      <c r="H295" t="s">
        <v>1994</v>
      </c>
      <c r="I295" t="s">
        <v>4</v>
      </c>
      <c r="J295">
        <v>258</v>
      </c>
      <c r="K295" t="s">
        <v>5</v>
      </c>
      <c r="L295">
        <v>155</v>
      </c>
      <c r="M295" t="s">
        <v>6</v>
      </c>
      <c r="N295">
        <v>-11.1999999999999</v>
      </c>
      <c r="O295" t="s">
        <v>7</v>
      </c>
      <c r="P295">
        <v>-4.34108527131781E-2</v>
      </c>
      <c r="Q295" t="s">
        <v>8</v>
      </c>
      <c r="R295">
        <v>0.83890322580645105</v>
      </c>
      <c r="S295" t="s">
        <v>9</v>
      </c>
      <c r="T295">
        <v>-1.3711650485436799</v>
      </c>
      <c r="U295" t="s">
        <v>10</v>
      </c>
      <c r="V295">
        <v>0.462126124664551</v>
      </c>
      <c r="W295" t="s">
        <v>11</v>
      </c>
      <c r="X295" t="s">
        <v>2285</v>
      </c>
      <c r="Y295" t="s">
        <v>2286</v>
      </c>
      <c r="Z295">
        <v>0</v>
      </c>
      <c r="AA295" t="s">
        <v>14</v>
      </c>
      <c r="AB295" t="s">
        <v>15</v>
      </c>
      <c r="AC295" t="s">
        <v>2287</v>
      </c>
      <c r="AD295" t="s">
        <v>2280</v>
      </c>
      <c r="AE295">
        <v>0</v>
      </c>
      <c r="AF295" t="s">
        <v>18</v>
      </c>
    </row>
    <row r="296" spans="1:32" x14ac:dyDescent="0.3">
      <c r="A296" t="s">
        <v>2162</v>
      </c>
      <c r="B296" t="s">
        <v>587</v>
      </c>
      <c r="C296">
        <v>0</v>
      </c>
      <c r="D296" t="s">
        <v>2163</v>
      </c>
      <c r="E296" t="s">
        <v>589</v>
      </c>
      <c r="F296">
        <v>2.5</v>
      </c>
      <c r="G296" t="s">
        <v>27</v>
      </c>
      <c r="H296" t="s">
        <v>1996</v>
      </c>
      <c r="I296" t="s">
        <v>4</v>
      </c>
      <c r="J296">
        <v>258</v>
      </c>
      <c r="K296" t="s">
        <v>5</v>
      </c>
      <c r="L296">
        <v>158</v>
      </c>
      <c r="M296" t="s">
        <v>6</v>
      </c>
      <c r="N296">
        <v>4.2500000000000497</v>
      </c>
      <c r="O296" t="s">
        <v>7</v>
      </c>
      <c r="P296">
        <v>1.64728682170544E-2</v>
      </c>
      <c r="Q296" t="s">
        <v>8</v>
      </c>
      <c r="R296">
        <v>0.87531645569620298</v>
      </c>
      <c r="S296" t="s">
        <v>9</v>
      </c>
      <c r="T296">
        <v>-1.34049999999999</v>
      </c>
      <c r="U296" t="s">
        <v>10</v>
      </c>
      <c r="V296">
        <v>0.48936164388860298</v>
      </c>
      <c r="W296" t="s">
        <v>11</v>
      </c>
      <c r="X296" t="s">
        <v>2285</v>
      </c>
      <c r="Y296" t="s">
        <v>2286</v>
      </c>
      <c r="Z296">
        <v>0</v>
      </c>
      <c r="AA296" t="s">
        <v>14</v>
      </c>
      <c r="AB296" t="s">
        <v>15</v>
      </c>
      <c r="AC296" t="s">
        <v>2287</v>
      </c>
      <c r="AD296" t="s">
        <v>2280</v>
      </c>
      <c r="AE296">
        <v>0</v>
      </c>
      <c r="AF296" t="s">
        <v>18</v>
      </c>
    </row>
    <row r="297" spans="1:32" x14ac:dyDescent="0.3">
      <c r="A297" t="s">
        <v>2162</v>
      </c>
      <c r="B297" t="s">
        <v>587</v>
      </c>
      <c r="C297">
        <v>0</v>
      </c>
      <c r="D297" t="s">
        <v>2163</v>
      </c>
      <c r="E297" t="s">
        <v>589</v>
      </c>
      <c r="F297">
        <v>2.5</v>
      </c>
      <c r="G297" t="s">
        <v>27</v>
      </c>
      <c r="H297" t="s">
        <v>1997</v>
      </c>
      <c r="I297" t="s">
        <v>4</v>
      </c>
      <c r="J297">
        <v>258</v>
      </c>
      <c r="K297" t="s">
        <v>5</v>
      </c>
      <c r="L297">
        <v>158</v>
      </c>
      <c r="M297" t="s">
        <v>6</v>
      </c>
      <c r="N297">
        <v>1.4500000000000499</v>
      </c>
      <c r="O297" t="s">
        <v>7</v>
      </c>
      <c r="P297">
        <v>5.6201550387598997E-3</v>
      </c>
      <c r="Q297" t="s">
        <v>8</v>
      </c>
      <c r="R297">
        <v>0.87531645569620298</v>
      </c>
      <c r="S297" t="s">
        <v>9</v>
      </c>
      <c r="T297">
        <v>-1.3684999999999901</v>
      </c>
      <c r="U297" t="s">
        <v>10</v>
      </c>
      <c r="V297">
        <v>0.47574498975995499</v>
      </c>
      <c r="W297" t="s">
        <v>11</v>
      </c>
      <c r="X297" t="s">
        <v>2282</v>
      </c>
      <c r="Y297" t="s">
        <v>595</v>
      </c>
      <c r="Z297">
        <v>0</v>
      </c>
      <c r="AA297" t="s">
        <v>14</v>
      </c>
      <c r="AB297" t="s">
        <v>15</v>
      </c>
      <c r="AC297" t="s">
        <v>2288</v>
      </c>
      <c r="AD297" t="s">
        <v>2280</v>
      </c>
      <c r="AE297">
        <v>0</v>
      </c>
      <c r="AF297" t="s">
        <v>18</v>
      </c>
    </row>
    <row r="298" spans="1:32" x14ac:dyDescent="0.3">
      <c r="A298" t="s">
        <v>2162</v>
      </c>
      <c r="B298" t="s">
        <v>587</v>
      </c>
      <c r="C298">
        <v>0</v>
      </c>
      <c r="D298" t="s">
        <v>2163</v>
      </c>
      <c r="E298" t="s">
        <v>589</v>
      </c>
      <c r="F298">
        <v>2.5</v>
      </c>
      <c r="G298" t="s">
        <v>2174</v>
      </c>
      <c r="H298" t="s">
        <v>1999</v>
      </c>
      <c r="I298" t="s">
        <v>4</v>
      </c>
      <c r="J298">
        <v>246</v>
      </c>
      <c r="K298" t="s">
        <v>5</v>
      </c>
      <c r="L298">
        <v>140</v>
      </c>
      <c r="M298" t="s">
        <v>6</v>
      </c>
      <c r="N298">
        <v>-17.390459632041299</v>
      </c>
      <c r="O298" t="s">
        <v>7</v>
      </c>
      <c r="P298">
        <v>-7.0692925333501494E-2</v>
      </c>
      <c r="Q298" t="s">
        <v>8</v>
      </c>
      <c r="R298">
        <v>0.95095971683863301</v>
      </c>
      <c r="S298" t="s">
        <v>9</v>
      </c>
      <c r="T298">
        <v>-1.42004547159858</v>
      </c>
      <c r="U298" t="s">
        <v>10</v>
      </c>
      <c r="V298">
        <v>0.396239902675116</v>
      </c>
      <c r="W298" t="s">
        <v>11</v>
      </c>
      <c r="X298" t="s">
        <v>825</v>
      </c>
      <c r="Y298" t="s">
        <v>2289</v>
      </c>
      <c r="Z298">
        <v>0</v>
      </c>
      <c r="AA298" t="s">
        <v>14</v>
      </c>
      <c r="AB298" t="s">
        <v>15</v>
      </c>
      <c r="AC298" t="s">
        <v>688</v>
      </c>
      <c r="AD298" t="s">
        <v>2290</v>
      </c>
      <c r="AE298">
        <v>0</v>
      </c>
      <c r="AF298" t="s">
        <v>18</v>
      </c>
    </row>
    <row r="299" spans="1:32" x14ac:dyDescent="0.3">
      <c r="A299" t="s">
        <v>2162</v>
      </c>
      <c r="B299" t="s">
        <v>587</v>
      </c>
      <c r="C299">
        <v>0</v>
      </c>
      <c r="D299" t="s">
        <v>2163</v>
      </c>
      <c r="E299" t="s">
        <v>589</v>
      </c>
      <c r="F299">
        <v>2.5</v>
      </c>
      <c r="G299" t="s">
        <v>2174</v>
      </c>
      <c r="H299" t="s">
        <v>2002</v>
      </c>
      <c r="I299" t="s">
        <v>4</v>
      </c>
      <c r="J299">
        <v>246</v>
      </c>
      <c r="K299" t="s">
        <v>5</v>
      </c>
      <c r="L299">
        <v>158</v>
      </c>
      <c r="M299" t="s">
        <v>6</v>
      </c>
      <c r="N299">
        <v>12.5948784340169</v>
      </c>
      <c r="O299" t="s">
        <v>7</v>
      </c>
      <c r="P299">
        <v>5.1198692821207203E-2</v>
      </c>
      <c r="Q299" t="s">
        <v>8</v>
      </c>
      <c r="R299">
        <v>0.95781609636066101</v>
      </c>
      <c r="S299" t="s">
        <v>9</v>
      </c>
      <c r="T299">
        <v>-1.5765916453519</v>
      </c>
      <c r="U299" t="s">
        <v>10</v>
      </c>
      <c r="V299">
        <v>0.48800467684018101</v>
      </c>
      <c r="W299" t="s">
        <v>11</v>
      </c>
      <c r="X299" t="s">
        <v>2291</v>
      </c>
      <c r="Y299" t="s">
        <v>77</v>
      </c>
      <c r="Z299">
        <v>0</v>
      </c>
      <c r="AA299" t="s">
        <v>14</v>
      </c>
      <c r="AB299" t="s">
        <v>15</v>
      </c>
      <c r="AC299" t="s">
        <v>2292</v>
      </c>
      <c r="AD299" t="s">
        <v>2280</v>
      </c>
      <c r="AE299">
        <v>0</v>
      </c>
      <c r="AF299" t="s">
        <v>18</v>
      </c>
    </row>
    <row r="300" spans="1:32" x14ac:dyDescent="0.3">
      <c r="A300" t="s">
        <v>2162</v>
      </c>
      <c r="B300" t="s">
        <v>587</v>
      </c>
      <c r="C300">
        <v>0</v>
      </c>
      <c r="D300" t="s">
        <v>2163</v>
      </c>
      <c r="E300" t="s">
        <v>589</v>
      </c>
      <c r="F300">
        <v>2.5</v>
      </c>
      <c r="G300" t="s">
        <v>2174</v>
      </c>
      <c r="H300" t="s">
        <v>2004</v>
      </c>
      <c r="I300" t="s">
        <v>4</v>
      </c>
      <c r="J300">
        <v>246</v>
      </c>
      <c r="K300" t="s">
        <v>5</v>
      </c>
      <c r="L300">
        <v>162</v>
      </c>
      <c r="M300" t="s">
        <v>6</v>
      </c>
      <c r="N300">
        <v>20.211497473601298</v>
      </c>
      <c r="O300" t="s">
        <v>7</v>
      </c>
      <c r="P300">
        <v>8.21605588357779E-2</v>
      </c>
      <c r="Q300" t="s">
        <v>8</v>
      </c>
      <c r="R300">
        <v>0.960856955513814</v>
      </c>
      <c r="S300" t="s">
        <v>9</v>
      </c>
      <c r="T300">
        <v>-1.6124682061861499</v>
      </c>
      <c r="U300" t="s">
        <v>10</v>
      </c>
      <c r="V300">
        <v>0.56435171005384399</v>
      </c>
      <c r="W300" t="s">
        <v>11</v>
      </c>
      <c r="X300" t="s">
        <v>2291</v>
      </c>
      <c r="Y300" t="s">
        <v>77</v>
      </c>
      <c r="Z300">
        <v>0</v>
      </c>
      <c r="AA300" t="s">
        <v>14</v>
      </c>
      <c r="AB300" t="s">
        <v>15</v>
      </c>
      <c r="AC300" t="s">
        <v>2293</v>
      </c>
      <c r="AD300" t="s">
        <v>2280</v>
      </c>
      <c r="AE300">
        <v>0</v>
      </c>
      <c r="AF300" t="s">
        <v>18</v>
      </c>
    </row>
    <row r="301" spans="1:32" x14ac:dyDescent="0.3">
      <c r="A301" t="s">
        <v>2162</v>
      </c>
      <c r="B301" t="s">
        <v>587</v>
      </c>
      <c r="C301">
        <v>0</v>
      </c>
      <c r="D301" t="s">
        <v>2163</v>
      </c>
      <c r="E301" t="s">
        <v>589</v>
      </c>
      <c r="F301">
        <v>2.5</v>
      </c>
      <c r="G301" t="s">
        <v>2174</v>
      </c>
      <c r="H301" t="s">
        <v>2005</v>
      </c>
      <c r="I301" t="s">
        <v>4</v>
      </c>
      <c r="J301">
        <v>246</v>
      </c>
      <c r="K301" t="s">
        <v>5</v>
      </c>
      <c r="L301">
        <v>163</v>
      </c>
      <c r="M301" t="s">
        <v>6</v>
      </c>
      <c r="N301">
        <v>16.660425092535899</v>
      </c>
      <c r="O301" t="s">
        <v>7</v>
      </c>
      <c r="P301">
        <v>6.7725305254211096E-2</v>
      </c>
      <c r="Q301" t="s">
        <v>8</v>
      </c>
      <c r="R301">
        <v>0.95799145520748596</v>
      </c>
      <c r="S301" t="s">
        <v>9</v>
      </c>
      <c r="T301">
        <v>-1.6806287000757101</v>
      </c>
      <c r="U301" t="s">
        <v>10</v>
      </c>
      <c r="V301">
        <v>0.57621445393872095</v>
      </c>
      <c r="W301" t="s">
        <v>11</v>
      </c>
      <c r="X301" t="s">
        <v>2233</v>
      </c>
      <c r="Y301" t="s">
        <v>635</v>
      </c>
      <c r="Z301">
        <v>0</v>
      </c>
      <c r="AA301" t="s">
        <v>14</v>
      </c>
      <c r="AB301" t="s">
        <v>15</v>
      </c>
      <c r="AC301" t="s">
        <v>2293</v>
      </c>
      <c r="AD301" t="s">
        <v>2280</v>
      </c>
      <c r="AE301">
        <v>0</v>
      </c>
      <c r="AF301" t="s">
        <v>18</v>
      </c>
    </row>
    <row r="302" spans="1:32" x14ac:dyDescent="0.3">
      <c r="A302" t="s">
        <v>2162</v>
      </c>
      <c r="B302" t="s">
        <v>587</v>
      </c>
      <c r="C302">
        <v>2.5</v>
      </c>
      <c r="D302" t="s">
        <v>2163</v>
      </c>
      <c r="E302" t="s">
        <v>589</v>
      </c>
      <c r="F302">
        <v>5</v>
      </c>
      <c r="G302" t="s">
        <v>2</v>
      </c>
      <c r="H302" t="s">
        <v>1979</v>
      </c>
      <c r="I302" t="s">
        <v>4</v>
      </c>
      <c r="J302">
        <v>249</v>
      </c>
      <c r="K302" t="s">
        <v>5</v>
      </c>
      <c r="L302">
        <v>146</v>
      </c>
      <c r="M302" t="s">
        <v>6</v>
      </c>
      <c r="N302">
        <v>-18.78</v>
      </c>
      <c r="O302" t="s">
        <v>7</v>
      </c>
      <c r="P302">
        <v>-7.5421686746987904E-2</v>
      </c>
      <c r="Q302" t="s">
        <v>8</v>
      </c>
      <c r="R302">
        <v>0.64801369863013702</v>
      </c>
      <c r="S302" t="s">
        <v>9</v>
      </c>
      <c r="T302">
        <v>-1.10087378640776</v>
      </c>
      <c r="U302" t="s">
        <v>10</v>
      </c>
      <c r="V302">
        <v>0.31237511674411</v>
      </c>
      <c r="W302" t="s">
        <v>11</v>
      </c>
      <c r="X302" t="s">
        <v>2294</v>
      </c>
      <c r="Y302" t="s">
        <v>1228</v>
      </c>
      <c r="Z302">
        <v>0</v>
      </c>
      <c r="AA302" t="s">
        <v>14</v>
      </c>
      <c r="AB302" t="s">
        <v>15</v>
      </c>
      <c r="AC302" t="s">
        <v>2295</v>
      </c>
      <c r="AD302" t="s">
        <v>2296</v>
      </c>
      <c r="AE302">
        <v>0</v>
      </c>
      <c r="AF302" t="s">
        <v>18</v>
      </c>
    </row>
    <row r="303" spans="1:32" x14ac:dyDescent="0.3">
      <c r="A303" t="s">
        <v>2162</v>
      </c>
      <c r="B303" t="s">
        <v>587</v>
      </c>
      <c r="C303">
        <v>2.5</v>
      </c>
      <c r="D303" t="s">
        <v>2163</v>
      </c>
      <c r="E303" t="s">
        <v>589</v>
      </c>
      <c r="F303">
        <v>5</v>
      </c>
      <c r="G303" t="s">
        <v>2</v>
      </c>
      <c r="H303" t="s">
        <v>1982</v>
      </c>
      <c r="I303" t="s">
        <v>4</v>
      </c>
      <c r="J303">
        <v>249</v>
      </c>
      <c r="K303" t="s">
        <v>5</v>
      </c>
      <c r="L303">
        <v>162</v>
      </c>
      <c r="M303" t="s">
        <v>6</v>
      </c>
      <c r="N303">
        <v>-33.28</v>
      </c>
      <c r="O303" t="s">
        <v>7</v>
      </c>
      <c r="P303">
        <v>-0.13365461847389501</v>
      </c>
      <c r="Q303" t="s">
        <v>8</v>
      </c>
      <c r="R303">
        <v>0.66172839506172798</v>
      </c>
      <c r="S303" t="s">
        <v>9</v>
      </c>
      <c r="T303">
        <v>-1.61471264367816</v>
      </c>
      <c r="U303" t="s">
        <v>10</v>
      </c>
      <c r="V303">
        <v>0.42586032406312802</v>
      </c>
      <c r="W303" t="s">
        <v>11</v>
      </c>
      <c r="X303" t="s">
        <v>2181</v>
      </c>
      <c r="Y303" t="s">
        <v>639</v>
      </c>
      <c r="Z303">
        <v>0</v>
      </c>
      <c r="AA303" t="s">
        <v>14</v>
      </c>
      <c r="AB303" t="s">
        <v>15</v>
      </c>
      <c r="AC303" t="s">
        <v>2297</v>
      </c>
      <c r="AD303" t="s">
        <v>158</v>
      </c>
      <c r="AE303">
        <v>0</v>
      </c>
      <c r="AF303" t="s">
        <v>18</v>
      </c>
    </row>
    <row r="304" spans="1:32" x14ac:dyDescent="0.3">
      <c r="A304" t="s">
        <v>2162</v>
      </c>
      <c r="B304" t="s">
        <v>587</v>
      </c>
      <c r="C304">
        <v>2.5</v>
      </c>
      <c r="D304" t="s">
        <v>2163</v>
      </c>
      <c r="E304" t="s">
        <v>589</v>
      </c>
      <c r="F304">
        <v>5</v>
      </c>
      <c r="G304" t="s">
        <v>2</v>
      </c>
      <c r="H304" t="s">
        <v>1985</v>
      </c>
      <c r="I304" t="s">
        <v>4</v>
      </c>
      <c r="J304">
        <v>249</v>
      </c>
      <c r="K304" t="s">
        <v>5</v>
      </c>
      <c r="L304">
        <v>162</v>
      </c>
      <c r="M304" t="s">
        <v>6</v>
      </c>
      <c r="N304">
        <v>-34.76</v>
      </c>
      <c r="O304" t="s">
        <v>7</v>
      </c>
      <c r="P304">
        <v>-0.13959839357429699</v>
      </c>
      <c r="Q304" t="s">
        <v>8</v>
      </c>
      <c r="R304">
        <v>0.66172839506172798</v>
      </c>
      <c r="S304" t="s">
        <v>9</v>
      </c>
      <c r="T304">
        <v>-1.6317241379310301</v>
      </c>
      <c r="U304" t="s">
        <v>10</v>
      </c>
      <c r="V304">
        <v>0.42995876188829202</v>
      </c>
      <c r="W304" t="s">
        <v>11</v>
      </c>
      <c r="X304" t="s">
        <v>2181</v>
      </c>
      <c r="Y304" t="s">
        <v>639</v>
      </c>
      <c r="Z304">
        <v>0</v>
      </c>
      <c r="AA304" t="s">
        <v>14</v>
      </c>
      <c r="AB304" t="s">
        <v>15</v>
      </c>
      <c r="AC304" t="s">
        <v>2297</v>
      </c>
      <c r="AD304" t="s">
        <v>158</v>
      </c>
      <c r="AE304">
        <v>0</v>
      </c>
      <c r="AF304" t="s">
        <v>18</v>
      </c>
    </row>
    <row r="305" spans="1:32" x14ac:dyDescent="0.3">
      <c r="A305" t="s">
        <v>2162</v>
      </c>
      <c r="B305" t="s">
        <v>587</v>
      </c>
      <c r="C305">
        <v>2.5</v>
      </c>
      <c r="D305" t="s">
        <v>2163</v>
      </c>
      <c r="E305" t="s">
        <v>589</v>
      </c>
      <c r="F305">
        <v>5</v>
      </c>
      <c r="G305" t="s">
        <v>2</v>
      </c>
      <c r="H305" t="s">
        <v>1988</v>
      </c>
      <c r="I305" t="s">
        <v>4</v>
      </c>
      <c r="J305">
        <v>249</v>
      </c>
      <c r="K305" t="s">
        <v>5</v>
      </c>
      <c r="L305">
        <v>163</v>
      </c>
      <c r="M305" t="s">
        <v>6</v>
      </c>
      <c r="N305">
        <v>-26.309999999999899</v>
      </c>
      <c r="O305" t="s">
        <v>7</v>
      </c>
      <c r="P305">
        <v>-0.10566265060240899</v>
      </c>
      <c r="Q305" t="s">
        <v>8</v>
      </c>
      <c r="R305">
        <v>0.65957055214723903</v>
      </c>
      <c r="S305" t="s">
        <v>9</v>
      </c>
      <c r="T305">
        <v>-1.5560465116279001</v>
      </c>
      <c r="U305" t="s">
        <v>10</v>
      </c>
      <c r="V305">
        <v>0.45051949283228399</v>
      </c>
      <c r="W305" t="s">
        <v>11</v>
      </c>
      <c r="X305" t="s">
        <v>2181</v>
      </c>
      <c r="Y305" t="s">
        <v>639</v>
      </c>
      <c r="Z305">
        <v>0</v>
      </c>
      <c r="AA305" t="s">
        <v>14</v>
      </c>
      <c r="AB305" t="s">
        <v>15</v>
      </c>
      <c r="AC305" t="s">
        <v>2297</v>
      </c>
      <c r="AD305" t="s">
        <v>158</v>
      </c>
      <c r="AE305">
        <v>0</v>
      </c>
      <c r="AF305" t="s">
        <v>18</v>
      </c>
    </row>
    <row r="306" spans="1:32" x14ac:dyDescent="0.3">
      <c r="A306" t="s">
        <v>2162</v>
      </c>
      <c r="B306" t="s">
        <v>587</v>
      </c>
      <c r="C306">
        <v>2.5</v>
      </c>
      <c r="D306" t="s">
        <v>2163</v>
      </c>
      <c r="E306" t="s">
        <v>589</v>
      </c>
      <c r="F306">
        <v>5</v>
      </c>
      <c r="G306" t="s">
        <v>27</v>
      </c>
      <c r="H306" t="s">
        <v>1991</v>
      </c>
      <c r="I306" t="s">
        <v>4</v>
      </c>
      <c r="J306">
        <v>258</v>
      </c>
      <c r="K306" t="s">
        <v>5</v>
      </c>
      <c r="L306">
        <v>150</v>
      </c>
      <c r="M306" t="s">
        <v>6</v>
      </c>
      <c r="N306">
        <v>-25.499999999999901</v>
      </c>
      <c r="O306" t="s">
        <v>7</v>
      </c>
      <c r="P306">
        <v>-9.8837209302325299E-2</v>
      </c>
      <c r="Q306" t="s">
        <v>8</v>
      </c>
      <c r="R306">
        <v>0.68633333333333402</v>
      </c>
      <c r="S306" t="s">
        <v>9</v>
      </c>
      <c r="T306">
        <v>-1.18935185185185</v>
      </c>
      <c r="U306" t="s">
        <v>10</v>
      </c>
      <c r="V306">
        <v>0.33298162236955098</v>
      </c>
      <c r="W306" t="s">
        <v>11</v>
      </c>
      <c r="X306" t="s">
        <v>2166</v>
      </c>
      <c r="Y306" t="s">
        <v>798</v>
      </c>
      <c r="Z306">
        <v>0</v>
      </c>
      <c r="AA306" t="s">
        <v>14</v>
      </c>
      <c r="AB306" t="s">
        <v>15</v>
      </c>
      <c r="AC306" t="s">
        <v>2298</v>
      </c>
      <c r="AD306" t="s">
        <v>2299</v>
      </c>
      <c r="AE306">
        <v>0</v>
      </c>
      <c r="AF306" t="s">
        <v>18</v>
      </c>
    </row>
    <row r="307" spans="1:32" x14ac:dyDescent="0.3">
      <c r="A307" t="s">
        <v>2162</v>
      </c>
      <c r="B307" t="s">
        <v>587</v>
      </c>
      <c r="C307">
        <v>2.5</v>
      </c>
      <c r="D307" t="s">
        <v>2163</v>
      </c>
      <c r="E307" t="s">
        <v>589</v>
      </c>
      <c r="F307">
        <v>5</v>
      </c>
      <c r="G307" t="s">
        <v>27</v>
      </c>
      <c r="H307" t="s">
        <v>1994</v>
      </c>
      <c r="I307" t="s">
        <v>4</v>
      </c>
      <c r="J307">
        <v>258</v>
      </c>
      <c r="K307" t="s">
        <v>5</v>
      </c>
      <c r="L307">
        <v>171</v>
      </c>
      <c r="M307" t="s">
        <v>6</v>
      </c>
      <c r="N307">
        <v>-27.3599999999999</v>
      </c>
      <c r="O307" t="s">
        <v>7</v>
      </c>
      <c r="P307">
        <v>-0.106046511627906</v>
      </c>
      <c r="Q307" t="s">
        <v>8</v>
      </c>
      <c r="R307">
        <v>0.71649122807017596</v>
      </c>
      <c r="S307" t="s">
        <v>9</v>
      </c>
      <c r="T307">
        <v>-1.7227586206896499</v>
      </c>
      <c r="U307" t="s">
        <v>10</v>
      </c>
      <c r="V307">
        <v>0.43423394908194402</v>
      </c>
      <c r="W307" t="s">
        <v>11</v>
      </c>
      <c r="X307" t="s">
        <v>2181</v>
      </c>
      <c r="Y307" t="s">
        <v>639</v>
      </c>
      <c r="Z307">
        <v>0</v>
      </c>
      <c r="AA307" t="s">
        <v>14</v>
      </c>
      <c r="AB307" t="s">
        <v>15</v>
      </c>
      <c r="AC307" t="s">
        <v>2300</v>
      </c>
      <c r="AD307" t="s">
        <v>158</v>
      </c>
      <c r="AE307">
        <v>0</v>
      </c>
      <c r="AF307" t="s">
        <v>18</v>
      </c>
    </row>
    <row r="308" spans="1:32" x14ac:dyDescent="0.3">
      <c r="A308" t="s">
        <v>2162</v>
      </c>
      <c r="B308" t="s">
        <v>587</v>
      </c>
      <c r="C308">
        <v>2.5</v>
      </c>
      <c r="D308" t="s">
        <v>2163</v>
      </c>
      <c r="E308" t="s">
        <v>589</v>
      </c>
      <c r="F308">
        <v>5</v>
      </c>
      <c r="G308" t="s">
        <v>27</v>
      </c>
      <c r="H308" t="s">
        <v>1996</v>
      </c>
      <c r="I308" t="s">
        <v>4</v>
      </c>
      <c r="J308">
        <v>258</v>
      </c>
      <c r="K308" t="s">
        <v>5</v>
      </c>
      <c r="L308">
        <v>172</v>
      </c>
      <c r="M308" t="s">
        <v>6</v>
      </c>
      <c r="N308">
        <v>-24.909999999999901</v>
      </c>
      <c r="O308" t="s">
        <v>7</v>
      </c>
      <c r="P308">
        <v>-9.6550387596898796E-2</v>
      </c>
      <c r="Q308" t="s">
        <v>8</v>
      </c>
      <c r="R308">
        <v>0.71784883720930304</v>
      </c>
      <c r="S308" t="s">
        <v>9</v>
      </c>
      <c r="T308">
        <v>-1.7253488372093</v>
      </c>
      <c r="U308" t="s">
        <v>10</v>
      </c>
      <c r="V308">
        <v>0.43645754235803302</v>
      </c>
      <c r="W308" t="s">
        <v>11</v>
      </c>
      <c r="X308" t="s">
        <v>2181</v>
      </c>
      <c r="Y308" t="s">
        <v>639</v>
      </c>
      <c r="Z308">
        <v>0</v>
      </c>
      <c r="AA308" t="s">
        <v>14</v>
      </c>
      <c r="AB308" t="s">
        <v>15</v>
      </c>
      <c r="AC308" t="s">
        <v>2300</v>
      </c>
      <c r="AD308" t="s">
        <v>158</v>
      </c>
      <c r="AE308">
        <v>0</v>
      </c>
      <c r="AF308" t="s">
        <v>18</v>
      </c>
    </row>
    <row r="309" spans="1:32" x14ac:dyDescent="0.3">
      <c r="A309" t="s">
        <v>2162</v>
      </c>
      <c r="B309" t="s">
        <v>587</v>
      </c>
      <c r="C309">
        <v>2.5</v>
      </c>
      <c r="D309" t="s">
        <v>2163</v>
      </c>
      <c r="E309" t="s">
        <v>589</v>
      </c>
      <c r="F309">
        <v>5</v>
      </c>
      <c r="G309" t="s">
        <v>27</v>
      </c>
      <c r="H309" t="s">
        <v>1997</v>
      </c>
      <c r="I309" t="s">
        <v>4</v>
      </c>
      <c r="J309">
        <v>258</v>
      </c>
      <c r="K309" t="s">
        <v>5</v>
      </c>
      <c r="L309">
        <v>172</v>
      </c>
      <c r="M309" t="s">
        <v>6</v>
      </c>
      <c r="N309">
        <v>-26.209999999999798</v>
      </c>
      <c r="O309" t="s">
        <v>7</v>
      </c>
      <c r="P309">
        <v>-0.101589147286821</v>
      </c>
      <c r="Q309" t="s">
        <v>8</v>
      </c>
      <c r="R309">
        <v>0.71784883720930304</v>
      </c>
      <c r="S309" t="s">
        <v>9</v>
      </c>
      <c r="T309">
        <v>-1.7404651162790601</v>
      </c>
      <c r="U309" t="s">
        <v>10</v>
      </c>
      <c r="V309">
        <v>0.48106717290453799</v>
      </c>
      <c r="W309" t="s">
        <v>11</v>
      </c>
      <c r="X309" t="s">
        <v>2301</v>
      </c>
      <c r="Y309" t="s">
        <v>77</v>
      </c>
      <c r="Z309">
        <v>0</v>
      </c>
      <c r="AA309" t="s">
        <v>14</v>
      </c>
      <c r="AB309" t="s">
        <v>15</v>
      </c>
      <c r="AC309" t="s">
        <v>2302</v>
      </c>
      <c r="AD309" t="s">
        <v>77</v>
      </c>
      <c r="AE309">
        <v>0</v>
      </c>
      <c r="AF309" t="s">
        <v>18</v>
      </c>
    </row>
    <row r="310" spans="1:32" x14ac:dyDescent="0.3">
      <c r="A310" t="s">
        <v>2162</v>
      </c>
      <c r="B310" t="s">
        <v>587</v>
      </c>
      <c r="C310">
        <v>2.5</v>
      </c>
      <c r="D310" t="s">
        <v>2163</v>
      </c>
      <c r="E310" t="s">
        <v>589</v>
      </c>
      <c r="F310">
        <v>5</v>
      </c>
      <c r="G310" t="s">
        <v>2174</v>
      </c>
      <c r="H310" t="s">
        <v>1999</v>
      </c>
      <c r="I310" t="s">
        <v>4</v>
      </c>
      <c r="J310">
        <v>246</v>
      </c>
      <c r="K310" t="s">
        <v>5</v>
      </c>
      <c r="L310">
        <v>134</v>
      </c>
      <c r="M310" t="s">
        <v>6</v>
      </c>
      <c r="N310">
        <v>-46.586485358314398</v>
      </c>
      <c r="O310" t="s">
        <v>7</v>
      </c>
      <c r="P310">
        <v>-0.18937595674111499</v>
      </c>
      <c r="Q310" t="s">
        <v>8</v>
      </c>
      <c r="R310">
        <v>0.81965190277794797</v>
      </c>
      <c r="S310" t="s">
        <v>9</v>
      </c>
      <c r="T310">
        <v>-1.39660571723713</v>
      </c>
      <c r="U310" t="s">
        <v>10</v>
      </c>
      <c r="V310">
        <v>0.35766381494183402</v>
      </c>
      <c r="W310" t="s">
        <v>11</v>
      </c>
      <c r="X310" t="s">
        <v>1463</v>
      </c>
      <c r="Y310" t="s">
        <v>720</v>
      </c>
      <c r="Z310">
        <v>0</v>
      </c>
      <c r="AA310" t="s">
        <v>14</v>
      </c>
      <c r="AB310" t="s">
        <v>15</v>
      </c>
      <c r="AC310" t="s">
        <v>1463</v>
      </c>
      <c r="AD310" t="s">
        <v>720</v>
      </c>
      <c r="AE310">
        <v>0</v>
      </c>
      <c r="AF310" t="s">
        <v>18</v>
      </c>
    </row>
    <row r="311" spans="1:32" x14ac:dyDescent="0.3">
      <c r="A311" t="s">
        <v>2162</v>
      </c>
      <c r="B311" t="s">
        <v>587</v>
      </c>
      <c r="C311">
        <v>2.5</v>
      </c>
      <c r="D311" t="s">
        <v>2163</v>
      </c>
      <c r="E311" t="s">
        <v>589</v>
      </c>
      <c r="F311">
        <v>5</v>
      </c>
      <c r="G311" t="s">
        <v>2174</v>
      </c>
      <c r="H311" t="s">
        <v>2002</v>
      </c>
      <c r="I311" t="s">
        <v>4</v>
      </c>
      <c r="J311">
        <v>246</v>
      </c>
      <c r="K311" t="s">
        <v>5</v>
      </c>
      <c r="L311">
        <v>170</v>
      </c>
      <c r="M311" t="s">
        <v>6</v>
      </c>
      <c r="N311">
        <v>10.743038355269301</v>
      </c>
      <c r="O311" t="s">
        <v>7</v>
      </c>
      <c r="P311">
        <v>4.3670887623046099E-2</v>
      </c>
      <c r="Q311" t="s">
        <v>8</v>
      </c>
      <c r="R311">
        <v>0.87343008651349396</v>
      </c>
      <c r="S311" t="s">
        <v>9</v>
      </c>
      <c r="T311">
        <v>-1.81236942568453</v>
      </c>
      <c r="U311" t="s">
        <v>10</v>
      </c>
      <c r="V311">
        <v>0.485238348513581</v>
      </c>
      <c r="W311" t="s">
        <v>11</v>
      </c>
      <c r="X311" t="s">
        <v>1463</v>
      </c>
      <c r="Y311" t="s">
        <v>720</v>
      </c>
      <c r="Z311">
        <v>0</v>
      </c>
      <c r="AA311" t="s">
        <v>14</v>
      </c>
      <c r="AB311" t="s">
        <v>15</v>
      </c>
      <c r="AC311" t="s">
        <v>2303</v>
      </c>
      <c r="AD311" t="s">
        <v>720</v>
      </c>
      <c r="AE311">
        <v>0</v>
      </c>
      <c r="AF311" t="s">
        <v>18</v>
      </c>
    </row>
    <row r="312" spans="1:32" x14ac:dyDescent="0.3">
      <c r="A312" t="s">
        <v>2162</v>
      </c>
      <c r="B312" t="s">
        <v>587</v>
      </c>
      <c r="C312">
        <v>2.5</v>
      </c>
      <c r="D312" t="s">
        <v>2163</v>
      </c>
      <c r="E312" t="s">
        <v>589</v>
      </c>
      <c r="F312">
        <v>5</v>
      </c>
      <c r="G312" t="s">
        <v>2174</v>
      </c>
      <c r="H312" t="s">
        <v>2004</v>
      </c>
      <c r="I312" t="s">
        <v>4</v>
      </c>
      <c r="J312">
        <v>246</v>
      </c>
      <c r="K312" t="s">
        <v>5</v>
      </c>
      <c r="L312">
        <v>176</v>
      </c>
      <c r="M312" t="s">
        <v>6</v>
      </c>
      <c r="N312">
        <v>35.123417087820897</v>
      </c>
      <c r="O312" t="s">
        <v>7</v>
      </c>
      <c r="P312">
        <v>0.14277811824317399</v>
      </c>
      <c r="Q312" t="s">
        <v>8</v>
      </c>
      <c r="R312">
        <v>0.90001766539667205</v>
      </c>
      <c r="S312" t="s">
        <v>9</v>
      </c>
      <c r="T312">
        <v>-1.7611384574570399</v>
      </c>
      <c r="U312" t="s">
        <v>10</v>
      </c>
      <c r="V312">
        <v>0.53140842377434905</v>
      </c>
      <c r="W312" t="s">
        <v>11</v>
      </c>
      <c r="X312" t="s">
        <v>1463</v>
      </c>
      <c r="Y312" t="s">
        <v>720</v>
      </c>
      <c r="Z312">
        <v>0</v>
      </c>
      <c r="AA312" t="s">
        <v>14</v>
      </c>
      <c r="AB312" t="s">
        <v>15</v>
      </c>
      <c r="AC312" t="s">
        <v>2303</v>
      </c>
      <c r="AD312" t="s">
        <v>720</v>
      </c>
      <c r="AE312">
        <v>0</v>
      </c>
      <c r="AF312" t="s">
        <v>18</v>
      </c>
    </row>
    <row r="313" spans="1:32" x14ac:dyDescent="0.3">
      <c r="A313" t="s">
        <v>2162</v>
      </c>
      <c r="B313" t="s">
        <v>587</v>
      </c>
      <c r="C313">
        <v>2.5</v>
      </c>
      <c r="D313" t="s">
        <v>2163</v>
      </c>
      <c r="E313" t="s">
        <v>589</v>
      </c>
      <c r="F313">
        <v>5</v>
      </c>
      <c r="G313" t="s">
        <v>2174</v>
      </c>
      <c r="H313" t="s">
        <v>2005</v>
      </c>
      <c r="I313" t="s">
        <v>4</v>
      </c>
      <c r="J313">
        <v>246</v>
      </c>
      <c r="K313" t="s">
        <v>5</v>
      </c>
      <c r="L313">
        <v>179</v>
      </c>
      <c r="M313" t="s">
        <v>6</v>
      </c>
      <c r="N313">
        <v>65.767874796419605</v>
      </c>
      <c r="O313" t="s">
        <v>7</v>
      </c>
      <c r="P313">
        <v>0.26734908453829098</v>
      </c>
      <c r="Q313" t="s">
        <v>8</v>
      </c>
      <c r="R313">
        <v>0.98273059780549799</v>
      </c>
      <c r="S313" t="s">
        <v>9</v>
      </c>
      <c r="T313">
        <v>-1.6438940628472301</v>
      </c>
      <c r="U313" t="s">
        <v>10</v>
      </c>
      <c r="V313">
        <v>0.60337830649274404</v>
      </c>
      <c r="W313" t="s">
        <v>11</v>
      </c>
      <c r="X313" t="s">
        <v>1463</v>
      </c>
      <c r="Y313" t="s">
        <v>720</v>
      </c>
      <c r="Z313">
        <v>0</v>
      </c>
      <c r="AA313" t="s">
        <v>14</v>
      </c>
      <c r="AB313" t="s">
        <v>15</v>
      </c>
      <c r="AC313" t="s">
        <v>2303</v>
      </c>
      <c r="AD313" t="s">
        <v>720</v>
      </c>
      <c r="AE313">
        <v>0</v>
      </c>
      <c r="AF313" t="s">
        <v>18</v>
      </c>
    </row>
    <row r="314" spans="1:32" x14ac:dyDescent="0.3">
      <c r="A314" t="s">
        <v>2162</v>
      </c>
      <c r="B314" t="s">
        <v>587</v>
      </c>
      <c r="C314">
        <v>5</v>
      </c>
      <c r="D314" t="s">
        <v>2163</v>
      </c>
      <c r="E314" t="s">
        <v>589</v>
      </c>
      <c r="F314">
        <v>7.5</v>
      </c>
      <c r="G314" t="s">
        <v>2</v>
      </c>
      <c r="H314" t="s">
        <v>1979</v>
      </c>
      <c r="I314" t="s">
        <v>4</v>
      </c>
      <c r="J314">
        <v>249</v>
      </c>
      <c r="K314" t="s">
        <v>5</v>
      </c>
      <c r="L314">
        <v>150</v>
      </c>
      <c r="M314" t="s">
        <v>6</v>
      </c>
      <c r="N314">
        <v>-13.64</v>
      </c>
      <c r="O314" t="s">
        <v>7</v>
      </c>
      <c r="P314">
        <v>-5.4779116465863399E-2</v>
      </c>
      <c r="Q314" t="s">
        <v>8</v>
      </c>
      <c r="R314">
        <v>0.48459999999999998</v>
      </c>
      <c r="S314" t="s">
        <v>9</v>
      </c>
      <c r="T314">
        <v>-0.87202020202020203</v>
      </c>
      <c r="U314" t="s">
        <v>10</v>
      </c>
      <c r="V314">
        <v>0.22548328924775901</v>
      </c>
      <c r="W314" t="s">
        <v>11</v>
      </c>
      <c r="X314" t="s">
        <v>2322</v>
      </c>
      <c r="Y314" t="s">
        <v>720</v>
      </c>
      <c r="Z314">
        <v>0</v>
      </c>
      <c r="AA314" t="s">
        <v>14</v>
      </c>
      <c r="AB314" t="s">
        <v>15</v>
      </c>
      <c r="AC314" t="s">
        <v>2304</v>
      </c>
      <c r="AD314" t="s">
        <v>2296</v>
      </c>
      <c r="AE314">
        <v>0</v>
      </c>
      <c r="AF314" t="s">
        <v>18</v>
      </c>
    </row>
    <row r="315" spans="1:32" x14ac:dyDescent="0.3">
      <c r="A315" t="s">
        <v>2162</v>
      </c>
      <c r="B315" t="s">
        <v>587</v>
      </c>
      <c r="C315">
        <v>5</v>
      </c>
      <c r="D315" t="s">
        <v>2163</v>
      </c>
      <c r="E315" t="s">
        <v>589</v>
      </c>
      <c r="F315">
        <v>7.5</v>
      </c>
      <c r="G315" t="s">
        <v>2</v>
      </c>
      <c r="H315" t="s">
        <v>1982</v>
      </c>
      <c r="I315" t="s">
        <v>4</v>
      </c>
      <c r="J315">
        <v>249</v>
      </c>
      <c r="K315" t="s">
        <v>5</v>
      </c>
      <c r="L315">
        <v>176</v>
      </c>
      <c r="M315" t="s">
        <v>6</v>
      </c>
      <c r="N315">
        <v>-20.049999999999901</v>
      </c>
      <c r="O315" t="s">
        <v>7</v>
      </c>
      <c r="P315">
        <v>-8.0522088353413401E-2</v>
      </c>
      <c r="Q315" t="s">
        <v>8</v>
      </c>
      <c r="R315">
        <v>0.48136363636363599</v>
      </c>
      <c r="S315" t="s">
        <v>9</v>
      </c>
      <c r="T315">
        <v>-1.4352054794520499</v>
      </c>
      <c r="U315" t="s">
        <v>10</v>
      </c>
      <c r="V315">
        <v>0.34164659312220602</v>
      </c>
      <c r="W315" t="s">
        <v>11</v>
      </c>
      <c r="X315" t="s">
        <v>2166</v>
      </c>
      <c r="Y315" t="s">
        <v>2167</v>
      </c>
      <c r="Z315">
        <v>0</v>
      </c>
      <c r="AA315" t="s">
        <v>14</v>
      </c>
      <c r="AB315" t="s">
        <v>15</v>
      </c>
      <c r="AC315" t="s">
        <v>2305</v>
      </c>
      <c r="AD315" t="s">
        <v>2269</v>
      </c>
      <c r="AE315">
        <v>0</v>
      </c>
      <c r="AF315" t="s">
        <v>18</v>
      </c>
    </row>
    <row r="316" spans="1:32" x14ac:dyDescent="0.3">
      <c r="A316" t="s">
        <v>2162</v>
      </c>
      <c r="B316" t="s">
        <v>587</v>
      </c>
      <c r="C316">
        <v>5</v>
      </c>
      <c r="D316" t="s">
        <v>2163</v>
      </c>
      <c r="E316" t="s">
        <v>589</v>
      </c>
      <c r="F316">
        <v>7.5</v>
      </c>
      <c r="G316" t="s">
        <v>2</v>
      </c>
      <c r="H316" t="s">
        <v>1985</v>
      </c>
      <c r="I316" t="s">
        <v>4</v>
      </c>
      <c r="J316">
        <v>249</v>
      </c>
      <c r="K316" t="s">
        <v>5</v>
      </c>
      <c r="L316">
        <v>180</v>
      </c>
      <c r="M316" t="s">
        <v>6</v>
      </c>
      <c r="N316">
        <v>-24.979999999999901</v>
      </c>
      <c r="O316" t="s">
        <v>7</v>
      </c>
      <c r="P316">
        <v>-0.100321285140562</v>
      </c>
      <c r="Q316" t="s">
        <v>8</v>
      </c>
      <c r="R316">
        <v>0.47911111111111099</v>
      </c>
      <c r="S316" t="s">
        <v>9</v>
      </c>
      <c r="T316">
        <v>-1.6118840579710101</v>
      </c>
      <c r="U316" t="s">
        <v>10</v>
      </c>
      <c r="V316">
        <v>0.36206413678527699</v>
      </c>
      <c r="W316" t="s">
        <v>11</v>
      </c>
      <c r="X316" t="s">
        <v>2166</v>
      </c>
      <c r="Y316" t="s">
        <v>2167</v>
      </c>
      <c r="Z316">
        <v>0</v>
      </c>
      <c r="AA316" t="s">
        <v>14</v>
      </c>
      <c r="AB316" t="s">
        <v>15</v>
      </c>
      <c r="AC316" t="s">
        <v>2305</v>
      </c>
      <c r="AD316" t="s">
        <v>2269</v>
      </c>
      <c r="AE316">
        <v>0</v>
      </c>
      <c r="AF316" t="s">
        <v>18</v>
      </c>
    </row>
    <row r="317" spans="1:32" x14ac:dyDescent="0.3">
      <c r="A317" t="s">
        <v>2162</v>
      </c>
      <c r="B317" t="s">
        <v>587</v>
      </c>
      <c r="C317">
        <v>5</v>
      </c>
      <c r="D317" t="s">
        <v>2163</v>
      </c>
      <c r="E317" t="s">
        <v>589</v>
      </c>
      <c r="F317">
        <v>7.5</v>
      </c>
      <c r="G317" t="s">
        <v>2</v>
      </c>
      <c r="H317" t="s">
        <v>1988</v>
      </c>
      <c r="I317" t="s">
        <v>4</v>
      </c>
      <c r="J317">
        <v>249</v>
      </c>
      <c r="K317" t="s">
        <v>5</v>
      </c>
      <c r="L317">
        <v>180</v>
      </c>
      <c r="M317" t="s">
        <v>6</v>
      </c>
      <c r="N317">
        <v>-25.1799999999999</v>
      </c>
      <c r="O317" t="s">
        <v>7</v>
      </c>
      <c r="P317">
        <v>-0.101124497991967</v>
      </c>
      <c r="Q317" t="s">
        <v>8</v>
      </c>
      <c r="R317">
        <v>0.47911111111111099</v>
      </c>
      <c r="S317" t="s">
        <v>9</v>
      </c>
      <c r="T317">
        <v>-1.61478260869565</v>
      </c>
      <c r="U317" t="s">
        <v>10</v>
      </c>
      <c r="V317">
        <v>0.36839227994344997</v>
      </c>
      <c r="W317" t="s">
        <v>11</v>
      </c>
      <c r="X317" t="s">
        <v>2166</v>
      </c>
      <c r="Y317" t="s">
        <v>2167</v>
      </c>
      <c r="Z317">
        <v>0</v>
      </c>
      <c r="AA317" t="s">
        <v>14</v>
      </c>
      <c r="AB317" t="s">
        <v>15</v>
      </c>
      <c r="AC317" t="s">
        <v>2305</v>
      </c>
      <c r="AD317" t="s">
        <v>2269</v>
      </c>
      <c r="AE317">
        <v>0</v>
      </c>
      <c r="AF317" t="s">
        <v>18</v>
      </c>
    </row>
    <row r="318" spans="1:32" x14ac:dyDescent="0.3">
      <c r="A318" t="s">
        <v>2162</v>
      </c>
      <c r="B318" t="s">
        <v>587</v>
      </c>
      <c r="C318">
        <v>5</v>
      </c>
      <c r="D318" t="s">
        <v>2163</v>
      </c>
      <c r="E318" t="s">
        <v>589</v>
      </c>
      <c r="F318">
        <v>7.5</v>
      </c>
      <c r="G318" t="s">
        <v>27</v>
      </c>
      <c r="H318" t="s">
        <v>1991</v>
      </c>
      <c r="I318" t="s">
        <v>4</v>
      </c>
      <c r="J318">
        <v>258</v>
      </c>
      <c r="K318" t="s">
        <v>5</v>
      </c>
      <c r="L318">
        <v>155</v>
      </c>
      <c r="M318" t="s">
        <v>6</v>
      </c>
      <c r="N318">
        <v>-13.61</v>
      </c>
      <c r="O318" t="s">
        <v>7</v>
      </c>
      <c r="P318">
        <v>-5.2751937984496101E-2</v>
      </c>
      <c r="Q318" t="s">
        <v>8</v>
      </c>
      <c r="R318">
        <v>0.59503225806451499</v>
      </c>
      <c r="S318" t="s">
        <v>9</v>
      </c>
      <c r="T318">
        <v>-1.0275728155339801</v>
      </c>
      <c r="U318" t="s">
        <v>10</v>
      </c>
      <c r="V318">
        <v>0.28426172133982902</v>
      </c>
      <c r="W318" t="s">
        <v>11</v>
      </c>
      <c r="X318" t="s">
        <v>2170</v>
      </c>
      <c r="Y318" t="s">
        <v>2171</v>
      </c>
      <c r="Z318">
        <v>0</v>
      </c>
      <c r="AA318" t="s">
        <v>14</v>
      </c>
      <c r="AB318" t="s">
        <v>15</v>
      </c>
      <c r="AC318" t="s">
        <v>2306</v>
      </c>
      <c r="AD318" t="s">
        <v>2171</v>
      </c>
      <c r="AE318">
        <v>0</v>
      </c>
      <c r="AF318" t="s">
        <v>18</v>
      </c>
    </row>
    <row r="319" spans="1:32" x14ac:dyDescent="0.3">
      <c r="A319" t="s">
        <v>2162</v>
      </c>
      <c r="B319" t="s">
        <v>587</v>
      </c>
      <c r="C319">
        <v>5</v>
      </c>
      <c r="D319" t="s">
        <v>2163</v>
      </c>
      <c r="E319" t="s">
        <v>589</v>
      </c>
      <c r="F319">
        <v>7.5</v>
      </c>
      <c r="G319" t="s">
        <v>27</v>
      </c>
      <c r="H319" t="s">
        <v>1994</v>
      </c>
      <c r="I319" t="s">
        <v>4</v>
      </c>
      <c r="J319">
        <v>258</v>
      </c>
      <c r="K319" t="s">
        <v>5</v>
      </c>
      <c r="L319">
        <v>184</v>
      </c>
      <c r="M319" t="s">
        <v>6</v>
      </c>
      <c r="N319">
        <v>-11.8399999999999</v>
      </c>
      <c r="O319" t="s">
        <v>7</v>
      </c>
      <c r="P319">
        <v>-4.5891472868217001E-2</v>
      </c>
      <c r="Q319" t="s">
        <v>8</v>
      </c>
      <c r="R319">
        <v>0.58951086956521703</v>
      </c>
      <c r="S319" t="s">
        <v>9</v>
      </c>
      <c r="T319">
        <v>-1.62581081081081</v>
      </c>
      <c r="U319" t="s">
        <v>10</v>
      </c>
      <c r="V319">
        <v>0.38318053747484299</v>
      </c>
      <c r="W319" t="s">
        <v>11</v>
      </c>
      <c r="X319" t="s">
        <v>2170</v>
      </c>
      <c r="Y319" t="s">
        <v>2171</v>
      </c>
      <c r="Z319">
        <v>0</v>
      </c>
      <c r="AA319" t="s">
        <v>14</v>
      </c>
      <c r="AB319" t="s">
        <v>15</v>
      </c>
      <c r="AC319" t="s">
        <v>242</v>
      </c>
      <c r="AD319" t="s">
        <v>2269</v>
      </c>
      <c r="AE319">
        <v>0</v>
      </c>
      <c r="AF319" t="s">
        <v>18</v>
      </c>
    </row>
    <row r="320" spans="1:32" x14ac:dyDescent="0.3">
      <c r="A320" t="s">
        <v>2162</v>
      </c>
      <c r="B320" t="s">
        <v>587</v>
      </c>
      <c r="C320">
        <v>5</v>
      </c>
      <c r="D320" t="s">
        <v>2163</v>
      </c>
      <c r="E320" t="s">
        <v>589</v>
      </c>
      <c r="F320">
        <v>7.5</v>
      </c>
      <c r="G320" t="s">
        <v>27</v>
      </c>
      <c r="H320" t="s">
        <v>1996</v>
      </c>
      <c r="I320" t="s">
        <v>4</v>
      </c>
      <c r="J320">
        <v>258</v>
      </c>
      <c r="K320" t="s">
        <v>5</v>
      </c>
      <c r="L320">
        <v>187</v>
      </c>
      <c r="M320" t="s">
        <v>6</v>
      </c>
      <c r="N320">
        <v>-15.85</v>
      </c>
      <c r="O320" t="s">
        <v>7</v>
      </c>
      <c r="P320">
        <v>-6.1434108527131798E-2</v>
      </c>
      <c r="Q320" t="s">
        <v>8</v>
      </c>
      <c r="R320">
        <v>0.58796791443850205</v>
      </c>
      <c r="S320" t="s">
        <v>9</v>
      </c>
      <c r="T320">
        <v>-1.7718309859154899</v>
      </c>
      <c r="U320" t="s">
        <v>10</v>
      </c>
      <c r="V320">
        <v>0.39781450683700498</v>
      </c>
      <c r="W320" t="s">
        <v>11</v>
      </c>
      <c r="X320" t="s">
        <v>2170</v>
      </c>
      <c r="Y320" t="s">
        <v>2171</v>
      </c>
      <c r="Z320">
        <v>0</v>
      </c>
      <c r="AA320" t="s">
        <v>14</v>
      </c>
      <c r="AB320" t="s">
        <v>15</v>
      </c>
      <c r="AC320" t="s">
        <v>242</v>
      </c>
      <c r="AD320" t="s">
        <v>2269</v>
      </c>
      <c r="AE320">
        <v>0</v>
      </c>
      <c r="AF320" t="s">
        <v>18</v>
      </c>
    </row>
    <row r="321" spans="1:32" x14ac:dyDescent="0.3">
      <c r="A321" t="s">
        <v>2162</v>
      </c>
      <c r="B321" t="s">
        <v>587</v>
      </c>
      <c r="C321">
        <v>5</v>
      </c>
      <c r="D321" t="s">
        <v>2163</v>
      </c>
      <c r="E321" t="s">
        <v>589</v>
      </c>
      <c r="F321">
        <v>7.5</v>
      </c>
      <c r="G321" t="s">
        <v>27</v>
      </c>
      <c r="H321" t="s">
        <v>1997</v>
      </c>
      <c r="I321" t="s">
        <v>4</v>
      </c>
      <c r="J321">
        <v>258</v>
      </c>
      <c r="K321" t="s">
        <v>5</v>
      </c>
      <c r="L321">
        <v>188</v>
      </c>
      <c r="M321" t="s">
        <v>6</v>
      </c>
      <c r="N321">
        <v>-11.6025586534331</v>
      </c>
      <c r="O321" t="s">
        <v>7</v>
      </c>
      <c r="P321">
        <v>-4.4971157571446402E-2</v>
      </c>
      <c r="Q321" t="s">
        <v>8</v>
      </c>
      <c r="R321">
        <v>0.59026595744680799</v>
      </c>
      <c r="S321" t="s">
        <v>9</v>
      </c>
      <c r="T321">
        <v>-1.7510365521919</v>
      </c>
      <c r="U321" t="s">
        <v>10</v>
      </c>
      <c r="V321">
        <v>0.41816984522621797</v>
      </c>
      <c r="W321" t="s">
        <v>11</v>
      </c>
      <c r="X321" t="s">
        <v>2220</v>
      </c>
      <c r="Y321" t="s">
        <v>2221</v>
      </c>
      <c r="Z321">
        <v>0</v>
      </c>
      <c r="AA321" t="s">
        <v>14</v>
      </c>
      <c r="AB321" t="s">
        <v>15</v>
      </c>
      <c r="AC321" t="s">
        <v>2307</v>
      </c>
      <c r="AD321" t="s">
        <v>2221</v>
      </c>
      <c r="AE321">
        <v>0</v>
      </c>
      <c r="AF321" t="s">
        <v>18</v>
      </c>
    </row>
    <row r="322" spans="1:32" x14ac:dyDescent="0.3">
      <c r="A322" t="s">
        <v>2162</v>
      </c>
      <c r="B322" t="s">
        <v>587</v>
      </c>
      <c r="C322">
        <v>5</v>
      </c>
      <c r="D322" t="s">
        <v>2163</v>
      </c>
      <c r="E322" t="s">
        <v>589</v>
      </c>
      <c r="F322">
        <v>7.5</v>
      </c>
      <c r="G322" t="s">
        <v>2174</v>
      </c>
      <c r="H322" t="s">
        <v>1999</v>
      </c>
      <c r="I322" t="s">
        <v>4</v>
      </c>
      <c r="J322">
        <v>246</v>
      </c>
      <c r="K322" t="s">
        <v>5</v>
      </c>
      <c r="L322">
        <v>147</v>
      </c>
      <c r="M322" t="s">
        <v>6</v>
      </c>
      <c r="N322">
        <v>-2.6512728488683699</v>
      </c>
      <c r="O322" t="s">
        <v>7</v>
      </c>
      <c r="P322">
        <v>-1.0777531905968999E-2</v>
      </c>
      <c r="Q322" t="s">
        <v>8</v>
      </c>
      <c r="R322">
        <v>0.76989916720227802</v>
      </c>
      <c r="S322" t="s">
        <v>9</v>
      </c>
      <c r="T322">
        <v>-1.1699641457333601</v>
      </c>
      <c r="U322" t="s">
        <v>10</v>
      </c>
      <c r="V322">
        <v>0.31845530828792801</v>
      </c>
      <c r="W322" t="s">
        <v>11</v>
      </c>
      <c r="X322" t="s">
        <v>2308</v>
      </c>
      <c r="Y322" t="s">
        <v>2309</v>
      </c>
      <c r="Z322">
        <v>0</v>
      </c>
      <c r="AA322" t="s">
        <v>14</v>
      </c>
      <c r="AB322" t="s">
        <v>15</v>
      </c>
      <c r="AC322" t="s">
        <v>2310</v>
      </c>
      <c r="AD322" t="s">
        <v>718</v>
      </c>
      <c r="AE322">
        <v>0</v>
      </c>
      <c r="AF322" t="s">
        <v>18</v>
      </c>
    </row>
    <row r="323" spans="1:32" x14ac:dyDescent="0.3">
      <c r="A323" t="s">
        <v>2162</v>
      </c>
      <c r="B323" t="s">
        <v>587</v>
      </c>
      <c r="C323">
        <v>5</v>
      </c>
      <c r="D323" t="s">
        <v>2163</v>
      </c>
      <c r="E323" t="s">
        <v>589</v>
      </c>
      <c r="F323">
        <v>7.5</v>
      </c>
      <c r="G323" t="s">
        <v>2174</v>
      </c>
      <c r="H323" t="s">
        <v>2002</v>
      </c>
      <c r="I323" t="s">
        <v>4</v>
      </c>
      <c r="J323">
        <v>246</v>
      </c>
      <c r="K323" t="s">
        <v>5</v>
      </c>
      <c r="L323">
        <v>183</v>
      </c>
      <c r="M323" t="s">
        <v>6</v>
      </c>
      <c r="N323">
        <v>28.258727151131499</v>
      </c>
      <c r="O323" t="s">
        <v>7</v>
      </c>
      <c r="P323">
        <v>0.114872874598095</v>
      </c>
      <c r="Q323" t="s">
        <v>8</v>
      </c>
      <c r="R323">
        <v>0.770387591668238</v>
      </c>
      <c r="S323" t="s">
        <v>9</v>
      </c>
      <c r="T323">
        <v>-1.7892413035580299</v>
      </c>
      <c r="U323" t="s">
        <v>10</v>
      </c>
      <c r="V323">
        <v>0.42276090046985099</v>
      </c>
      <c r="W323" t="s">
        <v>11</v>
      </c>
      <c r="X323" t="s">
        <v>2308</v>
      </c>
      <c r="Y323" t="s">
        <v>2309</v>
      </c>
      <c r="Z323">
        <v>0</v>
      </c>
      <c r="AA323" t="s">
        <v>14</v>
      </c>
      <c r="AB323" t="s">
        <v>15</v>
      </c>
      <c r="AC323" t="s">
        <v>2310</v>
      </c>
      <c r="AD323" t="s">
        <v>718</v>
      </c>
      <c r="AE323">
        <v>0</v>
      </c>
      <c r="AF323" t="s">
        <v>18</v>
      </c>
    </row>
    <row r="324" spans="1:32" x14ac:dyDescent="0.3">
      <c r="A324" t="s">
        <v>2162</v>
      </c>
      <c r="B324" t="s">
        <v>587</v>
      </c>
      <c r="C324">
        <v>5</v>
      </c>
      <c r="D324" t="s">
        <v>2163</v>
      </c>
      <c r="E324" t="s">
        <v>589</v>
      </c>
      <c r="F324">
        <v>7.5</v>
      </c>
      <c r="G324" t="s">
        <v>2174</v>
      </c>
      <c r="H324" t="s">
        <v>2004</v>
      </c>
      <c r="I324" t="s">
        <v>4</v>
      </c>
      <c r="J324">
        <v>246</v>
      </c>
      <c r="K324" t="s">
        <v>5</v>
      </c>
      <c r="L324">
        <v>188</v>
      </c>
      <c r="M324" t="s">
        <v>6</v>
      </c>
      <c r="N324">
        <v>33.234843582878298</v>
      </c>
      <c r="O324" t="s">
        <v>7</v>
      </c>
      <c r="P324">
        <v>0.13510099017430199</v>
      </c>
      <c r="Q324" t="s">
        <v>8</v>
      </c>
      <c r="R324">
        <v>0.76713260252812498</v>
      </c>
      <c r="S324" t="s">
        <v>9</v>
      </c>
      <c r="T324">
        <v>-1.9135532015932599</v>
      </c>
      <c r="U324" t="s">
        <v>10</v>
      </c>
      <c r="V324">
        <v>0.46725794932495501</v>
      </c>
      <c r="W324" t="s">
        <v>11</v>
      </c>
      <c r="X324" t="s">
        <v>2265</v>
      </c>
      <c r="Y324" t="s">
        <v>2186</v>
      </c>
      <c r="Z324">
        <v>0</v>
      </c>
      <c r="AA324" t="s">
        <v>14</v>
      </c>
      <c r="AB324" t="s">
        <v>15</v>
      </c>
      <c r="AC324" t="s">
        <v>2311</v>
      </c>
      <c r="AD324" t="s">
        <v>158</v>
      </c>
      <c r="AE324">
        <v>0</v>
      </c>
      <c r="AF324" t="s">
        <v>18</v>
      </c>
    </row>
    <row r="325" spans="1:32" x14ac:dyDescent="0.3">
      <c r="A325" t="s">
        <v>2162</v>
      </c>
      <c r="B325" t="s">
        <v>587</v>
      </c>
      <c r="C325">
        <v>5</v>
      </c>
      <c r="D325" t="s">
        <v>2163</v>
      </c>
      <c r="E325" t="s">
        <v>589</v>
      </c>
      <c r="F325">
        <v>7.5</v>
      </c>
      <c r="G325" t="s">
        <v>2174</v>
      </c>
      <c r="H325" t="s">
        <v>2005</v>
      </c>
      <c r="I325" t="s">
        <v>4</v>
      </c>
      <c r="J325">
        <v>246</v>
      </c>
      <c r="K325" t="s">
        <v>5</v>
      </c>
      <c r="L325">
        <v>191</v>
      </c>
      <c r="M325" t="s">
        <v>6</v>
      </c>
      <c r="N325">
        <v>32.084865170546898</v>
      </c>
      <c r="O325" t="s">
        <v>7</v>
      </c>
      <c r="P325">
        <v>0.13042628118108501</v>
      </c>
      <c r="Q325" t="s">
        <v>8</v>
      </c>
      <c r="R325">
        <v>0.76539753547270895</v>
      </c>
      <c r="S325" t="s">
        <v>9</v>
      </c>
      <c r="T325">
        <v>-2.0746557109952799</v>
      </c>
      <c r="U325" t="s">
        <v>10</v>
      </c>
      <c r="V325">
        <v>0.53128938501848499</v>
      </c>
      <c r="W325" t="s">
        <v>11</v>
      </c>
      <c r="X325" t="s">
        <v>2233</v>
      </c>
      <c r="Y325" t="s">
        <v>635</v>
      </c>
      <c r="Z325">
        <v>0</v>
      </c>
      <c r="AA325" t="s">
        <v>14</v>
      </c>
      <c r="AB325" t="s">
        <v>15</v>
      </c>
      <c r="AC325" t="s">
        <v>2312</v>
      </c>
      <c r="AD325" t="s">
        <v>2221</v>
      </c>
      <c r="AE325">
        <v>0</v>
      </c>
      <c r="AF325" t="s">
        <v>18</v>
      </c>
    </row>
    <row r="326" spans="1:32" x14ac:dyDescent="0.3">
      <c r="A326" t="s">
        <v>2162</v>
      </c>
      <c r="B326" t="s">
        <v>587</v>
      </c>
      <c r="C326">
        <v>7.5</v>
      </c>
      <c r="D326" t="s">
        <v>2163</v>
      </c>
      <c r="E326" t="s">
        <v>589</v>
      </c>
      <c r="F326">
        <v>10</v>
      </c>
      <c r="G326" t="s">
        <v>2</v>
      </c>
      <c r="H326" t="s">
        <v>1979</v>
      </c>
      <c r="I326" t="s">
        <v>4</v>
      </c>
      <c r="J326">
        <v>249</v>
      </c>
      <c r="K326" t="s">
        <v>5</v>
      </c>
      <c r="L326">
        <v>154</v>
      </c>
      <c r="M326" t="s">
        <v>6</v>
      </c>
      <c r="N326">
        <v>-7.9199999999999902</v>
      </c>
      <c r="O326" t="s">
        <v>7</v>
      </c>
      <c r="P326">
        <v>-3.1807228915662601E-2</v>
      </c>
      <c r="Q326" t="s">
        <v>8</v>
      </c>
      <c r="R326">
        <v>0.33824675324675302</v>
      </c>
      <c r="S326" t="s">
        <v>9</v>
      </c>
      <c r="T326">
        <v>-0.63168421052631596</v>
      </c>
      <c r="U326" t="s">
        <v>10</v>
      </c>
      <c r="V326">
        <v>0.17810859852390201</v>
      </c>
      <c r="W326" t="s">
        <v>11</v>
      </c>
      <c r="X326" t="s">
        <v>2196</v>
      </c>
      <c r="Y326" t="s">
        <v>720</v>
      </c>
      <c r="Z326">
        <v>0</v>
      </c>
      <c r="AA326" t="s">
        <v>14</v>
      </c>
      <c r="AB326" t="s">
        <v>15</v>
      </c>
      <c r="AC326" t="s">
        <v>2313</v>
      </c>
      <c r="AD326" t="s">
        <v>2123</v>
      </c>
      <c r="AE326">
        <v>0</v>
      </c>
      <c r="AF326" t="s">
        <v>18</v>
      </c>
    </row>
    <row r="327" spans="1:32" x14ac:dyDescent="0.3">
      <c r="A327" t="s">
        <v>2162</v>
      </c>
      <c r="B327" t="s">
        <v>587</v>
      </c>
      <c r="C327">
        <v>7.5</v>
      </c>
      <c r="D327" t="s">
        <v>2163</v>
      </c>
      <c r="E327" t="s">
        <v>589</v>
      </c>
      <c r="F327">
        <v>10</v>
      </c>
      <c r="G327" t="s">
        <v>2</v>
      </c>
      <c r="H327" t="s">
        <v>1982</v>
      </c>
      <c r="I327" t="s">
        <v>4</v>
      </c>
      <c r="J327">
        <v>249</v>
      </c>
      <c r="K327" t="s">
        <v>5</v>
      </c>
      <c r="L327">
        <v>179</v>
      </c>
      <c r="M327" t="s">
        <v>6</v>
      </c>
      <c r="N327">
        <v>-16.479999999999901</v>
      </c>
      <c r="O327" t="s">
        <v>7</v>
      </c>
      <c r="P327">
        <v>-6.6184738955822997E-2</v>
      </c>
      <c r="Q327" t="s">
        <v>8</v>
      </c>
      <c r="R327">
        <v>0.35642458100558599</v>
      </c>
      <c r="S327" t="s">
        <v>9</v>
      </c>
      <c r="T327">
        <v>-1.1468571428571399</v>
      </c>
      <c r="U327" t="s">
        <v>10</v>
      </c>
      <c r="V327">
        <v>0.31245542760599399</v>
      </c>
      <c r="W327" t="s">
        <v>11</v>
      </c>
      <c r="X327" t="s">
        <v>2314</v>
      </c>
      <c r="Y327" t="s">
        <v>1478</v>
      </c>
      <c r="Z327">
        <v>0</v>
      </c>
      <c r="AA327" t="s">
        <v>14</v>
      </c>
      <c r="AB327" t="s">
        <v>15</v>
      </c>
      <c r="AC327" t="s">
        <v>2315</v>
      </c>
      <c r="AD327" t="s">
        <v>2269</v>
      </c>
      <c r="AE327">
        <v>0</v>
      </c>
      <c r="AF327" t="s">
        <v>18</v>
      </c>
    </row>
    <row r="328" spans="1:32" x14ac:dyDescent="0.3">
      <c r="A328" t="s">
        <v>2162</v>
      </c>
      <c r="B328" t="s">
        <v>587</v>
      </c>
      <c r="C328">
        <v>7.5</v>
      </c>
      <c r="D328" t="s">
        <v>2163</v>
      </c>
      <c r="E328" t="s">
        <v>589</v>
      </c>
      <c r="F328">
        <v>10</v>
      </c>
      <c r="G328" t="s">
        <v>2</v>
      </c>
      <c r="H328" t="s">
        <v>1985</v>
      </c>
      <c r="I328" t="s">
        <v>4</v>
      </c>
      <c r="J328">
        <v>249</v>
      </c>
      <c r="K328" t="s">
        <v>5</v>
      </c>
      <c r="L328">
        <v>188</v>
      </c>
      <c r="M328" t="s">
        <v>6</v>
      </c>
      <c r="N328">
        <v>-23.869999999999798</v>
      </c>
      <c r="O328" t="s">
        <v>7</v>
      </c>
      <c r="P328">
        <v>-9.5863453815260596E-2</v>
      </c>
      <c r="Q328" t="s">
        <v>8</v>
      </c>
      <c r="R328">
        <v>0.34909574468085097</v>
      </c>
      <c r="S328" t="s">
        <v>9</v>
      </c>
      <c r="T328">
        <v>-1.4672131147540901</v>
      </c>
      <c r="U328" t="s">
        <v>10</v>
      </c>
      <c r="V328">
        <v>0.33503760754825102</v>
      </c>
      <c r="W328" t="s">
        <v>11</v>
      </c>
      <c r="X328" t="s">
        <v>2314</v>
      </c>
      <c r="Y328" t="s">
        <v>1478</v>
      </c>
      <c r="Z328">
        <v>0</v>
      </c>
      <c r="AA328" t="s">
        <v>14</v>
      </c>
      <c r="AB328" t="s">
        <v>15</v>
      </c>
      <c r="AC328" t="s">
        <v>2315</v>
      </c>
      <c r="AD328" t="s">
        <v>2269</v>
      </c>
      <c r="AE328">
        <v>0</v>
      </c>
      <c r="AF328" t="s">
        <v>18</v>
      </c>
    </row>
    <row r="329" spans="1:32" x14ac:dyDescent="0.3">
      <c r="A329" t="s">
        <v>2162</v>
      </c>
      <c r="B329" t="s">
        <v>587</v>
      </c>
      <c r="C329">
        <v>7.5</v>
      </c>
      <c r="D329" t="s">
        <v>2163</v>
      </c>
      <c r="E329" t="s">
        <v>589</v>
      </c>
      <c r="F329">
        <v>10</v>
      </c>
      <c r="G329" t="s">
        <v>2</v>
      </c>
      <c r="H329" t="s">
        <v>1988</v>
      </c>
      <c r="I329" t="s">
        <v>4</v>
      </c>
      <c r="J329">
        <v>249</v>
      </c>
      <c r="K329" t="s">
        <v>5</v>
      </c>
      <c r="L329">
        <v>192</v>
      </c>
      <c r="M329" t="s">
        <v>6</v>
      </c>
      <c r="N329">
        <v>-25.249999999999801</v>
      </c>
      <c r="O329" t="s">
        <v>7</v>
      </c>
      <c r="P329">
        <v>-0.101405622489959</v>
      </c>
      <c r="Q329" t="s">
        <v>8</v>
      </c>
      <c r="R329">
        <v>0.34526041666666601</v>
      </c>
      <c r="S329" t="s">
        <v>9</v>
      </c>
      <c r="T329">
        <v>-1.60596491228069</v>
      </c>
      <c r="U329" t="s">
        <v>10</v>
      </c>
      <c r="V329">
        <v>0.351833344691803</v>
      </c>
      <c r="W329" t="s">
        <v>11</v>
      </c>
      <c r="X329" t="s">
        <v>2314</v>
      </c>
      <c r="Y329" t="s">
        <v>1478</v>
      </c>
      <c r="Z329">
        <v>0</v>
      </c>
      <c r="AA329" t="s">
        <v>14</v>
      </c>
      <c r="AB329" t="s">
        <v>15</v>
      </c>
      <c r="AC329" t="s">
        <v>2315</v>
      </c>
      <c r="AD329" t="s">
        <v>2269</v>
      </c>
      <c r="AE329">
        <v>0</v>
      </c>
      <c r="AF329" t="s">
        <v>18</v>
      </c>
    </row>
    <row r="330" spans="1:32" x14ac:dyDescent="0.3">
      <c r="A330" t="s">
        <v>2162</v>
      </c>
      <c r="B330" t="s">
        <v>587</v>
      </c>
      <c r="C330">
        <v>7.5</v>
      </c>
      <c r="D330" t="s">
        <v>2163</v>
      </c>
      <c r="E330" t="s">
        <v>589</v>
      </c>
      <c r="F330">
        <v>10</v>
      </c>
      <c r="G330" t="s">
        <v>27</v>
      </c>
      <c r="H330" t="s">
        <v>1991</v>
      </c>
      <c r="I330" t="s">
        <v>4</v>
      </c>
      <c r="J330">
        <v>258</v>
      </c>
      <c r="K330" t="s">
        <v>5</v>
      </c>
      <c r="L330">
        <v>156</v>
      </c>
      <c r="M330" t="s">
        <v>6</v>
      </c>
      <c r="N330">
        <v>-13.7699999999999</v>
      </c>
      <c r="O330" t="s">
        <v>7</v>
      </c>
      <c r="P330">
        <v>-5.3372093023255698E-2</v>
      </c>
      <c r="Q330" t="s">
        <v>8</v>
      </c>
      <c r="R330">
        <v>0.44794871794871799</v>
      </c>
      <c r="S330" t="s">
        <v>9</v>
      </c>
      <c r="T330">
        <v>-0.82009803921568603</v>
      </c>
      <c r="U330" t="s">
        <v>10</v>
      </c>
      <c r="V330">
        <v>0.23826680589622801</v>
      </c>
      <c r="W330" t="s">
        <v>11</v>
      </c>
      <c r="X330" t="s">
        <v>2164</v>
      </c>
      <c r="Y330" t="s">
        <v>1278</v>
      </c>
      <c r="Z330">
        <v>0</v>
      </c>
      <c r="AA330" t="s">
        <v>14</v>
      </c>
      <c r="AB330" t="s">
        <v>15</v>
      </c>
      <c r="AC330" t="s">
        <v>2313</v>
      </c>
      <c r="AD330" t="s">
        <v>2123</v>
      </c>
      <c r="AE330">
        <v>0</v>
      </c>
      <c r="AF330" t="s">
        <v>18</v>
      </c>
    </row>
    <row r="331" spans="1:32" x14ac:dyDescent="0.3">
      <c r="A331" t="s">
        <v>2162</v>
      </c>
      <c r="B331" t="s">
        <v>587</v>
      </c>
      <c r="C331">
        <v>7.5</v>
      </c>
      <c r="D331" t="s">
        <v>2163</v>
      </c>
      <c r="E331" t="s">
        <v>589</v>
      </c>
      <c r="F331">
        <v>10</v>
      </c>
      <c r="G331" t="s">
        <v>27</v>
      </c>
      <c r="H331" t="s">
        <v>1994</v>
      </c>
      <c r="I331" t="s">
        <v>4</v>
      </c>
      <c r="J331">
        <v>258</v>
      </c>
      <c r="K331" t="s">
        <v>5</v>
      </c>
      <c r="L331">
        <v>189</v>
      </c>
      <c r="M331" t="s">
        <v>6</v>
      </c>
      <c r="N331">
        <v>-3.9299999999998798</v>
      </c>
      <c r="O331" t="s">
        <v>7</v>
      </c>
      <c r="P331">
        <v>-1.52325581395344E-2</v>
      </c>
      <c r="Q331" t="s">
        <v>8</v>
      </c>
      <c r="R331">
        <v>0.48026455026455001</v>
      </c>
      <c r="S331" t="s">
        <v>9</v>
      </c>
      <c r="T331">
        <v>-1.37246376811594</v>
      </c>
      <c r="U331" t="s">
        <v>10</v>
      </c>
      <c r="V331">
        <v>0.35250700244781802</v>
      </c>
      <c r="W331" t="s">
        <v>11</v>
      </c>
      <c r="X331" t="s">
        <v>2316</v>
      </c>
      <c r="Y331" t="s">
        <v>2048</v>
      </c>
      <c r="Z331">
        <v>0</v>
      </c>
      <c r="AA331" t="s">
        <v>14</v>
      </c>
      <c r="AB331" t="s">
        <v>15</v>
      </c>
      <c r="AC331" t="s">
        <v>2315</v>
      </c>
      <c r="AD331" t="s">
        <v>2269</v>
      </c>
      <c r="AE331">
        <v>0</v>
      </c>
      <c r="AF331" t="s">
        <v>18</v>
      </c>
    </row>
    <row r="332" spans="1:32" x14ac:dyDescent="0.3">
      <c r="A332" t="s">
        <v>2162</v>
      </c>
      <c r="B332" t="s">
        <v>587</v>
      </c>
      <c r="C332">
        <v>7.5</v>
      </c>
      <c r="D332" t="s">
        <v>2163</v>
      </c>
      <c r="E332" t="s">
        <v>589</v>
      </c>
      <c r="F332">
        <v>10</v>
      </c>
      <c r="G332" t="s">
        <v>27</v>
      </c>
      <c r="H332" t="s">
        <v>1996</v>
      </c>
      <c r="I332" t="s">
        <v>4</v>
      </c>
      <c r="J332">
        <v>258</v>
      </c>
      <c r="K332" t="s">
        <v>5</v>
      </c>
      <c r="L332">
        <v>196</v>
      </c>
      <c r="M332" t="s">
        <v>6</v>
      </c>
      <c r="N332">
        <v>-11.929999999999801</v>
      </c>
      <c r="O332" t="s">
        <v>7</v>
      </c>
      <c r="P332">
        <v>-4.62403100775187E-2</v>
      </c>
      <c r="Q332" t="s">
        <v>8</v>
      </c>
      <c r="R332">
        <v>0.478826530612245</v>
      </c>
      <c r="S332" t="s">
        <v>9</v>
      </c>
      <c r="T332">
        <v>-1.70612903225806</v>
      </c>
      <c r="U332" t="s">
        <v>10</v>
      </c>
      <c r="V332">
        <v>0.38310585869543201</v>
      </c>
      <c r="W332" t="s">
        <v>11</v>
      </c>
      <c r="X332" t="s">
        <v>2317</v>
      </c>
      <c r="Y332" t="s">
        <v>2176</v>
      </c>
      <c r="Z332">
        <v>0</v>
      </c>
      <c r="AA332" t="s">
        <v>14</v>
      </c>
      <c r="AB332" t="s">
        <v>15</v>
      </c>
      <c r="AC332" t="s">
        <v>2315</v>
      </c>
      <c r="AD332" t="s">
        <v>2269</v>
      </c>
      <c r="AE332">
        <v>0</v>
      </c>
      <c r="AF332" t="s">
        <v>18</v>
      </c>
    </row>
    <row r="333" spans="1:32" x14ac:dyDescent="0.3">
      <c r="A333" t="s">
        <v>2162</v>
      </c>
      <c r="B333" t="s">
        <v>587</v>
      </c>
      <c r="C333">
        <v>7.5</v>
      </c>
      <c r="D333" t="s">
        <v>2163</v>
      </c>
      <c r="E333" t="s">
        <v>589</v>
      </c>
      <c r="F333">
        <v>10</v>
      </c>
      <c r="G333" t="s">
        <v>27</v>
      </c>
      <c r="H333" t="s">
        <v>1997</v>
      </c>
      <c r="I333" t="s">
        <v>4</v>
      </c>
      <c r="J333">
        <v>258</v>
      </c>
      <c r="K333" t="s">
        <v>5</v>
      </c>
      <c r="L333">
        <v>199</v>
      </c>
      <c r="M333" t="s">
        <v>6</v>
      </c>
      <c r="N333">
        <v>-9.8199999999997907</v>
      </c>
      <c r="O333" t="s">
        <v>7</v>
      </c>
      <c r="P333">
        <v>-3.8062015503875099E-2</v>
      </c>
      <c r="Q333" t="s">
        <v>8</v>
      </c>
      <c r="R333">
        <v>0.50542713567839204</v>
      </c>
      <c r="S333" t="s">
        <v>9</v>
      </c>
      <c r="T333">
        <v>-1.8711864406779599</v>
      </c>
      <c r="U333" t="s">
        <v>10</v>
      </c>
      <c r="V333">
        <v>0.43296690444405</v>
      </c>
      <c r="W333" t="s">
        <v>11</v>
      </c>
      <c r="X333" t="s">
        <v>2233</v>
      </c>
      <c r="Y333" t="s">
        <v>635</v>
      </c>
      <c r="Z333">
        <v>0</v>
      </c>
      <c r="AA333" t="s">
        <v>14</v>
      </c>
      <c r="AB333" t="s">
        <v>15</v>
      </c>
      <c r="AC333" t="s">
        <v>2318</v>
      </c>
      <c r="AD333" t="s">
        <v>635</v>
      </c>
      <c r="AE333">
        <v>0</v>
      </c>
      <c r="AF333" t="s">
        <v>18</v>
      </c>
    </row>
    <row r="334" spans="1:32" x14ac:dyDescent="0.3">
      <c r="A334" t="s">
        <v>2162</v>
      </c>
      <c r="B334" t="s">
        <v>587</v>
      </c>
      <c r="C334">
        <v>7.5</v>
      </c>
      <c r="D334" t="s">
        <v>2163</v>
      </c>
      <c r="E334" t="s">
        <v>589</v>
      </c>
      <c r="F334">
        <v>10</v>
      </c>
      <c r="G334" t="s">
        <v>2174</v>
      </c>
      <c r="H334" t="s">
        <v>1999</v>
      </c>
      <c r="I334" t="s">
        <v>4</v>
      </c>
      <c r="J334">
        <v>246</v>
      </c>
      <c r="K334" t="s">
        <v>5</v>
      </c>
      <c r="L334">
        <v>155</v>
      </c>
      <c r="M334" t="s">
        <v>6</v>
      </c>
      <c r="N334">
        <v>-14.553652404521101</v>
      </c>
      <c r="O334" t="s">
        <v>7</v>
      </c>
      <c r="P334">
        <v>-5.9161188636264697E-2</v>
      </c>
      <c r="Q334" t="s">
        <v>8</v>
      </c>
      <c r="R334">
        <v>0.54988094869261395</v>
      </c>
      <c r="S334" t="s">
        <v>9</v>
      </c>
      <c r="T334">
        <v>-1.0965406533173201</v>
      </c>
      <c r="U334" t="s">
        <v>10</v>
      </c>
      <c r="V334">
        <v>0.27316234883716201</v>
      </c>
      <c r="W334" t="s">
        <v>11</v>
      </c>
      <c r="X334" t="s">
        <v>2319</v>
      </c>
      <c r="Y334" t="s">
        <v>2198</v>
      </c>
      <c r="Z334">
        <v>0</v>
      </c>
      <c r="AA334" t="s">
        <v>14</v>
      </c>
      <c r="AB334" t="s">
        <v>15</v>
      </c>
      <c r="AC334" t="s">
        <v>2320</v>
      </c>
      <c r="AD334" t="s">
        <v>2198</v>
      </c>
      <c r="AE334">
        <v>0</v>
      </c>
      <c r="AF334" t="s">
        <v>18</v>
      </c>
    </row>
    <row r="335" spans="1:32" x14ac:dyDescent="0.3">
      <c r="A335" t="s">
        <v>2162</v>
      </c>
      <c r="B335" t="s">
        <v>587</v>
      </c>
      <c r="C335">
        <v>7.5</v>
      </c>
      <c r="D335" t="s">
        <v>2163</v>
      </c>
      <c r="E335" t="s">
        <v>589</v>
      </c>
      <c r="F335">
        <v>10</v>
      </c>
      <c r="G335" t="s">
        <v>2174</v>
      </c>
      <c r="H335" t="s">
        <v>2002</v>
      </c>
      <c r="I335" t="s">
        <v>4</v>
      </c>
      <c r="J335">
        <v>246</v>
      </c>
      <c r="K335" t="s">
        <v>5</v>
      </c>
      <c r="L335">
        <v>185</v>
      </c>
      <c r="M335" t="s">
        <v>6</v>
      </c>
      <c r="N335">
        <v>3.0479633424742798</v>
      </c>
      <c r="O335" t="s">
        <v>7</v>
      </c>
      <c r="P335">
        <v>1.2390094888106801E-2</v>
      </c>
      <c r="Q335" t="s">
        <v>8</v>
      </c>
      <c r="R335">
        <v>0.577019011509048</v>
      </c>
      <c r="S335" t="s">
        <v>9</v>
      </c>
      <c r="T335">
        <v>-1.70000907847048</v>
      </c>
      <c r="U335" t="s">
        <v>10</v>
      </c>
      <c r="V335">
        <v>0.373643337793025</v>
      </c>
      <c r="W335" t="s">
        <v>11</v>
      </c>
      <c r="X335" t="s">
        <v>2319</v>
      </c>
      <c r="Y335" t="s">
        <v>2198</v>
      </c>
      <c r="Z335">
        <v>0</v>
      </c>
      <c r="AA335" t="s">
        <v>14</v>
      </c>
      <c r="AB335" t="s">
        <v>15</v>
      </c>
      <c r="AC335" t="s">
        <v>2320</v>
      </c>
      <c r="AD335" t="s">
        <v>2198</v>
      </c>
      <c r="AE335">
        <v>0</v>
      </c>
      <c r="AF335" t="s">
        <v>18</v>
      </c>
    </row>
    <row r="336" spans="1:32" x14ac:dyDescent="0.3">
      <c r="A336" t="s">
        <v>2162</v>
      </c>
      <c r="B336" t="s">
        <v>587</v>
      </c>
      <c r="C336">
        <v>7.5</v>
      </c>
      <c r="D336" t="s">
        <v>2163</v>
      </c>
      <c r="E336" t="s">
        <v>589</v>
      </c>
      <c r="F336">
        <v>10</v>
      </c>
      <c r="G336" t="s">
        <v>2174</v>
      </c>
      <c r="H336" t="s">
        <v>2004</v>
      </c>
      <c r="I336" t="s">
        <v>4</v>
      </c>
      <c r="J336">
        <v>246</v>
      </c>
      <c r="K336" t="s">
        <v>5</v>
      </c>
      <c r="L336">
        <v>205</v>
      </c>
      <c r="M336" t="s">
        <v>6</v>
      </c>
      <c r="N336">
        <v>36.4564558350745</v>
      </c>
      <c r="O336" t="s">
        <v>7</v>
      </c>
      <c r="P336">
        <v>0.14819697493932699</v>
      </c>
      <c r="Q336" t="s">
        <v>8</v>
      </c>
      <c r="R336">
        <v>0.59532006951827598</v>
      </c>
      <c r="S336" t="s">
        <v>9</v>
      </c>
      <c r="T336">
        <v>-2.0874184979554098</v>
      </c>
      <c r="U336" t="s">
        <v>10</v>
      </c>
      <c r="V336">
        <v>0.43754981228967699</v>
      </c>
      <c r="W336" t="s">
        <v>11</v>
      </c>
      <c r="X336" t="s">
        <v>2321</v>
      </c>
      <c r="Y336" t="s">
        <v>595</v>
      </c>
      <c r="Z336">
        <v>0</v>
      </c>
      <c r="AA336" t="s">
        <v>14</v>
      </c>
      <c r="AB336" t="s">
        <v>15</v>
      </c>
      <c r="AC336" t="s">
        <v>2320</v>
      </c>
      <c r="AD336" t="s">
        <v>2198</v>
      </c>
      <c r="AE336">
        <v>0</v>
      </c>
      <c r="AF336" t="s">
        <v>18</v>
      </c>
    </row>
    <row r="337" spans="1:32" x14ac:dyDescent="0.3">
      <c r="A337" t="s">
        <v>2162</v>
      </c>
      <c r="B337" t="s">
        <v>587</v>
      </c>
      <c r="C337">
        <v>7.5</v>
      </c>
      <c r="D337" t="s">
        <v>2163</v>
      </c>
      <c r="E337" t="s">
        <v>589</v>
      </c>
      <c r="F337">
        <v>10</v>
      </c>
      <c r="G337" t="s">
        <v>2174</v>
      </c>
      <c r="H337" t="s">
        <v>2005</v>
      </c>
      <c r="I337" t="s">
        <v>4</v>
      </c>
      <c r="J337">
        <v>246</v>
      </c>
      <c r="K337" t="s">
        <v>5</v>
      </c>
      <c r="L337">
        <v>205</v>
      </c>
      <c r="M337" t="s">
        <v>6</v>
      </c>
      <c r="N337">
        <v>27.657553808106702</v>
      </c>
      <c r="O337" t="s">
        <v>7</v>
      </c>
      <c r="P337">
        <v>0.11242908052075901</v>
      </c>
      <c r="Q337" t="s">
        <v>8</v>
      </c>
      <c r="R337">
        <v>0.59532006951827598</v>
      </c>
      <c r="S337" t="s">
        <v>9</v>
      </c>
      <c r="T337">
        <v>-2.3020258644668199</v>
      </c>
      <c r="U337" t="s">
        <v>10</v>
      </c>
      <c r="V337">
        <v>0.43641882983676999</v>
      </c>
      <c r="W337" t="s">
        <v>11</v>
      </c>
      <c r="X337" t="s">
        <v>2233</v>
      </c>
      <c r="Y337" t="s">
        <v>635</v>
      </c>
      <c r="Z337">
        <v>0</v>
      </c>
      <c r="AA337" t="s">
        <v>14</v>
      </c>
      <c r="AB337" t="s">
        <v>15</v>
      </c>
      <c r="AC337" t="s">
        <v>2320</v>
      </c>
      <c r="AD337" t="s">
        <v>2198</v>
      </c>
      <c r="AE337">
        <v>0</v>
      </c>
      <c r="AF337" t="s">
        <v>18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0FAB-6630-40BC-825E-32B894BAD0C6}">
  <sheetPr>
    <tabColor theme="5"/>
  </sheetPr>
  <dimension ref="A2:AF421"/>
  <sheetViews>
    <sheetView workbookViewId="0">
      <selection activeCell="N20" sqref="N20"/>
    </sheetView>
  </sheetViews>
  <sheetFormatPr defaultRowHeight="16.5" x14ac:dyDescent="0.3"/>
  <sheetData>
    <row r="2" spans="1:32" x14ac:dyDescent="0.3">
      <c r="A2" t="s">
        <v>113</v>
      </c>
      <c r="B2" t="s">
        <v>1</v>
      </c>
      <c r="C2">
        <v>0.5</v>
      </c>
      <c r="D2" t="s">
        <v>588</v>
      </c>
      <c r="E2" t="s">
        <v>2323</v>
      </c>
      <c r="F2">
        <v>0.25</v>
      </c>
      <c r="G2" t="s">
        <v>2324</v>
      </c>
      <c r="H2" t="s">
        <v>1979</v>
      </c>
      <c r="I2" t="s">
        <v>4</v>
      </c>
      <c r="J2">
        <v>169</v>
      </c>
      <c r="K2" t="s">
        <v>5</v>
      </c>
      <c r="L2">
        <v>44</v>
      </c>
      <c r="M2" t="s">
        <v>6</v>
      </c>
      <c r="N2">
        <v>-125.80556998654799</v>
      </c>
      <c r="O2" t="s">
        <v>7</v>
      </c>
      <c r="P2">
        <v>-0.74441165672513798</v>
      </c>
      <c r="Q2" t="s">
        <v>8</v>
      </c>
      <c r="R2">
        <v>1.96068181818182</v>
      </c>
      <c r="S2" t="s">
        <v>9</v>
      </c>
      <c r="T2">
        <v>-1.69660455989238</v>
      </c>
      <c r="U2" t="s">
        <v>10</v>
      </c>
      <c r="V2">
        <v>0.75533480521915197</v>
      </c>
      <c r="W2" t="s">
        <v>11</v>
      </c>
      <c r="X2" t="s">
        <v>2325</v>
      </c>
      <c r="Y2" t="s">
        <v>720</v>
      </c>
      <c r="Z2">
        <v>0</v>
      </c>
      <c r="AA2" t="s">
        <v>14</v>
      </c>
      <c r="AB2" t="s">
        <v>15</v>
      </c>
      <c r="AC2" t="s">
        <v>2326</v>
      </c>
      <c r="AD2" t="s">
        <v>1987</v>
      </c>
      <c r="AE2">
        <v>0</v>
      </c>
      <c r="AF2" t="s">
        <v>18</v>
      </c>
    </row>
    <row r="3" spans="1:32" x14ac:dyDescent="0.3">
      <c r="A3" t="s">
        <v>113</v>
      </c>
      <c r="B3" t="s">
        <v>1</v>
      </c>
      <c r="C3">
        <v>0.5</v>
      </c>
      <c r="D3" t="s">
        <v>588</v>
      </c>
      <c r="E3" t="s">
        <v>2323</v>
      </c>
      <c r="F3">
        <v>0.25</v>
      </c>
      <c r="G3" t="s">
        <v>2324</v>
      </c>
      <c r="H3" t="s">
        <v>1982</v>
      </c>
      <c r="I3" t="s">
        <v>4</v>
      </c>
      <c r="J3">
        <v>169</v>
      </c>
      <c r="K3" t="s">
        <v>5</v>
      </c>
      <c r="L3">
        <v>54</v>
      </c>
      <c r="M3" t="s">
        <v>6</v>
      </c>
      <c r="N3">
        <v>-131.615569986548</v>
      </c>
      <c r="O3" t="s">
        <v>7</v>
      </c>
      <c r="P3">
        <v>-0.77879035494999005</v>
      </c>
      <c r="Q3" t="s">
        <v>8</v>
      </c>
      <c r="R3">
        <v>2.0351851851851799</v>
      </c>
      <c r="S3" t="s">
        <v>9</v>
      </c>
      <c r="T3">
        <v>-2.1001353911873699</v>
      </c>
      <c r="U3" t="s">
        <v>10</v>
      </c>
      <c r="V3">
        <v>0.92118988747456299</v>
      </c>
      <c r="W3" t="s">
        <v>11</v>
      </c>
      <c r="X3" t="s">
        <v>2327</v>
      </c>
      <c r="Y3" t="s">
        <v>720</v>
      </c>
      <c r="Z3">
        <v>0</v>
      </c>
      <c r="AA3" t="s">
        <v>14</v>
      </c>
      <c r="AB3" t="s">
        <v>15</v>
      </c>
      <c r="AC3" t="s">
        <v>2328</v>
      </c>
      <c r="AD3" t="s">
        <v>1987</v>
      </c>
      <c r="AE3">
        <v>0</v>
      </c>
      <c r="AF3" t="s">
        <v>18</v>
      </c>
    </row>
    <row r="4" spans="1:32" x14ac:dyDescent="0.3">
      <c r="A4" t="s">
        <v>113</v>
      </c>
      <c r="B4" t="s">
        <v>1</v>
      </c>
      <c r="C4">
        <v>0.5</v>
      </c>
      <c r="D4" t="s">
        <v>588</v>
      </c>
      <c r="E4" t="s">
        <v>2323</v>
      </c>
      <c r="F4">
        <v>0.25</v>
      </c>
      <c r="G4" t="s">
        <v>2324</v>
      </c>
      <c r="H4" t="s">
        <v>1985</v>
      </c>
      <c r="I4" t="s">
        <v>4</v>
      </c>
      <c r="J4">
        <v>169</v>
      </c>
      <c r="K4" t="s">
        <v>5</v>
      </c>
      <c r="L4">
        <v>57</v>
      </c>
      <c r="M4" t="s">
        <v>6</v>
      </c>
      <c r="N4">
        <v>-124.19556998654799</v>
      </c>
      <c r="O4" t="s">
        <v>7</v>
      </c>
      <c r="P4">
        <v>-0.73488502950620305</v>
      </c>
      <c r="Q4" t="s">
        <v>8</v>
      </c>
      <c r="R4">
        <v>2.06824561403509</v>
      </c>
      <c r="S4" t="s">
        <v>9</v>
      </c>
      <c r="T4">
        <v>-2.1614783034513199</v>
      </c>
      <c r="U4" t="s">
        <v>10</v>
      </c>
      <c r="V4">
        <v>0.95322124552744802</v>
      </c>
      <c r="W4" t="s">
        <v>11</v>
      </c>
      <c r="X4" t="s">
        <v>2327</v>
      </c>
      <c r="Y4" t="s">
        <v>720</v>
      </c>
      <c r="Z4">
        <v>0</v>
      </c>
      <c r="AA4" t="s">
        <v>14</v>
      </c>
      <c r="AB4" t="s">
        <v>15</v>
      </c>
      <c r="AC4" t="s">
        <v>2328</v>
      </c>
      <c r="AD4" t="s">
        <v>1987</v>
      </c>
      <c r="AE4">
        <v>0</v>
      </c>
      <c r="AF4" t="s">
        <v>18</v>
      </c>
    </row>
    <row r="5" spans="1:32" x14ac:dyDescent="0.3">
      <c r="A5" t="s">
        <v>113</v>
      </c>
      <c r="B5" t="s">
        <v>1</v>
      </c>
      <c r="C5">
        <v>0.5</v>
      </c>
      <c r="D5" t="s">
        <v>588</v>
      </c>
      <c r="E5" t="s">
        <v>2323</v>
      </c>
      <c r="F5">
        <v>0.25</v>
      </c>
      <c r="G5" t="s">
        <v>2324</v>
      </c>
      <c r="H5" t="s">
        <v>1988</v>
      </c>
      <c r="I5" t="s">
        <v>4</v>
      </c>
      <c r="J5">
        <v>169</v>
      </c>
      <c r="K5" t="s">
        <v>5</v>
      </c>
      <c r="L5">
        <v>58</v>
      </c>
      <c r="M5" t="s">
        <v>6</v>
      </c>
      <c r="N5">
        <v>-134.985569986548</v>
      </c>
      <c r="O5" t="s">
        <v>7</v>
      </c>
      <c r="P5">
        <v>-0.79873118335235604</v>
      </c>
      <c r="Q5" t="s">
        <v>8</v>
      </c>
      <c r="R5">
        <v>2.0331034482758601</v>
      </c>
      <c r="S5" t="s">
        <v>9</v>
      </c>
      <c r="T5">
        <v>-2.27842855843737</v>
      </c>
      <c r="U5" t="s">
        <v>10</v>
      </c>
      <c r="V5">
        <v>0.96166433397794204</v>
      </c>
      <c r="W5" t="s">
        <v>11</v>
      </c>
      <c r="X5" t="s">
        <v>2327</v>
      </c>
      <c r="Y5" t="s">
        <v>720</v>
      </c>
      <c r="Z5">
        <v>0</v>
      </c>
      <c r="AA5" t="s">
        <v>14</v>
      </c>
      <c r="AB5" t="s">
        <v>15</v>
      </c>
      <c r="AC5" t="s">
        <v>2328</v>
      </c>
      <c r="AD5" t="s">
        <v>1987</v>
      </c>
      <c r="AE5">
        <v>0</v>
      </c>
      <c r="AF5" t="s">
        <v>18</v>
      </c>
    </row>
    <row r="6" spans="1:32" x14ac:dyDescent="0.3">
      <c r="A6" t="s">
        <v>113</v>
      </c>
      <c r="B6" t="s">
        <v>1</v>
      </c>
      <c r="C6">
        <v>0.5</v>
      </c>
      <c r="D6" t="s">
        <v>588</v>
      </c>
      <c r="E6" t="s">
        <v>2323</v>
      </c>
      <c r="F6">
        <v>0.25</v>
      </c>
      <c r="G6" t="s">
        <v>2329</v>
      </c>
      <c r="H6" t="s">
        <v>1991</v>
      </c>
      <c r="I6" t="s">
        <v>4</v>
      </c>
      <c r="J6">
        <v>178</v>
      </c>
      <c r="K6" t="s">
        <v>5</v>
      </c>
      <c r="L6">
        <v>35</v>
      </c>
      <c r="M6" t="s">
        <v>6</v>
      </c>
      <c r="N6">
        <v>-122.735569986548</v>
      </c>
      <c r="O6" t="s">
        <v>7</v>
      </c>
      <c r="P6">
        <v>-0.68952567408173304</v>
      </c>
      <c r="Q6" t="s">
        <v>8</v>
      </c>
      <c r="R6">
        <v>2.3445714285714301</v>
      </c>
      <c r="S6" t="s">
        <v>9</v>
      </c>
      <c r="T6">
        <v>-1.43213685305278</v>
      </c>
      <c r="U6" t="s">
        <v>10</v>
      </c>
      <c r="V6">
        <v>0.57241361966110305</v>
      </c>
      <c r="W6" t="s">
        <v>11</v>
      </c>
      <c r="X6" t="s">
        <v>2330</v>
      </c>
      <c r="Y6" t="s">
        <v>720</v>
      </c>
      <c r="Z6">
        <v>0</v>
      </c>
      <c r="AA6" t="s">
        <v>14</v>
      </c>
      <c r="AB6" t="s">
        <v>15</v>
      </c>
      <c r="AC6" t="s">
        <v>2331</v>
      </c>
      <c r="AD6" t="s">
        <v>720</v>
      </c>
      <c r="AE6">
        <v>0</v>
      </c>
      <c r="AF6" t="s">
        <v>18</v>
      </c>
    </row>
    <row r="7" spans="1:32" x14ac:dyDescent="0.3">
      <c r="A7" t="s">
        <v>113</v>
      </c>
      <c r="B7" t="s">
        <v>1</v>
      </c>
      <c r="C7">
        <v>0.5</v>
      </c>
      <c r="D7" t="s">
        <v>588</v>
      </c>
      <c r="E7" t="s">
        <v>2323</v>
      </c>
      <c r="F7">
        <v>0.25</v>
      </c>
      <c r="G7" t="s">
        <v>2329</v>
      </c>
      <c r="H7" t="s">
        <v>1994</v>
      </c>
      <c r="I7" t="s">
        <v>4</v>
      </c>
      <c r="J7">
        <v>178</v>
      </c>
      <c r="K7" t="s">
        <v>5</v>
      </c>
      <c r="L7">
        <v>47</v>
      </c>
      <c r="M7" t="s">
        <v>6</v>
      </c>
      <c r="N7">
        <v>-129.925569986548</v>
      </c>
      <c r="O7" t="s">
        <v>7</v>
      </c>
      <c r="P7">
        <v>-0.72991893250869899</v>
      </c>
      <c r="Q7" t="s">
        <v>8</v>
      </c>
      <c r="R7">
        <v>2.2617021276595701</v>
      </c>
      <c r="S7" t="s">
        <v>9</v>
      </c>
      <c r="T7">
        <v>-1.8032486258515099</v>
      </c>
      <c r="U7" t="s">
        <v>10</v>
      </c>
      <c r="V7">
        <v>0.694841070190925</v>
      </c>
      <c r="W7" t="s">
        <v>11</v>
      </c>
      <c r="X7" t="s">
        <v>2330</v>
      </c>
      <c r="Y7" t="s">
        <v>720</v>
      </c>
      <c r="Z7">
        <v>0</v>
      </c>
      <c r="AA7" t="s">
        <v>14</v>
      </c>
      <c r="AB7" t="s">
        <v>15</v>
      </c>
      <c r="AC7" t="s">
        <v>2331</v>
      </c>
      <c r="AD7" t="s">
        <v>720</v>
      </c>
      <c r="AE7">
        <v>0</v>
      </c>
      <c r="AF7" t="s">
        <v>18</v>
      </c>
    </row>
    <row r="8" spans="1:32" x14ac:dyDescent="0.3">
      <c r="A8" t="s">
        <v>113</v>
      </c>
      <c r="B8" t="s">
        <v>1</v>
      </c>
      <c r="C8">
        <v>0.5</v>
      </c>
      <c r="D8" t="s">
        <v>588</v>
      </c>
      <c r="E8" t="s">
        <v>2323</v>
      </c>
      <c r="F8">
        <v>0.25</v>
      </c>
      <c r="G8" t="s">
        <v>2329</v>
      </c>
      <c r="H8" t="s">
        <v>1996</v>
      </c>
      <c r="I8" t="s">
        <v>4</v>
      </c>
      <c r="J8">
        <v>178</v>
      </c>
      <c r="K8" t="s">
        <v>5</v>
      </c>
      <c r="L8">
        <v>52</v>
      </c>
      <c r="M8" t="s">
        <v>6</v>
      </c>
      <c r="N8">
        <v>-135.69556998654801</v>
      </c>
      <c r="O8" t="s">
        <v>7</v>
      </c>
      <c r="P8">
        <v>-0.762334662845777</v>
      </c>
      <c r="Q8" t="s">
        <v>8</v>
      </c>
      <c r="R8">
        <v>2.2784615384615399</v>
      </c>
      <c r="S8" t="s">
        <v>9</v>
      </c>
      <c r="T8">
        <v>-2.0172664284646702</v>
      </c>
      <c r="U8" t="s">
        <v>10</v>
      </c>
      <c r="V8">
        <v>0.80248193134732204</v>
      </c>
      <c r="W8" t="s">
        <v>11</v>
      </c>
      <c r="X8" t="s">
        <v>2330</v>
      </c>
      <c r="Y8" t="s">
        <v>720</v>
      </c>
      <c r="Z8">
        <v>0</v>
      </c>
      <c r="AA8" t="s">
        <v>14</v>
      </c>
      <c r="AB8" t="s">
        <v>15</v>
      </c>
      <c r="AC8" t="s">
        <v>2331</v>
      </c>
      <c r="AD8" t="s">
        <v>720</v>
      </c>
      <c r="AE8">
        <v>0</v>
      </c>
      <c r="AF8" t="s">
        <v>18</v>
      </c>
    </row>
    <row r="9" spans="1:32" x14ac:dyDescent="0.3">
      <c r="A9" t="s">
        <v>113</v>
      </c>
      <c r="B9" t="s">
        <v>1</v>
      </c>
      <c r="C9">
        <v>0.5</v>
      </c>
      <c r="D9" t="s">
        <v>588</v>
      </c>
      <c r="E9" t="s">
        <v>2323</v>
      </c>
      <c r="F9">
        <v>0.25</v>
      </c>
      <c r="G9" t="s">
        <v>2329</v>
      </c>
      <c r="H9" t="s">
        <v>1997</v>
      </c>
      <c r="I9" t="s">
        <v>4</v>
      </c>
      <c r="J9">
        <v>178</v>
      </c>
      <c r="K9" t="s">
        <v>5</v>
      </c>
      <c r="L9">
        <v>60</v>
      </c>
      <c r="M9" t="s">
        <v>6</v>
      </c>
      <c r="N9">
        <v>-103.58556998654799</v>
      </c>
      <c r="O9" t="s">
        <v>7</v>
      </c>
      <c r="P9">
        <v>-0.58194140441881104</v>
      </c>
      <c r="Q9" t="s">
        <v>8</v>
      </c>
      <c r="R9">
        <v>2.2651666666666599</v>
      </c>
      <c r="S9" t="s">
        <v>9</v>
      </c>
      <c r="T9">
        <v>-2.0296234744622699</v>
      </c>
      <c r="U9" t="s">
        <v>10</v>
      </c>
      <c r="V9">
        <v>0.85042094517471201</v>
      </c>
      <c r="W9" t="s">
        <v>11</v>
      </c>
      <c r="X9" t="s">
        <v>2330</v>
      </c>
      <c r="Y9" t="s">
        <v>720</v>
      </c>
      <c r="Z9">
        <v>0</v>
      </c>
      <c r="AA9" t="s">
        <v>14</v>
      </c>
      <c r="AB9" t="s">
        <v>15</v>
      </c>
      <c r="AC9" t="s">
        <v>2331</v>
      </c>
      <c r="AD9" t="s">
        <v>720</v>
      </c>
      <c r="AE9">
        <v>0</v>
      </c>
      <c r="AF9" t="s">
        <v>18</v>
      </c>
    </row>
    <row r="10" spans="1:32" x14ac:dyDescent="0.3">
      <c r="A10" t="s">
        <v>113</v>
      </c>
      <c r="B10" t="s">
        <v>1</v>
      </c>
      <c r="C10">
        <v>0.5</v>
      </c>
      <c r="D10" t="s">
        <v>588</v>
      </c>
      <c r="E10" t="s">
        <v>2323</v>
      </c>
      <c r="F10">
        <v>0.25</v>
      </c>
      <c r="G10" t="s">
        <v>2332</v>
      </c>
      <c r="H10" t="s">
        <v>1999</v>
      </c>
      <c r="I10" t="s">
        <v>4</v>
      </c>
      <c r="J10">
        <v>167</v>
      </c>
      <c r="K10" t="s">
        <v>5</v>
      </c>
      <c r="L10">
        <v>50</v>
      </c>
      <c r="M10" t="s">
        <v>6</v>
      </c>
      <c r="N10">
        <v>-47.1150725865973</v>
      </c>
      <c r="O10" t="s">
        <v>7</v>
      </c>
      <c r="P10">
        <v>-0.28212618315327698</v>
      </c>
      <c r="Q10" t="s">
        <v>8</v>
      </c>
      <c r="R10">
        <v>2.3551953890812398</v>
      </c>
      <c r="S10" t="s">
        <v>9</v>
      </c>
      <c r="T10">
        <v>-1.4091866841081999</v>
      </c>
      <c r="U10" t="s">
        <v>10</v>
      </c>
      <c r="V10">
        <v>0.42012087668425901</v>
      </c>
      <c r="W10" t="s">
        <v>11</v>
      </c>
      <c r="X10" t="s">
        <v>2333</v>
      </c>
      <c r="Y10" t="s">
        <v>1987</v>
      </c>
      <c r="Z10">
        <v>0</v>
      </c>
      <c r="AA10" t="s">
        <v>14</v>
      </c>
      <c r="AB10" t="s">
        <v>15</v>
      </c>
      <c r="AC10" t="s">
        <v>2334</v>
      </c>
      <c r="AD10" t="s">
        <v>1987</v>
      </c>
      <c r="AE10">
        <v>0</v>
      </c>
      <c r="AF10" t="s">
        <v>18</v>
      </c>
    </row>
    <row r="11" spans="1:32" x14ac:dyDescent="0.3">
      <c r="A11" t="s">
        <v>113</v>
      </c>
      <c r="B11" t="s">
        <v>1</v>
      </c>
      <c r="C11">
        <v>0.5</v>
      </c>
      <c r="D11" t="s">
        <v>588</v>
      </c>
      <c r="E11" t="s">
        <v>2323</v>
      </c>
      <c r="F11">
        <v>0.25</v>
      </c>
      <c r="G11" t="s">
        <v>2332</v>
      </c>
      <c r="H11" t="s">
        <v>2002</v>
      </c>
      <c r="I11" t="s">
        <v>4</v>
      </c>
      <c r="J11">
        <v>167</v>
      </c>
      <c r="K11" t="s">
        <v>5</v>
      </c>
      <c r="L11">
        <v>73</v>
      </c>
      <c r="M11" t="s">
        <v>6</v>
      </c>
      <c r="N11">
        <v>-25.803051480022798</v>
      </c>
      <c r="O11" t="s">
        <v>7</v>
      </c>
      <c r="P11">
        <v>-0.154509290299538</v>
      </c>
      <c r="Q11" t="s">
        <v>8</v>
      </c>
      <c r="R11">
        <v>2.3549731551940098</v>
      </c>
      <c r="S11" t="s">
        <v>9</v>
      </c>
      <c r="T11">
        <v>-2.1033626788211199</v>
      </c>
      <c r="U11" t="s">
        <v>10</v>
      </c>
      <c r="V11">
        <v>0.58263264720907004</v>
      </c>
      <c r="W11" t="s">
        <v>11</v>
      </c>
      <c r="X11" t="s">
        <v>2335</v>
      </c>
      <c r="Y11" t="s">
        <v>77</v>
      </c>
      <c r="Z11">
        <v>0</v>
      </c>
      <c r="AA11" t="s">
        <v>14</v>
      </c>
      <c r="AB11" t="s">
        <v>15</v>
      </c>
      <c r="AC11" t="s">
        <v>2336</v>
      </c>
      <c r="AD11" t="s">
        <v>1987</v>
      </c>
      <c r="AE11">
        <v>0</v>
      </c>
      <c r="AF11" t="s">
        <v>18</v>
      </c>
    </row>
    <row r="12" spans="1:32" x14ac:dyDescent="0.3">
      <c r="A12" t="s">
        <v>113</v>
      </c>
      <c r="B12" t="s">
        <v>1</v>
      </c>
      <c r="C12">
        <v>0.5</v>
      </c>
      <c r="D12" t="s">
        <v>588</v>
      </c>
      <c r="E12" t="s">
        <v>2323</v>
      </c>
      <c r="F12">
        <v>0.25</v>
      </c>
      <c r="G12" t="s">
        <v>2332</v>
      </c>
      <c r="H12" t="s">
        <v>2004</v>
      </c>
      <c r="I12" t="s">
        <v>4</v>
      </c>
      <c r="J12">
        <v>167</v>
      </c>
      <c r="K12" t="s">
        <v>5</v>
      </c>
      <c r="L12">
        <v>78</v>
      </c>
      <c r="M12" t="s">
        <v>6</v>
      </c>
      <c r="N12">
        <v>-30.820549362852798</v>
      </c>
      <c r="O12" t="s">
        <v>7</v>
      </c>
      <c r="P12">
        <v>-0.184554187801513</v>
      </c>
      <c r="Q12" t="s">
        <v>8</v>
      </c>
      <c r="R12">
        <v>2.3448250956349099</v>
      </c>
      <c r="S12" t="s">
        <v>9</v>
      </c>
      <c r="T12">
        <v>-2.4013135598019701</v>
      </c>
      <c r="U12" t="s">
        <v>10</v>
      </c>
      <c r="V12">
        <v>0.66569429565694405</v>
      </c>
      <c r="W12" t="s">
        <v>11</v>
      </c>
      <c r="X12" t="s">
        <v>2337</v>
      </c>
      <c r="Y12" t="s">
        <v>2176</v>
      </c>
      <c r="Z12">
        <v>0</v>
      </c>
      <c r="AA12" t="s">
        <v>14</v>
      </c>
      <c r="AB12" t="s">
        <v>15</v>
      </c>
      <c r="AC12" t="s">
        <v>2336</v>
      </c>
      <c r="AD12" t="s">
        <v>1987</v>
      </c>
      <c r="AE12">
        <v>0</v>
      </c>
      <c r="AF12" t="s">
        <v>18</v>
      </c>
    </row>
    <row r="13" spans="1:32" x14ac:dyDescent="0.3">
      <c r="A13" t="s">
        <v>113</v>
      </c>
      <c r="B13" t="s">
        <v>1</v>
      </c>
      <c r="C13">
        <v>0.5</v>
      </c>
      <c r="D13" t="s">
        <v>588</v>
      </c>
      <c r="E13" t="s">
        <v>2323</v>
      </c>
      <c r="F13">
        <v>0.25</v>
      </c>
      <c r="G13" t="s">
        <v>2332</v>
      </c>
      <c r="H13" t="s">
        <v>2005</v>
      </c>
      <c r="I13" t="s">
        <v>4</v>
      </c>
      <c r="J13">
        <v>167</v>
      </c>
      <c r="K13" t="s">
        <v>5</v>
      </c>
      <c r="L13">
        <v>84</v>
      </c>
      <c r="M13" t="s">
        <v>6</v>
      </c>
      <c r="N13">
        <v>4.3702105410603398</v>
      </c>
      <c r="O13" t="s">
        <v>7</v>
      </c>
      <c r="P13">
        <v>2.6168925395570902E-2</v>
      </c>
      <c r="Q13" t="s">
        <v>8</v>
      </c>
      <c r="R13">
        <v>2.3791899212857999</v>
      </c>
      <c r="S13" t="s">
        <v>9</v>
      </c>
      <c r="T13">
        <v>-2.3552017210475502</v>
      </c>
      <c r="U13" t="s">
        <v>10</v>
      </c>
      <c r="V13">
        <v>0.70590936370400703</v>
      </c>
      <c r="W13" t="s">
        <v>11</v>
      </c>
      <c r="X13" t="s">
        <v>2337</v>
      </c>
      <c r="Y13" t="s">
        <v>2176</v>
      </c>
      <c r="Z13">
        <v>0</v>
      </c>
      <c r="AA13" t="s">
        <v>14</v>
      </c>
      <c r="AB13" t="s">
        <v>15</v>
      </c>
      <c r="AC13" t="s">
        <v>2336</v>
      </c>
      <c r="AD13" t="s">
        <v>1987</v>
      </c>
      <c r="AE13">
        <v>0</v>
      </c>
      <c r="AF13" t="s">
        <v>18</v>
      </c>
    </row>
    <row r="14" spans="1:32" x14ac:dyDescent="0.3">
      <c r="A14" t="s">
        <v>113</v>
      </c>
      <c r="B14" t="s">
        <v>1</v>
      </c>
      <c r="C14">
        <v>0.4</v>
      </c>
      <c r="D14" t="s">
        <v>588</v>
      </c>
      <c r="E14" t="s">
        <v>2323</v>
      </c>
      <c r="F14">
        <v>0.2</v>
      </c>
      <c r="G14" t="s">
        <v>2324</v>
      </c>
      <c r="H14" t="s">
        <v>1979</v>
      </c>
      <c r="I14" t="s">
        <v>4</v>
      </c>
      <c r="J14">
        <v>169</v>
      </c>
      <c r="K14" t="s">
        <v>5</v>
      </c>
      <c r="L14">
        <v>48</v>
      </c>
      <c r="M14" t="s">
        <v>6</v>
      </c>
      <c r="N14">
        <v>-89.363429129820105</v>
      </c>
      <c r="O14" t="s">
        <v>7</v>
      </c>
      <c r="P14">
        <v>-0.52877768715869899</v>
      </c>
      <c r="Q14" t="s">
        <v>8</v>
      </c>
      <c r="R14">
        <v>1.8533333333333299</v>
      </c>
      <c r="S14" t="s">
        <v>9</v>
      </c>
      <c r="T14">
        <v>-1.47374734818033</v>
      </c>
      <c r="U14" t="s">
        <v>10</v>
      </c>
      <c r="V14">
        <v>0.73571181361124105</v>
      </c>
      <c r="W14" t="s">
        <v>11</v>
      </c>
      <c r="X14" t="s">
        <v>2325</v>
      </c>
      <c r="Y14" t="s">
        <v>720</v>
      </c>
      <c r="Z14">
        <v>0</v>
      </c>
      <c r="AA14" t="s">
        <v>14</v>
      </c>
      <c r="AB14" t="s">
        <v>15</v>
      </c>
      <c r="AC14" t="s">
        <v>2338</v>
      </c>
      <c r="AD14" t="s">
        <v>720</v>
      </c>
      <c r="AE14">
        <v>0</v>
      </c>
      <c r="AF14" t="s">
        <v>18</v>
      </c>
    </row>
    <row r="15" spans="1:32" x14ac:dyDescent="0.3">
      <c r="A15" t="s">
        <v>113</v>
      </c>
      <c r="B15" t="s">
        <v>1</v>
      </c>
      <c r="C15">
        <v>0.4</v>
      </c>
      <c r="D15" t="s">
        <v>588</v>
      </c>
      <c r="E15" t="s">
        <v>2323</v>
      </c>
      <c r="F15">
        <v>0.2</v>
      </c>
      <c r="G15" t="s">
        <v>2324</v>
      </c>
      <c r="H15" t="s">
        <v>1982</v>
      </c>
      <c r="I15" t="s">
        <v>4</v>
      </c>
      <c r="J15">
        <v>169</v>
      </c>
      <c r="K15" t="s">
        <v>5</v>
      </c>
      <c r="L15">
        <v>53</v>
      </c>
      <c r="M15" t="s">
        <v>6</v>
      </c>
      <c r="N15">
        <v>-92.303429129820103</v>
      </c>
      <c r="O15" t="s">
        <v>7</v>
      </c>
      <c r="P15">
        <v>-0.54617413686284</v>
      </c>
      <c r="Q15" t="s">
        <v>8</v>
      </c>
      <c r="R15">
        <v>1.85452830188679</v>
      </c>
      <c r="S15" t="s">
        <v>9</v>
      </c>
      <c r="T15">
        <v>-1.6430468028432701</v>
      </c>
      <c r="U15" t="s">
        <v>10</v>
      </c>
      <c r="V15">
        <v>0.80517849536904096</v>
      </c>
      <c r="W15" t="s">
        <v>11</v>
      </c>
      <c r="X15" t="s">
        <v>2325</v>
      </c>
      <c r="Y15" t="s">
        <v>720</v>
      </c>
      <c r="Z15">
        <v>0</v>
      </c>
      <c r="AA15" t="s">
        <v>14</v>
      </c>
      <c r="AB15" t="s">
        <v>15</v>
      </c>
      <c r="AC15" t="s">
        <v>2339</v>
      </c>
      <c r="AD15" t="s">
        <v>1987</v>
      </c>
      <c r="AE15">
        <v>0</v>
      </c>
      <c r="AF15" t="s">
        <v>18</v>
      </c>
    </row>
    <row r="16" spans="1:32" x14ac:dyDescent="0.3">
      <c r="A16" t="s">
        <v>113</v>
      </c>
      <c r="B16" t="s">
        <v>1</v>
      </c>
      <c r="C16">
        <v>0.4</v>
      </c>
      <c r="D16" t="s">
        <v>588</v>
      </c>
      <c r="E16" t="s">
        <v>2323</v>
      </c>
      <c r="F16">
        <v>0.2</v>
      </c>
      <c r="G16" t="s">
        <v>2324</v>
      </c>
      <c r="H16" t="s">
        <v>1985</v>
      </c>
      <c r="I16" t="s">
        <v>4</v>
      </c>
      <c r="J16">
        <v>169</v>
      </c>
      <c r="K16" t="s">
        <v>5</v>
      </c>
      <c r="L16">
        <v>53</v>
      </c>
      <c r="M16" t="s">
        <v>6</v>
      </c>
      <c r="N16">
        <v>-101.81342912981999</v>
      </c>
      <c r="O16" t="s">
        <v>7</v>
      </c>
      <c r="P16">
        <v>-0.60244632621195204</v>
      </c>
      <c r="Q16" t="s">
        <v>8</v>
      </c>
      <c r="R16">
        <v>1.85452830188679</v>
      </c>
      <c r="S16" t="s">
        <v>9</v>
      </c>
      <c r="T16">
        <v>-1.7250295614639599</v>
      </c>
      <c r="U16" t="s">
        <v>10</v>
      </c>
      <c r="V16">
        <v>0.80879041624732095</v>
      </c>
      <c r="W16" t="s">
        <v>11</v>
      </c>
      <c r="X16" t="s">
        <v>2325</v>
      </c>
      <c r="Y16" t="s">
        <v>720</v>
      </c>
      <c r="Z16">
        <v>0</v>
      </c>
      <c r="AA16" t="s">
        <v>14</v>
      </c>
      <c r="AB16" t="s">
        <v>15</v>
      </c>
      <c r="AC16" t="s">
        <v>2339</v>
      </c>
      <c r="AD16" t="s">
        <v>1987</v>
      </c>
      <c r="AE16">
        <v>0</v>
      </c>
      <c r="AF16" t="s">
        <v>18</v>
      </c>
    </row>
    <row r="17" spans="1:32" x14ac:dyDescent="0.3">
      <c r="A17" t="s">
        <v>113</v>
      </c>
      <c r="B17" t="s">
        <v>1</v>
      </c>
      <c r="C17">
        <v>0.4</v>
      </c>
      <c r="D17" t="s">
        <v>588</v>
      </c>
      <c r="E17" t="s">
        <v>2323</v>
      </c>
      <c r="F17">
        <v>0.2</v>
      </c>
      <c r="G17" t="s">
        <v>2324</v>
      </c>
      <c r="H17" t="s">
        <v>1988</v>
      </c>
      <c r="I17" t="s">
        <v>4</v>
      </c>
      <c r="J17">
        <v>169</v>
      </c>
      <c r="K17" t="s">
        <v>5</v>
      </c>
      <c r="L17">
        <v>54</v>
      </c>
      <c r="M17" t="s">
        <v>6</v>
      </c>
      <c r="N17">
        <v>-104.93342912982</v>
      </c>
      <c r="O17" t="s">
        <v>7</v>
      </c>
      <c r="P17">
        <v>-0.62090786467349102</v>
      </c>
      <c r="Q17" t="s">
        <v>8</v>
      </c>
      <c r="R17">
        <v>1.83851851851852</v>
      </c>
      <c r="S17" t="s">
        <v>9</v>
      </c>
      <c r="T17">
        <v>-1.77576894895495</v>
      </c>
      <c r="U17" t="s">
        <v>10</v>
      </c>
      <c r="V17">
        <v>0.83444268747315797</v>
      </c>
      <c r="W17" t="s">
        <v>11</v>
      </c>
      <c r="X17" t="s">
        <v>2325</v>
      </c>
      <c r="Y17" t="s">
        <v>720</v>
      </c>
      <c r="Z17">
        <v>0</v>
      </c>
      <c r="AA17" t="s">
        <v>14</v>
      </c>
      <c r="AB17" t="s">
        <v>15</v>
      </c>
      <c r="AC17" t="s">
        <v>2339</v>
      </c>
      <c r="AD17" t="s">
        <v>1987</v>
      </c>
      <c r="AE17">
        <v>0</v>
      </c>
      <c r="AF17" t="s">
        <v>18</v>
      </c>
    </row>
    <row r="18" spans="1:32" x14ac:dyDescent="0.3">
      <c r="A18" t="s">
        <v>113</v>
      </c>
      <c r="B18" t="s">
        <v>1</v>
      </c>
      <c r="C18">
        <v>0.4</v>
      </c>
      <c r="D18" t="s">
        <v>588</v>
      </c>
      <c r="E18" t="s">
        <v>2323</v>
      </c>
      <c r="F18">
        <v>0.2</v>
      </c>
      <c r="G18" t="s">
        <v>2329</v>
      </c>
      <c r="H18" t="s">
        <v>1991</v>
      </c>
      <c r="I18" t="s">
        <v>4</v>
      </c>
      <c r="J18">
        <v>178</v>
      </c>
      <c r="K18" t="s">
        <v>5</v>
      </c>
      <c r="L18">
        <v>37</v>
      </c>
      <c r="M18" t="s">
        <v>6</v>
      </c>
      <c r="N18">
        <v>-103.46780461177001</v>
      </c>
      <c r="O18" t="s">
        <v>7</v>
      </c>
      <c r="P18">
        <v>-0.581279801189721</v>
      </c>
      <c r="Q18" t="s">
        <v>8</v>
      </c>
      <c r="R18">
        <v>2.04077736028878</v>
      </c>
      <c r="S18" t="s">
        <v>9</v>
      </c>
      <c r="T18">
        <v>-1.26933735420181</v>
      </c>
      <c r="U18" t="s">
        <v>10</v>
      </c>
      <c r="V18">
        <v>0.51454236183423496</v>
      </c>
      <c r="W18" t="s">
        <v>11</v>
      </c>
      <c r="X18" t="s">
        <v>2340</v>
      </c>
      <c r="Y18" t="s">
        <v>720</v>
      </c>
      <c r="Z18">
        <v>0</v>
      </c>
      <c r="AA18" t="s">
        <v>14</v>
      </c>
      <c r="AB18" t="s">
        <v>15</v>
      </c>
      <c r="AC18" t="s">
        <v>2341</v>
      </c>
      <c r="AD18" t="s">
        <v>2192</v>
      </c>
      <c r="AE18">
        <v>0</v>
      </c>
      <c r="AF18" t="s">
        <v>18</v>
      </c>
    </row>
    <row r="19" spans="1:32" x14ac:dyDescent="0.3">
      <c r="A19" t="s">
        <v>113</v>
      </c>
      <c r="B19" t="s">
        <v>1</v>
      </c>
      <c r="C19">
        <v>0.4</v>
      </c>
      <c r="D19" t="s">
        <v>588</v>
      </c>
      <c r="E19" t="s">
        <v>2323</v>
      </c>
      <c r="F19">
        <v>0.2</v>
      </c>
      <c r="G19" t="s">
        <v>2329</v>
      </c>
      <c r="H19" t="s">
        <v>1994</v>
      </c>
      <c r="I19" t="s">
        <v>4</v>
      </c>
      <c r="J19">
        <v>178</v>
      </c>
      <c r="K19" t="s">
        <v>5</v>
      </c>
      <c r="L19">
        <v>45</v>
      </c>
      <c r="M19" t="s">
        <v>6</v>
      </c>
      <c r="N19">
        <v>-123.025035444617</v>
      </c>
      <c r="O19" t="s">
        <v>7</v>
      </c>
      <c r="P19">
        <v>-0.69115188452031995</v>
      </c>
      <c r="Q19" t="s">
        <v>8</v>
      </c>
      <c r="R19">
        <v>2.0173058295707702</v>
      </c>
      <c r="S19" t="s">
        <v>9</v>
      </c>
      <c r="T19">
        <v>-1.607547351694</v>
      </c>
      <c r="U19" t="s">
        <v>10</v>
      </c>
      <c r="V19">
        <v>0.70733113075090503</v>
      </c>
      <c r="W19" t="s">
        <v>11</v>
      </c>
      <c r="X19" t="s">
        <v>2342</v>
      </c>
      <c r="Y19" t="s">
        <v>720</v>
      </c>
      <c r="Z19">
        <v>0</v>
      </c>
      <c r="AA19" t="s">
        <v>14</v>
      </c>
      <c r="AB19" t="s">
        <v>15</v>
      </c>
      <c r="AC19" t="s">
        <v>2343</v>
      </c>
      <c r="AD19" t="s">
        <v>720</v>
      </c>
      <c r="AE19">
        <v>0</v>
      </c>
      <c r="AF19" t="s">
        <v>18</v>
      </c>
    </row>
    <row r="20" spans="1:32" x14ac:dyDescent="0.3">
      <c r="A20" t="s">
        <v>113</v>
      </c>
      <c r="B20" t="s">
        <v>1</v>
      </c>
      <c r="C20">
        <v>0.4</v>
      </c>
      <c r="D20" t="s">
        <v>588</v>
      </c>
      <c r="E20" t="s">
        <v>2323</v>
      </c>
      <c r="F20">
        <v>0.2</v>
      </c>
      <c r="G20" t="s">
        <v>2329</v>
      </c>
      <c r="H20" t="s">
        <v>1996</v>
      </c>
      <c r="I20" t="s">
        <v>4</v>
      </c>
      <c r="J20">
        <v>178</v>
      </c>
      <c r="K20" t="s">
        <v>5</v>
      </c>
      <c r="L20">
        <v>49</v>
      </c>
      <c r="M20" t="s">
        <v>6</v>
      </c>
      <c r="N20">
        <v>-112.605035444617</v>
      </c>
      <c r="O20" t="s">
        <v>7</v>
      </c>
      <c r="P20">
        <v>-0.632612558677624</v>
      </c>
      <c r="Q20" t="s">
        <v>8</v>
      </c>
      <c r="R20">
        <v>2.0360971904221401</v>
      </c>
      <c r="S20" t="s">
        <v>9</v>
      </c>
      <c r="T20">
        <v>-1.6463085098860599</v>
      </c>
      <c r="U20" t="s">
        <v>10</v>
      </c>
      <c r="V20">
        <v>0.73253520910463799</v>
      </c>
      <c r="W20" t="s">
        <v>11</v>
      </c>
      <c r="X20" t="s">
        <v>2342</v>
      </c>
      <c r="Y20" t="s">
        <v>720</v>
      </c>
      <c r="Z20">
        <v>0</v>
      </c>
      <c r="AA20" t="s">
        <v>14</v>
      </c>
      <c r="AB20" t="s">
        <v>15</v>
      </c>
      <c r="AC20" t="s">
        <v>2343</v>
      </c>
      <c r="AD20" t="s">
        <v>720</v>
      </c>
      <c r="AE20">
        <v>0</v>
      </c>
      <c r="AF20" t="s">
        <v>18</v>
      </c>
    </row>
    <row r="21" spans="1:32" x14ac:dyDescent="0.3">
      <c r="A21" t="s">
        <v>113</v>
      </c>
      <c r="B21" t="s">
        <v>1</v>
      </c>
      <c r="C21">
        <v>0.4</v>
      </c>
      <c r="D21" t="s">
        <v>588</v>
      </c>
      <c r="E21" t="s">
        <v>2323</v>
      </c>
      <c r="F21">
        <v>0.2</v>
      </c>
      <c r="G21" t="s">
        <v>2329</v>
      </c>
      <c r="H21" t="s">
        <v>1997</v>
      </c>
      <c r="I21" t="s">
        <v>4</v>
      </c>
      <c r="J21">
        <v>178</v>
      </c>
      <c r="K21" t="s">
        <v>5</v>
      </c>
      <c r="L21">
        <v>54</v>
      </c>
      <c r="M21" t="s">
        <v>6</v>
      </c>
      <c r="N21">
        <v>-94.675035444616995</v>
      </c>
      <c r="O21" t="s">
        <v>7</v>
      </c>
      <c r="P21">
        <v>-0.53188222159897203</v>
      </c>
      <c r="Q21" t="s">
        <v>8</v>
      </c>
      <c r="R21">
        <v>2.0760881913089801</v>
      </c>
      <c r="S21" t="s">
        <v>9</v>
      </c>
      <c r="T21">
        <v>-1.66761127238146</v>
      </c>
      <c r="U21" t="s">
        <v>10</v>
      </c>
      <c r="V21">
        <v>0.77052843748431299</v>
      </c>
      <c r="W21" t="s">
        <v>11</v>
      </c>
      <c r="X21" t="s">
        <v>2342</v>
      </c>
      <c r="Y21" t="s">
        <v>720</v>
      </c>
      <c r="Z21">
        <v>0</v>
      </c>
      <c r="AA21" t="s">
        <v>14</v>
      </c>
      <c r="AB21" t="s">
        <v>15</v>
      </c>
      <c r="AC21" t="s">
        <v>2343</v>
      </c>
      <c r="AD21" t="s">
        <v>720</v>
      </c>
      <c r="AE21">
        <v>0</v>
      </c>
      <c r="AF21" t="s">
        <v>18</v>
      </c>
    </row>
    <row r="22" spans="1:32" x14ac:dyDescent="0.3">
      <c r="A22" t="s">
        <v>113</v>
      </c>
      <c r="B22" t="s">
        <v>1</v>
      </c>
      <c r="C22">
        <v>0.4</v>
      </c>
      <c r="D22" t="s">
        <v>588</v>
      </c>
      <c r="E22" t="s">
        <v>2323</v>
      </c>
      <c r="F22">
        <v>0.2</v>
      </c>
      <c r="G22" t="s">
        <v>2332</v>
      </c>
      <c r="H22" t="s">
        <v>1999</v>
      </c>
      <c r="I22" t="s">
        <v>4</v>
      </c>
      <c r="J22">
        <v>167</v>
      </c>
      <c r="K22" t="s">
        <v>5</v>
      </c>
      <c r="L22">
        <v>50</v>
      </c>
      <c r="M22" t="s">
        <v>6</v>
      </c>
      <c r="N22">
        <v>-56.774784951969501</v>
      </c>
      <c r="O22" t="s">
        <v>7</v>
      </c>
      <c r="P22">
        <v>-0.339968772167482</v>
      </c>
      <c r="Q22" t="s">
        <v>8</v>
      </c>
      <c r="R22">
        <v>2.14138839981345</v>
      </c>
      <c r="S22" t="s">
        <v>9</v>
      </c>
      <c r="T22">
        <v>-1.40037782002258</v>
      </c>
      <c r="U22" t="s">
        <v>10</v>
      </c>
      <c r="V22">
        <v>0.438671601859001</v>
      </c>
      <c r="W22" t="s">
        <v>11</v>
      </c>
      <c r="X22" t="s">
        <v>2344</v>
      </c>
      <c r="Y22" t="s">
        <v>720</v>
      </c>
      <c r="Z22">
        <v>0</v>
      </c>
      <c r="AA22" t="s">
        <v>14</v>
      </c>
      <c r="AB22" t="s">
        <v>15</v>
      </c>
      <c r="AC22" t="s">
        <v>2345</v>
      </c>
      <c r="AD22" t="s">
        <v>2192</v>
      </c>
      <c r="AE22">
        <v>0</v>
      </c>
      <c r="AF22" t="s">
        <v>18</v>
      </c>
    </row>
    <row r="23" spans="1:32" x14ac:dyDescent="0.3">
      <c r="A23" t="s">
        <v>113</v>
      </c>
      <c r="B23" t="s">
        <v>1</v>
      </c>
      <c r="C23">
        <v>0.4</v>
      </c>
      <c r="D23" t="s">
        <v>588</v>
      </c>
      <c r="E23" t="s">
        <v>2323</v>
      </c>
      <c r="F23">
        <v>0.2</v>
      </c>
      <c r="G23" t="s">
        <v>2332</v>
      </c>
      <c r="H23" t="s">
        <v>2002</v>
      </c>
      <c r="I23" t="s">
        <v>4</v>
      </c>
      <c r="J23">
        <v>167</v>
      </c>
      <c r="K23" t="s">
        <v>5</v>
      </c>
      <c r="L23">
        <v>59</v>
      </c>
      <c r="M23" t="s">
        <v>6</v>
      </c>
      <c r="N23">
        <v>-91.454219604506505</v>
      </c>
      <c r="O23" t="s">
        <v>7</v>
      </c>
      <c r="P23">
        <v>-0.54763005751201499</v>
      </c>
      <c r="Q23" t="s">
        <v>8</v>
      </c>
      <c r="R23">
        <v>2.3450318653836999</v>
      </c>
      <c r="S23" t="s">
        <v>9</v>
      </c>
      <c r="T23">
        <v>-2.1278805524272602</v>
      </c>
      <c r="U23" t="s">
        <v>10</v>
      </c>
      <c r="V23">
        <v>0.60244772887655995</v>
      </c>
      <c r="W23" t="s">
        <v>11</v>
      </c>
      <c r="X23" t="s">
        <v>2342</v>
      </c>
      <c r="Y23" t="s">
        <v>720</v>
      </c>
      <c r="Z23">
        <v>0</v>
      </c>
      <c r="AA23" t="s">
        <v>14</v>
      </c>
      <c r="AB23" t="s">
        <v>15</v>
      </c>
      <c r="AC23" t="s">
        <v>2342</v>
      </c>
      <c r="AD23" t="s">
        <v>720</v>
      </c>
      <c r="AE23">
        <v>0</v>
      </c>
      <c r="AF23" t="s">
        <v>18</v>
      </c>
    </row>
    <row r="24" spans="1:32" x14ac:dyDescent="0.3">
      <c r="A24" t="s">
        <v>113</v>
      </c>
      <c r="B24" t="s">
        <v>1</v>
      </c>
      <c r="C24">
        <v>0.4</v>
      </c>
      <c r="D24" t="s">
        <v>588</v>
      </c>
      <c r="E24" t="s">
        <v>2323</v>
      </c>
      <c r="F24">
        <v>0.2</v>
      </c>
      <c r="G24" t="s">
        <v>2332</v>
      </c>
      <c r="H24" t="s">
        <v>2004</v>
      </c>
      <c r="I24" t="s">
        <v>4</v>
      </c>
      <c r="J24">
        <v>167</v>
      </c>
      <c r="K24" t="s">
        <v>5</v>
      </c>
      <c r="L24">
        <v>62</v>
      </c>
      <c r="M24" t="s">
        <v>6</v>
      </c>
      <c r="N24">
        <v>-94.024947575532707</v>
      </c>
      <c r="O24" t="s">
        <v>7</v>
      </c>
      <c r="P24">
        <v>-0.56302363817684198</v>
      </c>
      <c r="Q24" t="s">
        <v>8</v>
      </c>
      <c r="R24">
        <v>2.3257561299619001</v>
      </c>
      <c r="S24" t="s">
        <v>9</v>
      </c>
      <c r="T24">
        <v>-2.2687793107920999</v>
      </c>
      <c r="U24" t="s">
        <v>10</v>
      </c>
      <c r="V24">
        <v>0.65104293491662701</v>
      </c>
      <c r="W24" t="s">
        <v>11</v>
      </c>
      <c r="X24" t="s">
        <v>2342</v>
      </c>
      <c r="Y24" t="s">
        <v>720</v>
      </c>
      <c r="Z24">
        <v>0</v>
      </c>
      <c r="AA24" t="s">
        <v>14</v>
      </c>
      <c r="AB24" t="s">
        <v>15</v>
      </c>
      <c r="AC24" t="s">
        <v>2346</v>
      </c>
      <c r="AD24" t="s">
        <v>2192</v>
      </c>
      <c r="AE24">
        <v>0</v>
      </c>
      <c r="AF24" t="s">
        <v>18</v>
      </c>
    </row>
    <row r="25" spans="1:32" x14ac:dyDescent="0.3">
      <c r="A25" t="s">
        <v>113</v>
      </c>
      <c r="B25" t="s">
        <v>1</v>
      </c>
      <c r="C25">
        <v>0.4</v>
      </c>
      <c r="D25" t="s">
        <v>588</v>
      </c>
      <c r="E25" t="s">
        <v>2323</v>
      </c>
      <c r="F25">
        <v>0.2</v>
      </c>
      <c r="G25" t="s">
        <v>2332</v>
      </c>
      <c r="H25" t="s">
        <v>2005</v>
      </c>
      <c r="I25" t="s">
        <v>4</v>
      </c>
      <c r="J25">
        <v>167</v>
      </c>
      <c r="K25" t="s">
        <v>5</v>
      </c>
      <c r="L25">
        <v>66</v>
      </c>
      <c r="M25" t="s">
        <v>6</v>
      </c>
      <c r="N25">
        <v>-83.824947575532704</v>
      </c>
      <c r="O25" t="s">
        <v>7</v>
      </c>
      <c r="P25">
        <v>-0.50194579386546501</v>
      </c>
      <c r="Q25" t="s">
        <v>8</v>
      </c>
      <c r="R25">
        <v>2.3064831796667602</v>
      </c>
      <c r="S25" t="s">
        <v>9</v>
      </c>
      <c r="T25">
        <v>-2.33715680627266</v>
      </c>
      <c r="U25" t="s">
        <v>10</v>
      </c>
      <c r="V25">
        <v>0.69372500198292197</v>
      </c>
      <c r="W25" t="s">
        <v>11</v>
      </c>
      <c r="X25" t="s">
        <v>2342</v>
      </c>
      <c r="Y25" t="s">
        <v>720</v>
      </c>
      <c r="Z25">
        <v>0</v>
      </c>
      <c r="AA25" t="s">
        <v>14</v>
      </c>
      <c r="AB25" t="s">
        <v>15</v>
      </c>
      <c r="AC25" t="s">
        <v>2346</v>
      </c>
      <c r="AD25" t="s">
        <v>2192</v>
      </c>
      <c r="AE25">
        <v>0</v>
      </c>
      <c r="AF25" t="s">
        <v>18</v>
      </c>
    </row>
    <row r="26" spans="1:32" x14ac:dyDescent="0.3">
      <c r="A26" t="s">
        <v>113</v>
      </c>
      <c r="B26" t="s">
        <v>1</v>
      </c>
      <c r="C26">
        <v>0.4</v>
      </c>
      <c r="D26" t="s">
        <v>588</v>
      </c>
      <c r="E26" t="s">
        <v>2323</v>
      </c>
      <c r="F26">
        <v>0.2</v>
      </c>
      <c r="G26" t="s">
        <v>2347</v>
      </c>
      <c r="H26" t="s">
        <v>1979</v>
      </c>
      <c r="I26" t="s">
        <v>4</v>
      </c>
      <c r="J26">
        <v>169</v>
      </c>
      <c r="K26" t="s">
        <v>5</v>
      </c>
      <c r="L26">
        <v>78</v>
      </c>
      <c r="M26" t="s">
        <v>6</v>
      </c>
      <c r="N26">
        <v>-116.70514369473</v>
      </c>
      <c r="O26" t="s">
        <v>7</v>
      </c>
      <c r="P26">
        <v>-0.69056298044219</v>
      </c>
      <c r="Q26" t="s">
        <v>8</v>
      </c>
      <c r="R26">
        <v>1.14733880391956</v>
      </c>
      <c r="S26" t="s">
        <v>9</v>
      </c>
      <c r="T26">
        <v>-2.2659073670379799</v>
      </c>
      <c r="U26" t="s">
        <v>10</v>
      </c>
      <c r="V26">
        <v>0.64748284536578804</v>
      </c>
      <c r="W26" t="s">
        <v>11</v>
      </c>
      <c r="X26" t="s">
        <v>2348</v>
      </c>
      <c r="Y26" t="s">
        <v>720</v>
      </c>
      <c r="Z26">
        <v>0</v>
      </c>
      <c r="AA26" t="s">
        <v>14</v>
      </c>
      <c r="AB26" t="s">
        <v>15</v>
      </c>
      <c r="AC26" t="s">
        <v>2349</v>
      </c>
      <c r="AD26" t="s">
        <v>720</v>
      </c>
      <c r="AE26">
        <v>0</v>
      </c>
      <c r="AF26" t="s">
        <v>18</v>
      </c>
    </row>
    <row r="27" spans="1:32" x14ac:dyDescent="0.3">
      <c r="A27" t="s">
        <v>113</v>
      </c>
      <c r="B27" t="s">
        <v>1</v>
      </c>
      <c r="C27">
        <v>0.4</v>
      </c>
      <c r="D27" t="s">
        <v>588</v>
      </c>
      <c r="E27" t="s">
        <v>2323</v>
      </c>
      <c r="F27">
        <v>0.2</v>
      </c>
      <c r="G27" t="s">
        <v>2347</v>
      </c>
      <c r="H27" t="s">
        <v>1982</v>
      </c>
      <c r="I27" t="s">
        <v>4</v>
      </c>
      <c r="J27">
        <v>169</v>
      </c>
      <c r="K27" t="s">
        <v>5</v>
      </c>
      <c r="L27">
        <v>90</v>
      </c>
      <c r="M27" t="s">
        <v>6</v>
      </c>
      <c r="N27">
        <v>-120.28514369473</v>
      </c>
      <c r="O27" t="s">
        <v>7</v>
      </c>
      <c r="P27">
        <v>-0.71174641239485303</v>
      </c>
      <c r="Q27" t="s">
        <v>8</v>
      </c>
      <c r="R27">
        <v>1.1969158522858401</v>
      </c>
      <c r="S27" t="s">
        <v>9</v>
      </c>
      <c r="T27">
        <v>-2.8861717772209601</v>
      </c>
      <c r="U27" t="s">
        <v>10</v>
      </c>
      <c r="V27">
        <v>0.76702988463487198</v>
      </c>
      <c r="W27" t="s">
        <v>11</v>
      </c>
      <c r="X27" t="s">
        <v>2348</v>
      </c>
      <c r="Y27" t="s">
        <v>720</v>
      </c>
      <c r="Z27">
        <v>0</v>
      </c>
      <c r="AA27" t="s">
        <v>14</v>
      </c>
      <c r="AB27" t="s">
        <v>15</v>
      </c>
      <c r="AC27" t="s">
        <v>2350</v>
      </c>
      <c r="AD27" t="s">
        <v>2192</v>
      </c>
      <c r="AE27">
        <v>0</v>
      </c>
      <c r="AF27" t="s">
        <v>18</v>
      </c>
    </row>
    <row r="28" spans="1:32" x14ac:dyDescent="0.3">
      <c r="A28" t="s">
        <v>113</v>
      </c>
      <c r="B28" t="s">
        <v>1</v>
      </c>
      <c r="C28">
        <v>0.4</v>
      </c>
      <c r="D28" t="s">
        <v>588</v>
      </c>
      <c r="E28" t="s">
        <v>2323</v>
      </c>
      <c r="F28">
        <v>0.2</v>
      </c>
      <c r="G28" t="s">
        <v>2347</v>
      </c>
      <c r="H28" t="s">
        <v>1985</v>
      </c>
      <c r="I28" t="s">
        <v>4</v>
      </c>
      <c r="J28">
        <v>169</v>
      </c>
      <c r="K28" t="s">
        <v>5</v>
      </c>
      <c r="L28">
        <v>97</v>
      </c>
      <c r="M28" t="s">
        <v>6</v>
      </c>
      <c r="N28">
        <v>-158.63514369473</v>
      </c>
      <c r="O28" t="s">
        <v>7</v>
      </c>
      <c r="P28">
        <v>-0.93866948931793004</v>
      </c>
      <c r="Q28" t="s">
        <v>8</v>
      </c>
      <c r="R28">
        <v>1.24899408974975</v>
      </c>
      <c r="S28" t="s">
        <v>9</v>
      </c>
      <c r="T28">
        <v>-3.8859384777841099</v>
      </c>
      <c r="U28" t="s">
        <v>10</v>
      </c>
      <c r="V28">
        <v>1.1000620665921499</v>
      </c>
      <c r="W28" t="s">
        <v>11</v>
      </c>
      <c r="X28" t="s">
        <v>2351</v>
      </c>
      <c r="Y28" t="s">
        <v>720</v>
      </c>
      <c r="Z28">
        <v>0</v>
      </c>
      <c r="AA28" t="s">
        <v>14</v>
      </c>
      <c r="AB28" t="s">
        <v>15</v>
      </c>
      <c r="AC28" t="s">
        <v>2352</v>
      </c>
      <c r="AD28" t="s">
        <v>720</v>
      </c>
      <c r="AE28">
        <v>0</v>
      </c>
      <c r="AF28" t="s">
        <v>18</v>
      </c>
    </row>
    <row r="29" spans="1:32" x14ac:dyDescent="0.3">
      <c r="A29" t="s">
        <v>113</v>
      </c>
      <c r="B29" t="s">
        <v>1</v>
      </c>
      <c r="C29">
        <v>0.4</v>
      </c>
      <c r="D29" t="s">
        <v>588</v>
      </c>
      <c r="E29" t="s">
        <v>2323</v>
      </c>
      <c r="F29">
        <v>0.2</v>
      </c>
      <c r="G29" t="s">
        <v>2347</v>
      </c>
      <c r="H29" t="s">
        <v>1988</v>
      </c>
      <c r="I29" t="s">
        <v>4</v>
      </c>
      <c r="J29">
        <v>169</v>
      </c>
      <c r="K29" t="s">
        <v>5</v>
      </c>
      <c r="L29">
        <v>101</v>
      </c>
      <c r="M29" t="s">
        <v>6</v>
      </c>
      <c r="N29">
        <v>-238.58514369472999</v>
      </c>
      <c r="O29" t="s">
        <v>7</v>
      </c>
      <c r="P29">
        <v>-1.41174641239485</v>
      </c>
      <c r="Q29" t="s">
        <v>8</v>
      </c>
      <c r="R29">
        <v>1.2380438287695601</v>
      </c>
      <c r="S29" t="s">
        <v>9</v>
      </c>
      <c r="T29">
        <v>-5.3474642705949398</v>
      </c>
      <c r="U29" t="s">
        <v>10</v>
      </c>
      <c r="V29">
        <v>1.64738974665899</v>
      </c>
      <c r="W29" t="s">
        <v>11</v>
      </c>
      <c r="X29" t="s">
        <v>2353</v>
      </c>
      <c r="Y29" t="s">
        <v>720</v>
      </c>
      <c r="Z29">
        <v>0</v>
      </c>
      <c r="AA29" t="s">
        <v>14</v>
      </c>
      <c r="AB29" t="s">
        <v>15</v>
      </c>
      <c r="AC29" t="s">
        <v>2354</v>
      </c>
      <c r="AD29" t="s">
        <v>720</v>
      </c>
      <c r="AE29">
        <v>0</v>
      </c>
      <c r="AF29" t="s">
        <v>18</v>
      </c>
    </row>
    <row r="30" spans="1:32" x14ac:dyDescent="0.3">
      <c r="A30" t="s">
        <v>113</v>
      </c>
      <c r="B30" t="s">
        <v>1</v>
      </c>
      <c r="C30">
        <v>0.4</v>
      </c>
      <c r="D30" t="s">
        <v>588</v>
      </c>
      <c r="E30" t="s">
        <v>2323</v>
      </c>
      <c r="F30">
        <v>0.2</v>
      </c>
      <c r="G30" t="s">
        <v>2355</v>
      </c>
      <c r="H30" t="s">
        <v>1991</v>
      </c>
      <c r="I30" t="s">
        <v>4</v>
      </c>
      <c r="J30">
        <v>178</v>
      </c>
      <c r="K30" t="s">
        <v>5</v>
      </c>
      <c r="L30">
        <v>73</v>
      </c>
      <c r="M30" t="s">
        <v>6</v>
      </c>
      <c r="N30">
        <v>-115.565696662953</v>
      </c>
      <c r="O30" t="s">
        <v>7</v>
      </c>
      <c r="P30">
        <v>-0.64924548687052297</v>
      </c>
      <c r="Q30" t="s">
        <v>8</v>
      </c>
      <c r="R30">
        <v>0.97714082598477403</v>
      </c>
      <c r="S30" t="s">
        <v>9</v>
      </c>
      <c r="T30">
        <v>-1.77997120914135</v>
      </c>
      <c r="U30" t="s">
        <v>10</v>
      </c>
      <c r="V30">
        <v>0.48724600542854302</v>
      </c>
      <c r="W30" t="s">
        <v>11</v>
      </c>
      <c r="X30" t="s">
        <v>2356</v>
      </c>
      <c r="Y30" t="s">
        <v>720</v>
      </c>
      <c r="Z30">
        <v>0</v>
      </c>
      <c r="AA30" t="s">
        <v>14</v>
      </c>
      <c r="AB30" t="s">
        <v>15</v>
      </c>
      <c r="AC30" t="s">
        <v>2357</v>
      </c>
      <c r="AD30" t="s">
        <v>720</v>
      </c>
      <c r="AE30">
        <v>0</v>
      </c>
      <c r="AF30" t="s">
        <v>18</v>
      </c>
    </row>
    <row r="31" spans="1:32" x14ac:dyDescent="0.3">
      <c r="A31" t="s">
        <v>113</v>
      </c>
      <c r="B31" t="s">
        <v>1</v>
      </c>
      <c r="C31">
        <v>0.4</v>
      </c>
      <c r="D31" t="s">
        <v>588</v>
      </c>
      <c r="E31" t="s">
        <v>2323</v>
      </c>
      <c r="F31">
        <v>0.2</v>
      </c>
      <c r="G31" t="s">
        <v>2355</v>
      </c>
      <c r="H31" t="s">
        <v>1994</v>
      </c>
      <c r="I31" t="s">
        <v>4</v>
      </c>
      <c r="J31">
        <v>178</v>
      </c>
      <c r="K31" t="s">
        <v>5</v>
      </c>
      <c r="L31">
        <v>87</v>
      </c>
      <c r="M31" t="s">
        <v>6</v>
      </c>
      <c r="N31">
        <v>-134.52670691765499</v>
      </c>
      <c r="O31" t="s">
        <v>7</v>
      </c>
      <c r="P31">
        <v>-0.75576801639132396</v>
      </c>
      <c r="Q31" t="s">
        <v>8</v>
      </c>
      <c r="R31">
        <v>1.0693250608837701</v>
      </c>
      <c r="S31" t="s">
        <v>9</v>
      </c>
      <c r="T31">
        <v>-2.5006372221378399</v>
      </c>
      <c r="U31" t="s">
        <v>10</v>
      </c>
      <c r="V31">
        <v>0.64484462582086199</v>
      </c>
      <c r="W31" t="s">
        <v>11</v>
      </c>
      <c r="X31" t="s">
        <v>2356</v>
      </c>
      <c r="Y31" t="s">
        <v>720</v>
      </c>
      <c r="Z31">
        <v>0</v>
      </c>
      <c r="AA31" t="s">
        <v>14</v>
      </c>
      <c r="AB31" t="s">
        <v>15</v>
      </c>
      <c r="AC31" t="s">
        <v>2358</v>
      </c>
      <c r="AD31" t="s">
        <v>720</v>
      </c>
      <c r="AE31">
        <v>0</v>
      </c>
      <c r="AF31" t="s">
        <v>18</v>
      </c>
    </row>
    <row r="32" spans="1:32" x14ac:dyDescent="0.3">
      <c r="A32" t="s">
        <v>113</v>
      </c>
      <c r="B32" t="s">
        <v>1</v>
      </c>
      <c r="C32">
        <v>0.4</v>
      </c>
      <c r="D32" t="s">
        <v>588</v>
      </c>
      <c r="E32" t="s">
        <v>2323</v>
      </c>
      <c r="F32">
        <v>0.2</v>
      </c>
      <c r="G32" t="s">
        <v>2355</v>
      </c>
      <c r="H32" t="s">
        <v>1996</v>
      </c>
      <c r="I32" t="s">
        <v>4</v>
      </c>
      <c r="J32">
        <v>178</v>
      </c>
      <c r="K32" t="s">
        <v>5</v>
      </c>
      <c r="L32">
        <v>95</v>
      </c>
      <c r="M32" t="s">
        <v>6</v>
      </c>
      <c r="N32">
        <v>-175.76255316692499</v>
      </c>
      <c r="O32" t="s">
        <v>7</v>
      </c>
      <c r="P32">
        <v>-0.98743007397149196</v>
      </c>
      <c r="Q32" t="s">
        <v>8</v>
      </c>
      <c r="R32">
        <v>1.11339678417874</v>
      </c>
      <c r="S32" t="s">
        <v>9</v>
      </c>
      <c r="T32">
        <v>-3.39199093570971</v>
      </c>
      <c r="U32" t="s">
        <v>10</v>
      </c>
      <c r="V32">
        <v>0.87797561242038502</v>
      </c>
      <c r="W32" t="s">
        <v>11</v>
      </c>
      <c r="X32" t="s">
        <v>2356</v>
      </c>
      <c r="Y32" t="s">
        <v>720</v>
      </c>
      <c r="Z32">
        <v>0</v>
      </c>
      <c r="AA32" t="s">
        <v>14</v>
      </c>
      <c r="AB32" t="s">
        <v>15</v>
      </c>
      <c r="AC32" t="s">
        <v>2359</v>
      </c>
      <c r="AD32" t="s">
        <v>2192</v>
      </c>
      <c r="AE32">
        <v>0</v>
      </c>
      <c r="AF32" t="s">
        <v>18</v>
      </c>
    </row>
    <row r="33" spans="1:32" x14ac:dyDescent="0.3">
      <c r="A33" t="s">
        <v>113</v>
      </c>
      <c r="B33" t="s">
        <v>1</v>
      </c>
      <c r="C33">
        <v>0.4</v>
      </c>
      <c r="D33" t="s">
        <v>588</v>
      </c>
      <c r="E33" t="s">
        <v>2323</v>
      </c>
      <c r="F33">
        <v>0.2</v>
      </c>
      <c r="G33" t="s">
        <v>2355</v>
      </c>
      <c r="H33" t="s">
        <v>1997</v>
      </c>
      <c r="I33" t="s">
        <v>4</v>
      </c>
      <c r="J33">
        <v>178</v>
      </c>
      <c r="K33" t="s">
        <v>5</v>
      </c>
      <c r="L33">
        <v>103</v>
      </c>
      <c r="M33" t="s">
        <v>6</v>
      </c>
      <c r="N33">
        <v>-218.55255316692501</v>
      </c>
      <c r="O33" t="s">
        <v>7</v>
      </c>
      <c r="P33">
        <v>-1.22782333239845</v>
      </c>
      <c r="Q33" t="s">
        <v>8</v>
      </c>
      <c r="R33">
        <v>1.1527446067667899</v>
      </c>
      <c r="S33" t="s">
        <v>9</v>
      </c>
      <c r="T33">
        <v>-4.4971366355187401</v>
      </c>
      <c r="U33" t="s">
        <v>10</v>
      </c>
      <c r="V33">
        <v>1.1021545841664699</v>
      </c>
      <c r="W33" t="s">
        <v>11</v>
      </c>
      <c r="X33" t="s">
        <v>2360</v>
      </c>
      <c r="Y33" t="s">
        <v>1987</v>
      </c>
      <c r="Z33">
        <v>0</v>
      </c>
      <c r="AA33" t="s">
        <v>14</v>
      </c>
      <c r="AB33" t="s">
        <v>15</v>
      </c>
      <c r="AC33" t="s">
        <v>2359</v>
      </c>
      <c r="AD33" t="s">
        <v>2192</v>
      </c>
      <c r="AE33">
        <v>0</v>
      </c>
      <c r="AF33" t="s">
        <v>18</v>
      </c>
    </row>
    <row r="34" spans="1:32" x14ac:dyDescent="0.3">
      <c r="A34" t="s">
        <v>113</v>
      </c>
      <c r="B34" t="s">
        <v>1</v>
      </c>
      <c r="C34">
        <v>0.4</v>
      </c>
      <c r="D34" t="s">
        <v>588</v>
      </c>
      <c r="E34" t="s">
        <v>2323</v>
      </c>
      <c r="F34">
        <v>0.2</v>
      </c>
      <c r="G34" t="s">
        <v>2361</v>
      </c>
      <c r="H34" t="s">
        <v>1999</v>
      </c>
      <c r="I34" t="s">
        <v>4</v>
      </c>
      <c r="J34">
        <v>167</v>
      </c>
      <c r="K34" t="s">
        <v>5</v>
      </c>
      <c r="L34">
        <v>73</v>
      </c>
      <c r="M34" t="s">
        <v>6</v>
      </c>
      <c r="N34">
        <v>-53.847459210891998</v>
      </c>
      <c r="O34" t="s">
        <v>7</v>
      </c>
      <c r="P34">
        <v>-0.32243987551432302</v>
      </c>
      <c r="Q34" t="s">
        <v>8</v>
      </c>
      <c r="R34">
        <v>1.58514287062412</v>
      </c>
      <c r="S34" t="s">
        <v>9</v>
      </c>
      <c r="T34">
        <v>-1.80386051879205</v>
      </c>
      <c r="U34" t="s">
        <v>10</v>
      </c>
      <c r="V34">
        <v>0.45213735007894401</v>
      </c>
      <c r="W34" t="s">
        <v>11</v>
      </c>
      <c r="X34" t="s">
        <v>2362</v>
      </c>
      <c r="Y34" t="s">
        <v>595</v>
      </c>
      <c r="Z34">
        <v>0</v>
      </c>
      <c r="AA34" t="s">
        <v>14</v>
      </c>
      <c r="AB34" t="s">
        <v>15</v>
      </c>
      <c r="AC34" t="s">
        <v>2363</v>
      </c>
      <c r="AD34" t="s">
        <v>2169</v>
      </c>
      <c r="AE34">
        <v>0</v>
      </c>
      <c r="AF34" t="s">
        <v>18</v>
      </c>
    </row>
    <row r="35" spans="1:32" x14ac:dyDescent="0.3">
      <c r="A35" t="s">
        <v>113</v>
      </c>
      <c r="B35" t="s">
        <v>1</v>
      </c>
      <c r="C35">
        <v>0.4</v>
      </c>
      <c r="D35" t="s">
        <v>588</v>
      </c>
      <c r="E35" t="s">
        <v>2323</v>
      </c>
      <c r="F35">
        <v>0.2</v>
      </c>
      <c r="G35" t="s">
        <v>2361</v>
      </c>
      <c r="H35" t="s">
        <v>2002</v>
      </c>
      <c r="I35" t="s">
        <v>4</v>
      </c>
      <c r="J35">
        <v>167</v>
      </c>
      <c r="K35" t="s">
        <v>5</v>
      </c>
      <c r="L35">
        <v>88</v>
      </c>
      <c r="M35" t="s">
        <v>6</v>
      </c>
      <c r="N35">
        <v>-78.428469465594503</v>
      </c>
      <c r="O35" t="s">
        <v>7</v>
      </c>
      <c r="P35">
        <v>-0.46963155368619502</v>
      </c>
      <c r="Q35" t="s">
        <v>8</v>
      </c>
      <c r="R35">
        <v>1.6602861858765201</v>
      </c>
      <c r="S35" t="s">
        <v>9</v>
      </c>
      <c r="T35">
        <v>-2.8421981496547901</v>
      </c>
      <c r="U35" t="s">
        <v>10</v>
      </c>
      <c r="V35">
        <v>0.60142724847580498</v>
      </c>
      <c r="W35" t="s">
        <v>11</v>
      </c>
      <c r="X35" t="s">
        <v>2364</v>
      </c>
      <c r="Y35" t="s">
        <v>720</v>
      </c>
      <c r="Z35">
        <v>0</v>
      </c>
      <c r="AA35" t="s">
        <v>14</v>
      </c>
      <c r="AB35" t="s">
        <v>15</v>
      </c>
      <c r="AC35" t="s">
        <v>2365</v>
      </c>
      <c r="AD35" t="s">
        <v>720</v>
      </c>
      <c r="AE35">
        <v>0</v>
      </c>
      <c r="AF35" t="s">
        <v>18</v>
      </c>
    </row>
    <row r="36" spans="1:32" x14ac:dyDescent="0.3">
      <c r="A36" t="s">
        <v>113</v>
      </c>
      <c r="B36" t="s">
        <v>1</v>
      </c>
      <c r="C36">
        <v>0.4</v>
      </c>
      <c r="D36" t="s">
        <v>588</v>
      </c>
      <c r="E36" t="s">
        <v>2323</v>
      </c>
      <c r="F36">
        <v>0.2</v>
      </c>
      <c r="G36" t="s">
        <v>2361</v>
      </c>
      <c r="H36" t="s">
        <v>2004</v>
      </c>
      <c r="I36" t="s">
        <v>4</v>
      </c>
      <c r="J36">
        <v>167</v>
      </c>
      <c r="K36" t="s">
        <v>5</v>
      </c>
      <c r="L36">
        <v>101</v>
      </c>
      <c r="M36" t="s">
        <v>6</v>
      </c>
      <c r="N36">
        <v>-99.815079016643793</v>
      </c>
      <c r="O36" t="s">
        <v>7</v>
      </c>
      <c r="P36">
        <v>-0.59769508393199899</v>
      </c>
      <c r="Q36" t="s">
        <v>8</v>
      </c>
      <c r="R36">
        <v>1.69244156987352</v>
      </c>
      <c r="S36" t="s">
        <v>9</v>
      </c>
      <c r="T36">
        <v>-4.1022981450586196</v>
      </c>
      <c r="U36" t="s">
        <v>10</v>
      </c>
      <c r="V36">
        <v>0.72462995104897898</v>
      </c>
      <c r="W36" t="s">
        <v>11</v>
      </c>
      <c r="X36" t="s">
        <v>2364</v>
      </c>
      <c r="Y36" t="s">
        <v>720</v>
      </c>
      <c r="Z36">
        <v>0</v>
      </c>
      <c r="AA36" t="s">
        <v>14</v>
      </c>
      <c r="AB36" t="s">
        <v>15</v>
      </c>
      <c r="AC36" t="s">
        <v>2366</v>
      </c>
      <c r="AD36" t="s">
        <v>2192</v>
      </c>
      <c r="AE36">
        <v>0</v>
      </c>
      <c r="AF36" t="s">
        <v>18</v>
      </c>
    </row>
    <row r="37" spans="1:32" x14ac:dyDescent="0.3">
      <c r="A37" t="s">
        <v>113</v>
      </c>
      <c r="B37" t="s">
        <v>1</v>
      </c>
      <c r="C37">
        <v>0.4</v>
      </c>
      <c r="D37" t="s">
        <v>588</v>
      </c>
      <c r="E37" t="s">
        <v>2323</v>
      </c>
      <c r="F37">
        <v>0.2</v>
      </c>
      <c r="G37" t="s">
        <v>2361</v>
      </c>
      <c r="H37" t="s">
        <v>2005</v>
      </c>
      <c r="I37" t="s">
        <v>4</v>
      </c>
      <c r="J37">
        <v>167</v>
      </c>
      <c r="K37" t="s">
        <v>5</v>
      </c>
      <c r="L37">
        <v>110</v>
      </c>
      <c r="M37" t="s">
        <v>6</v>
      </c>
      <c r="N37">
        <v>-121.44117097318301</v>
      </c>
      <c r="O37" t="s">
        <v>7</v>
      </c>
      <c r="P37">
        <v>-0.72719264055798305</v>
      </c>
      <c r="Q37" t="s">
        <v>8</v>
      </c>
      <c r="R37">
        <v>1.71341369378685</v>
      </c>
      <c r="S37" t="s">
        <v>9</v>
      </c>
      <c r="T37">
        <v>-5.4371346892936296</v>
      </c>
      <c r="U37" t="s">
        <v>10</v>
      </c>
      <c r="V37">
        <v>0.91027386576929203</v>
      </c>
      <c r="W37" t="s">
        <v>11</v>
      </c>
      <c r="X37" t="s">
        <v>2367</v>
      </c>
      <c r="Y37" t="s">
        <v>595</v>
      </c>
      <c r="Z37">
        <v>0</v>
      </c>
      <c r="AA37" t="s">
        <v>14</v>
      </c>
      <c r="AB37" t="s">
        <v>15</v>
      </c>
      <c r="AC37" t="s">
        <v>2366</v>
      </c>
      <c r="AD37" t="s">
        <v>2192</v>
      </c>
      <c r="AE37">
        <v>0</v>
      </c>
      <c r="AF37" t="s">
        <v>18</v>
      </c>
    </row>
    <row r="38" spans="1:32" x14ac:dyDescent="0.3">
      <c r="A38" t="s">
        <v>113</v>
      </c>
      <c r="B38" t="s">
        <v>1</v>
      </c>
      <c r="C38">
        <v>0.3</v>
      </c>
      <c r="D38" t="s">
        <v>588</v>
      </c>
      <c r="E38" t="s">
        <v>2323</v>
      </c>
      <c r="F38">
        <v>0.15</v>
      </c>
      <c r="G38" t="s">
        <v>2324</v>
      </c>
      <c r="H38" t="s">
        <v>1979</v>
      </c>
      <c r="I38" t="s">
        <v>4</v>
      </c>
      <c r="J38">
        <v>169</v>
      </c>
      <c r="K38" t="s">
        <v>5</v>
      </c>
      <c r="L38">
        <v>50</v>
      </c>
      <c r="M38" t="s">
        <v>6</v>
      </c>
      <c r="N38">
        <v>-80.821483562234903</v>
      </c>
      <c r="O38" t="s">
        <v>7</v>
      </c>
      <c r="P38">
        <v>-0.47823363054576801</v>
      </c>
      <c r="Q38" t="s">
        <v>8</v>
      </c>
      <c r="R38">
        <v>1.07790379404332</v>
      </c>
      <c r="S38" t="s">
        <v>9</v>
      </c>
      <c r="T38">
        <v>-1.1320728845748</v>
      </c>
      <c r="U38" t="s">
        <v>10</v>
      </c>
      <c r="V38">
        <v>0.56802121914027004</v>
      </c>
      <c r="W38" t="s">
        <v>11</v>
      </c>
      <c r="X38" t="s">
        <v>2368</v>
      </c>
      <c r="Y38" t="s">
        <v>720</v>
      </c>
      <c r="Z38">
        <v>0</v>
      </c>
      <c r="AA38" t="s">
        <v>14</v>
      </c>
      <c r="AB38" t="s">
        <v>15</v>
      </c>
      <c r="AC38" t="s">
        <v>2369</v>
      </c>
      <c r="AD38" t="s">
        <v>1987</v>
      </c>
      <c r="AE38">
        <v>0</v>
      </c>
      <c r="AF38" t="s">
        <v>18</v>
      </c>
    </row>
    <row r="39" spans="1:32" x14ac:dyDescent="0.3">
      <c r="A39" t="s">
        <v>113</v>
      </c>
      <c r="B39" t="s">
        <v>1</v>
      </c>
      <c r="C39">
        <v>0.3</v>
      </c>
      <c r="D39" t="s">
        <v>588</v>
      </c>
      <c r="E39" t="s">
        <v>2323</v>
      </c>
      <c r="F39">
        <v>0.15</v>
      </c>
      <c r="G39" t="s">
        <v>2324</v>
      </c>
      <c r="H39" t="s">
        <v>1982</v>
      </c>
      <c r="I39" t="s">
        <v>4</v>
      </c>
      <c r="J39">
        <v>169</v>
      </c>
      <c r="K39" t="s">
        <v>5</v>
      </c>
      <c r="L39">
        <v>55</v>
      </c>
      <c r="M39" t="s">
        <v>6</v>
      </c>
      <c r="N39">
        <v>-94.781483562234897</v>
      </c>
      <c r="O39" t="s">
        <v>7</v>
      </c>
      <c r="P39">
        <v>-0.56083718084162604</v>
      </c>
      <c r="Q39" t="s">
        <v>8</v>
      </c>
      <c r="R39">
        <v>1.0851852673121101</v>
      </c>
      <c r="S39" t="s">
        <v>9</v>
      </c>
      <c r="T39">
        <v>-1.3549708181087801</v>
      </c>
      <c r="U39" t="s">
        <v>10</v>
      </c>
      <c r="V39">
        <v>0.64987890416835103</v>
      </c>
      <c r="W39" t="s">
        <v>11</v>
      </c>
      <c r="X39" t="s">
        <v>2368</v>
      </c>
      <c r="Y39" t="s">
        <v>720</v>
      </c>
      <c r="Z39">
        <v>0</v>
      </c>
      <c r="AA39" t="s">
        <v>14</v>
      </c>
      <c r="AB39" t="s">
        <v>15</v>
      </c>
      <c r="AC39" t="s">
        <v>2370</v>
      </c>
      <c r="AD39" t="s">
        <v>1987</v>
      </c>
      <c r="AE39">
        <v>0</v>
      </c>
      <c r="AF39" t="s">
        <v>18</v>
      </c>
    </row>
    <row r="40" spans="1:32" x14ac:dyDescent="0.3">
      <c r="A40" t="s">
        <v>113</v>
      </c>
      <c r="B40" t="s">
        <v>1</v>
      </c>
      <c r="C40">
        <v>0.3</v>
      </c>
      <c r="D40" t="s">
        <v>588</v>
      </c>
      <c r="E40" t="s">
        <v>2323</v>
      </c>
      <c r="F40">
        <v>0.15</v>
      </c>
      <c r="G40" t="s">
        <v>2324</v>
      </c>
      <c r="H40" t="s">
        <v>1985</v>
      </c>
      <c r="I40" t="s">
        <v>4</v>
      </c>
      <c r="J40">
        <v>169</v>
      </c>
      <c r="K40" t="s">
        <v>5</v>
      </c>
      <c r="L40">
        <v>56</v>
      </c>
      <c r="M40" t="s">
        <v>6</v>
      </c>
      <c r="N40">
        <v>-95.371483562234801</v>
      </c>
      <c r="O40" t="s">
        <v>7</v>
      </c>
      <c r="P40">
        <v>-0.56432830510198095</v>
      </c>
      <c r="Q40" t="s">
        <v>8</v>
      </c>
      <c r="R40">
        <v>1.0670569589672501</v>
      </c>
      <c r="S40" t="s">
        <v>9</v>
      </c>
      <c r="T40">
        <v>-1.3728024182690299</v>
      </c>
      <c r="U40" t="s">
        <v>10</v>
      </c>
      <c r="V40">
        <v>0.65193487842647901</v>
      </c>
      <c r="W40" t="s">
        <v>11</v>
      </c>
      <c r="X40" t="s">
        <v>2368</v>
      </c>
      <c r="Y40" t="s">
        <v>720</v>
      </c>
      <c r="Z40">
        <v>0</v>
      </c>
      <c r="AA40" t="s">
        <v>14</v>
      </c>
      <c r="AB40" t="s">
        <v>15</v>
      </c>
      <c r="AC40" t="s">
        <v>2370</v>
      </c>
      <c r="AD40" t="s">
        <v>1987</v>
      </c>
      <c r="AE40">
        <v>0</v>
      </c>
      <c r="AF40" t="s">
        <v>18</v>
      </c>
    </row>
    <row r="41" spans="1:32" x14ac:dyDescent="0.3">
      <c r="A41" t="s">
        <v>113</v>
      </c>
      <c r="B41" t="s">
        <v>1</v>
      </c>
      <c r="C41">
        <v>0.3</v>
      </c>
      <c r="D41" t="s">
        <v>588</v>
      </c>
      <c r="E41" t="s">
        <v>2323</v>
      </c>
      <c r="F41">
        <v>0.15</v>
      </c>
      <c r="G41" t="s">
        <v>2324</v>
      </c>
      <c r="H41" t="s">
        <v>1988</v>
      </c>
      <c r="I41" t="s">
        <v>4</v>
      </c>
      <c r="J41">
        <v>169</v>
      </c>
      <c r="K41" t="s">
        <v>5</v>
      </c>
      <c r="L41">
        <v>57</v>
      </c>
      <c r="M41" t="s">
        <v>6</v>
      </c>
      <c r="N41">
        <v>-102.54148356223401</v>
      </c>
      <c r="O41" t="s">
        <v>7</v>
      </c>
      <c r="P41">
        <v>-0.60675434060494005</v>
      </c>
      <c r="Q41" t="s">
        <v>8</v>
      </c>
      <c r="R41">
        <v>1.1088629772309799</v>
      </c>
      <c r="S41" t="s">
        <v>9</v>
      </c>
      <c r="T41">
        <v>-1.4798810112892899</v>
      </c>
      <c r="U41" t="s">
        <v>10</v>
      </c>
      <c r="V41">
        <v>0.67484080562099902</v>
      </c>
      <c r="W41" t="s">
        <v>11</v>
      </c>
      <c r="X41" t="s">
        <v>2368</v>
      </c>
      <c r="Y41" t="s">
        <v>720</v>
      </c>
      <c r="Z41">
        <v>0</v>
      </c>
      <c r="AA41" t="s">
        <v>14</v>
      </c>
      <c r="AB41" t="s">
        <v>15</v>
      </c>
      <c r="AC41" t="s">
        <v>2370</v>
      </c>
      <c r="AD41" t="s">
        <v>1987</v>
      </c>
      <c r="AE41">
        <v>0</v>
      </c>
      <c r="AF41" t="s">
        <v>18</v>
      </c>
    </row>
    <row r="42" spans="1:32" x14ac:dyDescent="0.3">
      <c r="A42" t="s">
        <v>113</v>
      </c>
      <c r="B42" t="s">
        <v>1</v>
      </c>
      <c r="C42">
        <v>0.3</v>
      </c>
      <c r="D42" t="s">
        <v>588</v>
      </c>
      <c r="E42" t="s">
        <v>2323</v>
      </c>
      <c r="F42">
        <v>0.15</v>
      </c>
      <c r="G42" t="s">
        <v>2329</v>
      </c>
      <c r="H42" t="s">
        <v>1991</v>
      </c>
      <c r="I42" t="s">
        <v>4</v>
      </c>
      <c r="J42">
        <v>178</v>
      </c>
      <c r="K42" t="s">
        <v>5</v>
      </c>
      <c r="L42">
        <v>45</v>
      </c>
      <c r="M42" t="s">
        <v>6</v>
      </c>
      <c r="N42">
        <v>-71.916032984694098</v>
      </c>
      <c r="O42" t="s">
        <v>7</v>
      </c>
      <c r="P42">
        <v>-0.40402265721738201</v>
      </c>
      <c r="Q42" t="s">
        <v>8</v>
      </c>
      <c r="R42">
        <v>1.3249524868693201</v>
      </c>
      <c r="S42" t="s">
        <v>9</v>
      </c>
      <c r="T42">
        <v>-0.98901424732190701</v>
      </c>
      <c r="U42" t="s">
        <v>10</v>
      </c>
      <c r="V42">
        <v>0.40446146971658697</v>
      </c>
      <c r="W42" t="s">
        <v>11</v>
      </c>
      <c r="X42" t="s">
        <v>2371</v>
      </c>
      <c r="Y42" t="s">
        <v>1987</v>
      </c>
      <c r="Z42">
        <v>0</v>
      </c>
      <c r="AA42" t="s">
        <v>14</v>
      </c>
      <c r="AB42" t="s">
        <v>15</v>
      </c>
      <c r="AC42" t="s">
        <v>2372</v>
      </c>
      <c r="AD42" t="s">
        <v>2013</v>
      </c>
      <c r="AE42">
        <v>0</v>
      </c>
      <c r="AF42" t="s">
        <v>18</v>
      </c>
    </row>
    <row r="43" spans="1:32" x14ac:dyDescent="0.3">
      <c r="A43" t="s">
        <v>113</v>
      </c>
      <c r="B43" t="s">
        <v>1</v>
      </c>
      <c r="C43">
        <v>0.3</v>
      </c>
      <c r="D43" t="s">
        <v>588</v>
      </c>
      <c r="E43" t="s">
        <v>2323</v>
      </c>
      <c r="F43">
        <v>0.15</v>
      </c>
      <c r="G43" t="s">
        <v>2329</v>
      </c>
      <c r="H43" t="s">
        <v>1994</v>
      </c>
      <c r="I43" t="s">
        <v>4</v>
      </c>
      <c r="J43">
        <v>178</v>
      </c>
      <c r="K43" t="s">
        <v>5</v>
      </c>
      <c r="L43">
        <v>50</v>
      </c>
      <c r="M43" t="s">
        <v>6</v>
      </c>
      <c r="N43">
        <v>-82.372100709495001</v>
      </c>
      <c r="O43" t="s">
        <v>7</v>
      </c>
      <c r="P43">
        <v>-0.46276461072750003</v>
      </c>
      <c r="Q43" t="s">
        <v>8</v>
      </c>
      <c r="R43">
        <v>1.3456572381823899</v>
      </c>
      <c r="S43" t="s">
        <v>9</v>
      </c>
      <c r="T43">
        <v>-1.1691793954579199</v>
      </c>
      <c r="U43" t="s">
        <v>10</v>
      </c>
      <c r="V43">
        <v>0.49713749512781802</v>
      </c>
      <c r="W43" t="s">
        <v>11</v>
      </c>
      <c r="X43" t="s">
        <v>2373</v>
      </c>
      <c r="Y43" t="s">
        <v>1987</v>
      </c>
      <c r="Z43">
        <v>0</v>
      </c>
      <c r="AA43" t="s">
        <v>14</v>
      </c>
      <c r="AB43" t="s">
        <v>15</v>
      </c>
      <c r="AC43" t="s">
        <v>2374</v>
      </c>
      <c r="AD43" t="s">
        <v>1987</v>
      </c>
      <c r="AE43">
        <v>0</v>
      </c>
      <c r="AF43" t="s">
        <v>18</v>
      </c>
    </row>
    <row r="44" spans="1:32" x14ac:dyDescent="0.3">
      <c r="A44" t="s">
        <v>113</v>
      </c>
      <c r="B44" t="s">
        <v>1</v>
      </c>
      <c r="C44">
        <v>0.3</v>
      </c>
      <c r="D44" t="s">
        <v>588</v>
      </c>
      <c r="E44" t="s">
        <v>2323</v>
      </c>
      <c r="F44">
        <v>0.15</v>
      </c>
      <c r="G44" t="s">
        <v>2329</v>
      </c>
      <c r="H44" t="s">
        <v>1996</v>
      </c>
      <c r="I44" t="s">
        <v>4</v>
      </c>
      <c r="J44">
        <v>178</v>
      </c>
      <c r="K44" t="s">
        <v>5</v>
      </c>
      <c r="L44">
        <v>51</v>
      </c>
      <c r="M44" t="s">
        <v>6</v>
      </c>
      <c r="N44">
        <v>-91.162100709494894</v>
      </c>
      <c r="O44" t="s">
        <v>7</v>
      </c>
      <c r="P44">
        <v>-0.51214663319940901</v>
      </c>
      <c r="Q44" t="s">
        <v>8</v>
      </c>
      <c r="R44">
        <v>1.3206443511592001</v>
      </c>
      <c r="S44" t="s">
        <v>9</v>
      </c>
      <c r="T44">
        <v>-1.2481493119575899</v>
      </c>
      <c r="U44" t="s">
        <v>10</v>
      </c>
      <c r="V44">
        <v>0.53519216099409705</v>
      </c>
      <c r="W44" t="s">
        <v>11</v>
      </c>
      <c r="X44" t="s">
        <v>2375</v>
      </c>
      <c r="Y44" t="s">
        <v>720</v>
      </c>
      <c r="Z44">
        <v>0</v>
      </c>
      <c r="AA44" t="s">
        <v>14</v>
      </c>
      <c r="AB44" t="s">
        <v>15</v>
      </c>
      <c r="AC44" t="s">
        <v>2376</v>
      </c>
      <c r="AD44" t="s">
        <v>720</v>
      </c>
      <c r="AE44">
        <v>0</v>
      </c>
      <c r="AF44" t="s">
        <v>18</v>
      </c>
    </row>
    <row r="45" spans="1:32" x14ac:dyDescent="0.3">
      <c r="A45" t="s">
        <v>113</v>
      </c>
      <c r="B45" t="s">
        <v>1</v>
      </c>
      <c r="C45">
        <v>0.3</v>
      </c>
      <c r="D45" t="s">
        <v>588</v>
      </c>
      <c r="E45" t="s">
        <v>2323</v>
      </c>
      <c r="F45">
        <v>0.15</v>
      </c>
      <c r="G45" t="s">
        <v>2329</v>
      </c>
      <c r="H45" t="s">
        <v>1997</v>
      </c>
      <c r="I45" t="s">
        <v>4</v>
      </c>
      <c r="J45">
        <v>178</v>
      </c>
      <c r="K45" t="s">
        <v>5</v>
      </c>
      <c r="L45">
        <v>57</v>
      </c>
      <c r="M45" t="s">
        <v>6</v>
      </c>
      <c r="N45">
        <v>-70.432100709494904</v>
      </c>
      <c r="O45" t="s">
        <v>7</v>
      </c>
      <c r="P45">
        <v>-0.39568595904210602</v>
      </c>
      <c r="Q45" t="s">
        <v>8</v>
      </c>
      <c r="R45">
        <v>1.3923309106863</v>
      </c>
      <c r="S45" t="s">
        <v>9</v>
      </c>
      <c r="T45">
        <v>-1.23797489767449</v>
      </c>
      <c r="U45" t="s">
        <v>10</v>
      </c>
      <c r="V45">
        <v>0.59374091168911003</v>
      </c>
      <c r="W45" t="s">
        <v>11</v>
      </c>
      <c r="X45" t="s">
        <v>2375</v>
      </c>
      <c r="Y45" t="s">
        <v>720</v>
      </c>
      <c r="Z45">
        <v>0</v>
      </c>
      <c r="AA45" t="s">
        <v>14</v>
      </c>
      <c r="AB45" t="s">
        <v>15</v>
      </c>
      <c r="AC45" t="s">
        <v>2376</v>
      </c>
      <c r="AD45" t="s">
        <v>720</v>
      </c>
      <c r="AE45">
        <v>0</v>
      </c>
      <c r="AF45" t="s">
        <v>18</v>
      </c>
    </row>
    <row r="46" spans="1:32" x14ac:dyDescent="0.3">
      <c r="A46" t="s">
        <v>113</v>
      </c>
      <c r="B46" t="s">
        <v>1</v>
      </c>
      <c r="C46">
        <v>0.3</v>
      </c>
      <c r="D46" t="s">
        <v>588</v>
      </c>
      <c r="E46" t="s">
        <v>2323</v>
      </c>
      <c r="F46">
        <v>0.15</v>
      </c>
      <c r="G46" t="s">
        <v>2332</v>
      </c>
      <c r="H46" t="s">
        <v>1999</v>
      </c>
      <c r="I46" t="s">
        <v>4</v>
      </c>
      <c r="J46">
        <v>167</v>
      </c>
      <c r="K46" t="s">
        <v>5</v>
      </c>
      <c r="L46">
        <v>45</v>
      </c>
      <c r="M46" t="s">
        <v>6</v>
      </c>
      <c r="N46">
        <v>-45.815175118294803</v>
      </c>
      <c r="O46" t="s">
        <v>7</v>
      </c>
      <c r="P46">
        <v>-0.27434236597781297</v>
      </c>
      <c r="Q46" t="s">
        <v>8</v>
      </c>
      <c r="R46">
        <v>2.0049145163570201</v>
      </c>
      <c r="S46" t="s">
        <v>9</v>
      </c>
      <c r="T46">
        <v>-1.1150518717570499</v>
      </c>
      <c r="U46" t="s">
        <v>10</v>
      </c>
      <c r="V46">
        <v>0.42472574428486298</v>
      </c>
      <c r="W46" t="s">
        <v>11</v>
      </c>
      <c r="X46" t="s">
        <v>2377</v>
      </c>
      <c r="Y46" t="s">
        <v>77</v>
      </c>
      <c r="Z46">
        <v>0</v>
      </c>
      <c r="AA46" t="s">
        <v>14</v>
      </c>
      <c r="AB46" t="s">
        <v>15</v>
      </c>
      <c r="AC46" t="s">
        <v>2378</v>
      </c>
      <c r="AD46" t="s">
        <v>1987</v>
      </c>
      <c r="AE46">
        <v>0</v>
      </c>
      <c r="AF46" t="s">
        <v>18</v>
      </c>
    </row>
    <row r="47" spans="1:32" x14ac:dyDescent="0.3">
      <c r="A47" t="s">
        <v>113</v>
      </c>
      <c r="B47" t="s">
        <v>1</v>
      </c>
      <c r="C47">
        <v>0.3</v>
      </c>
      <c r="D47" t="s">
        <v>588</v>
      </c>
      <c r="E47" t="s">
        <v>2323</v>
      </c>
      <c r="F47">
        <v>0.15</v>
      </c>
      <c r="G47" t="s">
        <v>2332</v>
      </c>
      <c r="H47" t="s">
        <v>2002</v>
      </c>
      <c r="I47" t="s">
        <v>4</v>
      </c>
      <c r="J47">
        <v>167</v>
      </c>
      <c r="K47" t="s">
        <v>5</v>
      </c>
      <c r="L47">
        <v>48</v>
      </c>
      <c r="M47" t="s">
        <v>6</v>
      </c>
      <c r="N47">
        <v>-61.080511244411703</v>
      </c>
      <c r="O47" t="s">
        <v>7</v>
      </c>
      <c r="P47">
        <v>-0.36575156433779399</v>
      </c>
      <c r="Q47" t="s">
        <v>8</v>
      </c>
      <c r="R47">
        <v>2.0329088195676999</v>
      </c>
      <c r="S47" t="s">
        <v>9</v>
      </c>
      <c r="T47">
        <v>-1.3332784418795001</v>
      </c>
      <c r="U47" t="s">
        <v>10</v>
      </c>
      <c r="V47">
        <v>0.48401460069228702</v>
      </c>
      <c r="W47" t="s">
        <v>11</v>
      </c>
      <c r="X47" t="s">
        <v>2379</v>
      </c>
      <c r="Y47" t="s">
        <v>595</v>
      </c>
      <c r="Z47">
        <v>0</v>
      </c>
      <c r="AA47" t="s">
        <v>14</v>
      </c>
      <c r="AB47" t="s">
        <v>15</v>
      </c>
      <c r="AC47" t="s">
        <v>2378</v>
      </c>
      <c r="AD47" t="s">
        <v>1987</v>
      </c>
      <c r="AE47">
        <v>0</v>
      </c>
      <c r="AF47" t="s">
        <v>18</v>
      </c>
    </row>
    <row r="48" spans="1:32" x14ac:dyDescent="0.3">
      <c r="A48" t="s">
        <v>113</v>
      </c>
      <c r="B48" t="s">
        <v>1</v>
      </c>
      <c r="C48">
        <v>0.3</v>
      </c>
      <c r="D48" t="s">
        <v>588</v>
      </c>
      <c r="E48" t="s">
        <v>2323</v>
      </c>
      <c r="F48">
        <v>0.15</v>
      </c>
      <c r="G48" t="s">
        <v>2332</v>
      </c>
      <c r="H48" t="s">
        <v>2004</v>
      </c>
      <c r="I48" t="s">
        <v>4</v>
      </c>
      <c r="J48">
        <v>167</v>
      </c>
      <c r="K48" t="s">
        <v>5</v>
      </c>
      <c r="L48">
        <v>48</v>
      </c>
      <c r="M48" t="s">
        <v>6</v>
      </c>
      <c r="N48">
        <v>-73.649229875928299</v>
      </c>
      <c r="O48" t="s">
        <v>7</v>
      </c>
      <c r="P48">
        <v>-0.44101335255046897</v>
      </c>
      <c r="Q48" t="s">
        <v>8</v>
      </c>
      <c r="R48">
        <v>2.0329088195676999</v>
      </c>
      <c r="S48" t="s">
        <v>9</v>
      </c>
      <c r="T48">
        <v>-1.43889792617796</v>
      </c>
      <c r="U48" t="s">
        <v>10</v>
      </c>
      <c r="V48">
        <v>0.51234280727986303</v>
      </c>
      <c r="W48" t="s">
        <v>11</v>
      </c>
      <c r="X48" t="s">
        <v>2379</v>
      </c>
      <c r="Y48" t="s">
        <v>595</v>
      </c>
      <c r="Z48">
        <v>0</v>
      </c>
      <c r="AA48" t="s">
        <v>14</v>
      </c>
      <c r="AB48" t="s">
        <v>15</v>
      </c>
      <c r="AC48" t="s">
        <v>2378</v>
      </c>
      <c r="AD48" t="s">
        <v>1987</v>
      </c>
      <c r="AE48">
        <v>0</v>
      </c>
      <c r="AF48" t="s">
        <v>18</v>
      </c>
    </row>
    <row r="49" spans="1:32" x14ac:dyDescent="0.3">
      <c r="A49" t="s">
        <v>113</v>
      </c>
      <c r="B49" t="s">
        <v>1</v>
      </c>
      <c r="C49">
        <v>0.3</v>
      </c>
      <c r="D49" t="s">
        <v>588</v>
      </c>
      <c r="E49" t="s">
        <v>2323</v>
      </c>
      <c r="F49">
        <v>0.15</v>
      </c>
      <c r="G49" t="s">
        <v>2332</v>
      </c>
      <c r="H49" t="s">
        <v>2005</v>
      </c>
      <c r="I49" t="s">
        <v>4</v>
      </c>
      <c r="J49">
        <v>167</v>
      </c>
      <c r="K49" t="s">
        <v>5</v>
      </c>
      <c r="L49">
        <v>50</v>
      </c>
      <c r="M49" t="s">
        <v>6</v>
      </c>
      <c r="N49">
        <v>-83.089229875928396</v>
      </c>
      <c r="O49" t="s">
        <v>7</v>
      </c>
      <c r="P49">
        <v>-0.497540298658253</v>
      </c>
      <c r="Q49" t="s">
        <v>8</v>
      </c>
      <c r="R49">
        <v>2.0610791860803701</v>
      </c>
      <c r="S49" t="s">
        <v>9</v>
      </c>
      <c r="T49">
        <v>-1.5909674288884299</v>
      </c>
      <c r="U49" t="s">
        <v>10</v>
      </c>
      <c r="V49">
        <v>0.57576619218966896</v>
      </c>
      <c r="W49" t="s">
        <v>11</v>
      </c>
      <c r="X49" t="s">
        <v>2379</v>
      </c>
      <c r="Y49" t="s">
        <v>595</v>
      </c>
      <c r="Z49">
        <v>0</v>
      </c>
      <c r="AA49" t="s">
        <v>14</v>
      </c>
      <c r="AB49" t="s">
        <v>15</v>
      </c>
      <c r="AC49" t="s">
        <v>2378</v>
      </c>
      <c r="AD49" t="s">
        <v>1987</v>
      </c>
      <c r="AE49">
        <v>0</v>
      </c>
      <c r="AF49" t="s">
        <v>18</v>
      </c>
    </row>
    <row r="50" spans="1:32" x14ac:dyDescent="0.3">
      <c r="A50" t="s">
        <v>113</v>
      </c>
      <c r="B50" t="s">
        <v>1</v>
      </c>
      <c r="C50">
        <v>0.3</v>
      </c>
      <c r="D50" t="s">
        <v>588</v>
      </c>
      <c r="E50" t="s">
        <v>2323</v>
      </c>
      <c r="F50">
        <v>0.15</v>
      </c>
      <c r="G50" t="s">
        <v>2347</v>
      </c>
      <c r="H50" t="s">
        <v>1979</v>
      </c>
      <c r="I50" t="s">
        <v>4</v>
      </c>
      <c r="J50">
        <v>169</v>
      </c>
      <c r="K50" t="s">
        <v>5</v>
      </c>
      <c r="L50">
        <v>97</v>
      </c>
      <c r="M50" t="s">
        <v>6</v>
      </c>
      <c r="N50">
        <v>-96.132225343352502</v>
      </c>
      <c r="O50" t="s">
        <v>7</v>
      </c>
      <c r="P50">
        <v>-0.56882973575948204</v>
      </c>
      <c r="Q50" t="s">
        <v>8</v>
      </c>
      <c r="R50">
        <v>0.90163816329857505</v>
      </c>
      <c r="S50" t="s">
        <v>9</v>
      </c>
      <c r="T50">
        <v>-2.5498767664349198</v>
      </c>
      <c r="U50" t="s">
        <v>10</v>
      </c>
      <c r="V50">
        <v>0.73030755768006095</v>
      </c>
      <c r="W50" t="s">
        <v>11</v>
      </c>
      <c r="X50" t="s">
        <v>2348</v>
      </c>
      <c r="Y50" t="s">
        <v>720</v>
      </c>
      <c r="Z50">
        <v>0</v>
      </c>
      <c r="AA50" t="s">
        <v>14</v>
      </c>
      <c r="AB50" t="s">
        <v>15</v>
      </c>
      <c r="AC50" t="s">
        <v>2380</v>
      </c>
      <c r="AD50" t="s">
        <v>720</v>
      </c>
      <c r="AE50">
        <v>0</v>
      </c>
      <c r="AF50" t="s">
        <v>18</v>
      </c>
    </row>
    <row r="51" spans="1:32" x14ac:dyDescent="0.3">
      <c r="A51" t="s">
        <v>113</v>
      </c>
      <c r="B51" t="s">
        <v>1</v>
      </c>
      <c r="C51">
        <v>0.3</v>
      </c>
      <c r="D51" t="s">
        <v>588</v>
      </c>
      <c r="E51" t="s">
        <v>2323</v>
      </c>
      <c r="F51">
        <v>0.15</v>
      </c>
      <c r="G51" t="s">
        <v>2347</v>
      </c>
      <c r="H51" t="s">
        <v>1982</v>
      </c>
      <c r="I51" t="s">
        <v>4</v>
      </c>
      <c r="J51">
        <v>169</v>
      </c>
      <c r="K51" t="s">
        <v>5</v>
      </c>
      <c r="L51">
        <v>107</v>
      </c>
      <c r="M51" t="s">
        <v>6</v>
      </c>
      <c r="N51">
        <v>-135.51222534335199</v>
      </c>
      <c r="O51" t="s">
        <v>7</v>
      </c>
      <c r="P51">
        <v>-0.80184748723877097</v>
      </c>
      <c r="Q51" t="s">
        <v>8</v>
      </c>
      <c r="R51">
        <v>0.94541029756973505</v>
      </c>
      <c r="S51" t="s">
        <v>9</v>
      </c>
      <c r="T51">
        <v>-3.81727624489216</v>
      </c>
      <c r="U51" t="s">
        <v>10</v>
      </c>
      <c r="V51">
        <v>1.00014124974659</v>
      </c>
      <c r="W51" t="s">
        <v>11</v>
      </c>
      <c r="X51" t="s">
        <v>2348</v>
      </c>
      <c r="Y51" t="s">
        <v>720</v>
      </c>
      <c r="Z51">
        <v>0</v>
      </c>
      <c r="AA51" t="s">
        <v>14</v>
      </c>
      <c r="AB51" t="s">
        <v>15</v>
      </c>
      <c r="AC51" t="s">
        <v>2381</v>
      </c>
      <c r="AD51" t="s">
        <v>1987</v>
      </c>
      <c r="AE51">
        <v>0</v>
      </c>
      <c r="AF51" t="s">
        <v>18</v>
      </c>
    </row>
    <row r="52" spans="1:32" x14ac:dyDescent="0.3">
      <c r="A52" t="s">
        <v>113</v>
      </c>
      <c r="B52" t="s">
        <v>1</v>
      </c>
      <c r="C52">
        <v>0.3</v>
      </c>
      <c r="D52" t="s">
        <v>588</v>
      </c>
      <c r="E52" t="s">
        <v>2323</v>
      </c>
      <c r="F52">
        <v>0.15</v>
      </c>
      <c r="G52" t="s">
        <v>2347</v>
      </c>
      <c r="H52" t="s">
        <v>1985</v>
      </c>
      <c r="I52" t="s">
        <v>4</v>
      </c>
      <c r="J52">
        <v>169</v>
      </c>
      <c r="K52" t="s">
        <v>5</v>
      </c>
      <c r="L52">
        <v>114</v>
      </c>
      <c r="M52" t="s">
        <v>6</v>
      </c>
      <c r="N52">
        <v>-133.91222534335199</v>
      </c>
      <c r="O52" t="s">
        <v>7</v>
      </c>
      <c r="P52">
        <v>-0.79238003161746895</v>
      </c>
      <c r="Q52" t="s">
        <v>8</v>
      </c>
      <c r="R52">
        <v>1.0080605424558</v>
      </c>
      <c r="S52" t="s">
        <v>9</v>
      </c>
      <c r="T52">
        <v>-4.5242023124238901</v>
      </c>
      <c r="U52" t="s">
        <v>10</v>
      </c>
      <c r="V52">
        <v>1.1301313107769</v>
      </c>
      <c r="W52" t="s">
        <v>11</v>
      </c>
      <c r="X52" t="s">
        <v>2348</v>
      </c>
      <c r="Y52" t="s">
        <v>720</v>
      </c>
      <c r="Z52">
        <v>0</v>
      </c>
      <c r="AA52" t="s">
        <v>14</v>
      </c>
      <c r="AB52" t="s">
        <v>15</v>
      </c>
      <c r="AC52" t="s">
        <v>2382</v>
      </c>
      <c r="AD52" t="s">
        <v>1987</v>
      </c>
      <c r="AE52">
        <v>0</v>
      </c>
      <c r="AF52" t="s">
        <v>18</v>
      </c>
    </row>
    <row r="53" spans="1:32" x14ac:dyDescent="0.3">
      <c r="A53" t="s">
        <v>113</v>
      </c>
      <c r="B53" t="s">
        <v>1</v>
      </c>
      <c r="C53">
        <v>0.3</v>
      </c>
      <c r="D53" t="s">
        <v>588</v>
      </c>
      <c r="E53" t="s">
        <v>2323</v>
      </c>
      <c r="F53">
        <v>0.15</v>
      </c>
      <c r="G53" t="s">
        <v>2347</v>
      </c>
      <c r="H53" t="s">
        <v>1988</v>
      </c>
      <c r="I53" t="s">
        <v>4</v>
      </c>
      <c r="J53">
        <v>169</v>
      </c>
      <c r="K53" t="s">
        <v>5</v>
      </c>
      <c r="L53">
        <v>118</v>
      </c>
      <c r="M53" t="s">
        <v>6</v>
      </c>
      <c r="N53">
        <v>-160.402225343352</v>
      </c>
      <c r="O53" t="s">
        <v>7</v>
      </c>
      <c r="P53">
        <v>-0.94912559374764705</v>
      </c>
      <c r="Q53" t="s">
        <v>8</v>
      </c>
      <c r="R53">
        <v>1.01295679525391</v>
      </c>
      <c r="S53" t="s">
        <v>9</v>
      </c>
      <c r="T53">
        <v>-5.4888456310453702</v>
      </c>
      <c r="U53" t="s">
        <v>10</v>
      </c>
      <c r="V53">
        <v>1.3726239137301</v>
      </c>
      <c r="W53" t="s">
        <v>11</v>
      </c>
      <c r="X53" t="s">
        <v>2351</v>
      </c>
      <c r="Y53" t="s">
        <v>720</v>
      </c>
      <c r="Z53">
        <v>0</v>
      </c>
      <c r="AA53" t="s">
        <v>14</v>
      </c>
      <c r="AB53" t="s">
        <v>15</v>
      </c>
      <c r="AC53" t="s">
        <v>2383</v>
      </c>
      <c r="AD53" t="s">
        <v>720</v>
      </c>
      <c r="AE53">
        <v>0</v>
      </c>
      <c r="AF53" t="s">
        <v>18</v>
      </c>
    </row>
    <row r="54" spans="1:32" x14ac:dyDescent="0.3">
      <c r="A54" t="s">
        <v>113</v>
      </c>
      <c r="B54" t="s">
        <v>1</v>
      </c>
      <c r="C54">
        <v>0.3</v>
      </c>
      <c r="D54" t="s">
        <v>588</v>
      </c>
      <c r="E54" t="s">
        <v>2323</v>
      </c>
      <c r="F54">
        <v>0.15</v>
      </c>
      <c r="G54" t="s">
        <v>2355</v>
      </c>
      <c r="H54" t="s">
        <v>1991</v>
      </c>
      <c r="I54" t="s">
        <v>4</v>
      </c>
      <c r="J54">
        <v>178</v>
      </c>
      <c r="K54" t="s">
        <v>5</v>
      </c>
      <c r="L54">
        <v>92</v>
      </c>
      <c r="M54" t="s">
        <v>6</v>
      </c>
      <c r="N54">
        <v>-65.190204124273706</v>
      </c>
      <c r="O54" t="s">
        <v>7</v>
      </c>
      <c r="P54">
        <v>-0.366237101821762</v>
      </c>
      <c r="Q54" t="s">
        <v>8</v>
      </c>
      <c r="R54">
        <v>0.87104472913917197</v>
      </c>
      <c r="S54" t="s">
        <v>9</v>
      </c>
      <c r="T54">
        <v>-1.68984092098927</v>
      </c>
      <c r="U54" t="s">
        <v>10</v>
      </c>
      <c r="V54">
        <v>0.40193601928173001</v>
      </c>
      <c r="W54" t="s">
        <v>11</v>
      </c>
      <c r="X54" t="s">
        <v>2384</v>
      </c>
      <c r="Y54" t="s">
        <v>720</v>
      </c>
      <c r="Z54">
        <v>0</v>
      </c>
      <c r="AA54" t="s">
        <v>14</v>
      </c>
      <c r="AB54" t="s">
        <v>15</v>
      </c>
      <c r="AC54" t="s">
        <v>2385</v>
      </c>
      <c r="AD54" t="s">
        <v>720</v>
      </c>
      <c r="AE54">
        <v>0</v>
      </c>
      <c r="AF54" t="s">
        <v>18</v>
      </c>
    </row>
    <row r="55" spans="1:32" x14ac:dyDescent="0.3">
      <c r="A55" t="s">
        <v>113</v>
      </c>
      <c r="B55" t="s">
        <v>1</v>
      </c>
      <c r="C55">
        <v>0.3</v>
      </c>
      <c r="D55" t="s">
        <v>588</v>
      </c>
      <c r="E55" t="s">
        <v>2323</v>
      </c>
      <c r="F55">
        <v>0.15</v>
      </c>
      <c r="G55" t="s">
        <v>2355</v>
      </c>
      <c r="H55" t="s">
        <v>1994</v>
      </c>
      <c r="I55" t="s">
        <v>4</v>
      </c>
      <c r="J55">
        <v>178</v>
      </c>
      <c r="K55" t="s">
        <v>5</v>
      </c>
      <c r="L55">
        <v>104</v>
      </c>
      <c r="M55" t="s">
        <v>6</v>
      </c>
      <c r="N55">
        <v>-112.613151064242</v>
      </c>
      <c r="O55" t="s">
        <v>7</v>
      </c>
      <c r="P55">
        <v>-0.63265815204630604</v>
      </c>
      <c r="Q55" t="s">
        <v>8</v>
      </c>
      <c r="R55">
        <v>0.89366484259562995</v>
      </c>
      <c r="S55" t="s">
        <v>9</v>
      </c>
      <c r="T55">
        <v>-2.77776073911064</v>
      </c>
      <c r="U55" t="s">
        <v>10</v>
      </c>
      <c r="V55">
        <v>0.64472411071313496</v>
      </c>
      <c r="W55" t="s">
        <v>11</v>
      </c>
      <c r="X55" t="s">
        <v>2386</v>
      </c>
      <c r="Y55" t="s">
        <v>1987</v>
      </c>
      <c r="Z55">
        <v>0</v>
      </c>
      <c r="AA55" t="s">
        <v>14</v>
      </c>
      <c r="AB55" t="s">
        <v>15</v>
      </c>
      <c r="AC55" t="s">
        <v>2387</v>
      </c>
      <c r="AD55" t="s">
        <v>1987</v>
      </c>
      <c r="AE55">
        <v>0</v>
      </c>
      <c r="AF55" t="s">
        <v>18</v>
      </c>
    </row>
    <row r="56" spans="1:32" x14ac:dyDescent="0.3">
      <c r="A56" t="s">
        <v>113</v>
      </c>
      <c r="B56" t="s">
        <v>1</v>
      </c>
      <c r="C56">
        <v>0.3</v>
      </c>
      <c r="D56" t="s">
        <v>588</v>
      </c>
      <c r="E56" t="s">
        <v>2323</v>
      </c>
      <c r="F56">
        <v>0.15</v>
      </c>
      <c r="G56" t="s">
        <v>2355</v>
      </c>
      <c r="H56" t="s">
        <v>1996</v>
      </c>
      <c r="I56" t="s">
        <v>4</v>
      </c>
      <c r="J56">
        <v>178</v>
      </c>
      <c r="K56" t="s">
        <v>5</v>
      </c>
      <c r="L56">
        <v>115</v>
      </c>
      <c r="M56" t="s">
        <v>6</v>
      </c>
      <c r="N56">
        <v>-123.433151064242</v>
      </c>
      <c r="O56" t="s">
        <v>7</v>
      </c>
      <c r="P56">
        <v>-0.69344466890023804</v>
      </c>
      <c r="Q56" t="s">
        <v>8</v>
      </c>
      <c r="R56">
        <v>0.98331429243430901</v>
      </c>
      <c r="S56" t="s">
        <v>9</v>
      </c>
      <c r="T56">
        <v>-3.7541951538760001</v>
      </c>
      <c r="U56" t="s">
        <v>10</v>
      </c>
      <c r="V56">
        <v>0.87275941845235305</v>
      </c>
      <c r="W56" t="s">
        <v>11</v>
      </c>
      <c r="X56" t="s">
        <v>2386</v>
      </c>
      <c r="Y56" t="s">
        <v>1987</v>
      </c>
      <c r="Z56">
        <v>0</v>
      </c>
      <c r="AA56" t="s">
        <v>14</v>
      </c>
      <c r="AB56" t="s">
        <v>15</v>
      </c>
      <c r="AC56" t="s">
        <v>2388</v>
      </c>
      <c r="AD56" t="s">
        <v>720</v>
      </c>
      <c r="AE56">
        <v>0</v>
      </c>
      <c r="AF56" t="s">
        <v>18</v>
      </c>
    </row>
    <row r="57" spans="1:32" x14ac:dyDescent="0.3">
      <c r="A57" t="s">
        <v>113</v>
      </c>
      <c r="B57" t="s">
        <v>1</v>
      </c>
      <c r="C57">
        <v>0.3</v>
      </c>
      <c r="D57" t="s">
        <v>588</v>
      </c>
      <c r="E57" t="s">
        <v>2323</v>
      </c>
      <c r="F57">
        <v>0.15</v>
      </c>
      <c r="G57" t="s">
        <v>2355</v>
      </c>
      <c r="H57" t="s">
        <v>1997</v>
      </c>
      <c r="I57" t="s">
        <v>4</v>
      </c>
      <c r="J57">
        <v>178</v>
      </c>
      <c r="K57" t="s">
        <v>5</v>
      </c>
      <c r="L57">
        <v>121</v>
      </c>
      <c r="M57" t="s">
        <v>6</v>
      </c>
      <c r="N57">
        <v>-143.54315106424201</v>
      </c>
      <c r="O57" t="s">
        <v>7</v>
      </c>
      <c r="P57">
        <v>-0.80642219699012596</v>
      </c>
      <c r="Q57" t="s">
        <v>8</v>
      </c>
      <c r="R57">
        <v>1.02649139864765</v>
      </c>
      <c r="S57" t="s">
        <v>9</v>
      </c>
      <c r="T57">
        <v>-4.6973440403615498</v>
      </c>
      <c r="U57" t="s">
        <v>10</v>
      </c>
      <c r="V57">
        <v>1.08241308485584</v>
      </c>
      <c r="W57" t="s">
        <v>11</v>
      </c>
      <c r="X57" t="s">
        <v>2386</v>
      </c>
      <c r="Y57" t="s">
        <v>1987</v>
      </c>
      <c r="Z57">
        <v>0</v>
      </c>
      <c r="AA57" t="s">
        <v>14</v>
      </c>
      <c r="AB57" t="s">
        <v>15</v>
      </c>
      <c r="AC57" t="s">
        <v>2389</v>
      </c>
      <c r="AD57" t="s">
        <v>2013</v>
      </c>
      <c r="AE57">
        <v>0</v>
      </c>
      <c r="AF57" t="s">
        <v>18</v>
      </c>
    </row>
    <row r="58" spans="1:32" x14ac:dyDescent="0.3">
      <c r="A58" t="s">
        <v>113</v>
      </c>
      <c r="B58" t="s">
        <v>1</v>
      </c>
      <c r="C58">
        <v>0.3</v>
      </c>
      <c r="D58" t="s">
        <v>588</v>
      </c>
      <c r="E58" t="s">
        <v>2323</v>
      </c>
      <c r="F58">
        <v>0.15</v>
      </c>
      <c r="G58" t="s">
        <v>2361</v>
      </c>
      <c r="H58" t="s">
        <v>1999</v>
      </c>
      <c r="I58" t="s">
        <v>4</v>
      </c>
      <c r="J58">
        <v>167</v>
      </c>
      <c r="K58" t="s">
        <v>5</v>
      </c>
      <c r="L58">
        <v>88</v>
      </c>
      <c r="M58" t="s">
        <v>6</v>
      </c>
      <c r="N58">
        <v>-47.639185054986299</v>
      </c>
      <c r="O58" t="s">
        <v>7</v>
      </c>
      <c r="P58">
        <v>-0.28526458116758202</v>
      </c>
      <c r="Q58" t="s">
        <v>8</v>
      </c>
      <c r="R58">
        <v>1.19879250855109</v>
      </c>
      <c r="S58" t="s">
        <v>9</v>
      </c>
      <c r="T58">
        <v>-1.96324263855746</v>
      </c>
      <c r="U58" t="s">
        <v>10</v>
      </c>
      <c r="V58">
        <v>0.42192760500266702</v>
      </c>
      <c r="W58" t="s">
        <v>11</v>
      </c>
      <c r="X58" t="s">
        <v>2390</v>
      </c>
      <c r="Y58" t="s">
        <v>77</v>
      </c>
      <c r="Z58">
        <v>0</v>
      </c>
      <c r="AA58" t="s">
        <v>14</v>
      </c>
      <c r="AB58" t="s">
        <v>15</v>
      </c>
      <c r="AC58" t="s">
        <v>2391</v>
      </c>
      <c r="AD58" t="s">
        <v>2392</v>
      </c>
      <c r="AE58">
        <v>0</v>
      </c>
      <c r="AF58" t="s">
        <v>18</v>
      </c>
    </row>
    <row r="59" spans="1:32" x14ac:dyDescent="0.3">
      <c r="A59" t="s">
        <v>113</v>
      </c>
      <c r="B59" t="s">
        <v>1</v>
      </c>
      <c r="C59">
        <v>0.3</v>
      </c>
      <c r="D59" t="s">
        <v>588</v>
      </c>
      <c r="E59" t="s">
        <v>2323</v>
      </c>
      <c r="F59">
        <v>0.15</v>
      </c>
      <c r="G59" t="s">
        <v>2361</v>
      </c>
      <c r="H59" t="s">
        <v>2002</v>
      </c>
      <c r="I59" t="s">
        <v>4</v>
      </c>
      <c r="J59">
        <v>167</v>
      </c>
      <c r="K59" t="s">
        <v>5</v>
      </c>
      <c r="L59">
        <v>105</v>
      </c>
      <c r="M59" t="s">
        <v>6</v>
      </c>
      <c r="N59">
        <v>-42.397282769354099</v>
      </c>
      <c r="O59" t="s">
        <v>7</v>
      </c>
      <c r="P59">
        <v>-0.25387594472667102</v>
      </c>
      <c r="Q59" t="s">
        <v>8</v>
      </c>
      <c r="R59">
        <v>1.2367583359799601</v>
      </c>
      <c r="S59" t="s">
        <v>9</v>
      </c>
      <c r="T59">
        <v>-2.8238837384795099</v>
      </c>
      <c r="U59" t="s">
        <v>10</v>
      </c>
      <c r="V59">
        <v>0.51370395979032901</v>
      </c>
      <c r="W59" t="s">
        <v>11</v>
      </c>
      <c r="X59" t="s">
        <v>2390</v>
      </c>
      <c r="Y59" t="s">
        <v>77</v>
      </c>
      <c r="Z59">
        <v>0</v>
      </c>
      <c r="AA59" t="s">
        <v>14</v>
      </c>
      <c r="AB59" t="s">
        <v>15</v>
      </c>
      <c r="AC59" t="s">
        <v>2393</v>
      </c>
      <c r="AD59" t="s">
        <v>2192</v>
      </c>
      <c r="AE59">
        <v>0</v>
      </c>
      <c r="AF59" t="s">
        <v>18</v>
      </c>
    </row>
    <row r="60" spans="1:32" x14ac:dyDescent="0.3">
      <c r="A60" t="s">
        <v>113</v>
      </c>
      <c r="B60" t="s">
        <v>1</v>
      </c>
      <c r="C60">
        <v>0.3</v>
      </c>
      <c r="D60" t="s">
        <v>588</v>
      </c>
      <c r="E60" t="s">
        <v>2323</v>
      </c>
      <c r="F60">
        <v>0.15</v>
      </c>
      <c r="G60" t="s">
        <v>2361</v>
      </c>
      <c r="H60" t="s">
        <v>2004</v>
      </c>
      <c r="I60" t="s">
        <v>4</v>
      </c>
      <c r="J60">
        <v>167</v>
      </c>
      <c r="K60" t="s">
        <v>5</v>
      </c>
      <c r="L60">
        <v>116</v>
      </c>
      <c r="M60" t="s">
        <v>6</v>
      </c>
      <c r="N60">
        <v>-97.241382555312896</v>
      </c>
      <c r="O60" t="s">
        <v>7</v>
      </c>
      <c r="P60">
        <v>-0.58228372787612503</v>
      </c>
      <c r="Q60" t="s">
        <v>8</v>
      </c>
      <c r="R60">
        <v>1.2267634893747701</v>
      </c>
      <c r="S60" t="s">
        <v>9</v>
      </c>
      <c r="T60">
        <v>-4.7909189464557302</v>
      </c>
      <c r="U60" t="s">
        <v>10</v>
      </c>
      <c r="V60">
        <v>0.77482587492171695</v>
      </c>
      <c r="W60" t="s">
        <v>11</v>
      </c>
      <c r="X60" t="s">
        <v>2394</v>
      </c>
      <c r="Y60" t="s">
        <v>720</v>
      </c>
      <c r="Z60">
        <v>0</v>
      </c>
      <c r="AA60" t="s">
        <v>14</v>
      </c>
      <c r="AB60" t="s">
        <v>15</v>
      </c>
      <c r="AC60" t="s">
        <v>2395</v>
      </c>
      <c r="AD60" t="s">
        <v>1987</v>
      </c>
      <c r="AE60">
        <v>0</v>
      </c>
      <c r="AF60" t="s">
        <v>18</v>
      </c>
    </row>
    <row r="61" spans="1:32" x14ac:dyDescent="0.3">
      <c r="A61" t="s">
        <v>113</v>
      </c>
      <c r="B61" t="s">
        <v>1</v>
      </c>
      <c r="C61">
        <v>0.3</v>
      </c>
      <c r="D61" t="s">
        <v>588</v>
      </c>
      <c r="E61" t="s">
        <v>2323</v>
      </c>
      <c r="F61">
        <v>0.15</v>
      </c>
      <c r="G61" t="s">
        <v>2361</v>
      </c>
      <c r="H61" t="s">
        <v>2005</v>
      </c>
      <c r="I61" t="s">
        <v>4</v>
      </c>
      <c r="J61">
        <v>167</v>
      </c>
      <c r="K61" t="s">
        <v>5</v>
      </c>
      <c r="L61">
        <v>122</v>
      </c>
      <c r="M61" t="s">
        <v>6</v>
      </c>
      <c r="N61">
        <v>-114.606789960619</v>
      </c>
      <c r="O61" t="s">
        <v>7</v>
      </c>
      <c r="P61">
        <v>-0.68626820335700101</v>
      </c>
      <c r="Q61" t="s">
        <v>8</v>
      </c>
      <c r="R61">
        <v>1.2398268883106001</v>
      </c>
      <c r="S61" t="s">
        <v>9</v>
      </c>
      <c r="T61">
        <v>-6.0424015985116597</v>
      </c>
      <c r="U61" t="s">
        <v>10</v>
      </c>
      <c r="V61">
        <v>0.91700303762589197</v>
      </c>
      <c r="W61" t="s">
        <v>11</v>
      </c>
      <c r="X61" t="s">
        <v>2394</v>
      </c>
      <c r="Y61" t="s">
        <v>720</v>
      </c>
      <c r="Z61">
        <v>0</v>
      </c>
      <c r="AA61" t="s">
        <v>14</v>
      </c>
      <c r="AB61" t="s">
        <v>15</v>
      </c>
      <c r="AC61" t="s">
        <v>2396</v>
      </c>
      <c r="AD61" t="s">
        <v>1987</v>
      </c>
      <c r="AE61">
        <v>0</v>
      </c>
      <c r="AF61" t="s">
        <v>18</v>
      </c>
    </row>
    <row r="62" spans="1:32" x14ac:dyDescent="0.3">
      <c r="A62" t="s">
        <v>2043</v>
      </c>
      <c r="B62" t="s">
        <v>1</v>
      </c>
      <c r="C62">
        <v>0.5</v>
      </c>
      <c r="D62" t="s">
        <v>588</v>
      </c>
      <c r="E62" t="s">
        <v>2323</v>
      </c>
      <c r="F62">
        <v>0.25</v>
      </c>
      <c r="G62" t="s">
        <v>2324</v>
      </c>
      <c r="H62" t="s">
        <v>1979</v>
      </c>
      <c r="I62" t="s">
        <v>4</v>
      </c>
      <c r="J62">
        <v>92</v>
      </c>
      <c r="K62" t="s">
        <v>5</v>
      </c>
      <c r="L62">
        <v>27</v>
      </c>
      <c r="M62" t="s">
        <v>6</v>
      </c>
      <c r="N62">
        <v>-71.795569986548401</v>
      </c>
      <c r="O62" t="s">
        <v>7</v>
      </c>
      <c r="P62">
        <v>-0.78038663028857003</v>
      </c>
      <c r="Q62" t="s">
        <v>8</v>
      </c>
      <c r="R62">
        <v>2.25111111111111</v>
      </c>
      <c r="S62" t="s">
        <v>9</v>
      </c>
      <c r="T62">
        <v>-2.0396241536391999</v>
      </c>
      <c r="U62" t="s">
        <v>10</v>
      </c>
      <c r="V62">
        <v>0.56928555139290105</v>
      </c>
      <c r="W62" t="s">
        <v>11</v>
      </c>
      <c r="X62" t="s">
        <v>2325</v>
      </c>
      <c r="Y62" t="s">
        <v>720</v>
      </c>
      <c r="Z62">
        <v>0</v>
      </c>
      <c r="AA62" t="s">
        <v>14</v>
      </c>
      <c r="AB62" t="s">
        <v>15</v>
      </c>
      <c r="AC62" t="s">
        <v>2326</v>
      </c>
      <c r="AD62" t="s">
        <v>1987</v>
      </c>
      <c r="AE62">
        <v>0</v>
      </c>
      <c r="AF62" t="s">
        <v>18</v>
      </c>
    </row>
    <row r="63" spans="1:32" x14ac:dyDescent="0.3">
      <c r="A63" t="s">
        <v>2043</v>
      </c>
      <c r="B63" t="s">
        <v>1</v>
      </c>
      <c r="C63">
        <v>0.5</v>
      </c>
      <c r="D63" t="s">
        <v>588</v>
      </c>
      <c r="E63" t="s">
        <v>2323</v>
      </c>
      <c r="F63">
        <v>0.25</v>
      </c>
      <c r="G63" t="s">
        <v>2324</v>
      </c>
      <c r="H63" t="s">
        <v>1982</v>
      </c>
      <c r="I63" t="s">
        <v>4</v>
      </c>
      <c r="J63">
        <v>92</v>
      </c>
      <c r="K63" t="s">
        <v>5</v>
      </c>
      <c r="L63">
        <v>35</v>
      </c>
      <c r="M63" t="s">
        <v>6</v>
      </c>
      <c r="N63">
        <v>-82.485569986548299</v>
      </c>
      <c r="O63" t="s">
        <v>7</v>
      </c>
      <c r="P63">
        <v>-0.89658228246248195</v>
      </c>
      <c r="Q63" t="s">
        <v>8</v>
      </c>
      <c r="R63">
        <v>2.3565714285714301</v>
      </c>
      <c r="S63" t="s">
        <v>9</v>
      </c>
      <c r="T63">
        <v>-2.8941328067815499</v>
      </c>
      <c r="U63" t="s">
        <v>10</v>
      </c>
      <c r="V63">
        <v>0.74584159370619296</v>
      </c>
      <c r="W63" t="s">
        <v>11</v>
      </c>
      <c r="X63" t="s">
        <v>2327</v>
      </c>
      <c r="Y63" t="s">
        <v>720</v>
      </c>
      <c r="Z63">
        <v>0</v>
      </c>
      <c r="AA63" t="s">
        <v>14</v>
      </c>
      <c r="AB63" t="s">
        <v>15</v>
      </c>
      <c r="AC63" t="s">
        <v>2328</v>
      </c>
      <c r="AD63" t="s">
        <v>1987</v>
      </c>
      <c r="AE63">
        <v>0</v>
      </c>
      <c r="AF63" t="s">
        <v>18</v>
      </c>
    </row>
    <row r="64" spans="1:32" x14ac:dyDescent="0.3">
      <c r="A64" t="s">
        <v>2043</v>
      </c>
      <c r="B64" t="s">
        <v>1</v>
      </c>
      <c r="C64">
        <v>0.5</v>
      </c>
      <c r="D64" t="s">
        <v>588</v>
      </c>
      <c r="E64" t="s">
        <v>2323</v>
      </c>
      <c r="F64">
        <v>0.25</v>
      </c>
      <c r="G64" t="s">
        <v>2324</v>
      </c>
      <c r="H64" t="s">
        <v>1985</v>
      </c>
      <c r="I64" t="s">
        <v>4</v>
      </c>
      <c r="J64">
        <v>92</v>
      </c>
      <c r="K64" t="s">
        <v>5</v>
      </c>
      <c r="L64">
        <v>37</v>
      </c>
      <c r="M64" t="s">
        <v>6</v>
      </c>
      <c r="N64">
        <v>-80.395569986548296</v>
      </c>
      <c r="O64" t="s">
        <v>7</v>
      </c>
      <c r="P64">
        <v>-0.87386489115813404</v>
      </c>
      <c r="Q64" t="s">
        <v>8</v>
      </c>
      <c r="R64">
        <v>2.3572972972973001</v>
      </c>
      <c r="S64" t="s">
        <v>9</v>
      </c>
      <c r="T64">
        <v>-3.0475558179372402</v>
      </c>
      <c r="U64" t="s">
        <v>10</v>
      </c>
      <c r="V64">
        <v>0.77984645587661505</v>
      </c>
      <c r="W64" t="s">
        <v>11</v>
      </c>
      <c r="X64" t="s">
        <v>2327</v>
      </c>
      <c r="Y64" t="s">
        <v>720</v>
      </c>
      <c r="Z64">
        <v>0</v>
      </c>
      <c r="AA64" t="s">
        <v>14</v>
      </c>
      <c r="AB64" t="s">
        <v>15</v>
      </c>
      <c r="AC64" t="s">
        <v>2328</v>
      </c>
      <c r="AD64" t="s">
        <v>1987</v>
      </c>
      <c r="AE64">
        <v>0</v>
      </c>
      <c r="AF64" t="s">
        <v>18</v>
      </c>
    </row>
    <row r="65" spans="1:32" x14ac:dyDescent="0.3">
      <c r="A65" t="s">
        <v>2043</v>
      </c>
      <c r="B65" t="s">
        <v>1</v>
      </c>
      <c r="C65">
        <v>0.5</v>
      </c>
      <c r="D65" t="s">
        <v>588</v>
      </c>
      <c r="E65" t="s">
        <v>2323</v>
      </c>
      <c r="F65">
        <v>0.25</v>
      </c>
      <c r="G65" t="s">
        <v>2324</v>
      </c>
      <c r="H65" t="s">
        <v>1988</v>
      </c>
      <c r="I65" t="s">
        <v>4</v>
      </c>
      <c r="J65">
        <v>92</v>
      </c>
      <c r="K65" t="s">
        <v>5</v>
      </c>
      <c r="L65">
        <v>37</v>
      </c>
      <c r="M65" t="s">
        <v>6</v>
      </c>
      <c r="N65">
        <v>-95.185569986548302</v>
      </c>
      <c r="O65" t="s">
        <v>7</v>
      </c>
      <c r="P65">
        <v>-1.03462576072335</v>
      </c>
      <c r="Q65" t="s">
        <v>8</v>
      </c>
      <c r="R65">
        <v>2.3572972972973001</v>
      </c>
      <c r="S65" t="s">
        <v>9</v>
      </c>
      <c r="T65">
        <v>-3.3164649088463301</v>
      </c>
      <c r="U65" t="s">
        <v>10</v>
      </c>
      <c r="V65">
        <v>0.78612893780045201</v>
      </c>
      <c r="W65" t="s">
        <v>11</v>
      </c>
      <c r="X65" t="s">
        <v>2327</v>
      </c>
      <c r="Y65" t="s">
        <v>720</v>
      </c>
      <c r="Z65">
        <v>0</v>
      </c>
      <c r="AA65" t="s">
        <v>14</v>
      </c>
      <c r="AB65" t="s">
        <v>15</v>
      </c>
      <c r="AC65" t="s">
        <v>2328</v>
      </c>
      <c r="AD65" t="s">
        <v>1987</v>
      </c>
      <c r="AE65">
        <v>0</v>
      </c>
      <c r="AF65" t="s">
        <v>18</v>
      </c>
    </row>
    <row r="66" spans="1:32" x14ac:dyDescent="0.3">
      <c r="A66" t="s">
        <v>2043</v>
      </c>
      <c r="B66" t="s">
        <v>1</v>
      </c>
      <c r="C66">
        <v>0.5</v>
      </c>
      <c r="D66" t="s">
        <v>588</v>
      </c>
      <c r="E66" t="s">
        <v>2323</v>
      </c>
      <c r="F66">
        <v>0.25</v>
      </c>
      <c r="G66" t="s">
        <v>2329</v>
      </c>
      <c r="H66" t="s">
        <v>1991</v>
      </c>
      <c r="I66" t="s">
        <v>4</v>
      </c>
      <c r="J66">
        <v>94</v>
      </c>
      <c r="K66" t="s">
        <v>5</v>
      </c>
      <c r="L66">
        <v>23</v>
      </c>
      <c r="M66" t="s">
        <v>6</v>
      </c>
      <c r="N66">
        <v>-75.875569986548498</v>
      </c>
      <c r="O66" t="s">
        <v>7</v>
      </c>
      <c r="P66">
        <v>-0.80718691475051596</v>
      </c>
      <c r="Q66" t="s">
        <v>8</v>
      </c>
      <c r="R66">
        <v>2.36608695652173</v>
      </c>
      <c r="S66" t="s">
        <v>9</v>
      </c>
      <c r="T66">
        <v>-1.8351488730499701</v>
      </c>
      <c r="U66" t="s">
        <v>10</v>
      </c>
      <c r="V66">
        <v>0.467816719482395</v>
      </c>
      <c r="W66" t="s">
        <v>11</v>
      </c>
      <c r="X66" t="s">
        <v>2330</v>
      </c>
      <c r="Y66" t="s">
        <v>720</v>
      </c>
      <c r="Z66">
        <v>0</v>
      </c>
      <c r="AA66" t="s">
        <v>14</v>
      </c>
      <c r="AB66" t="s">
        <v>15</v>
      </c>
      <c r="AC66" t="s">
        <v>2331</v>
      </c>
      <c r="AD66" t="s">
        <v>720</v>
      </c>
      <c r="AE66">
        <v>0</v>
      </c>
      <c r="AF66" t="s">
        <v>18</v>
      </c>
    </row>
    <row r="67" spans="1:32" x14ac:dyDescent="0.3">
      <c r="A67" t="s">
        <v>2043</v>
      </c>
      <c r="B67" t="s">
        <v>1</v>
      </c>
      <c r="C67">
        <v>0.5</v>
      </c>
      <c r="D67" t="s">
        <v>588</v>
      </c>
      <c r="E67" t="s">
        <v>2323</v>
      </c>
      <c r="F67">
        <v>0.25</v>
      </c>
      <c r="G67" t="s">
        <v>2329</v>
      </c>
      <c r="H67" t="s">
        <v>1994</v>
      </c>
      <c r="I67" t="s">
        <v>4</v>
      </c>
      <c r="J67">
        <v>94</v>
      </c>
      <c r="K67" t="s">
        <v>5</v>
      </c>
      <c r="L67">
        <v>30</v>
      </c>
      <c r="M67" t="s">
        <v>6</v>
      </c>
      <c r="N67">
        <v>-80.4055699865485</v>
      </c>
      <c r="O67" t="s">
        <v>7</v>
      </c>
      <c r="P67">
        <v>-0.85537840411221799</v>
      </c>
      <c r="Q67" t="s">
        <v>8</v>
      </c>
      <c r="R67">
        <v>2.4773333333333301</v>
      </c>
      <c r="S67" t="s">
        <v>9</v>
      </c>
      <c r="T67">
        <v>-2.4175870310398202</v>
      </c>
      <c r="U67" t="s">
        <v>10</v>
      </c>
      <c r="V67">
        <v>0.54704308910962096</v>
      </c>
      <c r="W67" t="s">
        <v>11</v>
      </c>
      <c r="X67" t="s">
        <v>2330</v>
      </c>
      <c r="Y67" t="s">
        <v>720</v>
      </c>
      <c r="Z67">
        <v>0</v>
      </c>
      <c r="AA67" t="s">
        <v>14</v>
      </c>
      <c r="AB67" t="s">
        <v>15</v>
      </c>
      <c r="AC67" t="s">
        <v>2331</v>
      </c>
      <c r="AD67" t="s">
        <v>720</v>
      </c>
      <c r="AE67">
        <v>0</v>
      </c>
      <c r="AF67" t="s">
        <v>18</v>
      </c>
    </row>
    <row r="68" spans="1:32" x14ac:dyDescent="0.3">
      <c r="A68" t="s">
        <v>2043</v>
      </c>
      <c r="B68" t="s">
        <v>1</v>
      </c>
      <c r="C68">
        <v>0.5</v>
      </c>
      <c r="D68" t="s">
        <v>588</v>
      </c>
      <c r="E68" t="s">
        <v>2323</v>
      </c>
      <c r="F68">
        <v>0.25</v>
      </c>
      <c r="G68" t="s">
        <v>2329</v>
      </c>
      <c r="H68" t="s">
        <v>1996</v>
      </c>
      <c r="I68" t="s">
        <v>4</v>
      </c>
      <c r="J68">
        <v>94</v>
      </c>
      <c r="K68" t="s">
        <v>5</v>
      </c>
      <c r="L68">
        <v>34</v>
      </c>
      <c r="M68" t="s">
        <v>6</v>
      </c>
      <c r="N68">
        <v>-92.915569986548505</v>
      </c>
      <c r="O68" t="s">
        <v>7</v>
      </c>
      <c r="P68">
        <v>-0.98846351049519698</v>
      </c>
      <c r="Q68" t="s">
        <v>8</v>
      </c>
      <c r="R68">
        <v>2.4485294117646998</v>
      </c>
      <c r="S68" t="s">
        <v>9</v>
      </c>
      <c r="T68">
        <v>-2.9360928331091398</v>
      </c>
      <c r="U68" t="s">
        <v>10</v>
      </c>
      <c r="V68">
        <v>0.65926612219561997</v>
      </c>
      <c r="W68" t="s">
        <v>11</v>
      </c>
      <c r="X68" t="s">
        <v>2330</v>
      </c>
      <c r="Y68" t="s">
        <v>720</v>
      </c>
      <c r="Z68">
        <v>0</v>
      </c>
      <c r="AA68" t="s">
        <v>14</v>
      </c>
      <c r="AB68" t="s">
        <v>15</v>
      </c>
      <c r="AC68" t="s">
        <v>2331</v>
      </c>
      <c r="AD68" t="s">
        <v>720</v>
      </c>
      <c r="AE68">
        <v>0</v>
      </c>
      <c r="AF68" t="s">
        <v>18</v>
      </c>
    </row>
    <row r="69" spans="1:32" x14ac:dyDescent="0.3">
      <c r="A69" t="s">
        <v>2043</v>
      </c>
      <c r="B69" t="s">
        <v>1</v>
      </c>
      <c r="C69">
        <v>0.5</v>
      </c>
      <c r="D69" t="s">
        <v>588</v>
      </c>
      <c r="E69" t="s">
        <v>2323</v>
      </c>
      <c r="F69">
        <v>0.25</v>
      </c>
      <c r="G69" t="s">
        <v>2329</v>
      </c>
      <c r="H69" t="s">
        <v>1997</v>
      </c>
      <c r="I69" t="s">
        <v>4</v>
      </c>
      <c r="J69">
        <v>94</v>
      </c>
      <c r="K69" t="s">
        <v>5</v>
      </c>
      <c r="L69">
        <v>40</v>
      </c>
      <c r="M69" t="s">
        <v>6</v>
      </c>
      <c r="N69">
        <v>-66.465569986548502</v>
      </c>
      <c r="O69" t="s">
        <v>7</v>
      </c>
      <c r="P69">
        <v>-0.70708053177179198</v>
      </c>
      <c r="Q69" t="s">
        <v>8</v>
      </c>
      <c r="R69">
        <v>2.4989999999999899</v>
      </c>
      <c r="S69" t="s">
        <v>9</v>
      </c>
      <c r="T69">
        <v>-3.0819549997508902</v>
      </c>
      <c r="U69" t="s">
        <v>10</v>
      </c>
      <c r="V69">
        <v>0.70193184165790101</v>
      </c>
      <c r="W69" t="s">
        <v>11</v>
      </c>
      <c r="X69" t="s">
        <v>2330</v>
      </c>
      <c r="Y69" t="s">
        <v>720</v>
      </c>
      <c r="Z69">
        <v>0</v>
      </c>
      <c r="AA69" t="s">
        <v>14</v>
      </c>
      <c r="AB69" t="s">
        <v>15</v>
      </c>
      <c r="AC69" t="s">
        <v>2331</v>
      </c>
      <c r="AD69" t="s">
        <v>720</v>
      </c>
      <c r="AE69">
        <v>0</v>
      </c>
      <c r="AF69" t="s">
        <v>18</v>
      </c>
    </row>
    <row r="70" spans="1:32" x14ac:dyDescent="0.3">
      <c r="A70" t="s">
        <v>2043</v>
      </c>
      <c r="B70" t="s">
        <v>1</v>
      </c>
      <c r="C70">
        <v>0.5</v>
      </c>
      <c r="D70" t="s">
        <v>588</v>
      </c>
      <c r="E70" t="s">
        <v>2323</v>
      </c>
      <c r="F70">
        <v>0.25</v>
      </c>
      <c r="G70" t="s">
        <v>2332</v>
      </c>
      <c r="H70" t="s">
        <v>1999</v>
      </c>
      <c r="I70" t="s">
        <v>4</v>
      </c>
      <c r="J70">
        <v>87</v>
      </c>
      <c r="K70" t="s">
        <v>5</v>
      </c>
      <c r="L70">
        <v>32</v>
      </c>
      <c r="M70" t="s">
        <v>6</v>
      </c>
      <c r="N70">
        <v>-8.0550725865972996</v>
      </c>
      <c r="O70" t="s">
        <v>7</v>
      </c>
      <c r="P70">
        <v>-9.2587041225256406E-2</v>
      </c>
      <c r="Q70" t="s">
        <v>8</v>
      </c>
      <c r="R70">
        <v>2.4806177954394402</v>
      </c>
      <c r="S70" t="s">
        <v>9</v>
      </c>
      <c r="T70">
        <v>-1.5897244007392599</v>
      </c>
      <c r="U70" t="s">
        <v>10</v>
      </c>
      <c r="V70">
        <v>0.30816542146981202</v>
      </c>
      <c r="W70" t="s">
        <v>11</v>
      </c>
      <c r="X70" t="s">
        <v>2333</v>
      </c>
      <c r="Y70" t="s">
        <v>1987</v>
      </c>
      <c r="Z70">
        <v>0</v>
      </c>
      <c r="AA70" t="s">
        <v>14</v>
      </c>
      <c r="AB70" t="s">
        <v>15</v>
      </c>
      <c r="AC70" t="s">
        <v>2334</v>
      </c>
      <c r="AD70" t="s">
        <v>1987</v>
      </c>
      <c r="AE70">
        <v>0</v>
      </c>
      <c r="AF70" t="s">
        <v>18</v>
      </c>
    </row>
    <row r="71" spans="1:32" x14ac:dyDescent="0.3">
      <c r="A71" t="s">
        <v>2043</v>
      </c>
      <c r="B71" t="s">
        <v>1</v>
      </c>
      <c r="C71">
        <v>0.5</v>
      </c>
      <c r="D71" t="s">
        <v>588</v>
      </c>
      <c r="E71" t="s">
        <v>2323</v>
      </c>
      <c r="F71">
        <v>0.25</v>
      </c>
      <c r="G71" t="s">
        <v>2332</v>
      </c>
      <c r="H71" t="s">
        <v>2002</v>
      </c>
      <c r="I71" t="s">
        <v>4</v>
      </c>
      <c r="J71">
        <v>87</v>
      </c>
      <c r="K71" t="s">
        <v>5</v>
      </c>
      <c r="L71">
        <v>39</v>
      </c>
      <c r="M71" t="s">
        <v>6</v>
      </c>
      <c r="N71">
        <v>-21.833051480022799</v>
      </c>
      <c r="O71" t="s">
        <v>7</v>
      </c>
      <c r="P71">
        <v>-0.25095461471290598</v>
      </c>
      <c r="Q71" t="s">
        <v>8</v>
      </c>
      <c r="R71">
        <v>2.4990523161323699</v>
      </c>
      <c r="S71" t="s">
        <v>9</v>
      </c>
      <c r="T71">
        <v>-2.4853352460246998</v>
      </c>
      <c r="U71" t="s">
        <v>10</v>
      </c>
      <c r="V71">
        <v>0.39477415419572498</v>
      </c>
      <c r="W71" t="s">
        <v>11</v>
      </c>
      <c r="X71" t="s">
        <v>2335</v>
      </c>
      <c r="Y71" t="s">
        <v>77</v>
      </c>
      <c r="Z71">
        <v>0</v>
      </c>
      <c r="AA71" t="s">
        <v>14</v>
      </c>
      <c r="AB71" t="s">
        <v>15</v>
      </c>
      <c r="AC71" t="s">
        <v>2336</v>
      </c>
      <c r="AD71" t="s">
        <v>1987</v>
      </c>
      <c r="AE71">
        <v>0</v>
      </c>
      <c r="AF71" t="s">
        <v>18</v>
      </c>
    </row>
    <row r="72" spans="1:32" x14ac:dyDescent="0.3">
      <c r="A72" t="s">
        <v>2043</v>
      </c>
      <c r="B72" t="s">
        <v>1</v>
      </c>
      <c r="C72">
        <v>0.5</v>
      </c>
      <c r="D72" t="s">
        <v>588</v>
      </c>
      <c r="E72" t="s">
        <v>2323</v>
      </c>
      <c r="F72">
        <v>0.25</v>
      </c>
      <c r="G72" t="s">
        <v>2332</v>
      </c>
      <c r="H72" t="s">
        <v>2004</v>
      </c>
      <c r="I72" t="s">
        <v>4</v>
      </c>
      <c r="J72">
        <v>87</v>
      </c>
      <c r="K72" t="s">
        <v>5</v>
      </c>
      <c r="L72">
        <v>43</v>
      </c>
      <c r="M72" t="s">
        <v>6</v>
      </c>
      <c r="N72">
        <v>-33.2205493628528</v>
      </c>
      <c r="O72" t="s">
        <v>7</v>
      </c>
      <c r="P72">
        <v>-0.38184539497532</v>
      </c>
      <c r="Q72" t="s">
        <v>8</v>
      </c>
      <c r="R72">
        <v>2.47247342929123</v>
      </c>
      <c r="S72" t="s">
        <v>9</v>
      </c>
      <c r="T72">
        <v>-3.1712933368721701</v>
      </c>
      <c r="U72" t="s">
        <v>10</v>
      </c>
      <c r="V72">
        <v>0.47723998454390398</v>
      </c>
      <c r="W72" t="s">
        <v>11</v>
      </c>
      <c r="X72" t="s">
        <v>2337</v>
      </c>
      <c r="Y72" t="s">
        <v>2176</v>
      </c>
      <c r="Z72">
        <v>0</v>
      </c>
      <c r="AA72" t="s">
        <v>14</v>
      </c>
      <c r="AB72" t="s">
        <v>15</v>
      </c>
      <c r="AC72" t="s">
        <v>2336</v>
      </c>
      <c r="AD72" t="s">
        <v>1987</v>
      </c>
      <c r="AE72">
        <v>0</v>
      </c>
      <c r="AF72" t="s">
        <v>18</v>
      </c>
    </row>
    <row r="73" spans="1:32" x14ac:dyDescent="0.3">
      <c r="A73" t="s">
        <v>2043</v>
      </c>
      <c r="B73" t="s">
        <v>1</v>
      </c>
      <c r="C73">
        <v>0.5</v>
      </c>
      <c r="D73" t="s">
        <v>588</v>
      </c>
      <c r="E73" t="s">
        <v>2323</v>
      </c>
      <c r="F73">
        <v>0.25</v>
      </c>
      <c r="G73" t="s">
        <v>2332</v>
      </c>
      <c r="H73" t="s">
        <v>2005</v>
      </c>
      <c r="I73" t="s">
        <v>4</v>
      </c>
      <c r="J73">
        <v>87</v>
      </c>
      <c r="K73" t="s">
        <v>5</v>
      </c>
      <c r="L73">
        <v>49</v>
      </c>
      <c r="M73" t="s">
        <v>6</v>
      </c>
      <c r="N73">
        <v>-0.42978945893965398</v>
      </c>
      <c r="O73" t="s">
        <v>7</v>
      </c>
      <c r="P73">
        <v>-4.9401087234442996E-3</v>
      </c>
      <c r="Q73" t="s">
        <v>8</v>
      </c>
      <c r="R73">
        <v>2.5157541507756598</v>
      </c>
      <c r="S73" t="s">
        <v>9</v>
      </c>
      <c r="T73">
        <v>-3.2553090222880798</v>
      </c>
      <c r="U73" t="s">
        <v>10</v>
      </c>
      <c r="V73">
        <v>0.51856183739775896</v>
      </c>
      <c r="W73" t="s">
        <v>11</v>
      </c>
      <c r="X73" t="s">
        <v>2337</v>
      </c>
      <c r="Y73" t="s">
        <v>2176</v>
      </c>
      <c r="Z73">
        <v>0</v>
      </c>
      <c r="AA73" t="s">
        <v>14</v>
      </c>
      <c r="AB73" t="s">
        <v>15</v>
      </c>
      <c r="AC73" t="s">
        <v>2336</v>
      </c>
      <c r="AD73" t="s">
        <v>1987</v>
      </c>
      <c r="AE73">
        <v>0</v>
      </c>
      <c r="AF73" t="s">
        <v>18</v>
      </c>
    </row>
    <row r="74" spans="1:32" x14ac:dyDescent="0.3">
      <c r="A74" t="s">
        <v>2043</v>
      </c>
      <c r="B74" t="s">
        <v>1</v>
      </c>
      <c r="C74">
        <v>0.4</v>
      </c>
      <c r="D74" t="s">
        <v>588</v>
      </c>
      <c r="E74" t="s">
        <v>2323</v>
      </c>
      <c r="F74">
        <v>0.2</v>
      </c>
      <c r="G74" t="s">
        <v>2324</v>
      </c>
      <c r="H74" t="s">
        <v>1979</v>
      </c>
      <c r="I74" t="s">
        <v>4</v>
      </c>
      <c r="J74">
        <v>92</v>
      </c>
      <c r="K74" t="s">
        <v>5</v>
      </c>
      <c r="L74">
        <v>35</v>
      </c>
      <c r="M74" t="s">
        <v>6</v>
      </c>
      <c r="N74">
        <v>-37.153429129820204</v>
      </c>
      <c r="O74" t="s">
        <v>7</v>
      </c>
      <c r="P74">
        <v>-0.40384162097630599</v>
      </c>
      <c r="Q74" t="s">
        <v>8</v>
      </c>
      <c r="R74">
        <v>2.0842857142857101</v>
      </c>
      <c r="S74" t="s">
        <v>9</v>
      </c>
      <c r="T74">
        <v>-1.9316391075407</v>
      </c>
      <c r="U74" t="s">
        <v>10</v>
      </c>
      <c r="V74">
        <v>0.58349567763503496</v>
      </c>
      <c r="W74" t="s">
        <v>11</v>
      </c>
      <c r="X74" t="s">
        <v>2325</v>
      </c>
      <c r="Y74" t="s">
        <v>720</v>
      </c>
      <c r="Z74">
        <v>0</v>
      </c>
      <c r="AA74" t="s">
        <v>14</v>
      </c>
      <c r="AB74" t="s">
        <v>15</v>
      </c>
      <c r="AC74" t="s">
        <v>2338</v>
      </c>
      <c r="AD74" t="s">
        <v>720</v>
      </c>
      <c r="AE74">
        <v>0</v>
      </c>
      <c r="AF74" t="s">
        <v>18</v>
      </c>
    </row>
    <row r="75" spans="1:32" x14ac:dyDescent="0.3">
      <c r="A75" t="s">
        <v>2043</v>
      </c>
      <c r="B75" t="s">
        <v>1</v>
      </c>
      <c r="C75">
        <v>0.4</v>
      </c>
      <c r="D75" t="s">
        <v>588</v>
      </c>
      <c r="E75" t="s">
        <v>2323</v>
      </c>
      <c r="F75">
        <v>0.2</v>
      </c>
      <c r="G75" t="s">
        <v>2324</v>
      </c>
      <c r="H75" t="s">
        <v>1982</v>
      </c>
      <c r="I75" t="s">
        <v>4</v>
      </c>
      <c r="J75">
        <v>92</v>
      </c>
      <c r="K75" t="s">
        <v>5</v>
      </c>
      <c r="L75">
        <v>38</v>
      </c>
      <c r="M75" t="s">
        <v>6</v>
      </c>
      <c r="N75">
        <v>-46.453429129820101</v>
      </c>
      <c r="O75" t="s">
        <v>7</v>
      </c>
      <c r="P75">
        <v>-0.50492857749804498</v>
      </c>
      <c r="Q75" t="s">
        <v>8</v>
      </c>
      <c r="R75">
        <v>2.07605263157894</v>
      </c>
      <c r="S75" t="s">
        <v>9</v>
      </c>
      <c r="T75">
        <v>-2.3211746135151801</v>
      </c>
      <c r="U75" t="s">
        <v>10</v>
      </c>
      <c r="V75">
        <v>0.65370727421261698</v>
      </c>
      <c r="W75" t="s">
        <v>11</v>
      </c>
      <c r="X75" t="s">
        <v>2325</v>
      </c>
      <c r="Y75" t="s">
        <v>720</v>
      </c>
      <c r="Z75">
        <v>0</v>
      </c>
      <c r="AA75" t="s">
        <v>14</v>
      </c>
      <c r="AB75" t="s">
        <v>15</v>
      </c>
      <c r="AC75" t="s">
        <v>2339</v>
      </c>
      <c r="AD75" t="s">
        <v>1987</v>
      </c>
      <c r="AE75">
        <v>0</v>
      </c>
      <c r="AF75" t="s">
        <v>18</v>
      </c>
    </row>
    <row r="76" spans="1:32" x14ac:dyDescent="0.3">
      <c r="A76" t="s">
        <v>2043</v>
      </c>
      <c r="B76" t="s">
        <v>1</v>
      </c>
      <c r="C76">
        <v>0.4</v>
      </c>
      <c r="D76" t="s">
        <v>588</v>
      </c>
      <c r="E76" t="s">
        <v>2323</v>
      </c>
      <c r="F76">
        <v>0.2</v>
      </c>
      <c r="G76" t="s">
        <v>2324</v>
      </c>
      <c r="H76" t="s">
        <v>1985</v>
      </c>
      <c r="I76" t="s">
        <v>4</v>
      </c>
      <c r="J76">
        <v>92</v>
      </c>
      <c r="K76" t="s">
        <v>5</v>
      </c>
      <c r="L76">
        <v>38</v>
      </c>
      <c r="M76" t="s">
        <v>6</v>
      </c>
      <c r="N76">
        <v>-58.063429129820101</v>
      </c>
      <c r="O76" t="s">
        <v>7</v>
      </c>
      <c r="P76">
        <v>-0.63112422967195803</v>
      </c>
      <c r="Q76" t="s">
        <v>8</v>
      </c>
      <c r="R76">
        <v>2.07605263157894</v>
      </c>
      <c r="S76" t="s">
        <v>9</v>
      </c>
      <c r="T76">
        <v>-2.5361746135151799</v>
      </c>
      <c r="U76" t="s">
        <v>10</v>
      </c>
      <c r="V76">
        <v>0.65785188054957</v>
      </c>
      <c r="W76" t="s">
        <v>11</v>
      </c>
      <c r="X76" t="s">
        <v>2325</v>
      </c>
      <c r="Y76" t="s">
        <v>720</v>
      </c>
      <c r="Z76">
        <v>0</v>
      </c>
      <c r="AA76" t="s">
        <v>14</v>
      </c>
      <c r="AB76" t="s">
        <v>15</v>
      </c>
      <c r="AC76" t="s">
        <v>2339</v>
      </c>
      <c r="AD76" t="s">
        <v>1987</v>
      </c>
      <c r="AE76">
        <v>0</v>
      </c>
      <c r="AF76" t="s">
        <v>18</v>
      </c>
    </row>
    <row r="77" spans="1:32" x14ac:dyDescent="0.3">
      <c r="A77" t="s">
        <v>2043</v>
      </c>
      <c r="B77" t="s">
        <v>1</v>
      </c>
      <c r="C77">
        <v>0.4</v>
      </c>
      <c r="D77" t="s">
        <v>588</v>
      </c>
      <c r="E77" t="s">
        <v>2323</v>
      </c>
      <c r="F77">
        <v>0.2</v>
      </c>
      <c r="G77" t="s">
        <v>2324</v>
      </c>
      <c r="H77" t="s">
        <v>1988</v>
      </c>
      <c r="I77" t="s">
        <v>4</v>
      </c>
      <c r="J77">
        <v>92</v>
      </c>
      <c r="K77" t="s">
        <v>5</v>
      </c>
      <c r="L77">
        <v>39</v>
      </c>
      <c r="M77" t="s">
        <v>6</v>
      </c>
      <c r="N77">
        <v>-62.273429129820101</v>
      </c>
      <c r="O77" t="s">
        <v>7</v>
      </c>
      <c r="P77">
        <v>-0.67688509923717499</v>
      </c>
      <c r="Q77" t="s">
        <v>8</v>
      </c>
      <c r="R77">
        <v>2.0482051282051201</v>
      </c>
      <c r="S77" t="s">
        <v>9</v>
      </c>
      <c r="T77">
        <v>-2.6821401722607501</v>
      </c>
      <c r="U77" t="s">
        <v>10</v>
      </c>
      <c r="V77">
        <v>0.67801842900744602</v>
      </c>
      <c r="W77" t="s">
        <v>11</v>
      </c>
      <c r="X77" t="s">
        <v>2325</v>
      </c>
      <c r="Y77" t="s">
        <v>720</v>
      </c>
      <c r="Z77">
        <v>0</v>
      </c>
      <c r="AA77" t="s">
        <v>14</v>
      </c>
      <c r="AB77" t="s">
        <v>15</v>
      </c>
      <c r="AC77" t="s">
        <v>2339</v>
      </c>
      <c r="AD77" t="s">
        <v>1987</v>
      </c>
      <c r="AE77">
        <v>0</v>
      </c>
      <c r="AF77" t="s">
        <v>18</v>
      </c>
    </row>
    <row r="78" spans="1:32" x14ac:dyDescent="0.3">
      <c r="A78" t="s">
        <v>2043</v>
      </c>
      <c r="B78" t="s">
        <v>1</v>
      </c>
      <c r="C78">
        <v>0.4</v>
      </c>
      <c r="D78" t="s">
        <v>588</v>
      </c>
      <c r="E78" t="s">
        <v>2323</v>
      </c>
      <c r="F78">
        <v>0.2</v>
      </c>
      <c r="G78" t="s">
        <v>2329</v>
      </c>
      <c r="H78" t="s">
        <v>1991</v>
      </c>
      <c r="I78" t="s">
        <v>4</v>
      </c>
      <c r="J78">
        <v>94</v>
      </c>
      <c r="K78" t="s">
        <v>5</v>
      </c>
      <c r="L78">
        <v>22</v>
      </c>
      <c r="M78" t="s">
        <v>6</v>
      </c>
      <c r="N78">
        <v>-61.433159832893999</v>
      </c>
      <c r="O78" t="s">
        <v>7</v>
      </c>
      <c r="P78">
        <v>-0.65354425354142598</v>
      </c>
      <c r="Q78" t="s">
        <v>8</v>
      </c>
      <c r="R78">
        <v>2.2876710150311301</v>
      </c>
      <c r="S78" t="s">
        <v>9</v>
      </c>
      <c r="T78">
        <v>-1.55224891893859</v>
      </c>
      <c r="U78" t="s">
        <v>10</v>
      </c>
      <c r="V78">
        <v>0.39644051842891997</v>
      </c>
      <c r="W78" t="s">
        <v>11</v>
      </c>
      <c r="X78" t="s">
        <v>2340</v>
      </c>
      <c r="Y78" t="s">
        <v>720</v>
      </c>
      <c r="Z78">
        <v>0</v>
      </c>
      <c r="AA78" t="s">
        <v>14</v>
      </c>
      <c r="AB78" t="s">
        <v>15</v>
      </c>
      <c r="AC78" t="s">
        <v>2397</v>
      </c>
      <c r="AD78" t="s">
        <v>2013</v>
      </c>
      <c r="AE78">
        <v>0</v>
      </c>
      <c r="AF78" t="s">
        <v>18</v>
      </c>
    </row>
    <row r="79" spans="1:32" x14ac:dyDescent="0.3">
      <c r="A79" t="s">
        <v>2043</v>
      </c>
      <c r="B79" t="s">
        <v>1</v>
      </c>
      <c r="C79">
        <v>0.4</v>
      </c>
      <c r="D79" t="s">
        <v>588</v>
      </c>
      <c r="E79" t="s">
        <v>2323</v>
      </c>
      <c r="F79">
        <v>0.2</v>
      </c>
      <c r="G79" t="s">
        <v>2329</v>
      </c>
      <c r="H79" t="s">
        <v>1994</v>
      </c>
      <c r="I79" t="s">
        <v>4</v>
      </c>
      <c r="J79">
        <v>94</v>
      </c>
      <c r="K79" t="s">
        <v>5</v>
      </c>
      <c r="L79">
        <v>28</v>
      </c>
      <c r="M79" t="s">
        <v>6</v>
      </c>
      <c r="N79">
        <v>-87.940390665740694</v>
      </c>
      <c r="O79" t="s">
        <v>7</v>
      </c>
      <c r="P79">
        <v>-0.93553607091213498</v>
      </c>
      <c r="Q79" t="s">
        <v>8</v>
      </c>
      <c r="R79">
        <v>2.22174151181017</v>
      </c>
      <c r="S79" t="s">
        <v>9</v>
      </c>
      <c r="T79">
        <v>-2.2749871666125099</v>
      </c>
      <c r="U79" t="s">
        <v>10</v>
      </c>
      <c r="V79">
        <v>0.59658972201662097</v>
      </c>
      <c r="W79" t="s">
        <v>11</v>
      </c>
      <c r="X79" t="s">
        <v>2342</v>
      </c>
      <c r="Y79" t="s">
        <v>720</v>
      </c>
      <c r="Z79">
        <v>0</v>
      </c>
      <c r="AA79" t="s">
        <v>14</v>
      </c>
      <c r="AB79" t="s">
        <v>15</v>
      </c>
      <c r="AC79" t="s">
        <v>2343</v>
      </c>
      <c r="AD79" t="s">
        <v>720</v>
      </c>
      <c r="AE79">
        <v>0</v>
      </c>
      <c r="AF79" t="s">
        <v>18</v>
      </c>
    </row>
    <row r="80" spans="1:32" x14ac:dyDescent="0.3">
      <c r="A80" t="s">
        <v>2043</v>
      </c>
      <c r="B80" t="s">
        <v>1</v>
      </c>
      <c r="C80">
        <v>0.4</v>
      </c>
      <c r="D80" t="s">
        <v>588</v>
      </c>
      <c r="E80" t="s">
        <v>2323</v>
      </c>
      <c r="F80">
        <v>0.2</v>
      </c>
      <c r="G80" t="s">
        <v>2329</v>
      </c>
      <c r="H80" t="s">
        <v>1996</v>
      </c>
      <c r="I80" t="s">
        <v>4</v>
      </c>
      <c r="J80">
        <v>94</v>
      </c>
      <c r="K80" t="s">
        <v>5</v>
      </c>
      <c r="L80">
        <v>32</v>
      </c>
      <c r="M80" t="s">
        <v>6</v>
      </c>
      <c r="N80">
        <v>-77.520390665740706</v>
      </c>
      <c r="O80" t="s">
        <v>7</v>
      </c>
      <c r="P80">
        <v>-0.82468500708234804</v>
      </c>
      <c r="Q80" t="s">
        <v>8</v>
      </c>
      <c r="R80">
        <v>2.2249613228339</v>
      </c>
      <c r="S80" t="s">
        <v>9</v>
      </c>
      <c r="T80">
        <v>-2.3986960160713799</v>
      </c>
      <c r="U80" t="s">
        <v>10</v>
      </c>
      <c r="V80">
        <v>0.62289735292705695</v>
      </c>
      <c r="W80" t="s">
        <v>11</v>
      </c>
      <c r="X80" t="s">
        <v>2342</v>
      </c>
      <c r="Y80" t="s">
        <v>720</v>
      </c>
      <c r="Z80">
        <v>0</v>
      </c>
      <c r="AA80" t="s">
        <v>14</v>
      </c>
      <c r="AB80" t="s">
        <v>15</v>
      </c>
      <c r="AC80" t="s">
        <v>2343</v>
      </c>
      <c r="AD80" t="s">
        <v>720</v>
      </c>
      <c r="AE80">
        <v>0</v>
      </c>
      <c r="AF80" t="s">
        <v>18</v>
      </c>
    </row>
    <row r="81" spans="1:32" x14ac:dyDescent="0.3">
      <c r="A81" t="s">
        <v>2043</v>
      </c>
      <c r="B81" t="s">
        <v>1</v>
      </c>
      <c r="C81">
        <v>0.4</v>
      </c>
      <c r="D81" t="s">
        <v>588</v>
      </c>
      <c r="E81" t="s">
        <v>2323</v>
      </c>
      <c r="F81">
        <v>0.2</v>
      </c>
      <c r="G81" t="s">
        <v>2329</v>
      </c>
      <c r="H81" t="s">
        <v>1997</v>
      </c>
      <c r="I81" t="s">
        <v>4</v>
      </c>
      <c r="J81">
        <v>94</v>
      </c>
      <c r="K81" t="s">
        <v>5</v>
      </c>
      <c r="L81">
        <v>37</v>
      </c>
      <c r="M81" t="s">
        <v>6</v>
      </c>
      <c r="N81">
        <v>-57.6203906657407</v>
      </c>
      <c r="O81" t="s">
        <v>7</v>
      </c>
      <c r="P81">
        <v>-0.61298287942277296</v>
      </c>
      <c r="Q81" t="s">
        <v>8</v>
      </c>
      <c r="R81">
        <v>2.2578043873158098</v>
      </c>
      <c r="S81" t="s">
        <v>9</v>
      </c>
      <c r="T81">
        <v>-2.4764763683583402</v>
      </c>
      <c r="U81" t="s">
        <v>10</v>
      </c>
      <c r="V81">
        <v>0.65326233057179295</v>
      </c>
      <c r="W81" t="s">
        <v>11</v>
      </c>
      <c r="X81" t="s">
        <v>2342</v>
      </c>
      <c r="Y81" t="s">
        <v>720</v>
      </c>
      <c r="Z81">
        <v>0</v>
      </c>
      <c r="AA81" t="s">
        <v>14</v>
      </c>
      <c r="AB81" t="s">
        <v>15</v>
      </c>
      <c r="AC81" t="s">
        <v>2343</v>
      </c>
      <c r="AD81" t="s">
        <v>720</v>
      </c>
      <c r="AE81">
        <v>0</v>
      </c>
      <c r="AF81" t="s">
        <v>18</v>
      </c>
    </row>
    <row r="82" spans="1:32" x14ac:dyDescent="0.3">
      <c r="A82" t="s">
        <v>2043</v>
      </c>
      <c r="B82" t="s">
        <v>1</v>
      </c>
      <c r="C82">
        <v>0.4</v>
      </c>
      <c r="D82" t="s">
        <v>588</v>
      </c>
      <c r="E82" t="s">
        <v>2323</v>
      </c>
      <c r="F82">
        <v>0.2</v>
      </c>
      <c r="G82" t="s">
        <v>2332</v>
      </c>
      <c r="H82" t="s">
        <v>1999</v>
      </c>
      <c r="I82" t="s">
        <v>4</v>
      </c>
      <c r="J82">
        <v>87</v>
      </c>
      <c r="K82" t="s">
        <v>5</v>
      </c>
      <c r="L82">
        <v>28</v>
      </c>
      <c r="M82" t="s">
        <v>6</v>
      </c>
      <c r="N82">
        <v>-35.493613790645</v>
      </c>
      <c r="O82" t="s">
        <v>7</v>
      </c>
      <c r="P82">
        <v>-0.40797257230626499</v>
      </c>
      <c r="Q82" t="s">
        <v>8</v>
      </c>
      <c r="R82">
        <v>2.15319357109545</v>
      </c>
      <c r="S82" t="s">
        <v>9</v>
      </c>
      <c r="T82">
        <v>-1.62344125053081</v>
      </c>
      <c r="U82" t="s">
        <v>10</v>
      </c>
      <c r="V82">
        <v>0.329446385027926</v>
      </c>
      <c r="W82" t="s">
        <v>11</v>
      </c>
      <c r="X82" t="s">
        <v>2344</v>
      </c>
      <c r="Y82" t="s">
        <v>720</v>
      </c>
      <c r="Z82">
        <v>0</v>
      </c>
      <c r="AA82" t="s">
        <v>14</v>
      </c>
      <c r="AB82" t="s">
        <v>15</v>
      </c>
      <c r="AC82" t="s">
        <v>2398</v>
      </c>
      <c r="AD82" t="s">
        <v>1987</v>
      </c>
      <c r="AE82">
        <v>0</v>
      </c>
      <c r="AF82" t="s">
        <v>18</v>
      </c>
    </row>
    <row r="83" spans="1:32" x14ac:dyDescent="0.3">
      <c r="A83" t="s">
        <v>2043</v>
      </c>
      <c r="B83" t="s">
        <v>1</v>
      </c>
      <c r="C83">
        <v>0.4</v>
      </c>
      <c r="D83" t="s">
        <v>588</v>
      </c>
      <c r="E83" t="s">
        <v>2323</v>
      </c>
      <c r="F83">
        <v>0.2</v>
      </c>
      <c r="G83" t="s">
        <v>2332</v>
      </c>
      <c r="H83" t="s">
        <v>2002</v>
      </c>
      <c r="I83" t="s">
        <v>4</v>
      </c>
      <c r="J83">
        <v>87</v>
      </c>
      <c r="K83" t="s">
        <v>5</v>
      </c>
      <c r="L83">
        <v>33</v>
      </c>
      <c r="M83" t="s">
        <v>6</v>
      </c>
      <c r="N83">
        <v>-68.1230484431821</v>
      </c>
      <c r="O83" t="s">
        <v>7</v>
      </c>
      <c r="P83">
        <v>-0.78302354532393204</v>
      </c>
      <c r="Q83" t="s">
        <v>8</v>
      </c>
      <c r="R83">
        <v>2.3768751532617598</v>
      </c>
      <c r="S83" t="s">
        <v>9</v>
      </c>
      <c r="T83">
        <v>-2.7140727500151902</v>
      </c>
      <c r="U83" t="s">
        <v>10</v>
      </c>
      <c r="V83">
        <v>0.45962690345694401</v>
      </c>
      <c r="W83" t="s">
        <v>11</v>
      </c>
      <c r="X83" t="s">
        <v>2342</v>
      </c>
      <c r="Y83" t="s">
        <v>720</v>
      </c>
      <c r="Z83">
        <v>0</v>
      </c>
      <c r="AA83" t="s">
        <v>14</v>
      </c>
      <c r="AB83" t="s">
        <v>15</v>
      </c>
      <c r="AC83" t="s">
        <v>2342</v>
      </c>
      <c r="AD83" t="s">
        <v>720</v>
      </c>
      <c r="AE83">
        <v>0</v>
      </c>
      <c r="AF83" t="s">
        <v>18</v>
      </c>
    </row>
    <row r="84" spans="1:32" x14ac:dyDescent="0.3">
      <c r="A84" t="s">
        <v>2043</v>
      </c>
      <c r="B84" t="s">
        <v>1</v>
      </c>
      <c r="C84">
        <v>0.4</v>
      </c>
      <c r="D84" t="s">
        <v>588</v>
      </c>
      <c r="E84" t="s">
        <v>2323</v>
      </c>
      <c r="F84">
        <v>0.2</v>
      </c>
      <c r="G84" t="s">
        <v>2332</v>
      </c>
      <c r="H84" t="s">
        <v>2004</v>
      </c>
      <c r="I84" t="s">
        <v>4</v>
      </c>
      <c r="J84">
        <v>87</v>
      </c>
      <c r="K84" t="s">
        <v>5</v>
      </c>
      <c r="L84">
        <v>35</v>
      </c>
      <c r="M84" t="s">
        <v>6</v>
      </c>
      <c r="N84">
        <v>-68.603776414208298</v>
      </c>
      <c r="O84" t="s">
        <v>7</v>
      </c>
      <c r="P84">
        <v>-0.788549154186303</v>
      </c>
      <c r="Q84" t="s">
        <v>8</v>
      </c>
      <c r="R84">
        <v>2.3701965730753698</v>
      </c>
      <c r="S84" t="s">
        <v>9</v>
      </c>
      <c r="T84">
        <v>-2.91462800907397</v>
      </c>
      <c r="U84" t="s">
        <v>10</v>
      </c>
      <c r="V84">
        <v>0.47602810003761098</v>
      </c>
      <c r="W84" t="s">
        <v>11</v>
      </c>
      <c r="X84" t="s">
        <v>2342</v>
      </c>
      <c r="Y84" t="s">
        <v>720</v>
      </c>
      <c r="Z84">
        <v>0</v>
      </c>
      <c r="AA84" t="s">
        <v>14</v>
      </c>
      <c r="AB84" t="s">
        <v>15</v>
      </c>
      <c r="AC84" t="s">
        <v>2342</v>
      </c>
      <c r="AD84" t="s">
        <v>720</v>
      </c>
      <c r="AE84">
        <v>0</v>
      </c>
      <c r="AF84" t="s">
        <v>18</v>
      </c>
    </row>
    <row r="85" spans="1:32" x14ac:dyDescent="0.3">
      <c r="A85" t="s">
        <v>2043</v>
      </c>
      <c r="B85" t="s">
        <v>1</v>
      </c>
      <c r="C85">
        <v>0.4</v>
      </c>
      <c r="D85" t="s">
        <v>588</v>
      </c>
      <c r="E85" t="s">
        <v>2323</v>
      </c>
      <c r="F85">
        <v>0.2</v>
      </c>
      <c r="G85" t="s">
        <v>2332</v>
      </c>
      <c r="H85" t="s">
        <v>2005</v>
      </c>
      <c r="I85" t="s">
        <v>4</v>
      </c>
      <c r="J85">
        <v>87</v>
      </c>
      <c r="K85" t="s">
        <v>5</v>
      </c>
      <c r="L85">
        <v>38</v>
      </c>
      <c r="M85" t="s">
        <v>6</v>
      </c>
      <c r="N85">
        <v>-63.993776414208298</v>
      </c>
      <c r="O85" t="s">
        <v>7</v>
      </c>
      <c r="P85">
        <v>-0.73556064843917601</v>
      </c>
      <c r="Q85" t="s">
        <v>8</v>
      </c>
      <c r="R85">
        <v>2.3728392067896502</v>
      </c>
      <c r="S85" t="s">
        <v>9</v>
      </c>
      <c r="T85">
        <v>-3.1461564545349998</v>
      </c>
      <c r="U85" t="s">
        <v>10</v>
      </c>
      <c r="V85">
        <v>0.52265808519074397</v>
      </c>
      <c r="W85" t="s">
        <v>11</v>
      </c>
      <c r="X85" t="s">
        <v>2342</v>
      </c>
      <c r="Y85" t="s">
        <v>720</v>
      </c>
      <c r="Z85">
        <v>0</v>
      </c>
      <c r="AA85" t="s">
        <v>14</v>
      </c>
      <c r="AB85" t="s">
        <v>15</v>
      </c>
      <c r="AC85" t="s">
        <v>2342</v>
      </c>
      <c r="AD85" t="s">
        <v>720</v>
      </c>
      <c r="AE85">
        <v>0</v>
      </c>
      <c r="AF85" t="s">
        <v>18</v>
      </c>
    </row>
    <row r="86" spans="1:32" x14ac:dyDescent="0.3">
      <c r="A86" t="s">
        <v>2043</v>
      </c>
      <c r="B86" t="s">
        <v>1</v>
      </c>
      <c r="C86">
        <v>0.4</v>
      </c>
      <c r="D86" t="s">
        <v>588</v>
      </c>
      <c r="E86" t="s">
        <v>2323</v>
      </c>
      <c r="F86">
        <v>0.2</v>
      </c>
      <c r="G86" t="s">
        <v>2347</v>
      </c>
      <c r="H86" t="s">
        <v>1979</v>
      </c>
      <c r="I86" t="s">
        <v>4</v>
      </c>
      <c r="J86">
        <v>92</v>
      </c>
      <c r="K86" t="s">
        <v>5</v>
      </c>
      <c r="L86">
        <v>42</v>
      </c>
      <c r="M86" t="s">
        <v>6</v>
      </c>
      <c r="N86">
        <v>-78.555143694730205</v>
      </c>
      <c r="O86" t="s">
        <v>7</v>
      </c>
      <c r="P86">
        <v>-0.85386025755141504</v>
      </c>
      <c r="Q86" t="s">
        <v>8</v>
      </c>
      <c r="R86">
        <v>1.54958158823156</v>
      </c>
      <c r="S86" t="s">
        <v>9</v>
      </c>
      <c r="T86">
        <v>-2.8727514080091199</v>
      </c>
      <c r="U86" t="s">
        <v>10</v>
      </c>
      <c r="V86">
        <v>0.51859966475147301</v>
      </c>
      <c r="W86" t="s">
        <v>11</v>
      </c>
      <c r="X86" t="s">
        <v>2348</v>
      </c>
      <c r="Y86" t="s">
        <v>720</v>
      </c>
      <c r="Z86">
        <v>0</v>
      </c>
      <c r="AA86" t="s">
        <v>14</v>
      </c>
      <c r="AB86" t="s">
        <v>15</v>
      </c>
      <c r="AC86" t="s">
        <v>2349</v>
      </c>
      <c r="AD86" t="s">
        <v>720</v>
      </c>
      <c r="AE86">
        <v>0</v>
      </c>
      <c r="AF86" t="s">
        <v>18</v>
      </c>
    </row>
    <row r="87" spans="1:32" x14ac:dyDescent="0.3">
      <c r="A87" t="s">
        <v>2043</v>
      </c>
      <c r="B87" t="s">
        <v>1</v>
      </c>
      <c r="C87">
        <v>0.4</v>
      </c>
      <c r="D87" t="s">
        <v>588</v>
      </c>
      <c r="E87" t="s">
        <v>2323</v>
      </c>
      <c r="F87">
        <v>0.2</v>
      </c>
      <c r="G87" t="s">
        <v>2347</v>
      </c>
      <c r="H87" t="s">
        <v>1982</v>
      </c>
      <c r="I87" t="s">
        <v>4</v>
      </c>
      <c r="J87">
        <v>92</v>
      </c>
      <c r="K87" t="s">
        <v>5</v>
      </c>
      <c r="L87">
        <v>49</v>
      </c>
      <c r="M87" t="s">
        <v>6</v>
      </c>
      <c r="N87">
        <v>-71.395143694730194</v>
      </c>
      <c r="O87" t="s">
        <v>7</v>
      </c>
      <c r="P87">
        <v>-0.77603417059489399</v>
      </c>
      <c r="Q87" t="s">
        <v>8</v>
      </c>
      <c r="R87">
        <v>1.5929066674637899</v>
      </c>
      <c r="S87" t="s">
        <v>9</v>
      </c>
      <c r="T87">
        <v>-3.4755248930338598</v>
      </c>
      <c r="U87" t="s">
        <v>10</v>
      </c>
      <c r="V87">
        <v>0.55684902235422495</v>
      </c>
      <c r="W87" t="s">
        <v>11</v>
      </c>
      <c r="X87" t="s">
        <v>2348</v>
      </c>
      <c r="Y87" t="s">
        <v>720</v>
      </c>
      <c r="Z87">
        <v>0</v>
      </c>
      <c r="AA87" t="s">
        <v>14</v>
      </c>
      <c r="AB87" t="s">
        <v>15</v>
      </c>
      <c r="AC87" t="s">
        <v>2349</v>
      </c>
      <c r="AD87" t="s">
        <v>720</v>
      </c>
      <c r="AE87">
        <v>0</v>
      </c>
      <c r="AF87" t="s">
        <v>18</v>
      </c>
    </row>
    <row r="88" spans="1:32" x14ac:dyDescent="0.3">
      <c r="A88" t="s">
        <v>2043</v>
      </c>
      <c r="B88" t="s">
        <v>1</v>
      </c>
      <c r="C88">
        <v>0.4</v>
      </c>
      <c r="D88" t="s">
        <v>588</v>
      </c>
      <c r="E88" t="s">
        <v>2323</v>
      </c>
      <c r="F88">
        <v>0.2</v>
      </c>
      <c r="G88" t="s">
        <v>2347</v>
      </c>
      <c r="H88" t="s">
        <v>1985</v>
      </c>
      <c r="I88" t="s">
        <v>4</v>
      </c>
      <c r="J88">
        <v>92</v>
      </c>
      <c r="K88" t="s">
        <v>5</v>
      </c>
      <c r="L88">
        <v>53</v>
      </c>
      <c r="M88" t="s">
        <v>6</v>
      </c>
      <c r="N88">
        <v>-111.53514369473</v>
      </c>
      <c r="O88" t="s">
        <v>7</v>
      </c>
      <c r="P88">
        <v>-1.2123385184209801</v>
      </c>
      <c r="Q88" t="s">
        <v>8</v>
      </c>
      <c r="R88">
        <v>1.6987250321834999</v>
      </c>
      <c r="S88" t="s">
        <v>9</v>
      </c>
      <c r="T88">
        <v>-5.1683992410373296</v>
      </c>
      <c r="U88" t="s">
        <v>10</v>
      </c>
      <c r="V88">
        <v>0.91496046812127296</v>
      </c>
      <c r="W88" t="s">
        <v>11</v>
      </c>
      <c r="X88" t="s">
        <v>2351</v>
      </c>
      <c r="Y88" t="s">
        <v>720</v>
      </c>
      <c r="Z88">
        <v>0</v>
      </c>
      <c r="AA88" t="s">
        <v>14</v>
      </c>
      <c r="AB88" t="s">
        <v>15</v>
      </c>
      <c r="AC88" t="s">
        <v>2352</v>
      </c>
      <c r="AD88" t="s">
        <v>720</v>
      </c>
      <c r="AE88">
        <v>0</v>
      </c>
      <c r="AF88" t="s">
        <v>18</v>
      </c>
    </row>
    <row r="89" spans="1:32" x14ac:dyDescent="0.3">
      <c r="A89" t="s">
        <v>2043</v>
      </c>
      <c r="B89" t="s">
        <v>1</v>
      </c>
      <c r="C89">
        <v>0.4</v>
      </c>
      <c r="D89" t="s">
        <v>588</v>
      </c>
      <c r="E89" t="s">
        <v>2323</v>
      </c>
      <c r="F89">
        <v>0.2</v>
      </c>
      <c r="G89" t="s">
        <v>2347</v>
      </c>
      <c r="H89" t="s">
        <v>1988</v>
      </c>
      <c r="I89" t="s">
        <v>4</v>
      </c>
      <c r="J89">
        <v>92</v>
      </c>
      <c r="K89" t="s">
        <v>5</v>
      </c>
      <c r="L89">
        <v>54</v>
      </c>
      <c r="M89" t="s">
        <v>6</v>
      </c>
      <c r="N89">
        <v>-174.88514369473</v>
      </c>
      <c r="O89" t="s">
        <v>7</v>
      </c>
      <c r="P89">
        <v>-1.90092547494271</v>
      </c>
      <c r="Q89" t="s">
        <v>8</v>
      </c>
      <c r="R89">
        <v>1.7118967908467699</v>
      </c>
      <c r="S89" t="s">
        <v>9</v>
      </c>
      <c r="T89">
        <v>-7.0349360631698898</v>
      </c>
      <c r="U89" t="s">
        <v>10</v>
      </c>
      <c r="V89">
        <v>1.3398447705318799</v>
      </c>
      <c r="W89" t="s">
        <v>11</v>
      </c>
      <c r="X89" t="s">
        <v>2353</v>
      </c>
      <c r="Y89" t="s">
        <v>720</v>
      </c>
      <c r="Z89">
        <v>0</v>
      </c>
      <c r="AA89" t="s">
        <v>14</v>
      </c>
      <c r="AB89" t="s">
        <v>15</v>
      </c>
      <c r="AC89" t="s">
        <v>2354</v>
      </c>
      <c r="AD89" t="s">
        <v>720</v>
      </c>
      <c r="AE89">
        <v>0</v>
      </c>
      <c r="AF89" t="s">
        <v>18</v>
      </c>
    </row>
    <row r="90" spans="1:32" x14ac:dyDescent="0.3">
      <c r="A90" t="s">
        <v>2043</v>
      </c>
      <c r="B90" t="s">
        <v>1</v>
      </c>
      <c r="C90">
        <v>0.4</v>
      </c>
      <c r="D90" t="s">
        <v>588</v>
      </c>
      <c r="E90" t="s">
        <v>2323</v>
      </c>
      <c r="F90">
        <v>0.2</v>
      </c>
      <c r="G90" t="s">
        <v>2355</v>
      </c>
      <c r="H90" t="s">
        <v>1991</v>
      </c>
      <c r="I90" t="s">
        <v>4</v>
      </c>
      <c r="J90">
        <v>94</v>
      </c>
      <c r="K90" t="s">
        <v>5</v>
      </c>
      <c r="L90">
        <v>34</v>
      </c>
      <c r="M90" t="s">
        <v>6</v>
      </c>
      <c r="N90">
        <v>-93.583729494638504</v>
      </c>
      <c r="O90" t="s">
        <v>7</v>
      </c>
      <c r="P90">
        <v>-0.99557159036849496</v>
      </c>
      <c r="Q90" t="s">
        <v>8</v>
      </c>
      <c r="R90">
        <v>1.28957559416921</v>
      </c>
      <c r="S90" t="s">
        <v>9</v>
      </c>
      <c r="T90">
        <v>-2.2904883282731898</v>
      </c>
      <c r="U90" t="s">
        <v>10</v>
      </c>
      <c r="V90">
        <v>0.39637168062098099</v>
      </c>
      <c r="W90" t="s">
        <v>11</v>
      </c>
      <c r="X90" t="s">
        <v>2356</v>
      </c>
      <c r="Y90" t="s">
        <v>720</v>
      </c>
      <c r="Z90">
        <v>0</v>
      </c>
      <c r="AA90" t="s">
        <v>14</v>
      </c>
      <c r="AB90" t="s">
        <v>15</v>
      </c>
      <c r="AC90" t="s">
        <v>2357</v>
      </c>
      <c r="AD90" t="s">
        <v>720</v>
      </c>
      <c r="AE90">
        <v>0</v>
      </c>
      <c r="AF90" t="s">
        <v>18</v>
      </c>
    </row>
    <row r="91" spans="1:32" x14ac:dyDescent="0.3">
      <c r="A91" t="s">
        <v>2043</v>
      </c>
      <c r="B91" t="s">
        <v>1</v>
      </c>
      <c r="C91">
        <v>0.4</v>
      </c>
      <c r="D91" t="s">
        <v>588</v>
      </c>
      <c r="E91" t="s">
        <v>2323</v>
      </c>
      <c r="F91">
        <v>0.2</v>
      </c>
      <c r="G91" t="s">
        <v>2355</v>
      </c>
      <c r="H91" t="s">
        <v>1994</v>
      </c>
      <c r="I91" t="s">
        <v>4</v>
      </c>
      <c r="J91">
        <v>94</v>
      </c>
      <c r="K91" t="s">
        <v>5</v>
      </c>
      <c r="L91">
        <v>43</v>
      </c>
      <c r="M91" t="s">
        <v>6</v>
      </c>
      <c r="N91">
        <v>-103.564739749341</v>
      </c>
      <c r="O91" t="s">
        <v>7</v>
      </c>
      <c r="P91">
        <v>-1.1017525505249</v>
      </c>
      <c r="Q91" t="s">
        <v>8</v>
      </c>
      <c r="R91">
        <v>1.40199000469193</v>
      </c>
      <c r="S91" t="s">
        <v>9</v>
      </c>
      <c r="T91">
        <v>-3.21275117551165</v>
      </c>
      <c r="U91" t="s">
        <v>10</v>
      </c>
      <c r="V91">
        <v>0.51903646533528003</v>
      </c>
      <c r="W91" t="s">
        <v>11</v>
      </c>
      <c r="X91" t="s">
        <v>2356</v>
      </c>
      <c r="Y91" t="s">
        <v>720</v>
      </c>
      <c r="Z91">
        <v>0</v>
      </c>
      <c r="AA91" t="s">
        <v>14</v>
      </c>
      <c r="AB91" t="s">
        <v>15</v>
      </c>
      <c r="AC91" t="s">
        <v>2358</v>
      </c>
      <c r="AD91" t="s">
        <v>720</v>
      </c>
      <c r="AE91">
        <v>0</v>
      </c>
      <c r="AF91" t="s">
        <v>18</v>
      </c>
    </row>
    <row r="92" spans="1:32" x14ac:dyDescent="0.3">
      <c r="A92" t="s">
        <v>2043</v>
      </c>
      <c r="B92" t="s">
        <v>1</v>
      </c>
      <c r="C92">
        <v>0.4</v>
      </c>
      <c r="D92" t="s">
        <v>588</v>
      </c>
      <c r="E92" t="s">
        <v>2323</v>
      </c>
      <c r="F92">
        <v>0.2</v>
      </c>
      <c r="G92" t="s">
        <v>2355</v>
      </c>
      <c r="H92" t="s">
        <v>1996</v>
      </c>
      <c r="I92" t="s">
        <v>4</v>
      </c>
      <c r="J92">
        <v>94</v>
      </c>
      <c r="K92" t="s">
        <v>5</v>
      </c>
      <c r="L92">
        <v>48</v>
      </c>
      <c r="M92" t="s">
        <v>6</v>
      </c>
      <c r="N92">
        <v>-115.810585998611</v>
      </c>
      <c r="O92" t="s">
        <v>7</v>
      </c>
      <c r="P92">
        <v>-1.2320275106235199</v>
      </c>
      <c r="Q92" t="s">
        <v>8</v>
      </c>
      <c r="R92">
        <v>1.4886871750384301</v>
      </c>
      <c r="S92" t="s">
        <v>9</v>
      </c>
      <c r="T92">
        <v>-4.07103413914035</v>
      </c>
      <c r="U92" t="s">
        <v>10</v>
      </c>
      <c r="V92">
        <v>0.60069588864566303</v>
      </c>
      <c r="W92" t="s">
        <v>11</v>
      </c>
      <c r="X92" t="s">
        <v>2356</v>
      </c>
      <c r="Y92" t="s">
        <v>720</v>
      </c>
      <c r="Z92">
        <v>0</v>
      </c>
      <c r="AA92" t="s">
        <v>14</v>
      </c>
      <c r="AB92" t="s">
        <v>15</v>
      </c>
      <c r="AC92" t="s">
        <v>2358</v>
      </c>
      <c r="AD92" t="s">
        <v>720</v>
      </c>
      <c r="AE92">
        <v>0</v>
      </c>
      <c r="AF92" t="s">
        <v>18</v>
      </c>
    </row>
    <row r="93" spans="1:32" x14ac:dyDescent="0.3">
      <c r="A93" t="s">
        <v>2043</v>
      </c>
      <c r="B93" t="s">
        <v>1</v>
      </c>
      <c r="C93">
        <v>0.4</v>
      </c>
      <c r="D93" t="s">
        <v>588</v>
      </c>
      <c r="E93" t="s">
        <v>2323</v>
      </c>
      <c r="F93">
        <v>0.2</v>
      </c>
      <c r="G93" t="s">
        <v>2355</v>
      </c>
      <c r="H93" t="s">
        <v>1997</v>
      </c>
      <c r="I93" t="s">
        <v>4</v>
      </c>
      <c r="J93">
        <v>94</v>
      </c>
      <c r="K93" t="s">
        <v>5</v>
      </c>
      <c r="L93">
        <v>51</v>
      </c>
      <c r="M93" t="s">
        <v>6</v>
      </c>
      <c r="N93">
        <v>-180.12058599861101</v>
      </c>
      <c r="O93" t="s">
        <v>7</v>
      </c>
      <c r="P93">
        <v>-1.9161764467937299</v>
      </c>
      <c r="Q93" t="s">
        <v>8</v>
      </c>
      <c r="R93">
        <v>1.55994087062441</v>
      </c>
      <c r="S93" t="s">
        <v>9</v>
      </c>
      <c r="T93">
        <v>-6.0390132651268802</v>
      </c>
      <c r="U93" t="s">
        <v>10</v>
      </c>
      <c r="V93">
        <v>0.85107431850379001</v>
      </c>
      <c r="W93" t="s">
        <v>11</v>
      </c>
      <c r="X93" t="s">
        <v>2360</v>
      </c>
      <c r="Y93" t="s">
        <v>1987</v>
      </c>
      <c r="Z93">
        <v>0</v>
      </c>
      <c r="AA93" t="s">
        <v>14</v>
      </c>
      <c r="AB93" t="s">
        <v>15</v>
      </c>
      <c r="AC93" t="s">
        <v>2399</v>
      </c>
      <c r="AD93" t="s">
        <v>1987</v>
      </c>
      <c r="AE93">
        <v>0</v>
      </c>
      <c r="AF93" t="s">
        <v>18</v>
      </c>
    </row>
    <row r="94" spans="1:32" x14ac:dyDescent="0.3">
      <c r="A94" t="s">
        <v>2043</v>
      </c>
      <c r="B94" t="s">
        <v>1</v>
      </c>
      <c r="C94">
        <v>0.4</v>
      </c>
      <c r="D94" t="s">
        <v>588</v>
      </c>
      <c r="E94" t="s">
        <v>2323</v>
      </c>
      <c r="F94">
        <v>0.2</v>
      </c>
      <c r="G94" t="s">
        <v>2361</v>
      </c>
      <c r="H94" t="s">
        <v>1999</v>
      </c>
      <c r="I94" t="s">
        <v>4</v>
      </c>
      <c r="J94">
        <v>87</v>
      </c>
      <c r="K94" t="s">
        <v>5</v>
      </c>
      <c r="L94">
        <v>39</v>
      </c>
      <c r="M94" t="s">
        <v>6</v>
      </c>
      <c r="N94">
        <v>-18.705702468905301</v>
      </c>
      <c r="O94" t="s">
        <v>7</v>
      </c>
      <c r="P94">
        <v>-0.215008074355234</v>
      </c>
      <c r="Q94" t="s">
        <v>8</v>
      </c>
      <c r="R94">
        <v>1.9986114507971999</v>
      </c>
      <c r="S94" t="s">
        <v>9</v>
      </c>
      <c r="T94">
        <v>-2.0135739385415801</v>
      </c>
      <c r="U94" t="s">
        <v>10</v>
      </c>
      <c r="V94">
        <v>0.32843104378752203</v>
      </c>
      <c r="W94" t="s">
        <v>11</v>
      </c>
      <c r="X94" t="s">
        <v>2362</v>
      </c>
      <c r="Y94" t="s">
        <v>595</v>
      </c>
      <c r="Z94">
        <v>0</v>
      </c>
      <c r="AA94" t="s">
        <v>14</v>
      </c>
      <c r="AB94" t="s">
        <v>15</v>
      </c>
      <c r="AC94" t="s">
        <v>2363</v>
      </c>
      <c r="AD94" t="s">
        <v>2169</v>
      </c>
      <c r="AE94">
        <v>0</v>
      </c>
      <c r="AF94" t="s">
        <v>18</v>
      </c>
    </row>
    <row r="95" spans="1:32" x14ac:dyDescent="0.3">
      <c r="A95" t="s">
        <v>2043</v>
      </c>
      <c r="B95" t="s">
        <v>1</v>
      </c>
      <c r="C95">
        <v>0.4</v>
      </c>
      <c r="D95" t="s">
        <v>588</v>
      </c>
      <c r="E95" t="s">
        <v>2323</v>
      </c>
      <c r="F95">
        <v>0.2</v>
      </c>
      <c r="G95" t="s">
        <v>2361</v>
      </c>
      <c r="H95" t="s">
        <v>2002</v>
      </c>
      <c r="I95" t="s">
        <v>4</v>
      </c>
      <c r="J95">
        <v>87</v>
      </c>
      <c r="K95" t="s">
        <v>5</v>
      </c>
      <c r="L95">
        <v>46</v>
      </c>
      <c r="M95" t="s">
        <v>6</v>
      </c>
      <c r="N95">
        <v>-41.696712723607902</v>
      </c>
      <c r="O95" t="s">
        <v>7</v>
      </c>
      <c r="P95">
        <v>-0.47927256004147001</v>
      </c>
      <c r="Q95" t="s">
        <v>8</v>
      </c>
      <c r="R95">
        <v>2.0336000300579098</v>
      </c>
      <c r="S95" t="s">
        <v>9</v>
      </c>
      <c r="T95">
        <v>-3.2985930269822301</v>
      </c>
      <c r="U95" t="s">
        <v>10</v>
      </c>
      <c r="V95">
        <v>0.45250952813127598</v>
      </c>
      <c r="W95" t="s">
        <v>11</v>
      </c>
      <c r="X95" t="s">
        <v>2364</v>
      </c>
      <c r="Y95" t="s">
        <v>720</v>
      </c>
      <c r="Z95">
        <v>0</v>
      </c>
      <c r="AA95" t="s">
        <v>14</v>
      </c>
      <c r="AB95" t="s">
        <v>15</v>
      </c>
      <c r="AC95" t="s">
        <v>2365</v>
      </c>
      <c r="AD95" t="s">
        <v>720</v>
      </c>
      <c r="AE95">
        <v>0</v>
      </c>
      <c r="AF95" t="s">
        <v>18</v>
      </c>
    </row>
    <row r="96" spans="1:32" x14ac:dyDescent="0.3">
      <c r="A96" t="s">
        <v>2043</v>
      </c>
      <c r="B96" t="s">
        <v>1</v>
      </c>
      <c r="C96">
        <v>0.4</v>
      </c>
      <c r="D96" t="s">
        <v>588</v>
      </c>
      <c r="E96" t="s">
        <v>2323</v>
      </c>
      <c r="F96">
        <v>0.2</v>
      </c>
      <c r="G96" t="s">
        <v>2361</v>
      </c>
      <c r="H96" t="s">
        <v>2004</v>
      </c>
      <c r="I96" t="s">
        <v>4</v>
      </c>
      <c r="J96">
        <v>87</v>
      </c>
      <c r="K96" t="s">
        <v>5</v>
      </c>
      <c r="L96">
        <v>53</v>
      </c>
      <c r="M96" t="s">
        <v>6</v>
      </c>
      <c r="N96">
        <v>-36.0833222746571</v>
      </c>
      <c r="O96" t="s">
        <v>7</v>
      </c>
      <c r="P96">
        <v>-0.41475083074318497</v>
      </c>
      <c r="Q96" t="s">
        <v>8</v>
      </c>
      <c r="R96">
        <v>2.05126444495765</v>
      </c>
      <c r="S96" t="s">
        <v>9</v>
      </c>
      <c r="T96">
        <v>-4.2588334663944902</v>
      </c>
      <c r="U96" t="s">
        <v>10</v>
      </c>
      <c r="V96">
        <v>0.46457425139674002</v>
      </c>
      <c r="W96" t="s">
        <v>11</v>
      </c>
      <c r="X96" t="s">
        <v>2364</v>
      </c>
      <c r="Y96" t="s">
        <v>720</v>
      </c>
      <c r="Z96">
        <v>0</v>
      </c>
      <c r="AA96" t="s">
        <v>14</v>
      </c>
      <c r="AB96" t="s">
        <v>15</v>
      </c>
      <c r="AC96" t="s">
        <v>2400</v>
      </c>
      <c r="AD96" t="s">
        <v>720</v>
      </c>
      <c r="AE96">
        <v>0</v>
      </c>
      <c r="AF96" t="s">
        <v>18</v>
      </c>
    </row>
    <row r="97" spans="1:32" x14ac:dyDescent="0.3">
      <c r="A97" t="s">
        <v>2043</v>
      </c>
      <c r="B97" t="s">
        <v>1</v>
      </c>
      <c r="C97">
        <v>0.4</v>
      </c>
      <c r="D97" t="s">
        <v>588</v>
      </c>
      <c r="E97" t="s">
        <v>2323</v>
      </c>
      <c r="F97">
        <v>0.2</v>
      </c>
      <c r="G97" t="s">
        <v>2361</v>
      </c>
      <c r="H97" t="s">
        <v>2005</v>
      </c>
      <c r="I97" t="s">
        <v>4</v>
      </c>
      <c r="J97">
        <v>87</v>
      </c>
      <c r="K97" t="s">
        <v>5</v>
      </c>
      <c r="L97">
        <v>57</v>
      </c>
      <c r="M97" t="s">
        <v>6</v>
      </c>
      <c r="N97">
        <v>-68.809414231196499</v>
      </c>
      <c r="O97" t="s">
        <v>7</v>
      </c>
      <c r="P97">
        <v>-0.79091280725513202</v>
      </c>
      <c r="Q97" t="s">
        <v>8</v>
      </c>
      <c r="R97">
        <v>2.0308056726681398</v>
      </c>
      <c r="S97" t="s">
        <v>9</v>
      </c>
      <c r="T97">
        <v>-6.1521779191093504</v>
      </c>
      <c r="U97" t="s">
        <v>10</v>
      </c>
      <c r="V97">
        <v>0.63656231691194398</v>
      </c>
      <c r="W97" t="s">
        <v>11</v>
      </c>
      <c r="X97" t="s">
        <v>2367</v>
      </c>
      <c r="Y97" t="s">
        <v>595</v>
      </c>
      <c r="Z97">
        <v>0</v>
      </c>
      <c r="AA97" t="s">
        <v>14</v>
      </c>
      <c r="AB97" t="s">
        <v>15</v>
      </c>
      <c r="AC97" t="s">
        <v>2401</v>
      </c>
      <c r="AD97" t="s">
        <v>595</v>
      </c>
      <c r="AE97">
        <v>0</v>
      </c>
      <c r="AF97" t="s">
        <v>18</v>
      </c>
    </row>
    <row r="98" spans="1:32" x14ac:dyDescent="0.3">
      <c r="A98" t="s">
        <v>2043</v>
      </c>
      <c r="B98" t="s">
        <v>1</v>
      </c>
      <c r="C98">
        <v>0.3</v>
      </c>
      <c r="D98" t="s">
        <v>588</v>
      </c>
      <c r="E98" t="s">
        <v>2323</v>
      </c>
      <c r="F98">
        <v>0.15</v>
      </c>
      <c r="G98" t="s">
        <v>2324</v>
      </c>
      <c r="H98" t="s">
        <v>1979</v>
      </c>
      <c r="I98" t="s">
        <v>4</v>
      </c>
      <c r="J98">
        <v>92</v>
      </c>
      <c r="K98" t="s">
        <v>5</v>
      </c>
      <c r="L98">
        <v>30</v>
      </c>
      <c r="M98" t="s">
        <v>6</v>
      </c>
      <c r="N98">
        <v>-48.021483562234899</v>
      </c>
      <c r="O98" t="s">
        <v>7</v>
      </c>
      <c r="P98">
        <v>-0.52197264741559701</v>
      </c>
      <c r="Q98" t="s">
        <v>8</v>
      </c>
      <c r="R98">
        <v>1.3788396567388701</v>
      </c>
      <c r="S98" t="s">
        <v>9</v>
      </c>
      <c r="T98">
        <v>-1.4417205365226</v>
      </c>
      <c r="U98" t="s">
        <v>10</v>
      </c>
      <c r="V98">
        <v>0.44663273984875401</v>
      </c>
      <c r="W98" t="s">
        <v>11</v>
      </c>
      <c r="X98" t="s">
        <v>2368</v>
      </c>
      <c r="Y98" t="s">
        <v>720</v>
      </c>
      <c r="Z98">
        <v>0</v>
      </c>
      <c r="AA98" t="s">
        <v>14</v>
      </c>
      <c r="AB98" t="s">
        <v>15</v>
      </c>
      <c r="AC98" t="s">
        <v>2369</v>
      </c>
      <c r="AD98" t="s">
        <v>1987</v>
      </c>
      <c r="AE98">
        <v>0</v>
      </c>
      <c r="AF98" t="s">
        <v>18</v>
      </c>
    </row>
    <row r="99" spans="1:32" x14ac:dyDescent="0.3">
      <c r="A99" t="s">
        <v>2043</v>
      </c>
      <c r="B99" t="s">
        <v>1</v>
      </c>
      <c r="C99">
        <v>0.3</v>
      </c>
      <c r="D99" t="s">
        <v>588</v>
      </c>
      <c r="E99" t="s">
        <v>2323</v>
      </c>
      <c r="F99">
        <v>0.15</v>
      </c>
      <c r="G99" t="s">
        <v>2324</v>
      </c>
      <c r="H99" t="s">
        <v>1982</v>
      </c>
      <c r="I99" t="s">
        <v>4</v>
      </c>
      <c r="J99">
        <v>92</v>
      </c>
      <c r="K99" t="s">
        <v>5</v>
      </c>
      <c r="L99">
        <v>32</v>
      </c>
      <c r="M99" t="s">
        <v>6</v>
      </c>
      <c r="N99">
        <v>-66.411483562234906</v>
      </c>
      <c r="O99" t="s">
        <v>7</v>
      </c>
      <c r="P99">
        <v>-0.721863951763423</v>
      </c>
      <c r="Q99" t="s">
        <v>8</v>
      </c>
      <c r="R99">
        <v>1.45516217819269</v>
      </c>
      <c r="S99" t="s">
        <v>9</v>
      </c>
      <c r="T99">
        <v>-1.8829445544066801</v>
      </c>
      <c r="U99" t="s">
        <v>10</v>
      </c>
      <c r="V99">
        <v>0.53465875639759497</v>
      </c>
      <c r="W99" t="s">
        <v>11</v>
      </c>
      <c r="X99" t="s">
        <v>2368</v>
      </c>
      <c r="Y99" t="s">
        <v>720</v>
      </c>
      <c r="Z99">
        <v>0</v>
      </c>
      <c r="AA99" t="s">
        <v>14</v>
      </c>
      <c r="AB99" t="s">
        <v>15</v>
      </c>
      <c r="AC99" t="s">
        <v>2370</v>
      </c>
      <c r="AD99" t="s">
        <v>1987</v>
      </c>
      <c r="AE99">
        <v>0</v>
      </c>
      <c r="AF99" t="s">
        <v>18</v>
      </c>
    </row>
    <row r="100" spans="1:32" x14ac:dyDescent="0.3">
      <c r="A100" t="s">
        <v>2043</v>
      </c>
      <c r="B100" t="s">
        <v>1</v>
      </c>
      <c r="C100">
        <v>0.3</v>
      </c>
      <c r="D100" t="s">
        <v>588</v>
      </c>
      <c r="E100" t="s">
        <v>2323</v>
      </c>
      <c r="F100">
        <v>0.15</v>
      </c>
      <c r="G100" t="s">
        <v>2324</v>
      </c>
      <c r="H100" t="s">
        <v>1985</v>
      </c>
      <c r="I100" t="s">
        <v>4</v>
      </c>
      <c r="J100">
        <v>92</v>
      </c>
      <c r="K100" t="s">
        <v>5</v>
      </c>
      <c r="L100">
        <v>32</v>
      </c>
      <c r="M100" t="s">
        <v>6</v>
      </c>
      <c r="N100">
        <v>-69.201483562234898</v>
      </c>
      <c r="O100" t="s">
        <v>7</v>
      </c>
      <c r="P100">
        <v>-0.75219003871994505</v>
      </c>
      <c r="Q100" t="s">
        <v>8</v>
      </c>
      <c r="R100">
        <v>1.45516217819269</v>
      </c>
      <c r="S100" t="s">
        <v>9</v>
      </c>
      <c r="T100">
        <v>-1.9294445544066801</v>
      </c>
      <c r="U100" t="s">
        <v>10</v>
      </c>
      <c r="V100">
        <v>0.53673303852687904</v>
      </c>
      <c r="W100" t="s">
        <v>11</v>
      </c>
      <c r="X100" t="s">
        <v>2368</v>
      </c>
      <c r="Y100" t="s">
        <v>720</v>
      </c>
      <c r="Z100">
        <v>0</v>
      </c>
      <c r="AA100" t="s">
        <v>14</v>
      </c>
      <c r="AB100" t="s">
        <v>15</v>
      </c>
      <c r="AC100" t="s">
        <v>2370</v>
      </c>
      <c r="AD100" t="s">
        <v>1987</v>
      </c>
      <c r="AE100">
        <v>0</v>
      </c>
      <c r="AF100" t="s">
        <v>18</v>
      </c>
    </row>
    <row r="101" spans="1:32" x14ac:dyDescent="0.3">
      <c r="A101" t="s">
        <v>2043</v>
      </c>
      <c r="B101" t="s">
        <v>1</v>
      </c>
      <c r="C101">
        <v>0.3</v>
      </c>
      <c r="D101" t="s">
        <v>588</v>
      </c>
      <c r="E101" t="s">
        <v>2323</v>
      </c>
      <c r="F101">
        <v>0.15</v>
      </c>
      <c r="G101" t="s">
        <v>2324</v>
      </c>
      <c r="H101" t="s">
        <v>1988</v>
      </c>
      <c r="I101" t="s">
        <v>4</v>
      </c>
      <c r="J101">
        <v>92</v>
      </c>
      <c r="K101" t="s">
        <v>5</v>
      </c>
      <c r="L101">
        <v>33</v>
      </c>
      <c r="M101" t="s">
        <v>6</v>
      </c>
      <c r="N101">
        <v>-77.311483562234898</v>
      </c>
      <c r="O101" t="s">
        <v>7</v>
      </c>
      <c r="P101">
        <v>-0.84034221263298803</v>
      </c>
      <c r="Q101" t="s">
        <v>8</v>
      </c>
      <c r="R101">
        <v>1.51561180915655</v>
      </c>
      <c r="S101" t="s">
        <v>9</v>
      </c>
      <c r="T101">
        <v>-2.1580792078712001</v>
      </c>
      <c r="U101" t="s">
        <v>10</v>
      </c>
      <c r="V101">
        <v>0.55808519806055401</v>
      </c>
      <c r="W101" t="s">
        <v>11</v>
      </c>
      <c r="X101" t="s">
        <v>2368</v>
      </c>
      <c r="Y101" t="s">
        <v>720</v>
      </c>
      <c r="Z101">
        <v>0</v>
      </c>
      <c r="AA101" t="s">
        <v>14</v>
      </c>
      <c r="AB101" t="s">
        <v>15</v>
      </c>
      <c r="AC101" t="s">
        <v>2370</v>
      </c>
      <c r="AD101" t="s">
        <v>1987</v>
      </c>
      <c r="AE101">
        <v>0</v>
      </c>
      <c r="AF101" t="s">
        <v>18</v>
      </c>
    </row>
    <row r="102" spans="1:32" x14ac:dyDescent="0.3">
      <c r="A102" t="s">
        <v>2043</v>
      </c>
      <c r="B102" t="s">
        <v>1</v>
      </c>
      <c r="C102">
        <v>0.3</v>
      </c>
      <c r="D102" t="s">
        <v>588</v>
      </c>
      <c r="E102" t="s">
        <v>2323</v>
      </c>
      <c r="F102">
        <v>0.15</v>
      </c>
      <c r="G102" t="s">
        <v>2329</v>
      </c>
      <c r="H102" t="s">
        <v>1991</v>
      </c>
      <c r="I102" t="s">
        <v>4</v>
      </c>
      <c r="J102">
        <v>94</v>
      </c>
      <c r="K102" t="s">
        <v>5</v>
      </c>
      <c r="L102">
        <v>26</v>
      </c>
      <c r="M102" t="s">
        <v>6</v>
      </c>
      <c r="N102">
        <v>-44.298294933165103</v>
      </c>
      <c r="O102" t="s">
        <v>7</v>
      </c>
      <c r="P102">
        <v>-0.47125845673579903</v>
      </c>
      <c r="Q102" t="s">
        <v>8</v>
      </c>
      <c r="R102">
        <v>1.61972545804306</v>
      </c>
      <c r="S102" t="s">
        <v>9</v>
      </c>
      <c r="T102">
        <v>-1.2707523065041799</v>
      </c>
      <c r="U102" t="s">
        <v>10</v>
      </c>
      <c r="V102">
        <v>0.32339569946679902</v>
      </c>
      <c r="W102" t="s">
        <v>11</v>
      </c>
      <c r="X102" t="s">
        <v>2371</v>
      </c>
      <c r="Y102" t="s">
        <v>1987</v>
      </c>
      <c r="Z102">
        <v>0</v>
      </c>
      <c r="AA102" t="s">
        <v>14</v>
      </c>
      <c r="AB102" t="s">
        <v>15</v>
      </c>
      <c r="AC102" t="s">
        <v>2372</v>
      </c>
      <c r="AD102" t="s">
        <v>2013</v>
      </c>
      <c r="AE102">
        <v>0</v>
      </c>
      <c r="AF102" t="s">
        <v>18</v>
      </c>
    </row>
    <row r="103" spans="1:32" x14ac:dyDescent="0.3">
      <c r="A103" t="s">
        <v>2043</v>
      </c>
      <c r="B103" t="s">
        <v>1</v>
      </c>
      <c r="C103">
        <v>0.3</v>
      </c>
      <c r="D103" t="s">
        <v>588</v>
      </c>
      <c r="E103" t="s">
        <v>2323</v>
      </c>
      <c r="F103">
        <v>0.15</v>
      </c>
      <c r="G103" t="s">
        <v>2329</v>
      </c>
      <c r="H103" t="s">
        <v>1994</v>
      </c>
      <c r="I103" t="s">
        <v>4</v>
      </c>
      <c r="J103">
        <v>94</v>
      </c>
      <c r="K103" t="s">
        <v>5</v>
      </c>
      <c r="L103">
        <v>29</v>
      </c>
      <c r="M103" t="s">
        <v>6</v>
      </c>
      <c r="N103">
        <v>-53.374362657966003</v>
      </c>
      <c r="O103" t="s">
        <v>7</v>
      </c>
      <c r="P103">
        <v>-0.56781236870176599</v>
      </c>
      <c r="Q103" t="s">
        <v>8</v>
      </c>
      <c r="R103">
        <v>1.70113316927998</v>
      </c>
      <c r="S103" t="s">
        <v>9</v>
      </c>
      <c r="T103">
        <v>-1.5801111471859299</v>
      </c>
      <c r="U103" t="s">
        <v>10</v>
      </c>
      <c r="V103">
        <v>0.41933000690118899</v>
      </c>
      <c r="W103" t="s">
        <v>11</v>
      </c>
      <c r="X103" t="s">
        <v>2373</v>
      </c>
      <c r="Y103" t="s">
        <v>1987</v>
      </c>
      <c r="Z103">
        <v>0</v>
      </c>
      <c r="AA103" t="s">
        <v>14</v>
      </c>
      <c r="AB103" t="s">
        <v>15</v>
      </c>
      <c r="AC103" t="s">
        <v>2374</v>
      </c>
      <c r="AD103" t="s">
        <v>1987</v>
      </c>
      <c r="AE103">
        <v>0</v>
      </c>
      <c r="AF103" t="s">
        <v>18</v>
      </c>
    </row>
    <row r="104" spans="1:32" x14ac:dyDescent="0.3">
      <c r="A104" t="s">
        <v>2043</v>
      </c>
      <c r="B104" t="s">
        <v>1</v>
      </c>
      <c r="C104">
        <v>0.3</v>
      </c>
      <c r="D104" t="s">
        <v>588</v>
      </c>
      <c r="E104" t="s">
        <v>2323</v>
      </c>
      <c r="F104">
        <v>0.15</v>
      </c>
      <c r="G104" t="s">
        <v>2329</v>
      </c>
      <c r="H104" t="s">
        <v>1996</v>
      </c>
      <c r="I104" t="s">
        <v>4</v>
      </c>
      <c r="J104">
        <v>94</v>
      </c>
      <c r="K104" t="s">
        <v>5</v>
      </c>
      <c r="L104">
        <v>29</v>
      </c>
      <c r="M104" t="s">
        <v>6</v>
      </c>
      <c r="N104">
        <v>-63.684362657965998</v>
      </c>
      <c r="O104" t="s">
        <v>7</v>
      </c>
      <c r="P104">
        <v>-0.67749321976559496</v>
      </c>
      <c r="Q104" t="s">
        <v>8</v>
      </c>
      <c r="R104">
        <v>1.70113316927998</v>
      </c>
      <c r="S104" t="s">
        <v>9</v>
      </c>
      <c r="T104">
        <v>-1.7387265318013101</v>
      </c>
      <c r="U104" t="s">
        <v>10</v>
      </c>
      <c r="V104">
        <v>0.45954755774337402</v>
      </c>
      <c r="W104" t="s">
        <v>11</v>
      </c>
      <c r="X104" t="s">
        <v>2375</v>
      </c>
      <c r="Y104" t="s">
        <v>720</v>
      </c>
      <c r="Z104">
        <v>0</v>
      </c>
      <c r="AA104" t="s">
        <v>14</v>
      </c>
      <c r="AB104" t="s">
        <v>15</v>
      </c>
      <c r="AC104" t="s">
        <v>2376</v>
      </c>
      <c r="AD104" t="s">
        <v>720</v>
      </c>
      <c r="AE104">
        <v>0</v>
      </c>
      <c r="AF104" t="s">
        <v>18</v>
      </c>
    </row>
    <row r="105" spans="1:32" x14ac:dyDescent="0.3">
      <c r="A105" t="s">
        <v>2043</v>
      </c>
      <c r="B105" t="s">
        <v>1</v>
      </c>
      <c r="C105">
        <v>0.3</v>
      </c>
      <c r="D105" t="s">
        <v>588</v>
      </c>
      <c r="E105" t="s">
        <v>2323</v>
      </c>
      <c r="F105">
        <v>0.15</v>
      </c>
      <c r="G105" t="s">
        <v>2329</v>
      </c>
      <c r="H105" t="s">
        <v>1997</v>
      </c>
      <c r="I105" t="s">
        <v>4</v>
      </c>
      <c r="J105">
        <v>94</v>
      </c>
      <c r="K105" t="s">
        <v>5</v>
      </c>
      <c r="L105">
        <v>34</v>
      </c>
      <c r="M105" t="s">
        <v>6</v>
      </c>
      <c r="N105">
        <v>-46.884362657965902</v>
      </c>
      <c r="O105" t="s">
        <v>7</v>
      </c>
      <c r="P105">
        <v>-0.49876981551027599</v>
      </c>
      <c r="Q105" t="s">
        <v>8</v>
      </c>
      <c r="R105">
        <v>1.79508417379763</v>
      </c>
      <c r="S105" t="s">
        <v>9</v>
      </c>
      <c r="T105">
        <v>-1.79862040945142</v>
      </c>
      <c r="U105" t="s">
        <v>10</v>
      </c>
      <c r="V105">
        <v>0.50512204753383205</v>
      </c>
      <c r="W105" t="s">
        <v>11</v>
      </c>
      <c r="X105" t="s">
        <v>2375</v>
      </c>
      <c r="Y105" t="s">
        <v>720</v>
      </c>
      <c r="Z105">
        <v>0</v>
      </c>
      <c r="AA105" t="s">
        <v>14</v>
      </c>
      <c r="AB105" t="s">
        <v>15</v>
      </c>
      <c r="AC105" t="s">
        <v>2376</v>
      </c>
      <c r="AD105" t="s">
        <v>720</v>
      </c>
      <c r="AE105">
        <v>0</v>
      </c>
      <c r="AF105" t="s">
        <v>18</v>
      </c>
    </row>
    <row r="106" spans="1:32" x14ac:dyDescent="0.3">
      <c r="A106" t="s">
        <v>2043</v>
      </c>
      <c r="B106" t="s">
        <v>1</v>
      </c>
      <c r="C106">
        <v>0.3</v>
      </c>
      <c r="D106" t="s">
        <v>588</v>
      </c>
      <c r="E106" t="s">
        <v>2323</v>
      </c>
      <c r="F106">
        <v>0.15</v>
      </c>
      <c r="G106" t="s">
        <v>2332</v>
      </c>
      <c r="H106" t="s">
        <v>1999</v>
      </c>
      <c r="I106" t="s">
        <v>4</v>
      </c>
      <c r="J106">
        <v>87</v>
      </c>
      <c r="K106" t="s">
        <v>5</v>
      </c>
      <c r="L106">
        <v>23</v>
      </c>
      <c r="M106" t="s">
        <v>6</v>
      </c>
      <c r="N106">
        <v>-48.0830586959462</v>
      </c>
      <c r="O106" t="s">
        <v>7</v>
      </c>
      <c r="P106">
        <v>-0.55267883558558895</v>
      </c>
      <c r="Q106" t="s">
        <v>8</v>
      </c>
      <c r="R106">
        <v>2.0183110102637398</v>
      </c>
      <c r="S106" t="s">
        <v>9</v>
      </c>
      <c r="T106">
        <v>-1.4766283114376899</v>
      </c>
      <c r="U106" t="s">
        <v>10</v>
      </c>
      <c r="V106">
        <v>0.32828641826139898</v>
      </c>
      <c r="W106" t="s">
        <v>11</v>
      </c>
      <c r="X106" t="s">
        <v>2377</v>
      </c>
      <c r="Y106" t="s">
        <v>77</v>
      </c>
      <c r="Z106">
        <v>0</v>
      </c>
      <c r="AA106" t="s">
        <v>14</v>
      </c>
      <c r="AB106" t="s">
        <v>15</v>
      </c>
      <c r="AC106" t="s">
        <v>2378</v>
      </c>
      <c r="AD106" t="s">
        <v>1987</v>
      </c>
      <c r="AE106">
        <v>0</v>
      </c>
      <c r="AF106" t="s">
        <v>18</v>
      </c>
    </row>
    <row r="107" spans="1:32" x14ac:dyDescent="0.3">
      <c r="A107" t="s">
        <v>2043</v>
      </c>
      <c r="B107" t="s">
        <v>1</v>
      </c>
      <c r="C107">
        <v>0.3</v>
      </c>
      <c r="D107" t="s">
        <v>588</v>
      </c>
      <c r="E107" t="s">
        <v>2323</v>
      </c>
      <c r="F107">
        <v>0.15</v>
      </c>
      <c r="G107" t="s">
        <v>2332</v>
      </c>
      <c r="H107" t="s">
        <v>2002</v>
      </c>
      <c r="I107" t="s">
        <v>4</v>
      </c>
      <c r="J107">
        <v>87</v>
      </c>
      <c r="K107" t="s">
        <v>5</v>
      </c>
      <c r="L107">
        <v>26</v>
      </c>
      <c r="M107" t="s">
        <v>6</v>
      </c>
      <c r="N107">
        <v>-57.458394822062999</v>
      </c>
      <c r="O107" t="s">
        <v>7</v>
      </c>
      <c r="P107">
        <v>-0.66044131979382803</v>
      </c>
      <c r="Q107" t="s">
        <v>8</v>
      </c>
      <c r="R107">
        <v>2.0684470515096001</v>
      </c>
      <c r="S107" t="s">
        <v>9</v>
      </c>
      <c r="T107">
        <v>-1.82357406821824</v>
      </c>
      <c r="U107" t="s">
        <v>10</v>
      </c>
      <c r="V107">
        <v>0.38599965504587902</v>
      </c>
      <c r="W107" t="s">
        <v>11</v>
      </c>
      <c r="X107" t="s">
        <v>2379</v>
      </c>
      <c r="Y107" t="s">
        <v>595</v>
      </c>
      <c r="Z107">
        <v>0</v>
      </c>
      <c r="AA107" t="s">
        <v>14</v>
      </c>
      <c r="AB107" t="s">
        <v>15</v>
      </c>
      <c r="AC107" t="s">
        <v>2378</v>
      </c>
      <c r="AD107" t="s">
        <v>1987</v>
      </c>
      <c r="AE107">
        <v>0</v>
      </c>
      <c r="AF107" t="s">
        <v>18</v>
      </c>
    </row>
    <row r="108" spans="1:32" x14ac:dyDescent="0.3">
      <c r="A108" t="s">
        <v>2043</v>
      </c>
      <c r="B108" t="s">
        <v>1</v>
      </c>
      <c r="C108">
        <v>0.3</v>
      </c>
      <c r="D108" t="s">
        <v>588</v>
      </c>
      <c r="E108" t="s">
        <v>2323</v>
      </c>
      <c r="F108">
        <v>0.15</v>
      </c>
      <c r="G108" t="s">
        <v>2332</v>
      </c>
      <c r="H108" t="s">
        <v>2004</v>
      </c>
      <c r="I108" t="s">
        <v>4</v>
      </c>
      <c r="J108">
        <v>87</v>
      </c>
      <c r="K108" t="s">
        <v>5</v>
      </c>
      <c r="L108">
        <v>26</v>
      </c>
      <c r="M108" t="s">
        <v>6</v>
      </c>
      <c r="N108">
        <v>-72.127113453579696</v>
      </c>
      <c r="O108" t="s">
        <v>7</v>
      </c>
      <c r="P108">
        <v>-0.82904728107562797</v>
      </c>
      <c r="Q108" t="s">
        <v>8</v>
      </c>
      <c r="R108">
        <v>2.0684470515096001</v>
      </c>
      <c r="S108" t="s">
        <v>9</v>
      </c>
      <c r="T108">
        <v>-2.0640448654562098</v>
      </c>
      <c r="U108" t="s">
        <v>10</v>
      </c>
      <c r="V108">
        <v>0.41895066216676602</v>
      </c>
      <c r="W108" t="s">
        <v>11</v>
      </c>
      <c r="X108" t="s">
        <v>2379</v>
      </c>
      <c r="Y108" t="s">
        <v>595</v>
      </c>
      <c r="Z108">
        <v>0</v>
      </c>
      <c r="AA108" t="s">
        <v>14</v>
      </c>
      <c r="AB108" t="s">
        <v>15</v>
      </c>
      <c r="AC108" t="s">
        <v>2378</v>
      </c>
      <c r="AD108" t="s">
        <v>1987</v>
      </c>
      <c r="AE108">
        <v>0</v>
      </c>
      <c r="AF108" t="s">
        <v>18</v>
      </c>
    </row>
    <row r="109" spans="1:32" x14ac:dyDescent="0.3">
      <c r="A109" t="s">
        <v>2043</v>
      </c>
      <c r="B109" t="s">
        <v>1</v>
      </c>
      <c r="C109">
        <v>0.3</v>
      </c>
      <c r="D109" t="s">
        <v>588</v>
      </c>
      <c r="E109" t="s">
        <v>2323</v>
      </c>
      <c r="F109">
        <v>0.15</v>
      </c>
      <c r="G109" t="s">
        <v>2332</v>
      </c>
      <c r="H109" t="s">
        <v>2005</v>
      </c>
      <c r="I109" t="s">
        <v>4</v>
      </c>
      <c r="J109">
        <v>87</v>
      </c>
      <c r="K109" t="s">
        <v>5</v>
      </c>
      <c r="L109">
        <v>28</v>
      </c>
      <c r="M109" t="s">
        <v>6</v>
      </c>
      <c r="N109">
        <v>-80.207113453579694</v>
      </c>
      <c r="O109" t="s">
        <v>7</v>
      </c>
      <c r="P109">
        <v>-0.92192084429401999</v>
      </c>
      <c r="Q109" t="s">
        <v>8</v>
      </c>
      <c r="R109">
        <v>2.11621283228637</v>
      </c>
      <c r="S109" t="s">
        <v>9</v>
      </c>
      <c r="T109">
        <v>-2.3637469958914901</v>
      </c>
      <c r="U109" t="s">
        <v>10</v>
      </c>
      <c r="V109">
        <v>0.48364248780124702</v>
      </c>
      <c r="W109" t="s">
        <v>11</v>
      </c>
      <c r="X109" t="s">
        <v>2379</v>
      </c>
      <c r="Y109" t="s">
        <v>595</v>
      </c>
      <c r="Z109">
        <v>0</v>
      </c>
      <c r="AA109" t="s">
        <v>14</v>
      </c>
      <c r="AB109" t="s">
        <v>15</v>
      </c>
      <c r="AC109" t="s">
        <v>2378</v>
      </c>
      <c r="AD109" t="s">
        <v>1987</v>
      </c>
      <c r="AE109">
        <v>0</v>
      </c>
      <c r="AF109" t="s">
        <v>18</v>
      </c>
    </row>
    <row r="110" spans="1:32" x14ac:dyDescent="0.3">
      <c r="A110" t="s">
        <v>2043</v>
      </c>
      <c r="B110" t="s">
        <v>1</v>
      </c>
      <c r="C110">
        <v>0.3</v>
      </c>
      <c r="D110" t="s">
        <v>588</v>
      </c>
      <c r="E110" t="s">
        <v>2323</v>
      </c>
      <c r="F110">
        <v>0.15</v>
      </c>
      <c r="G110" t="s">
        <v>2347</v>
      </c>
      <c r="H110" t="s">
        <v>1979</v>
      </c>
      <c r="I110" t="s">
        <v>4</v>
      </c>
      <c r="J110">
        <v>92</v>
      </c>
      <c r="K110" t="s">
        <v>5</v>
      </c>
      <c r="L110">
        <v>49</v>
      </c>
      <c r="M110" t="s">
        <v>6</v>
      </c>
      <c r="N110">
        <v>-70.982225343352496</v>
      </c>
      <c r="O110" t="s">
        <v>7</v>
      </c>
      <c r="P110">
        <v>-0.77154592764513596</v>
      </c>
      <c r="Q110" t="s">
        <v>8</v>
      </c>
      <c r="R110">
        <v>1.1673245273461501</v>
      </c>
      <c r="S110" t="s">
        <v>9</v>
      </c>
      <c r="T110">
        <v>-2.9809564461235798</v>
      </c>
      <c r="U110" t="s">
        <v>10</v>
      </c>
      <c r="V110">
        <v>0.59601426051404105</v>
      </c>
      <c r="W110" t="s">
        <v>11</v>
      </c>
      <c r="X110" t="s">
        <v>2348</v>
      </c>
      <c r="Y110" t="s">
        <v>720</v>
      </c>
      <c r="Z110">
        <v>0</v>
      </c>
      <c r="AA110" t="s">
        <v>14</v>
      </c>
      <c r="AB110" t="s">
        <v>15</v>
      </c>
      <c r="AC110" t="s">
        <v>2380</v>
      </c>
      <c r="AD110" t="s">
        <v>720</v>
      </c>
      <c r="AE110">
        <v>0</v>
      </c>
      <c r="AF110" t="s">
        <v>18</v>
      </c>
    </row>
    <row r="111" spans="1:32" x14ac:dyDescent="0.3">
      <c r="A111" t="s">
        <v>2043</v>
      </c>
      <c r="B111" t="s">
        <v>1</v>
      </c>
      <c r="C111">
        <v>0.3</v>
      </c>
      <c r="D111" t="s">
        <v>588</v>
      </c>
      <c r="E111" t="s">
        <v>2323</v>
      </c>
      <c r="F111">
        <v>0.15</v>
      </c>
      <c r="G111" t="s">
        <v>2347</v>
      </c>
      <c r="H111" t="s">
        <v>1982</v>
      </c>
      <c r="I111" t="s">
        <v>4</v>
      </c>
      <c r="J111">
        <v>92</v>
      </c>
      <c r="K111" t="s">
        <v>5</v>
      </c>
      <c r="L111">
        <v>54</v>
      </c>
      <c r="M111" t="s">
        <v>6</v>
      </c>
      <c r="N111">
        <v>-102.812225343352</v>
      </c>
      <c r="O111" t="s">
        <v>7</v>
      </c>
      <c r="P111">
        <v>-1.1175241885147</v>
      </c>
      <c r="Q111" t="s">
        <v>8</v>
      </c>
      <c r="R111">
        <v>1.2779426266659499</v>
      </c>
      <c r="S111" t="s">
        <v>9</v>
      </c>
      <c r="T111">
        <v>-4.5216086100872097</v>
      </c>
      <c r="U111" t="s">
        <v>10</v>
      </c>
      <c r="V111">
        <v>0.80934503965833204</v>
      </c>
      <c r="W111" t="s">
        <v>11</v>
      </c>
      <c r="X111" t="s">
        <v>2348</v>
      </c>
      <c r="Y111" t="s">
        <v>720</v>
      </c>
      <c r="Z111">
        <v>0</v>
      </c>
      <c r="AA111" t="s">
        <v>14</v>
      </c>
      <c r="AB111" t="s">
        <v>15</v>
      </c>
      <c r="AC111" t="s">
        <v>2381</v>
      </c>
      <c r="AD111" t="s">
        <v>1987</v>
      </c>
      <c r="AE111">
        <v>0</v>
      </c>
      <c r="AF111" t="s">
        <v>18</v>
      </c>
    </row>
    <row r="112" spans="1:32" x14ac:dyDescent="0.3">
      <c r="A112" t="s">
        <v>2043</v>
      </c>
      <c r="B112" t="s">
        <v>1</v>
      </c>
      <c r="C112">
        <v>0.3</v>
      </c>
      <c r="D112" t="s">
        <v>588</v>
      </c>
      <c r="E112" t="s">
        <v>2323</v>
      </c>
      <c r="F112">
        <v>0.15</v>
      </c>
      <c r="G112" t="s">
        <v>2347</v>
      </c>
      <c r="H112" t="s">
        <v>1985</v>
      </c>
      <c r="I112" t="s">
        <v>4</v>
      </c>
      <c r="J112">
        <v>92</v>
      </c>
      <c r="K112" t="s">
        <v>5</v>
      </c>
      <c r="L112">
        <v>57</v>
      </c>
      <c r="M112" t="s">
        <v>6</v>
      </c>
      <c r="N112">
        <v>-115.77222534335201</v>
      </c>
      <c r="O112" t="s">
        <v>7</v>
      </c>
      <c r="P112">
        <v>-1.2583937537320899</v>
      </c>
      <c r="Q112" t="s">
        <v>8</v>
      </c>
      <c r="R112">
        <v>1.3248930147361699</v>
      </c>
      <c r="S112" t="s">
        <v>9</v>
      </c>
      <c r="T112">
        <v>-5.4654607766661201</v>
      </c>
      <c r="U112" t="s">
        <v>10</v>
      </c>
      <c r="V112">
        <v>0.940260782700299</v>
      </c>
      <c r="W112" t="s">
        <v>11</v>
      </c>
      <c r="X112" t="s">
        <v>2348</v>
      </c>
      <c r="Y112" t="s">
        <v>720</v>
      </c>
      <c r="Z112">
        <v>0</v>
      </c>
      <c r="AA112" t="s">
        <v>14</v>
      </c>
      <c r="AB112" t="s">
        <v>15</v>
      </c>
      <c r="AC112" t="s">
        <v>2382</v>
      </c>
      <c r="AD112" t="s">
        <v>1987</v>
      </c>
      <c r="AE112">
        <v>0</v>
      </c>
      <c r="AF112" t="s">
        <v>18</v>
      </c>
    </row>
    <row r="113" spans="1:32" x14ac:dyDescent="0.3">
      <c r="A113" t="s">
        <v>2043</v>
      </c>
      <c r="B113" t="s">
        <v>1</v>
      </c>
      <c r="C113">
        <v>0.3</v>
      </c>
      <c r="D113" t="s">
        <v>588</v>
      </c>
      <c r="E113" t="s">
        <v>2323</v>
      </c>
      <c r="F113">
        <v>0.15</v>
      </c>
      <c r="G113" t="s">
        <v>2347</v>
      </c>
      <c r="H113" t="s">
        <v>1988</v>
      </c>
      <c r="I113" t="s">
        <v>4</v>
      </c>
      <c r="J113">
        <v>92</v>
      </c>
      <c r="K113" t="s">
        <v>5</v>
      </c>
      <c r="L113">
        <v>59</v>
      </c>
      <c r="M113" t="s">
        <v>6</v>
      </c>
      <c r="N113">
        <v>-135.63222534335199</v>
      </c>
      <c r="O113" t="s">
        <v>7</v>
      </c>
      <c r="P113">
        <v>-1.47426331894948</v>
      </c>
      <c r="Q113" t="s">
        <v>8</v>
      </c>
      <c r="R113">
        <v>1.3472695227112099</v>
      </c>
      <c r="S113" t="s">
        <v>9</v>
      </c>
      <c r="T113">
        <v>-6.5188220358580002</v>
      </c>
      <c r="U113" t="s">
        <v>10</v>
      </c>
      <c r="V113">
        <v>1.1144745685848101</v>
      </c>
      <c r="W113" t="s">
        <v>11</v>
      </c>
      <c r="X113" t="s">
        <v>2351</v>
      </c>
      <c r="Y113" t="s">
        <v>720</v>
      </c>
      <c r="Z113">
        <v>0</v>
      </c>
      <c r="AA113" t="s">
        <v>14</v>
      </c>
      <c r="AB113" t="s">
        <v>15</v>
      </c>
      <c r="AC113" t="s">
        <v>2383</v>
      </c>
      <c r="AD113" t="s">
        <v>720</v>
      </c>
      <c r="AE113">
        <v>0</v>
      </c>
      <c r="AF113" t="s">
        <v>18</v>
      </c>
    </row>
    <row r="114" spans="1:32" x14ac:dyDescent="0.3">
      <c r="A114" t="s">
        <v>2043</v>
      </c>
      <c r="B114" t="s">
        <v>1</v>
      </c>
      <c r="C114">
        <v>0.3</v>
      </c>
      <c r="D114" t="s">
        <v>588</v>
      </c>
      <c r="E114" t="s">
        <v>2323</v>
      </c>
      <c r="F114">
        <v>0.15</v>
      </c>
      <c r="G114" t="s">
        <v>2355</v>
      </c>
      <c r="H114" t="s">
        <v>1991</v>
      </c>
      <c r="I114" t="s">
        <v>4</v>
      </c>
      <c r="J114">
        <v>94</v>
      </c>
      <c r="K114" t="s">
        <v>5</v>
      </c>
      <c r="L114">
        <v>45</v>
      </c>
      <c r="M114" t="s">
        <v>6</v>
      </c>
      <c r="N114">
        <v>-53.793597046980203</v>
      </c>
      <c r="O114" t="s">
        <v>7</v>
      </c>
      <c r="P114">
        <v>-0.57227230901042803</v>
      </c>
      <c r="Q114" t="s">
        <v>8</v>
      </c>
      <c r="R114">
        <v>1.0573741537974299</v>
      </c>
      <c r="S114" t="s">
        <v>9</v>
      </c>
      <c r="T114">
        <v>-2.0688864075074398</v>
      </c>
      <c r="U114" t="s">
        <v>10</v>
      </c>
      <c r="V114">
        <v>0.31836935549023498</v>
      </c>
      <c r="W114" t="s">
        <v>11</v>
      </c>
      <c r="X114" t="s">
        <v>2384</v>
      </c>
      <c r="Y114" t="s">
        <v>720</v>
      </c>
      <c r="Z114">
        <v>0</v>
      </c>
      <c r="AA114" t="s">
        <v>14</v>
      </c>
      <c r="AB114" t="s">
        <v>15</v>
      </c>
      <c r="AC114" t="s">
        <v>2385</v>
      </c>
      <c r="AD114" t="s">
        <v>720</v>
      </c>
      <c r="AE114">
        <v>0</v>
      </c>
      <c r="AF114" t="s">
        <v>18</v>
      </c>
    </row>
    <row r="115" spans="1:32" x14ac:dyDescent="0.3">
      <c r="A115" t="s">
        <v>2043</v>
      </c>
      <c r="B115" t="s">
        <v>1</v>
      </c>
      <c r="C115">
        <v>0.3</v>
      </c>
      <c r="D115" t="s">
        <v>588</v>
      </c>
      <c r="E115" t="s">
        <v>2323</v>
      </c>
      <c r="F115">
        <v>0.15</v>
      </c>
      <c r="G115" t="s">
        <v>2355</v>
      </c>
      <c r="H115" t="s">
        <v>1994</v>
      </c>
      <c r="I115" t="s">
        <v>4</v>
      </c>
      <c r="J115">
        <v>94</v>
      </c>
      <c r="K115" t="s">
        <v>5</v>
      </c>
      <c r="L115">
        <v>52</v>
      </c>
      <c r="M115" t="s">
        <v>6</v>
      </c>
      <c r="N115">
        <v>-86.686543986949005</v>
      </c>
      <c r="O115" t="s">
        <v>7</v>
      </c>
      <c r="P115">
        <v>-0.92219727645690397</v>
      </c>
      <c r="Q115" t="s">
        <v>8</v>
      </c>
      <c r="R115">
        <v>1.11724741288511</v>
      </c>
      <c r="S115" t="s">
        <v>9</v>
      </c>
      <c r="T115">
        <v>-3.4472240346898801</v>
      </c>
      <c r="U115" t="s">
        <v>10</v>
      </c>
      <c r="V115">
        <v>0.49815899963215099</v>
      </c>
      <c r="W115" t="s">
        <v>11</v>
      </c>
      <c r="X115" t="s">
        <v>2386</v>
      </c>
      <c r="Y115" t="s">
        <v>1987</v>
      </c>
      <c r="Z115">
        <v>0</v>
      </c>
      <c r="AA115" t="s">
        <v>14</v>
      </c>
      <c r="AB115" t="s">
        <v>15</v>
      </c>
      <c r="AC115" t="s">
        <v>2387</v>
      </c>
      <c r="AD115" t="s">
        <v>1987</v>
      </c>
      <c r="AE115">
        <v>0</v>
      </c>
      <c r="AF115" t="s">
        <v>18</v>
      </c>
    </row>
    <row r="116" spans="1:32" x14ac:dyDescent="0.3">
      <c r="A116" t="s">
        <v>2043</v>
      </c>
      <c r="B116" t="s">
        <v>1</v>
      </c>
      <c r="C116">
        <v>0.3</v>
      </c>
      <c r="D116" t="s">
        <v>588</v>
      </c>
      <c r="E116" t="s">
        <v>2323</v>
      </c>
      <c r="F116">
        <v>0.15</v>
      </c>
      <c r="G116" t="s">
        <v>2355</v>
      </c>
      <c r="H116" t="s">
        <v>1996</v>
      </c>
      <c r="I116" t="s">
        <v>4</v>
      </c>
      <c r="J116">
        <v>94</v>
      </c>
      <c r="K116" t="s">
        <v>5</v>
      </c>
      <c r="L116">
        <v>56</v>
      </c>
      <c r="M116" t="s">
        <v>6</v>
      </c>
      <c r="N116">
        <v>-123.77654398694899</v>
      </c>
      <c r="O116" t="s">
        <v>7</v>
      </c>
      <c r="P116">
        <v>-1.31677174454201</v>
      </c>
      <c r="Q116" t="s">
        <v>8</v>
      </c>
      <c r="R116">
        <v>1.1926225976790299</v>
      </c>
      <c r="S116" t="s">
        <v>9</v>
      </c>
      <c r="T116">
        <v>-5.0148265646572403</v>
      </c>
      <c r="U116" t="s">
        <v>10</v>
      </c>
      <c r="V116">
        <v>0.72624767039850902</v>
      </c>
      <c r="W116" t="s">
        <v>11</v>
      </c>
      <c r="X116" t="s">
        <v>2386</v>
      </c>
      <c r="Y116" t="s">
        <v>1987</v>
      </c>
      <c r="Z116">
        <v>0</v>
      </c>
      <c r="AA116" t="s">
        <v>14</v>
      </c>
      <c r="AB116" t="s">
        <v>15</v>
      </c>
      <c r="AC116" t="s">
        <v>2388</v>
      </c>
      <c r="AD116" t="s">
        <v>720</v>
      </c>
      <c r="AE116">
        <v>0</v>
      </c>
      <c r="AF116" t="s">
        <v>18</v>
      </c>
    </row>
    <row r="117" spans="1:32" x14ac:dyDescent="0.3">
      <c r="A117" t="s">
        <v>2043</v>
      </c>
      <c r="B117" t="s">
        <v>1</v>
      </c>
      <c r="C117">
        <v>0.3</v>
      </c>
      <c r="D117" t="s">
        <v>588</v>
      </c>
      <c r="E117" t="s">
        <v>2323</v>
      </c>
      <c r="F117">
        <v>0.15</v>
      </c>
      <c r="G117" t="s">
        <v>2355</v>
      </c>
      <c r="H117" t="s">
        <v>1997</v>
      </c>
      <c r="I117" t="s">
        <v>4</v>
      </c>
      <c r="J117">
        <v>94</v>
      </c>
      <c r="K117" t="s">
        <v>5</v>
      </c>
      <c r="L117">
        <v>61</v>
      </c>
      <c r="M117" t="s">
        <v>6</v>
      </c>
      <c r="N117">
        <v>-134.86654398694901</v>
      </c>
      <c r="O117" t="s">
        <v>7</v>
      </c>
      <c r="P117">
        <v>-1.4347504679462599</v>
      </c>
      <c r="Q117" t="s">
        <v>8</v>
      </c>
      <c r="R117">
        <v>1.27182264059748</v>
      </c>
      <c r="S117" t="s">
        <v>9</v>
      </c>
      <c r="T117">
        <v>-6.4378098504059196</v>
      </c>
      <c r="U117" t="s">
        <v>10</v>
      </c>
      <c r="V117">
        <v>0.89706739953233305</v>
      </c>
      <c r="W117" t="s">
        <v>11</v>
      </c>
      <c r="X117" t="s">
        <v>2386</v>
      </c>
      <c r="Y117" t="s">
        <v>1987</v>
      </c>
      <c r="Z117">
        <v>0</v>
      </c>
      <c r="AA117" t="s">
        <v>14</v>
      </c>
      <c r="AB117" t="s">
        <v>15</v>
      </c>
      <c r="AC117" t="s">
        <v>2389</v>
      </c>
      <c r="AD117" t="s">
        <v>2013</v>
      </c>
      <c r="AE117">
        <v>0</v>
      </c>
      <c r="AF117" t="s">
        <v>18</v>
      </c>
    </row>
    <row r="118" spans="1:32" x14ac:dyDescent="0.3">
      <c r="A118" t="s">
        <v>2043</v>
      </c>
      <c r="B118" t="s">
        <v>1</v>
      </c>
      <c r="C118">
        <v>0.3</v>
      </c>
      <c r="D118" t="s">
        <v>588</v>
      </c>
      <c r="E118" t="s">
        <v>2323</v>
      </c>
      <c r="F118">
        <v>0.15</v>
      </c>
      <c r="G118" t="s">
        <v>2361</v>
      </c>
      <c r="H118" t="s">
        <v>1999</v>
      </c>
      <c r="I118" t="s">
        <v>4</v>
      </c>
      <c r="J118">
        <v>87</v>
      </c>
      <c r="K118" t="s">
        <v>5</v>
      </c>
      <c r="L118">
        <v>44</v>
      </c>
      <c r="M118" t="s">
        <v>6</v>
      </c>
      <c r="N118">
        <v>-19.7110104214632</v>
      </c>
      <c r="O118" t="s">
        <v>7</v>
      </c>
      <c r="P118">
        <v>-0.22656333817773799</v>
      </c>
      <c r="Q118" t="s">
        <v>8</v>
      </c>
      <c r="R118">
        <v>1.5478876908938</v>
      </c>
      <c r="S118" t="s">
        <v>9</v>
      </c>
      <c r="T118">
        <v>-2.04228067025094</v>
      </c>
      <c r="U118" t="s">
        <v>10</v>
      </c>
      <c r="V118">
        <v>0.30047836156498497</v>
      </c>
      <c r="W118" t="s">
        <v>11</v>
      </c>
      <c r="X118" t="s">
        <v>2390</v>
      </c>
      <c r="Y118" t="s">
        <v>77</v>
      </c>
      <c r="Z118">
        <v>0</v>
      </c>
      <c r="AA118" t="s">
        <v>14</v>
      </c>
      <c r="AB118" t="s">
        <v>15</v>
      </c>
      <c r="AC118" t="s">
        <v>2390</v>
      </c>
      <c r="AD118" t="s">
        <v>77</v>
      </c>
      <c r="AE118">
        <v>0</v>
      </c>
      <c r="AF118" t="s">
        <v>18</v>
      </c>
    </row>
    <row r="119" spans="1:32" x14ac:dyDescent="0.3">
      <c r="A119" t="s">
        <v>2043</v>
      </c>
      <c r="B119" t="s">
        <v>1</v>
      </c>
      <c r="C119">
        <v>0.3</v>
      </c>
      <c r="D119" t="s">
        <v>588</v>
      </c>
      <c r="E119" t="s">
        <v>2323</v>
      </c>
      <c r="F119">
        <v>0.15</v>
      </c>
      <c r="G119" t="s">
        <v>2361</v>
      </c>
      <c r="H119" t="s">
        <v>2002</v>
      </c>
      <c r="I119" t="s">
        <v>4</v>
      </c>
      <c r="J119">
        <v>87</v>
      </c>
      <c r="K119" t="s">
        <v>5</v>
      </c>
      <c r="L119">
        <v>52</v>
      </c>
      <c r="M119" t="s">
        <v>6</v>
      </c>
      <c r="N119">
        <v>-9.6991081358310502</v>
      </c>
      <c r="O119" t="s">
        <v>7</v>
      </c>
      <c r="P119">
        <v>-0.111484001561276</v>
      </c>
      <c r="Q119" t="s">
        <v>8</v>
      </c>
      <c r="R119">
        <v>1.5602489023986099</v>
      </c>
      <c r="S119" t="s">
        <v>9</v>
      </c>
      <c r="T119">
        <v>-2.59520145887311</v>
      </c>
      <c r="U119" t="s">
        <v>10</v>
      </c>
      <c r="V119">
        <v>0.34198623211031098</v>
      </c>
      <c r="W119" t="s">
        <v>11</v>
      </c>
      <c r="X119" t="s">
        <v>2390</v>
      </c>
      <c r="Y119" t="s">
        <v>77</v>
      </c>
      <c r="Z119">
        <v>0</v>
      </c>
      <c r="AA119" t="s">
        <v>14</v>
      </c>
      <c r="AB119" t="s">
        <v>15</v>
      </c>
      <c r="AC119" t="s">
        <v>2390</v>
      </c>
      <c r="AD119" t="s">
        <v>77</v>
      </c>
      <c r="AE119">
        <v>0</v>
      </c>
      <c r="AF119" t="s">
        <v>18</v>
      </c>
    </row>
    <row r="120" spans="1:32" x14ac:dyDescent="0.3">
      <c r="A120" t="s">
        <v>2043</v>
      </c>
      <c r="B120" t="s">
        <v>1</v>
      </c>
      <c r="C120">
        <v>0.3</v>
      </c>
      <c r="D120" t="s">
        <v>588</v>
      </c>
      <c r="E120" t="s">
        <v>2323</v>
      </c>
      <c r="F120">
        <v>0.15</v>
      </c>
      <c r="G120" t="s">
        <v>2361</v>
      </c>
      <c r="H120" t="s">
        <v>2004</v>
      </c>
      <c r="I120" t="s">
        <v>4</v>
      </c>
      <c r="J120">
        <v>87</v>
      </c>
      <c r="K120" t="s">
        <v>5</v>
      </c>
      <c r="L120">
        <v>58</v>
      </c>
      <c r="M120" t="s">
        <v>6</v>
      </c>
      <c r="N120">
        <v>-70.523207921789805</v>
      </c>
      <c r="O120" t="s">
        <v>7</v>
      </c>
      <c r="P120">
        <v>-0.81061158530792898</v>
      </c>
      <c r="Q120" t="s">
        <v>8</v>
      </c>
      <c r="R120">
        <v>1.4804807312811199</v>
      </c>
      <c r="S120" t="s">
        <v>9</v>
      </c>
      <c r="T120">
        <v>-5.3927962184860299</v>
      </c>
      <c r="U120" t="s">
        <v>10</v>
      </c>
      <c r="V120">
        <v>0.629068209260504</v>
      </c>
      <c r="W120" t="s">
        <v>11</v>
      </c>
      <c r="X120" t="s">
        <v>2394</v>
      </c>
      <c r="Y120" t="s">
        <v>720</v>
      </c>
      <c r="Z120">
        <v>0</v>
      </c>
      <c r="AA120" t="s">
        <v>14</v>
      </c>
      <c r="AB120" t="s">
        <v>15</v>
      </c>
      <c r="AC120" t="s">
        <v>2395</v>
      </c>
      <c r="AD120" t="s">
        <v>1987</v>
      </c>
      <c r="AE120">
        <v>0</v>
      </c>
      <c r="AF120" t="s">
        <v>18</v>
      </c>
    </row>
    <row r="121" spans="1:32" x14ac:dyDescent="0.3">
      <c r="A121" t="s">
        <v>2043</v>
      </c>
      <c r="B121" t="s">
        <v>1</v>
      </c>
      <c r="C121">
        <v>0.3</v>
      </c>
      <c r="D121" t="s">
        <v>588</v>
      </c>
      <c r="E121" t="s">
        <v>2323</v>
      </c>
      <c r="F121">
        <v>0.15</v>
      </c>
      <c r="G121" t="s">
        <v>2361</v>
      </c>
      <c r="H121" t="s">
        <v>2005</v>
      </c>
      <c r="I121" t="s">
        <v>4</v>
      </c>
      <c r="J121">
        <v>87</v>
      </c>
      <c r="K121" t="s">
        <v>5</v>
      </c>
      <c r="L121">
        <v>59</v>
      </c>
      <c r="M121" t="s">
        <v>6</v>
      </c>
      <c r="N121">
        <v>-99.988615327096198</v>
      </c>
      <c r="O121" t="s">
        <v>7</v>
      </c>
      <c r="P121">
        <v>-1.1492944290470799</v>
      </c>
      <c r="Q121" t="s">
        <v>8</v>
      </c>
      <c r="R121">
        <v>1.4932575935716099</v>
      </c>
      <c r="S121" t="s">
        <v>9</v>
      </c>
      <c r="T121">
        <v>-6.7175290481364804</v>
      </c>
      <c r="U121" t="s">
        <v>10</v>
      </c>
      <c r="V121">
        <v>0.72998205052558995</v>
      </c>
      <c r="W121" t="s">
        <v>11</v>
      </c>
      <c r="X121" t="s">
        <v>2394</v>
      </c>
      <c r="Y121" t="s">
        <v>720</v>
      </c>
      <c r="Z121">
        <v>0</v>
      </c>
      <c r="AA121" t="s">
        <v>14</v>
      </c>
      <c r="AB121" t="s">
        <v>15</v>
      </c>
      <c r="AC121" t="s">
        <v>2396</v>
      </c>
      <c r="AD121" t="s">
        <v>1987</v>
      </c>
      <c r="AE121">
        <v>0</v>
      </c>
      <c r="AF121" t="s">
        <v>18</v>
      </c>
    </row>
    <row r="122" spans="1:32" x14ac:dyDescent="0.3">
      <c r="A122" t="s">
        <v>134</v>
      </c>
      <c r="B122" t="s">
        <v>1</v>
      </c>
      <c r="C122">
        <v>0.5</v>
      </c>
      <c r="D122" t="s">
        <v>588</v>
      </c>
      <c r="E122" t="s">
        <v>2323</v>
      </c>
      <c r="F122">
        <v>0.25</v>
      </c>
      <c r="G122" t="s">
        <v>2324</v>
      </c>
      <c r="H122" t="s">
        <v>1979</v>
      </c>
      <c r="I122" t="s">
        <v>4</v>
      </c>
      <c r="J122">
        <v>135</v>
      </c>
      <c r="K122" t="s">
        <v>5</v>
      </c>
      <c r="L122">
        <v>38</v>
      </c>
      <c r="M122" t="s">
        <v>6</v>
      </c>
      <c r="N122">
        <v>-18.8799999999998</v>
      </c>
      <c r="O122" t="s">
        <v>7</v>
      </c>
      <c r="P122">
        <v>-0.13985185185185101</v>
      </c>
      <c r="Q122" t="s">
        <v>8</v>
      </c>
      <c r="R122">
        <v>2.1402631578947302</v>
      </c>
      <c r="S122" t="s">
        <v>9</v>
      </c>
      <c r="T122">
        <v>-1.03309278350515</v>
      </c>
      <c r="U122" t="s">
        <v>10</v>
      </c>
      <c r="V122">
        <v>0.32464857902849498</v>
      </c>
      <c r="W122" t="s">
        <v>11</v>
      </c>
      <c r="X122" t="s">
        <v>2402</v>
      </c>
      <c r="Y122" t="s">
        <v>691</v>
      </c>
      <c r="Z122">
        <v>0</v>
      </c>
      <c r="AA122" t="s">
        <v>14</v>
      </c>
      <c r="AB122" t="s">
        <v>15</v>
      </c>
      <c r="AC122" t="s">
        <v>2402</v>
      </c>
      <c r="AD122" t="s">
        <v>691</v>
      </c>
      <c r="AE122">
        <v>0</v>
      </c>
      <c r="AF122" t="s">
        <v>18</v>
      </c>
    </row>
    <row r="123" spans="1:32" x14ac:dyDescent="0.3">
      <c r="A123" t="s">
        <v>134</v>
      </c>
      <c r="B123" t="s">
        <v>1</v>
      </c>
      <c r="C123">
        <v>0.5</v>
      </c>
      <c r="D123" t="s">
        <v>588</v>
      </c>
      <c r="E123" t="s">
        <v>2323</v>
      </c>
      <c r="F123">
        <v>0.25</v>
      </c>
      <c r="G123" t="s">
        <v>2324</v>
      </c>
      <c r="H123" t="s">
        <v>1982</v>
      </c>
      <c r="I123" t="s">
        <v>4</v>
      </c>
      <c r="J123">
        <v>135</v>
      </c>
      <c r="K123" t="s">
        <v>5</v>
      </c>
      <c r="L123">
        <v>46</v>
      </c>
      <c r="M123" t="s">
        <v>6</v>
      </c>
      <c r="N123">
        <v>-2.7699999999998899</v>
      </c>
      <c r="O123" t="s">
        <v>7</v>
      </c>
      <c r="P123">
        <v>-2.05185185185177E-2</v>
      </c>
      <c r="Q123" t="s">
        <v>8</v>
      </c>
      <c r="R123">
        <v>2.1571739130434802</v>
      </c>
      <c r="S123" t="s">
        <v>9</v>
      </c>
      <c r="T123">
        <v>-1.1460674157303301</v>
      </c>
      <c r="U123" t="s">
        <v>10</v>
      </c>
      <c r="V123">
        <v>0.35357585823790399</v>
      </c>
      <c r="W123" t="s">
        <v>11</v>
      </c>
      <c r="X123" t="s">
        <v>2402</v>
      </c>
      <c r="Y123" t="s">
        <v>691</v>
      </c>
      <c r="Z123">
        <v>0</v>
      </c>
      <c r="AA123" t="s">
        <v>14</v>
      </c>
      <c r="AB123" t="s">
        <v>15</v>
      </c>
      <c r="AC123" t="s">
        <v>2402</v>
      </c>
      <c r="AD123" t="s">
        <v>691</v>
      </c>
      <c r="AE123">
        <v>0</v>
      </c>
      <c r="AF123" t="s">
        <v>18</v>
      </c>
    </row>
    <row r="124" spans="1:32" x14ac:dyDescent="0.3">
      <c r="A124" t="s">
        <v>134</v>
      </c>
      <c r="B124" t="s">
        <v>1</v>
      </c>
      <c r="C124">
        <v>0.5</v>
      </c>
      <c r="D124" t="s">
        <v>588</v>
      </c>
      <c r="E124" t="s">
        <v>2323</v>
      </c>
      <c r="F124">
        <v>0.25</v>
      </c>
      <c r="G124" t="s">
        <v>2324</v>
      </c>
      <c r="H124" t="s">
        <v>1985</v>
      </c>
      <c r="I124" t="s">
        <v>4</v>
      </c>
      <c r="J124">
        <v>135</v>
      </c>
      <c r="K124" t="s">
        <v>5</v>
      </c>
      <c r="L124">
        <v>46</v>
      </c>
      <c r="M124" t="s">
        <v>6</v>
      </c>
      <c r="N124">
        <v>-12.2899999999999</v>
      </c>
      <c r="O124" t="s">
        <v>7</v>
      </c>
      <c r="P124">
        <v>-9.1037037037036403E-2</v>
      </c>
      <c r="Q124" t="s">
        <v>8</v>
      </c>
      <c r="R124">
        <v>2.1571739130434802</v>
      </c>
      <c r="S124" t="s">
        <v>9</v>
      </c>
      <c r="T124">
        <v>-1.2530337078651601</v>
      </c>
      <c r="U124" t="s">
        <v>10</v>
      </c>
      <c r="V124">
        <v>0.37692386648960902</v>
      </c>
      <c r="W124" t="s">
        <v>11</v>
      </c>
      <c r="X124" t="s">
        <v>2402</v>
      </c>
      <c r="Y124" t="s">
        <v>691</v>
      </c>
      <c r="Z124">
        <v>0</v>
      </c>
      <c r="AA124" t="s">
        <v>14</v>
      </c>
      <c r="AB124" t="s">
        <v>15</v>
      </c>
      <c r="AC124" t="s">
        <v>2402</v>
      </c>
      <c r="AD124" t="s">
        <v>691</v>
      </c>
      <c r="AE124">
        <v>0</v>
      </c>
      <c r="AF124" t="s">
        <v>18</v>
      </c>
    </row>
    <row r="125" spans="1:32" x14ac:dyDescent="0.3">
      <c r="A125" t="s">
        <v>134</v>
      </c>
      <c r="B125" t="s">
        <v>1</v>
      </c>
      <c r="C125">
        <v>0.5</v>
      </c>
      <c r="D125" t="s">
        <v>588</v>
      </c>
      <c r="E125" t="s">
        <v>2323</v>
      </c>
      <c r="F125">
        <v>0.25</v>
      </c>
      <c r="G125" t="s">
        <v>2324</v>
      </c>
      <c r="H125" t="s">
        <v>1988</v>
      </c>
      <c r="I125" t="s">
        <v>4</v>
      </c>
      <c r="J125">
        <v>135</v>
      </c>
      <c r="K125" t="s">
        <v>5</v>
      </c>
      <c r="L125">
        <v>47</v>
      </c>
      <c r="M125" t="s">
        <v>6</v>
      </c>
      <c r="N125">
        <v>-14.989999999999901</v>
      </c>
      <c r="O125" t="s">
        <v>7</v>
      </c>
      <c r="P125">
        <v>-0.111037037037036</v>
      </c>
      <c r="Q125" t="s">
        <v>8</v>
      </c>
      <c r="R125">
        <v>2.15468085106383</v>
      </c>
      <c r="S125" t="s">
        <v>9</v>
      </c>
      <c r="T125">
        <v>-1.32113636363636</v>
      </c>
      <c r="U125" t="s">
        <v>10</v>
      </c>
      <c r="V125">
        <v>0.39026033250940101</v>
      </c>
      <c r="W125" t="s">
        <v>11</v>
      </c>
      <c r="X125" t="s">
        <v>2403</v>
      </c>
      <c r="Y125" t="s">
        <v>2050</v>
      </c>
      <c r="Z125">
        <v>0</v>
      </c>
      <c r="AA125" t="s">
        <v>14</v>
      </c>
      <c r="AB125" t="s">
        <v>15</v>
      </c>
      <c r="AC125" t="s">
        <v>2403</v>
      </c>
      <c r="AD125" t="s">
        <v>2050</v>
      </c>
      <c r="AE125">
        <v>0</v>
      </c>
      <c r="AF125" t="s">
        <v>18</v>
      </c>
    </row>
    <row r="126" spans="1:32" x14ac:dyDescent="0.3">
      <c r="A126" t="s">
        <v>134</v>
      </c>
      <c r="B126" t="s">
        <v>1</v>
      </c>
      <c r="C126">
        <v>0.5</v>
      </c>
      <c r="D126" t="s">
        <v>588</v>
      </c>
      <c r="E126" t="s">
        <v>2323</v>
      </c>
      <c r="F126">
        <v>0.25</v>
      </c>
      <c r="G126" t="s">
        <v>2329</v>
      </c>
      <c r="H126" t="s">
        <v>1991</v>
      </c>
      <c r="I126" t="s">
        <v>4</v>
      </c>
      <c r="J126">
        <v>140</v>
      </c>
      <c r="K126" t="s">
        <v>5</v>
      </c>
      <c r="L126">
        <v>36</v>
      </c>
      <c r="M126" t="s">
        <v>6</v>
      </c>
      <c r="N126">
        <v>-39.887571642135903</v>
      </c>
      <c r="O126" t="s">
        <v>7</v>
      </c>
      <c r="P126">
        <v>-0.28491122601525598</v>
      </c>
      <c r="Q126" t="s">
        <v>8</v>
      </c>
      <c r="R126">
        <v>2.3833333333333302</v>
      </c>
      <c r="S126" t="s">
        <v>9</v>
      </c>
      <c r="T126">
        <v>-1.2085343427128401</v>
      </c>
      <c r="U126" t="s">
        <v>10</v>
      </c>
      <c r="V126">
        <v>0.34359754683658</v>
      </c>
      <c r="W126" t="s">
        <v>11</v>
      </c>
      <c r="X126" t="s">
        <v>2404</v>
      </c>
      <c r="Y126" t="s">
        <v>2405</v>
      </c>
      <c r="Z126">
        <v>0</v>
      </c>
      <c r="AA126" t="s">
        <v>14</v>
      </c>
      <c r="AB126" t="s">
        <v>15</v>
      </c>
      <c r="AC126" t="s">
        <v>2404</v>
      </c>
      <c r="AD126" t="s">
        <v>2405</v>
      </c>
      <c r="AE126">
        <v>0</v>
      </c>
      <c r="AF126" t="s">
        <v>18</v>
      </c>
    </row>
    <row r="127" spans="1:32" x14ac:dyDescent="0.3">
      <c r="A127" t="s">
        <v>134</v>
      </c>
      <c r="B127" t="s">
        <v>1</v>
      </c>
      <c r="C127">
        <v>0.5</v>
      </c>
      <c r="D127" t="s">
        <v>588</v>
      </c>
      <c r="E127" t="s">
        <v>2323</v>
      </c>
      <c r="F127">
        <v>0.25</v>
      </c>
      <c r="G127" t="s">
        <v>2329</v>
      </c>
      <c r="H127" t="s">
        <v>1994</v>
      </c>
      <c r="I127" t="s">
        <v>4</v>
      </c>
      <c r="J127">
        <v>140</v>
      </c>
      <c r="K127" t="s">
        <v>5</v>
      </c>
      <c r="L127">
        <v>48</v>
      </c>
      <c r="M127" t="s">
        <v>6</v>
      </c>
      <c r="N127">
        <v>-36.139999999999901</v>
      </c>
      <c r="O127" t="s">
        <v>7</v>
      </c>
      <c r="P127">
        <v>-0.25814285714285701</v>
      </c>
      <c r="Q127" t="s">
        <v>8</v>
      </c>
      <c r="R127">
        <v>2.4006249999999998</v>
      </c>
      <c r="S127" t="s">
        <v>9</v>
      </c>
      <c r="T127">
        <v>-1.6453260869565201</v>
      </c>
      <c r="U127" t="s">
        <v>10</v>
      </c>
      <c r="V127">
        <v>0.37700400904731401</v>
      </c>
      <c r="W127" t="s">
        <v>11</v>
      </c>
      <c r="X127" t="s">
        <v>2404</v>
      </c>
      <c r="Y127" t="s">
        <v>2405</v>
      </c>
      <c r="Z127">
        <v>0</v>
      </c>
      <c r="AA127" t="s">
        <v>14</v>
      </c>
      <c r="AB127" t="s">
        <v>15</v>
      </c>
      <c r="AC127" t="s">
        <v>2404</v>
      </c>
      <c r="AD127" t="s">
        <v>2405</v>
      </c>
      <c r="AE127">
        <v>0</v>
      </c>
      <c r="AF127" t="s">
        <v>18</v>
      </c>
    </row>
    <row r="128" spans="1:32" x14ac:dyDescent="0.3">
      <c r="A128" t="s">
        <v>134</v>
      </c>
      <c r="B128" t="s">
        <v>1</v>
      </c>
      <c r="C128">
        <v>0.5</v>
      </c>
      <c r="D128" t="s">
        <v>588</v>
      </c>
      <c r="E128" t="s">
        <v>2323</v>
      </c>
      <c r="F128">
        <v>0.25</v>
      </c>
      <c r="G128" t="s">
        <v>2329</v>
      </c>
      <c r="H128" t="s">
        <v>1996</v>
      </c>
      <c r="I128" t="s">
        <v>4</v>
      </c>
      <c r="J128">
        <v>140</v>
      </c>
      <c r="K128" t="s">
        <v>5</v>
      </c>
      <c r="L128">
        <v>52</v>
      </c>
      <c r="M128" t="s">
        <v>6</v>
      </c>
      <c r="N128">
        <v>-34.53</v>
      </c>
      <c r="O128" t="s">
        <v>7</v>
      </c>
      <c r="P128">
        <v>-0.246642857142857</v>
      </c>
      <c r="Q128" t="s">
        <v>8</v>
      </c>
      <c r="R128">
        <v>2.3942307692307598</v>
      </c>
      <c r="S128" t="s">
        <v>9</v>
      </c>
      <c r="T128">
        <v>-1.80715909090909</v>
      </c>
      <c r="U128" t="s">
        <v>10</v>
      </c>
      <c r="V128">
        <v>0.41116944138156902</v>
      </c>
      <c r="W128" t="s">
        <v>11</v>
      </c>
      <c r="X128" t="s">
        <v>825</v>
      </c>
      <c r="Y128" t="s">
        <v>2406</v>
      </c>
      <c r="Z128">
        <v>0</v>
      </c>
      <c r="AA128" t="s">
        <v>14</v>
      </c>
      <c r="AB128" t="s">
        <v>15</v>
      </c>
      <c r="AC128" t="s">
        <v>825</v>
      </c>
      <c r="AD128" t="s">
        <v>2406</v>
      </c>
      <c r="AE128">
        <v>0</v>
      </c>
      <c r="AF128" t="s">
        <v>18</v>
      </c>
    </row>
    <row r="129" spans="1:32" x14ac:dyDescent="0.3">
      <c r="A129" t="s">
        <v>134</v>
      </c>
      <c r="B129" t="s">
        <v>1</v>
      </c>
      <c r="C129">
        <v>0.5</v>
      </c>
      <c r="D129" t="s">
        <v>588</v>
      </c>
      <c r="E129" t="s">
        <v>2323</v>
      </c>
      <c r="F129">
        <v>0.25</v>
      </c>
      <c r="G129" t="s">
        <v>2329</v>
      </c>
      <c r="H129" t="s">
        <v>1997</v>
      </c>
      <c r="I129" t="s">
        <v>4</v>
      </c>
      <c r="J129">
        <v>140</v>
      </c>
      <c r="K129" t="s">
        <v>5</v>
      </c>
      <c r="L129">
        <v>53</v>
      </c>
      <c r="M129" t="s">
        <v>6</v>
      </c>
      <c r="N129">
        <v>-38.08</v>
      </c>
      <c r="O129" t="s">
        <v>7</v>
      </c>
      <c r="P129">
        <v>-0.27200000000000002</v>
      </c>
      <c r="Q129" t="s">
        <v>8</v>
      </c>
      <c r="R129">
        <v>2.3901886792452798</v>
      </c>
      <c r="S129" t="s">
        <v>9</v>
      </c>
      <c r="T129">
        <v>-1.89379310344827</v>
      </c>
      <c r="U129" t="s">
        <v>10</v>
      </c>
      <c r="V129">
        <v>0.42175174703491702</v>
      </c>
      <c r="W129" t="s">
        <v>11</v>
      </c>
      <c r="X129" t="s">
        <v>2403</v>
      </c>
      <c r="Y129" t="s">
        <v>2050</v>
      </c>
      <c r="Z129">
        <v>0</v>
      </c>
      <c r="AA129" t="s">
        <v>14</v>
      </c>
      <c r="AB129" t="s">
        <v>15</v>
      </c>
      <c r="AC129" t="s">
        <v>2403</v>
      </c>
      <c r="AD129" t="s">
        <v>2050</v>
      </c>
      <c r="AE129">
        <v>0</v>
      </c>
      <c r="AF129" t="s">
        <v>18</v>
      </c>
    </row>
    <row r="130" spans="1:32" x14ac:dyDescent="0.3">
      <c r="A130" t="s">
        <v>134</v>
      </c>
      <c r="B130" t="s">
        <v>1</v>
      </c>
      <c r="C130">
        <v>0.5</v>
      </c>
      <c r="D130" t="s">
        <v>588</v>
      </c>
      <c r="E130" t="s">
        <v>2323</v>
      </c>
      <c r="F130">
        <v>0.25</v>
      </c>
      <c r="G130" t="s">
        <v>2332</v>
      </c>
      <c r="H130" t="s">
        <v>1999</v>
      </c>
      <c r="I130" t="s">
        <v>4</v>
      </c>
      <c r="J130">
        <v>139</v>
      </c>
      <c r="K130" t="s">
        <v>5</v>
      </c>
      <c r="L130">
        <v>42</v>
      </c>
      <c r="M130" t="s">
        <v>6</v>
      </c>
      <c r="N130">
        <v>-23.8088086786485</v>
      </c>
      <c r="O130" t="s">
        <v>7</v>
      </c>
      <c r="P130">
        <v>-0.171286393371572</v>
      </c>
      <c r="Q130" t="s">
        <v>8</v>
      </c>
      <c r="R130">
        <v>2.28847006181168</v>
      </c>
      <c r="S130" t="s">
        <v>9</v>
      </c>
      <c r="T130">
        <v>-1.23633558015195</v>
      </c>
      <c r="U130" t="s">
        <v>10</v>
      </c>
      <c r="V130">
        <v>0.32644632723346001</v>
      </c>
      <c r="W130" t="s">
        <v>11</v>
      </c>
      <c r="X130" t="s">
        <v>2407</v>
      </c>
      <c r="Y130" t="s">
        <v>2408</v>
      </c>
      <c r="Z130">
        <v>0</v>
      </c>
      <c r="AA130" t="s">
        <v>14</v>
      </c>
      <c r="AB130" t="s">
        <v>15</v>
      </c>
      <c r="AC130" t="s">
        <v>2407</v>
      </c>
      <c r="AD130" t="s">
        <v>2408</v>
      </c>
      <c r="AE130">
        <v>0</v>
      </c>
      <c r="AF130" t="s">
        <v>18</v>
      </c>
    </row>
    <row r="131" spans="1:32" x14ac:dyDescent="0.3">
      <c r="A131" t="s">
        <v>134</v>
      </c>
      <c r="B131" t="s">
        <v>1</v>
      </c>
      <c r="C131">
        <v>0.5</v>
      </c>
      <c r="D131" t="s">
        <v>588</v>
      </c>
      <c r="E131" t="s">
        <v>2323</v>
      </c>
      <c r="F131">
        <v>0.25</v>
      </c>
      <c r="G131" t="s">
        <v>2332</v>
      </c>
      <c r="H131" t="s">
        <v>2002</v>
      </c>
      <c r="I131" t="s">
        <v>4</v>
      </c>
      <c r="J131">
        <v>139</v>
      </c>
      <c r="K131" t="s">
        <v>5</v>
      </c>
      <c r="L131">
        <v>58</v>
      </c>
      <c r="M131" t="s">
        <v>6</v>
      </c>
      <c r="N131">
        <v>-11.1912256104318</v>
      </c>
      <c r="O131" t="s">
        <v>7</v>
      </c>
      <c r="P131">
        <v>-8.0512414463538795E-2</v>
      </c>
      <c r="Q131" t="s">
        <v>8</v>
      </c>
      <c r="R131">
        <v>2.3540645275187999</v>
      </c>
      <c r="S131" t="s">
        <v>9</v>
      </c>
      <c r="T131">
        <v>-1.82378973094472</v>
      </c>
      <c r="U131" t="s">
        <v>10</v>
      </c>
      <c r="V131">
        <v>0.37870213088996801</v>
      </c>
      <c r="W131" t="s">
        <v>11</v>
      </c>
      <c r="X131" t="s">
        <v>2407</v>
      </c>
      <c r="Y131" t="s">
        <v>2408</v>
      </c>
      <c r="Z131">
        <v>0</v>
      </c>
      <c r="AA131" t="s">
        <v>14</v>
      </c>
      <c r="AB131" t="s">
        <v>15</v>
      </c>
      <c r="AC131" t="s">
        <v>2407</v>
      </c>
      <c r="AD131" t="s">
        <v>2408</v>
      </c>
      <c r="AE131">
        <v>0</v>
      </c>
      <c r="AF131" t="s">
        <v>18</v>
      </c>
    </row>
    <row r="132" spans="1:32" x14ac:dyDescent="0.3">
      <c r="A132" t="s">
        <v>134</v>
      </c>
      <c r="B132" t="s">
        <v>1</v>
      </c>
      <c r="C132">
        <v>0.5</v>
      </c>
      <c r="D132" t="s">
        <v>588</v>
      </c>
      <c r="E132" t="s">
        <v>2323</v>
      </c>
      <c r="F132">
        <v>0.25</v>
      </c>
      <c r="G132" t="s">
        <v>2332</v>
      </c>
      <c r="H132" t="s">
        <v>2004</v>
      </c>
      <c r="I132" t="s">
        <v>4</v>
      </c>
      <c r="J132">
        <v>139</v>
      </c>
      <c r="K132" t="s">
        <v>5</v>
      </c>
      <c r="L132">
        <v>62</v>
      </c>
      <c r="M132" t="s">
        <v>6</v>
      </c>
      <c r="N132">
        <v>-15.971225610431899</v>
      </c>
      <c r="O132" t="s">
        <v>7</v>
      </c>
      <c r="P132">
        <v>-0.114900903672172</v>
      </c>
      <c r="Q132" t="s">
        <v>8</v>
      </c>
      <c r="R132">
        <v>2.34799584832404</v>
      </c>
      <c r="S132" t="s">
        <v>9</v>
      </c>
      <c r="T132">
        <v>-2.0980125741106801</v>
      </c>
      <c r="U132" t="s">
        <v>10</v>
      </c>
      <c r="V132">
        <v>0.40925119293772</v>
      </c>
      <c r="W132" t="s">
        <v>11</v>
      </c>
      <c r="X132" t="s">
        <v>825</v>
      </c>
      <c r="Y132" t="s">
        <v>2406</v>
      </c>
      <c r="Z132">
        <v>0</v>
      </c>
      <c r="AA132" t="s">
        <v>14</v>
      </c>
      <c r="AB132" t="s">
        <v>15</v>
      </c>
      <c r="AC132" t="s">
        <v>2409</v>
      </c>
      <c r="AD132" t="s">
        <v>2406</v>
      </c>
      <c r="AE132">
        <v>0</v>
      </c>
      <c r="AF132" t="s">
        <v>18</v>
      </c>
    </row>
    <row r="133" spans="1:32" x14ac:dyDescent="0.3">
      <c r="A133" t="s">
        <v>134</v>
      </c>
      <c r="B133" t="s">
        <v>1</v>
      </c>
      <c r="C133">
        <v>0.5</v>
      </c>
      <c r="D133" t="s">
        <v>588</v>
      </c>
      <c r="E133" t="s">
        <v>2323</v>
      </c>
      <c r="F133">
        <v>0.25</v>
      </c>
      <c r="G133" t="s">
        <v>2332</v>
      </c>
      <c r="H133" t="s">
        <v>2005</v>
      </c>
      <c r="I133" t="s">
        <v>4</v>
      </c>
      <c r="J133">
        <v>139</v>
      </c>
      <c r="K133" t="s">
        <v>5</v>
      </c>
      <c r="L133">
        <v>65</v>
      </c>
      <c r="M133" t="s">
        <v>6</v>
      </c>
      <c r="N133">
        <v>-19.9231582748988</v>
      </c>
      <c r="O133" t="s">
        <v>7</v>
      </c>
      <c r="P133">
        <v>-0.143332073920135</v>
      </c>
      <c r="Q133" t="s">
        <v>8</v>
      </c>
      <c r="R133">
        <v>2.3745498860937002</v>
      </c>
      <c r="S133" t="s">
        <v>9</v>
      </c>
      <c r="T133">
        <v>-2.3549851469052601</v>
      </c>
      <c r="U133" t="s">
        <v>10</v>
      </c>
      <c r="V133">
        <v>0.43874222212205299</v>
      </c>
      <c r="W133" t="s">
        <v>11</v>
      </c>
      <c r="X133" t="s">
        <v>2410</v>
      </c>
      <c r="Y133" t="s">
        <v>2123</v>
      </c>
      <c r="Z133">
        <v>0</v>
      </c>
      <c r="AA133" t="s">
        <v>14</v>
      </c>
      <c r="AB133" t="s">
        <v>15</v>
      </c>
      <c r="AC133" t="s">
        <v>2409</v>
      </c>
      <c r="AD133" t="s">
        <v>2406</v>
      </c>
      <c r="AE133">
        <v>0</v>
      </c>
      <c r="AF133" t="s">
        <v>18</v>
      </c>
    </row>
    <row r="134" spans="1:32" x14ac:dyDescent="0.3">
      <c r="A134" t="s">
        <v>134</v>
      </c>
      <c r="B134" t="s">
        <v>1</v>
      </c>
      <c r="C134">
        <v>0.4</v>
      </c>
      <c r="D134" t="s">
        <v>588</v>
      </c>
      <c r="E134" t="s">
        <v>2323</v>
      </c>
      <c r="F134">
        <v>0.2</v>
      </c>
      <c r="G134" t="s">
        <v>2324</v>
      </c>
      <c r="H134" t="s">
        <v>1979</v>
      </c>
      <c r="I134" t="s">
        <v>4</v>
      </c>
      <c r="J134">
        <v>135</v>
      </c>
      <c r="K134" t="s">
        <v>5</v>
      </c>
      <c r="L134">
        <v>47</v>
      </c>
      <c r="M134" t="s">
        <v>6</v>
      </c>
      <c r="N134">
        <v>1.5899999999999901</v>
      </c>
      <c r="O134" t="s">
        <v>7</v>
      </c>
      <c r="P134">
        <v>1.17777777777777E-2</v>
      </c>
      <c r="Q134" t="s">
        <v>8</v>
      </c>
      <c r="R134">
        <v>1.6489361702127601</v>
      </c>
      <c r="S134" t="s">
        <v>9</v>
      </c>
      <c r="T134">
        <v>-0.86261363636363597</v>
      </c>
      <c r="U134" t="s">
        <v>10</v>
      </c>
      <c r="V134">
        <v>0.28784830542943601</v>
      </c>
      <c r="W134" t="s">
        <v>11</v>
      </c>
      <c r="X134" t="s">
        <v>2411</v>
      </c>
      <c r="Y134" t="s">
        <v>2050</v>
      </c>
      <c r="Z134">
        <v>0</v>
      </c>
      <c r="AA134" t="s">
        <v>14</v>
      </c>
      <c r="AB134" t="s">
        <v>15</v>
      </c>
      <c r="AC134" t="s">
        <v>2411</v>
      </c>
      <c r="AD134" t="s">
        <v>2050</v>
      </c>
      <c r="AE134">
        <v>0</v>
      </c>
      <c r="AF134" t="s">
        <v>18</v>
      </c>
    </row>
    <row r="135" spans="1:32" x14ac:dyDescent="0.3">
      <c r="A135" t="s">
        <v>134</v>
      </c>
      <c r="B135" t="s">
        <v>1</v>
      </c>
      <c r="C135">
        <v>0.4</v>
      </c>
      <c r="D135" t="s">
        <v>588</v>
      </c>
      <c r="E135" t="s">
        <v>2323</v>
      </c>
      <c r="F135">
        <v>0.2</v>
      </c>
      <c r="G135" t="s">
        <v>2324</v>
      </c>
      <c r="H135" t="s">
        <v>1982</v>
      </c>
      <c r="I135" t="s">
        <v>4</v>
      </c>
      <c r="J135">
        <v>135</v>
      </c>
      <c r="K135" t="s">
        <v>5</v>
      </c>
      <c r="L135">
        <v>49</v>
      </c>
      <c r="M135" t="s">
        <v>6</v>
      </c>
      <c r="N135">
        <v>-2.9499999999999802</v>
      </c>
      <c r="O135" t="s">
        <v>7</v>
      </c>
      <c r="P135">
        <v>-2.1851851851851699E-2</v>
      </c>
      <c r="Q135" t="s">
        <v>8</v>
      </c>
      <c r="R135">
        <v>1.6685714285714199</v>
      </c>
      <c r="S135" t="s">
        <v>9</v>
      </c>
      <c r="T135">
        <v>-0.98499999999999999</v>
      </c>
      <c r="U135" t="s">
        <v>10</v>
      </c>
      <c r="V135">
        <v>0.32294518946624701</v>
      </c>
      <c r="W135" t="s">
        <v>11</v>
      </c>
      <c r="X135" t="s">
        <v>2412</v>
      </c>
      <c r="Y135" t="s">
        <v>1249</v>
      </c>
      <c r="Z135">
        <v>0</v>
      </c>
      <c r="AA135" t="s">
        <v>14</v>
      </c>
      <c r="AB135" t="s">
        <v>15</v>
      </c>
      <c r="AC135" t="s">
        <v>2412</v>
      </c>
      <c r="AD135" t="s">
        <v>1249</v>
      </c>
      <c r="AE135">
        <v>0</v>
      </c>
      <c r="AF135" t="s">
        <v>18</v>
      </c>
    </row>
    <row r="136" spans="1:32" x14ac:dyDescent="0.3">
      <c r="A136" t="s">
        <v>134</v>
      </c>
      <c r="B136" t="s">
        <v>1</v>
      </c>
      <c r="C136">
        <v>0.4</v>
      </c>
      <c r="D136" t="s">
        <v>588</v>
      </c>
      <c r="E136" t="s">
        <v>2323</v>
      </c>
      <c r="F136">
        <v>0.2</v>
      </c>
      <c r="G136" t="s">
        <v>2324</v>
      </c>
      <c r="H136" t="s">
        <v>1985</v>
      </c>
      <c r="I136" t="s">
        <v>4</v>
      </c>
      <c r="J136">
        <v>135</v>
      </c>
      <c r="K136" t="s">
        <v>5</v>
      </c>
      <c r="L136">
        <v>49</v>
      </c>
      <c r="M136" t="s">
        <v>6</v>
      </c>
      <c r="N136">
        <v>-13.21</v>
      </c>
      <c r="O136" t="s">
        <v>7</v>
      </c>
      <c r="P136">
        <v>-9.7851851851851801E-2</v>
      </c>
      <c r="Q136" t="s">
        <v>8</v>
      </c>
      <c r="R136">
        <v>1.6685714285714199</v>
      </c>
      <c r="S136" t="s">
        <v>9</v>
      </c>
      <c r="T136">
        <v>-1.10430232558139</v>
      </c>
      <c r="U136" t="s">
        <v>10</v>
      </c>
      <c r="V136">
        <v>0.33353409422942598</v>
      </c>
      <c r="W136" t="s">
        <v>11</v>
      </c>
      <c r="X136" t="s">
        <v>2412</v>
      </c>
      <c r="Y136" t="s">
        <v>1249</v>
      </c>
      <c r="Z136">
        <v>0</v>
      </c>
      <c r="AA136" t="s">
        <v>14</v>
      </c>
      <c r="AB136" t="s">
        <v>15</v>
      </c>
      <c r="AC136" t="s">
        <v>2412</v>
      </c>
      <c r="AD136" t="s">
        <v>1249</v>
      </c>
      <c r="AE136">
        <v>0</v>
      </c>
      <c r="AF136" t="s">
        <v>18</v>
      </c>
    </row>
    <row r="137" spans="1:32" x14ac:dyDescent="0.3">
      <c r="A137" t="s">
        <v>134</v>
      </c>
      <c r="B137" t="s">
        <v>1</v>
      </c>
      <c r="C137">
        <v>0.4</v>
      </c>
      <c r="D137" t="s">
        <v>588</v>
      </c>
      <c r="E137" t="s">
        <v>2323</v>
      </c>
      <c r="F137">
        <v>0.2</v>
      </c>
      <c r="G137" t="s">
        <v>2324</v>
      </c>
      <c r="H137" t="s">
        <v>1988</v>
      </c>
      <c r="I137" t="s">
        <v>4</v>
      </c>
      <c r="J137">
        <v>135</v>
      </c>
      <c r="K137" t="s">
        <v>5</v>
      </c>
      <c r="L137">
        <v>50</v>
      </c>
      <c r="M137" t="s">
        <v>6</v>
      </c>
      <c r="N137">
        <v>-16.079999999999899</v>
      </c>
      <c r="O137" t="s">
        <v>7</v>
      </c>
      <c r="P137">
        <v>-0.119111111111111</v>
      </c>
      <c r="Q137" t="s">
        <v>8</v>
      </c>
      <c r="R137">
        <v>1.6886000000000001</v>
      </c>
      <c r="S137" t="s">
        <v>9</v>
      </c>
      <c r="T137">
        <v>-1.1824705882352899</v>
      </c>
      <c r="U137" t="s">
        <v>10</v>
      </c>
      <c r="V137">
        <v>0.35462219912472098</v>
      </c>
      <c r="W137" t="s">
        <v>11</v>
      </c>
      <c r="X137" t="s">
        <v>2412</v>
      </c>
      <c r="Y137" t="s">
        <v>1249</v>
      </c>
      <c r="Z137">
        <v>0</v>
      </c>
      <c r="AA137" t="s">
        <v>14</v>
      </c>
      <c r="AB137" t="s">
        <v>15</v>
      </c>
      <c r="AC137" t="s">
        <v>2412</v>
      </c>
      <c r="AD137" t="s">
        <v>1249</v>
      </c>
      <c r="AE137">
        <v>0</v>
      </c>
      <c r="AF137" t="s">
        <v>18</v>
      </c>
    </row>
    <row r="138" spans="1:32" x14ac:dyDescent="0.3">
      <c r="A138" t="s">
        <v>134</v>
      </c>
      <c r="B138" t="s">
        <v>1</v>
      </c>
      <c r="C138">
        <v>0.4</v>
      </c>
      <c r="D138" t="s">
        <v>588</v>
      </c>
      <c r="E138" t="s">
        <v>2323</v>
      </c>
      <c r="F138">
        <v>0.2</v>
      </c>
      <c r="G138" t="s">
        <v>2329</v>
      </c>
      <c r="H138" t="s">
        <v>1991</v>
      </c>
      <c r="I138" t="s">
        <v>4</v>
      </c>
      <c r="J138">
        <v>140</v>
      </c>
      <c r="K138" t="s">
        <v>5</v>
      </c>
      <c r="L138">
        <v>36</v>
      </c>
      <c r="M138" t="s">
        <v>6</v>
      </c>
      <c r="N138">
        <v>-26.0399999999999</v>
      </c>
      <c r="O138" t="s">
        <v>7</v>
      </c>
      <c r="P138">
        <v>-0.185999999999999</v>
      </c>
      <c r="Q138" t="s">
        <v>8</v>
      </c>
      <c r="R138">
        <v>2.0363888888888799</v>
      </c>
      <c r="S138" t="s">
        <v>9</v>
      </c>
      <c r="T138">
        <v>-0.95528846153846103</v>
      </c>
      <c r="U138" t="s">
        <v>10</v>
      </c>
      <c r="V138">
        <v>0.28625858888130201</v>
      </c>
      <c r="W138" t="s">
        <v>11</v>
      </c>
      <c r="X138" t="s">
        <v>139</v>
      </c>
      <c r="Y138" t="s">
        <v>691</v>
      </c>
      <c r="Z138">
        <v>0</v>
      </c>
      <c r="AA138" t="s">
        <v>14</v>
      </c>
      <c r="AB138" t="s">
        <v>15</v>
      </c>
      <c r="AC138" t="s">
        <v>139</v>
      </c>
      <c r="AD138" t="s">
        <v>691</v>
      </c>
      <c r="AE138">
        <v>0</v>
      </c>
      <c r="AF138" t="s">
        <v>18</v>
      </c>
    </row>
    <row r="139" spans="1:32" x14ac:dyDescent="0.3">
      <c r="A139" t="s">
        <v>134</v>
      </c>
      <c r="B139" t="s">
        <v>1</v>
      </c>
      <c r="C139">
        <v>0.4</v>
      </c>
      <c r="D139" t="s">
        <v>588</v>
      </c>
      <c r="E139" t="s">
        <v>2323</v>
      </c>
      <c r="F139">
        <v>0.2</v>
      </c>
      <c r="G139" t="s">
        <v>2329</v>
      </c>
      <c r="H139" t="s">
        <v>1994</v>
      </c>
      <c r="I139" t="s">
        <v>4</v>
      </c>
      <c r="J139">
        <v>140</v>
      </c>
      <c r="K139" t="s">
        <v>5</v>
      </c>
      <c r="L139">
        <v>38</v>
      </c>
      <c r="M139" t="s">
        <v>6</v>
      </c>
      <c r="N139">
        <v>-35.819999999999901</v>
      </c>
      <c r="O139" t="s">
        <v>7</v>
      </c>
      <c r="P139">
        <v>-0.25585714285714201</v>
      </c>
      <c r="Q139" t="s">
        <v>8</v>
      </c>
      <c r="R139">
        <v>2.0902631578947299</v>
      </c>
      <c r="S139" t="s">
        <v>9</v>
      </c>
      <c r="T139">
        <v>-1.1299019607843099</v>
      </c>
      <c r="U139" t="s">
        <v>10</v>
      </c>
      <c r="V139">
        <v>0.32233146274133501</v>
      </c>
      <c r="W139" t="s">
        <v>11</v>
      </c>
      <c r="X139" t="s">
        <v>2412</v>
      </c>
      <c r="Y139" t="s">
        <v>1249</v>
      </c>
      <c r="Z139">
        <v>0</v>
      </c>
      <c r="AA139" t="s">
        <v>14</v>
      </c>
      <c r="AB139" t="s">
        <v>15</v>
      </c>
      <c r="AC139" t="s">
        <v>2412</v>
      </c>
      <c r="AD139" t="s">
        <v>1249</v>
      </c>
      <c r="AE139">
        <v>0</v>
      </c>
      <c r="AF139" t="s">
        <v>18</v>
      </c>
    </row>
    <row r="140" spans="1:32" x14ac:dyDescent="0.3">
      <c r="A140" t="s">
        <v>134</v>
      </c>
      <c r="B140" t="s">
        <v>1</v>
      </c>
      <c r="C140">
        <v>0.4</v>
      </c>
      <c r="D140" t="s">
        <v>588</v>
      </c>
      <c r="E140" t="s">
        <v>2323</v>
      </c>
      <c r="F140">
        <v>0.2</v>
      </c>
      <c r="G140" t="s">
        <v>2329</v>
      </c>
      <c r="H140" t="s">
        <v>1996</v>
      </c>
      <c r="I140" t="s">
        <v>4</v>
      </c>
      <c r="J140">
        <v>140</v>
      </c>
      <c r="K140" t="s">
        <v>5</v>
      </c>
      <c r="L140">
        <v>38</v>
      </c>
      <c r="M140" t="s">
        <v>6</v>
      </c>
      <c r="N140">
        <v>-49.269999999999897</v>
      </c>
      <c r="O140" t="s">
        <v>7</v>
      </c>
      <c r="P140">
        <v>-0.35192857142857098</v>
      </c>
      <c r="Q140" t="s">
        <v>8</v>
      </c>
      <c r="R140">
        <v>2.0902631578947299</v>
      </c>
      <c r="S140" t="s">
        <v>9</v>
      </c>
      <c r="T140">
        <v>-1.26176470588235</v>
      </c>
      <c r="U140" t="s">
        <v>10</v>
      </c>
      <c r="V140">
        <v>0.332220850560211</v>
      </c>
      <c r="W140" t="s">
        <v>11</v>
      </c>
      <c r="X140" t="s">
        <v>2412</v>
      </c>
      <c r="Y140" t="s">
        <v>1249</v>
      </c>
      <c r="Z140">
        <v>0</v>
      </c>
      <c r="AA140" t="s">
        <v>14</v>
      </c>
      <c r="AB140" t="s">
        <v>15</v>
      </c>
      <c r="AC140" t="s">
        <v>2412</v>
      </c>
      <c r="AD140" t="s">
        <v>1249</v>
      </c>
      <c r="AE140">
        <v>0</v>
      </c>
      <c r="AF140" t="s">
        <v>18</v>
      </c>
    </row>
    <row r="141" spans="1:32" x14ac:dyDescent="0.3">
      <c r="A141" t="s">
        <v>134</v>
      </c>
      <c r="B141" t="s">
        <v>1</v>
      </c>
      <c r="C141">
        <v>0.4</v>
      </c>
      <c r="D141" t="s">
        <v>588</v>
      </c>
      <c r="E141" t="s">
        <v>2323</v>
      </c>
      <c r="F141">
        <v>0.2</v>
      </c>
      <c r="G141" t="s">
        <v>2329</v>
      </c>
      <c r="H141" t="s">
        <v>1997</v>
      </c>
      <c r="I141" t="s">
        <v>4</v>
      </c>
      <c r="J141">
        <v>140</v>
      </c>
      <c r="K141" t="s">
        <v>5</v>
      </c>
      <c r="L141">
        <v>42</v>
      </c>
      <c r="M141" t="s">
        <v>6</v>
      </c>
      <c r="N141">
        <v>-38.629999999999903</v>
      </c>
      <c r="O141" t="s">
        <v>7</v>
      </c>
      <c r="P141">
        <v>-0.27592857142857102</v>
      </c>
      <c r="Q141" t="s">
        <v>8</v>
      </c>
      <c r="R141">
        <v>2.1066666666666598</v>
      </c>
      <c r="S141" t="s">
        <v>9</v>
      </c>
      <c r="T141">
        <v>-1.2970408163265299</v>
      </c>
      <c r="U141" t="s">
        <v>10</v>
      </c>
      <c r="V141">
        <v>0.36908076445216298</v>
      </c>
      <c r="W141" t="s">
        <v>11</v>
      </c>
      <c r="X141" t="s">
        <v>2412</v>
      </c>
      <c r="Y141" t="s">
        <v>1249</v>
      </c>
      <c r="Z141">
        <v>0</v>
      </c>
      <c r="AA141" t="s">
        <v>14</v>
      </c>
      <c r="AB141" t="s">
        <v>15</v>
      </c>
      <c r="AC141" t="s">
        <v>2412</v>
      </c>
      <c r="AD141" t="s">
        <v>1249</v>
      </c>
      <c r="AE141">
        <v>0</v>
      </c>
      <c r="AF141" t="s">
        <v>18</v>
      </c>
    </row>
    <row r="142" spans="1:32" x14ac:dyDescent="0.3">
      <c r="A142" t="s">
        <v>134</v>
      </c>
      <c r="B142" t="s">
        <v>1</v>
      </c>
      <c r="C142">
        <v>0.4</v>
      </c>
      <c r="D142" t="s">
        <v>588</v>
      </c>
      <c r="E142" t="s">
        <v>2323</v>
      </c>
      <c r="F142">
        <v>0.2</v>
      </c>
      <c r="G142" t="s">
        <v>2332</v>
      </c>
      <c r="H142" t="s">
        <v>1999</v>
      </c>
      <c r="I142" t="s">
        <v>4</v>
      </c>
      <c r="J142">
        <v>139</v>
      </c>
      <c r="K142" t="s">
        <v>5</v>
      </c>
      <c r="L142">
        <v>39</v>
      </c>
      <c r="M142" t="s">
        <v>6</v>
      </c>
      <c r="N142">
        <v>-20.446717081534398</v>
      </c>
      <c r="O142" t="s">
        <v>7</v>
      </c>
      <c r="P142">
        <v>-0.14709868403981599</v>
      </c>
      <c r="Q142" t="s">
        <v>8</v>
      </c>
      <c r="R142">
        <v>2.19846153846153</v>
      </c>
      <c r="S142" t="s">
        <v>9</v>
      </c>
      <c r="T142">
        <v>-1.06186717081534</v>
      </c>
      <c r="U142" t="s">
        <v>10</v>
      </c>
      <c r="V142">
        <v>0.29304398732009002</v>
      </c>
      <c r="W142" t="s">
        <v>11</v>
      </c>
      <c r="X142" t="s">
        <v>2413</v>
      </c>
      <c r="Y142" t="s">
        <v>2123</v>
      </c>
      <c r="Z142">
        <v>0</v>
      </c>
      <c r="AA142" t="s">
        <v>14</v>
      </c>
      <c r="AB142" t="s">
        <v>15</v>
      </c>
      <c r="AC142" t="s">
        <v>2413</v>
      </c>
      <c r="AD142" t="s">
        <v>2123</v>
      </c>
      <c r="AE142">
        <v>0</v>
      </c>
      <c r="AF142" t="s">
        <v>18</v>
      </c>
    </row>
    <row r="143" spans="1:32" x14ac:dyDescent="0.3">
      <c r="A143" t="s">
        <v>134</v>
      </c>
      <c r="B143" t="s">
        <v>1</v>
      </c>
      <c r="C143">
        <v>0.4</v>
      </c>
      <c r="D143" t="s">
        <v>588</v>
      </c>
      <c r="E143" t="s">
        <v>2323</v>
      </c>
      <c r="F143">
        <v>0.2</v>
      </c>
      <c r="G143" t="s">
        <v>2332</v>
      </c>
      <c r="H143" t="s">
        <v>2002</v>
      </c>
      <c r="I143" t="s">
        <v>4</v>
      </c>
      <c r="J143">
        <v>139</v>
      </c>
      <c r="K143" t="s">
        <v>5</v>
      </c>
      <c r="L143">
        <v>46</v>
      </c>
      <c r="M143" t="s">
        <v>6</v>
      </c>
      <c r="N143">
        <v>-21.716717081534501</v>
      </c>
      <c r="O143" t="s">
        <v>7</v>
      </c>
      <c r="P143">
        <v>-0.15623537468729801</v>
      </c>
      <c r="Q143" t="s">
        <v>8</v>
      </c>
      <c r="R143">
        <v>2.3541304347826002</v>
      </c>
      <c r="S143" t="s">
        <v>9</v>
      </c>
      <c r="T143">
        <v>-1.39792168904875</v>
      </c>
      <c r="U143" t="s">
        <v>10</v>
      </c>
      <c r="V143">
        <v>0.333625471684246</v>
      </c>
      <c r="W143" t="s">
        <v>11</v>
      </c>
      <c r="X143" t="s">
        <v>2413</v>
      </c>
      <c r="Y143" t="s">
        <v>2123</v>
      </c>
      <c r="Z143">
        <v>0</v>
      </c>
      <c r="AA143" t="s">
        <v>14</v>
      </c>
      <c r="AB143" t="s">
        <v>15</v>
      </c>
      <c r="AC143" t="s">
        <v>2413</v>
      </c>
      <c r="AD143" t="s">
        <v>2123</v>
      </c>
      <c r="AE143">
        <v>0</v>
      </c>
      <c r="AF143" t="s">
        <v>18</v>
      </c>
    </row>
    <row r="144" spans="1:32" x14ac:dyDescent="0.3">
      <c r="A144" t="s">
        <v>134</v>
      </c>
      <c r="B144" t="s">
        <v>1</v>
      </c>
      <c r="C144">
        <v>0.4</v>
      </c>
      <c r="D144" t="s">
        <v>588</v>
      </c>
      <c r="E144" t="s">
        <v>2323</v>
      </c>
      <c r="F144">
        <v>0.2</v>
      </c>
      <c r="G144" t="s">
        <v>2332</v>
      </c>
      <c r="H144" t="s">
        <v>2004</v>
      </c>
      <c r="I144" t="s">
        <v>4</v>
      </c>
      <c r="J144">
        <v>139</v>
      </c>
      <c r="K144" t="s">
        <v>5</v>
      </c>
      <c r="L144">
        <v>49</v>
      </c>
      <c r="M144" t="s">
        <v>6</v>
      </c>
      <c r="N144">
        <v>-20.809176890248299</v>
      </c>
      <c r="O144" t="s">
        <v>7</v>
      </c>
      <c r="P144">
        <v>-0.14970630856293701</v>
      </c>
      <c r="Q144" t="s">
        <v>8</v>
      </c>
      <c r="R144">
        <v>2.34102040816326</v>
      </c>
      <c r="S144" t="s">
        <v>9</v>
      </c>
      <c r="T144">
        <v>-1.5057686321138699</v>
      </c>
      <c r="U144" t="s">
        <v>10</v>
      </c>
      <c r="V144">
        <v>0.35084994694740101</v>
      </c>
      <c r="W144" t="s">
        <v>11</v>
      </c>
      <c r="X144" t="s">
        <v>2413</v>
      </c>
      <c r="Y144" t="s">
        <v>2123</v>
      </c>
      <c r="Z144">
        <v>0</v>
      </c>
      <c r="AA144" t="s">
        <v>14</v>
      </c>
      <c r="AB144" t="s">
        <v>15</v>
      </c>
      <c r="AC144" t="s">
        <v>2413</v>
      </c>
      <c r="AD144" t="s">
        <v>2123</v>
      </c>
      <c r="AE144">
        <v>0</v>
      </c>
      <c r="AF144" t="s">
        <v>18</v>
      </c>
    </row>
    <row r="145" spans="1:32" x14ac:dyDescent="0.3">
      <c r="A145" t="s">
        <v>134</v>
      </c>
      <c r="B145" t="s">
        <v>1</v>
      </c>
      <c r="C145">
        <v>0.4</v>
      </c>
      <c r="D145" t="s">
        <v>588</v>
      </c>
      <c r="E145" t="s">
        <v>2323</v>
      </c>
      <c r="F145">
        <v>0.2</v>
      </c>
      <c r="G145" t="s">
        <v>2332</v>
      </c>
      <c r="H145" t="s">
        <v>2005</v>
      </c>
      <c r="I145" t="s">
        <v>4</v>
      </c>
      <c r="J145">
        <v>139</v>
      </c>
      <c r="K145" t="s">
        <v>5</v>
      </c>
      <c r="L145">
        <v>52</v>
      </c>
      <c r="M145" t="s">
        <v>6</v>
      </c>
      <c r="N145">
        <v>-19.840211500900001</v>
      </c>
      <c r="O145" t="s">
        <v>7</v>
      </c>
      <c r="P145">
        <v>-0.14273533453884901</v>
      </c>
      <c r="Q145" t="s">
        <v>8</v>
      </c>
      <c r="R145">
        <v>2.3319230769230699</v>
      </c>
      <c r="S145" t="s">
        <v>9</v>
      </c>
      <c r="T145">
        <v>-1.6218415115045901</v>
      </c>
      <c r="U145" t="s">
        <v>10</v>
      </c>
      <c r="V145">
        <v>0.37807891820415801</v>
      </c>
      <c r="W145" t="s">
        <v>11</v>
      </c>
      <c r="X145" t="s">
        <v>2414</v>
      </c>
      <c r="Y145" t="s">
        <v>2392</v>
      </c>
      <c r="Z145">
        <v>0</v>
      </c>
      <c r="AA145" t="s">
        <v>14</v>
      </c>
      <c r="AB145" t="s">
        <v>15</v>
      </c>
      <c r="AC145" t="s">
        <v>2414</v>
      </c>
      <c r="AD145" t="s">
        <v>2392</v>
      </c>
      <c r="AE145">
        <v>0</v>
      </c>
      <c r="AF145" t="s">
        <v>18</v>
      </c>
    </row>
    <row r="146" spans="1:32" x14ac:dyDescent="0.3">
      <c r="A146" t="s">
        <v>134</v>
      </c>
      <c r="B146" t="s">
        <v>1</v>
      </c>
      <c r="C146">
        <v>0.4</v>
      </c>
      <c r="D146" t="s">
        <v>588</v>
      </c>
      <c r="E146" t="s">
        <v>2323</v>
      </c>
      <c r="F146">
        <v>0.2</v>
      </c>
      <c r="G146" t="s">
        <v>2347</v>
      </c>
      <c r="H146" t="s">
        <v>1979</v>
      </c>
      <c r="I146" t="s">
        <v>4</v>
      </c>
      <c r="J146">
        <v>135</v>
      </c>
      <c r="K146" t="s">
        <v>5</v>
      </c>
      <c r="L146">
        <v>79</v>
      </c>
      <c r="M146" t="s">
        <v>6</v>
      </c>
      <c r="N146">
        <v>12.15</v>
      </c>
      <c r="O146" t="s">
        <v>7</v>
      </c>
      <c r="P146">
        <v>9.0000000000000496E-2</v>
      </c>
      <c r="Q146" t="s">
        <v>8</v>
      </c>
      <c r="R146">
        <v>1.1659493670886001</v>
      </c>
      <c r="S146" t="s">
        <v>9</v>
      </c>
      <c r="T146">
        <v>-1.4538181818181799</v>
      </c>
      <c r="U146" t="s">
        <v>10</v>
      </c>
      <c r="V146">
        <v>0.33463894098111902</v>
      </c>
      <c r="W146" t="s">
        <v>11</v>
      </c>
      <c r="X146" t="s">
        <v>2415</v>
      </c>
      <c r="Y146" t="s">
        <v>691</v>
      </c>
      <c r="Z146">
        <v>0</v>
      </c>
      <c r="AA146" t="s">
        <v>14</v>
      </c>
      <c r="AB146" t="s">
        <v>15</v>
      </c>
      <c r="AC146" t="s">
        <v>2415</v>
      </c>
      <c r="AD146" t="s">
        <v>691</v>
      </c>
      <c r="AE146">
        <v>0</v>
      </c>
      <c r="AF146" t="s">
        <v>18</v>
      </c>
    </row>
    <row r="147" spans="1:32" x14ac:dyDescent="0.3">
      <c r="A147" t="s">
        <v>134</v>
      </c>
      <c r="B147" t="s">
        <v>1</v>
      </c>
      <c r="C147">
        <v>0.4</v>
      </c>
      <c r="D147" t="s">
        <v>588</v>
      </c>
      <c r="E147" t="s">
        <v>2323</v>
      </c>
      <c r="F147">
        <v>0.2</v>
      </c>
      <c r="G147" t="s">
        <v>2347</v>
      </c>
      <c r="H147" t="s">
        <v>1982</v>
      </c>
      <c r="I147" t="s">
        <v>4</v>
      </c>
      <c r="J147">
        <v>135</v>
      </c>
      <c r="K147" t="s">
        <v>5</v>
      </c>
      <c r="L147">
        <v>88</v>
      </c>
      <c r="M147" t="s">
        <v>6</v>
      </c>
      <c r="N147">
        <v>18.59</v>
      </c>
      <c r="O147" t="s">
        <v>7</v>
      </c>
      <c r="P147">
        <v>0.13770370370370399</v>
      </c>
      <c r="Q147" t="s">
        <v>8</v>
      </c>
      <c r="R147">
        <v>1.2876136363636299</v>
      </c>
      <c r="S147" t="s">
        <v>9</v>
      </c>
      <c r="T147">
        <v>-2.0591304347825998</v>
      </c>
      <c r="U147" t="s">
        <v>10</v>
      </c>
      <c r="V147">
        <v>0.398353436866483</v>
      </c>
      <c r="W147" t="s">
        <v>11</v>
      </c>
      <c r="X147" t="s">
        <v>2415</v>
      </c>
      <c r="Y147" t="s">
        <v>691</v>
      </c>
      <c r="Z147">
        <v>0</v>
      </c>
      <c r="AA147" t="s">
        <v>14</v>
      </c>
      <c r="AB147" t="s">
        <v>15</v>
      </c>
      <c r="AC147" t="s">
        <v>2415</v>
      </c>
      <c r="AD147" t="s">
        <v>691</v>
      </c>
      <c r="AE147">
        <v>0</v>
      </c>
      <c r="AF147" t="s">
        <v>18</v>
      </c>
    </row>
    <row r="148" spans="1:32" x14ac:dyDescent="0.3">
      <c r="A148" t="s">
        <v>134</v>
      </c>
      <c r="B148" t="s">
        <v>1</v>
      </c>
      <c r="C148">
        <v>0.4</v>
      </c>
      <c r="D148" t="s">
        <v>588</v>
      </c>
      <c r="E148" t="s">
        <v>2323</v>
      </c>
      <c r="F148">
        <v>0.2</v>
      </c>
      <c r="G148" t="s">
        <v>2347</v>
      </c>
      <c r="H148" t="s">
        <v>1985</v>
      </c>
      <c r="I148" t="s">
        <v>4</v>
      </c>
      <c r="J148">
        <v>135</v>
      </c>
      <c r="K148" t="s">
        <v>5</v>
      </c>
      <c r="L148">
        <v>94</v>
      </c>
      <c r="M148" t="s">
        <v>6</v>
      </c>
      <c r="N148">
        <v>26.23</v>
      </c>
      <c r="O148" t="s">
        <v>7</v>
      </c>
      <c r="P148">
        <v>0.19429629629629599</v>
      </c>
      <c r="Q148" t="s">
        <v>8</v>
      </c>
      <c r="R148">
        <v>1.3432978723404201</v>
      </c>
      <c r="S148" t="s">
        <v>9</v>
      </c>
      <c r="T148">
        <v>-2.5009999999999999</v>
      </c>
      <c r="U148" t="s">
        <v>10</v>
      </c>
      <c r="V148">
        <v>0.45351547910911799</v>
      </c>
      <c r="W148" t="s">
        <v>11</v>
      </c>
      <c r="X148" t="s">
        <v>2415</v>
      </c>
      <c r="Y148" t="s">
        <v>691</v>
      </c>
      <c r="Z148">
        <v>0</v>
      </c>
      <c r="AA148" t="s">
        <v>14</v>
      </c>
      <c r="AB148" t="s">
        <v>15</v>
      </c>
      <c r="AC148" t="s">
        <v>2415</v>
      </c>
      <c r="AD148" t="s">
        <v>691</v>
      </c>
      <c r="AE148">
        <v>0</v>
      </c>
      <c r="AF148" t="s">
        <v>18</v>
      </c>
    </row>
    <row r="149" spans="1:32" x14ac:dyDescent="0.3">
      <c r="A149" t="s">
        <v>134</v>
      </c>
      <c r="B149" t="s">
        <v>1</v>
      </c>
      <c r="C149">
        <v>0.4</v>
      </c>
      <c r="D149" t="s">
        <v>588</v>
      </c>
      <c r="E149" t="s">
        <v>2323</v>
      </c>
      <c r="F149">
        <v>0.2</v>
      </c>
      <c r="G149" t="s">
        <v>2347</v>
      </c>
      <c r="H149" t="s">
        <v>1988</v>
      </c>
      <c r="I149" t="s">
        <v>4</v>
      </c>
      <c r="J149">
        <v>135</v>
      </c>
      <c r="K149" t="s">
        <v>5</v>
      </c>
      <c r="L149">
        <v>96</v>
      </c>
      <c r="M149" t="s">
        <v>6</v>
      </c>
      <c r="N149">
        <v>30.58</v>
      </c>
      <c r="O149" t="s">
        <v>7</v>
      </c>
      <c r="P149">
        <v>0.22651851851851901</v>
      </c>
      <c r="Q149" t="s">
        <v>8</v>
      </c>
      <c r="R149">
        <v>1.3763541666666601</v>
      </c>
      <c r="S149" t="s">
        <v>9</v>
      </c>
      <c r="T149">
        <v>-2.6723684210526302</v>
      </c>
      <c r="U149" t="s">
        <v>10</v>
      </c>
      <c r="V149">
        <v>0.47364723075091902</v>
      </c>
      <c r="W149" t="s">
        <v>11</v>
      </c>
      <c r="X149" t="s">
        <v>2415</v>
      </c>
      <c r="Y149" t="s">
        <v>691</v>
      </c>
      <c r="Z149">
        <v>0</v>
      </c>
      <c r="AA149" t="s">
        <v>14</v>
      </c>
      <c r="AB149" t="s">
        <v>15</v>
      </c>
      <c r="AC149" t="s">
        <v>2415</v>
      </c>
      <c r="AD149" t="s">
        <v>691</v>
      </c>
      <c r="AE149">
        <v>0</v>
      </c>
      <c r="AF149" t="s">
        <v>18</v>
      </c>
    </row>
    <row r="150" spans="1:32" x14ac:dyDescent="0.3">
      <c r="A150" t="s">
        <v>134</v>
      </c>
      <c r="B150" t="s">
        <v>1</v>
      </c>
      <c r="C150">
        <v>0.4</v>
      </c>
      <c r="D150" t="s">
        <v>588</v>
      </c>
      <c r="E150" t="s">
        <v>2323</v>
      </c>
      <c r="F150">
        <v>0.2</v>
      </c>
      <c r="G150" t="s">
        <v>2355</v>
      </c>
      <c r="H150" t="s">
        <v>1991</v>
      </c>
      <c r="I150" t="s">
        <v>4</v>
      </c>
      <c r="J150">
        <v>140</v>
      </c>
      <c r="K150" t="s">
        <v>5</v>
      </c>
      <c r="L150">
        <v>80</v>
      </c>
      <c r="M150" t="s">
        <v>6</v>
      </c>
      <c r="N150">
        <v>13.07</v>
      </c>
      <c r="O150" t="s">
        <v>7</v>
      </c>
      <c r="P150">
        <v>9.3357142857143E-2</v>
      </c>
      <c r="Q150" t="s">
        <v>8</v>
      </c>
      <c r="R150">
        <v>1.35575</v>
      </c>
      <c r="S150" t="s">
        <v>9</v>
      </c>
      <c r="T150">
        <v>-1.61677966101694</v>
      </c>
      <c r="U150" t="s">
        <v>10</v>
      </c>
      <c r="V150">
        <v>0.324125663936495</v>
      </c>
      <c r="W150" t="s">
        <v>11</v>
      </c>
      <c r="X150" t="s">
        <v>2416</v>
      </c>
      <c r="Y150" t="s">
        <v>691</v>
      </c>
      <c r="Z150">
        <v>0</v>
      </c>
      <c r="AA150" t="s">
        <v>14</v>
      </c>
      <c r="AB150" t="s">
        <v>15</v>
      </c>
      <c r="AC150" t="s">
        <v>2416</v>
      </c>
      <c r="AD150" t="s">
        <v>691</v>
      </c>
      <c r="AE150">
        <v>0</v>
      </c>
      <c r="AF150" t="s">
        <v>18</v>
      </c>
    </row>
    <row r="151" spans="1:32" x14ac:dyDescent="0.3">
      <c r="A151" t="s">
        <v>134</v>
      </c>
      <c r="B151" t="s">
        <v>1</v>
      </c>
      <c r="C151">
        <v>0.4</v>
      </c>
      <c r="D151" t="s">
        <v>588</v>
      </c>
      <c r="E151" t="s">
        <v>2323</v>
      </c>
      <c r="F151">
        <v>0.2</v>
      </c>
      <c r="G151" t="s">
        <v>2355</v>
      </c>
      <c r="H151" t="s">
        <v>1994</v>
      </c>
      <c r="I151" t="s">
        <v>4</v>
      </c>
      <c r="J151">
        <v>140</v>
      </c>
      <c r="K151" t="s">
        <v>5</v>
      </c>
      <c r="L151">
        <v>92</v>
      </c>
      <c r="M151" t="s">
        <v>6</v>
      </c>
      <c r="N151">
        <v>21.79</v>
      </c>
      <c r="O151" t="s">
        <v>7</v>
      </c>
      <c r="P151">
        <v>0.155642857142857</v>
      </c>
      <c r="Q151" t="s">
        <v>8</v>
      </c>
      <c r="R151">
        <v>1.37847826086956</v>
      </c>
      <c r="S151" t="s">
        <v>9</v>
      </c>
      <c r="T151">
        <v>-2.2346808510638199</v>
      </c>
      <c r="U151" t="s">
        <v>10</v>
      </c>
      <c r="V151">
        <v>0.36751403307341701</v>
      </c>
      <c r="W151" t="s">
        <v>11</v>
      </c>
      <c r="X151" t="s">
        <v>2416</v>
      </c>
      <c r="Y151" t="s">
        <v>691</v>
      </c>
      <c r="Z151">
        <v>0</v>
      </c>
      <c r="AA151" t="s">
        <v>14</v>
      </c>
      <c r="AB151" t="s">
        <v>15</v>
      </c>
      <c r="AC151" t="s">
        <v>2416</v>
      </c>
      <c r="AD151" t="s">
        <v>691</v>
      </c>
      <c r="AE151">
        <v>0</v>
      </c>
      <c r="AF151" t="s">
        <v>18</v>
      </c>
    </row>
    <row r="152" spans="1:32" x14ac:dyDescent="0.3">
      <c r="A152" t="s">
        <v>134</v>
      </c>
      <c r="B152" t="s">
        <v>1</v>
      </c>
      <c r="C152">
        <v>0.4</v>
      </c>
      <c r="D152" t="s">
        <v>588</v>
      </c>
      <c r="E152" t="s">
        <v>2323</v>
      </c>
      <c r="F152">
        <v>0.2</v>
      </c>
      <c r="G152" t="s">
        <v>2355</v>
      </c>
      <c r="H152" t="s">
        <v>1996</v>
      </c>
      <c r="I152" t="s">
        <v>4</v>
      </c>
      <c r="J152">
        <v>140</v>
      </c>
      <c r="K152" t="s">
        <v>5</v>
      </c>
      <c r="L152">
        <v>98</v>
      </c>
      <c r="M152" t="s">
        <v>6</v>
      </c>
      <c r="N152">
        <v>22.95</v>
      </c>
      <c r="O152" t="s">
        <v>7</v>
      </c>
      <c r="P152">
        <v>0.16392857142857101</v>
      </c>
      <c r="Q152" t="s">
        <v>8</v>
      </c>
      <c r="R152">
        <v>1.4022448979591799</v>
      </c>
      <c r="S152" t="s">
        <v>9</v>
      </c>
      <c r="T152">
        <v>-2.7919512195121898</v>
      </c>
      <c r="U152" t="s">
        <v>10</v>
      </c>
      <c r="V152">
        <v>0.42667180244554098</v>
      </c>
      <c r="W152" t="s">
        <v>11</v>
      </c>
      <c r="X152" t="s">
        <v>2416</v>
      </c>
      <c r="Y152" t="s">
        <v>691</v>
      </c>
      <c r="Z152">
        <v>0</v>
      </c>
      <c r="AA152" t="s">
        <v>14</v>
      </c>
      <c r="AB152" t="s">
        <v>15</v>
      </c>
      <c r="AC152" t="s">
        <v>2416</v>
      </c>
      <c r="AD152" t="s">
        <v>691</v>
      </c>
      <c r="AE152">
        <v>0</v>
      </c>
      <c r="AF152" t="s">
        <v>18</v>
      </c>
    </row>
    <row r="153" spans="1:32" x14ac:dyDescent="0.3">
      <c r="A153" t="s">
        <v>134</v>
      </c>
      <c r="B153" t="s">
        <v>1</v>
      </c>
      <c r="C153">
        <v>0.4</v>
      </c>
      <c r="D153" t="s">
        <v>588</v>
      </c>
      <c r="E153" t="s">
        <v>2323</v>
      </c>
      <c r="F153">
        <v>0.2</v>
      </c>
      <c r="G153" t="s">
        <v>2355</v>
      </c>
      <c r="H153" t="s">
        <v>1997</v>
      </c>
      <c r="I153" t="s">
        <v>4</v>
      </c>
      <c r="J153">
        <v>140</v>
      </c>
      <c r="K153" t="s">
        <v>5</v>
      </c>
      <c r="L153">
        <v>102</v>
      </c>
      <c r="M153" t="s">
        <v>6</v>
      </c>
      <c r="N153">
        <v>33.01</v>
      </c>
      <c r="O153" t="s">
        <v>7</v>
      </c>
      <c r="P153">
        <v>0.23578571428571399</v>
      </c>
      <c r="Q153" t="s">
        <v>8</v>
      </c>
      <c r="R153">
        <v>1.4559803921568599</v>
      </c>
      <c r="S153" t="s">
        <v>9</v>
      </c>
      <c r="T153">
        <v>-3.1216216216216202</v>
      </c>
      <c r="U153" t="s">
        <v>10</v>
      </c>
      <c r="V153">
        <v>0.45072616858364001</v>
      </c>
      <c r="W153" t="s">
        <v>11</v>
      </c>
      <c r="X153" t="s">
        <v>2416</v>
      </c>
      <c r="Y153" t="s">
        <v>691</v>
      </c>
      <c r="Z153">
        <v>0</v>
      </c>
      <c r="AA153" t="s">
        <v>14</v>
      </c>
      <c r="AB153" t="s">
        <v>15</v>
      </c>
      <c r="AC153" t="s">
        <v>2416</v>
      </c>
      <c r="AD153" t="s">
        <v>691</v>
      </c>
      <c r="AE153">
        <v>0</v>
      </c>
      <c r="AF153" t="s">
        <v>18</v>
      </c>
    </row>
    <row r="154" spans="1:32" x14ac:dyDescent="0.3">
      <c r="A154" t="s">
        <v>134</v>
      </c>
      <c r="B154" t="s">
        <v>1</v>
      </c>
      <c r="C154">
        <v>0.4</v>
      </c>
      <c r="D154" t="s">
        <v>588</v>
      </c>
      <c r="E154" t="s">
        <v>2323</v>
      </c>
      <c r="F154">
        <v>0.2</v>
      </c>
      <c r="G154" t="s">
        <v>2361</v>
      </c>
      <c r="H154" t="s">
        <v>1999</v>
      </c>
      <c r="I154" t="s">
        <v>4</v>
      </c>
      <c r="J154">
        <v>139</v>
      </c>
      <c r="K154" t="s">
        <v>5</v>
      </c>
      <c r="L154">
        <v>71</v>
      </c>
      <c r="M154" t="s">
        <v>6</v>
      </c>
      <c r="N154">
        <v>-2.0054678821029599</v>
      </c>
      <c r="O154" t="s">
        <v>7</v>
      </c>
      <c r="P154">
        <v>-1.44278264899494E-2</v>
      </c>
      <c r="Q154" t="s">
        <v>8</v>
      </c>
      <c r="R154">
        <v>1.5652223171774899</v>
      </c>
      <c r="S154" t="s">
        <v>9</v>
      </c>
      <c r="T154">
        <v>-1.688600782115</v>
      </c>
      <c r="U154" t="s">
        <v>10</v>
      </c>
      <c r="V154">
        <v>0.31912018534998299</v>
      </c>
      <c r="W154" t="s">
        <v>11</v>
      </c>
      <c r="X154" t="s">
        <v>2416</v>
      </c>
      <c r="Y154" t="s">
        <v>691</v>
      </c>
      <c r="Z154">
        <v>0</v>
      </c>
      <c r="AA154" t="s">
        <v>14</v>
      </c>
      <c r="AB154" t="s">
        <v>15</v>
      </c>
      <c r="AC154" t="s">
        <v>2416</v>
      </c>
      <c r="AD154" t="s">
        <v>691</v>
      </c>
      <c r="AE154">
        <v>0</v>
      </c>
      <c r="AF154" t="s">
        <v>18</v>
      </c>
    </row>
    <row r="155" spans="1:32" x14ac:dyDescent="0.3">
      <c r="A155" t="s">
        <v>134</v>
      </c>
      <c r="B155" t="s">
        <v>1</v>
      </c>
      <c r="C155">
        <v>0.4</v>
      </c>
      <c r="D155" t="s">
        <v>588</v>
      </c>
      <c r="E155" t="s">
        <v>2323</v>
      </c>
      <c r="F155">
        <v>0.2</v>
      </c>
      <c r="G155" t="s">
        <v>2361</v>
      </c>
      <c r="H155" t="s">
        <v>2002</v>
      </c>
      <c r="I155" t="s">
        <v>4</v>
      </c>
      <c r="J155">
        <v>139</v>
      </c>
      <c r="K155" t="s">
        <v>5</v>
      </c>
      <c r="L155">
        <v>83</v>
      </c>
      <c r="M155" t="s">
        <v>6</v>
      </c>
      <c r="N155">
        <v>-0.51546788210297101</v>
      </c>
      <c r="O155" t="s">
        <v>7</v>
      </c>
      <c r="P155">
        <v>-3.7084020295177801E-3</v>
      </c>
      <c r="Q155" t="s">
        <v>8</v>
      </c>
      <c r="R155">
        <v>1.55928656047713</v>
      </c>
      <c r="S155" t="s">
        <v>9</v>
      </c>
      <c r="T155">
        <v>-2.36247731639464</v>
      </c>
      <c r="U155" t="s">
        <v>10</v>
      </c>
      <c r="V155">
        <v>0.35957514604115398</v>
      </c>
      <c r="W155" t="s">
        <v>11</v>
      </c>
      <c r="X155" t="s">
        <v>2416</v>
      </c>
      <c r="Y155" t="s">
        <v>691</v>
      </c>
      <c r="Z155">
        <v>0</v>
      </c>
      <c r="AA155" t="s">
        <v>14</v>
      </c>
      <c r="AB155" t="s">
        <v>15</v>
      </c>
      <c r="AC155" t="s">
        <v>2416</v>
      </c>
      <c r="AD155" t="s">
        <v>691</v>
      </c>
      <c r="AE155">
        <v>0</v>
      </c>
      <c r="AF155" t="s">
        <v>18</v>
      </c>
    </row>
    <row r="156" spans="1:32" x14ac:dyDescent="0.3">
      <c r="A156" t="s">
        <v>134</v>
      </c>
      <c r="B156" t="s">
        <v>1</v>
      </c>
      <c r="C156">
        <v>0.4</v>
      </c>
      <c r="D156" t="s">
        <v>588</v>
      </c>
      <c r="E156" t="s">
        <v>2323</v>
      </c>
      <c r="F156">
        <v>0.2</v>
      </c>
      <c r="G156" t="s">
        <v>2361</v>
      </c>
      <c r="H156" t="s">
        <v>2004</v>
      </c>
      <c r="I156" t="s">
        <v>4</v>
      </c>
      <c r="J156">
        <v>139</v>
      </c>
      <c r="K156" t="s">
        <v>5</v>
      </c>
      <c r="L156">
        <v>92</v>
      </c>
      <c r="M156" t="s">
        <v>6</v>
      </c>
      <c r="N156">
        <v>0.38453211789705199</v>
      </c>
      <c r="O156" t="s">
        <v>7</v>
      </c>
      <c r="P156">
        <v>2.7664181143672801E-3</v>
      </c>
      <c r="Q156" t="s">
        <v>8</v>
      </c>
      <c r="R156">
        <v>1.60407100128149</v>
      </c>
      <c r="S156" t="s">
        <v>9</v>
      </c>
      <c r="T156">
        <v>-3.1997826086956498</v>
      </c>
      <c r="U156" t="s">
        <v>10</v>
      </c>
      <c r="V156">
        <v>0.43337935799320798</v>
      </c>
      <c r="W156" t="s">
        <v>11</v>
      </c>
      <c r="X156" t="s">
        <v>2416</v>
      </c>
      <c r="Y156" t="s">
        <v>691</v>
      </c>
      <c r="Z156">
        <v>0</v>
      </c>
      <c r="AA156" t="s">
        <v>14</v>
      </c>
      <c r="AB156" t="s">
        <v>15</v>
      </c>
      <c r="AC156" t="s">
        <v>2417</v>
      </c>
      <c r="AD156" t="s">
        <v>2418</v>
      </c>
      <c r="AE156">
        <v>0</v>
      </c>
      <c r="AF156" t="s">
        <v>18</v>
      </c>
    </row>
    <row r="157" spans="1:32" x14ac:dyDescent="0.3">
      <c r="A157" t="s">
        <v>134</v>
      </c>
      <c r="B157" t="s">
        <v>1</v>
      </c>
      <c r="C157">
        <v>0.4</v>
      </c>
      <c r="D157" t="s">
        <v>588</v>
      </c>
      <c r="E157" t="s">
        <v>2323</v>
      </c>
      <c r="F157">
        <v>0.2</v>
      </c>
      <c r="G157" t="s">
        <v>2361</v>
      </c>
      <c r="H157" t="s">
        <v>2005</v>
      </c>
      <c r="I157" t="s">
        <v>4</v>
      </c>
      <c r="J157">
        <v>139</v>
      </c>
      <c r="K157" t="s">
        <v>5</v>
      </c>
      <c r="L157">
        <v>95</v>
      </c>
      <c r="M157" t="s">
        <v>6</v>
      </c>
      <c r="N157">
        <v>-15.165467882102901</v>
      </c>
      <c r="O157" t="s">
        <v>7</v>
      </c>
      <c r="P157">
        <v>-0.10910408548275401</v>
      </c>
      <c r="Q157" t="s">
        <v>8</v>
      </c>
      <c r="R157">
        <v>1.6240477065041801</v>
      </c>
      <c r="S157" t="s">
        <v>9</v>
      </c>
      <c r="T157">
        <v>-3.9406976744186002</v>
      </c>
      <c r="U157" t="s">
        <v>10</v>
      </c>
      <c r="V157">
        <v>0.46271626897782397</v>
      </c>
      <c r="W157" t="s">
        <v>11</v>
      </c>
      <c r="X157" t="s">
        <v>2416</v>
      </c>
      <c r="Y157" t="s">
        <v>691</v>
      </c>
      <c r="Z157">
        <v>0</v>
      </c>
      <c r="AA157" t="s">
        <v>14</v>
      </c>
      <c r="AB157" t="s">
        <v>15</v>
      </c>
      <c r="AC157" t="s">
        <v>2417</v>
      </c>
      <c r="AD157" t="s">
        <v>2418</v>
      </c>
      <c r="AE157">
        <v>0</v>
      </c>
      <c r="AF157" t="s">
        <v>18</v>
      </c>
    </row>
    <row r="158" spans="1:32" x14ac:dyDescent="0.3">
      <c r="A158" t="s">
        <v>134</v>
      </c>
      <c r="B158" t="s">
        <v>1</v>
      </c>
      <c r="C158">
        <v>0.3</v>
      </c>
      <c r="D158" t="s">
        <v>588</v>
      </c>
      <c r="E158" t="s">
        <v>2323</v>
      </c>
      <c r="F158">
        <v>0.15</v>
      </c>
      <c r="G158" t="s">
        <v>2324</v>
      </c>
      <c r="H158" t="s">
        <v>1979</v>
      </c>
      <c r="I158" t="s">
        <v>4</v>
      </c>
      <c r="J158">
        <v>135</v>
      </c>
      <c r="K158" t="s">
        <v>5</v>
      </c>
      <c r="L158">
        <v>40</v>
      </c>
      <c r="M158" t="s">
        <v>6</v>
      </c>
      <c r="N158">
        <v>-9.9999999999999805</v>
      </c>
      <c r="O158" t="s">
        <v>7</v>
      </c>
      <c r="P158">
        <v>-7.4074074074073903E-2</v>
      </c>
      <c r="Q158" t="s">
        <v>8</v>
      </c>
      <c r="R158">
        <v>1.10225</v>
      </c>
      <c r="S158" t="s">
        <v>9</v>
      </c>
      <c r="T158">
        <v>-0.57542553191489298</v>
      </c>
      <c r="U158" t="s">
        <v>10</v>
      </c>
      <c r="V158">
        <v>0.18736980895805799</v>
      </c>
      <c r="W158" t="s">
        <v>11</v>
      </c>
      <c r="X158" t="s">
        <v>2419</v>
      </c>
      <c r="Y158" t="s">
        <v>2420</v>
      </c>
      <c r="Z158">
        <v>0</v>
      </c>
      <c r="AA158" t="s">
        <v>14</v>
      </c>
      <c r="AB158" t="s">
        <v>15</v>
      </c>
      <c r="AC158" t="s">
        <v>2419</v>
      </c>
      <c r="AD158" t="s">
        <v>2420</v>
      </c>
      <c r="AE158">
        <v>0</v>
      </c>
      <c r="AF158" t="s">
        <v>18</v>
      </c>
    </row>
    <row r="159" spans="1:32" x14ac:dyDescent="0.3">
      <c r="A159" t="s">
        <v>134</v>
      </c>
      <c r="B159" t="s">
        <v>1</v>
      </c>
      <c r="C159">
        <v>0.3</v>
      </c>
      <c r="D159" t="s">
        <v>588</v>
      </c>
      <c r="E159" t="s">
        <v>2323</v>
      </c>
      <c r="F159">
        <v>0.15</v>
      </c>
      <c r="G159" t="s">
        <v>2324</v>
      </c>
      <c r="H159" t="s">
        <v>1982</v>
      </c>
      <c r="I159" t="s">
        <v>4</v>
      </c>
      <c r="J159">
        <v>135</v>
      </c>
      <c r="K159" t="s">
        <v>5</v>
      </c>
      <c r="L159">
        <v>45</v>
      </c>
      <c r="M159" t="s">
        <v>6</v>
      </c>
      <c r="N159">
        <v>-13.12</v>
      </c>
      <c r="O159" t="s">
        <v>7</v>
      </c>
      <c r="P159">
        <v>-9.7185185185185194E-2</v>
      </c>
      <c r="Q159" t="s">
        <v>8</v>
      </c>
      <c r="R159">
        <v>1.0693333333333299</v>
      </c>
      <c r="S159" t="s">
        <v>9</v>
      </c>
      <c r="T159">
        <v>-0.68808988764044898</v>
      </c>
      <c r="U159" t="s">
        <v>10</v>
      </c>
      <c r="V159">
        <v>0.24162675861430599</v>
      </c>
      <c r="W159" t="s">
        <v>11</v>
      </c>
      <c r="X159" t="s">
        <v>2421</v>
      </c>
      <c r="Y159" t="s">
        <v>1249</v>
      </c>
      <c r="Z159">
        <v>0</v>
      </c>
      <c r="AA159" t="s">
        <v>14</v>
      </c>
      <c r="AB159" t="s">
        <v>15</v>
      </c>
      <c r="AC159" t="s">
        <v>2421</v>
      </c>
      <c r="AD159" t="s">
        <v>1249</v>
      </c>
      <c r="AE159">
        <v>0</v>
      </c>
      <c r="AF159" t="s">
        <v>18</v>
      </c>
    </row>
    <row r="160" spans="1:32" x14ac:dyDescent="0.3">
      <c r="A160" t="s">
        <v>134</v>
      </c>
      <c r="B160" t="s">
        <v>1</v>
      </c>
      <c r="C160">
        <v>0.3</v>
      </c>
      <c r="D160" t="s">
        <v>588</v>
      </c>
      <c r="E160" t="s">
        <v>2323</v>
      </c>
      <c r="F160">
        <v>0.15</v>
      </c>
      <c r="G160" t="s">
        <v>2324</v>
      </c>
      <c r="H160" t="s">
        <v>1985</v>
      </c>
      <c r="I160" t="s">
        <v>4</v>
      </c>
      <c r="J160">
        <v>135</v>
      </c>
      <c r="K160" t="s">
        <v>5</v>
      </c>
      <c r="L160">
        <v>45</v>
      </c>
      <c r="M160" t="s">
        <v>6</v>
      </c>
      <c r="N160">
        <v>-18.89</v>
      </c>
      <c r="O160" t="s">
        <v>7</v>
      </c>
      <c r="P160">
        <v>-0.13992592592592501</v>
      </c>
      <c r="Q160" t="s">
        <v>8</v>
      </c>
      <c r="R160">
        <v>1.0693333333333299</v>
      </c>
      <c r="S160" t="s">
        <v>9</v>
      </c>
      <c r="T160">
        <v>-0.752921348314606</v>
      </c>
      <c r="U160" t="s">
        <v>10</v>
      </c>
      <c r="V160">
        <v>0.26012707116901101</v>
      </c>
      <c r="W160" t="s">
        <v>11</v>
      </c>
      <c r="X160" t="s">
        <v>2421</v>
      </c>
      <c r="Y160" t="s">
        <v>1249</v>
      </c>
      <c r="Z160">
        <v>0</v>
      </c>
      <c r="AA160" t="s">
        <v>14</v>
      </c>
      <c r="AB160" t="s">
        <v>15</v>
      </c>
      <c r="AC160" t="s">
        <v>2421</v>
      </c>
      <c r="AD160" t="s">
        <v>1249</v>
      </c>
      <c r="AE160">
        <v>0</v>
      </c>
      <c r="AF160" t="s">
        <v>18</v>
      </c>
    </row>
    <row r="161" spans="1:32" x14ac:dyDescent="0.3">
      <c r="A161" t="s">
        <v>134</v>
      </c>
      <c r="B161" t="s">
        <v>1</v>
      </c>
      <c r="C161">
        <v>0.3</v>
      </c>
      <c r="D161" t="s">
        <v>588</v>
      </c>
      <c r="E161" t="s">
        <v>2323</v>
      </c>
      <c r="F161">
        <v>0.15</v>
      </c>
      <c r="G161" t="s">
        <v>2324</v>
      </c>
      <c r="H161" t="s">
        <v>1988</v>
      </c>
      <c r="I161" t="s">
        <v>4</v>
      </c>
      <c r="J161">
        <v>135</v>
      </c>
      <c r="K161" t="s">
        <v>5</v>
      </c>
      <c r="L161">
        <v>45</v>
      </c>
      <c r="M161" t="s">
        <v>6</v>
      </c>
      <c r="N161">
        <v>-20.54</v>
      </c>
      <c r="O161" t="s">
        <v>7</v>
      </c>
      <c r="P161">
        <v>-0.152148148148148</v>
      </c>
      <c r="Q161" t="s">
        <v>8</v>
      </c>
      <c r="R161">
        <v>1.0693333333333299</v>
      </c>
      <c r="S161" t="s">
        <v>9</v>
      </c>
      <c r="T161">
        <v>-0.77146067415730302</v>
      </c>
      <c r="U161" t="s">
        <v>10</v>
      </c>
      <c r="V161">
        <v>0.27794818778619301</v>
      </c>
      <c r="W161" t="s">
        <v>11</v>
      </c>
      <c r="X161" t="s">
        <v>2421</v>
      </c>
      <c r="Y161" t="s">
        <v>1249</v>
      </c>
      <c r="Z161">
        <v>0</v>
      </c>
      <c r="AA161" t="s">
        <v>14</v>
      </c>
      <c r="AB161" t="s">
        <v>15</v>
      </c>
      <c r="AC161" t="s">
        <v>2421</v>
      </c>
      <c r="AD161" t="s">
        <v>1249</v>
      </c>
      <c r="AE161">
        <v>0</v>
      </c>
      <c r="AF161" t="s">
        <v>18</v>
      </c>
    </row>
    <row r="162" spans="1:32" x14ac:dyDescent="0.3">
      <c r="A162" t="s">
        <v>134</v>
      </c>
      <c r="B162" t="s">
        <v>1</v>
      </c>
      <c r="C162">
        <v>0.3</v>
      </c>
      <c r="D162" t="s">
        <v>588</v>
      </c>
      <c r="E162" t="s">
        <v>2323</v>
      </c>
      <c r="F162">
        <v>0.15</v>
      </c>
      <c r="G162" t="s">
        <v>2329</v>
      </c>
      <c r="H162" t="s">
        <v>1991</v>
      </c>
      <c r="I162" t="s">
        <v>4</v>
      </c>
      <c r="J162">
        <v>140</v>
      </c>
      <c r="K162" t="s">
        <v>5</v>
      </c>
      <c r="L162">
        <v>33</v>
      </c>
      <c r="M162" t="s">
        <v>6</v>
      </c>
      <c r="N162">
        <v>-27.189999999999898</v>
      </c>
      <c r="O162" t="s">
        <v>7</v>
      </c>
      <c r="P162">
        <v>-0.19421428571428501</v>
      </c>
      <c r="Q162" t="s">
        <v>8</v>
      </c>
      <c r="R162">
        <v>1.36</v>
      </c>
      <c r="S162" t="s">
        <v>9</v>
      </c>
      <c r="T162">
        <v>-0.679905660377358</v>
      </c>
      <c r="U162" t="s">
        <v>10</v>
      </c>
      <c r="V162">
        <v>0.23372989666760199</v>
      </c>
      <c r="W162" t="s">
        <v>11</v>
      </c>
      <c r="X162" t="s">
        <v>2422</v>
      </c>
      <c r="Y162" t="s">
        <v>2192</v>
      </c>
      <c r="Z162">
        <v>0</v>
      </c>
      <c r="AA162" t="s">
        <v>14</v>
      </c>
      <c r="AB162" t="s">
        <v>15</v>
      </c>
      <c r="AC162" t="s">
        <v>2422</v>
      </c>
      <c r="AD162" t="s">
        <v>2192</v>
      </c>
      <c r="AE162">
        <v>0</v>
      </c>
      <c r="AF162" t="s">
        <v>18</v>
      </c>
    </row>
    <row r="163" spans="1:32" x14ac:dyDescent="0.3">
      <c r="A163" t="s">
        <v>134</v>
      </c>
      <c r="B163" t="s">
        <v>1</v>
      </c>
      <c r="C163">
        <v>0.3</v>
      </c>
      <c r="D163" t="s">
        <v>588</v>
      </c>
      <c r="E163" t="s">
        <v>2323</v>
      </c>
      <c r="F163">
        <v>0.15</v>
      </c>
      <c r="G163" t="s">
        <v>2329</v>
      </c>
      <c r="H163" t="s">
        <v>1994</v>
      </c>
      <c r="I163" t="s">
        <v>4</v>
      </c>
      <c r="J163">
        <v>140</v>
      </c>
      <c r="K163" t="s">
        <v>5</v>
      </c>
      <c r="L163">
        <v>39</v>
      </c>
      <c r="M163" t="s">
        <v>6</v>
      </c>
      <c r="N163">
        <v>-25.999999999999901</v>
      </c>
      <c r="O163" t="s">
        <v>7</v>
      </c>
      <c r="P163">
        <v>-0.185714285714285</v>
      </c>
      <c r="Q163" t="s">
        <v>8</v>
      </c>
      <c r="R163">
        <v>1.3861538461538401</v>
      </c>
      <c r="S163" t="s">
        <v>9</v>
      </c>
      <c r="T163">
        <v>-0.80059999999999998</v>
      </c>
      <c r="U163" t="s">
        <v>10</v>
      </c>
      <c r="V163">
        <v>0.26688781520154098</v>
      </c>
      <c r="W163" t="s">
        <v>11</v>
      </c>
      <c r="X163" t="s">
        <v>2422</v>
      </c>
      <c r="Y163" t="s">
        <v>2192</v>
      </c>
      <c r="Z163">
        <v>0</v>
      </c>
      <c r="AA163" t="s">
        <v>14</v>
      </c>
      <c r="AB163" t="s">
        <v>15</v>
      </c>
      <c r="AC163" t="s">
        <v>2422</v>
      </c>
      <c r="AD163" t="s">
        <v>2192</v>
      </c>
      <c r="AE163">
        <v>0</v>
      </c>
      <c r="AF163" t="s">
        <v>18</v>
      </c>
    </row>
    <row r="164" spans="1:32" x14ac:dyDescent="0.3">
      <c r="A164" t="s">
        <v>134</v>
      </c>
      <c r="B164" t="s">
        <v>1</v>
      </c>
      <c r="C164">
        <v>0.3</v>
      </c>
      <c r="D164" t="s">
        <v>588</v>
      </c>
      <c r="E164" t="s">
        <v>2323</v>
      </c>
      <c r="F164">
        <v>0.15</v>
      </c>
      <c r="G164" t="s">
        <v>2329</v>
      </c>
      <c r="H164" t="s">
        <v>1996</v>
      </c>
      <c r="I164" t="s">
        <v>4</v>
      </c>
      <c r="J164">
        <v>140</v>
      </c>
      <c r="K164" t="s">
        <v>5</v>
      </c>
      <c r="L164">
        <v>39</v>
      </c>
      <c r="M164" t="s">
        <v>6</v>
      </c>
      <c r="N164">
        <v>-34.2899999999999</v>
      </c>
      <c r="O164" t="s">
        <v>7</v>
      </c>
      <c r="P164">
        <v>-0.24492857142857</v>
      </c>
      <c r="Q164" t="s">
        <v>8</v>
      </c>
      <c r="R164">
        <v>1.3861538461538401</v>
      </c>
      <c r="S164" t="s">
        <v>9</v>
      </c>
      <c r="T164">
        <v>-0.88349999999999895</v>
      </c>
      <c r="U164" t="s">
        <v>10</v>
      </c>
      <c r="V164">
        <v>0.295193635625419</v>
      </c>
      <c r="W164" t="s">
        <v>11</v>
      </c>
      <c r="X164" t="s">
        <v>2422</v>
      </c>
      <c r="Y164" t="s">
        <v>2192</v>
      </c>
      <c r="Z164">
        <v>0</v>
      </c>
      <c r="AA164" t="s">
        <v>14</v>
      </c>
      <c r="AB164" t="s">
        <v>15</v>
      </c>
      <c r="AC164" t="s">
        <v>2422</v>
      </c>
      <c r="AD164" t="s">
        <v>2192</v>
      </c>
      <c r="AE164">
        <v>0</v>
      </c>
      <c r="AF164" t="s">
        <v>18</v>
      </c>
    </row>
    <row r="165" spans="1:32" x14ac:dyDescent="0.3">
      <c r="A165" t="s">
        <v>134</v>
      </c>
      <c r="B165" t="s">
        <v>1</v>
      </c>
      <c r="C165">
        <v>0.3</v>
      </c>
      <c r="D165" t="s">
        <v>588</v>
      </c>
      <c r="E165" t="s">
        <v>2323</v>
      </c>
      <c r="F165">
        <v>0.15</v>
      </c>
      <c r="G165" t="s">
        <v>2329</v>
      </c>
      <c r="H165" t="s">
        <v>1997</v>
      </c>
      <c r="I165" t="s">
        <v>4</v>
      </c>
      <c r="J165">
        <v>140</v>
      </c>
      <c r="K165" t="s">
        <v>5</v>
      </c>
      <c r="L165">
        <v>39</v>
      </c>
      <c r="M165" t="s">
        <v>6</v>
      </c>
      <c r="N165">
        <v>-34.019999999999897</v>
      </c>
      <c r="O165" t="s">
        <v>7</v>
      </c>
      <c r="P165">
        <v>-0.24299999999999899</v>
      </c>
      <c r="Q165" t="s">
        <v>8</v>
      </c>
      <c r="R165">
        <v>1.3861538461538401</v>
      </c>
      <c r="S165" t="s">
        <v>9</v>
      </c>
      <c r="T165">
        <v>-0.88079999999999903</v>
      </c>
      <c r="U165" t="s">
        <v>10</v>
      </c>
      <c r="V165">
        <v>0.306860095015419</v>
      </c>
      <c r="W165" t="s">
        <v>11</v>
      </c>
      <c r="X165" t="s">
        <v>2422</v>
      </c>
      <c r="Y165" t="s">
        <v>2192</v>
      </c>
      <c r="Z165">
        <v>0</v>
      </c>
      <c r="AA165" t="s">
        <v>14</v>
      </c>
      <c r="AB165" t="s">
        <v>15</v>
      </c>
      <c r="AC165" t="s">
        <v>2422</v>
      </c>
      <c r="AD165" t="s">
        <v>2192</v>
      </c>
      <c r="AE165">
        <v>0</v>
      </c>
      <c r="AF165" t="s">
        <v>18</v>
      </c>
    </row>
    <row r="166" spans="1:32" x14ac:dyDescent="0.3">
      <c r="A166" t="s">
        <v>134</v>
      </c>
      <c r="B166" t="s">
        <v>1</v>
      </c>
      <c r="C166">
        <v>0.3</v>
      </c>
      <c r="D166" t="s">
        <v>588</v>
      </c>
      <c r="E166" t="s">
        <v>2323</v>
      </c>
      <c r="F166">
        <v>0.15</v>
      </c>
      <c r="G166" t="s">
        <v>2332</v>
      </c>
      <c r="H166" t="s">
        <v>1999</v>
      </c>
      <c r="I166" t="s">
        <v>4</v>
      </c>
      <c r="J166">
        <v>139</v>
      </c>
      <c r="K166" t="s">
        <v>5</v>
      </c>
      <c r="L166">
        <v>38</v>
      </c>
      <c r="M166" t="s">
        <v>6</v>
      </c>
      <c r="N166">
        <v>-11.924325434737</v>
      </c>
      <c r="O166" t="s">
        <v>7</v>
      </c>
      <c r="P166">
        <v>-8.5786513918971297E-2</v>
      </c>
      <c r="Q166" t="s">
        <v>8</v>
      </c>
      <c r="R166">
        <v>1.83152564943003</v>
      </c>
      <c r="S166" t="s">
        <v>9</v>
      </c>
      <c r="T166">
        <v>-0.81522300113078305</v>
      </c>
      <c r="U166" t="s">
        <v>10</v>
      </c>
      <c r="V166">
        <v>0.25195846533598798</v>
      </c>
      <c r="W166" t="s">
        <v>11</v>
      </c>
      <c r="X166" t="s">
        <v>2422</v>
      </c>
      <c r="Y166" t="s">
        <v>2192</v>
      </c>
      <c r="Z166">
        <v>0</v>
      </c>
      <c r="AA166" t="s">
        <v>14</v>
      </c>
      <c r="AB166" t="s">
        <v>15</v>
      </c>
      <c r="AC166" t="s">
        <v>2422</v>
      </c>
      <c r="AD166" t="s">
        <v>2192</v>
      </c>
      <c r="AE166">
        <v>0</v>
      </c>
      <c r="AF166" t="s">
        <v>18</v>
      </c>
    </row>
    <row r="167" spans="1:32" x14ac:dyDescent="0.3">
      <c r="A167" t="s">
        <v>134</v>
      </c>
      <c r="B167" t="s">
        <v>1</v>
      </c>
      <c r="C167">
        <v>0.3</v>
      </c>
      <c r="D167" t="s">
        <v>588</v>
      </c>
      <c r="E167" t="s">
        <v>2323</v>
      </c>
      <c r="F167">
        <v>0.15</v>
      </c>
      <c r="G167" t="s">
        <v>2332</v>
      </c>
      <c r="H167" t="s">
        <v>2002</v>
      </c>
      <c r="I167" t="s">
        <v>4</v>
      </c>
      <c r="J167">
        <v>139</v>
      </c>
      <c r="K167" t="s">
        <v>5</v>
      </c>
      <c r="L167">
        <v>43</v>
      </c>
      <c r="M167" t="s">
        <v>6</v>
      </c>
      <c r="N167">
        <v>-13.241581824378301</v>
      </c>
      <c r="O167" t="s">
        <v>7</v>
      </c>
      <c r="P167">
        <v>-9.52631785926501E-2</v>
      </c>
      <c r="Q167" t="s">
        <v>8</v>
      </c>
      <c r="R167">
        <v>1.8671622018218901</v>
      </c>
      <c r="S167" t="s">
        <v>9</v>
      </c>
      <c r="T167">
        <v>-0.98452164739704895</v>
      </c>
      <c r="U167" t="s">
        <v>10</v>
      </c>
      <c r="V167">
        <v>0.27705678328380701</v>
      </c>
      <c r="W167" t="s">
        <v>11</v>
      </c>
      <c r="X167" t="s">
        <v>2422</v>
      </c>
      <c r="Y167" t="s">
        <v>2192</v>
      </c>
      <c r="Z167">
        <v>0</v>
      </c>
      <c r="AA167" t="s">
        <v>14</v>
      </c>
      <c r="AB167" t="s">
        <v>15</v>
      </c>
      <c r="AC167" t="s">
        <v>2422</v>
      </c>
      <c r="AD167" t="s">
        <v>2192</v>
      </c>
      <c r="AE167">
        <v>0</v>
      </c>
      <c r="AF167" t="s">
        <v>18</v>
      </c>
    </row>
    <row r="168" spans="1:32" x14ac:dyDescent="0.3">
      <c r="A168" t="s">
        <v>134</v>
      </c>
      <c r="B168" t="s">
        <v>1</v>
      </c>
      <c r="C168">
        <v>0.3</v>
      </c>
      <c r="D168" t="s">
        <v>588</v>
      </c>
      <c r="E168" t="s">
        <v>2323</v>
      </c>
      <c r="F168">
        <v>0.15</v>
      </c>
      <c r="G168" t="s">
        <v>2332</v>
      </c>
      <c r="H168" t="s">
        <v>2004</v>
      </c>
      <c r="I168" t="s">
        <v>4</v>
      </c>
      <c r="J168">
        <v>139</v>
      </c>
      <c r="K168" t="s">
        <v>5</v>
      </c>
      <c r="L168">
        <v>44</v>
      </c>
      <c r="M168" t="s">
        <v>6</v>
      </c>
      <c r="N168">
        <v>-19.361581824378302</v>
      </c>
      <c r="O168" t="s">
        <v>7</v>
      </c>
      <c r="P168">
        <v>-0.13929195557106699</v>
      </c>
      <c r="Q168" t="s">
        <v>8</v>
      </c>
      <c r="R168">
        <v>1.8549539699623001</v>
      </c>
      <c r="S168" t="s">
        <v>9</v>
      </c>
      <c r="T168">
        <v>-1.0742506010927599</v>
      </c>
      <c r="U168" t="s">
        <v>10</v>
      </c>
      <c r="V168">
        <v>0.30870243494294197</v>
      </c>
      <c r="W168" t="s">
        <v>11</v>
      </c>
      <c r="X168" t="s">
        <v>2422</v>
      </c>
      <c r="Y168" t="s">
        <v>2192</v>
      </c>
      <c r="Z168">
        <v>0</v>
      </c>
      <c r="AA168" t="s">
        <v>14</v>
      </c>
      <c r="AB168" t="s">
        <v>15</v>
      </c>
      <c r="AC168" t="s">
        <v>2422</v>
      </c>
      <c r="AD168" t="s">
        <v>2192</v>
      </c>
      <c r="AE168">
        <v>0</v>
      </c>
      <c r="AF168" t="s">
        <v>18</v>
      </c>
    </row>
    <row r="169" spans="1:32" x14ac:dyDescent="0.3">
      <c r="A169" t="s">
        <v>134</v>
      </c>
      <c r="B169" t="s">
        <v>1</v>
      </c>
      <c r="C169">
        <v>0.3</v>
      </c>
      <c r="D169" t="s">
        <v>588</v>
      </c>
      <c r="E169" t="s">
        <v>2323</v>
      </c>
      <c r="F169">
        <v>0.15</v>
      </c>
      <c r="G169" t="s">
        <v>2332</v>
      </c>
      <c r="H169" t="s">
        <v>2005</v>
      </c>
      <c r="I169" t="s">
        <v>4</v>
      </c>
      <c r="J169">
        <v>139</v>
      </c>
      <c r="K169" t="s">
        <v>5</v>
      </c>
      <c r="L169">
        <v>44</v>
      </c>
      <c r="M169" t="s">
        <v>6</v>
      </c>
      <c r="N169">
        <v>-25.404325434737</v>
      </c>
      <c r="O169" t="s">
        <v>7</v>
      </c>
      <c r="P169">
        <v>-0.18276493118515799</v>
      </c>
      <c r="Q169" t="s">
        <v>8</v>
      </c>
      <c r="R169">
        <v>1.8549539699623001</v>
      </c>
      <c r="S169" t="s">
        <v>9</v>
      </c>
      <c r="T169">
        <v>-1.13853510758593</v>
      </c>
      <c r="U169" t="s">
        <v>10</v>
      </c>
      <c r="V169">
        <v>0.32006702429494899</v>
      </c>
      <c r="W169" t="s">
        <v>11</v>
      </c>
      <c r="X169" t="s">
        <v>2422</v>
      </c>
      <c r="Y169" t="s">
        <v>2192</v>
      </c>
      <c r="Z169">
        <v>0</v>
      </c>
      <c r="AA169" t="s">
        <v>14</v>
      </c>
      <c r="AB169" t="s">
        <v>15</v>
      </c>
      <c r="AC169" t="s">
        <v>2422</v>
      </c>
      <c r="AD169" t="s">
        <v>2192</v>
      </c>
      <c r="AE169">
        <v>0</v>
      </c>
      <c r="AF169" t="s">
        <v>18</v>
      </c>
    </row>
    <row r="170" spans="1:32" x14ac:dyDescent="0.3">
      <c r="A170" t="s">
        <v>134</v>
      </c>
      <c r="B170" t="s">
        <v>1</v>
      </c>
      <c r="C170">
        <v>0.3</v>
      </c>
      <c r="D170" t="s">
        <v>588</v>
      </c>
      <c r="E170" t="s">
        <v>2323</v>
      </c>
      <c r="F170">
        <v>0.15</v>
      </c>
      <c r="G170" t="s">
        <v>2347</v>
      </c>
      <c r="H170" t="s">
        <v>1979</v>
      </c>
      <c r="I170" t="s">
        <v>4</v>
      </c>
      <c r="J170">
        <v>135</v>
      </c>
      <c r="K170" t="s">
        <v>5</v>
      </c>
      <c r="L170">
        <v>87</v>
      </c>
      <c r="M170" t="s">
        <v>6</v>
      </c>
      <c r="N170">
        <v>0.30000000000001797</v>
      </c>
      <c r="O170" t="s">
        <v>7</v>
      </c>
      <c r="P170">
        <v>2.2222222222223502E-3</v>
      </c>
      <c r="Q170" t="s">
        <v>8</v>
      </c>
      <c r="R170">
        <v>0.78896551724137898</v>
      </c>
      <c r="S170" t="s">
        <v>9</v>
      </c>
      <c r="T170">
        <v>-1.4237499999999901</v>
      </c>
      <c r="U170" t="s">
        <v>10</v>
      </c>
      <c r="V170">
        <v>0.27626288620016598</v>
      </c>
      <c r="W170" t="s">
        <v>11</v>
      </c>
      <c r="X170" t="s">
        <v>2423</v>
      </c>
      <c r="Y170" t="s">
        <v>691</v>
      </c>
      <c r="Z170">
        <v>0</v>
      </c>
      <c r="AA170" t="s">
        <v>14</v>
      </c>
      <c r="AB170" t="s">
        <v>15</v>
      </c>
      <c r="AC170" t="s">
        <v>2423</v>
      </c>
      <c r="AD170" t="s">
        <v>691</v>
      </c>
      <c r="AE170">
        <v>0</v>
      </c>
      <c r="AF170" t="s">
        <v>18</v>
      </c>
    </row>
    <row r="171" spans="1:32" x14ac:dyDescent="0.3">
      <c r="A171" t="s">
        <v>134</v>
      </c>
      <c r="B171" t="s">
        <v>1</v>
      </c>
      <c r="C171">
        <v>0.3</v>
      </c>
      <c r="D171" t="s">
        <v>588</v>
      </c>
      <c r="E171" t="s">
        <v>2323</v>
      </c>
      <c r="F171">
        <v>0.15</v>
      </c>
      <c r="G171" t="s">
        <v>2347</v>
      </c>
      <c r="H171" t="s">
        <v>1982</v>
      </c>
      <c r="I171" t="s">
        <v>4</v>
      </c>
      <c r="J171">
        <v>135</v>
      </c>
      <c r="K171" t="s">
        <v>5</v>
      </c>
      <c r="L171">
        <v>95</v>
      </c>
      <c r="M171" t="s">
        <v>6</v>
      </c>
      <c r="N171">
        <v>4.5999999999999899</v>
      </c>
      <c r="O171" t="s">
        <v>7</v>
      </c>
      <c r="P171">
        <v>3.4074074074074E-2</v>
      </c>
      <c r="Q171" t="s">
        <v>8</v>
      </c>
      <c r="R171">
        <v>0.81768421052631501</v>
      </c>
      <c r="S171" t="s">
        <v>9</v>
      </c>
      <c r="T171">
        <v>-1.82699999999999</v>
      </c>
      <c r="U171" t="s">
        <v>10</v>
      </c>
      <c r="V171">
        <v>0.310866501590564</v>
      </c>
      <c r="W171" t="s">
        <v>11</v>
      </c>
      <c r="X171" t="s">
        <v>2423</v>
      </c>
      <c r="Y171" t="s">
        <v>691</v>
      </c>
      <c r="Z171">
        <v>0</v>
      </c>
      <c r="AA171" t="s">
        <v>14</v>
      </c>
      <c r="AB171" t="s">
        <v>15</v>
      </c>
      <c r="AC171" t="s">
        <v>2423</v>
      </c>
      <c r="AD171" t="s">
        <v>691</v>
      </c>
      <c r="AE171">
        <v>0</v>
      </c>
      <c r="AF171" t="s">
        <v>18</v>
      </c>
    </row>
    <row r="172" spans="1:32" x14ac:dyDescent="0.3">
      <c r="A172" t="s">
        <v>134</v>
      </c>
      <c r="B172" t="s">
        <v>1</v>
      </c>
      <c r="C172">
        <v>0.3</v>
      </c>
      <c r="D172" t="s">
        <v>588</v>
      </c>
      <c r="E172" t="s">
        <v>2323</v>
      </c>
      <c r="F172">
        <v>0.15</v>
      </c>
      <c r="G172" t="s">
        <v>2347</v>
      </c>
      <c r="H172" t="s">
        <v>1985</v>
      </c>
      <c r="I172" t="s">
        <v>4</v>
      </c>
      <c r="J172">
        <v>135</v>
      </c>
      <c r="K172" t="s">
        <v>5</v>
      </c>
      <c r="L172">
        <v>98</v>
      </c>
      <c r="M172" t="s">
        <v>6</v>
      </c>
      <c r="N172">
        <v>8.2999999999999901</v>
      </c>
      <c r="O172" t="s">
        <v>7</v>
      </c>
      <c r="P172">
        <v>6.1481481481481401E-2</v>
      </c>
      <c r="Q172" t="s">
        <v>8</v>
      </c>
      <c r="R172">
        <v>0.84724489795918301</v>
      </c>
      <c r="S172" t="s">
        <v>9</v>
      </c>
      <c r="T172">
        <v>-2.0197297297297201</v>
      </c>
      <c r="U172" t="s">
        <v>10</v>
      </c>
      <c r="V172">
        <v>0.33176160400530003</v>
      </c>
      <c r="W172" t="s">
        <v>11</v>
      </c>
      <c r="X172" t="s">
        <v>2423</v>
      </c>
      <c r="Y172" t="s">
        <v>691</v>
      </c>
      <c r="Z172">
        <v>0</v>
      </c>
      <c r="AA172" t="s">
        <v>14</v>
      </c>
      <c r="AB172" t="s">
        <v>15</v>
      </c>
      <c r="AC172" t="s">
        <v>2423</v>
      </c>
      <c r="AD172" t="s">
        <v>691</v>
      </c>
      <c r="AE172">
        <v>0</v>
      </c>
      <c r="AF172" t="s">
        <v>18</v>
      </c>
    </row>
    <row r="173" spans="1:32" x14ac:dyDescent="0.3">
      <c r="A173" t="s">
        <v>134</v>
      </c>
      <c r="B173" t="s">
        <v>1</v>
      </c>
      <c r="C173">
        <v>0.3</v>
      </c>
      <c r="D173" t="s">
        <v>588</v>
      </c>
      <c r="E173" t="s">
        <v>2323</v>
      </c>
      <c r="F173">
        <v>0.15</v>
      </c>
      <c r="G173" t="s">
        <v>2347</v>
      </c>
      <c r="H173" t="s">
        <v>1988</v>
      </c>
      <c r="I173" t="s">
        <v>4</v>
      </c>
      <c r="J173">
        <v>135</v>
      </c>
      <c r="K173" t="s">
        <v>5</v>
      </c>
      <c r="L173">
        <v>99</v>
      </c>
      <c r="M173" t="s">
        <v>6</v>
      </c>
      <c r="N173">
        <v>-2.76000000000005</v>
      </c>
      <c r="O173" t="s">
        <v>7</v>
      </c>
      <c r="P173">
        <v>-2.04444444444448E-2</v>
      </c>
      <c r="Q173" t="s">
        <v>8</v>
      </c>
      <c r="R173">
        <v>0.85292929292929198</v>
      </c>
      <c r="S173" t="s">
        <v>9</v>
      </c>
      <c r="T173">
        <v>-2.4222222222222198</v>
      </c>
      <c r="U173" t="s">
        <v>10</v>
      </c>
      <c r="V173">
        <v>0.36975593664209999</v>
      </c>
      <c r="W173" t="s">
        <v>11</v>
      </c>
      <c r="X173" t="s">
        <v>2423</v>
      </c>
      <c r="Y173" t="s">
        <v>691</v>
      </c>
      <c r="Z173">
        <v>0</v>
      </c>
      <c r="AA173" t="s">
        <v>14</v>
      </c>
      <c r="AB173" t="s">
        <v>15</v>
      </c>
      <c r="AC173" t="s">
        <v>2423</v>
      </c>
      <c r="AD173" t="s">
        <v>691</v>
      </c>
      <c r="AE173">
        <v>0</v>
      </c>
      <c r="AF173" t="s">
        <v>18</v>
      </c>
    </row>
    <row r="174" spans="1:32" x14ac:dyDescent="0.3">
      <c r="A174" t="s">
        <v>134</v>
      </c>
      <c r="B174" t="s">
        <v>1</v>
      </c>
      <c r="C174">
        <v>0.3</v>
      </c>
      <c r="D174" t="s">
        <v>588</v>
      </c>
      <c r="E174" t="s">
        <v>2323</v>
      </c>
      <c r="F174">
        <v>0.15</v>
      </c>
      <c r="G174" t="s">
        <v>2355</v>
      </c>
      <c r="H174" t="s">
        <v>1991</v>
      </c>
      <c r="I174" t="s">
        <v>4</v>
      </c>
      <c r="J174">
        <v>140</v>
      </c>
      <c r="K174" t="s">
        <v>5</v>
      </c>
      <c r="L174">
        <v>88</v>
      </c>
      <c r="M174" t="s">
        <v>6</v>
      </c>
      <c r="N174">
        <v>6.4500000000000597</v>
      </c>
      <c r="O174" t="s">
        <v>7</v>
      </c>
      <c r="P174">
        <v>4.6071428571428999E-2</v>
      </c>
      <c r="Q174" t="s">
        <v>8</v>
      </c>
      <c r="R174">
        <v>0.94</v>
      </c>
      <c r="S174" t="s">
        <v>9</v>
      </c>
      <c r="T174">
        <v>-1.4667307692307601</v>
      </c>
      <c r="U174" t="s">
        <v>10</v>
      </c>
      <c r="V174">
        <v>0.26442553976727001</v>
      </c>
      <c r="W174" t="s">
        <v>11</v>
      </c>
      <c r="X174" t="s">
        <v>2424</v>
      </c>
      <c r="Y174" t="s">
        <v>691</v>
      </c>
      <c r="Z174">
        <v>0</v>
      </c>
      <c r="AA174" t="s">
        <v>14</v>
      </c>
      <c r="AB174" t="s">
        <v>15</v>
      </c>
      <c r="AC174" t="s">
        <v>2424</v>
      </c>
      <c r="AD174" t="s">
        <v>691</v>
      </c>
      <c r="AE174">
        <v>0</v>
      </c>
      <c r="AF174" t="s">
        <v>18</v>
      </c>
    </row>
    <row r="175" spans="1:32" x14ac:dyDescent="0.3">
      <c r="A175" t="s">
        <v>134</v>
      </c>
      <c r="B175" t="s">
        <v>1</v>
      </c>
      <c r="C175">
        <v>0.3</v>
      </c>
      <c r="D175" t="s">
        <v>588</v>
      </c>
      <c r="E175" t="s">
        <v>2323</v>
      </c>
      <c r="F175">
        <v>0.15</v>
      </c>
      <c r="G175" t="s">
        <v>2355</v>
      </c>
      <c r="H175" t="s">
        <v>1994</v>
      </c>
      <c r="I175" t="s">
        <v>4</v>
      </c>
      <c r="J175">
        <v>140</v>
      </c>
      <c r="K175" t="s">
        <v>5</v>
      </c>
      <c r="L175">
        <v>97</v>
      </c>
      <c r="M175" t="s">
        <v>6</v>
      </c>
      <c r="N175">
        <v>-11.2099999999999</v>
      </c>
      <c r="O175" t="s">
        <v>7</v>
      </c>
      <c r="P175">
        <v>-8.0071428571428196E-2</v>
      </c>
      <c r="Q175" t="s">
        <v>8</v>
      </c>
      <c r="R175">
        <v>0.96824742268041297</v>
      </c>
      <c r="S175" t="s">
        <v>9</v>
      </c>
      <c r="T175">
        <v>-2.4448837209302301</v>
      </c>
      <c r="U175" t="s">
        <v>10</v>
      </c>
      <c r="V175">
        <v>0.37473030361795301</v>
      </c>
      <c r="W175" t="s">
        <v>11</v>
      </c>
      <c r="X175" t="s">
        <v>2425</v>
      </c>
      <c r="Y175" t="s">
        <v>2192</v>
      </c>
      <c r="Z175">
        <v>0</v>
      </c>
      <c r="AA175" t="s">
        <v>14</v>
      </c>
      <c r="AB175" t="s">
        <v>15</v>
      </c>
      <c r="AC175" t="s">
        <v>2425</v>
      </c>
      <c r="AD175" t="s">
        <v>2192</v>
      </c>
      <c r="AE175">
        <v>0</v>
      </c>
      <c r="AF175" t="s">
        <v>18</v>
      </c>
    </row>
    <row r="176" spans="1:32" x14ac:dyDescent="0.3">
      <c r="A176" t="s">
        <v>134</v>
      </c>
      <c r="B176" t="s">
        <v>1</v>
      </c>
      <c r="C176">
        <v>0.3</v>
      </c>
      <c r="D176" t="s">
        <v>588</v>
      </c>
      <c r="E176" t="s">
        <v>2323</v>
      </c>
      <c r="F176">
        <v>0.15</v>
      </c>
      <c r="G176" t="s">
        <v>2355</v>
      </c>
      <c r="H176" t="s">
        <v>1996</v>
      </c>
      <c r="I176" t="s">
        <v>4</v>
      </c>
      <c r="J176">
        <v>140</v>
      </c>
      <c r="K176" t="s">
        <v>5</v>
      </c>
      <c r="L176">
        <v>103</v>
      </c>
      <c r="M176" t="s">
        <v>6</v>
      </c>
      <c r="N176">
        <v>-7.4199999999999502</v>
      </c>
      <c r="O176" t="s">
        <v>7</v>
      </c>
      <c r="P176">
        <v>-5.2999999999999603E-2</v>
      </c>
      <c r="Q176" t="s">
        <v>8</v>
      </c>
      <c r="R176">
        <v>1.02466019417475</v>
      </c>
      <c r="S176" t="s">
        <v>9</v>
      </c>
      <c r="T176">
        <v>-3.0529729729729702</v>
      </c>
      <c r="U176" t="s">
        <v>10</v>
      </c>
      <c r="V176">
        <v>0.40931800651856798</v>
      </c>
      <c r="W176" t="s">
        <v>11</v>
      </c>
      <c r="X176" t="s">
        <v>2425</v>
      </c>
      <c r="Y176" t="s">
        <v>2192</v>
      </c>
      <c r="Z176">
        <v>0</v>
      </c>
      <c r="AA176" t="s">
        <v>14</v>
      </c>
      <c r="AB176" t="s">
        <v>15</v>
      </c>
      <c r="AC176" t="s">
        <v>2425</v>
      </c>
      <c r="AD176" t="s">
        <v>2192</v>
      </c>
      <c r="AE176">
        <v>0</v>
      </c>
      <c r="AF176" t="s">
        <v>18</v>
      </c>
    </row>
    <row r="177" spans="1:32" x14ac:dyDescent="0.3">
      <c r="A177" t="s">
        <v>134</v>
      </c>
      <c r="B177" t="s">
        <v>1</v>
      </c>
      <c r="C177">
        <v>0.3</v>
      </c>
      <c r="D177" t="s">
        <v>588</v>
      </c>
      <c r="E177" t="s">
        <v>2323</v>
      </c>
      <c r="F177">
        <v>0.15</v>
      </c>
      <c r="G177" t="s">
        <v>2355</v>
      </c>
      <c r="H177" t="s">
        <v>1997</v>
      </c>
      <c r="I177" t="s">
        <v>4</v>
      </c>
      <c r="J177">
        <v>140</v>
      </c>
      <c r="K177" t="s">
        <v>5</v>
      </c>
      <c r="L177">
        <v>106</v>
      </c>
      <c r="M177" t="s">
        <v>6</v>
      </c>
      <c r="N177">
        <v>-12.5099999999999</v>
      </c>
      <c r="O177" t="s">
        <v>7</v>
      </c>
      <c r="P177">
        <v>-8.9357142857142802E-2</v>
      </c>
      <c r="Q177" t="s">
        <v>8</v>
      </c>
      <c r="R177">
        <v>1.0354716981131999</v>
      </c>
      <c r="S177" t="s">
        <v>9</v>
      </c>
      <c r="T177">
        <v>-3.59617647058823</v>
      </c>
      <c r="U177" t="s">
        <v>10</v>
      </c>
      <c r="V177">
        <v>0.44576895381319198</v>
      </c>
      <c r="W177" t="s">
        <v>11</v>
      </c>
      <c r="X177" t="s">
        <v>2425</v>
      </c>
      <c r="Y177" t="s">
        <v>2192</v>
      </c>
      <c r="Z177">
        <v>0</v>
      </c>
      <c r="AA177" t="s">
        <v>14</v>
      </c>
      <c r="AB177" t="s">
        <v>15</v>
      </c>
      <c r="AC177" t="s">
        <v>2425</v>
      </c>
      <c r="AD177" t="s">
        <v>2192</v>
      </c>
      <c r="AE177">
        <v>0</v>
      </c>
      <c r="AF177" t="s">
        <v>18</v>
      </c>
    </row>
    <row r="178" spans="1:32" x14ac:dyDescent="0.3">
      <c r="A178" t="s">
        <v>134</v>
      </c>
      <c r="B178" t="s">
        <v>1</v>
      </c>
      <c r="C178">
        <v>0.3</v>
      </c>
      <c r="D178" t="s">
        <v>588</v>
      </c>
      <c r="E178" t="s">
        <v>2323</v>
      </c>
      <c r="F178">
        <v>0.15</v>
      </c>
      <c r="G178" t="s">
        <v>2361</v>
      </c>
      <c r="H178" t="s">
        <v>1999</v>
      </c>
      <c r="I178" t="s">
        <v>4</v>
      </c>
      <c r="J178">
        <v>139</v>
      </c>
      <c r="K178" t="s">
        <v>5</v>
      </c>
      <c r="L178">
        <v>83</v>
      </c>
      <c r="M178" t="s">
        <v>6</v>
      </c>
      <c r="N178">
        <v>-1.7948992109677699</v>
      </c>
      <c r="O178" t="s">
        <v>7</v>
      </c>
      <c r="P178">
        <v>-1.29129439637969E-2</v>
      </c>
      <c r="Q178" t="s">
        <v>8</v>
      </c>
      <c r="R178">
        <v>1.0407960375752101</v>
      </c>
      <c r="S178" t="s">
        <v>9</v>
      </c>
      <c r="T178">
        <v>-1.5746601844591099</v>
      </c>
      <c r="U178" t="s">
        <v>10</v>
      </c>
      <c r="V178">
        <v>0.26212389266967701</v>
      </c>
      <c r="W178" t="s">
        <v>11</v>
      </c>
      <c r="X178" t="s">
        <v>2426</v>
      </c>
      <c r="Y178" t="s">
        <v>2427</v>
      </c>
      <c r="Z178">
        <v>0</v>
      </c>
      <c r="AA178" t="s">
        <v>14</v>
      </c>
      <c r="AB178" t="s">
        <v>15</v>
      </c>
      <c r="AC178" t="s">
        <v>2426</v>
      </c>
      <c r="AD178" t="s">
        <v>2427</v>
      </c>
      <c r="AE178">
        <v>0</v>
      </c>
      <c r="AF178" t="s">
        <v>18</v>
      </c>
    </row>
    <row r="179" spans="1:32" x14ac:dyDescent="0.3">
      <c r="A179" t="s">
        <v>134</v>
      </c>
      <c r="B179" t="s">
        <v>1</v>
      </c>
      <c r="C179">
        <v>0.3</v>
      </c>
      <c r="D179" t="s">
        <v>588</v>
      </c>
      <c r="E179" t="s">
        <v>2323</v>
      </c>
      <c r="F179">
        <v>0.15</v>
      </c>
      <c r="G179" t="s">
        <v>2361</v>
      </c>
      <c r="H179" t="s">
        <v>2002</v>
      </c>
      <c r="I179" t="s">
        <v>4</v>
      </c>
      <c r="J179">
        <v>139</v>
      </c>
      <c r="K179" t="s">
        <v>5</v>
      </c>
      <c r="L179">
        <v>93</v>
      </c>
      <c r="M179" t="s">
        <v>6</v>
      </c>
      <c r="N179">
        <v>-22.5009186513951</v>
      </c>
      <c r="O179" t="s">
        <v>7</v>
      </c>
      <c r="P179">
        <v>-0.16187711259996501</v>
      </c>
      <c r="Q179" t="s">
        <v>8</v>
      </c>
      <c r="R179">
        <v>1.11836522917438</v>
      </c>
      <c r="S179" t="s">
        <v>9</v>
      </c>
      <c r="T179">
        <v>-2.7501931514046301</v>
      </c>
      <c r="U179" t="s">
        <v>10</v>
      </c>
      <c r="V179">
        <v>0.372019700329214</v>
      </c>
      <c r="W179" t="s">
        <v>11</v>
      </c>
      <c r="X179" t="s">
        <v>2425</v>
      </c>
      <c r="Y179" t="s">
        <v>2192</v>
      </c>
      <c r="Z179">
        <v>0</v>
      </c>
      <c r="AA179" t="s">
        <v>14</v>
      </c>
      <c r="AB179" t="s">
        <v>15</v>
      </c>
      <c r="AC179" t="s">
        <v>2425</v>
      </c>
      <c r="AD179" t="s">
        <v>2192</v>
      </c>
      <c r="AE179">
        <v>0</v>
      </c>
      <c r="AF179" t="s">
        <v>18</v>
      </c>
    </row>
    <row r="180" spans="1:32" x14ac:dyDescent="0.3">
      <c r="A180" t="s">
        <v>134</v>
      </c>
      <c r="B180" t="s">
        <v>1</v>
      </c>
      <c r="C180">
        <v>0.3</v>
      </c>
      <c r="D180" t="s">
        <v>588</v>
      </c>
      <c r="E180" t="s">
        <v>2323</v>
      </c>
      <c r="F180">
        <v>0.15</v>
      </c>
      <c r="G180" t="s">
        <v>2361</v>
      </c>
      <c r="H180" t="s">
        <v>2004</v>
      </c>
      <c r="I180" t="s">
        <v>4</v>
      </c>
      <c r="J180">
        <v>139</v>
      </c>
      <c r="K180" t="s">
        <v>5</v>
      </c>
      <c r="L180">
        <v>100</v>
      </c>
      <c r="M180" t="s">
        <v>6</v>
      </c>
      <c r="N180">
        <v>-24.870918651395101</v>
      </c>
      <c r="O180" t="s">
        <v>7</v>
      </c>
      <c r="P180">
        <v>-0.178927472312195</v>
      </c>
      <c r="Q180" t="s">
        <v>8</v>
      </c>
      <c r="R180">
        <v>1.20157966313217</v>
      </c>
      <c r="S180" t="s">
        <v>9</v>
      </c>
      <c r="T180">
        <v>-3.718689358067</v>
      </c>
      <c r="U180" t="s">
        <v>10</v>
      </c>
      <c r="V180">
        <v>0.41349724411324501</v>
      </c>
      <c r="W180" t="s">
        <v>11</v>
      </c>
      <c r="X180" t="s">
        <v>2425</v>
      </c>
      <c r="Y180" t="s">
        <v>2192</v>
      </c>
      <c r="Z180">
        <v>0</v>
      </c>
      <c r="AA180" t="s">
        <v>14</v>
      </c>
      <c r="AB180" t="s">
        <v>15</v>
      </c>
      <c r="AC180" t="s">
        <v>2425</v>
      </c>
      <c r="AD180" t="s">
        <v>2192</v>
      </c>
      <c r="AE180">
        <v>0</v>
      </c>
      <c r="AF180" t="s">
        <v>18</v>
      </c>
    </row>
    <row r="181" spans="1:32" x14ac:dyDescent="0.3">
      <c r="A181" t="s">
        <v>134</v>
      </c>
      <c r="B181" t="s">
        <v>1</v>
      </c>
      <c r="C181">
        <v>0.3</v>
      </c>
      <c r="D181" t="s">
        <v>588</v>
      </c>
      <c r="E181" t="s">
        <v>2323</v>
      </c>
      <c r="F181">
        <v>0.15</v>
      </c>
      <c r="G181" t="s">
        <v>2361</v>
      </c>
      <c r="H181" t="s">
        <v>2005</v>
      </c>
      <c r="I181" t="s">
        <v>4</v>
      </c>
      <c r="J181">
        <v>139</v>
      </c>
      <c r="K181" t="s">
        <v>5</v>
      </c>
      <c r="L181">
        <v>104</v>
      </c>
      <c r="M181" t="s">
        <v>6</v>
      </c>
      <c r="N181">
        <v>-24.2193460551205</v>
      </c>
      <c r="O181" t="s">
        <v>7</v>
      </c>
      <c r="P181">
        <v>-0.174239899677126</v>
      </c>
      <c r="Q181" t="s">
        <v>8</v>
      </c>
      <c r="R181">
        <v>1.2318743108724</v>
      </c>
      <c r="S181" t="s">
        <v>9</v>
      </c>
      <c r="T181">
        <v>-4.3524078395957204</v>
      </c>
      <c r="U181" t="s">
        <v>10</v>
      </c>
      <c r="V181">
        <v>0.44764709787423201</v>
      </c>
      <c r="W181" t="s">
        <v>11</v>
      </c>
      <c r="X181" t="s">
        <v>2425</v>
      </c>
      <c r="Y181" t="s">
        <v>2192</v>
      </c>
      <c r="Z181">
        <v>0</v>
      </c>
      <c r="AA181" t="s">
        <v>14</v>
      </c>
      <c r="AB181" t="s">
        <v>15</v>
      </c>
      <c r="AC181" t="s">
        <v>2425</v>
      </c>
      <c r="AD181" t="s">
        <v>2192</v>
      </c>
      <c r="AE181">
        <v>0</v>
      </c>
      <c r="AF181" t="s">
        <v>18</v>
      </c>
    </row>
    <row r="182" spans="1:32" x14ac:dyDescent="0.3">
      <c r="A182" t="s">
        <v>175</v>
      </c>
      <c r="B182" t="s">
        <v>1</v>
      </c>
      <c r="C182">
        <v>0.5</v>
      </c>
      <c r="D182" t="s">
        <v>588</v>
      </c>
      <c r="E182" t="s">
        <v>2323</v>
      </c>
      <c r="F182">
        <v>0.25</v>
      </c>
      <c r="G182" t="s">
        <v>2324</v>
      </c>
      <c r="H182" t="s">
        <v>1979</v>
      </c>
      <c r="I182" t="s">
        <v>4</v>
      </c>
      <c r="J182">
        <v>90</v>
      </c>
      <c r="K182" t="s">
        <v>5</v>
      </c>
      <c r="L182">
        <v>26</v>
      </c>
      <c r="M182" t="s">
        <v>6</v>
      </c>
      <c r="N182">
        <v>-12.8699999999999</v>
      </c>
      <c r="O182" t="s">
        <v>7</v>
      </c>
      <c r="P182">
        <v>-0.14299999999999899</v>
      </c>
      <c r="Q182" t="s">
        <v>8</v>
      </c>
      <c r="R182">
        <v>2.2026923076923</v>
      </c>
      <c r="S182" t="s">
        <v>9</v>
      </c>
      <c r="T182">
        <v>-1.09593749999999</v>
      </c>
      <c r="U182" t="s">
        <v>10</v>
      </c>
      <c r="V182">
        <v>0.24831668616915201</v>
      </c>
      <c r="W182" t="s">
        <v>11</v>
      </c>
      <c r="X182" t="s">
        <v>2402</v>
      </c>
      <c r="Y182" t="s">
        <v>691</v>
      </c>
      <c r="Z182">
        <v>0</v>
      </c>
      <c r="AA182" t="s">
        <v>14</v>
      </c>
      <c r="AB182" t="s">
        <v>15</v>
      </c>
      <c r="AC182" t="s">
        <v>2402</v>
      </c>
      <c r="AD182" t="s">
        <v>691</v>
      </c>
      <c r="AE182">
        <v>0</v>
      </c>
      <c r="AF182" t="s">
        <v>18</v>
      </c>
    </row>
    <row r="183" spans="1:32" x14ac:dyDescent="0.3">
      <c r="A183" t="s">
        <v>175</v>
      </c>
      <c r="B183" t="s">
        <v>1</v>
      </c>
      <c r="C183">
        <v>0.5</v>
      </c>
      <c r="D183" t="s">
        <v>588</v>
      </c>
      <c r="E183" t="s">
        <v>2323</v>
      </c>
      <c r="F183">
        <v>0.25</v>
      </c>
      <c r="G183" t="s">
        <v>2324</v>
      </c>
      <c r="H183" t="s">
        <v>1982</v>
      </c>
      <c r="I183" t="s">
        <v>4</v>
      </c>
      <c r="J183">
        <v>90</v>
      </c>
      <c r="K183" t="s">
        <v>5</v>
      </c>
      <c r="L183">
        <v>32</v>
      </c>
      <c r="M183" t="s">
        <v>6</v>
      </c>
      <c r="N183">
        <v>1.29000000000006</v>
      </c>
      <c r="O183" t="s">
        <v>7</v>
      </c>
      <c r="P183">
        <v>1.4333333333333999E-2</v>
      </c>
      <c r="Q183" t="s">
        <v>8</v>
      </c>
      <c r="R183">
        <v>2.1578124999999999</v>
      </c>
      <c r="S183" t="s">
        <v>9</v>
      </c>
      <c r="T183">
        <v>-1.1682758620689599</v>
      </c>
      <c r="U183" t="s">
        <v>10</v>
      </c>
      <c r="V183">
        <v>0.26889016437341401</v>
      </c>
      <c r="W183" t="s">
        <v>11</v>
      </c>
      <c r="X183" t="s">
        <v>2402</v>
      </c>
      <c r="Y183" t="s">
        <v>691</v>
      </c>
      <c r="Z183">
        <v>0</v>
      </c>
      <c r="AA183" t="s">
        <v>14</v>
      </c>
      <c r="AB183" t="s">
        <v>15</v>
      </c>
      <c r="AC183" t="s">
        <v>2402</v>
      </c>
      <c r="AD183" t="s">
        <v>691</v>
      </c>
      <c r="AE183">
        <v>0</v>
      </c>
      <c r="AF183" t="s">
        <v>18</v>
      </c>
    </row>
    <row r="184" spans="1:32" x14ac:dyDescent="0.3">
      <c r="A184" t="s">
        <v>175</v>
      </c>
      <c r="B184" t="s">
        <v>1</v>
      </c>
      <c r="C184">
        <v>0.5</v>
      </c>
      <c r="D184" t="s">
        <v>588</v>
      </c>
      <c r="E184" t="s">
        <v>2323</v>
      </c>
      <c r="F184">
        <v>0.25</v>
      </c>
      <c r="G184" t="s">
        <v>2324</v>
      </c>
      <c r="H184" t="s">
        <v>1985</v>
      </c>
      <c r="I184" t="s">
        <v>4</v>
      </c>
      <c r="J184">
        <v>90</v>
      </c>
      <c r="K184" t="s">
        <v>5</v>
      </c>
      <c r="L184">
        <v>32</v>
      </c>
      <c r="M184" t="s">
        <v>6</v>
      </c>
      <c r="N184">
        <v>-5.5599999999999401</v>
      </c>
      <c r="O184" t="s">
        <v>7</v>
      </c>
      <c r="P184">
        <v>-6.1777777777777099E-2</v>
      </c>
      <c r="Q184" t="s">
        <v>8</v>
      </c>
      <c r="R184">
        <v>2.1578124999999999</v>
      </c>
      <c r="S184" t="s">
        <v>9</v>
      </c>
      <c r="T184">
        <v>-1.28637931034482</v>
      </c>
      <c r="U184" t="s">
        <v>10</v>
      </c>
      <c r="V184">
        <v>0.28223673868024801</v>
      </c>
      <c r="W184" t="s">
        <v>11</v>
      </c>
      <c r="X184" t="s">
        <v>2402</v>
      </c>
      <c r="Y184" t="s">
        <v>691</v>
      </c>
      <c r="Z184">
        <v>0</v>
      </c>
      <c r="AA184" t="s">
        <v>14</v>
      </c>
      <c r="AB184" t="s">
        <v>15</v>
      </c>
      <c r="AC184" t="s">
        <v>2402</v>
      </c>
      <c r="AD184" t="s">
        <v>691</v>
      </c>
      <c r="AE184">
        <v>0</v>
      </c>
      <c r="AF184" t="s">
        <v>18</v>
      </c>
    </row>
    <row r="185" spans="1:32" x14ac:dyDescent="0.3">
      <c r="A185" t="s">
        <v>175</v>
      </c>
      <c r="B185" t="s">
        <v>1</v>
      </c>
      <c r="C185">
        <v>0.5</v>
      </c>
      <c r="D185" t="s">
        <v>588</v>
      </c>
      <c r="E185" t="s">
        <v>2323</v>
      </c>
      <c r="F185">
        <v>0.25</v>
      </c>
      <c r="G185" t="s">
        <v>2324</v>
      </c>
      <c r="H185" t="s">
        <v>1988</v>
      </c>
      <c r="I185" t="s">
        <v>4</v>
      </c>
      <c r="J185">
        <v>90</v>
      </c>
      <c r="K185" t="s">
        <v>5</v>
      </c>
      <c r="L185">
        <v>33</v>
      </c>
      <c r="M185" t="s">
        <v>6</v>
      </c>
      <c r="N185">
        <v>-7.3099999999999401</v>
      </c>
      <c r="O185" t="s">
        <v>7</v>
      </c>
      <c r="P185">
        <v>-8.1222222222221599E-2</v>
      </c>
      <c r="Q185" t="s">
        <v>8</v>
      </c>
      <c r="R185">
        <v>2.1542424242424199</v>
      </c>
      <c r="S185" t="s">
        <v>9</v>
      </c>
      <c r="T185">
        <v>-1.3754385964912199</v>
      </c>
      <c r="U185" t="s">
        <v>10</v>
      </c>
      <c r="V185">
        <v>0.29467156264225502</v>
      </c>
      <c r="W185" t="s">
        <v>11</v>
      </c>
      <c r="X185" t="s">
        <v>2403</v>
      </c>
      <c r="Y185" t="s">
        <v>2050</v>
      </c>
      <c r="Z185">
        <v>0</v>
      </c>
      <c r="AA185" t="s">
        <v>14</v>
      </c>
      <c r="AB185" t="s">
        <v>15</v>
      </c>
      <c r="AC185" t="s">
        <v>2403</v>
      </c>
      <c r="AD185" t="s">
        <v>2050</v>
      </c>
      <c r="AE185">
        <v>0</v>
      </c>
      <c r="AF185" t="s">
        <v>18</v>
      </c>
    </row>
    <row r="186" spans="1:32" x14ac:dyDescent="0.3">
      <c r="A186" t="s">
        <v>175</v>
      </c>
      <c r="B186" t="s">
        <v>1</v>
      </c>
      <c r="C186">
        <v>0.5</v>
      </c>
      <c r="D186" t="s">
        <v>588</v>
      </c>
      <c r="E186" t="s">
        <v>2323</v>
      </c>
      <c r="F186">
        <v>0.25</v>
      </c>
      <c r="G186" t="s">
        <v>2329</v>
      </c>
      <c r="H186" t="s">
        <v>1991</v>
      </c>
      <c r="I186" t="s">
        <v>4</v>
      </c>
      <c r="J186">
        <v>95</v>
      </c>
      <c r="K186" t="s">
        <v>5</v>
      </c>
      <c r="L186">
        <v>27</v>
      </c>
      <c r="M186" t="s">
        <v>6</v>
      </c>
      <c r="N186">
        <v>-16.517571642135799</v>
      </c>
      <c r="O186" t="s">
        <v>7</v>
      </c>
      <c r="P186">
        <v>-0.17386917518037701</v>
      </c>
      <c r="Q186" t="s">
        <v>8</v>
      </c>
      <c r="R186">
        <v>2.42888888888888</v>
      </c>
      <c r="S186" t="s">
        <v>9</v>
      </c>
      <c r="T186">
        <v>-1.2073172300314099</v>
      </c>
      <c r="U186" t="s">
        <v>10</v>
      </c>
      <c r="V186">
        <v>0.26070564627450099</v>
      </c>
      <c r="W186" t="s">
        <v>11</v>
      </c>
      <c r="X186" t="s">
        <v>2404</v>
      </c>
      <c r="Y186" t="s">
        <v>2405</v>
      </c>
      <c r="Z186">
        <v>0</v>
      </c>
      <c r="AA186" t="s">
        <v>14</v>
      </c>
      <c r="AB186" t="s">
        <v>15</v>
      </c>
      <c r="AC186" t="s">
        <v>2404</v>
      </c>
      <c r="AD186" t="s">
        <v>2405</v>
      </c>
      <c r="AE186">
        <v>0</v>
      </c>
      <c r="AF186" t="s">
        <v>18</v>
      </c>
    </row>
    <row r="187" spans="1:32" x14ac:dyDescent="0.3">
      <c r="A187" t="s">
        <v>175</v>
      </c>
      <c r="B187" t="s">
        <v>1</v>
      </c>
      <c r="C187">
        <v>0.5</v>
      </c>
      <c r="D187" t="s">
        <v>588</v>
      </c>
      <c r="E187" t="s">
        <v>2323</v>
      </c>
      <c r="F187">
        <v>0.25</v>
      </c>
      <c r="G187" t="s">
        <v>2329</v>
      </c>
      <c r="H187" t="s">
        <v>1994</v>
      </c>
      <c r="I187" t="s">
        <v>4</v>
      </c>
      <c r="J187">
        <v>95</v>
      </c>
      <c r="K187" t="s">
        <v>5</v>
      </c>
      <c r="L187">
        <v>36</v>
      </c>
      <c r="M187" t="s">
        <v>6</v>
      </c>
      <c r="N187">
        <v>-9.8099999999999898</v>
      </c>
      <c r="O187" t="s">
        <v>7</v>
      </c>
      <c r="P187">
        <v>-0.103263157894736</v>
      </c>
      <c r="Q187" t="s">
        <v>8</v>
      </c>
      <c r="R187">
        <v>2.3897222222222201</v>
      </c>
      <c r="S187" t="s">
        <v>9</v>
      </c>
      <c r="T187">
        <v>-1.62440677966101</v>
      </c>
      <c r="U187" t="s">
        <v>10</v>
      </c>
      <c r="V187">
        <v>0.29533636322207701</v>
      </c>
      <c r="W187" t="s">
        <v>11</v>
      </c>
      <c r="X187" t="s">
        <v>2404</v>
      </c>
      <c r="Y187" t="s">
        <v>2405</v>
      </c>
      <c r="Z187">
        <v>0</v>
      </c>
      <c r="AA187" t="s">
        <v>14</v>
      </c>
      <c r="AB187" t="s">
        <v>15</v>
      </c>
      <c r="AC187" t="s">
        <v>2404</v>
      </c>
      <c r="AD187" t="s">
        <v>2405</v>
      </c>
      <c r="AE187">
        <v>0</v>
      </c>
      <c r="AF187" t="s">
        <v>18</v>
      </c>
    </row>
    <row r="188" spans="1:32" x14ac:dyDescent="0.3">
      <c r="A188" t="s">
        <v>175</v>
      </c>
      <c r="B188" t="s">
        <v>1</v>
      </c>
      <c r="C188">
        <v>0.5</v>
      </c>
      <c r="D188" t="s">
        <v>588</v>
      </c>
      <c r="E188" t="s">
        <v>2323</v>
      </c>
      <c r="F188">
        <v>0.25</v>
      </c>
      <c r="G188" t="s">
        <v>2329</v>
      </c>
      <c r="H188" t="s">
        <v>1996</v>
      </c>
      <c r="I188" t="s">
        <v>4</v>
      </c>
      <c r="J188">
        <v>95</v>
      </c>
      <c r="K188" t="s">
        <v>5</v>
      </c>
      <c r="L188">
        <v>39</v>
      </c>
      <c r="M188" t="s">
        <v>6</v>
      </c>
      <c r="N188">
        <v>-4.30000000000003</v>
      </c>
      <c r="O188" t="s">
        <v>7</v>
      </c>
      <c r="P188">
        <v>-4.5263157894737199E-2</v>
      </c>
      <c r="Q188" t="s">
        <v>8</v>
      </c>
      <c r="R188">
        <v>2.3835897435897402</v>
      </c>
      <c r="S188" t="s">
        <v>9</v>
      </c>
      <c r="T188">
        <v>-1.7367857142857099</v>
      </c>
      <c r="U188" t="s">
        <v>10</v>
      </c>
      <c r="V188">
        <v>0.318036008286466</v>
      </c>
      <c r="W188" t="s">
        <v>11</v>
      </c>
      <c r="X188" t="s">
        <v>2404</v>
      </c>
      <c r="Y188" t="s">
        <v>2405</v>
      </c>
      <c r="Z188">
        <v>0</v>
      </c>
      <c r="AA188" t="s">
        <v>14</v>
      </c>
      <c r="AB188" t="s">
        <v>15</v>
      </c>
      <c r="AC188" t="s">
        <v>2404</v>
      </c>
      <c r="AD188" t="s">
        <v>2405</v>
      </c>
      <c r="AE188">
        <v>0</v>
      </c>
      <c r="AF188" t="s">
        <v>18</v>
      </c>
    </row>
    <row r="189" spans="1:32" x14ac:dyDescent="0.3">
      <c r="A189" t="s">
        <v>175</v>
      </c>
      <c r="B189" t="s">
        <v>1</v>
      </c>
      <c r="C189">
        <v>0.5</v>
      </c>
      <c r="D189" t="s">
        <v>588</v>
      </c>
      <c r="E189" t="s">
        <v>2323</v>
      </c>
      <c r="F189">
        <v>0.25</v>
      </c>
      <c r="G189" t="s">
        <v>2329</v>
      </c>
      <c r="H189" t="s">
        <v>1997</v>
      </c>
      <c r="I189" t="s">
        <v>4</v>
      </c>
      <c r="J189">
        <v>95</v>
      </c>
      <c r="K189" t="s">
        <v>5</v>
      </c>
      <c r="L189">
        <v>39</v>
      </c>
      <c r="M189" t="s">
        <v>6</v>
      </c>
      <c r="N189">
        <v>-13.06</v>
      </c>
      <c r="O189" t="s">
        <v>7</v>
      </c>
      <c r="P189">
        <v>-0.137473684210526</v>
      </c>
      <c r="Q189" t="s">
        <v>8</v>
      </c>
      <c r="R189">
        <v>2.3835897435897402</v>
      </c>
      <c r="S189" t="s">
        <v>9</v>
      </c>
      <c r="T189">
        <v>-1.89321428571428</v>
      </c>
      <c r="U189" t="s">
        <v>10</v>
      </c>
      <c r="V189">
        <v>0.327569022171807</v>
      </c>
      <c r="W189" t="s">
        <v>11</v>
      </c>
      <c r="X189" t="s">
        <v>2403</v>
      </c>
      <c r="Y189" t="s">
        <v>2050</v>
      </c>
      <c r="Z189">
        <v>0</v>
      </c>
      <c r="AA189" t="s">
        <v>14</v>
      </c>
      <c r="AB189" t="s">
        <v>15</v>
      </c>
      <c r="AC189" t="s">
        <v>2403</v>
      </c>
      <c r="AD189" t="s">
        <v>2050</v>
      </c>
      <c r="AE189">
        <v>0</v>
      </c>
      <c r="AF189" t="s">
        <v>18</v>
      </c>
    </row>
    <row r="190" spans="1:32" x14ac:dyDescent="0.3">
      <c r="A190" t="s">
        <v>175</v>
      </c>
      <c r="B190" t="s">
        <v>1</v>
      </c>
      <c r="C190">
        <v>0.5</v>
      </c>
      <c r="D190" t="s">
        <v>588</v>
      </c>
      <c r="E190" t="s">
        <v>2323</v>
      </c>
      <c r="F190">
        <v>0.25</v>
      </c>
      <c r="G190" t="s">
        <v>2332</v>
      </c>
      <c r="H190" t="s">
        <v>1999</v>
      </c>
      <c r="I190" t="s">
        <v>4</v>
      </c>
      <c r="J190">
        <v>96</v>
      </c>
      <c r="K190" t="s">
        <v>5</v>
      </c>
      <c r="L190">
        <v>32</v>
      </c>
      <c r="M190" t="s">
        <v>6</v>
      </c>
      <c r="N190">
        <v>-7.3988086786485203</v>
      </c>
      <c r="O190" t="s">
        <v>7</v>
      </c>
      <c r="P190">
        <v>-7.7070923735922101E-2</v>
      </c>
      <c r="Q190" t="s">
        <v>8</v>
      </c>
      <c r="R190">
        <v>2.3186169561278298</v>
      </c>
      <c r="S190" t="s">
        <v>9</v>
      </c>
      <c r="T190">
        <v>-1.2749148636677901</v>
      </c>
      <c r="U190" t="s">
        <v>10</v>
      </c>
      <c r="V190">
        <v>0.26146191452057999</v>
      </c>
      <c r="W190" t="s">
        <v>11</v>
      </c>
      <c r="X190" t="s">
        <v>2407</v>
      </c>
      <c r="Y190" t="s">
        <v>2408</v>
      </c>
      <c r="Z190">
        <v>0</v>
      </c>
      <c r="AA190" t="s">
        <v>14</v>
      </c>
      <c r="AB190" t="s">
        <v>15</v>
      </c>
      <c r="AC190" t="s">
        <v>2407</v>
      </c>
      <c r="AD190" t="s">
        <v>2408</v>
      </c>
      <c r="AE190">
        <v>0</v>
      </c>
      <c r="AF190" t="s">
        <v>18</v>
      </c>
    </row>
    <row r="191" spans="1:32" x14ac:dyDescent="0.3">
      <c r="A191" t="s">
        <v>175</v>
      </c>
      <c r="B191" t="s">
        <v>1</v>
      </c>
      <c r="C191">
        <v>0.5</v>
      </c>
      <c r="D191" t="s">
        <v>588</v>
      </c>
      <c r="E191" t="s">
        <v>2323</v>
      </c>
      <c r="F191">
        <v>0.25</v>
      </c>
      <c r="G191" t="s">
        <v>2332</v>
      </c>
      <c r="H191" t="s">
        <v>2002</v>
      </c>
      <c r="I191" t="s">
        <v>4</v>
      </c>
      <c r="J191">
        <v>96</v>
      </c>
      <c r="K191" t="s">
        <v>5</v>
      </c>
      <c r="L191">
        <v>47</v>
      </c>
      <c r="M191" t="s">
        <v>6</v>
      </c>
      <c r="N191">
        <v>17.9687743895681</v>
      </c>
      <c r="O191" t="s">
        <v>7</v>
      </c>
      <c r="P191">
        <v>0.18717473322466699</v>
      </c>
      <c r="Q191" t="s">
        <v>8</v>
      </c>
      <c r="R191">
        <v>2.3777817573636302</v>
      </c>
      <c r="S191" t="s">
        <v>9</v>
      </c>
      <c r="T191">
        <v>-1.91401975931678</v>
      </c>
      <c r="U191" t="s">
        <v>10</v>
      </c>
      <c r="V191">
        <v>0.307798958529371</v>
      </c>
      <c r="W191" t="s">
        <v>11</v>
      </c>
      <c r="X191" t="s">
        <v>2407</v>
      </c>
      <c r="Y191" t="s">
        <v>2408</v>
      </c>
      <c r="Z191">
        <v>0</v>
      </c>
      <c r="AA191" t="s">
        <v>14</v>
      </c>
      <c r="AB191" t="s">
        <v>15</v>
      </c>
      <c r="AC191" t="s">
        <v>2407</v>
      </c>
      <c r="AD191" t="s">
        <v>2408</v>
      </c>
      <c r="AE191">
        <v>0</v>
      </c>
      <c r="AF191" t="s">
        <v>18</v>
      </c>
    </row>
    <row r="192" spans="1:32" x14ac:dyDescent="0.3">
      <c r="A192" t="s">
        <v>175</v>
      </c>
      <c r="B192" t="s">
        <v>1</v>
      </c>
      <c r="C192">
        <v>0.5</v>
      </c>
      <c r="D192" t="s">
        <v>588</v>
      </c>
      <c r="E192" t="s">
        <v>2323</v>
      </c>
      <c r="F192">
        <v>0.25</v>
      </c>
      <c r="G192" t="s">
        <v>2332</v>
      </c>
      <c r="H192" t="s">
        <v>2004</v>
      </c>
      <c r="I192" t="s">
        <v>4</v>
      </c>
      <c r="J192">
        <v>96</v>
      </c>
      <c r="K192" t="s">
        <v>5</v>
      </c>
      <c r="L192">
        <v>51</v>
      </c>
      <c r="M192" t="s">
        <v>6</v>
      </c>
      <c r="N192">
        <v>23.818774389568102</v>
      </c>
      <c r="O192" t="s">
        <v>7</v>
      </c>
      <c r="P192">
        <v>0.24811223322466699</v>
      </c>
      <c r="Q192" t="s">
        <v>8</v>
      </c>
      <c r="R192">
        <v>2.3685439724723598</v>
      </c>
      <c r="S192" t="s">
        <v>9</v>
      </c>
      <c r="T192">
        <v>-2.1550437379227199</v>
      </c>
      <c r="U192" t="s">
        <v>10</v>
      </c>
      <c r="V192">
        <v>0.32369221501251799</v>
      </c>
      <c r="W192" t="s">
        <v>11</v>
      </c>
      <c r="X192" t="s">
        <v>2407</v>
      </c>
      <c r="Y192" t="s">
        <v>2408</v>
      </c>
      <c r="Z192">
        <v>0</v>
      </c>
      <c r="AA192" t="s">
        <v>14</v>
      </c>
      <c r="AB192" t="s">
        <v>15</v>
      </c>
      <c r="AC192" t="s">
        <v>2407</v>
      </c>
      <c r="AD192" t="s">
        <v>2408</v>
      </c>
      <c r="AE192">
        <v>0</v>
      </c>
      <c r="AF192" t="s">
        <v>18</v>
      </c>
    </row>
    <row r="193" spans="1:32" x14ac:dyDescent="0.3">
      <c r="A193" t="s">
        <v>175</v>
      </c>
      <c r="B193" t="s">
        <v>1</v>
      </c>
      <c r="C193">
        <v>0.5</v>
      </c>
      <c r="D193" t="s">
        <v>588</v>
      </c>
      <c r="E193" t="s">
        <v>2323</v>
      </c>
      <c r="F193">
        <v>0.25</v>
      </c>
      <c r="G193" t="s">
        <v>2332</v>
      </c>
      <c r="H193" t="s">
        <v>2005</v>
      </c>
      <c r="I193" t="s">
        <v>4</v>
      </c>
      <c r="J193">
        <v>96</v>
      </c>
      <c r="K193" t="s">
        <v>5</v>
      </c>
      <c r="L193">
        <v>52</v>
      </c>
      <c r="M193" t="s">
        <v>6</v>
      </c>
      <c r="N193">
        <v>11.0568417251011</v>
      </c>
      <c r="O193" t="s">
        <v>7</v>
      </c>
      <c r="P193">
        <v>0.11517543463646999</v>
      </c>
      <c r="Q193" t="s">
        <v>8</v>
      </c>
      <c r="R193">
        <v>2.3891488960786602</v>
      </c>
      <c r="S193" t="s">
        <v>9</v>
      </c>
      <c r="T193">
        <v>-2.5722477470679399</v>
      </c>
      <c r="U193" t="s">
        <v>10</v>
      </c>
      <c r="V193">
        <v>0.34873502368494702</v>
      </c>
      <c r="W193" t="s">
        <v>11</v>
      </c>
      <c r="X193" t="s">
        <v>2410</v>
      </c>
      <c r="Y193" t="s">
        <v>2123</v>
      </c>
      <c r="Z193">
        <v>0</v>
      </c>
      <c r="AA193" t="s">
        <v>14</v>
      </c>
      <c r="AB193" t="s">
        <v>15</v>
      </c>
      <c r="AC193" t="s">
        <v>2410</v>
      </c>
      <c r="AD193" t="s">
        <v>2123</v>
      </c>
      <c r="AE193">
        <v>0</v>
      </c>
      <c r="AF193" t="s">
        <v>18</v>
      </c>
    </row>
    <row r="194" spans="1:32" x14ac:dyDescent="0.3">
      <c r="A194" t="s">
        <v>175</v>
      </c>
      <c r="B194" t="s">
        <v>1</v>
      </c>
      <c r="C194">
        <v>0.4</v>
      </c>
      <c r="D194" t="s">
        <v>588</v>
      </c>
      <c r="E194" t="s">
        <v>2323</v>
      </c>
      <c r="F194">
        <v>0.2</v>
      </c>
      <c r="G194" t="s">
        <v>2324</v>
      </c>
      <c r="H194" t="s">
        <v>1979</v>
      </c>
      <c r="I194" t="s">
        <v>4</v>
      </c>
      <c r="J194">
        <v>90</v>
      </c>
      <c r="K194" t="s">
        <v>5</v>
      </c>
      <c r="L194">
        <v>28</v>
      </c>
      <c r="M194" t="s">
        <v>6</v>
      </c>
      <c r="N194">
        <v>-7.9500000000000099</v>
      </c>
      <c r="O194" t="s">
        <v>7</v>
      </c>
      <c r="P194">
        <v>-8.8333333333333403E-2</v>
      </c>
      <c r="Q194" t="s">
        <v>8</v>
      </c>
      <c r="R194">
        <v>1.6921428571428501</v>
      </c>
      <c r="S194" t="s">
        <v>9</v>
      </c>
      <c r="T194">
        <v>-0.89241935483870904</v>
      </c>
      <c r="U194" t="s">
        <v>10</v>
      </c>
      <c r="V194">
        <v>0.20582229954791401</v>
      </c>
      <c r="W194" t="s">
        <v>11</v>
      </c>
      <c r="X194" t="s">
        <v>2411</v>
      </c>
      <c r="Y194" t="s">
        <v>2050</v>
      </c>
      <c r="Z194">
        <v>0</v>
      </c>
      <c r="AA194" t="s">
        <v>14</v>
      </c>
      <c r="AB194" t="s">
        <v>15</v>
      </c>
      <c r="AC194" t="s">
        <v>2411</v>
      </c>
      <c r="AD194" t="s">
        <v>2050</v>
      </c>
      <c r="AE194">
        <v>0</v>
      </c>
      <c r="AF194" t="s">
        <v>18</v>
      </c>
    </row>
    <row r="195" spans="1:32" x14ac:dyDescent="0.3">
      <c r="A195" t="s">
        <v>175</v>
      </c>
      <c r="B195" t="s">
        <v>1</v>
      </c>
      <c r="C195">
        <v>0.4</v>
      </c>
      <c r="D195" t="s">
        <v>588</v>
      </c>
      <c r="E195" t="s">
        <v>2323</v>
      </c>
      <c r="F195">
        <v>0.2</v>
      </c>
      <c r="G195" t="s">
        <v>2324</v>
      </c>
      <c r="H195" t="s">
        <v>1982</v>
      </c>
      <c r="I195" t="s">
        <v>4</v>
      </c>
      <c r="J195">
        <v>90</v>
      </c>
      <c r="K195" t="s">
        <v>5</v>
      </c>
      <c r="L195">
        <v>30</v>
      </c>
      <c r="M195" t="s">
        <v>6</v>
      </c>
      <c r="N195">
        <v>-10.659999999999901</v>
      </c>
      <c r="O195" t="s">
        <v>7</v>
      </c>
      <c r="P195">
        <v>-0.11844444444444401</v>
      </c>
      <c r="Q195" t="s">
        <v>8</v>
      </c>
      <c r="R195">
        <v>1.7213333333333301</v>
      </c>
      <c r="S195" t="s">
        <v>9</v>
      </c>
      <c r="T195">
        <v>-1.03833333333333</v>
      </c>
      <c r="U195" t="s">
        <v>10</v>
      </c>
      <c r="V195">
        <v>0.24037110278847501</v>
      </c>
      <c r="W195" t="s">
        <v>11</v>
      </c>
      <c r="X195" t="s">
        <v>2412</v>
      </c>
      <c r="Y195" t="s">
        <v>1249</v>
      </c>
      <c r="Z195">
        <v>0</v>
      </c>
      <c r="AA195" t="s">
        <v>14</v>
      </c>
      <c r="AB195" t="s">
        <v>15</v>
      </c>
      <c r="AC195" t="s">
        <v>2412</v>
      </c>
      <c r="AD195" t="s">
        <v>1249</v>
      </c>
      <c r="AE195">
        <v>0</v>
      </c>
      <c r="AF195" t="s">
        <v>18</v>
      </c>
    </row>
    <row r="196" spans="1:32" x14ac:dyDescent="0.3">
      <c r="A196" t="s">
        <v>175</v>
      </c>
      <c r="B196" t="s">
        <v>1</v>
      </c>
      <c r="C196">
        <v>0.4</v>
      </c>
      <c r="D196" t="s">
        <v>588</v>
      </c>
      <c r="E196" t="s">
        <v>2323</v>
      </c>
      <c r="F196">
        <v>0.2</v>
      </c>
      <c r="G196" t="s">
        <v>2324</v>
      </c>
      <c r="H196" t="s">
        <v>1985</v>
      </c>
      <c r="I196" t="s">
        <v>4</v>
      </c>
      <c r="J196">
        <v>90</v>
      </c>
      <c r="K196" t="s">
        <v>5</v>
      </c>
      <c r="L196">
        <v>30</v>
      </c>
      <c r="M196" t="s">
        <v>6</v>
      </c>
      <c r="N196">
        <v>-14.9499999999999</v>
      </c>
      <c r="O196" t="s">
        <v>7</v>
      </c>
      <c r="P196">
        <v>-0.16611111111110999</v>
      </c>
      <c r="Q196" t="s">
        <v>8</v>
      </c>
      <c r="R196">
        <v>1.7213333333333301</v>
      </c>
      <c r="S196" t="s">
        <v>9</v>
      </c>
      <c r="T196">
        <v>-1.1098333333333299</v>
      </c>
      <c r="U196" t="s">
        <v>10</v>
      </c>
      <c r="V196">
        <v>0.242698291357338</v>
      </c>
      <c r="W196" t="s">
        <v>11</v>
      </c>
      <c r="X196" t="s">
        <v>2412</v>
      </c>
      <c r="Y196" t="s">
        <v>1249</v>
      </c>
      <c r="Z196">
        <v>0</v>
      </c>
      <c r="AA196" t="s">
        <v>14</v>
      </c>
      <c r="AB196" t="s">
        <v>15</v>
      </c>
      <c r="AC196" t="s">
        <v>2412</v>
      </c>
      <c r="AD196" t="s">
        <v>1249</v>
      </c>
      <c r="AE196">
        <v>0</v>
      </c>
      <c r="AF196" t="s">
        <v>18</v>
      </c>
    </row>
    <row r="197" spans="1:32" x14ac:dyDescent="0.3">
      <c r="A197" t="s">
        <v>175</v>
      </c>
      <c r="B197" t="s">
        <v>1</v>
      </c>
      <c r="C197">
        <v>0.4</v>
      </c>
      <c r="D197" t="s">
        <v>588</v>
      </c>
      <c r="E197" t="s">
        <v>2323</v>
      </c>
      <c r="F197">
        <v>0.2</v>
      </c>
      <c r="G197" t="s">
        <v>2324</v>
      </c>
      <c r="H197" t="s">
        <v>1988</v>
      </c>
      <c r="I197" t="s">
        <v>4</v>
      </c>
      <c r="J197">
        <v>90</v>
      </c>
      <c r="K197" t="s">
        <v>5</v>
      </c>
      <c r="L197">
        <v>30</v>
      </c>
      <c r="M197" t="s">
        <v>6</v>
      </c>
      <c r="N197">
        <v>-21.509999999999899</v>
      </c>
      <c r="O197" t="s">
        <v>7</v>
      </c>
      <c r="P197">
        <v>-0.23899999999999899</v>
      </c>
      <c r="Q197" t="s">
        <v>8</v>
      </c>
      <c r="R197">
        <v>1.7213333333333301</v>
      </c>
      <c r="S197" t="s">
        <v>9</v>
      </c>
      <c r="T197">
        <v>-1.2191666666666601</v>
      </c>
      <c r="U197" t="s">
        <v>10</v>
      </c>
      <c r="V197">
        <v>0.254573150458203</v>
      </c>
      <c r="W197" t="s">
        <v>11</v>
      </c>
      <c r="X197" t="s">
        <v>2412</v>
      </c>
      <c r="Y197" t="s">
        <v>1249</v>
      </c>
      <c r="Z197">
        <v>0</v>
      </c>
      <c r="AA197" t="s">
        <v>14</v>
      </c>
      <c r="AB197" t="s">
        <v>15</v>
      </c>
      <c r="AC197" t="s">
        <v>2412</v>
      </c>
      <c r="AD197" t="s">
        <v>1249</v>
      </c>
      <c r="AE197">
        <v>0</v>
      </c>
      <c r="AF197" t="s">
        <v>18</v>
      </c>
    </row>
    <row r="198" spans="1:32" x14ac:dyDescent="0.3">
      <c r="A198" t="s">
        <v>175</v>
      </c>
      <c r="B198" t="s">
        <v>1</v>
      </c>
      <c r="C198">
        <v>0.4</v>
      </c>
      <c r="D198" t="s">
        <v>588</v>
      </c>
      <c r="E198" t="s">
        <v>2323</v>
      </c>
      <c r="F198">
        <v>0.2</v>
      </c>
      <c r="G198" t="s">
        <v>2329</v>
      </c>
      <c r="H198" t="s">
        <v>1991</v>
      </c>
      <c r="I198" t="s">
        <v>4</v>
      </c>
      <c r="J198">
        <v>95</v>
      </c>
      <c r="K198" t="s">
        <v>5</v>
      </c>
      <c r="L198">
        <v>22</v>
      </c>
      <c r="M198" t="s">
        <v>6</v>
      </c>
      <c r="N198">
        <v>-19.979999999999901</v>
      </c>
      <c r="O198" t="s">
        <v>7</v>
      </c>
      <c r="P198">
        <v>-0.21031578947368301</v>
      </c>
      <c r="Q198" t="s">
        <v>8</v>
      </c>
      <c r="R198">
        <v>2.20272727272727</v>
      </c>
      <c r="S198" t="s">
        <v>9</v>
      </c>
      <c r="T198">
        <v>-0.93753424657534201</v>
      </c>
      <c r="U198" t="s">
        <v>10</v>
      </c>
      <c r="V198">
        <v>0.212817153167454</v>
      </c>
      <c r="W198" t="s">
        <v>11</v>
      </c>
      <c r="X198" t="s">
        <v>139</v>
      </c>
      <c r="Y198" t="s">
        <v>691</v>
      </c>
      <c r="Z198">
        <v>0</v>
      </c>
      <c r="AA198" t="s">
        <v>14</v>
      </c>
      <c r="AB198" t="s">
        <v>15</v>
      </c>
      <c r="AC198" t="s">
        <v>139</v>
      </c>
      <c r="AD198" t="s">
        <v>691</v>
      </c>
      <c r="AE198">
        <v>0</v>
      </c>
      <c r="AF198" t="s">
        <v>18</v>
      </c>
    </row>
    <row r="199" spans="1:32" x14ac:dyDescent="0.3">
      <c r="A199" t="s">
        <v>175</v>
      </c>
      <c r="B199" t="s">
        <v>1</v>
      </c>
      <c r="C199">
        <v>0.4</v>
      </c>
      <c r="D199" t="s">
        <v>588</v>
      </c>
      <c r="E199" t="s">
        <v>2323</v>
      </c>
      <c r="F199">
        <v>0.2</v>
      </c>
      <c r="G199" t="s">
        <v>2329</v>
      </c>
      <c r="H199" t="s">
        <v>1994</v>
      </c>
      <c r="I199" t="s">
        <v>4</v>
      </c>
      <c r="J199">
        <v>95</v>
      </c>
      <c r="K199" t="s">
        <v>5</v>
      </c>
      <c r="L199">
        <v>24</v>
      </c>
      <c r="M199" t="s">
        <v>6</v>
      </c>
      <c r="N199">
        <v>-24.649999999999899</v>
      </c>
      <c r="O199" t="s">
        <v>7</v>
      </c>
      <c r="P199">
        <v>-0.25947368421052502</v>
      </c>
      <c r="Q199" t="s">
        <v>8</v>
      </c>
      <c r="R199">
        <v>2.2741666666666598</v>
      </c>
      <c r="S199" t="s">
        <v>9</v>
      </c>
      <c r="T199">
        <v>-1.11591549295774</v>
      </c>
      <c r="U199" t="s">
        <v>10</v>
      </c>
      <c r="V199">
        <v>0.246582573693125</v>
      </c>
      <c r="W199" t="s">
        <v>11</v>
      </c>
      <c r="X199" t="s">
        <v>2412</v>
      </c>
      <c r="Y199" t="s">
        <v>1249</v>
      </c>
      <c r="Z199">
        <v>0</v>
      </c>
      <c r="AA199" t="s">
        <v>14</v>
      </c>
      <c r="AB199" t="s">
        <v>15</v>
      </c>
      <c r="AC199" t="s">
        <v>2412</v>
      </c>
      <c r="AD199" t="s">
        <v>1249</v>
      </c>
      <c r="AE199">
        <v>0</v>
      </c>
      <c r="AF199" t="s">
        <v>18</v>
      </c>
    </row>
    <row r="200" spans="1:32" x14ac:dyDescent="0.3">
      <c r="A200" t="s">
        <v>175</v>
      </c>
      <c r="B200" t="s">
        <v>1</v>
      </c>
      <c r="C200">
        <v>0.4</v>
      </c>
      <c r="D200" t="s">
        <v>588</v>
      </c>
      <c r="E200" t="s">
        <v>2323</v>
      </c>
      <c r="F200">
        <v>0.2</v>
      </c>
      <c r="G200" t="s">
        <v>2329</v>
      </c>
      <c r="H200" t="s">
        <v>1996</v>
      </c>
      <c r="I200" t="s">
        <v>4</v>
      </c>
      <c r="J200">
        <v>95</v>
      </c>
      <c r="K200" t="s">
        <v>5</v>
      </c>
      <c r="L200">
        <v>24</v>
      </c>
      <c r="M200" t="s">
        <v>6</v>
      </c>
      <c r="N200">
        <v>-31.309999999999899</v>
      </c>
      <c r="O200" t="s">
        <v>7</v>
      </c>
      <c r="P200">
        <v>-0.32957894736842003</v>
      </c>
      <c r="Q200" t="s">
        <v>8</v>
      </c>
      <c r="R200">
        <v>2.2741666666666598</v>
      </c>
      <c r="S200" t="s">
        <v>9</v>
      </c>
      <c r="T200">
        <v>-1.20971830985915</v>
      </c>
      <c r="U200" t="s">
        <v>10</v>
      </c>
      <c r="V200">
        <v>0.24931384468390899</v>
      </c>
      <c r="W200" t="s">
        <v>11</v>
      </c>
      <c r="X200" t="s">
        <v>2412</v>
      </c>
      <c r="Y200" t="s">
        <v>1249</v>
      </c>
      <c r="Z200">
        <v>0</v>
      </c>
      <c r="AA200" t="s">
        <v>14</v>
      </c>
      <c r="AB200" t="s">
        <v>15</v>
      </c>
      <c r="AC200" t="s">
        <v>2412</v>
      </c>
      <c r="AD200" t="s">
        <v>1249</v>
      </c>
      <c r="AE200">
        <v>0</v>
      </c>
      <c r="AF200" t="s">
        <v>18</v>
      </c>
    </row>
    <row r="201" spans="1:32" x14ac:dyDescent="0.3">
      <c r="A201" t="s">
        <v>175</v>
      </c>
      <c r="B201" t="s">
        <v>1</v>
      </c>
      <c r="C201">
        <v>0.4</v>
      </c>
      <c r="D201" t="s">
        <v>588</v>
      </c>
      <c r="E201" t="s">
        <v>2323</v>
      </c>
      <c r="F201">
        <v>0.2</v>
      </c>
      <c r="G201" t="s">
        <v>2329</v>
      </c>
      <c r="H201" t="s">
        <v>1997</v>
      </c>
      <c r="I201" t="s">
        <v>4</v>
      </c>
      <c r="J201">
        <v>95</v>
      </c>
      <c r="K201" t="s">
        <v>5</v>
      </c>
      <c r="L201">
        <v>26</v>
      </c>
      <c r="M201" t="s">
        <v>6</v>
      </c>
      <c r="N201">
        <v>-22.0899999999999</v>
      </c>
      <c r="O201" t="s">
        <v>7</v>
      </c>
      <c r="P201">
        <v>-0.232526315789473</v>
      </c>
      <c r="Q201" t="s">
        <v>8</v>
      </c>
      <c r="R201">
        <v>2.2657692307692301</v>
      </c>
      <c r="S201" t="s">
        <v>9</v>
      </c>
      <c r="T201">
        <v>-1.1739130434782601</v>
      </c>
      <c r="U201" t="s">
        <v>10</v>
      </c>
      <c r="V201">
        <v>0.26921459334104098</v>
      </c>
      <c r="W201" t="s">
        <v>11</v>
      </c>
      <c r="X201" t="s">
        <v>2412</v>
      </c>
      <c r="Y201" t="s">
        <v>1249</v>
      </c>
      <c r="Z201">
        <v>0</v>
      </c>
      <c r="AA201" t="s">
        <v>14</v>
      </c>
      <c r="AB201" t="s">
        <v>15</v>
      </c>
      <c r="AC201" t="s">
        <v>2412</v>
      </c>
      <c r="AD201" t="s">
        <v>1249</v>
      </c>
      <c r="AE201">
        <v>0</v>
      </c>
      <c r="AF201" t="s">
        <v>18</v>
      </c>
    </row>
    <row r="202" spans="1:32" x14ac:dyDescent="0.3">
      <c r="A202" t="s">
        <v>175</v>
      </c>
      <c r="B202" t="s">
        <v>1</v>
      </c>
      <c r="C202">
        <v>0.4</v>
      </c>
      <c r="D202" t="s">
        <v>588</v>
      </c>
      <c r="E202" t="s">
        <v>2323</v>
      </c>
      <c r="F202">
        <v>0.2</v>
      </c>
      <c r="G202" t="s">
        <v>2332</v>
      </c>
      <c r="H202" t="s">
        <v>1999</v>
      </c>
      <c r="I202" t="s">
        <v>4</v>
      </c>
      <c r="J202">
        <v>96</v>
      </c>
      <c r="K202" t="s">
        <v>5</v>
      </c>
      <c r="L202">
        <v>31</v>
      </c>
      <c r="M202" t="s">
        <v>6</v>
      </c>
      <c r="N202">
        <v>1.59416284135993</v>
      </c>
      <c r="O202" t="s">
        <v>7</v>
      </c>
      <c r="P202">
        <v>1.6605862930832601E-2</v>
      </c>
      <c r="Q202" t="s">
        <v>8</v>
      </c>
      <c r="R202">
        <v>2.3106451612903198</v>
      </c>
      <c r="S202" t="s">
        <v>9</v>
      </c>
      <c r="T202">
        <v>-1.07747441782523</v>
      </c>
      <c r="U202" t="s">
        <v>10</v>
      </c>
      <c r="V202">
        <v>0.235529113266253</v>
      </c>
      <c r="W202" t="s">
        <v>11</v>
      </c>
      <c r="X202" t="s">
        <v>2413</v>
      </c>
      <c r="Y202" t="s">
        <v>2123</v>
      </c>
      <c r="Z202">
        <v>0</v>
      </c>
      <c r="AA202" t="s">
        <v>14</v>
      </c>
      <c r="AB202" t="s">
        <v>15</v>
      </c>
      <c r="AC202" t="s">
        <v>2413</v>
      </c>
      <c r="AD202" t="s">
        <v>2123</v>
      </c>
      <c r="AE202">
        <v>0</v>
      </c>
      <c r="AF202" t="s">
        <v>18</v>
      </c>
    </row>
    <row r="203" spans="1:32" x14ac:dyDescent="0.3">
      <c r="A203" t="s">
        <v>175</v>
      </c>
      <c r="B203" t="s">
        <v>1</v>
      </c>
      <c r="C203">
        <v>0.4</v>
      </c>
      <c r="D203" t="s">
        <v>588</v>
      </c>
      <c r="E203" t="s">
        <v>2323</v>
      </c>
      <c r="F203">
        <v>0.2</v>
      </c>
      <c r="G203" t="s">
        <v>2332</v>
      </c>
      <c r="H203" t="s">
        <v>2002</v>
      </c>
      <c r="I203" t="s">
        <v>4</v>
      </c>
      <c r="J203">
        <v>96</v>
      </c>
      <c r="K203" t="s">
        <v>5</v>
      </c>
      <c r="L203">
        <v>37</v>
      </c>
      <c r="M203" t="s">
        <v>6</v>
      </c>
      <c r="N203">
        <v>6.3841628413598999</v>
      </c>
      <c r="O203" t="s">
        <v>7</v>
      </c>
      <c r="P203">
        <v>6.6501696264165702E-2</v>
      </c>
      <c r="Q203" t="s">
        <v>8</v>
      </c>
      <c r="R203">
        <v>2.4821621621621599</v>
      </c>
      <c r="S203" t="s">
        <v>9</v>
      </c>
      <c r="T203">
        <v>-1.4484040196379599</v>
      </c>
      <c r="U203" t="s">
        <v>10</v>
      </c>
      <c r="V203">
        <v>0.27476162369266</v>
      </c>
      <c r="W203" t="s">
        <v>11</v>
      </c>
      <c r="X203" t="s">
        <v>2413</v>
      </c>
      <c r="Y203" t="s">
        <v>2123</v>
      </c>
      <c r="Z203">
        <v>0</v>
      </c>
      <c r="AA203" t="s">
        <v>14</v>
      </c>
      <c r="AB203" t="s">
        <v>15</v>
      </c>
      <c r="AC203" t="s">
        <v>2413</v>
      </c>
      <c r="AD203" t="s">
        <v>2123</v>
      </c>
      <c r="AE203">
        <v>0</v>
      </c>
      <c r="AF203" t="s">
        <v>18</v>
      </c>
    </row>
    <row r="204" spans="1:32" x14ac:dyDescent="0.3">
      <c r="A204" t="s">
        <v>175</v>
      </c>
      <c r="B204" t="s">
        <v>1</v>
      </c>
      <c r="C204">
        <v>0.4</v>
      </c>
      <c r="D204" t="s">
        <v>588</v>
      </c>
      <c r="E204" t="s">
        <v>2323</v>
      </c>
      <c r="F204">
        <v>0.2</v>
      </c>
      <c r="G204" t="s">
        <v>2332</v>
      </c>
      <c r="H204" t="s">
        <v>2004</v>
      </c>
      <c r="I204" t="s">
        <v>4</v>
      </c>
      <c r="J204">
        <v>96</v>
      </c>
      <c r="K204" t="s">
        <v>5</v>
      </c>
      <c r="L204">
        <v>38</v>
      </c>
      <c r="M204" t="s">
        <v>6</v>
      </c>
      <c r="N204">
        <v>0.34170303264608898</v>
      </c>
      <c r="O204" t="s">
        <v>7</v>
      </c>
      <c r="P204">
        <v>3.5594065900634302E-3</v>
      </c>
      <c r="Q204" t="s">
        <v>8</v>
      </c>
      <c r="R204">
        <v>2.4697368421052599</v>
      </c>
      <c r="S204" t="s">
        <v>9</v>
      </c>
      <c r="T204">
        <v>-1.6122120166785101</v>
      </c>
      <c r="U204" t="s">
        <v>10</v>
      </c>
      <c r="V204">
        <v>0.28513215868429498</v>
      </c>
      <c r="W204" t="s">
        <v>11</v>
      </c>
      <c r="X204" t="s">
        <v>2413</v>
      </c>
      <c r="Y204" t="s">
        <v>2123</v>
      </c>
      <c r="Z204">
        <v>0</v>
      </c>
      <c r="AA204" t="s">
        <v>14</v>
      </c>
      <c r="AB204" t="s">
        <v>15</v>
      </c>
      <c r="AC204" t="s">
        <v>2413</v>
      </c>
      <c r="AD204" t="s">
        <v>2123</v>
      </c>
      <c r="AE204">
        <v>0</v>
      </c>
      <c r="AF204" t="s">
        <v>18</v>
      </c>
    </row>
    <row r="205" spans="1:32" x14ac:dyDescent="0.3">
      <c r="A205" t="s">
        <v>175</v>
      </c>
      <c r="B205" t="s">
        <v>1</v>
      </c>
      <c r="C205">
        <v>0.4</v>
      </c>
      <c r="D205" t="s">
        <v>588</v>
      </c>
      <c r="E205" t="s">
        <v>2323</v>
      </c>
      <c r="F205">
        <v>0.2</v>
      </c>
      <c r="G205" t="s">
        <v>2332</v>
      </c>
      <c r="H205" t="s">
        <v>2005</v>
      </c>
      <c r="I205" t="s">
        <v>4</v>
      </c>
      <c r="J205">
        <v>96</v>
      </c>
      <c r="K205" t="s">
        <v>5</v>
      </c>
      <c r="L205">
        <v>39</v>
      </c>
      <c r="M205" t="s">
        <v>6</v>
      </c>
      <c r="N205">
        <v>1.96066842199435</v>
      </c>
      <c r="O205" t="s">
        <v>7</v>
      </c>
      <c r="P205">
        <v>2.0423629395774499E-2</v>
      </c>
      <c r="Q205" t="s">
        <v>8</v>
      </c>
      <c r="R205">
        <v>2.4630769230769198</v>
      </c>
      <c r="S205" t="s">
        <v>9</v>
      </c>
      <c r="T205">
        <v>-1.6508654662808</v>
      </c>
      <c r="U205" t="s">
        <v>10</v>
      </c>
      <c r="V205">
        <v>0.29745688346039201</v>
      </c>
      <c r="W205" t="s">
        <v>11</v>
      </c>
      <c r="X205" t="s">
        <v>2413</v>
      </c>
      <c r="Y205" t="s">
        <v>2123</v>
      </c>
      <c r="Z205">
        <v>0</v>
      </c>
      <c r="AA205" t="s">
        <v>14</v>
      </c>
      <c r="AB205" t="s">
        <v>15</v>
      </c>
      <c r="AC205" t="s">
        <v>2413</v>
      </c>
      <c r="AD205" t="s">
        <v>2123</v>
      </c>
      <c r="AE205">
        <v>0</v>
      </c>
      <c r="AF205" t="s">
        <v>18</v>
      </c>
    </row>
    <row r="206" spans="1:32" x14ac:dyDescent="0.3">
      <c r="A206" t="s">
        <v>175</v>
      </c>
      <c r="B206" t="s">
        <v>1</v>
      </c>
      <c r="C206">
        <v>0.4</v>
      </c>
      <c r="D206" t="s">
        <v>588</v>
      </c>
      <c r="E206" t="s">
        <v>2323</v>
      </c>
      <c r="F206">
        <v>0.2</v>
      </c>
      <c r="G206" t="s">
        <v>2347</v>
      </c>
      <c r="H206" t="s">
        <v>1979</v>
      </c>
      <c r="I206" t="s">
        <v>4</v>
      </c>
      <c r="J206">
        <v>90</v>
      </c>
      <c r="K206" t="s">
        <v>5</v>
      </c>
      <c r="L206">
        <v>52</v>
      </c>
      <c r="M206" t="s">
        <v>6</v>
      </c>
      <c r="N206">
        <v>1.3900000000000301</v>
      </c>
      <c r="O206" t="s">
        <v>7</v>
      </c>
      <c r="P206">
        <v>1.54444444444448E-2</v>
      </c>
      <c r="Q206" t="s">
        <v>8</v>
      </c>
      <c r="R206">
        <v>1.2294230769230701</v>
      </c>
      <c r="S206" t="s">
        <v>9</v>
      </c>
      <c r="T206">
        <v>-1.64578947368421</v>
      </c>
      <c r="U206" t="s">
        <v>10</v>
      </c>
      <c r="V206">
        <v>0.248840335236927</v>
      </c>
      <c r="W206" t="s">
        <v>11</v>
      </c>
      <c r="X206" t="s">
        <v>2415</v>
      </c>
      <c r="Y206" t="s">
        <v>691</v>
      </c>
      <c r="Z206">
        <v>0</v>
      </c>
      <c r="AA206" t="s">
        <v>14</v>
      </c>
      <c r="AB206" t="s">
        <v>15</v>
      </c>
      <c r="AC206" t="s">
        <v>2415</v>
      </c>
      <c r="AD206" t="s">
        <v>691</v>
      </c>
      <c r="AE206">
        <v>0</v>
      </c>
      <c r="AF206" t="s">
        <v>18</v>
      </c>
    </row>
    <row r="207" spans="1:32" x14ac:dyDescent="0.3">
      <c r="A207" t="s">
        <v>175</v>
      </c>
      <c r="B207" t="s">
        <v>1</v>
      </c>
      <c r="C207">
        <v>0.4</v>
      </c>
      <c r="D207" t="s">
        <v>588</v>
      </c>
      <c r="E207" t="s">
        <v>2323</v>
      </c>
      <c r="F207">
        <v>0.2</v>
      </c>
      <c r="G207" t="s">
        <v>2347</v>
      </c>
      <c r="H207" t="s">
        <v>1982</v>
      </c>
      <c r="I207" t="s">
        <v>4</v>
      </c>
      <c r="J207">
        <v>90</v>
      </c>
      <c r="K207" t="s">
        <v>5</v>
      </c>
      <c r="L207">
        <v>60</v>
      </c>
      <c r="M207" t="s">
        <v>6</v>
      </c>
      <c r="N207">
        <v>13.97</v>
      </c>
      <c r="O207" t="s">
        <v>7</v>
      </c>
      <c r="P207">
        <v>0.15522222222222201</v>
      </c>
      <c r="Q207" t="s">
        <v>8</v>
      </c>
      <c r="R207">
        <v>1.3725000000000001</v>
      </c>
      <c r="S207" t="s">
        <v>9</v>
      </c>
      <c r="T207">
        <v>-2.2793333333333301</v>
      </c>
      <c r="U207" t="s">
        <v>10</v>
      </c>
      <c r="V207">
        <v>0.29497419944433101</v>
      </c>
      <c r="W207" t="s">
        <v>11</v>
      </c>
      <c r="X207" t="s">
        <v>2415</v>
      </c>
      <c r="Y207" t="s">
        <v>691</v>
      </c>
      <c r="Z207">
        <v>0</v>
      </c>
      <c r="AA207" t="s">
        <v>14</v>
      </c>
      <c r="AB207" t="s">
        <v>15</v>
      </c>
      <c r="AC207" t="s">
        <v>2415</v>
      </c>
      <c r="AD207" t="s">
        <v>691</v>
      </c>
      <c r="AE207">
        <v>0</v>
      </c>
      <c r="AF207" t="s">
        <v>18</v>
      </c>
    </row>
    <row r="208" spans="1:32" x14ac:dyDescent="0.3">
      <c r="A208" t="s">
        <v>175</v>
      </c>
      <c r="B208" t="s">
        <v>1</v>
      </c>
      <c r="C208">
        <v>0.4</v>
      </c>
      <c r="D208" t="s">
        <v>588</v>
      </c>
      <c r="E208" t="s">
        <v>2323</v>
      </c>
      <c r="F208">
        <v>0.2</v>
      </c>
      <c r="G208" t="s">
        <v>2347</v>
      </c>
      <c r="H208" t="s">
        <v>1985</v>
      </c>
      <c r="I208" t="s">
        <v>4</v>
      </c>
      <c r="J208">
        <v>90</v>
      </c>
      <c r="K208" t="s">
        <v>5</v>
      </c>
      <c r="L208">
        <v>65</v>
      </c>
      <c r="M208" t="s">
        <v>6</v>
      </c>
      <c r="N208">
        <v>25.9</v>
      </c>
      <c r="O208" t="s">
        <v>7</v>
      </c>
      <c r="P208">
        <v>0.28777777777777802</v>
      </c>
      <c r="Q208" t="s">
        <v>8</v>
      </c>
      <c r="R208">
        <v>1.4253846153846099</v>
      </c>
      <c r="S208" t="s">
        <v>9</v>
      </c>
      <c r="T208">
        <v>-2.67</v>
      </c>
      <c r="U208" t="s">
        <v>10</v>
      </c>
      <c r="V208">
        <v>0.33444461346227999</v>
      </c>
      <c r="W208" t="s">
        <v>11</v>
      </c>
      <c r="X208" t="s">
        <v>2415</v>
      </c>
      <c r="Y208" t="s">
        <v>691</v>
      </c>
      <c r="Z208">
        <v>0</v>
      </c>
      <c r="AA208" t="s">
        <v>14</v>
      </c>
      <c r="AB208" t="s">
        <v>15</v>
      </c>
      <c r="AC208" t="s">
        <v>2415</v>
      </c>
      <c r="AD208" t="s">
        <v>691</v>
      </c>
      <c r="AE208">
        <v>0</v>
      </c>
      <c r="AF208" t="s">
        <v>18</v>
      </c>
    </row>
    <row r="209" spans="1:32" x14ac:dyDescent="0.3">
      <c r="A209" t="s">
        <v>175</v>
      </c>
      <c r="B209" t="s">
        <v>1</v>
      </c>
      <c r="C209">
        <v>0.4</v>
      </c>
      <c r="D209" t="s">
        <v>588</v>
      </c>
      <c r="E209" t="s">
        <v>2323</v>
      </c>
      <c r="F209">
        <v>0.2</v>
      </c>
      <c r="G209" t="s">
        <v>2347</v>
      </c>
      <c r="H209" t="s">
        <v>1988</v>
      </c>
      <c r="I209" t="s">
        <v>4</v>
      </c>
      <c r="J209">
        <v>90</v>
      </c>
      <c r="K209" t="s">
        <v>5</v>
      </c>
      <c r="L209">
        <v>66</v>
      </c>
      <c r="M209" t="s">
        <v>6</v>
      </c>
      <c r="N209">
        <v>27.86</v>
      </c>
      <c r="O209" t="s">
        <v>7</v>
      </c>
      <c r="P209">
        <v>0.30955555555555497</v>
      </c>
      <c r="Q209" t="s">
        <v>8</v>
      </c>
      <c r="R209">
        <v>1.44136363636363</v>
      </c>
      <c r="S209" t="s">
        <v>9</v>
      </c>
      <c r="T209">
        <v>-2.8029166666666598</v>
      </c>
      <c r="U209" t="s">
        <v>10</v>
      </c>
      <c r="V209">
        <v>0.34373898109016499</v>
      </c>
      <c r="W209" t="s">
        <v>11</v>
      </c>
      <c r="X209" t="s">
        <v>2415</v>
      </c>
      <c r="Y209" t="s">
        <v>691</v>
      </c>
      <c r="Z209">
        <v>0</v>
      </c>
      <c r="AA209" t="s">
        <v>14</v>
      </c>
      <c r="AB209" t="s">
        <v>15</v>
      </c>
      <c r="AC209" t="s">
        <v>2415</v>
      </c>
      <c r="AD209" t="s">
        <v>691</v>
      </c>
      <c r="AE209">
        <v>0</v>
      </c>
      <c r="AF209" t="s">
        <v>18</v>
      </c>
    </row>
    <row r="210" spans="1:32" x14ac:dyDescent="0.3">
      <c r="A210" t="s">
        <v>175</v>
      </c>
      <c r="B210" t="s">
        <v>1</v>
      </c>
      <c r="C210">
        <v>0.4</v>
      </c>
      <c r="D210" t="s">
        <v>588</v>
      </c>
      <c r="E210" t="s">
        <v>2323</v>
      </c>
      <c r="F210">
        <v>0.2</v>
      </c>
      <c r="G210" t="s">
        <v>2355</v>
      </c>
      <c r="H210" t="s">
        <v>1991</v>
      </c>
      <c r="I210" t="s">
        <v>4</v>
      </c>
      <c r="J210">
        <v>95</v>
      </c>
      <c r="K210" t="s">
        <v>5</v>
      </c>
      <c r="L210">
        <v>58</v>
      </c>
      <c r="M210" t="s">
        <v>6</v>
      </c>
      <c r="N210">
        <v>12.05</v>
      </c>
      <c r="O210" t="s">
        <v>7</v>
      </c>
      <c r="P210">
        <v>0.12684210526315801</v>
      </c>
      <c r="Q210" t="s">
        <v>8</v>
      </c>
      <c r="R210">
        <v>1.3794827586206899</v>
      </c>
      <c r="S210" t="s">
        <v>9</v>
      </c>
      <c r="T210">
        <v>-1.83675675675675</v>
      </c>
      <c r="U210" t="s">
        <v>10</v>
      </c>
      <c r="V210">
        <v>0.24820890054750899</v>
      </c>
      <c r="W210" t="s">
        <v>11</v>
      </c>
      <c r="X210" t="s">
        <v>2416</v>
      </c>
      <c r="Y210" t="s">
        <v>691</v>
      </c>
      <c r="Z210">
        <v>0</v>
      </c>
      <c r="AA210" t="s">
        <v>14</v>
      </c>
      <c r="AB210" t="s">
        <v>15</v>
      </c>
      <c r="AC210" t="s">
        <v>2416</v>
      </c>
      <c r="AD210" t="s">
        <v>691</v>
      </c>
      <c r="AE210">
        <v>0</v>
      </c>
      <c r="AF210" t="s">
        <v>18</v>
      </c>
    </row>
    <row r="211" spans="1:32" x14ac:dyDescent="0.3">
      <c r="A211" t="s">
        <v>175</v>
      </c>
      <c r="B211" t="s">
        <v>1</v>
      </c>
      <c r="C211">
        <v>0.4</v>
      </c>
      <c r="D211" t="s">
        <v>588</v>
      </c>
      <c r="E211" t="s">
        <v>2323</v>
      </c>
      <c r="F211">
        <v>0.2</v>
      </c>
      <c r="G211" t="s">
        <v>2355</v>
      </c>
      <c r="H211" t="s">
        <v>1994</v>
      </c>
      <c r="I211" t="s">
        <v>4</v>
      </c>
      <c r="J211">
        <v>95</v>
      </c>
      <c r="K211" t="s">
        <v>5</v>
      </c>
      <c r="L211">
        <v>66</v>
      </c>
      <c r="M211" t="s">
        <v>6</v>
      </c>
      <c r="N211">
        <v>22.77</v>
      </c>
      <c r="O211" t="s">
        <v>7</v>
      </c>
      <c r="P211">
        <v>0.239684210526316</v>
      </c>
      <c r="Q211" t="s">
        <v>8</v>
      </c>
      <c r="R211">
        <v>1.37848484848484</v>
      </c>
      <c r="S211" t="s">
        <v>9</v>
      </c>
      <c r="T211">
        <v>-2.35206896551724</v>
      </c>
      <c r="U211" t="s">
        <v>10</v>
      </c>
      <c r="V211">
        <v>0.27497980814515</v>
      </c>
      <c r="W211" t="s">
        <v>11</v>
      </c>
      <c r="X211" t="s">
        <v>2416</v>
      </c>
      <c r="Y211" t="s">
        <v>691</v>
      </c>
      <c r="Z211">
        <v>0</v>
      </c>
      <c r="AA211" t="s">
        <v>14</v>
      </c>
      <c r="AB211" t="s">
        <v>15</v>
      </c>
      <c r="AC211" t="s">
        <v>2416</v>
      </c>
      <c r="AD211" t="s">
        <v>691</v>
      </c>
      <c r="AE211">
        <v>0</v>
      </c>
      <c r="AF211" t="s">
        <v>18</v>
      </c>
    </row>
    <row r="212" spans="1:32" x14ac:dyDescent="0.3">
      <c r="A212" t="s">
        <v>175</v>
      </c>
      <c r="B212" t="s">
        <v>1</v>
      </c>
      <c r="C212">
        <v>0.4</v>
      </c>
      <c r="D212" t="s">
        <v>588</v>
      </c>
      <c r="E212" t="s">
        <v>2323</v>
      </c>
      <c r="F212">
        <v>0.2</v>
      </c>
      <c r="G212" t="s">
        <v>2355</v>
      </c>
      <c r="H212" t="s">
        <v>1996</v>
      </c>
      <c r="I212" t="s">
        <v>4</v>
      </c>
      <c r="J212">
        <v>95</v>
      </c>
      <c r="K212" t="s">
        <v>5</v>
      </c>
      <c r="L212">
        <v>70</v>
      </c>
      <c r="M212" t="s">
        <v>6</v>
      </c>
      <c r="N212">
        <v>27.33</v>
      </c>
      <c r="O212" t="s">
        <v>7</v>
      </c>
      <c r="P212">
        <v>0.28768421052631599</v>
      </c>
      <c r="Q212" t="s">
        <v>8</v>
      </c>
      <c r="R212">
        <v>1.40214285714285</v>
      </c>
      <c r="S212" t="s">
        <v>9</v>
      </c>
      <c r="T212">
        <v>-2.83279999999999</v>
      </c>
      <c r="U212" t="s">
        <v>10</v>
      </c>
      <c r="V212">
        <v>0.31145006782847701</v>
      </c>
      <c r="W212" t="s">
        <v>11</v>
      </c>
      <c r="X212" t="s">
        <v>2416</v>
      </c>
      <c r="Y212" t="s">
        <v>691</v>
      </c>
      <c r="Z212">
        <v>0</v>
      </c>
      <c r="AA212" t="s">
        <v>14</v>
      </c>
      <c r="AB212" t="s">
        <v>15</v>
      </c>
      <c r="AC212" t="s">
        <v>2416</v>
      </c>
      <c r="AD212" t="s">
        <v>691</v>
      </c>
      <c r="AE212">
        <v>0</v>
      </c>
      <c r="AF212" t="s">
        <v>18</v>
      </c>
    </row>
    <row r="213" spans="1:32" x14ac:dyDescent="0.3">
      <c r="A213" t="s">
        <v>175</v>
      </c>
      <c r="B213" t="s">
        <v>1</v>
      </c>
      <c r="C213">
        <v>0.4</v>
      </c>
      <c r="D213" t="s">
        <v>588</v>
      </c>
      <c r="E213" t="s">
        <v>2323</v>
      </c>
      <c r="F213">
        <v>0.2</v>
      </c>
      <c r="G213" t="s">
        <v>2355</v>
      </c>
      <c r="H213" t="s">
        <v>1997</v>
      </c>
      <c r="I213" t="s">
        <v>4</v>
      </c>
      <c r="J213">
        <v>95</v>
      </c>
      <c r="K213" t="s">
        <v>5</v>
      </c>
      <c r="L213">
        <v>73</v>
      </c>
      <c r="M213" t="s">
        <v>6</v>
      </c>
      <c r="N213">
        <v>39.03</v>
      </c>
      <c r="O213" t="s">
        <v>7</v>
      </c>
      <c r="P213">
        <v>0.41084210526315801</v>
      </c>
      <c r="Q213" t="s">
        <v>8</v>
      </c>
      <c r="R213">
        <v>1.45013698630137</v>
      </c>
      <c r="S213" t="s">
        <v>9</v>
      </c>
      <c r="T213">
        <v>-3.0377272727272699</v>
      </c>
      <c r="U213" t="s">
        <v>10</v>
      </c>
      <c r="V213">
        <v>0.32608500057624301</v>
      </c>
      <c r="W213" t="s">
        <v>11</v>
      </c>
      <c r="X213" t="s">
        <v>2416</v>
      </c>
      <c r="Y213" t="s">
        <v>691</v>
      </c>
      <c r="Z213">
        <v>0</v>
      </c>
      <c r="AA213" t="s">
        <v>14</v>
      </c>
      <c r="AB213" t="s">
        <v>15</v>
      </c>
      <c r="AC213" t="s">
        <v>2416</v>
      </c>
      <c r="AD213" t="s">
        <v>691</v>
      </c>
      <c r="AE213">
        <v>0</v>
      </c>
      <c r="AF213" t="s">
        <v>18</v>
      </c>
    </row>
    <row r="214" spans="1:32" x14ac:dyDescent="0.3">
      <c r="A214" t="s">
        <v>175</v>
      </c>
      <c r="B214" t="s">
        <v>1</v>
      </c>
      <c r="C214">
        <v>0.4</v>
      </c>
      <c r="D214" t="s">
        <v>588</v>
      </c>
      <c r="E214" t="s">
        <v>2323</v>
      </c>
      <c r="F214">
        <v>0.2</v>
      </c>
      <c r="G214" t="s">
        <v>2361</v>
      </c>
      <c r="H214" t="s">
        <v>1999</v>
      </c>
      <c r="I214" t="s">
        <v>4</v>
      </c>
      <c r="J214">
        <v>96</v>
      </c>
      <c r="K214" t="s">
        <v>5</v>
      </c>
      <c r="L214">
        <v>51</v>
      </c>
      <c r="M214" t="s">
        <v>6</v>
      </c>
      <c r="N214">
        <v>-0.45458795920854</v>
      </c>
      <c r="O214" t="s">
        <v>7</v>
      </c>
      <c r="P214">
        <v>-4.7352912417556303E-3</v>
      </c>
      <c r="Q214" t="s">
        <v>8</v>
      </c>
      <c r="R214">
        <v>1.6492483224018899</v>
      </c>
      <c r="S214" t="s">
        <v>9</v>
      </c>
      <c r="T214">
        <v>-1.9219602818569399</v>
      </c>
      <c r="U214" t="s">
        <v>10</v>
      </c>
      <c r="V214">
        <v>0.26238181668230998</v>
      </c>
      <c r="W214" t="s">
        <v>11</v>
      </c>
      <c r="X214" t="s">
        <v>2416</v>
      </c>
      <c r="Y214" t="s">
        <v>691</v>
      </c>
      <c r="Z214">
        <v>0</v>
      </c>
      <c r="AA214" t="s">
        <v>14</v>
      </c>
      <c r="AB214" t="s">
        <v>15</v>
      </c>
      <c r="AC214" t="s">
        <v>2416</v>
      </c>
      <c r="AD214" t="s">
        <v>691</v>
      </c>
      <c r="AE214">
        <v>0</v>
      </c>
      <c r="AF214" t="s">
        <v>18</v>
      </c>
    </row>
    <row r="215" spans="1:32" x14ac:dyDescent="0.3">
      <c r="A215" t="s">
        <v>175</v>
      </c>
      <c r="B215" t="s">
        <v>1</v>
      </c>
      <c r="C215">
        <v>0.4</v>
      </c>
      <c r="D215" t="s">
        <v>588</v>
      </c>
      <c r="E215" t="s">
        <v>2323</v>
      </c>
      <c r="F215">
        <v>0.2</v>
      </c>
      <c r="G215" t="s">
        <v>2361</v>
      </c>
      <c r="H215" t="s">
        <v>2002</v>
      </c>
      <c r="I215" t="s">
        <v>4</v>
      </c>
      <c r="J215">
        <v>96</v>
      </c>
      <c r="K215" t="s">
        <v>5</v>
      </c>
      <c r="L215">
        <v>59</v>
      </c>
      <c r="M215" t="s">
        <v>6</v>
      </c>
      <c r="N215">
        <v>0.95541204079145503</v>
      </c>
      <c r="O215" t="s">
        <v>7</v>
      </c>
      <c r="P215">
        <v>9.9522087582443308E-3</v>
      </c>
      <c r="Q215" t="s">
        <v>8</v>
      </c>
      <c r="R215">
        <v>1.64426549902536</v>
      </c>
      <c r="S215" t="s">
        <v>9</v>
      </c>
      <c r="T215">
        <v>-2.6682292333806998</v>
      </c>
      <c r="U215" t="s">
        <v>10</v>
      </c>
      <c r="V215">
        <v>0.29410375809764699</v>
      </c>
      <c r="W215" t="s">
        <v>11</v>
      </c>
      <c r="X215" t="s">
        <v>2416</v>
      </c>
      <c r="Y215" t="s">
        <v>691</v>
      </c>
      <c r="Z215">
        <v>0</v>
      </c>
      <c r="AA215" t="s">
        <v>14</v>
      </c>
      <c r="AB215" t="s">
        <v>15</v>
      </c>
      <c r="AC215" t="s">
        <v>2416</v>
      </c>
      <c r="AD215" t="s">
        <v>691</v>
      </c>
      <c r="AE215">
        <v>0</v>
      </c>
      <c r="AF215" t="s">
        <v>18</v>
      </c>
    </row>
    <row r="216" spans="1:32" x14ac:dyDescent="0.3">
      <c r="A216" t="s">
        <v>175</v>
      </c>
      <c r="B216" t="s">
        <v>1</v>
      </c>
      <c r="C216">
        <v>0.4</v>
      </c>
      <c r="D216" t="s">
        <v>588</v>
      </c>
      <c r="E216" t="s">
        <v>2323</v>
      </c>
      <c r="F216">
        <v>0.2</v>
      </c>
      <c r="G216" t="s">
        <v>2361</v>
      </c>
      <c r="H216" t="s">
        <v>2004</v>
      </c>
      <c r="I216" t="s">
        <v>4</v>
      </c>
      <c r="J216">
        <v>96</v>
      </c>
      <c r="K216" t="s">
        <v>5</v>
      </c>
      <c r="L216">
        <v>67</v>
      </c>
      <c r="M216" t="s">
        <v>6</v>
      </c>
      <c r="N216">
        <v>9.2254120407914808</v>
      </c>
      <c r="O216" t="s">
        <v>7</v>
      </c>
      <c r="P216">
        <v>9.6098042091578004E-2</v>
      </c>
      <c r="Q216" t="s">
        <v>8</v>
      </c>
      <c r="R216">
        <v>1.6863494334446401</v>
      </c>
      <c r="S216" t="s">
        <v>9</v>
      </c>
      <c r="T216">
        <v>-3.7057142857142802</v>
      </c>
      <c r="U216" t="s">
        <v>10</v>
      </c>
      <c r="V216">
        <v>0.35992954583513398</v>
      </c>
      <c r="W216" t="s">
        <v>11</v>
      </c>
      <c r="X216" t="s">
        <v>2416</v>
      </c>
      <c r="Y216" t="s">
        <v>691</v>
      </c>
      <c r="Z216">
        <v>0</v>
      </c>
      <c r="AA216" t="s">
        <v>14</v>
      </c>
      <c r="AB216" t="s">
        <v>15</v>
      </c>
      <c r="AC216" t="s">
        <v>2417</v>
      </c>
      <c r="AD216" t="s">
        <v>2418</v>
      </c>
      <c r="AE216">
        <v>0</v>
      </c>
      <c r="AF216" t="s">
        <v>18</v>
      </c>
    </row>
    <row r="217" spans="1:32" x14ac:dyDescent="0.3">
      <c r="A217" t="s">
        <v>175</v>
      </c>
      <c r="B217" t="s">
        <v>1</v>
      </c>
      <c r="C217">
        <v>0.4</v>
      </c>
      <c r="D217" t="s">
        <v>588</v>
      </c>
      <c r="E217" t="s">
        <v>2323</v>
      </c>
      <c r="F217">
        <v>0.2</v>
      </c>
      <c r="G217" t="s">
        <v>2361</v>
      </c>
      <c r="H217" t="s">
        <v>2005</v>
      </c>
      <c r="I217" t="s">
        <v>4</v>
      </c>
      <c r="J217">
        <v>96</v>
      </c>
      <c r="K217" t="s">
        <v>5</v>
      </c>
      <c r="L217">
        <v>70</v>
      </c>
      <c r="M217" t="s">
        <v>6</v>
      </c>
      <c r="N217">
        <v>10.325412040791401</v>
      </c>
      <c r="O217" t="s">
        <v>7</v>
      </c>
      <c r="P217">
        <v>0.107556375424911</v>
      </c>
      <c r="Q217" t="s">
        <v>8</v>
      </c>
      <c r="R217">
        <v>1.7099344577255899</v>
      </c>
      <c r="S217" t="s">
        <v>9</v>
      </c>
      <c r="T217">
        <v>-4.3747999999999996</v>
      </c>
      <c r="U217" t="s">
        <v>10</v>
      </c>
      <c r="V217">
        <v>0.37562842549285502</v>
      </c>
      <c r="W217" t="s">
        <v>11</v>
      </c>
      <c r="X217" t="s">
        <v>2416</v>
      </c>
      <c r="Y217" t="s">
        <v>691</v>
      </c>
      <c r="Z217">
        <v>0</v>
      </c>
      <c r="AA217" t="s">
        <v>14</v>
      </c>
      <c r="AB217" t="s">
        <v>15</v>
      </c>
      <c r="AC217" t="s">
        <v>2417</v>
      </c>
      <c r="AD217" t="s">
        <v>2418</v>
      </c>
      <c r="AE217">
        <v>0</v>
      </c>
      <c r="AF217" t="s">
        <v>18</v>
      </c>
    </row>
    <row r="218" spans="1:32" x14ac:dyDescent="0.3">
      <c r="A218" t="s">
        <v>175</v>
      </c>
      <c r="B218" t="s">
        <v>1</v>
      </c>
      <c r="C218">
        <v>0.3</v>
      </c>
      <c r="D218" t="s">
        <v>588</v>
      </c>
      <c r="E218" t="s">
        <v>2323</v>
      </c>
      <c r="F218">
        <v>0.15</v>
      </c>
      <c r="G218" t="s">
        <v>2324</v>
      </c>
      <c r="H218" t="s">
        <v>1979</v>
      </c>
      <c r="I218" t="s">
        <v>4</v>
      </c>
      <c r="J218">
        <v>90</v>
      </c>
      <c r="K218" t="s">
        <v>5</v>
      </c>
      <c r="L218">
        <v>28</v>
      </c>
      <c r="M218" t="s">
        <v>6</v>
      </c>
      <c r="N218">
        <v>0.130000000000001</v>
      </c>
      <c r="O218" t="s">
        <v>7</v>
      </c>
      <c r="P218">
        <v>1.44444444444446E-3</v>
      </c>
      <c r="Q218" t="s">
        <v>8</v>
      </c>
      <c r="R218">
        <v>1.2107142857142801</v>
      </c>
      <c r="S218" t="s">
        <v>9</v>
      </c>
      <c r="T218">
        <v>-0.553606557377049</v>
      </c>
      <c r="U218" t="s">
        <v>10</v>
      </c>
      <c r="V218">
        <v>0.129192054644199</v>
      </c>
      <c r="W218" t="s">
        <v>11</v>
      </c>
      <c r="X218" t="s">
        <v>2428</v>
      </c>
      <c r="Y218" t="s">
        <v>2429</v>
      </c>
      <c r="Z218">
        <v>0</v>
      </c>
      <c r="AA218" t="s">
        <v>14</v>
      </c>
      <c r="AB218" t="s">
        <v>15</v>
      </c>
      <c r="AC218" t="s">
        <v>2428</v>
      </c>
      <c r="AD218" t="s">
        <v>2429</v>
      </c>
      <c r="AE218">
        <v>0</v>
      </c>
      <c r="AF218" t="s">
        <v>18</v>
      </c>
    </row>
    <row r="219" spans="1:32" x14ac:dyDescent="0.3">
      <c r="A219" t="s">
        <v>175</v>
      </c>
      <c r="B219" t="s">
        <v>1</v>
      </c>
      <c r="C219">
        <v>0.3</v>
      </c>
      <c r="D219" t="s">
        <v>588</v>
      </c>
      <c r="E219" t="s">
        <v>2323</v>
      </c>
      <c r="F219">
        <v>0.15</v>
      </c>
      <c r="G219" t="s">
        <v>2324</v>
      </c>
      <c r="H219" t="s">
        <v>1982</v>
      </c>
      <c r="I219" t="s">
        <v>4</v>
      </c>
      <c r="J219">
        <v>90</v>
      </c>
      <c r="K219" t="s">
        <v>5</v>
      </c>
      <c r="L219">
        <v>31</v>
      </c>
      <c r="M219" t="s">
        <v>6</v>
      </c>
      <c r="N219">
        <v>-7.6899999999999897</v>
      </c>
      <c r="O219" t="s">
        <v>7</v>
      </c>
      <c r="P219">
        <v>-8.5444444444444295E-2</v>
      </c>
      <c r="Q219" t="s">
        <v>8</v>
      </c>
      <c r="R219">
        <v>1.14290322580645</v>
      </c>
      <c r="S219" t="s">
        <v>9</v>
      </c>
      <c r="T219">
        <v>-0.74344827586206796</v>
      </c>
      <c r="U219" t="s">
        <v>10</v>
      </c>
      <c r="V219">
        <v>0.178765224918085</v>
      </c>
      <c r="W219" t="s">
        <v>11</v>
      </c>
      <c r="X219" t="s">
        <v>2421</v>
      </c>
      <c r="Y219" t="s">
        <v>1249</v>
      </c>
      <c r="Z219">
        <v>0</v>
      </c>
      <c r="AA219" t="s">
        <v>14</v>
      </c>
      <c r="AB219" t="s">
        <v>15</v>
      </c>
      <c r="AC219" t="s">
        <v>2421</v>
      </c>
      <c r="AD219" t="s">
        <v>1249</v>
      </c>
      <c r="AE219">
        <v>0</v>
      </c>
      <c r="AF219" t="s">
        <v>18</v>
      </c>
    </row>
    <row r="220" spans="1:32" x14ac:dyDescent="0.3">
      <c r="A220" t="s">
        <v>175</v>
      </c>
      <c r="B220" t="s">
        <v>1</v>
      </c>
      <c r="C220">
        <v>0.3</v>
      </c>
      <c r="D220" t="s">
        <v>588</v>
      </c>
      <c r="E220" t="s">
        <v>2323</v>
      </c>
      <c r="F220">
        <v>0.15</v>
      </c>
      <c r="G220" t="s">
        <v>2324</v>
      </c>
      <c r="H220" t="s">
        <v>1985</v>
      </c>
      <c r="I220" t="s">
        <v>4</v>
      </c>
      <c r="J220">
        <v>90</v>
      </c>
      <c r="K220" t="s">
        <v>5</v>
      </c>
      <c r="L220">
        <v>31</v>
      </c>
      <c r="M220" t="s">
        <v>6</v>
      </c>
      <c r="N220">
        <v>-11.15</v>
      </c>
      <c r="O220" t="s">
        <v>7</v>
      </c>
      <c r="P220">
        <v>-0.12388888888888799</v>
      </c>
      <c r="Q220" t="s">
        <v>8</v>
      </c>
      <c r="R220">
        <v>1.14290322580645</v>
      </c>
      <c r="S220" t="s">
        <v>9</v>
      </c>
      <c r="T220">
        <v>-0.803103448275861</v>
      </c>
      <c r="U220" t="s">
        <v>10</v>
      </c>
      <c r="V220">
        <v>0.19082627154626799</v>
      </c>
      <c r="W220" t="s">
        <v>11</v>
      </c>
      <c r="X220" t="s">
        <v>2421</v>
      </c>
      <c r="Y220" t="s">
        <v>1249</v>
      </c>
      <c r="Z220">
        <v>0</v>
      </c>
      <c r="AA220" t="s">
        <v>14</v>
      </c>
      <c r="AB220" t="s">
        <v>15</v>
      </c>
      <c r="AC220" t="s">
        <v>2421</v>
      </c>
      <c r="AD220" t="s">
        <v>1249</v>
      </c>
      <c r="AE220">
        <v>0</v>
      </c>
      <c r="AF220" t="s">
        <v>18</v>
      </c>
    </row>
    <row r="221" spans="1:32" x14ac:dyDescent="0.3">
      <c r="A221" t="s">
        <v>175</v>
      </c>
      <c r="B221" t="s">
        <v>1</v>
      </c>
      <c r="C221">
        <v>0.3</v>
      </c>
      <c r="D221" t="s">
        <v>588</v>
      </c>
      <c r="E221" t="s">
        <v>2323</v>
      </c>
      <c r="F221">
        <v>0.15</v>
      </c>
      <c r="G221" t="s">
        <v>2324</v>
      </c>
      <c r="H221" t="s">
        <v>1988</v>
      </c>
      <c r="I221" t="s">
        <v>4</v>
      </c>
      <c r="J221">
        <v>90</v>
      </c>
      <c r="K221" t="s">
        <v>5</v>
      </c>
      <c r="L221">
        <v>31</v>
      </c>
      <c r="M221" t="s">
        <v>6</v>
      </c>
      <c r="N221">
        <v>-12.76</v>
      </c>
      <c r="O221" t="s">
        <v>7</v>
      </c>
      <c r="P221">
        <v>-0.141777777777777</v>
      </c>
      <c r="Q221" t="s">
        <v>8</v>
      </c>
      <c r="R221">
        <v>1.14290322580645</v>
      </c>
      <c r="S221" t="s">
        <v>9</v>
      </c>
      <c r="T221">
        <v>-0.83086206896551595</v>
      </c>
      <c r="U221" t="s">
        <v>10</v>
      </c>
      <c r="V221">
        <v>0.19206117524965799</v>
      </c>
      <c r="W221" t="s">
        <v>11</v>
      </c>
      <c r="X221" t="s">
        <v>2421</v>
      </c>
      <c r="Y221" t="s">
        <v>1249</v>
      </c>
      <c r="Z221">
        <v>0</v>
      </c>
      <c r="AA221" t="s">
        <v>14</v>
      </c>
      <c r="AB221" t="s">
        <v>15</v>
      </c>
      <c r="AC221" t="s">
        <v>2421</v>
      </c>
      <c r="AD221" t="s">
        <v>1249</v>
      </c>
      <c r="AE221">
        <v>0</v>
      </c>
      <c r="AF221" t="s">
        <v>18</v>
      </c>
    </row>
    <row r="222" spans="1:32" x14ac:dyDescent="0.3">
      <c r="A222" t="s">
        <v>175</v>
      </c>
      <c r="B222" t="s">
        <v>1</v>
      </c>
      <c r="C222">
        <v>0.3</v>
      </c>
      <c r="D222" t="s">
        <v>588</v>
      </c>
      <c r="E222" t="s">
        <v>2323</v>
      </c>
      <c r="F222">
        <v>0.15</v>
      </c>
      <c r="G222" t="s">
        <v>2329</v>
      </c>
      <c r="H222" t="s">
        <v>1991</v>
      </c>
      <c r="I222" t="s">
        <v>4</v>
      </c>
      <c r="J222">
        <v>95</v>
      </c>
      <c r="K222" t="s">
        <v>5</v>
      </c>
      <c r="L222">
        <v>28</v>
      </c>
      <c r="M222" t="s">
        <v>6</v>
      </c>
      <c r="N222">
        <v>-1.6199999999999499</v>
      </c>
      <c r="O222" t="s">
        <v>7</v>
      </c>
      <c r="P222">
        <v>-1.7052631578946899E-2</v>
      </c>
      <c r="Q222" t="s">
        <v>8</v>
      </c>
      <c r="R222">
        <v>1.33071428571428</v>
      </c>
      <c r="S222" t="s">
        <v>9</v>
      </c>
      <c r="T222">
        <v>-0.589090909090908</v>
      </c>
      <c r="U222" t="s">
        <v>10</v>
      </c>
      <c r="V222">
        <v>0.154065406471634</v>
      </c>
      <c r="W222" t="s">
        <v>11</v>
      </c>
      <c r="X222" t="s">
        <v>1352</v>
      </c>
      <c r="Y222" t="s">
        <v>2132</v>
      </c>
      <c r="Z222">
        <v>0</v>
      </c>
      <c r="AA222" t="s">
        <v>14</v>
      </c>
      <c r="AB222" t="s">
        <v>15</v>
      </c>
      <c r="AC222" t="s">
        <v>1352</v>
      </c>
      <c r="AD222" t="s">
        <v>2132</v>
      </c>
      <c r="AE222">
        <v>0</v>
      </c>
      <c r="AF222" t="s">
        <v>18</v>
      </c>
    </row>
    <row r="223" spans="1:32" x14ac:dyDescent="0.3">
      <c r="A223" t="s">
        <v>175</v>
      </c>
      <c r="B223" t="s">
        <v>1</v>
      </c>
      <c r="C223">
        <v>0.3</v>
      </c>
      <c r="D223" t="s">
        <v>588</v>
      </c>
      <c r="E223" t="s">
        <v>2323</v>
      </c>
      <c r="F223">
        <v>0.15</v>
      </c>
      <c r="G223" t="s">
        <v>2329</v>
      </c>
      <c r="H223" t="s">
        <v>1994</v>
      </c>
      <c r="I223" t="s">
        <v>4</v>
      </c>
      <c r="J223">
        <v>95</v>
      </c>
      <c r="K223" t="s">
        <v>5</v>
      </c>
      <c r="L223">
        <v>29</v>
      </c>
      <c r="M223" t="s">
        <v>6</v>
      </c>
      <c r="N223">
        <v>-12.5199999999999</v>
      </c>
      <c r="O223" t="s">
        <v>7</v>
      </c>
      <c r="P223">
        <v>-0.13178947368420901</v>
      </c>
      <c r="Q223" t="s">
        <v>8</v>
      </c>
      <c r="R223">
        <v>1.3037931034482699</v>
      </c>
      <c r="S223" t="s">
        <v>9</v>
      </c>
      <c r="T223">
        <v>-0.77430769230769103</v>
      </c>
      <c r="U223" t="s">
        <v>10</v>
      </c>
      <c r="V223">
        <v>0.18632282124258201</v>
      </c>
      <c r="W223" t="s">
        <v>11</v>
      </c>
      <c r="X223" t="s">
        <v>2421</v>
      </c>
      <c r="Y223" t="s">
        <v>1249</v>
      </c>
      <c r="Z223">
        <v>0</v>
      </c>
      <c r="AA223" t="s">
        <v>14</v>
      </c>
      <c r="AB223" t="s">
        <v>15</v>
      </c>
      <c r="AC223" t="s">
        <v>2421</v>
      </c>
      <c r="AD223" t="s">
        <v>1249</v>
      </c>
      <c r="AE223">
        <v>0</v>
      </c>
      <c r="AF223" t="s">
        <v>18</v>
      </c>
    </row>
    <row r="224" spans="1:32" x14ac:dyDescent="0.3">
      <c r="A224" t="s">
        <v>175</v>
      </c>
      <c r="B224" t="s">
        <v>1</v>
      </c>
      <c r="C224">
        <v>0.3</v>
      </c>
      <c r="D224" t="s">
        <v>588</v>
      </c>
      <c r="E224" t="s">
        <v>2323</v>
      </c>
      <c r="F224">
        <v>0.15</v>
      </c>
      <c r="G224" t="s">
        <v>2329</v>
      </c>
      <c r="H224" t="s">
        <v>1996</v>
      </c>
      <c r="I224" t="s">
        <v>4</v>
      </c>
      <c r="J224">
        <v>95</v>
      </c>
      <c r="K224" t="s">
        <v>5</v>
      </c>
      <c r="L224">
        <v>29</v>
      </c>
      <c r="M224" t="s">
        <v>6</v>
      </c>
      <c r="N224">
        <v>-15.499999999999901</v>
      </c>
      <c r="O224" t="s">
        <v>7</v>
      </c>
      <c r="P224">
        <v>-0.163157894736841</v>
      </c>
      <c r="Q224" t="s">
        <v>8</v>
      </c>
      <c r="R224">
        <v>1.3037931034482699</v>
      </c>
      <c r="S224" t="s">
        <v>9</v>
      </c>
      <c r="T224">
        <v>-0.82015384615384501</v>
      </c>
      <c r="U224" t="s">
        <v>10</v>
      </c>
      <c r="V224">
        <v>0.20942048292488499</v>
      </c>
      <c r="W224" t="s">
        <v>11</v>
      </c>
      <c r="X224" t="s">
        <v>2421</v>
      </c>
      <c r="Y224" t="s">
        <v>1249</v>
      </c>
      <c r="Z224">
        <v>0</v>
      </c>
      <c r="AA224" t="s">
        <v>14</v>
      </c>
      <c r="AB224" t="s">
        <v>15</v>
      </c>
      <c r="AC224" t="s">
        <v>2421</v>
      </c>
      <c r="AD224" t="s">
        <v>1249</v>
      </c>
      <c r="AE224">
        <v>0</v>
      </c>
      <c r="AF224" t="s">
        <v>18</v>
      </c>
    </row>
    <row r="225" spans="1:32" x14ac:dyDescent="0.3">
      <c r="A225" t="s">
        <v>175</v>
      </c>
      <c r="B225" t="s">
        <v>1</v>
      </c>
      <c r="C225">
        <v>0.3</v>
      </c>
      <c r="D225" t="s">
        <v>588</v>
      </c>
      <c r="E225" t="s">
        <v>2323</v>
      </c>
      <c r="F225">
        <v>0.15</v>
      </c>
      <c r="G225" t="s">
        <v>2329</v>
      </c>
      <c r="H225" t="s">
        <v>1997</v>
      </c>
      <c r="I225" t="s">
        <v>4</v>
      </c>
      <c r="J225">
        <v>95</v>
      </c>
      <c r="K225" t="s">
        <v>5</v>
      </c>
      <c r="L225">
        <v>29</v>
      </c>
      <c r="M225" t="s">
        <v>6</v>
      </c>
      <c r="N225">
        <v>-17.419999999999899</v>
      </c>
      <c r="O225" t="s">
        <v>7</v>
      </c>
      <c r="P225">
        <v>-0.18336842105262999</v>
      </c>
      <c r="Q225" t="s">
        <v>8</v>
      </c>
      <c r="R225">
        <v>1.3037931034482699</v>
      </c>
      <c r="S225" t="s">
        <v>9</v>
      </c>
      <c r="T225">
        <v>-0.84969230769230597</v>
      </c>
      <c r="U225" t="s">
        <v>10</v>
      </c>
      <c r="V225">
        <v>0.21158165390949299</v>
      </c>
      <c r="W225" t="s">
        <v>11</v>
      </c>
      <c r="X225" t="s">
        <v>2421</v>
      </c>
      <c r="Y225" t="s">
        <v>1249</v>
      </c>
      <c r="Z225">
        <v>0</v>
      </c>
      <c r="AA225" t="s">
        <v>14</v>
      </c>
      <c r="AB225" t="s">
        <v>15</v>
      </c>
      <c r="AC225" t="s">
        <v>2421</v>
      </c>
      <c r="AD225" t="s">
        <v>1249</v>
      </c>
      <c r="AE225">
        <v>0</v>
      </c>
      <c r="AF225" t="s">
        <v>18</v>
      </c>
    </row>
    <row r="226" spans="1:32" x14ac:dyDescent="0.3">
      <c r="A226" t="s">
        <v>175</v>
      </c>
      <c r="B226" t="s">
        <v>1</v>
      </c>
      <c r="C226">
        <v>0.3</v>
      </c>
      <c r="D226" t="s">
        <v>588</v>
      </c>
      <c r="E226" t="s">
        <v>2323</v>
      </c>
      <c r="F226">
        <v>0.15</v>
      </c>
      <c r="G226" t="s">
        <v>2332</v>
      </c>
      <c r="H226" t="s">
        <v>1999</v>
      </c>
      <c r="I226" t="s">
        <v>4</v>
      </c>
      <c r="J226">
        <v>96</v>
      </c>
      <c r="K226" t="s">
        <v>5</v>
      </c>
      <c r="L226">
        <v>31</v>
      </c>
      <c r="M226" t="s">
        <v>6</v>
      </c>
      <c r="N226">
        <v>9.5756745652630109</v>
      </c>
      <c r="O226" t="s">
        <v>7</v>
      </c>
      <c r="P226">
        <v>9.9746610054823007E-2</v>
      </c>
      <c r="Q226" t="s">
        <v>8</v>
      </c>
      <c r="R226">
        <v>1.88864434446262</v>
      </c>
      <c r="S226" t="s">
        <v>9</v>
      </c>
      <c r="T226">
        <v>-0.76519218926684895</v>
      </c>
      <c r="U226" t="s">
        <v>10</v>
      </c>
      <c r="V226">
        <v>0.197090217672868</v>
      </c>
      <c r="W226" t="s">
        <v>11</v>
      </c>
      <c r="X226" t="s">
        <v>1352</v>
      </c>
      <c r="Y226" t="s">
        <v>2132</v>
      </c>
      <c r="Z226">
        <v>0</v>
      </c>
      <c r="AA226" t="s">
        <v>14</v>
      </c>
      <c r="AB226" t="s">
        <v>15</v>
      </c>
      <c r="AC226" t="s">
        <v>1352</v>
      </c>
      <c r="AD226" t="s">
        <v>2132</v>
      </c>
      <c r="AE226">
        <v>0</v>
      </c>
      <c r="AF226" t="s">
        <v>18</v>
      </c>
    </row>
    <row r="227" spans="1:32" x14ac:dyDescent="0.3">
      <c r="A227" t="s">
        <v>175</v>
      </c>
      <c r="B227" t="s">
        <v>1</v>
      </c>
      <c r="C227">
        <v>0.3</v>
      </c>
      <c r="D227" t="s">
        <v>588</v>
      </c>
      <c r="E227" t="s">
        <v>2323</v>
      </c>
      <c r="F227">
        <v>0.15</v>
      </c>
      <c r="G227" t="s">
        <v>2332</v>
      </c>
      <c r="H227" t="s">
        <v>2002</v>
      </c>
      <c r="I227" t="s">
        <v>4</v>
      </c>
      <c r="J227">
        <v>96</v>
      </c>
      <c r="K227" t="s">
        <v>5</v>
      </c>
      <c r="L227">
        <v>33</v>
      </c>
      <c r="M227" t="s">
        <v>6</v>
      </c>
      <c r="N227">
        <v>4.7584181756216504</v>
      </c>
      <c r="O227" t="s">
        <v>7</v>
      </c>
      <c r="P227">
        <v>4.9566855996058902E-2</v>
      </c>
      <c r="Q227" t="s">
        <v>8</v>
      </c>
      <c r="R227">
        <v>1.95630226298004</v>
      </c>
      <c r="S227" t="s">
        <v>9</v>
      </c>
      <c r="T227">
        <v>-0.96450897585031703</v>
      </c>
      <c r="U227" t="s">
        <v>10</v>
      </c>
      <c r="V227">
        <v>0.220594267705125</v>
      </c>
      <c r="W227" t="s">
        <v>11</v>
      </c>
      <c r="X227" t="s">
        <v>2430</v>
      </c>
      <c r="Y227" t="s">
        <v>2123</v>
      </c>
      <c r="Z227">
        <v>0</v>
      </c>
      <c r="AA227" t="s">
        <v>14</v>
      </c>
      <c r="AB227" t="s">
        <v>15</v>
      </c>
      <c r="AC227" t="s">
        <v>2430</v>
      </c>
      <c r="AD227" t="s">
        <v>2123</v>
      </c>
      <c r="AE227">
        <v>0</v>
      </c>
      <c r="AF227" t="s">
        <v>18</v>
      </c>
    </row>
    <row r="228" spans="1:32" x14ac:dyDescent="0.3">
      <c r="A228" t="s">
        <v>175</v>
      </c>
      <c r="B228" t="s">
        <v>1</v>
      </c>
      <c r="C228">
        <v>0.3</v>
      </c>
      <c r="D228" t="s">
        <v>588</v>
      </c>
      <c r="E228" t="s">
        <v>2323</v>
      </c>
      <c r="F228">
        <v>0.15</v>
      </c>
      <c r="G228" t="s">
        <v>2332</v>
      </c>
      <c r="H228" t="s">
        <v>2004</v>
      </c>
      <c r="I228" t="s">
        <v>4</v>
      </c>
      <c r="J228">
        <v>96</v>
      </c>
      <c r="K228" t="s">
        <v>5</v>
      </c>
      <c r="L228">
        <v>34</v>
      </c>
      <c r="M228" t="s">
        <v>6</v>
      </c>
      <c r="N228">
        <v>2.0084181756216801</v>
      </c>
      <c r="O228" t="s">
        <v>7</v>
      </c>
      <c r="P228">
        <v>2.0921022662725799E-2</v>
      </c>
      <c r="Q228" t="s">
        <v>8</v>
      </c>
      <c r="R228">
        <v>1.93788160818651</v>
      </c>
      <c r="S228" t="s">
        <v>9</v>
      </c>
      <c r="T228">
        <v>-1.0472058443068799</v>
      </c>
      <c r="U228" t="s">
        <v>10</v>
      </c>
      <c r="V228">
        <v>0.241811565160751</v>
      </c>
      <c r="W228" t="s">
        <v>11</v>
      </c>
      <c r="X228" t="s">
        <v>2430</v>
      </c>
      <c r="Y228" t="s">
        <v>2123</v>
      </c>
      <c r="Z228">
        <v>0</v>
      </c>
      <c r="AA228" t="s">
        <v>14</v>
      </c>
      <c r="AB228" t="s">
        <v>15</v>
      </c>
      <c r="AC228" t="s">
        <v>2430</v>
      </c>
      <c r="AD228" t="s">
        <v>2123</v>
      </c>
      <c r="AE228">
        <v>0</v>
      </c>
      <c r="AF228" t="s">
        <v>18</v>
      </c>
    </row>
    <row r="229" spans="1:32" x14ac:dyDescent="0.3">
      <c r="A229" t="s">
        <v>175</v>
      </c>
      <c r="B229" t="s">
        <v>1</v>
      </c>
      <c r="C229">
        <v>0.3</v>
      </c>
      <c r="D229" t="s">
        <v>588</v>
      </c>
      <c r="E229" t="s">
        <v>2323</v>
      </c>
      <c r="F229">
        <v>0.15</v>
      </c>
      <c r="G229" t="s">
        <v>2332</v>
      </c>
      <c r="H229" t="s">
        <v>2005</v>
      </c>
      <c r="I229" t="s">
        <v>4</v>
      </c>
      <c r="J229">
        <v>96</v>
      </c>
      <c r="K229" t="s">
        <v>5</v>
      </c>
      <c r="L229">
        <v>34</v>
      </c>
      <c r="M229" t="s">
        <v>6</v>
      </c>
      <c r="N229">
        <v>-4.0343254347369699</v>
      </c>
      <c r="O229" t="s">
        <v>7</v>
      </c>
      <c r="P229">
        <v>-4.2024223278510103E-2</v>
      </c>
      <c r="Q229" t="s">
        <v>8</v>
      </c>
      <c r="R229">
        <v>1.93788160818651</v>
      </c>
      <c r="S229" t="s">
        <v>9</v>
      </c>
      <c r="T229">
        <v>-1.14626721496849</v>
      </c>
      <c r="U229" t="s">
        <v>10</v>
      </c>
      <c r="V229">
        <v>0.25519627856197202</v>
      </c>
      <c r="W229" t="s">
        <v>11</v>
      </c>
      <c r="X229" t="s">
        <v>2431</v>
      </c>
      <c r="Y229" t="s">
        <v>2055</v>
      </c>
      <c r="Z229">
        <v>0</v>
      </c>
      <c r="AA229" t="s">
        <v>14</v>
      </c>
      <c r="AB229" t="s">
        <v>15</v>
      </c>
      <c r="AC229" t="s">
        <v>2431</v>
      </c>
      <c r="AD229" t="s">
        <v>2055</v>
      </c>
      <c r="AE229">
        <v>0</v>
      </c>
      <c r="AF229" t="s">
        <v>18</v>
      </c>
    </row>
    <row r="230" spans="1:32" x14ac:dyDescent="0.3">
      <c r="A230" t="s">
        <v>175</v>
      </c>
      <c r="B230" t="s">
        <v>1</v>
      </c>
      <c r="C230">
        <v>0.3</v>
      </c>
      <c r="D230" t="s">
        <v>588</v>
      </c>
      <c r="E230" t="s">
        <v>2323</v>
      </c>
      <c r="F230">
        <v>0.15</v>
      </c>
      <c r="G230" t="s">
        <v>2347</v>
      </c>
      <c r="H230" t="s">
        <v>1979</v>
      </c>
      <c r="I230" t="s">
        <v>4</v>
      </c>
      <c r="J230">
        <v>90</v>
      </c>
      <c r="K230" t="s">
        <v>5</v>
      </c>
      <c r="L230">
        <v>59</v>
      </c>
      <c r="M230" t="s">
        <v>6</v>
      </c>
      <c r="N230">
        <v>5.0600000000000103</v>
      </c>
      <c r="O230" t="s">
        <v>7</v>
      </c>
      <c r="P230">
        <v>5.6222222222222298E-2</v>
      </c>
      <c r="Q230" t="s">
        <v>8</v>
      </c>
      <c r="R230">
        <v>0.86711864406779704</v>
      </c>
      <c r="S230" t="s">
        <v>9</v>
      </c>
      <c r="T230">
        <v>-1.4870967741935399</v>
      </c>
      <c r="U230" t="s">
        <v>10</v>
      </c>
      <c r="V230">
        <v>0.20357113160596901</v>
      </c>
      <c r="W230" t="s">
        <v>11</v>
      </c>
      <c r="X230" t="s">
        <v>2423</v>
      </c>
      <c r="Y230" t="s">
        <v>691</v>
      </c>
      <c r="Z230">
        <v>0</v>
      </c>
      <c r="AA230" t="s">
        <v>14</v>
      </c>
      <c r="AB230" t="s">
        <v>15</v>
      </c>
      <c r="AC230" t="s">
        <v>2423</v>
      </c>
      <c r="AD230" t="s">
        <v>691</v>
      </c>
      <c r="AE230">
        <v>0</v>
      </c>
      <c r="AF230" t="s">
        <v>18</v>
      </c>
    </row>
    <row r="231" spans="1:32" x14ac:dyDescent="0.3">
      <c r="A231" t="s">
        <v>175</v>
      </c>
      <c r="B231" t="s">
        <v>1</v>
      </c>
      <c r="C231">
        <v>0.3</v>
      </c>
      <c r="D231" t="s">
        <v>588</v>
      </c>
      <c r="E231" t="s">
        <v>2323</v>
      </c>
      <c r="F231">
        <v>0.15</v>
      </c>
      <c r="G231" t="s">
        <v>2347</v>
      </c>
      <c r="H231" t="s">
        <v>1982</v>
      </c>
      <c r="I231" t="s">
        <v>4</v>
      </c>
      <c r="J231">
        <v>90</v>
      </c>
      <c r="K231" t="s">
        <v>5</v>
      </c>
      <c r="L231">
        <v>66</v>
      </c>
      <c r="M231" t="s">
        <v>6</v>
      </c>
      <c r="N231">
        <v>12.2899999999999</v>
      </c>
      <c r="O231" t="s">
        <v>7</v>
      </c>
      <c r="P231">
        <v>0.13655555555555501</v>
      </c>
      <c r="Q231" t="s">
        <v>8</v>
      </c>
      <c r="R231">
        <v>0.90121212121212102</v>
      </c>
      <c r="S231" t="s">
        <v>9</v>
      </c>
      <c r="T231">
        <v>-1.9662500000000001</v>
      </c>
      <c r="U231" t="s">
        <v>10</v>
      </c>
      <c r="V231">
        <v>0.22888367585623901</v>
      </c>
      <c r="W231" t="s">
        <v>11</v>
      </c>
      <c r="X231" t="s">
        <v>2423</v>
      </c>
      <c r="Y231" t="s">
        <v>691</v>
      </c>
      <c r="Z231">
        <v>0</v>
      </c>
      <c r="AA231" t="s">
        <v>14</v>
      </c>
      <c r="AB231" t="s">
        <v>15</v>
      </c>
      <c r="AC231" t="s">
        <v>2423</v>
      </c>
      <c r="AD231" t="s">
        <v>691</v>
      </c>
      <c r="AE231">
        <v>0</v>
      </c>
      <c r="AF231" t="s">
        <v>18</v>
      </c>
    </row>
    <row r="232" spans="1:32" x14ac:dyDescent="0.3">
      <c r="A232" t="s">
        <v>175</v>
      </c>
      <c r="B232" t="s">
        <v>1</v>
      </c>
      <c r="C232">
        <v>0.3</v>
      </c>
      <c r="D232" t="s">
        <v>588</v>
      </c>
      <c r="E232" t="s">
        <v>2323</v>
      </c>
      <c r="F232">
        <v>0.15</v>
      </c>
      <c r="G232" t="s">
        <v>2347</v>
      </c>
      <c r="H232" t="s">
        <v>1985</v>
      </c>
      <c r="I232" t="s">
        <v>4</v>
      </c>
      <c r="J232">
        <v>90</v>
      </c>
      <c r="K232" t="s">
        <v>5</v>
      </c>
      <c r="L232">
        <v>68</v>
      </c>
      <c r="M232" t="s">
        <v>6</v>
      </c>
      <c r="N232">
        <v>13.4299999999999</v>
      </c>
      <c r="O232" t="s">
        <v>7</v>
      </c>
      <c r="P232">
        <v>0.14922222222222101</v>
      </c>
      <c r="Q232" t="s">
        <v>8</v>
      </c>
      <c r="R232">
        <v>0.91705882352941104</v>
      </c>
      <c r="S232" t="s">
        <v>9</v>
      </c>
      <c r="T232">
        <v>-2.22409090909091</v>
      </c>
      <c r="U232" t="s">
        <v>10</v>
      </c>
      <c r="V232">
        <v>0.2436125600506</v>
      </c>
      <c r="W232" t="s">
        <v>11</v>
      </c>
      <c r="X232" t="s">
        <v>2423</v>
      </c>
      <c r="Y232" t="s">
        <v>691</v>
      </c>
      <c r="Z232">
        <v>0</v>
      </c>
      <c r="AA232" t="s">
        <v>14</v>
      </c>
      <c r="AB232" t="s">
        <v>15</v>
      </c>
      <c r="AC232" t="s">
        <v>2423</v>
      </c>
      <c r="AD232" t="s">
        <v>691</v>
      </c>
      <c r="AE232">
        <v>0</v>
      </c>
      <c r="AF232" t="s">
        <v>18</v>
      </c>
    </row>
    <row r="233" spans="1:32" x14ac:dyDescent="0.3">
      <c r="A233" t="s">
        <v>175</v>
      </c>
      <c r="B233" t="s">
        <v>1</v>
      </c>
      <c r="C233">
        <v>0.3</v>
      </c>
      <c r="D233" t="s">
        <v>588</v>
      </c>
      <c r="E233" t="s">
        <v>2323</v>
      </c>
      <c r="F233">
        <v>0.15</v>
      </c>
      <c r="G233" t="s">
        <v>2347</v>
      </c>
      <c r="H233" t="s">
        <v>1988</v>
      </c>
      <c r="I233" t="s">
        <v>4</v>
      </c>
      <c r="J233">
        <v>90</v>
      </c>
      <c r="K233" t="s">
        <v>5</v>
      </c>
      <c r="L233">
        <v>68</v>
      </c>
      <c r="M233" t="s">
        <v>6</v>
      </c>
      <c r="N233">
        <v>9.8999999999999293</v>
      </c>
      <c r="O233" t="s">
        <v>7</v>
      </c>
      <c r="P233">
        <v>0.109999999999999</v>
      </c>
      <c r="Q233" t="s">
        <v>8</v>
      </c>
      <c r="R233">
        <v>0.91705882352941104</v>
      </c>
      <c r="S233" t="s">
        <v>9</v>
      </c>
      <c r="T233">
        <v>-2.3845454545454499</v>
      </c>
      <c r="U233" t="s">
        <v>10</v>
      </c>
      <c r="V233">
        <v>0.26087285347837802</v>
      </c>
      <c r="W233" t="s">
        <v>11</v>
      </c>
      <c r="X233" t="s">
        <v>2423</v>
      </c>
      <c r="Y233" t="s">
        <v>691</v>
      </c>
      <c r="Z233">
        <v>0</v>
      </c>
      <c r="AA233" t="s">
        <v>14</v>
      </c>
      <c r="AB233" t="s">
        <v>15</v>
      </c>
      <c r="AC233" t="s">
        <v>2423</v>
      </c>
      <c r="AD233" t="s">
        <v>691</v>
      </c>
      <c r="AE233">
        <v>0</v>
      </c>
      <c r="AF233" t="s">
        <v>18</v>
      </c>
    </row>
    <row r="234" spans="1:32" x14ac:dyDescent="0.3">
      <c r="A234" t="s">
        <v>175</v>
      </c>
      <c r="B234" t="s">
        <v>1</v>
      </c>
      <c r="C234">
        <v>0.3</v>
      </c>
      <c r="D234" t="s">
        <v>588</v>
      </c>
      <c r="E234" t="s">
        <v>2323</v>
      </c>
      <c r="F234">
        <v>0.15</v>
      </c>
      <c r="G234" t="s">
        <v>2355</v>
      </c>
      <c r="H234" t="s">
        <v>1991</v>
      </c>
      <c r="I234" t="s">
        <v>4</v>
      </c>
      <c r="J234">
        <v>95</v>
      </c>
      <c r="K234" t="s">
        <v>5</v>
      </c>
      <c r="L234">
        <v>62</v>
      </c>
      <c r="M234" t="s">
        <v>6</v>
      </c>
      <c r="N234">
        <v>19.600000000000001</v>
      </c>
      <c r="O234" t="s">
        <v>7</v>
      </c>
      <c r="P234">
        <v>0.20631578947368401</v>
      </c>
      <c r="Q234" t="s">
        <v>8</v>
      </c>
      <c r="R234">
        <v>1.1006451612903201</v>
      </c>
      <c r="S234" t="s">
        <v>9</v>
      </c>
      <c r="T234">
        <v>-1.4739393939393901</v>
      </c>
      <c r="U234" t="s">
        <v>10</v>
      </c>
      <c r="V234">
        <v>0.192524080581912</v>
      </c>
      <c r="W234" t="s">
        <v>11</v>
      </c>
      <c r="X234" t="s">
        <v>2424</v>
      </c>
      <c r="Y234" t="s">
        <v>691</v>
      </c>
      <c r="Z234">
        <v>0</v>
      </c>
      <c r="AA234" t="s">
        <v>14</v>
      </c>
      <c r="AB234" t="s">
        <v>15</v>
      </c>
      <c r="AC234" t="s">
        <v>2424</v>
      </c>
      <c r="AD234" t="s">
        <v>691</v>
      </c>
      <c r="AE234">
        <v>0</v>
      </c>
      <c r="AF234" t="s">
        <v>18</v>
      </c>
    </row>
    <row r="235" spans="1:32" x14ac:dyDescent="0.3">
      <c r="A235" t="s">
        <v>175</v>
      </c>
      <c r="B235" t="s">
        <v>1</v>
      </c>
      <c r="C235">
        <v>0.3</v>
      </c>
      <c r="D235" t="s">
        <v>588</v>
      </c>
      <c r="E235" t="s">
        <v>2323</v>
      </c>
      <c r="F235">
        <v>0.15</v>
      </c>
      <c r="G235" t="s">
        <v>2355</v>
      </c>
      <c r="H235" t="s">
        <v>1994</v>
      </c>
      <c r="I235" t="s">
        <v>4</v>
      </c>
      <c r="J235">
        <v>95</v>
      </c>
      <c r="K235" t="s">
        <v>5</v>
      </c>
      <c r="L235">
        <v>70</v>
      </c>
      <c r="M235" t="s">
        <v>6</v>
      </c>
      <c r="N235">
        <v>25.97</v>
      </c>
      <c r="O235" t="s">
        <v>7</v>
      </c>
      <c r="P235">
        <v>0.27336842105263098</v>
      </c>
      <c r="Q235" t="s">
        <v>8</v>
      </c>
      <c r="R235">
        <v>1.1245714285714199</v>
      </c>
      <c r="S235" t="s">
        <v>9</v>
      </c>
      <c r="T235">
        <v>-2.11</v>
      </c>
      <c r="U235" t="s">
        <v>10</v>
      </c>
      <c r="V235">
        <v>0.222462370543657</v>
      </c>
      <c r="W235" t="s">
        <v>11</v>
      </c>
      <c r="X235" t="s">
        <v>2424</v>
      </c>
      <c r="Y235" t="s">
        <v>691</v>
      </c>
      <c r="Z235">
        <v>0</v>
      </c>
      <c r="AA235" t="s">
        <v>14</v>
      </c>
      <c r="AB235" t="s">
        <v>15</v>
      </c>
      <c r="AC235" t="s">
        <v>2424</v>
      </c>
      <c r="AD235" t="s">
        <v>691</v>
      </c>
      <c r="AE235">
        <v>0</v>
      </c>
      <c r="AF235" t="s">
        <v>18</v>
      </c>
    </row>
    <row r="236" spans="1:32" x14ac:dyDescent="0.3">
      <c r="A236" t="s">
        <v>175</v>
      </c>
      <c r="B236" t="s">
        <v>1</v>
      </c>
      <c r="C236">
        <v>0.3</v>
      </c>
      <c r="D236" t="s">
        <v>588</v>
      </c>
      <c r="E236" t="s">
        <v>2323</v>
      </c>
      <c r="F236">
        <v>0.15</v>
      </c>
      <c r="G236" t="s">
        <v>2355</v>
      </c>
      <c r="H236" t="s">
        <v>1996</v>
      </c>
      <c r="I236" t="s">
        <v>4</v>
      </c>
      <c r="J236">
        <v>95</v>
      </c>
      <c r="K236" t="s">
        <v>5</v>
      </c>
      <c r="L236">
        <v>75</v>
      </c>
      <c r="M236" t="s">
        <v>6</v>
      </c>
      <c r="N236">
        <v>35.01</v>
      </c>
      <c r="O236" t="s">
        <v>7</v>
      </c>
      <c r="P236">
        <v>0.36852631578947298</v>
      </c>
      <c r="Q236" t="s">
        <v>8</v>
      </c>
      <c r="R236">
        <v>1.1716</v>
      </c>
      <c r="S236" t="s">
        <v>9</v>
      </c>
      <c r="T236">
        <v>-2.6429999999999998</v>
      </c>
      <c r="U236" t="s">
        <v>10</v>
      </c>
      <c r="V236">
        <v>0.25655931962844097</v>
      </c>
      <c r="W236" t="s">
        <v>11</v>
      </c>
      <c r="X236" t="s">
        <v>2432</v>
      </c>
      <c r="Y236" t="s">
        <v>2132</v>
      </c>
      <c r="Z236">
        <v>0</v>
      </c>
      <c r="AA236" t="s">
        <v>14</v>
      </c>
      <c r="AB236" t="s">
        <v>15</v>
      </c>
      <c r="AC236" t="s">
        <v>2432</v>
      </c>
      <c r="AD236" t="s">
        <v>2132</v>
      </c>
      <c r="AE236">
        <v>0</v>
      </c>
      <c r="AF236" t="s">
        <v>18</v>
      </c>
    </row>
    <row r="237" spans="1:32" x14ac:dyDescent="0.3">
      <c r="A237" t="s">
        <v>175</v>
      </c>
      <c r="B237" t="s">
        <v>1</v>
      </c>
      <c r="C237">
        <v>0.3</v>
      </c>
      <c r="D237" t="s">
        <v>588</v>
      </c>
      <c r="E237" t="s">
        <v>2323</v>
      </c>
      <c r="F237">
        <v>0.15</v>
      </c>
      <c r="G237" t="s">
        <v>2355</v>
      </c>
      <c r="H237" t="s">
        <v>1997</v>
      </c>
      <c r="I237" t="s">
        <v>4</v>
      </c>
      <c r="J237">
        <v>95</v>
      </c>
      <c r="K237" t="s">
        <v>5</v>
      </c>
      <c r="L237">
        <v>77</v>
      </c>
      <c r="M237" t="s">
        <v>6</v>
      </c>
      <c r="N237">
        <v>37.74</v>
      </c>
      <c r="O237" t="s">
        <v>7</v>
      </c>
      <c r="P237">
        <v>0.39726315789473599</v>
      </c>
      <c r="Q237" t="s">
        <v>8</v>
      </c>
      <c r="R237">
        <v>1.1776623376623301</v>
      </c>
      <c r="S237" t="s">
        <v>9</v>
      </c>
      <c r="T237">
        <v>-2.9411111111111099</v>
      </c>
      <c r="U237" t="s">
        <v>10</v>
      </c>
      <c r="V237">
        <v>0.27757523993126598</v>
      </c>
      <c r="W237" t="s">
        <v>11</v>
      </c>
      <c r="X237" t="s">
        <v>2432</v>
      </c>
      <c r="Y237" t="s">
        <v>2132</v>
      </c>
      <c r="Z237">
        <v>0</v>
      </c>
      <c r="AA237" t="s">
        <v>14</v>
      </c>
      <c r="AB237" t="s">
        <v>15</v>
      </c>
      <c r="AC237" t="s">
        <v>2432</v>
      </c>
      <c r="AD237" t="s">
        <v>2132</v>
      </c>
      <c r="AE237">
        <v>0</v>
      </c>
      <c r="AF237" t="s">
        <v>18</v>
      </c>
    </row>
    <row r="238" spans="1:32" x14ac:dyDescent="0.3">
      <c r="A238" t="s">
        <v>175</v>
      </c>
      <c r="B238" t="s">
        <v>1</v>
      </c>
      <c r="C238">
        <v>0.3</v>
      </c>
      <c r="D238" t="s">
        <v>588</v>
      </c>
      <c r="E238" t="s">
        <v>2323</v>
      </c>
      <c r="F238">
        <v>0.15</v>
      </c>
      <c r="G238" t="s">
        <v>2361</v>
      </c>
      <c r="H238" t="s">
        <v>1999</v>
      </c>
      <c r="I238" t="s">
        <v>4</v>
      </c>
      <c r="J238">
        <v>96</v>
      </c>
      <c r="K238" t="s">
        <v>5</v>
      </c>
      <c r="L238">
        <v>59</v>
      </c>
      <c r="M238" t="s">
        <v>6</v>
      </c>
      <c r="N238">
        <v>10.0751007890322</v>
      </c>
      <c r="O238" t="s">
        <v>7</v>
      </c>
      <c r="P238">
        <v>0.104948966552418</v>
      </c>
      <c r="Q238" t="s">
        <v>8</v>
      </c>
      <c r="R238">
        <v>1.25688256133462</v>
      </c>
      <c r="S238" t="s">
        <v>9</v>
      </c>
      <c r="T238">
        <v>-1.7319181170192</v>
      </c>
      <c r="U238" t="s">
        <v>10</v>
      </c>
      <c r="V238">
        <v>0.221930200596511</v>
      </c>
      <c r="W238" t="s">
        <v>11</v>
      </c>
      <c r="X238" t="s">
        <v>2426</v>
      </c>
      <c r="Y238" t="s">
        <v>2427</v>
      </c>
      <c r="Z238">
        <v>0</v>
      </c>
      <c r="AA238" t="s">
        <v>14</v>
      </c>
      <c r="AB238" t="s">
        <v>15</v>
      </c>
      <c r="AC238" t="s">
        <v>2426</v>
      </c>
      <c r="AD238" t="s">
        <v>2427</v>
      </c>
      <c r="AE238">
        <v>0</v>
      </c>
      <c r="AF238" t="s">
        <v>18</v>
      </c>
    </row>
    <row r="239" spans="1:32" x14ac:dyDescent="0.3">
      <c r="A239" t="s">
        <v>175</v>
      </c>
      <c r="B239" t="s">
        <v>1</v>
      </c>
      <c r="C239">
        <v>0.3</v>
      </c>
      <c r="D239" t="s">
        <v>588</v>
      </c>
      <c r="E239" t="s">
        <v>2323</v>
      </c>
      <c r="F239">
        <v>0.15</v>
      </c>
      <c r="G239" t="s">
        <v>2361</v>
      </c>
      <c r="H239" t="s">
        <v>2002</v>
      </c>
      <c r="I239" t="s">
        <v>4</v>
      </c>
      <c r="J239">
        <v>96</v>
      </c>
      <c r="K239" t="s">
        <v>5</v>
      </c>
      <c r="L239">
        <v>67</v>
      </c>
      <c r="M239" t="s">
        <v>6</v>
      </c>
      <c r="N239">
        <v>8.5490813486048491</v>
      </c>
      <c r="O239" t="s">
        <v>7</v>
      </c>
      <c r="P239">
        <v>8.9052930714633896E-2</v>
      </c>
      <c r="Q239" t="s">
        <v>8</v>
      </c>
      <c r="R239">
        <v>1.3019099449734</v>
      </c>
      <c r="S239" t="s">
        <v>9</v>
      </c>
      <c r="T239">
        <v>-2.7130649987797599</v>
      </c>
      <c r="U239" t="s">
        <v>10</v>
      </c>
      <c r="V239">
        <v>0.27060286241079301</v>
      </c>
      <c r="W239" t="s">
        <v>11</v>
      </c>
      <c r="X239" t="s">
        <v>2433</v>
      </c>
      <c r="Y239" t="s">
        <v>2408</v>
      </c>
      <c r="Z239">
        <v>0</v>
      </c>
      <c r="AA239" t="s">
        <v>14</v>
      </c>
      <c r="AB239" t="s">
        <v>15</v>
      </c>
      <c r="AC239" t="s">
        <v>1361</v>
      </c>
      <c r="AD239" t="s">
        <v>2418</v>
      </c>
      <c r="AE239">
        <v>0</v>
      </c>
      <c r="AF239" t="s">
        <v>18</v>
      </c>
    </row>
    <row r="240" spans="1:32" x14ac:dyDescent="0.3">
      <c r="A240" t="s">
        <v>175</v>
      </c>
      <c r="B240" t="s">
        <v>1</v>
      </c>
      <c r="C240">
        <v>0.3</v>
      </c>
      <c r="D240" t="s">
        <v>588</v>
      </c>
      <c r="E240" t="s">
        <v>2323</v>
      </c>
      <c r="F240">
        <v>0.15</v>
      </c>
      <c r="G240" t="s">
        <v>2361</v>
      </c>
      <c r="H240" t="s">
        <v>2004</v>
      </c>
      <c r="I240" t="s">
        <v>4</v>
      </c>
      <c r="J240">
        <v>96</v>
      </c>
      <c r="K240" t="s">
        <v>5</v>
      </c>
      <c r="L240">
        <v>74</v>
      </c>
      <c r="M240" t="s">
        <v>6</v>
      </c>
      <c r="N240">
        <v>23.759081348604798</v>
      </c>
      <c r="O240" t="s">
        <v>7</v>
      </c>
      <c r="P240">
        <v>0.247490430714633</v>
      </c>
      <c r="Q240" t="s">
        <v>8</v>
      </c>
      <c r="R240">
        <v>1.39699954477321</v>
      </c>
      <c r="S240" t="s">
        <v>9</v>
      </c>
      <c r="T240">
        <v>-3.61904022566423</v>
      </c>
      <c r="U240" t="s">
        <v>10</v>
      </c>
      <c r="V240">
        <v>0.30856415681694599</v>
      </c>
      <c r="W240" t="s">
        <v>11</v>
      </c>
      <c r="X240" t="s">
        <v>2432</v>
      </c>
      <c r="Y240" t="s">
        <v>2132</v>
      </c>
      <c r="Z240">
        <v>0</v>
      </c>
      <c r="AA240" t="s">
        <v>14</v>
      </c>
      <c r="AB240" t="s">
        <v>15</v>
      </c>
      <c r="AC240" t="s">
        <v>2432</v>
      </c>
      <c r="AD240" t="s">
        <v>2132</v>
      </c>
      <c r="AE240">
        <v>0</v>
      </c>
      <c r="AF240" t="s">
        <v>18</v>
      </c>
    </row>
    <row r="241" spans="1:32" x14ac:dyDescent="0.3">
      <c r="A241" t="s">
        <v>175</v>
      </c>
      <c r="B241" t="s">
        <v>1</v>
      </c>
      <c r="C241">
        <v>0.3</v>
      </c>
      <c r="D241" t="s">
        <v>588</v>
      </c>
      <c r="E241" t="s">
        <v>2323</v>
      </c>
      <c r="F241">
        <v>0.15</v>
      </c>
      <c r="G241" t="s">
        <v>2361</v>
      </c>
      <c r="H241" t="s">
        <v>2005</v>
      </c>
      <c r="I241" t="s">
        <v>4</v>
      </c>
      <c r="J241">
        <v>96</v>
      </c>
      <c r="K241" t="s">
        <v>5</v>
      </c>
      <c r="L241">
        <v>78</v>
      </c>
      <c r="M241" t="s">
        <v>6</v>
      </c>
      <c r="N241">
        <v>34.7606539448795</v>
      </c>
      <c r="O241" t="s">
        <v>7</v>
      </c>
      <c r="P241">
        <v>0.362090145259161</v>
      </c>
      <c r="Q241" t="s">
        <v>8</v>
      </c>
      <c r="R241">
        <v>1.4273708760349899</v>
      </c>
      <c r="S241" t="s">
        <v>9</v>
      </c>
      <c r="T241">
        <v>-4.2541263547694701</v>
      </c>
      <c r="U241" t="s">
        <v>10</v>
      </c>
      <c r="V241">
        <v>0.33483074929907802</v>
      </c>
      <c r="W241" t="s">
        <v>11</v>
      </c>
      <c r="X241" t="s">
        <v>2432</v>
      </c>
      <c r="Y241" t="s">
        <v>2132</v>
      </c>
      <c r="Z241">
        <v>0</v>
      </c>
      <c r="AA241" t="s">
        <v>14</v>
      </c>
      <c r="AB241" t="s">
        <v>15</v>
      </c>
      <c r="AC241" t="s">
        <v>2432</v>
      </c>
      <c r="AD241" t="s">
        <v>2132</v>
      </c>
      <c r="AE241">
        <v>0</v>
      </c>
      <c r="AF241" t="s">
        <v>18</v>
      </c>
    </row>
    <row r="242" spans="1:32" x14ac:dyDescent="0.3">
      <c r="A242" t="s">
        <v>221</v>
      </c>
      <c r="B242" t="s">
        <v>1</v>
      </c>
      <c r="C242">
        <v>0.5</v>
      </c>
      <c r="D242" t="s">
        <v>588</v>
      </c>
      <c r="E242" t="s">
        <v>2323</v>
      </c>
      <c r="F242">
        <v>0.25</v>
      </c>
      <c r="G242" t="s">
        <v>2324</v>
      </c>
      <c r="H242" t="s">
        <v>1979</v>
      </c>
      <c r="I242" t="s">
        <v>4</v>
      </c>
      <c r="J242">
        <v>136</v>
      </c>
      <c r="K242" t="s">
        <v>5</v>
      </c>
      <c r="L242">
        <v>47</v>
      </c>
      <c r="M242" t="s">
        <v>6</v>
      </c>
      <c r="N242">
        <v>-11.58</v>
      </c>
      <c r="O242" t="s">
        <v>7</v>
      </c>
      <c r="P242">
        <v>-8.5147058823529506E-2</v>
      </c>
      <c r="Q242" t="s">
        <v>8</v>
      </c>
      <c r="R242">
        <v>1.8697872340425501</v>
      </c>
      <c r="S242" t="s">
        <v>9</v>
      </c>
      <c r="T242">
        <v>-1.1175280898876401</v>
      </c>
      <c r="U242" t="s">
        <v>10</v>
      </c>
      <c r="V242">
        <v>0.33098632967694303</v>
      </c>
      <c r="W242" t="s">
        <v>11</v>
      </c>
      <c r="X242" t="s">
        <v>2434</v>
      </c>
      <c r="Y242" t="s">
        <v>2084</v>
      </c>
      <c r="Z242">
        <v>0</v>
      </c>
      <c r="AA242" t="s">
        <v>14</v>
      </c>
      <c r="AB242" t="s">
        <v>15</v>
      </c>
      <c r="AC242" t="s">
        <v>2435</v>
      </c>
      <c r="AD242" t="s">
        <v>21</v>
      </c>
      <c r="AE242">
        <v>0</v>
      </c>
      <c r="AF242" t="s">
        <v>18</v>
      </c>
    </row>
    <row r="243" spans="1:32" x14ac:dyDescent="0.3">
      <c r="A243" t="s">
        <v>221</v>
      </c>
      <c r="B243" t="s">
        <v>1</v>
      </c>
      <c r="C243">
        <v>0.5</v>
      </c>
      <c r="D243" t="s">
        <v>588</v>
      </c>
      <c r="E243" t="s">
        <v>2323</v>
      </c>
      <c r="F243">
        <v>0.25</v>
      </c>
      <c r="G243" t="s">
        <v>2324</v>
      </c>
      <c r="H243" t="s">
        <v>1982</v>
      </c>
      <c r="I243" t="s">
        <v>4</v>
      </c>
      <c r="J243">
        <v>136</v>
      </c>
      <c r="K243" t="s">
        <v>5</v>
      </c>
      <c r="L243">
        <v>50</v>
      </c>
      <c r="M243" t="s">
        <v>6</v>
      </c>
      <c r="N243">
        <v>-23.68</v>
      </c>
      <c r="O243" t="s">
        <v>7</v>
      </c>
      <c r="P243">
        <v>-0.17411764705882299</v>
      </c>
      <c r="Q243" t="s">
        <v>8</v>
      </c>
      <c r="R243">
        <v>1.81879999999999</v>
      </c>
      <c r="S243" t="s">
        <v>9</v>
      </c>
      <c r="T243">
        <v>-1.3327906976744099</v>
      </c>
      <c r="U243" t="s">
        <v>10</v>
      </c>
      <c r="V243">
        <v>0.36268263319823502</v>
      </c>
      <c r="W243" t="s">
        <v>11</v>
      </c>
      <c r="X243" t="s">
        <v>2434</v>
      </c>
      <c r="Y243" t="s">
        <v>2084</v>
      </c>
      <c r="Z243">
        <v>0</v>
      </c>
      <c r="AA243" t="s">
        <v>14</v>
      </c>
      <c r="AB243" t="s">
        <v>15</v>
      </c>
      <c r="AC243" t="s">
        <v>2435</v>
      </c>
      <c r="AD243" t="s">
        <v>21</v>
      </c>
      <c r="AE243">
        <v>0</v>
      </c>
      <c r="AF243" t="s">
        <v>18</v>
      </c>
    </row>
    <row r="244" spans="1:32" x14ac:dyDescent="0.3">
      <c r="A244" t="s">
        <v>221</v>
      </c>
      <c r="B244" t="s">
        <v>1</v>
      </c>
      <c r="C244">
        <v>0.5</v>
      </c>
      <c r="D244" t="s">
        <v>588</v>
      </c>
      <c r="E244" t="s">
        <v>2323</v>
      </c>
      <c r="F244">
        <v>0.25</v>
      </c>
      <c r="G244" t="s">
        <v>2324</v>
      </c>
      <c r="H244" t="s">
        <v>1985</v>
      </c>
      <c r="I244" t="s">
        <v>4</v>
      </c>
      <c r="J244">
        <v>136</v>
      </c>
      <c r="K244" t="s">
        <v>5</v>
      </c>
      <c r="L244">
        <v>52</v>
      </c>
      <c r="M244" t="s">
        <v>6</v>
      </c>
      <c r="N244">
        <v>-25.97</v>
      </c>
      <c r="O244" t="s">
        <v>7</v>
      </c>
      <c r="P244">
        <v>-0.190955882352941</v>
      </c>
      <c r="Q244" t="s">
        <v>8</v>
      </c>
      <c r="R244">
        <v>1.8030769230769199</v>
      </c>
      <c r="S244" t="s">
        <v>9</v>
      </c>
      <c r="T244">
        <v>-1.4253571428571401</v>
      </c>
      <c r="U244" t="s">
        <v>10</v>
      </c>
      <c r="V244">
        <v>0.38526552747041298</v>
      </c>
      <c r="W244" t="s">
        <v>11</v>
      </c>
      <c r="X244" t="s">
        <v>2434</v>
      </c>
      <c r="Y244" t="s">
        <v>2084</v>
      </c>
      <c r="Z244">
        <v>0</v>
      </c>
      <c r="AA244" t="s">
        <v>14</v>
      </c>
      <c r="AB244" t="s">
        <v>15</v>
      </c>
      <c r="AC244" t="s">
        <v>2436</v>
      </c>
      <c r="AD244" t="s">
        <v>2084</v>
      </c>
      <c r="AE244">
        <v>0</v>
      </c>
      <c r="AF244" t="s">
        <v>18</v>
      </c>
    </row>
    <row r="245" spans="1:32" x14ac:dyDescent="0.3">
      <c r="A245" t="s">
        <v>221</v>
      </c>
      <c r="B245" t="s">
        <v>1</v>
      </c>
      <c r="C245">
        <v>0.5</v>
      </c>
      <c r="D245" t="s">
        <v>588</v>
      </c>
      <c r="E245" t="s">
        <v>2323</v>
      </c>
      <c r="F245">
        <v>0.25</v>
      </c>
      <c r="G245" t="s">
        <v>2324</v>
      </c>
      <c r="H245" t="s">
        <v>1988</v>
      </c>
      <c r="I245" t="s">
        <v>4</v>
      </c>
      <c r="J245">
        <v>136</v>
      </c>
      <c r="K245" t="s">
        <v>5</v>
      </c>
      <c r="L245">
        <v>55</v>
      </c>
      <c r="M245" t="s">
        <v>6</v>
      </c>
      <c r="N245">
        <v>-13.479999999999899</v>
      </c>
      <c r="O245" t="s">
        <v>7</v>
      </c>
      <c r="P245">
        <v>-9.9117647058823394E-2</v>
      </c>
      <c r="Q245" t="s">
        <v>8</v>
      </c>
      <c r="R245">
        <v>1.8030909090909</v>
      </c>
      <c r="S245" t="s">
        <v>9</v>
      </c>
      <c r="T245">
        <v>-1.3907407407407399</v>
      </c>
      <c r="U245" t="s">
        <v>10</v>
      </c>
      <c r="V245">
        <v>0.40197840826860698</v>
      </c>
      <c r="W245" t="s">
        <v>11</v>
      </c>
      <c r="X245" t="s">
        <v>2434</v>
      </c>
      <c r="Y245" t="s">
        <v>2084</v>
      </c>
      <c r="Z245">
        <v>0</v>
      </c>
      <c r="AA245" t="s">
        <v>14</v>
      </c>
      <c r="AB245" t="s">
        <v>15</v>
      </c>
      <c r="AC245" t="s">
        <v>2436</v>
      </c>
      <c r="AD245" t="s">
        <v>2084</v>
      </c>
      <c r="AE245">
        <v>0</v>
      </c>
      <c r="AF245" t="s">
        <v>18</v>
      </c>
    </row>
    <row r="246" spans="1:32" x14ac:dyDescent="0.3">
      <c r="A246" t="s">
        <v>221</v>
      </c>
      <c r="B246" t="s">
        <v>1</v>
      </c>
      <c r="C246">
        <v>0.5</v>
      </c>
      <c r="D246" t="s">
        <v>588</v>
      </c>
      <c r="E246" t="s">
        <v>2323</v>
      </c>
      <c r="F246">
        <v>0.25</v>
      </c>
      <c r="G246" t="s">
        <v>2329</v>
      </c>
      <c r="H246" t="s">
        <v>1991</v>
      </c>
      <c r="I246" t="s">
        <v>4</v>
      </c>
      <c r="J246">
        <v>128</v>
      </c>
      <c r="K246" t="s">
        <v>5</v>
      </c>
      <c r="L246">
        <v>46</v>
      </c>
      <c r="M246" t="s">
        <v>6</v>
      </c>
      <c r="N246">
        <v>0.92950362505471695</v>
      </c>
      <c r="O246" t="s">
        <v>7</v>
      </c>
      <c r="P246">
        <v>7.2617470707399797E-3</v>
      </c>
      <c r="Q246" t="s">
        <v>8</v>
      </c>
      <c r="R246">
        <v>2.1717283396750999</v>
      </c>
      <c r="S246" t="s">
        <v>9</v>
      </c>
      <c r="T246">
        <v>-1.2069512195121901</v>
      </c>
      <c r="U246" t="s">
        <v>10</v>
      </c>
      <c r="V246">
        <v>0.33070594732972702</v>
      </c>
      <c r="W246" t="s">
        <v>11</v>
      </c>
      <c r="X246" t="s">
        <v>2434</v>
      </c>
      <c r="Y246" t="s">
        <v>2084</v>
      </c>
      <c r="Z246">
        <v>0</v>
      </c>
      <c r="AA246" t="s">
        <v>14</v>
      </c>
      <c r="AB246" t="s">
        <v>15</v>
      </c>
      <c r="AC246" t="s">
        <v>2434</v>
      </c>
      <c r="AD246" t="s">
        <v>2084</v>
      </c>
      <c r="AE246">
        <v>0</v>
      </c>
      <c r="AF246" t="s">
        <v>18</v>
      </c>
    </row>
    <row r="247" spans="1:32" x14ac:dyDescent="0.3">
      <c r="A247" t="s">
        <v>221</v>
      </c>
      <c r="B247" t="s">
        <v>1</v>
      </c>
      <c r="C247">
        <v>0.5</v>
      </c>
      <c r="D247" t="s">
        <v>588</v>
      </c>
      <c r="E247" t="s">
        <v>2323</v>
      </c>
      <c r="F247">
        <v>0.25</v>
      </c>
      <c r="G247" t="s">
        <v>2329</v>
      </c>
      <c r="H247" t="s">
        <v>1994</v>
      </c>
      <c r="I247" t="s">
        <v>4</v>
      </c>
      <c r="J247">
        <v>128</v>
      </c>
      <c r="K247" t="s">
        <v>5</v>
      </c>
      <c r="L247">
        <v>54</v>
      </c>
      <c r="M247" t="s">
        <v>6</v>
      </c>
      <c r="N247">
        <v>-2.8804963749452801</v>
      </c>
      <c r="O247" t="s">
        <v>7</v>
      </c>
      <c r="P247">
        <v>-2.2503877929260001E-2</v>
      </c>
      <c r="Q247" t="s">
        <v>8</v>
      </c>
      <c r="R247">
        <v>2.1749908078713802</v>
      </c>
      <c r="S247" t="s">
        <v>9</v>
      </c>
      <c r="T247">
        <v>-1.62608108108108</v>
      </c>
      <c r="U247" t="s">
        <v>10</v>
      </c>
      <c r="V247">
        <v>0.38557155346537098</v>
      </c>
      <c r="W247" t="s">
        <v>11</v>
      </c>
      <c r="X247" t="s">
        <v>2437</v>
      </c>
      <c r="Y247" t="s">
        <v>2013</v>
      </c>
      <c r="Z247">
        <v>0</v>
      </c>
      <c r="AA247" t="s">
        <v>14</v>
      </c>
      <c r="AB247" t="s">
        <v>15</v>
      </c>
      <c r="AC247" t="s">
        <v>2437</v>
      </c>
      <c r="AD247" t="s">
        <v>2013</v>
      </c>
      <c r="AE247">
        <v>0</v>
      </c>
      <c r="AF247" t="s">
        <v>18</v>
      </c>
    </row>
    <row r="248" spans="1:32" x14ac:dyDescent="0.3">
      <c r="A248" t="s">
        <v>221</v>
      </c>
      <c r="B248" t="s">
        <v>1</v>
      </c>
      <c r="C248">
        <v>0.5</v>
      </c>
      <c r="D248" t="s">
        <v>588</v>
      </c>
      <c r="E248" t="s">
        <v>2323</v>
      </c>
      <c r="F248">
        <v>0.25</v>
      </c>
      <c r="G248" t="s">
        <v>2329</v>
      </c>
      <c r="H248" t="s">
        <v>1996</v>
      </c>
      <c r="I248" t="s">
        <v>4</v>
      </c>
      <c r="J248">
        <v>128</v>
      </c>
      <c r="K248" t="s">
        <v>5</v>
      </c>
      <c r="L248">
        <v>56</v>
      </c>
      <c r="M248" t="s">
        <v>6</v>
      </c>
      <c r="N248">
        <v>-7.3204963749452796</v>
      </c>
      <c r="O248" t="s">
        <v>7</v>
      </c>
      <c r="P248">
        <v>-5.7191377929259997E-2</v>
      </c>
      <c r="Q248" t="s">
        <v>8</v>
      </c>
      <c r="R248">
        <v>2.17606256473311</v>
      </c>
      <c r="S248" t="s">
        <v>9</v>
      </c>
      <c r="T248">
        <v>-1.79416666666666</v>
      </c>
      <c r="U248" t="s">
        <v>10</v>
      </c>
      <c r="V248">
        <v>0.44407152670182698</v>
      </c>
      <c r="W248" t="s">
        <v>11</v>
      </c>
      <c r="X248" t="s">
        <v>2437</v>
      </c>
      <c r="Y248" t="s">
        <v>2013</v>
      </c>
      <c r="Z248">
        <v>0</v>
      </c>
      <c r="AA248" t="s">
        <v>14</v>
      </c>
      <c r="AB248" t="s">
        <v>15</v>
      </c>
      <c r="AC248" t="s">
        <v>2436</v>
      </c>
      <c r="AD248" t="s">
        <v>2084</v>
      </c>
      <c r="AE248">
        <v>0</v>
      </c>
      <c r="AF248" t="s">
        <v>18</v>
      </c>
    </row>
    <row r="249" spans="1:32" x14ac:dyDescent="0.3">
      <c r="A249" t="s">
        <v>221</v>
      </c>
      <c r="B249" t="s">
        <v>1</v>
      </c>
      <c r="C249">
        <v>0.5</v>
      </c>
      <c r="D249" t="s">
        <v>588</v>
      </c>
      <c r="E249" t="s">
        <v>2323</v>
      </c>
      <c r="F249">
        <v>0.25</v>
      </c>
      <c r="G249" t="s">
        <v>2329</v>
      </c>
      <c r="H249" t="s">
        <v>1997</v>
      </c>
      <c r="I249" t="s">
        <v>4</v>
      </c>
      <c r="J249">
        <v>128</v>
      </c>
      <c r="K249" t="s">
        <v>5</v>
      </c>
      <c r="L249">
        <v>58</v>
      </c>
      <c r="M249" t="s">
        <v>6</v>
      </c>
      <c r="N249">
        <v>-0.140496374945281</v>
      </c>
      <c r="O249" t="s">
        <v>7</v>
      </c>
      <c r="P249">
        <v>-1.09762792926001E-3</v>
      </c>
      <c r="Q249" t="s">
        <v>8</v>
      </c>
      <c r="R249">
        <v>2.18240523491473</v>
      </c>
      <c r="S249" t="s">
        <v>9</v>
      </c>
      <c r="T249">
        <v>-1.8102857142857101</v>
      </c>
      <c r="U249" t="s">
        <v>10</v>
      </c>
      <c r="V249">
        <v>0.45248490376247302</v>
      </c>
      <c r="W249" t="s">
        <v>11</v>
      </c>
      <c r="X249" t="s">
        <v>2437</v>
      </c>
      <c r="Y249" t="s">
        <v>2013</v>
      </c>
      <c r="Z249">
        <v>0</v>
      </c>
      <c r="AA249" t="s">
        <v>14</v>
      </c>
      <c r="AB249" t="s">
        <v>15</v>
      </c>
      <c r="AC249" t="s">
        <v>2436</v>
      </c>
      <c r="AD249" t="s">
        <v>2084</v>
      </c>
      <c r="AE249">
        <v>0</v>
      </c>
      <c r="AF249" t="s">
        <v>18</v>
      </c>
    </row>
    <row r="250" spans="1:32" x14ac:dyDescent="0.3">
      <c r="A250" t="s">
        <v>221</v>
      </c>
      <c r="B250" t="s">
        <v>1</v>
      </c>
      <c r="C250">
        <v>0.5</v>
      </c>
      <c r="D250" t="s">
        <v>588</v>
      </c>
      <c r="E250" t="s">
        <v>2323</v>
      </c>
      <c r="F250">
        <v>0.25</v>
      </c>
      <c r="G250" t="s">
        <v>2332</v>
      </c>
      <c r="H250" t="s">
        <v>1999</v>
      </c>
      <c r="I250" t="s">
        <v>4</v>
      </c>
      <c r="J250">
        <v>127</v>
      </c>
      <c r="K250" t="s">
        <v>5</v>
      </c>
      <c r="L250">
        <v>43</v>
      </c>
      <c r="M250" t="s">
        <v>6</v>
      </c>
      <c r="N250">
        <v>-8.2731417413660306</v>
      </c>
      <c r="O250" t="s">
        <v>7</v>
      </c>
      <c r="P250">
        <v>-6.5142848357212804E-2</v>
      </c>
      <c r="Q250" t="s">
        <v>8</v>
      </c>
      <c r="R250">
        <v>2.2895809016125002</v>
      </c>
      <c r="S250" t="s">
        <v>9</v>
      </c>
      <c r="T250">
        <v>-1.2705371489369399</v>
      </c>
      <c r="U250" t="s">
        <v>10</v>
      </c>
      <c r="V250">
        <v>0.29655195300885501</v>
      </c>
      <c r="W250" t="s">
        <v>11</v>
      </c>
      <c r="X250" t="s">
        <v>2438</v>
      </c>
      <c r="Y250" t="s">
        <v>2439</v>
      </c>
      <c r="Z250">
        <v>0</v>
      </c>
      <c r="AA250" t="s">
        <v>14</v>
      </c>
      <c r="AB250" t="s">
        <v>15</v>
      </c>
      <c r="AC250" t="s">
        <v>2440</v>
      </c>
      <c r="AD250" t="s">
        <v>2441</v>
      </c>
      <c r="AE250">
        <v>0</v>
      </c>
      <c r="AF250" t="s">
        <v>18</v>
      </c>
    </row>
    <row r="251" spans="1:32" x14ac:dyDescent="0.3">
      <c r="A251" t="s">
        <v>221</v>
      </c>
      <c r="B251" t="s">
        <v>1</v>
      </c>
      <c r="C251">
        <v>0.5</v>
      </c>
      <c r="D251" t="s">
        <v>588</v>
      </c>
      <c r="E251" t="s">
        <v>2323</v>
      </c>
      <c r="F251">
        <v>0.25</v>
      </c>
      <c r="G251" t="s">
        <v>2332</v>
      </c>
      <c r="H251" t="s">
        <v>2002</v>
      </c>
      <c r="I251" t="s">
        <v>4</v>
      </c>
      <c r="J251">
        <v>127</v>
      </c>
      <c r="K251" t="s">
        <v>5</v>
      </c>
      <c r="L251">
        <v>55</v>
      </c>
      <c r="M251" t="s">
        <v>6</v>
      </c>
      <c r="N251">
        <v>-23.923141741365999</v>
      </c>
      <c r="O251" t="s">
        <v>7</v>
      </c>
      <c r="P251">
        <v>-0.18837119481390499</v>
      </c>
      <c r="Q251" t="s">
        <v>8</v>
      </c>
      <c r="R251">
        <v>2.3383085445893399</v>
      </c>
      <c r="S251" t="s">
        <v>9</v>
      </c>
      <c r="T251">
        <v>-2.1184737735247201</v>
      </c>
      <c r="U251" t="s">
        <v>10</v>
      </c>
      <c r="V251">
        <v>0.426118371272172</v>
      </c>
      <c r="W251" t="s">
        <v>11</v>
      </c>
      <c r="X251" t="s">
        <v>1980</v>
      </c>
      <c r="Y251" t="s">
        <v>2442</v>
      </c>
      <c r="Z251">
        <v>0</v>
      </c>
      <c r="AA251" t="s">
        <v>14</v>
      </c>
      <c r="AB251" t="s">
        <v>15</v>
      </c>
      <c r="AC251" t="s">
        <v>1980</v>
      </c>
      <c r="AD251" t="s">
        <v>2442</v>
      </c>
      <c r="AE251">
        <v>0</v>
      </c>
      <c r="AF251" t="s">
        <v>18</v>
      </c>
    </row>
    <row r="252" spans="1:32" x14ac:dyDescent="0.3">
      <c r="A252" t="s">
        <v>221</v>
      </c>
      <c r="B252" t="s">
        <v>1</v>
      </c>
      <c r="C252">
        <v>0.5</v>
      </c>
      <c r="D252" t="s">
        <v>588</v>
      </c>
      <c r="E252" t="s">
        <v>2323</v>
      </c>
      <c r="F252">
        <v>0.25</v>
      </c>
      <c r="G252" t="s">
        <v>2332</v>
      </c>
      <c r="H252" t="s">
        <v>2004</v>
      </c>
      <c r="I252" t="s">
        <v>4</v>
      </c>
      <c r="J252">
        <v>127</v>
      </c>
      <c r="K252" t="s">
        <v>5</v>
      </c>
      <c r="L252">
        <v>60</v>
      </c>
      <c r="M252" t="s">
        <v>6</v>
      </c>
      <c r="N252">
        <v>-25.113141741366</v>
      </c>
      <c r="O252" t="s">
        <v>7</v>
      </c>
      <c r="P252">
        <v>-0.19774127355406301</v>
      </c>
      <c r="Q252" t="s">
        <v>8</v>
      </c>
      <c r="R252">
        <v>2.34861616587356</v>
      </c>
      <c r="S252" t="s">
        <v>9</v>
      </c>
      <c r="T252">
        <v>-2.4780613685638802</v>
      </c>
      <c r="U252" t="s">
        <v>10</v>
      </c>
      <c r="V252">
        <v>0.45912000046467399</v>
      </c>
      <c r="W252" t="s">
        <v>11</v>
      </c>
      <c r="X252" t="s">
        <v>1980</v>
      </c>
      <c r="Y252" t="s">
        <v>2442</v>
      </c>
      <c r="Z252">
        <v>0</v>
      </c>
      <c r="AA252" t="s">
        <v>14</v>
      </c>
      <c r="AB252" t="s">
        <v>15</v>
      </c>
      <c r="AC252" t="s">
        <v>1980</v>
      </c>
      <c r="AD252" t="s">
        <v>2442</v>
      </c>
      <c r="AE252">
        <v>0</v>
      </c>
      <c r="AF252" t="s">
        <v>18</v>
      </c>
    </row>
    <row r="253" spans="1:32" x14ac:dyDescent="0.3">
      <c r="A253" t="s">
        <v>221</v>
      </c>
      <c r="B253" t="s">
        <v>1</v>
      </c>
      <c r="C253">
        <v>0.5</v>
      </c>
      <c r="D253" t="s">
        <v>588</v>
      </c>
      <c r="E253" t="s">
        <v>2323</v>
      </c>
      <c r="F253">
        <v>0.25</v>
      </c>
      <c r="G253" t="s">
        <v>2332</v>
      </c>
      <c r="H253" t="s">
        <v>2005</v>
      </c>
      <c r="I253" t="s">
        <v>4</v>
      </c>
      <c r="J253">
        <v>127</v>
      </c>
      <c r="K253" t="s">
        <v>5</v>
      </c>
      <c r="L253">
        <v>61</v>
      </c>
      <c r="M253" t="s">
        <v>6</v>
      </c>
      <c r="N253">
        <v>-28.446587475742199</v>
      </c>
      <c r="O253" t="s">
        <v>7</v>
      </c>
      <c r="P253">
        <v>-0.22398887776175</v>
      </c>
      <c r="Q253" t="s">
        <v>8</v>
      </c>
      <c r="R253">
        <v>2.36109786807235</v>
      </c>
      <c r="S253" t="s">
        <v>9</v>
      </c>
      <c r="T253">
        <v>-2.6132357186084199</v>
      </c>
      <c r="U253" t="s">
        <v>10</v>
      </c>
      <c r="V253">
        <v>0.47838654355632498</v>
      </c>
      <c r="W253" t="s">
        <v>11</v>
      </c>
      <c r="X253" t="s">
        <v>1980</v>
      </c>
      <c r="Y253" t="s">
        <v>2442</v>
      </c>
      <c r="Z253">
        <v>0</v>
      </c>
      <c r="AA253" t="s">
        <v>14</v>
      </c>
      <c r="AB253" t="s">
        <v>15</v>
      </c>
      <c r="AC253" t="s">
        <v>1980</v>
      </c>
      <c r="AD253" t="s">
        <v>2442</v>
      </c>
      <c r="AE253">
        <v>0</v>
      </c>
      <c r="AF253" t="s">
        <v>18</v>
      </c>
    </row>
    <row r="254" spans="1:32" x14ac:dyDescent="0.3">
      <c r="A254" t="s">
        <v>221</v>
      </c>
      <c r="B254" t="s">
        <v>1</v>
      </c>
      <c r="C254">
        <v>0.4</v>
      </c>
      <c r="D254" t="s">
        <v>588</v>
      </c>
      <c r="E254" t="s">
        <v>2323</v>
      </c>
      <c r="F254">
        <v>0.2</v>
      </c>
      <c r="G254" t="s">
        <v>2324</v>
      </c>
      <c r="H254" t="s">
        <v>1979</v>
      </c>
      <c r="I254" t="s">
        <v>4</v>
      </c>
      <c r="J254">
        <v>136</v>
      </c>
      <c r="K254" t="s">
        <v>5</v>
      </c>
      <c r="L254">
        <v>40</v>
      </c>
      <c r="M254" t="s">
        <v>6</v>
      </c>
      <c r="N254">
        <v>-7.73000000000002</v>
      </c>
      <c r="O254" t="s">
        <v>7</v>
      </c>
      <c r="P254">
        <v>-5.68382352941178E-2</v>
      </c>
      <c r="Q254" t="s">
        <v>8</v>
      </c>
      <c r="R254">
        <v>1.6572499999999899</v>
      </c>
      <c r="S254" t="s">
        <v>9</v>
      </c>
      <c r="T254">
        <v>-0.77104166666666596</v>
      </c>
      <c r="U254" t="s">
        <v>10</v>
      </c>
      <c r="V254">
        <v>0.27028169044435801</v>
      </c>
      <c r="W254" t="s">
        <v>11</v>
      </c>
      <c r="X254" t="s">
        <v>2443</v>
      </c>
      <c r="Y254" t="s">
        <v>2084</v>
      </c>
      <c r="Z254">
        <v>0</v>
      </c>
      <c r="AA254" t="s">
        <v>14</v>
      </c>
      <c r="AB254" t="s">
        <v>15</v>
      </c>
      <c r="AC254" t="s">
        <v>2444</v>
      </c>
      <c r="AD254" t="s">
        <v>2084</v>
      </c>
      <c r="AE254">
        <v>0</v>
      </c>
      <c r="AF254" t="s">
        <v>18</v>
      </c>
    </row>
    <row r="255" spans="1:32" x14ac:dyDescent="0.3">
      <c r="A255" t="s">
        <v>221</v>
      </c>
      <c r="B255" t="s">
        <v>1</v>
      </c>
      <c r="C255">
        <v>0.4</v>
      </c>
      <c r="D255" t="s">
        <v>588</v>
      </c>
      <c r="E255" t="s">
        <v>2323</v>
      </c>
      <c r="F255">
        <v>0.2</v>
      </c>
      <c r="G255" t="s">
        <v>2324</v>
      </c>
      <c r="H255" t="s">
        <v>1982</v>
      </c>
      <c r="I255" t="s">
        <v>4</v>
      </c>
      <c r="J255">
        <v>136</v>
      </c>
      <c r="K255" t="s">
        <v>5</v>
      </c>
      <c r="L255">
        <v>42</v>
      </c>
      <c r="M255" t="s">
        <v>6</v>
      </c>
      <c r="N255">
        <v>-5.0599999999999996</v>
      </c>
      <c r="O255" t="s">
        <v>7</v>
      </c>
      <c r="P255">
        <v>-3.7205882352941103E-2</v>
      </c>
      <c r="Q255" t="s">
        <v>8</v>
      </c>
      <c r="R255">
        <v>1.7138095238095199</v>
      </c>
      <c r="S255" t="s">
        <v>9</v>
      </c>
      <c r="T255">
        <v>-0.81957446808510603</v>
      </c>
      <c r="U255" t="s">
        <v>10</v>
      </c>
      <c r="V255">
        <v>0.28640425435690797</v>
      </c>
      <c r="W255" t="s">
        <v>11</v>
      </c>
      <c r="X255" t="s">
        <v>2443</v>
      </c>
      <c r="Y255" t="s">
        <v>2084</v>
      </c>
      <c r="Z255">
        <v>0</v>
      </c>
      <c r="AA255" t="s">
        <v>14</v>
      </c>
      <c r="AB255" t="s">
        <v>15</v>
      </c>
      <c r="AC255" t="s">
        <v>2444</v>
      </c>
      <c r="AD255" t="s">
        <v>2084</v>
      </c>
      <c r="AE255">
        <v>0</v>
      </c>
      <c r="AF255" t="s">
        <v>18</v>
      </c>
    </row>
    <row r="256" spans="1:32" x14ac:dyDescent="0.3">
      <c r="A256" t="s">
        <v>221</v>
      </c>
      <c r="B256" t="s">
        <v>1</v>
      </c>
      <c r="C256">
        <v>0.4</v>
      </c>
      <c r="D256" t="s">
        <v>588</v>
      </c>
      <c r="E256" t="s">
        <v>2323</v>
      </c>
      <c r="F256">
        <v>0.2</v>
      </c>
      <c r="G256" t="s">
        <v>2324</v>
      </c>
      <c r="H256" t="s">
        <v>1985</v>
      </c>
      <c r="I256" t="s">
        <v>4</v>
      </c>
      <c r="J256">
        <v>136</v>
      </c>
      <c r="K256" t="s">
        <v>5</v>
      </c>
      <c r="L256">
        <v>42</v>
      </c>
      <c r="M256" t="s">
        <v>6</v>
      </c>
      <c r="N256">
        <v>-20.51</v>
      </c>
      <c r="O256" t="s">
        <v>7</v>
      </c>
      <c r="P256">
        <v>-0.150808823529411</v>
      </c>
      <c r="Q256" t="s">
        <v>8</v>
      </c>
      <c r="R256">
        <v>1.7138095238095199</v>
      </c>
      <c r="S256" t="s">
        <v>9</v>
      </c>
      <c r="T256">
        <v>-0.98393617021276503</v>
      </c>
      <c r="U256" t="s">
        <v>10</v>
      </c>
      <c r="V256">
        <v>0.3234020987556</v>
      </c>
      <c r="W256" t="s">
        <v>11</v>
      </c>
      <c r="X256" t="s">
        <v>2445</v>
      </c>
      <c r="Y256" t="s">
        <v>1987</v>
      </c>
      <c r="Z256">
        <v>0</v>
      </c>
      <c r="AA256" t="s">
        <v>14</v>
      </c>
      <c r="AB256" t="s">
        <v>15</v>
      </c>
      <c r="AC256" t="s">
        <v>2445</v>
      </c>
      <c r="AD256" t="s">
        <v>1987</v>
      </c>
      <c r="AE256">
        <v>0</v>
      </c>
      <c r="AF256" t="s">
        <v>18</v>
      </c>
    </row>
    <row r="257" spans="1:32" x14ac:dyDescent="0.3">
      <c r="A257" t="s">
        <v>221</v>
      </c>
      <c r="B257" t="s">
        <v>1</v>
      </c>
      <c r="C257">
        <v>0.4</v>
      </c>
      <c r="D257" t="s">
        <v>588</v>
      </c>
      <c r="E257" t="s">
        <v>2323</v>
      </c>
      <c r="F257">
        <v>0.2</v>
      </c>
      <c r="G257" t="s">
        <v>2324</v>
      </c>
      <c r="H257" t="s">
        <v>1988</v>
      </c>
      <c r="I257" t="s">
        <v>4</v>
      </c>
      <c r="J257">
        <v>136</v>
      </c>
      <c r="K257" t="s">
        <v>5</v>
      </c>
      <c r="L257">
        <v>44</v>
      </c>
      <c r="M257" t="s">
        <v>6</v>
      </c>
      <c r="N257">
        <v>-9.59</v>
      </c>
      <c r="O257" t="s">
        <v>7</v>
      </c>
      <c r="P257">
        <v>-7.0514705882352896E-2</v>
      </c>
      <c r="Q257" t="s">
        <v>8</v>
      </c>
      <c r="R257">
        <v>1.75340909090908</v>
      </c>
      <c r="S257" t="s">
        <v>9</v>
      </c>
      <c r="T257">
        <v>-0.94282608695652104</v>
      </c>
      <c r="U257" t="s">
        <v>10</v>
      </c>
      <c r="V257">
        <v>0.34445714940057998</v>
      </c>
      <c r="W257" t="s">
        <v>11</v>
      </c>
      <c r="X257" t="s">
        <v>2445</v>
      </c>
      <c r="Y257" t="s">
        <v>1987</v>
      </c>
      <c r="Z257">
        <v>0</v>
      </c>
      <c r="AA257" t="s">
        <v>14</v>
      </c>
      <c r="AB257" t="s">
        <v>15</v>
      </c>
      <c r="AC257" t="s">
        <v>2445</v>
      </c>
      <c r="AD257" t="s">
        <v>1987</v>
      </c>
      <c r="AE257">
        <v>0</v>
      </c>
      <c r="AF257" t="s">
        <v>18</v>
      </c>
    </row>
    <row r="258" spans="1:32" x14ac:dyDescent="0.3">
      <c r="A258" t="s">
        <v>221</v>
      </c>
      <c r="B258" t="s">
        <v>1</v>
      </c>
      <c r="C258">
        <v>0.4</v>
      </c>
      <c r="D258" t="s">
        <v>588</v>
      </c>
      <c r="E258" t="s">
        <v>2323</v>
      </c>
      <c r="F258">
        <v>0.2</v>
      </c>
      <c r="G258" t="s">
        <v>2329</v>
      </c>
      <c r="H258" t="s">
        <v>1991</v>
      </c>
      <c r="I258" t="s">
        <v>4</v>
      </c>
      <c r="J258">
        <v>128</v>
      </c>
      <c r="K258" t="s">
        <v>5</v>
      </c>
      <c r="L258">
        <v>32</v>
      </c>
      <c r="M258" t="s">
        <v>6</v>
      </c>
      <c r="N258">
        <v>-8.21999999999991</v>
      </c>
      <c r="O258" t="s">
        <v>7</v>
      </c>
      <c r="P258">
        <v>-6.4218749999999297E-2</v>
      </c>
      <c r="Q258" t="s">
        <v>8</v>
      </c>
      <c r="R258">
        <v>2.2156250000000002</v>
      </c>
      <c r="S258" t="s">
        <v>9</v>
      </c>
      <c r="T258">
        <v>-0.82416666666666605</v>
      </c>
      <c r="U258" t="s">
        <v>10</v>
      </c>
      <c r="V258">
        <v>0.28226198940522701</v>
      </c>
      <c r="W258" t="s">
        <v>11</v>
      </c>
      <c r="X258" t="s">
        <v>2443</v>
      </c>
      <c r="Y258" t="s">
        <v>2084</v>
      </c>
      <c r="Z258">
        <v>0</v>
      </c>
      <c r="AA258" t="s">
        <v>14</v>
      </c>
      <c r="AB258" t="s">
        <v>15</v>
      </c>
      <c r="AC258" t="s">
        <v>2444</v>
      </c>
      <c r="AD258" t="s">
        <v>2084</v>
      </c>
      <c r="AE258">
        <v>0</v>
      </c>
      <c r="AF258" t="s">
        <v>18</v>
      </c>
    </row>
    <row r="259" spans="1:32" x14ac:dyDescent="0.3">
      <c r="A259" t="s">
        <v>221</v>
      </c>
      <c r="B259" t="s">
        <v>1</v>
      </c>
      <c r="C259">
        <v>0.4</v>
      </c>
      <c r="D259" t="s">
        <v>588</v>
      </c>
      <c r="E259" t="s">
        <v>2323</v>
      </c>
      <c r="F259">
        <v>0.2</v>
      </c>
      <c r="G259" t="s">
        <v>2329</v>
      </c>
      <c r="H259" t="s">
        <v>1994</v>
      </c>
      <c r="I259" t="s">
        <v>4</v>
      </c>
      <c r="J259">
        <v>128</v>
      </c>
      <c r="K259" t="s">
        <v>5</v>
      </c>
      <c r="L259">
        <v>36</v>
      </c>
      <c r="M259" t="s">
        <v>6</v>
      </c>
      <c r="N259">
        <v>-15.0099999999999</v>
      </c>
      <c r="O259" t="s">
        <v>7</v>
      </c>
      <c r="P259">
        <v>-0.117265624999999</v>
      </c>
      <c r="Q259" t="s">
        <v>8</v>
      </c>
      <c r="R259">
        <v>2.2633333333333301</v>
      </c>
      <c r="S259" t="s">
        <v>9</v>
      </c>
      <c r="T259">
        <v>-1.04880434782608</v>
      </c>
      <c r="U259" t="s">
        <v>10</v>
      </c>
      <c r="V259">
        <v>0.32985981028334199</v>
      </c>
      <c r="W259" t="s">
        <v>11</v>
      </c>
      <c r="X259" t="s">
        <v>2446</v>
      </c>
      <c r="Y259" t="s">
        <v>2192</v>
      </c>
      <c r="Z259">
        <v>0</v>
      </c>
      <c r="AA259" t="s">
        <v>14</v>
      </c>
      <c r="AB259" t="s">
        <v>15</v>
      </c>
      <c r="AC259" t="s">
        <v>2446</v>
      </c>
      <c r="AD259" t="s">
        <v>2192</v>
      </c>
      <c r="AE259">
        <v>0</v>
      </c>
      <c r="AF259" t="s">
        <v>18</v>
      </c>
    </row>
    <row r="260" spans="1:32" x14ac:dyDescent="0.3">
      <c r="A260" t="s">
        <v>221</v>
      </c>
      <c r="B260" t="s">
        <v>1</v>
      </c>
      <c r="C260">
        <v>0.4</v>
      </c>
      <c r="D260" t="s">
        <v>588</v>
      </c>
      <c r="E260" t="s">
        <v>2323</v>
      </c>
      <c r="F260">
        <v>0.2</v>
      </c>
      <c r="G260" t="s">
        <v>2329</v>
      </c>
      <c r="H260" t="s">
        <v>1996</v>
      </c>
      <c r="I260" t="s">
        <v>4</v>
      </c>
      <c r="J260">
        <v>128</v>
      </c>
      <c r="K260" t="s">
        <v>5</v>
      </c>
      <c r="L260">
        <v>37</v>
      </c>
      <c r="M260" t="s">
        <v>6</v>
      </c>
      <c r="N260">
        <v>-19.899999999999899</v>
      </c>
      <c r="O260" t="s">
        <v>7</v>
      </c>
      <c r="P260">
        <v>-0.15546874999999899</v>
      </c>
      <c r="Q260" t="s">
        <v>8</v>
      </c>
      <c r="R260">
        <v>2.3302702702702698</v>
      </c>
      <c r="S260" t="s">
        <v>9</v>
      </c>
      <c r="T260">
        <v>-1.1661538461538401</v>
      </c>
      <c r="U260" t="s">
        <v>10</v>
      </c>
      <c r="V260">
        <v>0.36616421940816801</v>
      </c>
      <c r="W260" t="s">
        <v>11</v>
      </c>
      <c r="X260" t="s">
        <v>2445</v>
      </c>
      <c r="Y260" t="s">
        <v>1987</v>
      </c>
      <c r="Z260">
        <v>0</v>
      </c>
      <c r="AA260" t="s">
        <v>14</v>
      </c>
      <c r="AB260" t="s">
        <v>15</v>
      </c>
      <c r="AC260" t="s">
        <v>2445</v>
      </c>
      <c r="AD260" t="s">
        <v>1987</v>
      </c>
      <c r="AE260">
        <v>0</v>
      </c>
      <c r="AF260" t="s">
        <v>18</v>
      </c>
    </row>
    <row r="261" spans="1:32" x14ac:dyDescent="0.3">
      <c r="A261" t="s">
        <v>221</v>
      </c>
      <c r="B261" t="s">
        <v>1</v>
      </c>
      <c r="C261">
        <v>0.4</v>
      </c>
      <c r="D261" t="s">
        <v>588</v>
      </c>
      <c r="E261" t="s">
        <v>2323</v>
      </c>
      <c r="F261">
        <v>0.2</v>
      </c>
      <c r="G261" t="s">
        <v>2329</v>
      </c>
      <c r="H261" t="s">
        <v>1997</v>
      </c>
      <c r="I261" t="s">
        <v>4</v>
      </c>
      <c r="J261">
        <v>128</v>
      </c>
      <c r="K261" t="s">
        <v>5</v>
      </c>
      <c r="L261">
        <v>40</v>
      </c>
      <c r="M261" t="s">
        <v>6</v>
      </c>
      <c r="N261">
        <v>-8.9399999999999409</v>
      </c>
      <c r="O261" t="s">
        <v>7</v>
      </c>
      <c r="P261">
        <v>-6.9843749999999497E-2</v>
      </c>
      <c r="Q261" t="s">
        <v>8</v>
      </c>
      <c r="R261">
        <v>2.3374999999999999</v>
      </c>
      <c r="S261" t="s">
        <v>9</v>
      </c>
      <c r="T261">
        <v>-1.1640909090909</v>
      </c>
      <c r="U261" t="s">
        <v>10</v>
      </c>
      <c r="V261">
        <v>0.38979868659582301</v>
      </c>
      <c r="W261" t="s">
        <v>11</v>
      </c>
      <c r="X261" t="s">
        <v>2445</v>
      </c>
      <c r="Y261" t="s">
        <v>1987</v>
      </c>
      <c r="Z261">
        <v>0</v>
      </c>
      <c r="AA261" t="s">
        <v>14</v>
      </c>
      <c r="AB261" t="s">
        <v>15</v>
      </c>
      <c r="AC261" t="s">
        <v>2445</v>
      </c>
      <c r="AD261" t="s">
        <v>1987</v>
      </c>
      <c r="AE261">
        <v>0</v>
      </c>
      <c r="AF261" t="s">
        <v>18</v>
      </c>
    </row>
    <row r="262" spans="1:32" x14ac:dyDescent="0.3">
      <c r="A262" t="s">
        <v>221</v>
      </c>
      <c r="B262" t="s">
        <v>1</v>
      </c>
      <c r="C262">
        <v>0.4</v>
      </c>
      <c r="D262" t="s">
        <v>588</v>
      </c>
      <c r="E262" t="s">
        <v>2323</v>
      </c>
      <c r="F262">
        <v>0.2</v>
      </c>
      <c r="G262" t="s">
        <v>2332</v>
      </c>
      <c r="H262" t="s">
        <v>1999</v>
      </c>
      <c r="I262" t="s">
        <v>4</v>
      </c>
      <c r="J262">
        <v>127</v>
      </c>
      <c r="K262" t="s">
        <v>5</v>
      </c>
      <c r="L262">
        <v>35</v>
      </c>
      <c r="M262" t="s">
        <v>6</v>
      </c>
      <c r="N262">
        <v>-9.1632171599349999</v>
      </c>
      <c r="O262" t="s">
        <v>7</v>
      </c>
      <c r="P262">
        <v>-7.2151316219960598E-2</v>
      </c>
      <c r="Q262" t="s">
        <v>8</v>
      </c>
      <c r="R262">
        <v>2.3505714285714201</v>
      </c>
      <c r="S262" t="s">
        <v>9</v>
      </c>
      <c r="T262">
        <v>-0.99383931695581595</v>
      </c>
      <c r="U262" t="s">
        <v>10</v>
      </c>
      <c r="V262">
        <v>0.28184095694601702</v>
      </c>
      <c r="W262" t="s">
        <v>11</v>
      </c>
      <c r="X262" t="s">
        <v>2447</v>
      </c>
      <c r="Y262" t="s">
        <v>2192</v>
      </c>
      <c r="Z262">
        <v>0</v>
      </c>
      <c r="AA262" t="s">
        <v>14</v>
      </c>
      <c r="AB262" t="s">
        <v>15</v>
      </c>
      <c r="AC262" t="s">
        <v>2447</v>
      </c>
      <c r="AD262" t="s">
        <v>2192</v>
      </c>
      <c r="AE262">
        <v>0</v>
      </c>
      <c r="AF262" t="s">
        <v>18</v>
      </c>
    </row>
    <row r="263" spans="1:32" x14ac:dyDescent="0.3">
      <c r="A263" t="s">
        <v>221</v>
      </c>
      <c r="B263" t="s">
        <v>1</v>
      </c>
      <c r="C263">
        <v>0.4</v>
      </c>
      <c r="D263" t="s">
        <v>588</v>
      </c>
      <c r="E263" t="s">
        <v>2323</v>
      </c>
      <c r="F263">
        <v>0.2</v>
      </c>
      <c r="G263" t="s">
        <v>2332</v>
      </c>
      <c r="H263" t="s">
        <v>2002</v>
      </c>
      <c r="I263" t="s">
        <v>4</v>
      </c>
      <c r="J263">
        <v>127</v>
      </c>
      <c r="K263" t="s">
        <v>5</v>
      </c>
      <c r="L263">
        <v>41</v>
      </c>
      <c r="M263" t="s">
        <v>6</v>
      </c>
      <c r="N263">
        <v>-20.837774236220699</v>
      </c>
      <c r="O263" t="s">
        <v>7</v>
      </c>
      <c r="P263">
        <v>-0.16407696248992601</v>
      </c>
      <c r="Q263" t="s">
        <v>8</v>
      </c>
      <c r="R263">
        <v>2.37853658536585</v>
      </c>
      <c r="S263" t="s">
        <v>9</v>
      </c>
      <c r="T263">
        <v>-1.3762531887932601</v>
      </c>
      <c r="U263" t="s">
        <v>10</v>
      </c>
      <c r="V263">
        <v>0.33400680184077303</v>
      </c>
      <c r="W263" t="s">
        <v>11</v>
      </c>
      <c r="X263" t="s">
        <v>2448</v>
      </c>
      <c r="Y263" t="s">
        <v>1987</v>
      </c>
      <c r="Z263">
        <v>0</v>
      </c>
      <c r="AA263" t="s">
        <v>14</v>
      </c>
      <c r="AB263" t="s">
        <v>15</v>
      </c>
      <c r="AC263" t="s">
        <v>2449</v>
      </c>
      <c r="AD263" t="s">
        <v>2086</v>
      </c>
      <c r="AE263">
        <v>0</v>
      </c>
      <c r="AF263" t="s">
        <v>18</v>
      </c>
    </row>
    <row r="264" spans="1:32" x14ac:dyDescent="0.3">
      <c r="A264" t="s">
        <v>221</v>
      </c>
      <c r="B264" t="s">
        <v>1</v>
      </c>
      <c r="C264">
        <v>0.4</v>
      </c>
      <c r="D264" t="s">
        <v>588</v>
      </c>
      <c r="E264" t="s">
        <v>2323</v>
      </c>
      <c r="F264">
        <v>0.2</v>
      </c>
      <c r="G264" t="s">
        <v>2332</v>
      </c>
      <c r="H264" t="s">
        <v>2004</v>
      </c>
      <c r="I264" t="s">
        <v>4</v>
      </c>
      <c r="J264">
        <v>127</v>
      </c>
      <c r="K264" t="s">
        <v>5</v>
      </c>
      <c r="L264">
        <v>44</v>
      </c>
      <c r="M264" t="s">
        <v>6</v>
      </c>
      <c r="N264">
        <v>-17.778843106697</v>
      </c>
      <c r="O264" t="s">
        <v>7</v>
      </c>
      <c r="P264">
        <v>-0.13999089060391301</v>
      </c>
      <c r="Q264" t="s">
        <v>8</v>
      </c>
      <c r="R264">
        <v>2.41954545454545</v>
      </c>
      <c r="S264" t="s">
        <v>9</v>
      </c>
      <c r="T264">
        <v>-1.4968535314059801</v>
      </c>
      <c r="U264" t="s">
        <v>10</v>
      </c>
      <c r="V264">
        <v>0.36932266342689601</v>
      </c>
      <c r="W264" t="s">
        <v>11</v>
      </c>
      <c r="X264" t="s">
        <v>2448</v>
      </c>
      <c r="Y264" t="s">
        <v>1987</v>
      </c>
      <c r="Z264">
        <v>0</v>
      </c>
      <c r="AA264" t="s">
        <v>14</v>
      </c>
      <c r="AB264" t="s">
        <v>15</v>
      </c>
      <c r="AC264" t="s">
        <v>2450</v>
      </c>
      <c r="AD264" t="s">
        <v>2406</v>
      </c>
      <c r="AE264">
        <v>0</v>
      </c>
      <c r="AF264" t="s">
        <v>18</v>
      </c>
    </row>
    <row r="265" spans="1:32" x14ac:dyDescent="0.3">
      <c r="A265" t="s">
        <v>221</v>
      </c>
      <c r="B265" t="s">
        <v>1</v>
      </c>
      <c r="C265">
        <v>0.4</v>
      </c>
      <c r="D265" t="s">
        <v>588</v>
      </c>
      <c r="E265" t="s">
        <v>2323</v>
      </c>
      <c r="F265">
        <v>0.2</v>
      </c>
      <c r="G265" t="s">
        <v>2332</v>
      </c>
      <c r="H265" t="s">
        <v>2005</v>
      </c>
      <c r="I265" t="s">
        <v>4</v>
      </c>
      <c r="J265">
        <v>127</v>
      </c>
      <c r="K265" t="s">
        <v>5</v>
      </c>
      <c r="L265">
        <v>46</v>
      </c>
      <c r="M265" t="s">
        <v>6</v>
      </c>
      <c r="N265">
        <v>-11.758967101347601</v>
      </c>
      <c r="O265" t="s">
        <v>7</v>
      </c>
      <c r="P265">
        <v>-9.2590292136595406E-2</v>
      </c>
      <c r="Q265" t="s">
        <v>8</v>
      </c>
      <c r="R265">
        <v>2.4076086956521698</v>
      </c>
      <c r="S265" t="s">
        <v>9</v>
      </c>
      <c r="T265">
        <v>-1.51245638396725</v>
      </c>
      <c r="U265" t="s">
        <v>10</v>
      </c>
      <c r="V265">
        <v>0.38511386256291602</v>
      </c>
      <c r="W265" t="s">
        <v>11</v>
      </c>
      <c r="X265" t="s">
        <v>2448</v>
      </c>
      <c r="Y265" t="s">
        <v>1987</v>
      </c>
      <c r="Z265">
        <v>0</v>
      </c>
      <c r="AA265" t="s">
        <v>14</v>
      </c>
      <c r="AB265" t="s">
        <v>15</v>
      </c>
      <c r="AC265" t="s">
        <v>2450</v>
      </c>
      <c r="AD265" t="s">
        <v>2406</v>
      </c>
      <c r="AE265">
        <v>0</v>
      </c>
      <c r="AF265" t="s">
        <v>18</v>
      </c>
    </row>
    <row r="266" spans="1:32" x14ac:dyDescent="0.3">
      <c r="A266" t="s">
        <v>221</v>
      </c>
      <c r="B266" t="s">
        <v>1</v>
      </c>
      <c r="C266">
        <v>0.4</v>
      </c>
      <c r="D266" t="s">
        <v>588</v>
      </c>
      <c r="E266" t="s">
        <v>2323</v>
      </c>
      <c r="F266">
        <v>0.2</v>
      </c>
      <c r="G266" t="s">
        <v>2347</v>
      </c>
      <c r="H266" t="s">
        <v>1979</v>
      </c>
      <c r="I266" t="s">
        <v>4</v>
      </c>
      <c r="J266">
        <v>136</v>
      </c>
      <c r="K266" t="s">
        <v>5</v>
      </c>
      <c r="L266">
        <v>80</v>
      </c>
      <c r="M266" t="s">
        <v>6</v>
      </c>
      <c r="N266">
        <v>1.67999999999991</v>
      </c>
      <c r="O266" t="s">
        <v>7</v>
      </c>
      <c r="P266">
        <v>1.23529411764699E-2</v>
      </c>
      <c r="Q266" t="s">
        <v>8</v>
      </c>
      <c r="R266">
        <v>1.03374999999999</v>
      </c>
      <c r="S266" t="s">
        <v>9</v>
      </c>
      <c r="T266">
        <v>-1.4467857142857099</v>
      </c>
      <c r="U266" t="s">
        <v>10</v>
      </c>
      <c r="V266">
        <v>0.31403608454374399</v>
      </c>
      <c r="W266" t="s">
        <v>11</v>
      </c>
      <c r="X266" t="s">
        <v>2451</v>
      </c>
      <c r="Y266" t="s">
        <v>2071</v>
      </c>
      <c r="Z266">
        <v>0</v>
      </c>
      <c r="AA266" t="s">
        <v>14</v>
      </c>
      <c r="AB266" t="s">
        <v>15</v>
      </c>
      <c r="AC266" t="s">
        <v>2452</v>
      </c>
      <c r="AD266" t="s">
        <v>2075</v>
      </c>
      <c r="AE266">
        <v>0</v>
      </c>
      <c r="AF266" t="s">
        <v>18</v>
      </c>
    </row>
    <row r="267" spans="1:32" x14ac:dyDescent="0.3">
      <c r="A267" t="s">
        <v>221</v>
      </c>
      <c r="B267" t="s">
        <v>1</v>
      </c>
      <c r="C267">
        <v>0.4</v>
      </c>
      <c r="D267" t="s">
        <v>588</v>
      </c>
      <c r="E267" t="s">
        <v>2323</v>
      </c>
      <c r="F267">
        <v>0.2</v>
      </c>
      <c r="G267" t="s">
        <v>2347</v>
      </c>
      <c r="H267" t="s">
        <v>1982</v>
      </c>
      <c r="I267" t="s">
        <v>4</v>
      </c>
      <c r="J267">
        <v>136</v>
      </c>
      <c r="K267" t="s">
        <v>5</v>
      </c>
      <c r="L267">
        <v>86</v>
      </c>
      <c r="M267" t="s">
        <v>6</v>
      </c>
      <c r="N267">
        <v>17.399999999999899</v>
      </c>
      <c r="O267" t="s">
        <v>7</v>
      </c>
      <c r="P267">
        <v>0.127941176470587</v>
      </c>
      <c r="Q267" t="s">
        <v>8</v>
      </c>
      <c r="R267">
        <v>1.1216279069767401</v>
      </c>
      <c r="S267" t="s">
        <v>9</v>
      </c>
      <c r="T267">
        <v>-1.5811999999999999</v>
      </c>
      <c r="U267" t="s">
        <v>10</v>
      </c>
      <c r="V267">
        <v>0.33309410498284803</v>
      </c>
      <c r="W267" t="s">
        <v>11</v>
      </c>
      <c r="X267" t="s">
        <v>2451</v>
      </c>
      <c r="Y267" t="s">
        <v>2071</v>
      </c>
      <c r="Z267">
        <v>0</v>
      </c>
      <c r="AA267" t="s">
        <v>14</v>
      </c>
      <c r="AB267" t="s">
        <v>15</v>
      </c>
      <c r="AC267" t="s">
        <v>2452</v>
      </c>
      <c r="AD267" t="s">
        <v>2075</v>
      </c>
      <c r="AE267">
        <v>0</v>
      </c>
      <c r="AF267" t="s">
        <v>18</v>
      </c>
    </row>
    <row r="268" spans="1:32" x14ac:dyDescent="0.3">
      <c r="A268" t="s">
        <v>221</v>
      </c>
      <c r="B268" t="s">
        <v>1</v>
      </c>
      <c r="C268">
        <v>0.4</v>
      </c>
      <c r="D268" t="s">
        <v>588</v>
      </c>
      <c r="E268" t="s">
        <v>2323</v>
      </c>
      <c r="F268">
        <v>0.2</v>
      </c>
      <c r="G268" t="s">
        <v>2347</v>
      </c>
      <c r="H268" t="s">
        <v>1985</v>
      </c>
      <c r="I268" t="s">
        <v>4</v>
      </c>
      <c r="J268">
        <v>136</v>
      </c>
      <c r="K268" t="s">
        <v>5</v>
      </c>
      <c r="L268">
        <v>93</v>
      </c>
      <c r="M268" t="s">
        <v>6</v>
      </c>
      <c r="N268">
        <v>22.3399999999999</v>
      </c>
      <c r="O268" t="s">
        <v>7</v>
      </c>
      <c r="P268">
        <v>0.16426470588235201</v>
      </c>
      <c r="Q268" t="s">
        <v>8</v>
      </c>
      <c r="R268">
        <v>1.19784946236559</v>
      </c>
      <c r="S268" t="s">
        <v>9</v>
      </c>
      <c r="T268">
        <v>-2.0711627906976702</v>
      </c>
      <c r="U268" t="s">
        <v>10</v>
      </c>
      <c r="V268">
        <v>0.40268532244415201</v>
      </c>
      <c r="W268" t="s">
        <v>11</v>
      </c>
      <c r="X268" t="s">
        <v>2451</v>
      </c>
      <c r="Y268" t="s">
        <v>2071</v>
      </c>
      <c r="Z268">
        <v>0</v>
      </c>
      <c r="AA268" t="s">
        <v>14</v>
      </c>
      <c r="AB268" t="s">
        <v>15</v>
      </c>
      <c r="AC268" t="s">
        <v>2452</v>
      </c>
      <c r="AD268" t="s">
        <v>2075</v>
      </c>
      <c r="AE268">
        <v>0</v>
      </c>
      <c r="AF268" t="s">
        <v>18</v>
      </c>
    </row>
    <row r="269" spans="1:32" x14ac:dyDescent="0.3">
      <c r="A269" t="s">
        <v>221</v>
      </c>
      <c r="B269" t="s">
        <v>1</v>
      </c>
      <c r="C269">
        <v>0.4</v>
      </c>
      <c r="D269" t="s">
        <v>588</v>
      </c>
      <c r="E269" t="s">
        <v>2323</v>
      </c>
      <c r="F269">
        <v>0.2</v>
      </c>
      <c r="G269" t="s">
        <v>2347</v>
      </c>
      <c r="H269" t="s">
        <v>1988</v>
      </c>
      <c r="I269" t="s">
        <v>4</v>
      </c>
      <c r="J269">
        <v>136</v>
      </c>
      <c r="K269" t="s">
        <v>5</v>
      </c>
      <c r="L269">
        <v>94</v>
      </c>
      <c r="M269" t="s">
        <v>6</v>
      </c>
      <c r="N269">
        <v>13.2099999999999</v>
      </c>
      <c r="O269" t="s">
        <v>7</v>
      </c>
      <c r="P269">
        <v>9.7132352941175698E-2</v>
      </c>
      <c r="Q269" t="s">
        <v>8</v>
      </c>
      <c r="R269">
        <v>1.2057446808510599</v>
      </c>
      <c r="S269" t="s">
        <v>9</v>
      </c>
      <c r="T269">
        <v>-2.3840476190476201</v>
      </c>
      <c r="U269" t="s">
        <v>10</v>
      </c>
      <c r="V269">
        <v>0.43998912288997399</v>
      </c>
      <c r="W269" t="s">
        <v>11</v>
      </c>
      <c r="X269" t="s">
        <v>2451</v>
      </c>
      <c r="Y269" t="s">
        <v>2071</v>
      </c>
      <c r="Z269">
        <v>0</v>
      </c>
      <c r="AA269" t="s">
        <v>14</v>
      </c>
      <c r="AB269" t="s">
        <v>15</v>
      </c>
      <c r="AC269" t="s">
        <v>2104</v>
      </c>
      <c r="AD269" t="s">
        <v>2117</v>
      </c>
      <c r="AE269">
        <v>0</v>
      </c>
      <c r="AF269" t="s">
        <v>18</v>
      </c>
    </row>
    <row r="270" spans="1:32" x14ac:dyDescent="0.3">
      <c r="A270" t="s">
        <v>221</v>
      </c>
      <c r="B270" t="s">
        <v>1</v>
      </c>
      <c r="C270">
        <v>0.4</v>
      </c>
      <c r="D270" t="s">
        <v>588</v>
      </c>
      <c r="E270" t="s">
        <v>2323</v>
      </c>
      <c r="F270">
        <v>0.2</v>
      </c>
      <c r="G270" t="s">
        <v>2355</v>
      </c>
      <c r="H270" t="s">
        <v>1991</v>
      </c>
      <c r="I270" t="s">
        <v>4</v>
      </c>
      <c r="J270">
        <v>128</v>
      </c>
      <c r="K270" t="s">
        <v>5</v>
      </c>
      <c r="L270">
        <v>73</v>
      </c>
      <c r="M270" t="s">
        <v>6</v>
      </c>
      <c r="N270">
        <v>9.0300000000000296</v>
      </c>
      <c r="O270" t="s">
        <v>7</v>
      </c>
      <c r="P270">
        <v>7.0546875000000203E-2</v>
      </c>
      <c r="Q270" t="s">
        <v>8</v>
      </c>
      <c r="R270">
        <v>1.3587671232876699</v>
      </c>
      <c r="S270" t="s">
        <v>9</v>
      </c>
      <c r="T270">
        <v>-1.6392727272727201</v>
      </c>
      <c r="U270" t="s">
        <v>10</v>
      </c>
      <c r="V270">
        <v>0.30473703609989899</v>
      </c>
      <c r="W270" t="s">
        <v>11</v>
      </c>
      <c r="X270" t="s">
        <v>2451</v>
      </c>
      <c r="Y270" t="s">
        <v>2071</v>
      </c>
      <c r="Z270">
        <v>0</v>
      </c>
      <c r="AA270" t="s">
        <v>14</v>
      </c>
      <c r="AB270" t="s">
        <v>15</v>
      </c>
      <c r="AC270" t="s">
        <v>2453</v>
      </c>
      <c r="AD270" t="s">
        <v>2075</v>
      </c>
      <c r="AE270">
        <v>0</v>
      </c>
      <c r="AF270" t="s">
        <v>18</v>
      </c>
    </row>
    <row r="271" spans="1:32" x14ac:dyDescent="0.3">
      <c r="A271" t="s">
        <v>221</v>
      </c>
      <c r="B271" t="s">
        <v>1</v>
      </c>
      <c r="C271">
        <v>0.4</v>
      </c>
      <c r="D271" t="s">
        <v>588</v>
      </c>
      <c r="E271" t="s">
        <v>2323</v>
      </c>
      <c r="F271">
        <v>0.2</v>
      </c>
      <c r="G271" t="s">
        <v>2355</v>
      </c>
      <c r="H271" t="s">
        <v>1994</v>
      </c>
      <c r="I271" t="s">
        <v>4</v>
      </c>
      <c r="J271">
        <v>128</v>
      </c>
      <c r="K271" t="s">
        <v>5</v>
      </c>
      <c r="L271">
        <v>83</v>
      </c>
      <c r="M271" t="s">
        <v>6</v>
      </c>
      <c r="N271">
        <v>23.03</v>
      </c>
      <c r="O271" t="s">
        <v>7</v>
      </c>
      <c r="P271">
        <v>0.17992187500000001</v>
      </c>
      <c r="Q271" t="s">
        <v>8</v>
      </c>
      <c r="R271">
        <v>1.4115662650602401</v>
      </c>
      <c r="S271" t="s">
        <v>9</v>
      </c>
      <c r="T271">
        <v>-2.0917777777777702</v>
      </c>
      <c r="U271" t="s">
        <v>10</v>
      </c>
      <c r="V271">
        <v>0.33438339045085902</v>
      </c>
      <c r="W271" t="s">
        <v>11</v>
      </c>
      <c r="X271" t="s">
        <v>2451</v>
      </c>
      <c r="Y271" t="s">
        <v>2071</v>
      </c>
      <c r="Z271">
        <v>0</v>
      </c>
      <c r="AA271" t="s">
        <v>14</v>
      </c>
      <c r="AB271" t="s">
        <v>15</v>
      </c>
      <c r="AC271" t="s">
        <v>2453</v>
      </c>
      <c r="AD271" t="s">
        <v>2075</v>
      </c>
      <c r="AE271">
        <v>0</v>
      </c>
      <c r="AF271" t="s">
        <v>18</v>
      </c>
    </row>
    <row r="272" spans="1:32" x14ac:dyDescent="0.3">
      <c r="A272" t="s">
        <v>221</v>
      </c>
      <c r="B272" t="s">
        <v>1</v>
      </c>
      <c r="C272">
        <v>0.4</v>
      </c>
      <c r="D272" t="s">
        <v>588</v>
      </c>
      <c r="E272" t="s">
        <v>2323</v>
      </c>
      <c r="F272">
        <v>0.2</v>
      </c>
      <c r="G272" t="s">
        <v>2355</v>
      </c>
      <c r="H272" t="s">
        <v>1996</v>
      </c>
      <c r="I272" t="s">
        <v>4</v>
      </c>
      <c r="J272">
        <v>128</v>
      </c>
      <c r="K272" t="s">
        <v>5</v>
      </c>
      <c r="L272">
        <v>91</v>
      </c>
      <c r="M272" t="s">
        <v>6</v>
      </c>
      <c r="N272">
        <v>36.71</v>
      </c>
      <c r="O272" t="s">
        <v>7</v>
      </c>
      <c r="P272">
        <v>0.28679687500000001</v>
      </c>
      <c r="Q272" t="s">
        <v>8</v>
      </c>
      <c r="R272">
        <v>1.4186813186813101</v>
      </c>
      <c r="S272" t="s">
        <v>9</v>
      </c>
      <c r="T272">
        <v>-2.4970270270270198</v>
      </c>
      <c r="U272" t="s">
        <v>10</v>
      </c>
      <c r="V272">
        <v>0.382325178291685</v>
      </c>
      <c r="W272" t="s">
        <v>11</v>
      </c>
      <c r="X272" t="s">
        <v>2451</v>
      </c>
      <c r="Y272" t="s">
        <v>2071</v>
      </c>
      <c r="Z272">
        <v>0</v>
      </c>
      <c r="AA272" t="s">
        <v>14</v>
      </c>
      <c r="AB272" t="s">
        <v>15</v>
      </c>
      <c r="AC272" t="s">
        <v>2453</v>
      </c>
      <c r="AD272" t="s">
        <v>2075</v>
      </c>
      <c r="AE272">
        <v>0</v>
      </c>
      <c r="AF272" t="s">
        <v>18</v>
      </c>
    </row>
    <row r="273" spans="1:32" x14ac:dyDescent="0.3">
      <c r="A273" t="s">
        <v>221</v>
      </c>
      <c r="B273" t="s">
        <v>1</v>
      </c>
      <c r="C273">
        <v>0.4</v>
      </c>
      <c r="D273" t="s">
        <v>588</v>
      </c>
      <c r="E273" t="s">
        <v>2323</v>
      </c>
      <c r="F273">
        <v>0.2</v>
      </c>
      <c r="G273" t="s">
        <v>2355</v>
      </c>
      <c r="H273" t="s">
        <v>1997</v>
      </c>
      <c r="I273" t="s">
        <v>4</v>
      </c>
      <c r="J273">
        <v>128</v>
      </c>
      <c r="K273" t="s">
        <v>5</v>
      </c>
      <c r="L273">
        <v>96</v>
      </c>
      <c r="M273" t="s">
        <v>6</v>
      </c>
      <c r="N273">
        <v>44.97</v>
      </c>
      <c r="O273" t="s">
        <v>7</v>
      </c>
      <c r="P273">
        <v>0.35132812499999999</v>
      </c>
      <c r="Q273" t="s">
        <v>8</v>
      </c>
      <c r="R273">
        <v>1.45947916666666</v>
      </c>
      <c r="S273" t="s">
        <v>9</v>
      </c>
      <c r="T273">
        <v>-2.973125</v>
      </c>
      <c r="U273" t="s">
        <v>10</v>
      </c>
      <c r="V273">
        <v>0.43384936821832298</v>
      </c>
      <c r="W273" t="s">
        <v>11</v>
      </c>
      <c r="X273" t="s">
        <v>2451</v>
      </c>
      <c r="Y273" t="s">
        <v>2071</v>
      </c>
      <c r="Z273">
        <v>0</v>
      </c>
      <c r="AA273" t="s">
        <v>14</v>
      </c>
      <c r="AB273" t="s">
        <v>15</v>
      </c>
      <c r="AC273" t="s">
        <v>2104</v>
      </c>
      <c r="AD273" t="s">
        <v>2117</v>
      </c>
      <c r="AE273">
        <v>0</v>
      </c>
      <c r="AF273" t="s">
        <v>18</v>
      </c>
    </row>
    <row r="274" spans="1:32" x14ac:dyDescent="0.3">
      <c r="A274" t="s">
        <v>221</v>
      </c>
      <c r="B274" t="s">
        <v>1</v>
      </c>
      <c r="C274">
        <v>0.4</v>
      </c>
      <c r="D274" t="s">
        <v>588</v>
      </c>
      <c r="E274" t="s">
        <v>2323</v>
      </c>
      <c r="F274">
        <v>0.2</v>
      </c>
      <c r="G274" t="s">
        <v>2361</v>
      </c>
      <c r="H274" t="s">
        <v>1999</v>
      </c>
      <c r="I274" t="s">
        <v>4</v>
      </c>
      <c r="J274">
        <v>127</v>
      </c>
      <c r="K274" t="s">
        <v>5</v>
      </c>
      <c r="L274">
        <v>63</v>
      </c>
      <c r="M274" t="s">
        <v>6</v>
      </c>
      <c r="N274">
        <v>-6.6777627079341597</v>
      </c>
      <c r="O274" t="s">
        <v>7</v>
      </c>
      <c r="P274">
        <v>-5.2580808723891002E-2</v>
      </c>
      <c r="Q274" t="s">
        <v>8</v>
      </c>
      <c r="R274">
        <v>1.4370695357893499</v>
      </c>
      <c r="S274" t="s">
        <v>9</v>
      </c>
      <c r="T274">
        <v>-1.51895536660412</v>
      </c>
      <c r="U274" t="s">
        <v>10</v>
      </c>
      <c r="V274">
        <v>0.294069459760811</v>
      </c>
      <c r="W274" t="s">
        <v>11</v>
      </c>
      <c r="X274" t="s">
        <v>2454</v>
      </c>
      <c r="Y274" t="s">
        <v>2071</v>
      </c>
      <c r="Z274">
        <v>0</v>
      </c>
      <c r="AA274" t="s">
        <v>14</v>
      </c>
      <c r="AB274" t="s">
        <v>15</v>
      </c>
      <c r="AC274" t="s">
        <v>2455</v>
      </c>
      <c r="AD274" t="s">
        <v>2418</v>
      </c>
      <c r="AE274">
        <v>0</v>
      </c>
      <c r="AF274" t="s">
        <v>18</v>
      </c>
    </row>
    <row r="275" spans="1:32" x14ac:dyDescent="0.3">
      <c r="A275" t="s">
        <v>221</v>
      </c>
      <c r="B275" t="s">
        <v>1</v>
      </c>
      <c r="C275">
        <v>0.4</v>
      </c>
      <c r="D275" t="s">
        <v>588</v>
      </c>
      <c r="E275" t="s">
        <v>2323</v>
      </c>
      <c r="F275">
        <v>0.2</v>
      </c>
      <c r="G275" t="s">
        <v>2361</v>
      </c>
      <c r="H275" t="s">
        <v>2002</v>
      </c>
      <c r="I275" t="s">
        <v>4</v>
      </c>
      <c r="J275">
        <v>127</v>
      </c>
      <c r="K275" t="s">
        <v>5</v>
      </c>
      <c r="L275">
        <v>76</v>
      </c>
      <c r="M275" t="s">
        <v>6</v>
      </c>
      <c r="N275">
        <v>-1.92363664399735</v>
      </c>
      <c r="O275" t="s">
        <v>7</v>
      </c>
      <c r="P275">
        <v>-1.5146745228325599E-2</v>
      </c>
      <c r="Q275" t="s">
        <v>8</v>
      </c>
      <c r="R275">
        <v>1.4634918520359099</v>
      </c>
      <c r="S275" t="s">
        <v>9</v>
      </c>
      <c r="T275">
        <v>-2.2186081842887599</v>
      </c>
      <c r="U275" t="s">
        <v>10</v>
      </c>
      <c r="V275">
        <v>0.36097419067909797</v>
      </c>
      <c r="W275" t="s">
        <v>11</v>
      </c>
      <c r="X275" t="s">
        <v>2454</v>
      </c>
      <c r="Y275" t="s">
        <v>2071</v>
      </c>
      <c r="Z275">
        <v>0</v>
      </c>
      <c r="AA275" t="s">
        <v>14</v>
      </c>
      <c r="AB275" t="s">
        <v>15</v>
      </c>
      <c r="AC275" t="s">
        <v>2456</v>
      </c>
      <c r="AD275" t="s">
        <v>2418</v>
      </c>
      <c r="AE275">
        <v>0</v>
      </c>
      <c r="AF275" t="s">
        <v>18</v>
      </c>
    </row>
    <row r="276" spans="1:32" x14ac:dyDescent="0.3">
      <c r="A276" t="s">
        <v>221</v>
      </c>
      <c r="B276" t="s">
        <v>1</v>
      </c>
      <c r="C276">
        <v>0.4</v>
      </c>
      <c r="D276" t="s">
        <v>588</v>
      </c>
      <c r="E276" t="s">
        <v>2323</v>
      </c>
      <c r="F276">
        <v>0.2</v>
      </c>
      <c r="G276" t="s">
        <v>2361</v>
      </c>
      <c r="H276" t="s">
        <v>2004</v>
      </c>
      <c r="I276" t="s">
        <v>4</v>
      </c>
      <c r="J276">
        <v>127</v>
      </c>
      <c r="K276" t="s">
        <v>5</v>
      </c>
      <c r="L276">
        <v>86</v>
      </c>
      <c r="M276" t="s">
        <v>6</v>
      </c>
      <c r="N276">
        <v>15.626363356002599</v>
      </c>
      <c r="O276" t="s">
        <v>7</v>
      </c>
      <c r="P276">
        <v>0.12304223114962699</v>
      </c>
      <c r="Q276" t="s">
        <v>8</v>
      </c>
      <c r="R276">
        <v>1.57076024133406</v>
      </c>
      <c r="S276" t="s">
        <v>9</v>
      </c>
      <c r="T276">
        <v>-2.9136345707006499</v>
      </c>
      <c r="U276" t="s">
        <v>10</v>
      </c>
      <c r="V276">
        <v>0.42352190863036598</v>
      </c>
      <c r="W276" t="s">
        <v>11</v>
      </c>
      <c r="X276" t="s">
        <v>2454</v>
      </c>
      <c r="Y276" t="s">
        <v>2071</v>
      </c>
      <c r="Z276">
        <v>0</v>
      </c>
      <c r="AA276" t="s">
        <v>14</v>
      </c>
      <c r="AB276" t="s">
        <v>15</v>
      </c>
      <c r="AC276" t="s">
        <v>2456</v>
      </c>
      <c r="AD276" t="s">
        <v>2418</v>
      </c>
      <c r="AE276">
        <v>0</v>
      </c>
      <c r="AF276" t="s">
        <v>18</v>
      </c>
    </row>
    <row r="277" spans="1:32" x14ac:dyDescent="0.3">
      <c r="A277" t="s">
        <v>221</v>
      </c>
      <c r="B277" t="s">
        <v>1</v>
      </c>
      <c r="C277">
        <v>0.4</v>
      </c>
      <c r="D277" t="s">
        <v>588</v>
      </c>
      <c r="E277" t="s">
        <v>2323</v>
      </c>
      <c r="F277">
        <v>0.2</v>
      </c>
      <c r="G277" t="s">
        <v>2361</v>
      </c>
      <c r="H277" t="s">
        <v>2005</v>
      </c>
      <c r="I277" t="s">
        <v>4</v>
      </c>
      <c r="J277">
        <v>127</v>
      </c>
      <c r="K277" t="s">
        <v>5</v>
      </c>
      <c r="L277">
        <v>95</v>
      </c>
      <c r="M277" t="s">
        <v>6</v>
      </c>
      <c r="N277">
        <v>37.886363356002597</v>
      </c>
      <c r="O277" t="s">
        <v>7</v>
      </c>
      <c r="P277">
        <v>0.29831782170080801</v>
      </c>
      <c r="Q277" t="s">
        <v>8</v>
      </c>
      <c r="R277">
        <v>1.63510927110241</v>
      </c>
      <c r="S277" t="s">
        <v>9</v>
      </c>
      <c r="T277">
        <v>-3.6702817937102101</v>
      </c>
      <c r="U277" t="s">
        <v>10</v>
      </c>
      <c r="V277">
        <v>0.48794728103559198</v>
      </c>
      <c r="W277" t="s">
        <v>11</v>
      </c>
      <c r="X277" t="s">
        <v>2457</v>
      </c>
      <c r="Y277" t="s">
        <v>2192</v>
      </c>
      <c r="Z277">
        <v>0</v>
      </c>
      <c r="AA277" t="s">
        <v>14</v>
      </c>
      <c r="AB277" t="s">
        <v>15</v>
      </c>
      <c r="AC277" t="s">
        <v>2456</v>
      </c>
      <c r="AD277" t="s">
        <v>2418</v>
      </c>
      <c r="AE277">
        <v>0</v>
      </c>
      <c r="AF277" t="s">
        <v>18</v>
      </c>
    </row>
    <row r="278" spans="1:32" x14ac:dyDescent="0.3">
      <c r="A278" t="s">
        <v>221</v>
      </c>
      <c r="B278" t="s">
        <v>1</v>
      </c>
      <c r="C278">
        <v>0.3</v>
      </c>
      <c r="D278" t="s">
        <v>588</v>
      </c>
      <c r="E278" t="s">
        <v>2323</v>
      </c>
      <c r="F278">
        <v>0.15</v>
      </c>
      <c r="G278" t="s">
        <v>2324</v>
      </c>
      <c r="H278" t="s">
        <v>1979</v>
      </c>
      <c r="I278" t="s">
        <v>4</v>
      </c>
      <c r="J278">
        <v>136</v>
      </c>
      <c r="K278" t="s">
        <v>5</v>
      </c>
      <c r="L278">
        <v>42</v>
      </c>
      <c r="M278" t="s">
        <v>6</v>
      </c>
      <c r="N278">
        <v>-4.7824805619016502</v>
      </c>
      <c r="O278" t="s">
        <v>7</v>
      </c>
      <c r="P278">
        <v>-3.5165298249276798E-2</v>
      </c>
      <c r="Q278" t="s">
        <v>8</v>
      </c>
      <c r="R278">
        <v>1.2819047619047601</v>
      </c>
      <c r="S278" t="s">
        <v>9</v>
      </c>
      <c r="T278">
        <v>-0.62364341023299696</v>
      </c>
      <c r="U278" t="s">
        <v>10</v>
      </c>
      <c r="V278">
        <v>0.218033965519873</v>
      </c>
      <c r="W278" t="s">
        <v>11</v>
      </c>
      <c r="X278" t="s">
        <v>2458</v>
      </c>
      <c r="Y278" t="s">
        <v>2075</v>
      </c>
      <c r="Z278">
        <v>0</v>
      </c>
      <c r="AA278" t="s">
        <v>14</v>
      </c>
      <c r="AB278" t="s">
        <v>15</v>
      </c>
      <c r="AC278" t="s">
        <v>2459</v>
      </c>
      <c r="AD278" t="s">
        <v>2075</v>
      </c>
      <c r="AE278">
        <v>0</v>
      </c>
      <c r="AF278" t="s">
        <v>18</v>
      </c>
    </row>
    <row r="279" spans="1:32" x14ac:dyDescent="0.3">
      <c r="A279" t="s">
        <v>221</v>
      </c>
      <c r="B279" t="s">
        <v>1</v>
      </c>
      <c r="C279">
        <v>0.3</v>
      </c>
      <c r="D279" t="s">
        <v>588</v>
      </c>
      <c r="E279" t="s">
        <v>2323</v>
      </c>
      <c r="F279">
        <v>0.15</v>
      </c>
      <c r="G279" t="s">
        <v>2324</v>
      </c>
      <c r="H279" t="s">
        <v>1982</v>
      </c>
      <c r="I279" t="s">
        <v>4</v>
      </c>
      <c r="J279">
        <v>136</v>
      </c>
      <c r="K279" t="s">
        <v>5</v>
      </c>
      <c r="L279">
        <v>44</v>
      </c>
      <c r="M279" t="s">
        <v>6</v>
      </c>
      <c r="N279">
        <v>-5.4824805619016397</v>
      </c>
      <c r="O279" t="s">
        <v>7</v>
      </c>
      <c r="P279">
        <v>-4.0312357072806199E-2</v>
      </c>
      <c r="Q279" t="s">
        <v>8</v>
      </c>
      <c r="R279">
        <v>1.2827272727272701</v>
      </c>
      <c r="S279" t="s">
        <v>9</v>
      </c>
      <c r="T279">
        <v>-0.67307044089023504</v>
      </c>
      <c r="U279" t="s">
        <v>10</v>
      </c>
      <c r="V279">
        <v>0.23018164829346699</v>
      </c>
      <c r="W279" t="s">
        <v>11</v>
      </c>
      <c r="X279" t="s">
        <v>2458</v>
      </c>
      <c r="Y279" t="s">
        <v>2075</v>
      </c>
      <c r="Z279">
        <v>0</v>
      </c>
      <c r="AA279" t="s">
        <v>14</v>
      </c>
      <c r="AB279" t="s">
        <v>15</v>
      </c>
      <c r="AC279" t="s">
        <v>2459</v>
      </c>
      <c r="AD279" t="s">
        <v>2075</v>
      </c>
      <c r="AE279">
        <v>0</v>
      </c>
      <c r="AF279" t="s">
        <v>18</v>
      </c>
    </row>
    <row r="280" spans="1:32" x14ac:dyDescent="0.3">
      <c r="A280" t="s">
        <v>221</v>
      </c>
      <c r="B280" t="s">
        <v>1</v>
      </c>
      <c r="C280">
        <v>0.3</v>
      </c>
      <c r="D280" t="s">
        <v>588</v>
      </c>
      <c r="E280" t="s">
        <v>2323</v>
      </c>
      <c r="F280">
        <v>0.15</v>
      </c>
      <c r="G280" t="s">
        <v>2324</v>
      </c>
      <c r="H280" t="s">
        <v>1985</v>
      </c>
      <c r="I280" t="s">
        <v>4</v>
      </c>
      <c r="J280">
        <v>136</v>
      </c>
      <c r="K280" t="s">
        <v>5</v>
      </c>
      <c r="L280">
        <v>45</v>
      </c>
      <c r="M280" t="s">
        <v>6</v>
      </c>
      <c r="N280">
        <v>-11.4724805619016</v>
      </c>
      <c r="O280" t="s">
        <v>7</v>
      </c>
      <c r="P280">
        <v>-8.4356474719864696E-2</v>
      </c>
      <c r="Q280" t="s">
        <v>8</v>
      </c>
      <c r="R280">
        <v>1.30911111111111</v>
      </c>
      <c r="S280" t="s">
        <v>9</v>
      </c>
      <c r="T280">
        <v>-0.77343385232858897</v>
      </c>
      <c r="U280" t="s">
        <v>10</v>
      </c>
      <c r="V280">
        <v>0.26194252204706098</v>
      </c>
      <c r="W280" t="s">
        <v>11</v>
      </c>
      <c r="X280" t="s">
        <v>2460</v>
      </c>
      <c r="Y280" t="s">
        <v>1987</v>
      </c>
      <c r="Z280">
        <v>0</v>
      </c>
      <c r="AA280" t="s">
        <v>14</v>
      </c>
      <c r="AB280" t="s">
        <v>15</v>
      </c>
      <c r="AC280" t="s">
        <v>2460</v>
      </c>
      <c r="AD280" t="s">
        <v>1987</v>
      </c>
      <c r="AE280">
        <v>0</v>
      </c>
      <c r="AF280" t="s">
        <v>18</v>
      </c>
    </row>
    <row r="281" spans="1:32" x14ac:dyDescent="0.3">
      <c r="A281" t="s">
        <v>221</v>
      </c>
      <c r="B281" t="s">
        <v>1</v>
      </c>
      <c r="C281">
        <v>0.3</v>
      </c>
      <c r="D281" t="s">
        <v>588</v>
      </c>
      <c r="E281" t="s">
        <v>2323</v>
      </c>
      <c r="F281">
        <v>0.15</v>
      </c>
      <c r="G281" t="s">
        <v>2324</v>
      </c>
      <c r="H281" t="s">
        <v>1988</v>
      </c>
      <c r="I281" t="s">
        <v>4</v>
      </c>
      <c r="J281">
        <v>136</v>
      </c>
      <c r="K281" t="s">
        <v>5</v>
      </c>
      <c r="L281">
        <v>46</v>
      </c>
      <c r="M281" t="s">
        <v>6</v>
      </c>
      <c r="N281">
        <v>-10.5724805619016</v>
      </c>
      <c r="O281" t="s">
        <v>7</v>
      </c>
      <c r="P281">
        <v>-7.7738827661041301E-2</v>
      </c>
      <c r="Q281" t="s">
        <v>8</v>
      </c>
      <c r="R281">
        <v>1.3123913043478199</v>
      </c>
      <c r="S281" t="s">
        <v>9</v>
      </c>
      <c r="T281">
        <v>-0.788249784021129</v>
      </c>
      <c r="U281" t="s">
        <v>10</v>
      </c>
      <c r="V281">
        <v>0.28407731883019799</v>
      </c>
      <c r="W281" t="s">
        <v>11</v>
      </c>
      <c r="X281" t="s">
        <v>2460</v>
      </c>
      <c r="Y281" t="s">
        <v>1987</v>
      </c>
      <c r="Z281">
        <v>0</v>
      </c>
      <c r="AA281" t="s">
        <v>14</v>
      </c>
      <c r="AB281" t="s">
        <v>15</v>
      </c>
      <c r="AC281" t="s">
        <v>2460</v>
      </c>
      <c r="AD281" t="s">
        <v>1987</v>
      </c>
      <c r="AE281">
        <v>0</v>
      </c>
      <c r="AF281" t="s">
        <v>18</v>
      </c>
    </row>
    <row r="282" spans="1:32" x14ac:dyDescent="0.3">
      <c r="A282" t="s">
        <v>221</v>
      </c>
      <c r="B282" t="s">
        <v>1</v>
      </c>
      <c r="C282">
        <v>0.3</v>
      </c>
      <c r="D282" t="s">
        <v>588</v>
      </c>
      <c r="E282" t="s">
        <v>2323</v>
      </c>
      <c r="F282">
        <v>0.15</v>
      </c>
      <c r="G282" t="s">
        <v>2329</v>
      </c>
      <c r="H282" t="s">
        <v>1991</v>
      </c>
      <c r="I282" t="s">
        <v>4</v>
      </c>
      <c r="J282">
        <v>128</v>
      </c>
      <c r="K282" t="s">
        <v>5</v>
      </c>
      <c r="L282">
        <v>34</v>
      </c>
      <c r="M282" t="s">
        <v>6</v>
      </c>
      <c r="N282">
        <v>-10.683851454921401</v>
      </c>
      <c r="O282" t="s">
        <v>7</v>
      </c>
      <c r="P282">
        <v>-8.3467589491573901E-2</v>
      </c>
      <c r="Q282" t="s">
        <v>8</v>
      </c>
      <c r="R282">
        <v>1.6</v>
      </c>
      <c r="S282" t="s">
        <v>9</v>
      </c>
      <c r="T282">
        <v>-0.69238139845661095</v>
      </c>
      <c r="U282" t="s">
        <v>10</v>
      </c>
      <c r="V282">
        <v>0.245067608821675</v>
      </c>
      <c r="W282" t="s">
        <v>11</v>
      </c>
      <c r="X282" t="s">
        <v>2422</v>
      </c>
      <c r="Y282" t="s">
        <v>2192</v>
      </c>
      <c r="Z282">
        <v>0</v>
      </c>
      <c r="AA282" t="s">
        <v>14</v>
      </c>
      <c r="AB282" t="s">
        <v>15</v>
      </c>
      <c r="AC282" t="s">
        <v>2422</v>
      </c>
      <c r="AD282" t="s">
        <v>2192</v>
      </c>
      <c r="AE282">
        <v>0</v>
      </c>
      <c r="AF282" t="s">
        <v>18</v>
      </c>
    </row>
    <row r="283" spans="1:32" x14ac:dyDescent="0.3">
      <c r="A283" t="s">
        <v>221</v>
      </c>
      <c r="B283" t="s">
        <v>1</v>
      </c>
      <c r="C283">
        <v>0.3</v>
      </c>
      <c r="D283" t="s">
        <v>588</v>
      </c>
      <c r="E283" t="s">
        <v>2323</v>
      </c>
      <c r="F283">
        <v>0.15</v>
      </c>
      <c r="G283" t="s">
        <v>2329</v>
      </c>
      <c r="H283" t="s">
        <v>1994</v>
      </c>
      <c r="I283" t="s">
        <v>4</v>
      </c>
      <c r="J283">
        <v>128</v>
      </c>
      <c r="K283" t="s">
        <v>5</v>
      </c>
      <c r="L283">
        <v>37</v>
      </c>
      <c r="M283" t="s">
        <v>6</v>
      </c>
      <c r="N283">
        <v>-8.9138514549214598</v>
      </c>
      <c r="O283" t="s">
        <v>7</v>
      </c>
      <c r="P283">
        <v>-6.9639464491573905E-2</v>
      </c>
      <c r="Q283" t="s">
        <v>8</v>
      </c>
      <c r="R283">
        <v>1.5872972972972901</v>
      </c>
      <c r="S283" t="s">
        <v>9</v>
      </c>
      <c r="T283">
        <v>-0.74333902697715903</v>
      </c>
      <c r="U283" t="s">
        <v>10</v>
      </c>
      <c r="V283">
        <v>0.26596354609447698</v>
      </c>
      <c r="W283" t="s">
        <v>11</v>
      </c>
      <c r="X283" t="s">
        <v>2422</v>
      </c>
      <c r="Y283" t="s">
        <v>2192</v>
      </c>
      <c r="Z283">
        <v>0</v>
      </c>
      <c r="AA283" t="s">
        <v>14</v>
      </c>
      <c r="AB283" t="s">
        <v>15</v>
      </c>
      <c r="AC283" t="s">
        <v>2422</v>
      </c>
      <c r="AD283" t="s">
        <v>2192</v>
      </c>
      <c r="AE283">
        <v>0</v>
      </c>
      <c r="AF283" t="s">
        <v>18</v>
      </c>
    </row>
    <row r="284" spans="1:32" x14ac:dyDescent="0.3">
      <c r="A284" t="s">
        <v>221</v>
      </c>
      <c r="B284" t="s">
        <v>1</v>
      </c>
      <c r="C284">
        <v>0.3</v>
      </c>
      <c r="D284" t="s">
        <v>588</v>
      </c>
      <c r="E284" t="s">
        <v>2323</v>
      </c>
      <c r="F284">
        <v>0.15</v>
      </c>
      <c r="G284" t="s">
        <v>2329</v>
      </c>
      <c r="H284" t="s">
        <v>1996</v>
      </c>
      <c r="I284" t="s">
        <v>4</v>
      </c>
      <c r="J284">
        <v>128</v>
      </c>
      <c r="K284" t="s">
        <v>5</v>
      </c>
      <c r="L284">
        <v>38</v>
      </c>
      <c r="M284" t="s">
        <v>6</v>
      </c>
      <c r="N284">
        <v>-14.7338514549214</v>
      </c>
      <c r="O284" t="s">
        <v>7</v>
      </c>
      <c r="P284">
        <v>-0.115108214491573</v>
      </c>
      <c r="Q284" t="s">
        <v>8</v>
      </c>
      <c r="R284">
        <v>1.61052631578947</v>
      </c>
      <c r="S284" t="s">
        <v>9</v>
      </c>
      <c r="T284">
        <v>-0.84370946061023799</v>
      </c>
      <c r="U284" t="s">
        <v>10</v>
      </c>
      <c r="V284">
        <v>0.29011393507612299</v>
      </c>
      <c r="W284" t="s">
        <v>11</v>
      </c>
      <c r="X284" t="s">
        <v>2460</v>
      </c>
      <c r="Y284" t="s">
        <v>1987</v>
      </c>
      <c r="Z284">
        <v>0</v>
      </c>
      <c r="AA284" t="s">
        <v>14</v>
      </c>
      <c r="AB284" t="s">
        <v>15</v>
      </c>
      <c r="AC284" t="s">
        <v>2460</v>
      </c>
      <c r="AD284" t="s">
        <v>1987</v>
      </c>
      <c r="AE284">
        <v>0</v>
      </c>
      <c r="AF284" t="s">
        <v>18</v>
      </c>
    </row>
    <row r="285" spans="1:32" x14ac:dyDescent="0.3">
      <c r="A285" t="s">
        <v>221</v>
      </c>
      <c r="B285" t="s">
        <v>1</v>
      </c>
      <c r="C285">
        <v>0.3</v>
      </c>
      <c r="D285" t="s">
        <v>588</v>
      </c>
      <c r="E285" t="s">
        <v>2323</v>
      </c>
      <c r="F285">
        <v>0.15</v>
      </c>
      <c r="G285" t="s">
        <v>2329</v>
      </c>
      <c r="H285" t="s">
        <v>1997</v>
      </c>
      <c r="I285" t="s">
        <v>4</v>
      </c>
      <c r="J285">
        <v>128</v>
      </c>
      <c r="K285" t="s">
        <v>5</v>
      </c>
      <c r="L285">
        <v>38</v>
      </c>
      <c r="M285" t="s">
        <v>6</v>
      </c>
      <c r="N285">
        <v>-15.503851454921399</v>
      </c>
      <c r="O285" t="s">
        <v>7</v>
      </c>
      <c r="P285">
        <v>-0.121123839491573</v>
      </c>
      <c r="Q285" t="s">
        <v>8</v>
      </c>
      <c r="R285">
        <v>1.61052631578947</v>
      </c>
      <c r="S285" t="s">
        <v>9</v>
      </c>
      <c r="T285">
        <v>-0.85226501616579398</v>
      </c>
      <c r="U285" t="s">
        <v>10</v>
      </c>
      <c r="V285">
        <v>0.30718737470754598</v>
      </c>
      <c r="W285" t="s">
        <v>11</v>
      </c>
      <c r="X285" t="s">
        <v>2460</v>
      </c>
      <c r="Y285" t="s">
        <v>1987</v>
      </c>
      <c r="Z285">
        <v>0</v>
      </c>
      <c r="AA285" t="s">
        <v>14</v>
      </c>
      <c r="AB285" t="s">
        <v>15</v>
      </c>
      <c r="AC285" t="s">
        <v>2460</v>
      </c>
      <c r="AD285" t="s">
        <v>1987</v>
      </c>
      <c r="AE285">
        <v>0</v>
      </c>
      <c r="AF285" t="s">
        <v>18</v>
      </c>
    </row>
    <row r="286" spans="1:32" x14ac:dyDescent="0.3">
      <c r="A286" t="s">
        <v>221</v>
      </c>
      <c r="B286" t="s">
        <v>1</v>
      </c>
      <c r="C286">
        <v>0.3</v>
      </c>
      <c r="D286" t="s">
        <v>588</v>
      </c>
      <c r="E286" t="s">
        <v>2323</v>
      </c>
      <c r="F286">
        <v>0.15</v>
      </c>
      <c r="G286" t="s">
        <v>2332</v>
      </c>
      <c r="H286" t="s">
        <v>1999</v>
      </c>
      <c r="I286" t="s">
        <v>4</v>
      </c>
      <c r="J286">
        <v>127</v>
      </c>
      <c r="K286" t="s">
        <v>5</v>
      </c>
      <c r="L286">
        <v>37</v>
      </c>
      <c r="M286" t="s">
        <v>6</v>
      </c>
      <c r="N286">
        <v>-4.8430466464524001E-2</v>
      </c>
      <c r="O286" t="s">
        <v>7</v>
      </c>
      <c r="P286">
        <v>-3.8134225562617302E-4</v>
      </c>
      <c r="Q286" t="s">
        <v>8</v>
      </c>
      <c r="R286">
        <v>1.71581304798534</v>
      </c>
      <c r="S286" t="s">
        <v>9</v>
      </c>
      <c r="T286">
        <v>-0.70592792491024603</v>
      </c>
      <c r="U286" t="s">
        <v>10</v>
      </c>
      <c r="V286">
        <v>0.23275208207492001</v>
      </c>
      <c r="W286" t="s">
        <v>11</v>
      </c>
      <c r="X286" t="s">
        <v>2461</v>
      </c>
      <c r="Y286" t="s">
        <v>2192</v>
      </c>
      <c r="Z286">
        <v>0</v>
      </c>
      <c r="AA286" t="s">
        <v>14</v>
      </c>
      <c r="AB286" t="s">
        <v>15</v>
      </c>
      <c r="AC286" t="s">
        <v>2461</v>
      </c>
      <c r="AD286" t="s">
        <v>2192</v>
      </c>
      <c r="AE286">
        <v>0</v>
      </c>
      <c r="AF286" t="s">
        <v>18</v>
      </c>
    </row>
    <row r="287" spans="1:32" x14ac:dyDescent="0.3">
      <c r="A287" t="s">
        <v>221</v>
      </c>
      <c r="B287" t="s">
        <v>1</v>
      </c>
      <c r="C287">
        <v>0.3</v>
      </c>
      <c r="D287" t="s">
        <v>588</v>
      </c>
      <c r="E287" t="s">
        <v>2323</v>
      </c>
      <c r="F287">
        <v>0.15</v>
      </c>
      <c r="G287" t="s">
        <v>2332</v>
      </c>
      <c r="H287" t="s">
        <v>2002</v>
      </c>
      <c r="I287" t="s">
        <v>4</v>
      </c>
      <c r="J287">
        <v>127</v>
      </c>
      <c r="K287" t="s">
        <v>5</v>
      </c>
      <c r="L287">
        <v>41</v>
      </c>
      <c r="M287" t="s">
        <v>6</v>
      </c>
      <c r="N287">
        <v>7.8433614909425797</v>
      </c>
      <c r="O287" t="s">
        <v>7</v>
      </c>
      <c r="P287">
        <v>6.1758751897185701E-2</v>
      </c>
      <c r="Q287" t="s">
        <v>8</v>
      </c>
      <c r="R287">
        <v>1.80695323842579</v>
      </c>
      <c r="S287" t="s">
        <v>9</v>
      </c>
      <c r="T287">
        <v>-0.77025257307575601</v>
      </c>
      <c r="U287" t="s">
        <v>10</v>
      </c>
      <c r="V287">
        <v>0.25347172614835201</v>
      </c>
      <c r="W287" t="s">
        <v>11</v>
      </c>
      <c r="X287" t="s">
        <v>2461</v>
      </c>
      <c r="Y287" t="s">
        <v>2192</v>
      </c>
      <c r="Z287">
        <v>0</v>
      </c>
      <c r="AA287" t="s">
        <v>14</v>
      </c>
      <c r="AB287" t="s">
        <v>15</v>
      </c>
      <c r="AC287" t="s">
        <v>2461</v>
      </c>
      <c r="AD287" t="s">
        <v>2192</v>
      </c>
      <c r="AE287">
        <v>0</v>
      </c>
      <c r="AF287" t="s">
        <v>18</v>
      </c>
    </row>
    <row r="288" spans="1:32" x14ac:dyDescent="0.3">
      <c r="A288" t="s">
        <v>221</v>
      </c>
      <c r="B288" t="s">
        <v>1</v>
      </c>
      <c r="C288">
        <v>0.3</v>
      </c>
      <c r="D288" t="s">
        <v>588</v>
      </c>
      <c r="E288" t="s">
        <v>2323</v>
      </c>
      <c r="F288">
        <v>0.15</v>
      </c>
      <c r="G288" t="s">
        <v>2332</v>
      </c>
      <c r="H288" t="s">
        <v>2004</v>
      </c>
      <c r="I288" t="s">
        <v>4</v>
      </c>
      <c r="J288">
        <v>127</v>
      </c>
      <c r="K288" t="s">
        <v>5</v>
      </c>
      <c r="L288">
        <v>41</v>
      </c>
      <c r="M288" t="s">
        <v>6</v>
      </c>
      <c r="N288">
        <v>0.99336149094260995</v>
      </c>
      <c r="O288" t="s">
        <v>7</v>
      </c>
      <c r="P288">
        <v>7.8217440231701605E-3</v>
      </c>
      <c r="Q288" t="s">
        <v>8</v>
      </c>
      <c r="R288">
        <v>1.80695323842579</v>
      </c>
      <c r="S288" t="s">
        <v>9</v>
      </c>
      <c r="T288">
        <v>-0.84990373586645296</v>
      </c>
      <c r="U288" t="s">
        <v>10</v>
      </c>
      <c r="V288">
        <v>0.275617215059349</v>
      </c>
      <c r="W288" t="s">
        <v>11</v>
      </c>
      <c r="X288" t="s">
        <v>2462</v>
      </c>
      <c r="Y288" t="s">
        <v>1987</v>
      </c>
      <c r="Z288">
        <v>0</v>
      </c>
      <c r="AA288" t="s">
        <v>14</v>
      </c>
      <c r="AB288" t="s">
        <v>15</v>
      </c>
      <c r="AC288" t="s">
        <v>2463</v>
      </c>
      <c r="AD288" t="s">
        <v>2406</v>
      </c>
      <c r="AE288">
        <v>0</v>
      </c>
      <c r="AF288" t="s">
        <v>18</v>
      </c>
    </row>
    <row r="289" spans="1:32" x14ac:dyDescent="0.3">
      <c r="A289" t="s">
        <v>221</v>
      </c>
      <c r="B289" t="s">
        <v>1</v>
      </c>
      <c r="C289">
        <v>0.3</v>
      </c>
      <c r="D289" t="s">
        <v>588</v>
      </c>
      <c r="E289" t="s">
        <v>2323</v>
      </c>
      <c r="F289">
        <v>0.15</v>
      </c>
      <c r="G289" t="s">
        <v>2332</v>
      </c>
      <c r="H289" t="s">
        <v>2005</v>
      </c>
      <c r="I289" t="s">
        <v>4</v>
      </c>
      <c r="J289">
        <v>127</v>
      </c>
      <c r="K289" t="s">
        <v>5</v>
      </c>
      <c r="L289">
        <v>42</v>
      </c>
      <c r="M289" t="s">
        <v>6</v>
      </c>
      <c r="N289">
        <v>1.5033614909426101</v>
      </c>
      <c r="O289" t="s">
        <v>7</v>
      </c>
      <c r="P289">
        <v>1.18374920546662E-2</v>
      </c>
      <c r="Q289" t="s">
        <v>8</v>
      </c>
      <c r="R289">
        <v>1.7815495898918401</v>
      </c>
      <c r="S289" t="s">
        <v>9</v>
      </c>
      <c r="T289">
        <v>-0.86260848570017601</v>
      </c>
      <c r="U289" t="s">
        <v>10</v>
      </c>
      <c r="V289">
        <v>0.28402777909047999</v>
      </c>
      <c r="W289" t="s">
        <v>11</v>
      </c>
      <c r="X289" t="s">
        <v>2462</v>
      </c>
      <c r="Y289" t="s">
        <v>1987</v>
      </c>
      <c r="Z289">
        <v>0</v>
      </c>
      <c r="AA289" t="s">
        <v>14</v>
      </c>
      <c r="AB289" t="s">
        <v>15</v>
      </c>
      <c r="AC289" t="s">
        <v>2463</v>
      </c>
      <c r="AD289" t="s">
        <v>2406</v>
      </c>
      <c r="AE289">
        <v>0</v>
      </c>
      <c r="AF289" t="s">
        <v>18</v>
      </c>
    </row>
    <row r="290" spans="1:32" x14ac:dyDescent="0.3">
      <c r="A290" t="s">
        <v>221</v>
      </c>
      <c r="B290" t="s">
        <v>1</v>
      </c>
      <c r="C290">
        <v>0.3</v>
      </c>
      <c r="D290" t="s">
        <v>588</v>
      </c>
      <c r="E290" t="s">
        <v>2323</v>
      </c>
      <c r="F290">
        <v>0.15</v>
      </c>
      <c r="G290" t="s">
        <v>2347</v>
      </c>
      <c r="H290" t="s">
        <v>1979</v>
      </c>
      <c r="I290" t="s">
        <v>4</v>
      </c>
      <c r="J290">
        <v>136</v>
      </c>
      <c r="K290" t="s">
        <v>5</v>
      </c>
      <c r="L290">
        <v>87</v>
      </c>
      <c r="M290" t="s">
        <v>6</v>
      </c>
      <c r="N290">
        <v>-4.1587208428524498</v>
      </c>
      <c r="O290" t="s">
        <v>7</v>
      </c>
      <c r="P290">
        <v>-3.0578829726856299E-2</v>
      </c>
      <c r="Q290" t="s">
        <v>8</v>
      </c>
      <c r="R290">
        <v>0.79553194433502805</v>
      </c>
      <c r="S290" t="s">
        <v>9</v>
      </c>
      <c r="T290">
        <v>-1.4973469387755001</v>
      </c>
      <c r="U290" t="s">
        <v>10</v>
      </c>
      <c r="V290">
        <v>0.28949936919430003</v>
      </c>
      <c r="W290" t="s">
        <v>11</v>
      </c>
      <c r="X290" t="s">
        <v>2464</v>
      </c>
      <c r="Y290" t="s">
        <v>2071</v>
      </c>
      <c r="Z290">
        <v>0</v>
      </c>
      <c r="AA290" t="s">
        <v>14</v>
      </c>
      <c r="AB290" t="s">
        <v>15</v>
      </c>
      <c r="AC290" t="s">
        <v>2465</v>
      </c>
      <c r="AD290" t="s">
        <v>2075</v>
      </c>
      <c r="AE290">
        <v>0</v>
      </c>
      <c r="AF290" t="s">
        <v>18</v>
      </c>
    </row>
    <row r="291" spans="1:32" x14ac:dyDescent="0.3">
      <c r="A291" t="s">
        <v>221</v>
      </c>
      <c r="B291" t="s">
        <v>1</v>
      </c>
      <c r="C291">
        <v>0.3</v>
      </c>
      <c r="D291" t="s">
        <v>588</v>
      </c>
      <c r="E291" t="s">
        <v>2323</v>
      </c>
      <c r="F291">
        <v>0.15</v>
      </c>
      <c r="G291" t="s">
        <v>2347</v>
      </c>
      <c r="H291" t="s">
        <v>1982</v>
      </c>
      <c r="I291" t="s">
        <v>4</v>
      </c>
      <c r="J291">
        <v>136</v>
      </c>
      <c r="K291" t="s">
        <v>5</v>
      </c>
      <c r="L291">
        <v>99</v>
      </c>
      <c r="M291" t="s">
        <v>6</v>
      </c>
      <c r="N291">
        <v>3.9012791571474899</v>
      </c>
      <c r="O291" t="s">
        <v>7</v>
      </c>
      <c r="P291">
        <v>2.8685876155496299E-2</v>
      </c>
      <c r="Q291" t="s">
        <v>8</v>
      </c>
      <c r="R291">
        <v>0.80839675916310505</v>
      </c>
      <c r="S291" t="s">
        <v>9</v>
      </c>
      <c r="T291">
        <v>-2.0575675675675602</v>
      </c>
      <c r="U291" t="s">
        <v>10</v>
      </c>
      <c r="V291">
        <v>0.32676037853436501</v>
      </c>
      <c r="W291" t="s">
        <v>11</v>
      </c>
      <c r="X291" t="s">
        <v>2464</v>
      </c>
      <c r="Y291" t="s">
        <v>2071</v>
      </c>
      <c r="Z291">
        <v>0</v>
      </c>
      <c r="AA291" t="s">
        <v>14</v>
      </c>
      <c r="AB291" t="s">
        <v>15</v>
      </c>
      <c r="AC291" t="s">
        <v>2465</v>
      </c>
      <c r="AD291" t="s">
        <v>2075</v>
      </c>
      <c r="AE291">
        <v>0</v>
      </c>
      <c r="AF291" t="s">
        <v>18</v>
      </c>
    </row>
    <row r="292" spans="1:32" x14ac:dyDescent="0.3">
      <c r="A292" t="s">
        <v>221</v>
      </c>
      <c r="B292" t="s">
        <v>1</v>
      </c>
      <c r="C292">
        <v>0.3</v>
      </c>
      <c r="D292" t="s">
        <v>588</v>
      </c>
      <c r="E292" t="s">
        <v>2323</v>
      </c>
      <c r="F292">
        <v>0.15</v>
      </c>
      <c r="G292" t="s">
        <v>2347</v>
      </c>
      <c r="H292" t="s">
        <v>1985</v>
      </c>
      <c r="I292" t="s">
        <v>4</v>
      </c>
      <c r="J292">
        <v>136</v>
      </c>
      <c r="K292" t="s">
        <v>5</v>
      </c>
      <c r="L292">
        <v>103</v>
      </c>
      <c r="M292" t="s">
        <v>6</v>
      </c>
      <c r="N292">
        <v>10.091279157147399</v>
      </c>
      <c r="O292" t="s">
        <v>7</v>
      </c>
      <c r="P292">
        <v>7.42005820378491E-2</v>
      </c>
      <c r="Q292" t="s">
        <v>8</v>
      </c>
      <c r="R292">
        <v>0.81496387531211101</v>
      </c>
      <c r="S292" t="s">
        <v>9</v>
      </c>
      <c r="T292">
        <v>-2.2378787878787798</v>
      </c>
      <c r="U292" t="s">
        <v>10</v>
      </c>
      <c r="V292">
        <v>0.34173941644660399</v>
      </c>
      <c r="W292" t="s">
        <v>11</v>
      </c>
      <c r="X292" t="s">
        <v>2464</v>
      </c>
      <c r="Y292" t="s">
        <v>2071</v>
      </c>
      <c r="Z292">
        <v>0</v>
      </c>
      <c r="AA292" t="s">
        <v>14</v>
      </c>
      <c r="AB292" t="s">
        <v>15</v>
      </c>
      <c r="AC292" t="s">
        <v>2465</v>
      </c>
      <c r="AD292" t="s">
        <v>2075</v>
      </c>
      <c r="AE292">
        <v>0</v>
      </c>
      <c r="AF292" t="s">
        <v>18</v>
      </c>
    </row>
    <row r="293" spans="1:32" x14ac:dyDescent="0.3">
      <c r="A293" t="s">
        <v>221</v>
      </c>
      <c r="B293" t="s">
        <v>1</v>
      </c>
      <c r="C293">
        <v>0.3</v>
      </c>
      <c r="D293" t="s">
        <v>588</v>
      </c>
      <c r="E293" t="s">
        <v>2323</v>
      </c>
      <c r="F293">
        <v>0.15</v>
      </c>
      <c r="G293" t="s">
        <v>2347</v>
      </c>
      <c r="H293" t="s">
        <v>1988</v>
      </c>
      <c r="I293" t="s">
        <v>4</v>
      </c>
      <c r="J293">
        <v>136</v>
      </c>
      <c r="K293" t="s">
        <v>5</v>
      </c>
      <c r="L293">
        <v>105</v>
      </c>
      <c r="M293" t="s">
        <v>6</v>
      </c>
      <c r="N293">
        <v>0.82127915714748501</v>
      </c>
      <c r="O293" t="s">
        <v>7</v>
      </c>
      <c r="P293">
        <v>6.0388173319667997E-3</v>
      </c>
      <c r="Q293" t="s">
        <v>8</v>
      </c>
      <c r="R293">
        <v>0.86191694435378496</v>
      </c>
      <c r="S293" t="s">
        <v>9</v>
      </c>
      <c r="T293">
        <v>-2.89290322580645</v>
      </c>
      <c r="U293" t="s">
        <v>10</v>
      </c>
      <c r="V293">
        <v>0.400031873120753</v>
      </c>
      <c r="W293" t="s">
        <v>11</v>
      </c>
      <c r="X293" t="s">
        <v>2466</v>
      </c>
      <c r="Y293" t="s">
        <v>2086</v>
      </c>
      <c r="Z293">
        <v>0</v>
      </c>
      <c r="AA293" t="s">
        <v>14</v>
      </c>
      <c r="AB293" t="s">
        <v>15</v>
      </c>
      <c r="AC293" t="s">
        <v>2465</v>
      </c>
      <c r="AD293" t="s">
        <v>2075</v>
      </c>
      <c r="AE293">
        <v>0</v>
      </c>
      <c r="AF293" t="s">
        <v>18</v>
      </c>
    </row>
    <row r="294" spans="1:32" x14ac:dyDescent="0.3">
      <c r="A294" t="s">
        <v>221</v>
      </c>
      <c r="B294" t="s">
        <v>1</v>
      </c>
      <c r="C294">
        <v>0.3</v>
      </c>
      <c r="D294" t="s">
        <v>588</v>
      </c>
      <c r="E294" t="s">
        <v>2323</v>
      </c>
      <c r="F294">
        <v>0.15</v>
      </c>
      <c r="G294" t="s">
        <v>2355</v>
      </c>
      <c r="H294" t="s">
        <v>1991</v>
      </c>
      <c r="I294" t="s">
        <v>4</v>
      </c>
      <c r="J294">
        <v>128</v>
      </c>
      <c r="K294" t="s">
        <v>5</v>
      </c>
      <c r="L294">
        <v>80</v>
      </c>
      <c r="M294" t="s">
        <v>6</v>
      </c>
      <c r="N294">
        <v>3.83422281761777</v>
      </c>
      <c r="O294" t="s">
        <v>7</v>
      </c>
      <c r="P294">
        <v>2.99548657626388E-2</v>
      </c>
      <c r="Q294" t="s">
        <v>8</v>
      </c>
      <c r="R294">
        <v>0.92430278522022102</v>
      </c>
      <c r="S294" t="s">
        <v>9</v>
      </c>
      <c r="T294">
        <v>-1.4606249999999901</v>
      </c>
      <c r="U294" t="s">
        <v>10</v>
      </c>
      <c r="V294">
        <v>0.258288464038054</v>
      </c>
      <c r="W294" t="s">
        <v>11</v>
      </c>
      <c r="X294" t="s">
        <v>2464</v>
      </c>
      <c r="Y294" t="s">
        <v>2071</v>
      </c>
      <c r="Z294">
        <v>0</v>
      </c>
      <c r="AA294" t="s">
        <v>14</v>
      </c>
      <c r="AB294" t="s">
        <v>15</v>
      </c>
      <c r="AC294" t="s">
        <v>2467</v>
      </c>
      <c r="AD294" t="s">
        <v>2075</v>
      </c>
      <c r="AE294">
        <v>0</v>
      </c>
      <c r="AF294" t="s">
        <v>18</v>
      </c>
    </row>
    <row r="295" spans="1:32" x14ac:dyDescent="0.3">
      <c r="A295" t="s">
        <v>221</v>
      </c>
      <c r="B295" t="s">
        <v>1</v>
      </c>
      <c r="C295">
        <v>0.3</v>
      </c>
      <c r="D295" t="s">
        <v>588</v>
      </c>
      <c r="E295" t="s">
        <v>2323</v>
      </c>
      <c r="F295">
        <v>0.15</v>
      </c>
      <c r="G295" t="s">
        <v>2355</v>
      </c>
      <c r="H295" t="s">
        <v>1994</v>
      </c>
      <c r="I295" t="s">
        <v>4</v>
      </c>
      <c r="J295">
        <v>128</v>
      </c>
      <c r="K295" t="s">
        <v>5</v>
      </c>
      <c r="L295">
        <v>92</v>
      </c>
      <c r="M295" t="s">
        <v>6</v>
      </c>
      <c r="N295">
        <v>-13.8357771823822</v>
      </c>
      <c r="O295" t="s">
        <v>7</v>
      </c>
      <c r="P295">
        <v>-0.10809200923736</v>
      </c>
      <c r="Q295" t="s">
        <v>8</v>
      </c>
      <c r="R295">
        <v>0.91471981323497498</v>
      </c>
      <c r="S295" t="s">
        <v>9</v>
      </c>
      <c r="T295">
        <v>-2.7219444444444401</v>
      </c>
      <c r="U295" t="s">
        <v>10</v>
      </c>
      <c r="V295">
        <v>0.37413266566575498</v>
      </c>
      <c r="W295" t="s">
        <v>11</v>
      </c>
      <c r="X295" t="s">
        <v>2425</v>
      </c>
      <c r="Y295" t="s">
        <v>2192</v>
      </c>
      <c r="Z295">
        <v>0</v>
      </c>
      <c r="AA295" t="s">
        <v>14</v>
      </c>
      <c r="AB295" t="s">
        <v>15</v>
      </c>
      <c r="AC295" t="s">
        <v>2425</v>
      </c>
      <c r="AD295" t="s">
        <v>2192</v>
      </c>
      <c r="AE295">
        <v>0</v>
      </c>
      <c r="AF295" t="s">
        <v>18</v>
      </c>
    </row>
    <row r="296" spans="1:32" x14ac:dyDescent="0.3">
      <c r="A296" t="s">
        <v>221</v>
      </c>
      <c r="B296" t="s">
        <v>1</v>
      </c>
      <c r="C296">
        <v>0.3</v>
      </c>
      <c r="D296" t="s">
        <v>588</v>
      </c>
      <c r="E296" t="s">
        <v>2323</v>
      </c>
      <c r="F296">
        <v>0.15</v>
      </c>
      <c r="G296" t="s">
        <v>2355</v>
      </c>
      <c r="H296" t="s">
        <v>1996</v>
      </c>
      <c r="I296" t="s">
        <v>4</v>
      </c>
      <c r="J296">
        <v>128</v>
      </c>
      <c r="K296" t="s">
        <v>5</v>
      </c>
      <c r="L296">
        <v>97</v>
      </c>
      <c r="M296" t="s">
        <v>6</v>
      </c>
      <c r="N296">
        <v>-4.9757771823822203</v>
      </c>
      <c r="O296" t="s">
        <v>7</v>
      </c>
      <c r="P296">
        <v>-3.8873259237361103E-2</v>
      </c>
      <c r="Q296" t="s">
        <v>8</v>
      </c>
      <c r="R296">
        <v>0.94695075069709</v>
      </c>
      <c r="S296" t="s">
        <v>9</v>
      </c>
      <c r="T296">
        <v>-3.1235483870967702</v>
      </c>
      <c r="U296" t="s">
        <v>10</v>
      </c>
      <c r="V296">
        <v>0.39097673560159002</v>
      </c>
      <c r="W296" t="s">
        <v>11</v>
      </c>
      <c r="X296" t="s">
        <v>2425</v>
      </c>
      <c r="Y296" t="s">
        <v>2192</v>
      </c>
      <c r="Z296">
        <v>0</v>
      </c>
      <c r="AA296" t="s">
        <v>14</v>
      </c>
      <c r="AB296" t="s">
        <v>15</v>
      </c>
      <c r="AC296" t="s">
        <v>2425</v>
      </c>
      <c r="AD296" t="s">
        <v>2192</v>
      </c>
      <c r="AE296">
        <v>0</v>
      </c>
      <c r="AF296" t="s">
        <v>18</v>
      </c>
    </row>
    <row r="297" spans="1:32" x14ac:dyDescent="0.3">
      <c r="A297" t="s">
        <v>221</v>
      </c>
      <c r="B297" t="s">
        <v>1</v>
      </c>
      <c r="C297">
        <v>0.3</v>
      </c>
      <c r="D297" t="s">
        <v>588</v>
      </c>
      <c r="E297" t="s">
        <v>2323</v>
      </c>
      <c r="F297">
        <v>0.15</v>
      </c>
      <c r="G297" t="s">
        <v>2355</v>
      </c>
      <c r="H297" t="s">
        <v>1997</v>
      </c>
      <c r="I297" t="s">
        <v>4</v>
      </c>
      <c r="J297">
        <v>128</v>
      </c>
      <c r="K297" t="s">
        <v>5</v>
      </c>
      <c r="L297">
        <v>102</v>
      </c>
      <c r="M297" t="s">
        <v>6</v>
      </c>
      <c r="N297">
        <v>5.6942228176177698</v>
      </c>
      <c r="O297" t="s">
        <v>7</v>
      </c>
      <c r="P297">
        <v>4.4486115762638799E-2</v>
      </c>
      <c r="Q297" t="s">
        <v>8</v>
      </c>
      <c r="R297">
        <v>1.01298257664331</v>
      </c>
      <c r="S297" t="s">
        <v>9</v>
      </c>
      <c r="T297">
        <v>-3.7549999999999901</v>
      </c>
      <c r="U297" t="s">
        <v>10</v>
      </c>
      <c r="V297">
        <v>0.44289536261626</v>
      </c>
      <c r="W297" t="s">
        <v>11</v>
      </c>
      <c r="X297" t="s">
        <v>2425</v>
      </c>
      <c r="Y297" t="s">
        <v>2192</v>
      </c>
      <c r="Z297">
        <v>0</v>
      </c>
      <c r="AA297" t="s">
        <v>14</v>
      </c>
      <c r="AB297" t="s">
        <v>15</v>
      </c>
      <c r="AC297" t="s">
        <v>2425</v>
      </c>
      <c r="AD297" t="s">
        <v>2192</v>
      </c>
      <c r="AE297">
        <v>0</v>
      </c>
      <c r="AF297" t="s">
        <v>18</v>
      </c>
    </row>
    <row r="298" spans="1:32" x14ac:dyDescent="0.3">
      <c r="A298" t="s">
        <v>221</v>
      </c>
      <c r="B298" t="s">
        <v>1</v>
      </c>
      <c r="C298">
        <v>0.3</v>
      </c>
      <c r="D298" t="s">
        <v>588</v>
      </c>
      <c r="E298" t="s">
        <v>2323</v>
      </c>
      <c r="F298">
        <v>0.15</v>
      </c>
      <c r="G298" t="s">
        <v>2361</v>
      </c>
      <c r="H298" t="s">
        <v>1999</v>
      </c>
      <c r="I298" t="s">
        <v>4</v>
      </c>
      <c r="J298">
        <v>127</v>
      </c>
      <c r="K298" t="s">
        <v>5</v>
      </c>
      <c r="L298">
        <v>77</v>
      </c>
      <c r="M298" t="s">
        <v>6</v>
      </c>
      <c r="N298">
        <v>14.2931816488364</v>
      </c>
      <c r="O298" t="s">
        <v>7</v>
      </c>
      <c r="P298">
        <v>0.112544737392413</v>
      </c>
      <c r="Q298" t="s">
        <v>8</v>
      </c>
      <c r="R298">
        <v>1.1106176277150701</v>
      </c>
      <c r="S298" t="s">
        <v>9</v>
      </c>
      <c r="T298">
        <v>-1.4244875137044799</v>
      </c>
      <c r="U298" t="s">
        <v>10</v>
      </c>
      <c r="V298">
        <v>0.25268567666685998</v>
      </c>
      <c r="W298" t="s">
        <v>11</v>
      </c>
      <c r="X298" t="s">
        <v>2468</v>
      </c>
      <c r="Y298" t="s">
        <v>2075</v>
      </c>
      <c r="Z298">
        <v>0</v>
      </c>
      <c r="AA298" t="s">
        <v>14</v>
      </c>
      <c r="AB298" t="s">
        <v>15</v>
      </c>
      <c r="AC298" t="s">
        <v>2469</v>
      </c>
      <c r="AD298" t="s">
        <v>2418</v>
      </c>
      <c r="AE298">
        <v>0</v>
      </c>
      <c r="AF298" t="s">
        <v>18</v>
      </c>
    </row>
    <row r="299" spans="1:32" x14ac:dyDescent="0.3">
      <c r="A299" t="s">
        <v>221</v>
      </c>
      <c r="B299" t="s">
        <v>1</v>
      </c>
      <c r="C299">
        <v>0.3</v>
      </c>
      <c r="D299" t="s">
        <v>588</v>
      </c>
      <c r="E299" t="s">
        <v>2323</v>
      </c>
      <c r="F299">
        <v>0.15</v>
      </c>
      <c r="G299" t="s">
        <v>2361</v>
      </c>
      <c r="H299" t="s">
        <v>2002</v>
      </c>
      <c r="I299" t="s">
        <v>4</v>
      </c>
      <c r="J299">
        <v>127</v>
      </c>
      <c r="K299" t="s">
        <v>5</v>
      </c>
      <c r="L299">
        <v>92</v>
      </c>
      <c r="M299" t="s">
        <v>6</v>
      </c>
      <c r="N299">
        <v>25.187162208409099</v>
      </c>
      <c r="O299" t="s">
        <v>7</v>
      </c>
      <c r="P299">
        <v>0.198324111877237</v>
      </c>
      <c r="Q299" t="s">
        <v>8</v>
      </c>
      <c r="R299">
        <v>1.2064908935696601</v>
      </c>
      <c r="S299" t="s">
        <v>9</v>
      </c>
      <c r="T299">
        <v>-2.4517142857142802</v>
      </c>
      <c r="U299" t="s">
        <v>10</v>
      </c>
      <c r="V299">
        <v>0.33144041610560299</v>
      </c>
      <c r="W299" t="s">
        <v>11</v>
      </c>
      <c r="X299" t="s">
        <v>2470</v>
      </c>
      <c r="Y299" t="s">
        <v>2192</v>
      </c>
      <c r="Z299">
        <v>0</v>
      </c>
      <c r="AA299" t="s">
        <v>14</v>
      </c>
      <c r="AB299" t="s">
        <v>15</v>
      </c>
      <c r="AC299" t="s">
        <v>2470</v>
      </c>
      <c r="AD299" t="s">
        <v>2192</v>
      </c>
      <c r="AE299">
        <v>0</v>
      </c>
      <c r="AF299" t="s">
        <v>18</v>
      </c>
    </row>
    <row r="300" spans="1:32" x14ac:dyDescent="0.3">
      <c r="A300" t="s">
        <v>221</v>
      </c>
      <c r="B300" t="s">
        <v>1</v>
      </c>
      <c r="C300">
        <v>0.3</v>
      </c>
      <c r="D300" t="s">
        <v>588</v>
      </c>
      <c r="E300" t="s">
        <v>2323</v>
      </c>
      <c r="F300">
        <v>0.15</v>
      </c>
      <c r="G300" t="s">
        <v>2361</v>
      </c>
      <c r="H300" t="s">
        <v>2004</v>
      </c>
      <c r="I300" t="s">
        <v>4</v>
      </c>
      <c r="J300">
        <v>127</v>
      </c>
      <c r="K300" t="s">
        <v>5</v>
      </c>
      <c r="L300">
        <v>99</v>
      </c>
      <c r="M300" t="s">
        <v>6</v>
      </c>
      <c r="N300">
        <v>38.2871622084091</v>
      </c>
      <c r="O300" t="s">
        <v>7</v>
      </c>
      <c r="P300">
        <v>0.30147371817644902</v>
      </c>
      <c r="Q300" t="s">
        <v>8</v>
      </c>
      <c r="R300">
        <v>1.24835517382231</v>
      </c>
      <c r="S300" t="s">
        <v>9</v>
      </c>
      <c r="T300">
        <v>-3.0464285714285699</v>
      </c>
      <c r="U300" t="s">
        <v>10</v>
      </c>
      <c r="V300">
        <v>0.36557259709158402</v>
      </c>
      <c r="W300" t="s">
        <v>11</v>
      </c>
      <c r="X300" t="s">
        <v>2470</v>
      </c>
      <c r="Y300" t="s">
        <v>2192</v>
      </c>
      <c r="Z300">
        <v>0</v>
      </c>
      <c r="AA300" t="s">
        <v>14</v>
      </c>
      <c r="AB300" t="s">
        <v>15</v>
      </c>
      <c r="AC300" t="s">
        <v>2470</v>
      </c>
      <c r="AD300" t="s">
        <v>2192</v>
      </c>
      <c r="AE300">
        <v>0</v>
      </c>
      <c r="AF300" t="s">
        <v>18</v>
      </c>
    </row>
    <row r="301" spans="1:32" x14ac:dyDescent="0.3">
      <c r="A301" t="s">
        <v>221</v>
      </c>
      <c r="B301" t="s">
        <v>1</v>
      </c>
      <c r="C301">
        <v>0.3</v>
      </c>
      <c r="D301" t="s">
        <v>588</v>
      </c>
      <c r="E301" t="s">
        <v>2323</v>
      </c>
      <c r="F301">
        <v>0.15</v>
      </c>
      <c r="G301" t="s">
        <v>2361</v>
      </c>
      <c r="H301" t="s">
        <v>2005</v>
      </c>
      <c r="I301" t="s">
        <v>4</v>
      </c>
      <c r="J301">
        <v>127</v>
      </c>
      <c r="K301" t="s">
        <v>5</v>
      </c>
      <c r="L301">
        <v>103</v>
      </c>
      <c r="M301" t="s">
        <v>6</v>
      </c>
      <c r="N301">
        <v>33.297162208409098</v>
      </c>
      <c r="O301" t="s">
        <v>7</v>
      </c>
      <c r="P301">
        <v>0.262182379593772</v>
      </c>
      <c r="Q301" t="s">
        <v>8</v>
      </c>
      <c r="R301">
        <v>1.28142875930494</v>
      </c>
      <c r="S301" t="s">
        <v>9</v>
      </c>
      <c r="T301">
        <v>-4.11208333333333</v>
      </c>
      <c r="U301" t="s">
        <v>10</v>
      </c>
      <c r="V301">
        <v>0.41776725492181299</v>
      </c>
      <c r="W301" t="s">
        <v>11</v>
      </c>
      <c r="X301" t="s">
        <v>2470</v>
      </c>
      <c r="Y301" t="s">
        <v>2192</v>
      </c>
      <c r="Z301">
        <v>0</v>
      </c>
      <c r="AA301" t="s">
        <v>14</v>
      </c>
      <c r="AB301" t="s">
        <v>15</v>
      </c>
      <c r="AC301" t="s">
        <v>2470</v>
      </c>
      <c r="AD301" t="s">
        <v>2192</v>
      </c>
      <c r="AE301">
        <v>0</v>
      </c>
      <c r="AF301" t="s">
        <v>18</v>
      </c>
    </row>
    <row r="302" spans="1:32" x14ac:dyDescent="0.3">
      <c r="A302" t="s">
        <v>262</v>
      </c>
      <c r="B302" t="s">
        <v>1</v>
      </c>
      <c r="C302">
        <v>0.5</v>
      </c>
      <c r="D302" t="s">
        <v>588</v>
      </c>
      <c r="E302" t="s">
        <v>2323</v>
      </c>
      <c r="F302">
        <v>0.25</v>
      </c>
      <c r="G302" t="s">
        <v>2324</v>
      </c>
      <c r="H302" t="s">
        <v>1979</v>
      </c>
      <c r="I302" t="s">
        <v>4</v>
      </c>
      <c r="J302">
        <v>375</v>
      </c>
      <c r="K302" t="s">
        <v>5</v>
      </c>
      <c r="L302">
        <v>139</v>
      </c>
      <c r="M302" t="s">
        <v>6</v>
      </c>
      <c r="N302">
        <v>-20.275569986548401</v>
      </c>
      <c r="O302" t="s">
        <v>7</v>
      </c>
      <c r="P302">
        <v>-5.4068186630795899E-2</v>
      </c>
      <c r="Q302" t="s">
        <v>8</v>
      </c>
      <c r="R302">
        <v>1.98309352517985</v>
      </c>
      <c r="S302" t="s">
        <v>9</v>
      </c>
      <c r="T302">
        <v>-1.2539219067226599</v>
      </c>
      <c r="U302" t="s">
        <v>10</v>
      </c>
      <c r="V302">
        <v>0.88494376752839699</v>
      </c>
      <c r="W302" t="s">
        <v>11</v>
      </c>
      <c r="X302" t="s">
        <v>2325</v>
      </c>
      <c r="Y302" t="s">
        <v>720</v>
      </c>
      <c r="Z302">
        <v>0</v>
      </c>
      <c r="AA302" t="s">
        <v>14</v>
      </c>
      <c r="AB302" t="s">
        <v>15</v>
      </c>
      <c r="AC302" t="s">
        <v>2471</v>
      </c>
      <c r="AD302" t="s">
        <v>718</v>
      </c>
      <c r="AE302">
        <v>0</v>
      </c>
      <c r="AF302" t="s">
        <v>18</v>
      </c>
    </row>
    <row r="303" spans="1:32" x14ac:dyDescent="0.3">
      <c r="A303" t="s">
        <v>262</v>
      </c>
      <c r="B303" t="s">
        <v>1</v>
      </c>
      <c r="C303">
        <v>0.5</v>
      </c>
      <c r="D303" t="s">
        <v>588</v>
      </c>
      <c r="E303" t="s">
        <v>2323</v>
      </c>
      <c r="F303">
        <v>0.25</v>
      </c>
      <c r="G303" t="s">
        <v>2324</v>
      </c>
      <c r="H303" t="s">
        <v>1982</v>
      </c>
      <c r="I303" t="s">
        <v>4</v>
      </c>
      <c r="J303">
        <v>375</v>
      </c>
      <c r="K303" t="s">
        <v>5</v>
      </c>
      <c r="L303">
        <v>154</v>
      </c>
      <c r="M303" t="s">
        <v>6</v>
      </c>
      <c r="N303">
        <v>-29.7255699865484</v>
      </c>
      <c r="O303" t="s">
        <v>7</v>
      </c>
      <c r="P303">
        <v>-7.9268186630795698E-2</v>
      </c>
      <c r="Q303" t="s">
        <v>8</v>
      </c>
      <c r="R303">
        <v>2.0024675324675298</v>
      </c>
      <c r="S303" t="s">
        <v>9</v>
      </c>
      <c r="T303">
        <v>-1.5298894569527</v>
      </c>
      <c r="U303" t="s">
        <v>10</v>
      </c>
      <c r="V303">
        <v>1.02081918500436</v>
      </c>
      <c r="W303" t="s">
        <v>11</v>
      </c>
      <c r="X303" t="s">
        <v>2325</v>
      </c>
      <c r="Y303" t="s">
        <v>720</v>
      </c>
      <c r="Z303">
        <v>0</v>
      </c>
      <c r="AA303" t="s">
        <v>14</v>
      </c>
      <c r="AB303" t="s">
        <v>15</v>
      </c>
      <c r="AC303" t="s">
        <v>2471</v>
      </c>
      <c r="AD303" t="s">
        <v>718</v>
      </c>
      <c r="AE303">
        <v>0</v>
      </c>
      <c r="AF303" t="s">
        <v>18</v>
      </c>
    </row>
    <row r="304" spans="1:32" x14ac:dyDescent="0.3">
      <c r="A304" t="s">
        <v>262</v>
      </c>
      <c r="B304" t="s">
        <v>1</v>
      </c>
      <c r="C304">
        <v>0.5</v>
      </c>
      <c r="D304" t="s">
        <v>588</v>
      </c>
      <c r="E304" t="s">
        <v>2323</v>
      </c>
      <c r="F304">
        <v>0.25</v>
      </c>
      <c r="G304" t="s">
        <v>2324</v>
      </c>
      <c r="H304" t="s">
        <v>1985</v>
      </c>
      <c r="I304" t="s">
        <v>4</v>
      </c>
      <c r="J304">
        <v>375</v>
      </c>
      <c r="K304" t="s">
        <v>5</v>
      </c>
      <c r="L304">
        <v>159</v>
      </c>
      <c r="M304" t="s">
        <v>6</v>
      </c>
      <c r="N304">
        <v>-21.695569986548399</v>
      </c>
      <c r="O304" t="s">
        <v>7</v>
      </c>
      <c r="P304">
        <v>-5.7854853297462497E-2</v>
      </c>
      <c r="Q304" t="s">
        <v>8</v>
      </c>
      <c r="R304">
        <v>2.0008805031446499</v>
      </c>
      <c r="S304" t="s">
        <v>9</v>
      </c>
      <c r="T304">
        <v>-1.57331282401179</v>
      </c>
      <c r="U304" t="s">
        <v>10</v>
      </c>
      <c r="V304">
        <v>1.06075103830983</v>
      </c>
      <c r="W304" t="s">
        <v>11</v>
      </c>
      <c r="X304" t="s">
        <v>2325</v>
      </c>
      <c r="Y304" t="s">
        <v>720</v>
      </c>
      <c r="Z304">
        <v>0</v>
      </c>
      <c r="AA304" t="s">
        <v>14</v>
      </c>
      <c r="AB304" t="s">
        <v>15</v>
      </c>
      <c r="AC304" t="s">
        <v>2471</v>
      </c>
      <c r="AD304" t="s">
        <v>718</v>
      </c>
      <c r="AE304">
        <v>0</v>
      </c>
      <c r="AF304" t="s">
        <v>18</v>
      </c>
    </row>
    <row r="305" spans="1:32" x14ac:dyDescent="0.3">
      <c r="A305" t="s">
        <v>262</v>
      </c>
      <c r="B305" t="s">
        <v>1</v>
      </c>
      <c r="C305">
        <v>0.5</v>
      </c>
      <c r="D305" t="s">
        <v>588</v>
      </c>
      <c r="E305" t="s">
        <v>2323</v>
      </c>
      <c r="F305">
        <v>0.25</v>
      </c>
      <c r="G305" t="s">
        <v>2324</v>
      </c>
      <c r="H305" t="s">
        <v>1988</v>
      </c>
      <c r="I305" t="s">
        <v>4</v>
      </c>
      <c r="J305">
        <v>375</v>
      </c>
      <c r="K305" t="s">
        <v>5</v>
      </c>
      <c r="L305">
        <v>162</v>
      </c>
      <c r="M305" t="s">
        <v>6</v>
      </c>
      <c r="N305">
        <v>-29.475569986548301</v>
      </c>
      <c r="O305" t="s">
        <v>7</v>
      </c>
      <c r="P305">
        <v>-7.8601519964128896E-2</v>
      </c>
      <c r="Q305" t="s">
        <v>8</v>
      </c>
      <c r="R305">
        <v>1.9949999999999899</v>
      </c>
      <c r="S305" t="s">
        <v>9</v>
      </c>
      <c r="T305">
        <v>-1.6557069013452901</v>
      </c>
      <c r="U305" t="s">
        <v>10</v>
      </c>
      <c r="V305">
        <v>1.14187910973512</v>
      </c>
      <c r="W305" t="s">
        <v>11</v>
      </c>
      <c r="X305" t="s">
        <v>2325</v>
      </c>
      <c r="Y305" t="s">
        <v>720</v>
      </c>
      <c r="Z305">
        <v>0</v>
      </c>
      <c r="AA305" t="s">
        <v>14</v>
      </c>
      <c r="AB305" t="s">
        <v>15</v>
      </c>
      <c r="AC305" t="s">
        <v>2472</v>
      </c>
      <c r="AD305" t="s">
        <v>718</v>
      </c>
      <c r="AE305">
        <v>0</v>
      </c>
      <c r="AF305" t="s">
        <v>18</v>
      </c>
    </row>
    <row r="306" spans="1:32" x14ac:dyDescent="0.3">
      <c r="A306" t="s">
        <v>262</v>
      </c>
      <c r="B306" t="s">
        <v>1</v>
      </c>
      <c r="C306">
        <v>0.5</v>
      </c>
      <c r="D306" t="s">
        <v>588</v>
      </c>
      <c r="E306" t="s">
        <v>2323</v>
      </c>
      <c r="F306">
        <v>0.25</v>
      </c>
      <c r="G306" t="s">
        <v>2329</v>
      </c>
      <c r="H306" t="s">
        <v>1991</v>
      </c>
      <c r="I306" t="s">
        <v>4</v>
      </c>
      <c r="J306">
        <v>376</v>
      </c>
      <c r="K306" t="s">
        <v>5</v>
      </c>
      <c r="L306">
        <v>135</v>
      </c>
      <c r="M306" t="s">
        <v>6</v>
      </c>
      <c r="N306">
        <v>-3.2755699865486498</v>
      </c>
      <c r="O306" t="s">
        <v>7</v>
      </c>
      <c r="P306">
        <v>-8.7116223046506801E-3</v>
      </c>
      <c r="Q306" t="s">
        <v>8</v>
      </c>
      <c r="R306">
        <v>2.2779259259259201</v>
      </c>
      <c r="S306" t="s">
        <v>9</v>
      </c>
      <c r="T306">
        <v>-1.2896081742180401</v>
      </c>
      <c r="U306" t="s">
        <v>10</v>
      </c>
      <c r="V306">
        <v>0.78496048170560895</v>
      </c>
      <c r="W306" t="s">
        <v>11</v>
      </c>
      <c r="X306" t="s">
        <v>2473</v>
      </c>
      <c r="Y306" t="s">
        <v>2055</v>
      </c>
      <c r="Z306">
        <v>0</v>
      </c>
      <c r="AA306" t="s">
        <v>14</v>
      </c>
      <c r="AB306" t="s">
        <v>15</v>
      </c>
      <c r="AC306" t="s">
        <v>2474</v>
      </c>
      <c r="AD306" t="s">
        <v>718</v>
      </c>
      <c r="AE306">
        <v>0</v>
      </c>
      <c r="AF306" t="s">
        <v>18</v>
      </c>
    </row>
    <row r="307" spans="1:32" x14ac:dyDescent="0.3">
      <c r="A307" t="s">
        <v>262</v>
      </c>
      <c r="B307" t="s">
        <v>1</v>
      </c>
      <c r="C307">
        <v>0.5</v>
      </c>
      <c r="D307" t="s">
        <v>588</v>
      </c>
      <c r="E307" t="s">
        <v>2323</v>
      </c>
      <c r="F307">
        <v>0.25</v>
      </c>
      <c r="G307" t="s">
        <v>2329</v>
      </c>
      <c r="H307" t="s">
        <v>1994</v>
      </c>
      <c r="I307" t="s">
        <v>4</v>
      </c>
      <c r="J307">
        <v>376</v>
      </c>
      <c r="K307" t="s">
        <v>5</v>
      </c>
      <c r="L307">
        <v>161</v>
      </c>
      <c r="M307" t="s">
        <v>6</v>
      </c>
      <c r="N307">
        <v>5.4844300134514601</v>
      </c>
      <c r="O307" t="s">
        <v>7</v>
      </c>
      <c r="P307">
        <v>1.45862500357751E-2</v>
      </c>
      <c r="Q307" t="s">
        <v>8</v>
      </c>
      <c r="R307">
        <v>2.27509316770186</v>
      </c>
      <c r="S307" t="s">
        <v>9</v>
      </c>
      <c r="T307">
        <v>-1.67816544179789</v>
      </c>
      <c r="U307" t="s">
        <v>10</v>
      </c>
      <c r="V307">
        <v>0.93044229350008201</v>
      </c>
      <c r="W307" t="s">
        <v>11</v>
      </c>
      <c r="X307" t="s">
        <v>2473</v>
      </c>
      <c r="Y307" t="s">
        <v>2055</v>
      </c>
      <c r="Z307">
        <v>0</v>
      </c>
      <c r="AA307" t="s">
        <v>14</v>
      </c>
      <c r="AB307" t="s">
        <v>15</v>
      </c>
      <c r="AC307" t="s">
        <v>2474</v>
      </c>
      <c r="AD307" t="s">
        <v>718</v>
      </c>
      <c r="AE307">
        <v>0</v>
      </c>
      <c r="AF307" t="s">
        <v>18</v>
      </c>
    </row>
    <row r="308" spans="1:32" x14ac:dyDescent="0.3">
      <c r="A308" t="s">
        <v>262</v>
      </c>
      <c r="B308" t="s">
        <v>1</v>
      </c>
      <c r="C308">
        <v>0.5</v>
      </c>
      <c r="D308" t="s">
        <v>588</v>
      </c>
      <c r="E308" t="s">
        <v>2323</v>
      </c>
      <c r="F308">
        <v>0.25</v>
      </c>
      <c r="G308" t="s">
        <v>2329</v>
      </c>
      <c r="H308" t="s">
        <v>1996</v>
      </c>
      <c r="I308" t="s">
        <v>4</v>
      </c>
      <c r="J308">
        <v>376</v>
      </c>
      <c r="K308" t="s">
        <v>5</v>
      </c>
      <c r="L308">
        <v>168</v>
      </c>
      <c r="M308" t="s">
        <v>6</v>
      </c>
      <c r="N308">
        <v>7.2144300134515396</v>
      </c>
      <c r="O308" t="s">
        <v>7</v>
      </c>
      <c r="P308">
        <v>1.9187313865562598E-2</v>
      </c>
      <c r="Q308" t="s">
        <v>8</v>
      </c>
      <c r="R308">
        <v>2.2707738095238001</v>
      </c>
      <c r="S308" t="s">
        <v>9</v>
      </c>
      <c r="T308">
        <v>-1.79940177878148</v>
      </c>
      <c r="U308" t="s">
        <v>10</v>
      </c>
      <c r="V308">
        <v>0.99041178870234303</v>
      </c>
      <c r="W308" t="s">
        <v>11</v>
      </c>
      <c r="X308" t="s">
        <v>2473</v>
      </c>
      <c r="Y308" t="s">
        <v>2055</v>
      </c>
      <c r="Z308">
        <v>0</v>
      </c>
      <c r="AA308" t="s">
        <v>14</v>
      </c>
      <c r="AB308" t="s">
        <v>15</v>
      </c>
      <c r="AC308" t="s">
        <v>2474</v>
      </c>
      <c r="AD308" t="s">
        <v>718</v>
      </c>
      <c r="AE308">
        <v>0</v>
      </c>
      <c r="AF308" t="s">
        <v>18</v>
      </c>
    </row>
    <row r="309" spans="1:32" x14ac:dyDescent="0.3">
      <c r="A309" t="s">
        <v>262</v>
      </c>
      <c r="B309" t="s">
        <v>1</v>
      </c>
      <c r="C309">
        <v>0.5</v>
      </c>
      <c r="D309" t="s">
        <v>588</v>
      </c>
      <c r="E309" t="s">
        <v>2323</v>
      </c>
      <c r="F309">
        <v>0.25</v>
      </c>
      <c r="G309" t="s">
        <v>2329</v>
      </c>
      <c r="H309" t="s">
        <v>1997</v>
      </c>
      <c r="I309" t="s">
        <v>4</v>
      </c>
      <c r="J309">
        <v>376</v>
      </c>
      <c r="K309" t="s">
        <v>5</v>
      </c>
      <c r="L309">
        <v>173</v>
      </c>
      <c r="M309" t="s">
        <v>6</v>
      </c>
      <c r="N309">
        <v>23.044430013451599</v>
      </c>
      <c r="O309" t="s">
        <v>7</v>
      </c>
      <c r="P309">
        <v>6.1288377695349998E-2</v>
      </c>
      <c r="Q309" t="s">
        <v>8</v>
      </c>
      <c r="R309">
        <v>2.27109826589595</v>
      </c>
      <c r="S309" t="s">
        <v>9</v>
      </c>
      <c r="T309">
        <v>-1.8219486206233899</v>
      </c>
      <c r="U309" t="s">
        <v>10</v>
      </c>
      <c r="V309">
        <v>1.03791530950477</v>
      </c>
      <c r="W309" t="s">
        <v>11</v>
      </c>
      <c r="X309" t="s">
        <v>2473</v>
      </c>
      <c r="Y309" t="s">
        <v>2055</v>
      </c>
      <c r="Z309">
        <v>0</v>
      </c>
      <c r="AA309" t="s">
        <v>14</v>
      </c>
      <c r="AB309" t="s">
        <v>15</v>
      </c>
      <c r="AC309" t="s">
        <v>2475</v>
      </c>
      <c r="AD309" t="s">
        <v>718</v>
      </c>
      <c r="AE309">
        <v>0</v>
      </c>
      <c r="AF309" t="s">
        <v>18</v>
      </c>
    </row>
    <row r="310" spans="1:32" x14ac:dyDescent="0.3">
      <c r="A310" t="s">
        <v>262</v>
      </c>
      <c r="B310" t="s">
        <v>1</v>
      </c>
      <c r="C310">
        <v>0.5</v>
      </c>
      <c r="D310" t="s">
        <v>588</v>
      </c>
      <c r="E310" t="s">
        <v>2323</v>
      </c>
      <c r="F310">
        <v>0.25</v>
      </c>
      <c r="G310" t="s">
        <v>2332</v>
      </c>
      <c r="H310" t="s">
        <v>1999</v>
      </c>
      <c r="I310" t="s">
        <v>4</v>
      </c>
      <c r="J310">
        <v>370</v>
      </c>
      <c r="K310" t="s">
        <v>5</v>
      </c>
      <c r="L310">
        <v>144</v>
      </c>
      <c r="M310" t="s">
        <v>6</v>
      </c>
      <c r="N310">
        <v>42.575860111245397</v>
      </c>
      <c r="O310" t="s">
        <v>7</v>
      </c>
      <c r="P310">
        <v>0.11506989219255501</v>
      </c>
      <c r="Q310" t="s">
        <v>8</v>
      </c>
      <c r="R310">
        <v>2.3390080329489402</v>
      </c>
      <c r="S310" t="s">
        <v>9</v>
      </c>
      <c r="T310">
        <v>-1.3019526399707999</v>
      </c>
      <c r="U310" t="s">
        <v>10</v>
      </c>
      <c r="V310">
        <v>0.73331484980900696</v>
      </c>
      <c r="W310" t="s">
        <v>11</v>
      </c>
      <c r="X310" t="s">
        <v>2461</v>
      </c>
      <c r="Y310" t="s">
        <v>2192</v>
      </c>
      <c r="Z310">
        <v>0</v>
      </c>
      <c r="AA310" t="s">
        <v>14</v>
      </c>
      <c r="AB310" t="s">
        <v>15</v>
      </c>
      <c r="AC310" t="s">
        <v>2476</v>
      </c>
      <c r="AD310" t="s">
        <v>1322</v>
      </c>
      <c r="AE310">
        <v>0</v>
      </c>
      <c r="AF310" t="s">
        <v>18</v>
      </c>
    </row>
    <row r="311" spans="1:32" x14ac:dyDescent="0.3">
      <c r="A311" t="s">
        <v>262</v>
      </c>
      <c r="B311" t="s">
        <v>1</v>
      </c>
      <c r="C311">
        <v>0.5</v>
      </c>
      <c r="D311" t="s">
        <v>588</v>
      </c>
      <c r="E311" t="s">
        <v>2323</v>
      </c>
      <c r="F311">
        <v>0.25</v>
      </c>
      <c r="G311" t="s">
        <v>2332</v>
      </c>
      <c r="H311" t="s">
        <v>2002</v>
      </c>
      <c r="I311" t="s">
        <v>4</v>
      </c>
      <c r="J311">
        <v>370</v>
      </c>
      <c r="K311" t="s">
        <v>5</v>
      </c>
      <c r="L311">
        <v>186</v>
      </c>
      <c r="M311" t="s">
        <v>6</v>
      </c>
      <c r="N311">
        <v>82.520968178275297</v>
      </c>
      <c r="O311" t="s">
        <v>7</v>
      </c>
      <c r="P311">
        <v>0.22302964372506801</v>
      </c>
      <c r="Q311" t="s">
        <v>8</v>
      </c>
      <c r="R311">
        <v>2.3983020201193401</v>
      </c>
      <c r="S311" t="s">
        <v>9</v>
      </c>
      <c r="T311">
        <v>-1.97588699763001</v>
      </c>
      <c r="U311" t="s">
        <v>10</v>
      </c>
      <c r="V311">
        <v>0.93990732016985301</v>
      </c>
      <c r="W311" t="s">
        <v>11</v>
      </c>
      <c r="X311" t="s">
        <v>1980</v>
      </c>
      <c r="Y311" t="s">
        <v>2442</v>
      </c>
      <c r="Z311">
        <v>0</v>
      </c>
      <c r="AA311" t="s">
        <v>14</v>
      </c>
      <c r="AB311" t="s">
        <v>15</v>
      </c>
      <c r="AC311" t="s">
        <v>2477</v>
      </c>
      <c r="AD311" t="s">
        <v>2442</v>
      </c>
      <c r="AE311">
        <v>0</v>
      </c>
      <c r="AF311" t="s">
        <v>18</v>
      </c>
    </row>
    <row r="312" spans="1:32" x14ac:dyDescent="0.3">
      <c r="A312" t="s">
        <v>262</v>
      </c>
      <c r="B312" t="s">
        <v>1</v>
      </c>
      <c r="C312">
        <v>0.5</v>
      </c>
      <c r="D312" t="s">
        <v>588</v>
      </c>
      <c r="E312" t="s">
        <v>2323</v>
      </c>
      <c r="F312">
        <v>0.25</v>
      </c>
      <c r="G312" t="s">
        <v>2332</v>
      </c>
      <c r="H312" t="s">
        <v>2004</v>
      </c>
      <c r="I312" t="s">
        <v>4</v>
      </c>
      <c r="J312">
        <v>370</v>
      </c>
      <c r="K312" t="s">
        <v>5</v>
      </c>
      <c r="L312">
        <v>193</v>
      </c>
      <c r="M312" t="s">
        <v>6</v>
      </c>
      <c r="N312">
        <v>60.960968178275301</v>
      </c>
      <c r="O312" t="s">
        <v>7</v>
      </c>
      <c r="P312">
        <v>0.16475937345479799</v>
      </c>
      <c r="Q312" t="s">
        <v>8</v>
      </c>
      <c r="R312">
        <v>2.3968610142082798</v>
      </c>
      <c r="S312" t="s">
        <v>9</v>
      </c>
      <c r="T312">
        <v>-2.2691141670278099</v>
      </c>
      <c r="U312" t="s">
        <v>10</v>
      </c>
      <c r="V312">
        <v>0.99689789028722298</v>
      </c>
      <c r="W312" t="s">
        <v>11</v>
      </c>
      <c r="X312" t="s">
        <v>1980</v>
      </c>
      <c r="Y312" t="s">
        <v>2442</v>
      </c>
      <c r="Z312">
        <v>0</v>
      </c>
      <c r="AA312" t="s">
        <v>14</v>
      </c>
      <c r="AB312" t="s">
        <v>15</v>
      </c>
      <c r="AC312" t="s">
        <v>2478</v>
      </c>
      <c r="AD312" t="s">
        <v>2132</v>
      </c>
      <c r="AE312">
        <v>0</v>
      </c>
      <c r="AF312" t="s">
        <v>18</v>
      </c>
    </row>
    <row r="313" spans="1:32" x14ac:dyDescent="0.3">
      <c r="A313" t="s">
        <v>262</v>
      </c>
      <c r="B313" t="s">
        <v>1</v>
      </c>
      <c r="C313">
        <v>0.5</v>
      </c>
      <c r="D313" t="s">
        <v>588</v>
      </c>
      <c r="E313" t="s">
        <v>2323</v>
      </c>
      <c r="F313">
        <v>0.25</v>
      </c>
      <c r="G313" t="s">
        <v>2332</v>
      </c>
      <c r="H313" t="s">
        <v>2005</v>
      </c>
      <c r="I313" t="s">
        <v>4</v>
      </c>
      <c r="J313">
        <v>370</v>
      </c>
      <c r="K313" t="s">
        <v>5</v>
      </c>
      <c r="L313">
        <v>197</v>
      </c>
      <c r="M313" t="s">
        <v>6</v>
      </c>
      <c r="N313">
        <v>58.638830544329103</v>
      </c>
      <c r="O313" t="s">
        <v>7</v>
      </c>
      <c r="P313">
        <v>0.15848332579548399</v>
      </c>
      <c r="Q313" t="s">
        <v>8</v>
      </c>
      <c r="R313">
        <v>2.3985931000783198</v>
      </c>
      <c r="S313" t="s">
        <v>9</v>
      </c>
      <c r="T313">
        <v>-2.3923931223763</v>
      </c>
      <c r="U313" t="s">
        <v>10</v>
      </c>
      <c r="V313">
        <v>1.0352538024276301</v>
      </c>
      <c r="W313" t="s">
        <v>11</v>
      </c>
      <c r="X313" t="s">
        <v>1980</v>
      </c>
      <c r="Y313" t="s">
        <v>2442</v>
      </c>
      <c r="Z313">
        <v>0</v>
      </c>
      <c r="AA313" t="s">
        <v>14</v>
      </c>
      <c r="AB313" t="s">
        <v>15</v>
      </c>
      <c r="AC313" t="s">
        <v>2478</v>
      </c>
      <c r="AD313" t="s">
        <v>2132</v>
      </c>
      <c r="AE313">
        <v>0</v>
      </c>
      <c r="AF313" t="s">
        <v>18</v>
      </c>
    </row>
    <row r="314" spans="1:32" x14ac:dyDescent="0.3">
      <c r="A314" t="s">
        <v>262</v>
      </c>
      <c r="B314" t="s">
        <v>1</v>
      </c>
      <c r="C314">
        <v>0.4</v>
      </c>
      <c r="D314" t="s">
        <v>588</v>
      </c>
      <c r="E314" t="s">
        <v>2323</v>
      </c>
      <c r="F314">
        <v>0.2</v>
      </c>
      <c r="G314" t="s">
        <v>2324</v>
      </c>
      <c r="H314" t="s">
        <v>1979</v>
      </c>
      <c r="I314" t="s">
        <v>4</v>
      </c>
      <c r="J314">
        <v>375</v>
      </c>
      <c r="K314" t="s">
        <v>5</v>
      </c>
      <c r="L314">
        <v>122</v>
      </c>
      <c r="M314" t="s">
        <v>6</v>
      </c>
      <c r="N314">
        <v>-45.038380266970698</v>
      </c>
      <c r="O314" t="s">
        <v>7</v>
      </c>
      <c r="P314">
        <v>-0.12010234737858801</v>
      </c>
      <c r="Q314" t="s">
        <v>8</v>
      </c>
      <c r="R314">
        <v>1.7961475409836001</v>
      </c>
      <c r="S314" t="s">
        <v>9</v>
      </c>
      <c r="T314">
        <v>-1.04414379552162</v>
      </c>
      <c r="U314" t="s">
        <v>10</v>
      </c>
      <c r="V314">
        <v>0.77628107466385099</v>
      </c>
      <c r="W314" t="s">
        <v>11</v>
      </c>
      <c r="X314" t="s">
        <v>2368</v>
      </c>
      <c r="Y314" t="s">
        <v>720</v>
      </c>
      <c r="Z314">
        <v>0</v>
      </c>
      <c r="AA314" t="s">
        <v>14</v>
      </c>
      <c r="AB314" t="s">
        <v>15</v>
      </c>
      <c r="AC314" t="s">
        <v>2479</v>
      </c>
      <c r="AD314" t="s">
        <v>720</v>
      </c>
      <c r="AE314">
        <v>0</v>
      </c>
      <c r="AF314" t="s">
        <v>18</v>
      </c>
    </row>
    <row r="315" spans="1:32" x14ac:dyDescent="0.3">
      <c r="A315" t="s">
        <v>262</v>
      </c>
      <c r="B315" t="s">
        <v>1</v>
      </c>
      <c r="C315">
        <v>0.4</v>
      </c>
      <c r="D315" t="s">
        <v>588</v>
      </c>
      <c r="E315" t="s">
        <v>2323</v>
      </c>
      <c r="F315">
        <v>0.2</v>
      </c>
      <c r="G315" t="s">
        <v>2324</v>
      </c>
      <c r="H315" t="s">
        <v>1982</v>
      </c>
      <c r="I315" t="s">
        <v>4</v>
      </c>
      <c r="J315">
        <v>375</v>
      </c>
      <c r="K315" t="s">
        <v>5</v>
      </c>
      <c r="L315">
        <v>135</v>
      </c>
      <c r="M315" t="s">
        <v>6</v>
      </c>
      <c r="N315">
        <v>-43.448380266970702</v>
      </c>
      <c r="O315" t="s">
        <v>7</v>
      </c>
      <c r="P315">
        <v>-0.115862347378588</v>
      </c>
      <c r="Q315" t="s">
        <v>8</v>
      </c>
      <c r="R315">
        <v>1.80637037037037</v>
      </c>
      <c r="S315" t="s">
        <v>9</v>
      </c>
      <c r="T315">
        <v>-1.1971182511123699</v>
      </c>
      <c r="U315" t="s">
        <v>10</v>
      </c>
      <c r="V315">
        <v>0.88318586679240996</v>
      </c>
      <c r="W315" t="s">
        <v>11</v>
      </c>
      <c r="X315" t="s">
        <v>2368</v>
      </c>
      <c r="Y315" t="s">
        <v>720</v>
      </c>
      <c r="Z315">
        <v>0</v>
      </c>
      <c r="AA315" t="s">
        <v>14</v>
      </c>
      <c r="AB315" t="s">
        <v>15</v>
      </c>
      <c r="AC315" t="s">
        <v>1980</v>
      </c>
      <c r="AD315" t="s">
        <v>2192</v>
      </c>
      <c r="AE315">
        <v>0</v>
      </c>
      <c r="AF315" t="s">
        <v>18</v>
      </c>
    </row>
    <row r="316" spans="1:32" x14ac:dyDescent="0.3">
      <c r="A316" t="s">
        <v>262</v>
      </c>
      <c r="B316" t="s">
        <v>1</v>
      </c>
      <c r="C316">
        <v>0.4</v>
      </c>
      <c r="D316" t="s">
        <v>588</v>
      </c>
      <c r="E316" t="s">
        <v>2323</v>
      </c>
      <c r="F316">
        <v>0.2</v>
      </c>
      <c r="G316" t="s">
        <v>2324</v>
      </c>
      <c r="H316" t="s">
        <v>1985</v>
      </c>
      <c r="I316" t="s">
        <v>4</v>
      </c>
      <c r="J316">
        <v>375</v>
      </c>
      <c r="K316" t="s">
        <v>5</v>
      </c>
      <c r="L316">
        <v>137</v>
      </c>
      <c r="M316" t="s">
        <v>6</v>
      </c>
      <c r="N316">
        <v>-59.668380266970601</v>
      </c>
      <c r="O316" t="s">
        <v>7</v>
      </c>
      <c r="P316">
        <v>-0.159115680711921</v>
      </c>
      <c r="Q316" t="s">
        <v>8</v>
      </c>
      <c r="R316">
        <v>1.8144525547445201</v>
      </c>
      <c r="S316" t="s">
        <v>9</v>
      </c>
      <c r="T316">
        <v>-1.29516126162592</v>
      </c>
      <c r="U316" t="s">
        <v>10</v>
      </c>
      <c r="V316">
        <v>0.97193785736344696</v>
      </c>
      <c r="W316" t="s">
        <v>11</v>
      </c>
      <c r="X316" t="s">
        <v>2368</v>
      </c>
      <c r="Y316" t="s">
        <v>720</v>
      </c>
      <c r="Z316">
        <v>0</v>
      </c>
      <c r="AA316" t="s">
        <v>14</v>
      </c>
      <c r="AB316" t="s">
        <v>15</v>
      </c>
      <c r="AC316" t="s">
        <v>2480</v>
      </c>
      <c r="AD316" t="s">
        <v>1987</v>
      </c>
      <c r="AE316">
        <v>0</v>
      </c>
      <c r="AF316" t="s">
        <v>18</v>
      </c>
    </row>
    <row r="317" spans="1:32" x14ac:dyDescent="0.3">
      <c r="A317" t="s">
        <v>262</v>
      </c>
      <c r="B317" t="s">
        <v>1</v>
      </c>
      <c r="C317">
        <v>0.4</v>
      </c>
      <c r="D317" t="s">
        <v>588</v>
      </c>
      <c r="E317" t="s">
        <v>2323</v>
      </c>
      <c r="F317">
        <v>0.2</v>
      </c>
      <c r="G317" t="s">
        <v>2324</v>
      </c>
      <c r="H317" t="s">
        <v>1988</v>
      </c>
      <c r="I317" t="s">
        <v>4</v>
      </c>
      <c r="J317">
        <v>375</v>
      </c>
      <c r="K317" t="s">
        <v>5</v>
      </c>
      <c r="L317">
        <v>138</v>
      </c>
      <c r="M317" t="s">
        <v>6</v>
      </c>
      <c r="N317">
        <v>-90.368380266970604</v>
      </c>
      <c r="O317" t="s">
        <v>7</v>
      </c>
      <c r="P317">
        <v>-0.24098234737858801</v>
      </c>
      <c r="Q317" t="s">
        <v>8</v>
      </c>
      <c r="R317">
        <v>1.8142028985507199</v>
      </c>
      <c r="S317" t="s">
        <v>9</v>
      </c>
      <c r="T317">
        <v>-1.4376724905779299</v>
      </c>
      <c r="U317" t="s">
        <v>10</v>
      </c>
      <c r="V317">
        <v>1.20642825122773</v>
      </c>
      <c r="W317" t="s">
        <v>11</v>
      </c>
      <c r="X317" t="s">
        <v>2368</v>
      </c>
      <c r="Y317" t="s">
        <v>720</v>
      </c>
      <c r="Z317">
        <v>0</v>
      </c>
      <c r="AA317" t="s">
        <v>14</v>
      </c>
      <c r="AB317" t="s">
        <v>15</v>
      </c>
      <c r="AC317" t="s">
        <v>2481</v>
      </c>
      <c r="AD317" t="s">
        <v>2132</v>
      </c>
      <c r="AE317">
        <v>0</v>
      </c>
      <c r="AF317" t="s">
        <v>18</v>
      </c>
    </row>
    <row r="318" spans="1:32" x14ac:dyDescent="0.3">
      <c r="A318" t="s">
        <v>262</v>
      </c>
      <c r="B318" t="s">
        <v>1</v>
      </c>
      <c r="C318">
        <v>0.4</v>
      </c>
      <c r="D318" t="s">
        <v>588</v>
      </c>
      <c r="E318" t="s">
        <v>2323</v>
      </c>
      <c r="F318">
        <v>0.2</v>
      </c>
      <c r="G318" t="s">
        <v>2329</v>
      </c>
      <c r="H318" t="s">
        <v>1991</v>
      </c>
      <c r="I318" t="s">
        <v>4</v>
      </c>
      <c r="J318">
        <v>376</v>
      </c>
      <c r="K318" t="s">
        <v>5</v>
      </c>
      <c r="L318">
        <v>129</v>
      </c>
      <c r="M318" t="s">
        <v>6</v>
      </c>
      <c r="N318">
        <v>23.785821305154599</v>
      </c>
      <c r="O318" t="s">
        <v>7</v>
      </c>
      <c r="P318">
        <v>6.3260163045623902E-2</v>
      </c>
      <c r="Q318" t="s">
        <v>8</v>
      </c>
      <c r="R318">
        <v>2.1936642992704201</v>
      </c>
      <c r="S318" t="s">
        <v>9</v>
      </c>
      <c r="T318">
        <v>-1.0493800538491</v>
      </c>
      <c r="U318" t="s">
        <v>10</v>
      </c>
      <c r="V318">
        <v>0.75310709404711096</v>
      </c>
      <c r="W318" t="s">
        <v>11</v>
      </c>
      <c r="X318" t="s">
        <v>2482</v>
      </c>
      <c r="Y318" t="s">
        <v>2055</v>
      </c>
      <c r="Z318">
        <v>0</v>
      </c>
      <c r="AA318" t="s">
        <v>14</v>
      </c>
      <c r="AB318" t="s">
        <v>15</v>
      </c>
      <c r="AC318" t="s">
        <v>2483</v>
      </c>
      <c r="AD318" t="s">
        <v>2055</v>
      </c>
      <c r="AE318">
        <v>0</v>
      </c>
      <c r="AF318" t="s">
        <v>18</v>
      </c>
    </row>
    <row r="319" spans="1:32" x14ac:dyDescent="0.3">
      <c r="A319" t="s">
        <v>262</v>
      </c>
      <c r="B319" t="s">
        <v>1</v>
      </c>
      <c r="C319">
        <v>0.4</v>
      </c>
      <c r="D319" t="s">
        <v>588</v>
      </c>
      <c r="E319" t="s">
        <v>2323</v>
      </c>
      <c r="F319">
        <v>0.2</v>
      </c>
      <c r="G319" t="s">
        <v>2329</v>
      </c>
      <c r="H319" t="s">
        <v>1994</v>
      </c>
      <c r="I319" t="s">
        <v>4</v>
      </c>
      <c r="J319">
        <v>376</v>
      </c>
      <c r="K319" t="s">
        <v>5</v>
      </c>
      <c r="L319">
        <v>146</v>
      </c>
      <c r="M319" t="s">
        <v>6</v>
      </c>
      <c r="N319">
        <v>43.828590472307901</v>
      </c>
      <c r="O319" t="s">
        <v>7</v>
      </c>
      <c r="P319">
        <v>0.116565400192308</v>
      </c>
      <c r="Q319" t="s">
        <v>8</v>
      </c>
      <c r="R319">
        <v>2.2025527027800198</v>
      </c>
      <c r="S319" t="s">
        <v>9</v>
      </c>
      <c r="T319">
        <v>-1.20758306145033</v>
      </c>
      <c r="U319" t="s">
        <v>10</v>
      </c>
      <c r="V319">
        <v>0.83627122769603102</v>
      </c>
      <c r="W319" t="s">
        <v>11</v>
      </c>
      <c r="X319" t="s">
        <v>2482</v>
      </c>
      <c r="Y319" t="s">
        <v>2055</v>
      </c>
      <c r="Z319">
        <v>0</v>
      </c>
      <c r="AA319" t="s">
        <v>14</v>
      </c>
      <c r="AB319" t="s">
        <v>15</v>
      </c>
      <c r="AC319" t="s">
        <v>2483</v>
      </c>
      <c r="AD319" t="s">
        <v>2055</v>
      </c>
      <c r="AE319">
        <v>0</v>
      </c>
      <c r="AF319" t="s">
        <v>18</v>
      </c>
    </row>
    <row r="320" spans="1:32" x14ac:dyDescent="0.3">
      <c r="A320" t="s">
        <v>262</v>
      </c>
      <c r="B320" t="s">
        <v>1</v>
      </c>
      <c r="C320">
        <v>0.4</v>
      </c>
      <c r="D320" t="s">
        <v>588</v>
      </c>
      <c r="E320" t="s">
        <v>2323</v>
      </c>
      <c r="F320">
        <v>0.2</v>
      </c>
      <c r="G320" t="s">
        <v>2329</v>
      </c>
      <c r="H320" t="s">
        <v>1996</v>
      </c>
      <c r="I320" t="s">
        <v>4</v>
      </c>
      <c r="J320">
        <v>376</v>
      </c>
      <c r="K320" t="s">
        <v>5</v>
      </c>
      <c r="L320">
        <v>149</v>
      </c>
      <c r="M320" t="s">
        <v>6</v>
      </c>
      <c r="N320">
        <v>33.6585904723079</v>
      </c>
      <c r="O320" t="s">
        <v>7</v>
      </c>
      <c r="P320">
        <v>8.95175278518828E-2</v>
      </c>
      <c r="Q320" t="s">
        <v>8</v>
      </c>
      <c r="R320">
        <v>2.2049174134623102</v>
      </c>
      <c r="S320" t="s">
        <v>9</v>
      </c>
      <c r="T320">
        <v>-1.2990048640245599</v>
      </c>
      <c r="U320" t="s">
        <v>10</v>
      </c>
      <c r="V320">
        <v>0.87543631288097001</v>
      </c>
      <c r="W320" t="s">
        <v>11</v>
      </c>
      <c r="X320" t="s">
        <v>2445</v>
      </c>
      <c r="Y320" t="s">
        <v>1987</v>
      </c>
      <c r="Z320">
        <v>0</v>
      </c>
      <c r="AA320" t="s">
        <v>14</v>
      </c>
      <c r="AB320" t="s">
        <v>15</v>
      </c>
      <c r="AC320" t="s">
        <v>2484</v>
      </c>
      <c r="AD320" t="s">
        <v>718</v>
      </c>
      <c r="AE320">
        <v>0</v>
      </c>
      <c r="AF320" t="s">
        <v>18</v>
      </c>
    </row>
    <row r="321" spans="1:32" x14ac:dyDescent="0.3">
      <c r="A321" t="s">
        <v>262</v>
      </c>
      <c r="B321" t="s">
        <v>1</v>
      </c>
      <c r="C321">
        <v>0.4</v>
      </c>
      <c r="D321" t="s">
        <v>588</v>
      </c>
      <c r="E321" t="s">
        <v>2323</v>
      </c>
      <c r="F321">
        <v>0.2</v>
      </c>
      <c r="G321" t="s">
        <v>2329</v>
      </c>
      <c r="H321" t="s">
        <v>1997</v>
      </c>
      <c r="I321" t="s">
        <v>4</v>
      </c>
      <c r="J321">
        <v>376</v>
      </c>
      <c r="K321" t="s">
        <v>5</v>
      </c>
      <c r="L321">
        <v>150</v>
      </c>
      <c r="M321" t="s">
        <v>6</v>
      </c>
      <c r="N321">
        <v>8.2485904723079599</v>
      </c>
      <c r="O321" t="s">
        <v>7</v>
      </c>
      <c r="P321">
        <v>2.19377406178403E-2</v>
      </c>
      <c r="Q321" t="s">
        <v>8</v>
      </c>
      <c r="R321">
        <v>2.20488463070589</v>
      </c>
      <c r="S321" t="s">
        <v>9</v>
      </c>
      <c r="T321">
        <v>-1.4269208147503301</v>
      </c>
      <c r="U321" t="s">
        <v>10</v>
      </c>
      <c r="V321">
        <v>0.99023062153145702</v>
      </c>
      <c r="W321" t="s">
        <v>11</v>
      </c>
      <c r="X321" t="s">
        <v>2445</v>
      </c>
      <c r="Y321" t="s">
        <v>1987</v>
      </c>
      <c r="Z321">
        <v>0</v>
      </c>
      <c r="AA321" t="s">
        <v>14</v>
      </c>
      <c r="AB321" t="s">
        <v>15</v>
      </c>
      <c r="AC321" t="s">
        <v>2485</v>
      </c>
      <c r="AD321" t="s">
        <v>2132</v>
      </c>
      <c r="AE321">
        <v>0</v>
      </c>
      <c r="AF321" t="s">
        <v>18</v>
      </c>
    </row>
    <row r="322" spans="1:32" x14ac:dyDescent="0.3">
      <c r="A322" t="s">
        <v>262</v>
      </c>
      <c r="B322" t="s">
        <v>1</v>
      </c>
      <c r="C322">
        <v>0.4</v>
      </c>
      <c r="D322" t="s">
        <v>588</v>
      </c>
      <c r="E322" t="s">
        <v>2323</v>
      </c>
      <c r="F322">
        <v>0.2</v>
      </c>
      <c r="G322" t="s">
        <v>2332</v>
      </c>
      <c r="H322" t="s">
        <v>1999</v>
      </c>
      <c r="I322" t="s">
        <v>4</v>
      </c>
      <c r="J322">
        <v>370</v>
      </c>
      <c r="K322" t="s">
        <v>5</v>
      </c>
      <c r="L322">
        <v>127</v>
      </c>
      <c r="M322" t="s">
        <v>6</v>
      </c>
      <c r="N322">
        <v>18.267178539843201</v>
      </c>
      <c r="O322" t="s">
        <v>7</v>
      </c>
      <c r="P322">
        <v>4.9370752810386997E-2</v>
      </c>
      <c r="Q322" t="s">
        <v>8</v>
      </c>
      <c r="R322">
        <v>2.2621151043182</v>
      </c>
      <c r="S322" t="s">
        <v>9</v>
      </c>
      <c r="T322">
        <v>-1.10708411402703</v>
      </c>
      <c r="U322" t="s">
        <v>10</v>
      </c>
      <c r="V322">
        <v>0.65524880549706299</v>
      </c>
      <c r="W322" t="s">
        <v>11</v>
      </c>
      <c r="X322" t="s">
        <v>2486</v>
      </c>
      <c r="Y322" t="s">
        <v>595</v>
      </c>
      <c r="Z322">
        <v>0</v>
      </c>
      <c r="AA322" t="s">
        <v>14</v>
      </c>
      <c r="AB322" t="s">
        <v>15</v>
      </c>
      <c r="AC322" t="s">
        <v>2487</v>
      </c>
      <c r="AD322" t="s">
        <v>595</v>
      </c>
      <c r="AE322">
        <v>0</v>
      </c>
      <c r="AF322" t="s">
        <v>18</v>
      </c>
    </row>
    <row r="323" spans="1:32" x14ac:dyDescent="0.3">
      <c r="A323" t="s">
        <v>262</v>
      </c>
      <c r="B323" t="s">
        <v>1</v>
      </c>
      <c r="C323">
        <v>0.4</v>
      </c>
      <c r="D323" t="s">
        <v>588</v>
      </c>
      <c r="E323" t="s">
        <v>2323</v>
      </c>
      <c r="F323">
        <v>0.2</v>
      </c>
      <c r="G323" t="s">
        <v>2332</v>
      </c>
      <c r="H323" t="s">
        <v>2002</v>
      </c>
      <c r="I323" t="s">
        <v>4</v>
      </c>
      <c r="J323">
        <v>370</v>
      </c>
      <c r="K323" t="s">
        <v>5</v>
      </c>
      <c r="L323">
        <v>155</v>
      </c>
      <c r="M323" t="s">
        <v>6</v>
      </c>
      <c r="N323">
        <v>60.904411636757096</v>
      </c>
      <c r="O323" t="s">
        <v>7</v>
      </c>
      <c r="P323">
        <v>0.16460651793718101</v>
      </c>
      <c r="Q323" t="s">
        <v>8</v>
      </c>
      <c r="R323">
        <v>2.34658338070063</v>
      </c>
      <c r="S323" t="s">
        <v>9</v>
      </c>
      <c r="T323">
        <v>-1.4084465691713499</v>
      </c>
      <c r="U323" t="s">
        <v>10</v>
      </c>
      <c r="V323">
        <v>0.79576704342970195</v>
      </c>
      <c r="W323" t="s">
        <v>11</v>
      </c>
      <c r="X323" t="s">
        <v>2486</v>
      </c>
      <c r="Y323" t="s">
        <v>595</v>
      </c>
      <c r="Z323">
        <v>0</v>
      </c>
      <c r="AA323" t="s">
        <v>14</v>
      </c>
      <c r="AB323" t="s">
        <v>15</v>
      </c>
      <c r="AC323" t="s">
        <v>2488</v>
      </c>
      <c r="AD323" t="s">
        <v>1987</v>
      </c>
      <c r="AE323">
        <v>0</v>
      </c>
      <c r="AF323" t="s">
        <v>18</v>
      </c>
    </row>
    <row r="324" spans="1:32" x14ac:dyDescent="0.3">
      <c r="A324" t="s">
        <v>262</v>
      </c>
      <c r="B324" t="s">
        <v>1</v>
      </c>
      <c r="C324">
        <v>0.4</v>
      </c>
      <c r="D324" t="s">
        <v>588</v>
      </c>
      <c r="E324" t="s">
        <v>2323</v>
      </c>
      <c r="F324">
        <v>0.2</v>
      </c>
      <c r="G324" t="s">
        <v>2332</v>
      </c>
      <c r="H324" t="s">
        <v>2004</v>
      </c>
      <c r="I324" t="s">
        <v>4</v>
      </c>
      <c r="J324">
        <v>370</v>
      </c>
      <c r="K324" t="s">
        <v>5</v>
      </c>
      <c r="L324">
        <v>157</v>
      </c>
      <c r="M324" t="s">
        <v>6</v>
      </c>
      <c r="N324">
        <v>37.103342766280797</v>
      </c>
      <c r="O324" t="s">
        <v>7</v>
      </c>
      <c r="P324">
        <v>0.100279304773731</v>
      </c>
      <c r="Q324" t="s">
        <v>8</v>
      </c>
      <c r="R324">
        <v>2.34777340132865</v>
      </c>
      <c r="S324" t="s">
        <v>9</v>
      </c>
      <c r="T324">
        <v>-1.5563243250812999</v>
      </c>
      <c r="U324" t="s">
        <v>10</v>
      </c>
      <c r="V324">
        <v>0.85893268006256096</v>
      </c>
      <c r="W324" t="s">
        <v>11</v>
      </c>
      <c r="X324" t="s">
        <v>2486</v>
      </c>
      <c r="Y324" t="s">
        <v>595</v>
      </c>
      <c r="Z324">
        <v>0</v>
      </c>
      <c r="AA324" t="s">
        <v>14</v>
      </c>
      <c r="AB324" t="s">
        <v>15</v>
      </c>
      <c r="AC324" t="s">
        <v>2489</v>
      </c>
      <c r="AD324" t="s">
        <v>2132</v>
      </c>
      <c r="AE324">
        <v>0</v>
      </c>
      <c r="AF324" t="s">
        <v>18</v>
      </c>
    </row>
    <row r="325" spans="1:32" x14ac:dyDescent="0.3">
      <c r="A325" t="s">
        <v>262</v>
      </c>
      <c r="B325" t="s">
        <v>1</v>
      </c>
      <c r="C325">
        <v>0.4</v>
      </c>
      <c r="D325" t="s">
        <v>588</v>
      </c>
      <c r="E325" t="s">
        <v>2323</v>
      </c>
      <c r="F325">
        <v>0.2</v>
      </c>
      <c r="G325" t="s">
        <v>2332</v>
      </c>
      <c r="H325" t="s">
        <v>2005</v>
      </c>
      <c r="I325" t="s">
        <v>4</v>
      </c>
      <c r="J325">
        <v>370</v>
      </c>
      <c r="K325" t="s">
        <v>5</v>
      </c>
      <c r="L325">
        <v>164</v>
      </c>
      <c r="M325" t="s">
        <v>6</v>
      </c>
      <c r="N325">
        <v>69.593342766280898</v>
      </c>
      <c r="O325" t="s">
        <v>7</v>
      </c>
      <c r="P325">
        <v>0.188090115584543</v>
      </c>
      <c r="Q325" t="s">
        <v>8</v>
      </c>
      <c r="R325">
        <v>2.3382342927353599</v>
      </c>
      <c r="S325" t="s">
        <v>9</v>
      </c>
      <c r="T325">
        <v>-1.52367515166173</v>
      </c>
      <c r="U325" t="s">
        <v>10</v>
      </c>
      <c r="V325">
        <v>0.91953713407949</v>
      </c>
      <c r="W325" t="s">
        <v>11</v>
      </c>
      <c r="X325" t="s">
        <v>2486</v>
      </c>
      <c r="Y325" t="s">
        <v>595</v>
      </c>
      <c r="Z325">
        <v>0</v>
      </c>
      <c r="AA325" t="s">
        <v>14</v>
      </c>
      <c r="AB325" t="s">
        <v>15</v>
      </c>
      <c r="AC325" t="s">
        <v>2490</v>
      </c>
      <c r="AD325" t="s">
        <v>2132</v>
      </c>
      <c r="AE325">
        <v>0</v>
      </c>
      <c r="AF325" t="s">
        <v>18</v>
      </c>
    </row>
    <row r="326" spans="1:32" x14ac:dyDescent="0.3">
      <c r="A326" t="s">
        <v>262</v>
      </c>
      <c r="B326" t="s">
        <v>1</v>
      </c>
      <c r="C326">
        <v>0.4</v>
      </c>
      <c r="D326" t="s">
        <v>588</v>
      </c>
      <c r="E326" t="s">
        <v>2323</v>
      </c>
      <c r="F326">
        <v>0.2</v>
      </c>
      <c r="G326" t="s">
        <v>2347</v>
      </c>
      <c r="H326" t="s">
        <v>1979</v>
      </c>
      <c r="I326" t="s">
        <v>4</v>
      </c>
      <c r="J326">
        <v>375</v>
      </c>
      <c r="K326" t="s">
        <v>5</v>
      </c>
      <c r="L326">
        <v>208</v>
      </c>
      <c r="M326" t="s">
        <v>6</v>
      </c>
      <c r="N326">
        <v>-24.347570400456</v>
      </c>
      <c r="O326" t="s">
        <v>7</v>
      </c>
      <c r="P326">
        <v>-6.4926854401215997E-2</v>
      </c>
      <c r="Q326" t="s">
        <v>8</v>
      </c>
      <c r="R326">
        <v>1.22586538461538</v>
      </c>
      <c r="S326" t="s">
        <v>9</v>
      </c>
      <c r="T326">
        <v>-1.6726201820386499</v>
      </c>
      <c r="U326" t="s">
        <v>10</v>
      </c>
      <c r="V326">
        <v>0.84049649515659997</v>
      </c>
      <c r="W326" t="s">
        <v>11</v>
      </c>
      <c r="X326" t="s">
        <v>2491</v>
      </c>
      <c r="Y326" t="s">
        <v>720</v>
      </c>
      <c r="Z326">
        <v>0</v>
      </c>
      <c r="AA326" t="s">
        <v>14</v>
      </c>
      <c r="AB326" t="s">
        <v>15</v>
      </c>
      <c r="AC326" t="s">
        <v>2492</v>
      </c>
      <c r="AD326" t="s">
        <v>2392</v>
      </c>
      <c r="AE326">
        <v>0</v>
      </c>
      <c r="AF326" t="s">
        <v>18</v>
      </c>
    </row>
    <row r="327" spans="1:32" x14ac:dyDescent="0.3">
      <c r="A327" t="s">
        <v>262</v>
      </c>
      <c r="B327" t="s">
        <v>1</v>
      </c>
      <c r="C327">
        <v>0.4</v>
      </c>
      <c r="D327" t="s">
        <v>588</v>
      </c>
      <c r="E327" t="s">
        <v>2323</v>
      </c>
      <c r="F327">
        <v>0.2</v>
      </c>
      <c r="G327" t="s">
        <v>2347</v>
      </c>
      <c r="H327" t="s">
        <v>1982</v>
      </c>
      <c r="I327" t="s">
        <v>4</v>
      </c>
      <c r="J327">
        <v>375</v>
      </c>
      <c r="K327" t="s">
        <v>5</v>
      </c>
      <c r="L327">
        <v>234</v>
      </c>
      <c r="M327" t="s">
        <v>6</v>
      </c>
      <c r="N327">
        <v>-11.787570400456</v>
      </c>
      <c r="O327" t="s">
        <v>7</v>
      </c>
      <c r="P327">
        <v>-3.1433521067882698E-2</v>
      </c>
      <c r="Q327" t="s">
        <v>8</v>
      </c>
      <c r="R327">
        <v>1.2764529914529901</v>
      </c>
      <c r="S327" t="s">
        <v>9</v>
      </c>
      <c r="T327">
        <v>-2.2019685844003898</v>
      </c>
      <c r="U327" t="s">
        <v>10</v>
      </c>
      <c r="V327">
        <v>1.0340711619018601</v>
      </c>
      <c r="W327" t="s">
        <v>11</v>
      </c>
      <c r="X327" t="s">
        <v>2491</v>
      </c>
      <c r="Y327" t="s">
        <v>720</v>
      </c>
      <c r="Z327">
        <v>0</v>
      </c>
      <c r="AA327" t="s">
        <v>14</v>
      </c>
      <c r="AB327" t="s">
        <v>15</v>
      </c>
      <c r="AC327" t="s">
        <v>2493</v>
      </c>
      <c r="AD327" t="s">
        <v>2192</v>
      </c>
      <c r="AE327">
        <v>0</v>
      </c>
      <c r="AF327" t="s">
        <v>18</v>
      </c>
    </row>
    <row r="328" spans="1:32" x14ac:dyDescent="0.3">
      <c r="A328" t="s">
        <v>262</v>
      </c>
      <c r="B328" t="s">
        <v>1</v>
      </c>
      <c r="C328">
        <v>0.4</v>
      </c>
      <c r="D328" t="s">
        <v>588</v>
      </c>
      <c r="E328" t="s">
        <v>2323</v>
      </c>
      <c r="F328">
        <v>0.2</v>
      </c>
      <c r="G328" t="s">
        <v>2347</v>
      </c>
      <c r="H328" t="s">
        <v>1985</v>
      </c>
      <c r="I328" t="s">
        <v>4</v>
      </c>
      <c r="J328">
        <v>375</v>
      </c>
      <c r="K328" t="s">
        <v>5</v>
      </c>
      <c r="L328">
        <v>251</v>
      </c>
      <c r="M328" t="s">
        <v>6</v>
      </c>
      <c r="N328">
        <v>-25.217570400456101</v>
      </c>
      <c r="O328" t="s">
        <v>7</v>
      </c>
      <c r="P328">
        <v>-6.7246854401216305E-2</v>
      </c>
      <c r="Q328" t="s">
        <v>8</v>
      </c>
      <c r="R328">
        <v>1.33215139442231</v>
      </c>
      <c r="S328" t="s">
        <v>9</v>
      </c>
      <c r="T328">
        <v>-2.8998997612939998</v>
      </c>
      <c r="U328" t="s">
        <v>10</v>
      </c>
      <c r="V328">
        <v>1.3039237304636899</v>
      </c>
      <c r="W328" t="s">
        <v>11</v>
      </c>
      <c r="X328" t="s">
        <v>2351</v>
      </c>
      <c r="Y328" t="s">
        <v>720</v>
      </c>
      <c r="Z328">
        <v>0</v>
      </c>
      <c r="AA328" t="s">
        <v>14</v>
      </c>
      <c r="AB328" t="s">
        <v>15</v>
      </c>
      <c r="AC328" t="s">
        <v>2494</v>
      </c>
      <c r="AD328" t="s">
        <v>720</v>
      </c>
      <c r="AE328">
        <v>0</v>
      </c>
      <c r="AF328" t="s">
        <v>18</v>
      </c>
    </row>
    <row r="329" spans="1:32" x14ac:dyDescent="0.3">
      <c r="A329" t="s">
        <v>262</v>
      </c>
      <c r="B329" t="s">
        <v>1</v>
      </c>
      <c r="C329">
        <v>0.4</v>
      </c>
      <c r="D329" t="s">
        <v>588</v>
      </c>
      <c r="E329" t="s">
        <v>2323</v>
      </c>
      <c r="F329">
        <v>0.2</v>
      </c>
      <c r="G329" t="s">
        <v>2347</v>
      </c>
      <c r="H329" t="s">
        <v>1988</v>
      </c>
      <c r="I329" t="s">
        <v>4</v>
      </c>
      <c r="J329">
        <v>375</v>
      </c>
      <c r="K329" t="s">
        <v>5</v>
      </c>
      <c r="L329">
        <v>256</v>
      </c>
      <c r="M329" t="s">
        <v>6</v>
      </c>
      <c r="N329">
        <v>-80.457570400456106</v>
      </c>
      <c r="O329" t="s">
        <v>7</v>
      </c>
      <c r="P329">
        <v>-0.214553521067883</v>
      </c>
      <c r="Q329" t="s">
        <v>8</v>
      </c>
      <c r="R329">
        <v>1.3617187500000001</v>
      </c>
      <c r="S329" t="s">
        <v>9</v>
      </c>
      <c r="T329">
        <v>-3.6055258016845002</v>
      </c>
      <c r="U329" t="s">
        <v>10</v>
      </c>
      <c r="V329">
        <v>1.61438207085372</v>
      </c>
      <c r="W329" t="s">
        <v>11</v>
      </c>
      <c r="X329" t="s">
        <v>2351</v>
      </c>
      <c r="Y329" t="s">
        <v>720</v>
      </c>
      <c r="Z329">
        <v>0</v>
      </c>
      <c r="AA329" t="s">
        <v>14</v>
      </c>
      <c r="AB329" t="s">
        <v>15</v>
      </c>
      <c r="AC329" t="s">
        <v>2494</v>
      </c>
      <c r="AD329" t="s">
        <v>720</v>
      </c>
      <c r="AE329">
        <v>0</v>
      </c>
      <c r="AF329" t="s">
        <v>18</v>
      </c>
    </row>
    <row r="330" spans="1:32" x14ac:dyDescent="0.3">
      <c r="A330" t="s">
        <v>262</v>
      </c>
      <c r="B330" t="s">
        <v>1</v>
      </c>
      <c r="C330">
        <v>0.4</v>
      </c>
      <c r="D330" t="s">
        <v>588</v>
      </c>
      <c r="E330" t="s">
        <v>2323</v>
      </c>
      <c r="F330">
        <v>0.2</v>
      </c>
      <c r="G330" t="s">
        <v>2355</v>
      </c>
      <c r="H330" t="s">
        <v>1991</v>
      </c>
      <c r="I330" t="s">
        <v>4</v>
      </c>
      <c r="J330">
        <v>376</v>
      </c>
      <c r="K330" t="s">
        <v>5</v>
      </c>
      <c r="L330">
        <v>200</v>
      </c>
      <c r="M330" t="s">
        <v>6</v>
      </c>
      <c r="N330">
        <v>13.9047422124343</v>
      </c>
      <c r="O330" t="s">
        <v>7</v>
      </c>
      <c r="P330">
        <v>3.6980697373495602E-2</v>
      </c>
      <c r="Q330" t="s">
        <v>8</v>
      </c>
      <c r="R330">
        <v>1.4572702095441299</v>
      </c>
      <c r="S330" t="s">
        <v>9</v>
      </c>
      <c r="T330">
        <v>-1.5769846573658599</v>
      </c>
      <c r="U330" t="s">
        <v>10</v>
      </c>
      <c r="V330">
        <v>0.74349341122202695</v>
      </c>
      <c r="W330" t="s">
        <v>11</v>
      </c>
      <c r="X330" t="s">
        <v>2495</v>
      </c>
      <c r="Y330" t="s">
        <v>720</v>
      </c>
      <c r="Z330">
        <v>0</v>
      </c>
      <c r="AA330" t="s">
        <v>14</v>
      </c>
      <c r="AB330" t="s">
        <v>15</v>
      </c>
      <c r="AC330" t="s">
        <v>2492</v>
      </c>
      <c r="AD330" t="s">
        <v>2392</v>
      </c>
      <c r="AE330">
        <v>0</v>
      </c>
      <c r="AF330" t="s">
        <v>18</v>
      </c>
    </row>
    <row r="331" spans="1:32" x14ac:dyDescent="0.3">
      <c r="A331" t="s">
        <v>262</v>
      </c>
      <c r="B331" t="s">
        <v>1</v>
      </c>
      <c r="C331">
        <v>0.4</v>
      </c>
      <c r="D331" t="s">
        <v>588</v>
      </c>
      <c r="E331" t="s">
        <v>2323</v>
      </c>
      <c r="F331">
        <v>0.2</v>
      </c>
      <c r="G331" t="s">
        <v>2355</v>
      </c>
      <c r="H331" t="s">
        <v>1994</v>
      </c>
      <c r="I331" t="s">
        <v>4</v>
      </c>
      <c r="J331">
        <v>376</v>
      </c>
      <c r="K331" t="s">
        <v>5</v>
      </c>
      <c r="L331">
        <v>227</v>
      </c>
      <c r="M331" t="s">
        <v>6</v>
      </c>
      <c r="N331">
        <v>-1.64626804226812</v>
      </c>
      <c r="O331" t="s">
        <v>7</v>
      </c>
      <c r="P331">
        <v>-4.3783724528407503E-3</v>
      </c>
      <c r="Q331" t="s">
        <v>8</v>
      </c>
      <c r="R331">
        <v>1.47274908329879</v>
      </c>
      <c r="S331" t="s">
        <v>9</v>
      </c>
      <c r="T331">
        <v>-2.2547671808798202</v>
      </c>
      <c r="U331" t="s">
        <v>10</v>
      </c>
      <c r="V331">
        <v>0.95266207531228297</v>
      </c>
      <c r="W331" t="s">
        <v>11</v>
      </c>
      <c r="X331" t="s">
        <v>2496</v>
      </c>
      <c r="Y331" t="s">
        <v>720</v>
      </c>
      <c r="Z331">
        <v>0</v>
      </c>
      <c r="AA331" t="s">
        <v>14</v>
      </c>
      <c r="AB331" t="s">
        <v>15</v>
      </c>
      <c r="AC331" t="s">
        <v>2497</v>
      </c>
      <c r="AD331" t="s">
        <v>720</v>
      </c>
      <c r="AE331">
        <v>0</v>
      </c>
      <c r="AF331" t="s">
        <v>18</v>
      </c>
    </row>
    <row r="332" spans="1:32" x14ac:dyDescent="0.3">
      <c r="A332" t="s">
        <v>262</v>
      </c>
      <c r="B332" t="s">
        <v>1</v>
      </c>
      <c r="C332">
        <v>0.4</v>
      </c>
      <c r="D332" t="s">
        <v>588</v>
      </c>
      <c r="E332" t="s">
        <v>2323</v>
      </c>
      <c r="F332">
        <v>0.2</v>
      </c>
      <c r="G332" t="s">
        <v>2355</v>
      </c>
      <c r="H332" t="s">
        <v>1996</v>
      </c>
      <c r="I332" t="s">
        <v>4</v>
      </c>
      <c r="J332">
        <v>376</v>
      </c>
      <c r="K332" t="s">
        <v>5</v>
      </c>
      <c r="L332">
        <v>251</v>
      </c>
      <c r="M332" t="s">
        <v>6</v>
      </c>
      <c r="N332">
        <v>45.427885708461801</v>
      </c>
      <c r="O332" t="s">
        <v>7</v>
      </c>
      <c r="P332">
        <v>0.120818844969313</v>
      </c>
      <c r="Q332" t="s">
        <v>8</v>
      </c>
      <c r="R332">
        <v>1.52101775342198</v>
      </c>
      <c r="S332" t="s">
        <v>9</v>
      </c>
      <c r="T332">
        <v>-2.6907805632036399</v>
      </c>
      <c r="U332" t="s">
        <v>10</v>
      </c>
      <c r="V332">
        <v>1.0845351800047001</v>
      </c>
      <c r="W332" t="s">
        <v>11</v>
      </c>
      <c r="X332" t="s">
        <v>2496</v>
      </c>
      <c r="Y332" t="s">
        <v>720</v>
      </c>
      <c r="Z332">
        <v>0</v>
      </c>
      <c r="AA332" t="s">
        <v>14</v>
      </c>
      <c r="AB332" t="s">
        <v>15</v>
      </c>
      <c r="AC332" t="s">
        <v>2498</v>
      </c>
      <c r="AD332" t="s">
        <v>2192</v>
      </c>
      <c r="AE332">
        <v>0</v>
      </c>
      <c r="AF332" t="s">
        <v>18</v>
      </c>
    </row>
    <row r="333" spans="1:32" x14ac:dyDescent="0.3">
      <c r="A333" t="s">
        <v>262</v>
      </c>
      <c r="B333" t="s">
        <v>1</v>
      </c>
      <c r="C333">
        <v>0.4</v>
      </c>
      <c r="D333" t="s">
        <v>588</v>
      </c>
      <c r="E333" t="s">
        <v>2323</v>
      </c>
      <c r="F333">
        <v>0.2</v>
      </c>
      <c r="G333" t="s">
        <v>2355</v>
      </c>
      <c r="H333" t="s">
        <v>1997</v>
      </c>
      <c r="I333" t="s">
        <v>4</v>
      </c>
      <c r="J333">
        <v>376</v>
      </c>
      <c r="K333" t="s">
        <v>5</v>
      </c>
      <c r="L333">
        <v>265</v>
      </c>
      <c r="M333" t="s">
        <v>6</v>
      </c>
      <c r="N333">
        <v>19.027885708461699</v>
      </c>
      <c r="O333" t="s">
        <v>7</v>
      </c>
      <c r="P333">
        <v>5.0606079011866298E-2</v>
      </c>
      <c r="Q333" t="s">
        <v>8</v>
      </c>
      <c r="R333">
        <v>1.5689262494676099</v>
      </c>
      <c r="S333" t="s">
        <v>9</v>
      </c>
      <c r="T333">
        <v>-3.5742123459500501</v>
      </c>
      <c r="U333" t="s">
        <v>10</v>
      </c>
      <c r="V333">
        <v>1.3286019378346801</v>
      </c>
      <c r="W333" t="s">
        <v>11</v>
      </c>
      <c r="X333" t="s">
        <v>2496</v>
      </c>
      <c r="Y333" t="s">
        <v>720</v>
      </c>
      <c r="Z333">
        <v>0</v>
      </c>
      <c r="AA333" t="s">
        <v>14</v>
      </c>
      <c r="AB333" t="s">
        <v>15</v>
      </c>
      <c r="AC333" t="s">
        <v>2499</v>
      </c>
      <c r="AD333" t="s">
        <v>2123</v>
      </c>
      <c r="AE333">
        <v>0</v>
      </c>
      <c r="AF333" t="s">
        <v>18</v>
      </c>
    </row>
    <row r="334" spans="1:32" x14ac:dyDescent="0.3">
      <c r="A334" t="s">
        <v>262</v>
      </c>
      <c r="B334" t="s">
        <v>1</v>
      </c>
      <c r="C334">
        <v>0.4</v>
      </c>
      <c r="D334" t="s">
        <v>588</v>
      </c>
      <c r="E334" t="s">
        <v>2323</v>
      </c>
      <c r="F334">
        <v>0.2</v>
      </c>
      <c r="G334" t="s">
        <v>2361</v>
      </c>
      <c r="H334" t="s">
        <v>1999</v>
      </c>
      <c r="I334" t="s">
        <v>4</v>
      </c>
      <c r="J334">
        <v>370</v>
      </c>
      <c r="K334" t="s">
        <v>5</v>
      </c>
      <c r="L334">
        <v>201</v>
      </c>
      <c r="M334" t="s">
        <v>6</v>
      </c>
      <c r="N334">
        <v>51.3324872228796</v>
      </c>
      <c r="O334" t="s">
        <v>7</v>
      </c>
      <c r="P334">
        <v>0.138736451953728</v>
      </c>
      <c r="Q334" t="s">
        <v>8</v>
      </c>
      <c r="R334">
        <v>1.6439039704710801</v>
      </c>
      <c r="S334" t="s">
        <v>9</v>
      </c>
      <c r="T334">
        <v>-1.6612631597726699</v>
      </c>
      <c r="U334" t="s">
        <v>10</v>
      </c>
      <c r="V334">
        <v>0.68561444127091897</v>
      </c>
      <c r="W334" t="s">
        <v>11</v>
      </c>
      <c r="X334" t="s">
        <v>2362</v>
      </c>
      <c r="Y334" t="s">
        <v>595</v>
      </c>
      <c r="Z334">
        <v>0</v>
      </c>
      <c r="AA334" t="s">
        <v>14</v>
      </c>
      <c r="AB334" t="s">
        <v>15</v>
      </c>
      <c r="AC334" t="s">
        <v>2500</v>
      </c>
      <c r="AD334" t="s">
        <v>2392</v>
      </c>
      <c r="AE334">
        <v>0</v>
      </c>
      <c r="AF334" t="s">
        <v>18</v>
      </c>
    </row>
    <row r="335" spans="1:32" x14ac:dyDescent="0.3">
      <c r="A335" t="s">
        <v>262</v>
      </c>
      <c r="B335" t="s">
        <v>1</v>
      </c>
      <c r="C335">
        <v>0.4</v>
      </c>
      <c r="D335" t="s">
        <v>588</v>
      </c>
      <c r="E335" t="s">
        <v>2323</v>
      </c>
      <c r="F335">
        <v>0.2</v>
      </c>
      <c r="G335" t="s">
        <v>2361</v>
      </c>
      <c r="H335" t="s">
        <v>2002</v>
      </c>
      <c r="I335" t="s">
        <v>4</v>
      </c>
      <c r="J335">
        <v>370</v>
      </c>
      <c r="K335" t="s">
        <v>5</v>
      </c>
      <c r="L335">
        <v>235</v>
      </c>
      <c r="M335" t="s">
        <v>6</v>
      </c>
      <c r="N335">
        <v>66.380132142637507</v>
      </c>
      <c r="O335" t="s">
        <v>7</v>
      </c>
      <c r="P335">
        <v>0.17940576254766799</v>
      </c>
      <c r="Q335" t="s">
        <v>8</v>
      </c>
      <c r="R335">
        <v>1.6856331950480701</v>
      </c>
      <c r="S335" t="s">
        <v>9</v>
      </c>
      <c r="T335">
        <v>-2.4607736469676098</v>
      </c>
      <c r="U335" t="s">
        <v>10</v>
      </c>
      <c r="V335">
        <v>0.83684331155064295</v>
      </c>
      <c r="W335" t="s">
        <v>11</v>
      </c>
      <c r="X335" t="s">
        <v>2362</v>
      </c>
      <c r="Y335" t="s">
        <v>595</v>
      </c>
      <c r="Z335">
        <v>0</v>
      </c>
      <c r="AA335" t="s">
        <v>14</v>
      </c>
      <c r="AB335" t="s">
        <v>15</v>
      </c>
      <c r="AC335" t="s">
        <v>2500</v>
      </c>
      <c r="AD335" t="s">
        <v>2392</v>
      </c>
      <c r="AE335">
        <v>0</v>
      </c>
      <c r="AF335" t="s">
        <v>18</v>
      </c>
    </row>
    <row r="336" spans="1:32" x14ac:dyDescent="0.3">
      <c r="A336" t="s">
        <v>262</v>
      </c>
      <c r="B336" t="s">
        <v>1</v>
      </c>
      <c r="C336">
        <v>0.4</v>
      </c>
      <c r="D336" t="s">
        <v>588</v>
      </c>
      <c r="E336" t="s">
        <v>2323</v>
      </c>
      <c r="F336">
        <v>0.2</v>
      </c>
      <c r="G336" t="s">
        <v>2361</v>
      </c>
      <c r="H336" t="s">
        <v>2004</v>
      </c>
      <c r="I336" t="s">
        <v>4</v>
      </c>
      <c r="J336">
        <v>370</v>
      </c>
      <c r="K336" t="s">
        <v>5</v>
      </c>
      <c r="L336">
        <v>260</v>
      </c>
      <c r="M336" t="s">
        <v>6</v>
      </c>
      <c r="N336">
        <v>94.824285893367403</v>
      </c>
      <c r="O336" t="s">
        <v>7</v>
      </c>
      <c r="P336">
        <v>0.25628185376585799</v>
      </c>
      <c r="Q336" t="s">
        <v>8</v>
      </c>
      <c r="R336">
        <v>1.72382860340569</v>
      </c>
      <c r="S336" t="s">
        <v>9</v>
      </c>
      <c r="T336">
        <v>-3.2419371650652602</v>
      </c>
      <c r="U336" t="s">
        <v>10</v>
      </c>
      <c r="V336">
        <v>0.97950394445855404</v>
      </c>
      <c r="W336" t="s">
        <v>11</v>
      </c>
      <c r="X336" t="s">
        <v>2501</v>
      </c>
      <c r="Y336" t="s">
        <v>2123</v>
      </c>
      <c r="Z336">
        <v>0</v>
      </c>
      <c r="AA336" t="s">
        <v>14</v>
      </c>
      <c r="AB336" t="s">
        <v>15</v>
      </c>
      <c r="AC336" t="s">
        <v>126</v>
      </c>
      <c r="AD336" t="s">
        <v>718</v>
      </c>
      <c r="AE336">
        <v>0</v>
      </c>
      <c r="AF336" t="s">
        <v>18</v>
      </c>
    </row>
    <row r="337" spans="1:32" x14ac:dyDescent="0.3">
      <c r="A337" t="s">
        <v>262</v>
      </c>
      <c r="B337" t="s">
        <v>1</v>
      </c>
      <c r="C337">
        <v>0.4</v>
      </c>
      <c r="D337" t="s">
        <v>588</v>
      </c>
      <c r="E337" t="s">
        <v>2323</v>
      </c>
      <c r="F337">
        <v>0.2</v>
      </c>
      <c r="G337" t="s">
        <v>2361</v>
      </c>
      <c r="H337" t="s">
        <v>2005</v>
      </c>
      <c r="I337" t="s">
        <v>4</v>
      </c>
      <c r="J337">
        <v>370</v>
      </c>
      <c r="K337" t="s">
        <v>5</v>
      </c>
      <c r="L337">
        <v>275</v>
      </c>
      <c r="M337" t="s">
        <v>6</v>
      </c>
      <c r="N337">
        <v>61.464285893367297</v>
      </c>
      <c r="O337" t="s">
        <v>7</v>
      </c>
      <c r="P337">
        <v>0.166119691603695</v>
      </c>
      <c r="Q337" t="s">
        <v>8</v>
      </c>
      <c r="R337">
        <v>1.74610703128639</v>
      </c>
      <c r="S337" t="s">
        <v>9</v>
      </c>
      <c r="T337">
        <v>-4.45441646500415</v>
      </c>
      <c r="U337" t="s">
        <v>10</v>
      </c>
      <c r="V337">
        <v>1.2480336850699001</v>
      </c>
      <c r="W337" t="s">
        <v>11</v>
      </c>
      <c r="X337" t="s">
        <v>2367</v>
      </c>
      <c r="Y337" t="s">
        <v>595</v>
      </c>
      <c r="Z337">
        <v>0</v>
      </c>
      <c r="AA337" t="s">
        <v>14</v>
      </c>
      <c r="AB337" t="s">
        <v>15</v>
      </c>
      <c r="AC337" t="s">
        <v>2401</v>
      </c>
      <c r="AD337" t="s">
        <v>595</v>
      </c>
      <c r="AE337">
        <v>0</v>
      </c>
      <c r="AF337" t="s">
        <v>18</v>
      </c>
    </row>
    <row r="338" spans="1:32" x14ac:dyDescent="0.3">
      <c r="A338" t="s">
        <v>262</v>
      </c>
      <c r="B338" t="s">
        <v>1</v>
      </c>
      <c r="C338">
        <v>0.3</v>
      </c>
      <c r="D338" t="s">
        <v>588</v>
      </c>
      <c r="E338" t="s">
        <v>2323</v>
      </c>
      <c r="F338">
        <v>0.15</v>
      </c>
      <c r="G338" t="s">
        <v>2324</v>
      </c>
      <c r="H338" t="s">
        <v>1979</v>
      </c>
      <c r="I338" t="s">
        <v>4</v>
      </c>
      <c r="J338">
        <v>375</v>
      </c>
      <c r="K338" t="s">
        <v>5</v>
      </c>
      <c r="L338">
        <v>127</v>
      </c>
      <c r="M338" t="s">
        <v>6</v>
      </c>
      <c r="N338">
        <v>-8.6422205188924295</v>
      </c>
      <c r="O338" t="s">
        <v>7</v>
      </c>
      <c r="P338">
        <v>-2.30459213837131E-2</v>
      </c>
      <c r="Q338" t="s">
        <v>8</v>
      </c>
      <c r="R338">
        <v>1.20876106848151</v>
      </c>
      <c r="S338" t="s">
        <v>9</v>
      </c>
      <c r="T338">
        <v>-0.65385030732276295</v>
      </c>
      <c r="U338" t="s">
        <v>10</v>
      </c>
      <c r="V338">
        <v>0.58571156573386396</v>
      </c>
      <c r="W338" t="s">
        <v>11</v>
      </c>
      <c r="X338" t="s">
        <v>2502</v>
      </c>
      <c r="Y338" t="s">
        <v>720</v>
      </c>
      <c r="Z338">
        <v>0</v>
      </c>
      <c r="AA338" t="s">
        <v>14</v>
      </c>
      <c r="AB338" t="s">
        <v>15</v>
      </c>
      <c r="AC338" t="s">
        <v>2503</v>
      </c>
      <c r="AD338" t="s">
        <v>2192</v>
      </c>
      <c r="AE338">
        <v>0</v>
      </c>
      <c r="AF338" t="s">
        <v>18</v>
      </c>
    </row>
    <row r="339" spans="1:32" x14ac:dyDescent="0.3">
      <c r="A339" t="s">
        <v>262</v>
      </c>
      <c r="B339" t="s">
        <v>1</v>
      </c>
      <c r="C339">
        <v>0.3</v>
      </c>
      <c r="D339" t="s">
        <v>588</v>
      </c>
      <c r="E339" t="s">
        <v>2323</v>
      </c>
      <c r="F339">
        <v>0.15</v>
      </c>
      <c r="G339" t="s">
        <v>2324</v>
      </c>
      <c r="H339" t="s">
        <v>1982</v>
      </c>
      <c r="I339" t="s">
        <v>4</v>
      </c>
      <c r="J339">
        <v>375</v>
      </c>
      <c r="K339" t="s">
        <v>5</v>
      </c>
      <c r="L339">
        <v>131</v>
      </c>
      <c r="M339" t="s">
        <v>6</v>
      </c>
      <c r="N339">
        <v>-53.672220518892402</v>
      </c>
      <c r="O339" t="s">
        <v>7</v>
      </c>
      <c r="P339">
        <v>-0.143125921383713</v>
      </c>
      <c r="Q339" t="s">
        <v>8</v>
      </c>
      <c r="R339">
        <v>1.2024630205889499</v>
      </c>
      <c r="S339" t="s">
        <v>9</v>
      </c>
      <c r="T339">
        <v>-0.86555277137723396</v>
      </c>
      <c r="U339" t="s">
        <v>10</v>
      </c>
      <c r="V339">
        <v>0.73558300631986695</v>
      </c>
      <c r="W339" t="s">
        <v>11</v>
      </c>
      <c r="X339" t="s">
        <v>2373</v>
      </c>
      <c r="Y339" t="s">
        <v>1987</v>
      </c>
      <c r="Z339">
        <v>0</v>
      </c>
      <c r="AA339" t="s">
        <v>14</v>
      </c>
      <c r="AB339" t="s">
        <v>15</v>
      </c>
      <c r="AC339" t="s">
        <v>2504</v>
      </c>
      <c r="AD339" t="s">
        <v>2132</v>
      </c>
      <c r="AE339">
        <v>0</v>
      </c>
      <c r="AF339" t="s">
        <v>18</v>
      </c>
    </row>
    <row r="340" spans="1:32" x14ac:dyDescent="0.3">
      <c r="A340" t="s">
        <v>262</v>
      </c>
      <c r="B340" t="s">
        <v>1</v>
      </c>
      <c r="C340">
        <v>0.3</v>
      </c>
      <c r="D340" t="s">
        <v>588</v>
      </c>
      <c r="E340" t="s">
        <v>2323</v>
      </c>
      <c r="F340">
        <v>0.15</v>
      </c>
      <c r="G340" t="s">
        <v>2324</v>
      </c>
      <c r="H340" t="s">
        <v>1985</v>
      </c>
      <c r="I340" t="s">
        <v>4</v>
      </c>
      <c r="J340">
        <v>375</v>
      </c>
      <c r="K340" t="s">
        <v>5</v>
      </c>
      <c r="L340">
        <v>133</v>
      </c>
      <c r="M340" t="s">
        <v>6</v>
      </c>
      <c r="N340">
        <v>-66.272220518892397</v>
      </c>
      <c r="O340" t="s">
        <v>7</v>
      </c>
      <c r="P340">
        <v>-0.17672592138371301</v>
      </c>
      <c r="Q340" t="s">
        <v>8</v>
      </c>
      <c r="R340">
        <v>1.2209974112567801</v>
      </c>
      <c r="S340" t="s">
        <v>9</v>
      </c>
      <c r="T340">
        <v>-0.94489618271093001</v>
      </c>
      <c r="U340" t="s">
        <v>10</v>
      </c>
      <c r="V340">
        <v>0.83968525430686902</v>
      </c>
      <c r="W340" t="s">
        <v>11</v>
      </c>
      <c r="X340" t="s">
        <v>2460</v>
      </c>
      <c r="Y340" t="s">
        <v>1987</v>
      </c>
      <c r="Z340">
        <v>0</v>
      </c>
      <c r="AA340" t="s">
        <v>14</v>
      </c>
      <c r="AB340" t="s">
        <v>15</v>
      </c>
      <c r="AC340" t="s">
        <v>2505</v>
      </c>
      <c r="AD340" t="s">
        <v>2132</v>
      </c>
      <c r="AE340">
        <v>0</v>
      </c>
      <c r="AF340" t="s">
        <v>18</v>
      </c>
    </row>
    <row r="341" spans="1:32" x14ac:dyDescent="0.3">
      <c r="A341" t="s">
        <v>262</v>
      </c>
      <c r="B341" t="s">
        <v>1</v>
      </c>
      <c r="C341">
        <v>0.3</v>
      </c>
      <c r="D341" t="s">
        <v>588</v>
      </c>
      <c r="E341" t="s">
        <v>2323</v>
      </c>
      <c r="F341">
        <v>0.15</v>
      </c>
      <c r="G341" t="s">
        <v>2324</v>
      </c>
      <c r="H341" t="s">
        <v>1988</v>
      </c>
      <c r="I341" t="s">
        <v>4</v>
      </c>
      <c r="J341">
        <v>375</v>
      </c>
      <c r="K341" t="s">
        <v>5</v>
      </c>
      <c r="L341">
        <v>135</v>
      </c>
      <c r="M341" t="s">
        <v>6</v>
      </c>
      <c r="N341">
        <v>-59.492220518892402</v>
      </c>
      <c r="O341" t="s">
        <v>7</v>
      </c>
      <c r="P341">
        <v>-0.158645921383713</v>
      </c>
      <c r="Q341" t="s">
        <v>8</v>
      </c>
      <c r="R341">
        <v>1.2201678199788999</v>
      </c>
      <c r="S341" t="s">
        <v>9</v>
      </c>
      <c r="T341">
        <v>-0.93422865090018803</v>
      </c>
      <c r="U341" t="s">
        <v>10</v>
      </c>
      <c r="V341">
        <v>0.85671244731297502</v>
      </c>
      <c r="W341" t="s">
        <v>11</v>
      </c>
      <c r="X341" t="s">
        <v>2460</v>
      </c>
      <c r="Y341" t="s">
        <v>1987</v>
      </c>
      <c r="Z341">
        <v>0</v>
      </c>
      <c r="AA341" t="s">
        <v>14</v>
      </c>
      <c r="AB341" t="s">
        <v>15</v>
      </c>
      <c r="AC341" t="s">
        <v>2505</v>
      </c>
      <c r="AD341" t="s">
        <v>2132</v>
      </c>
      <c r="AE341">
        <v>0</v>
      </c>
      <c r="AF341" t="s">
        <v>18</v>
      </c>
    </row>
    <row r="342" spans="1:32" x14ac:dyDescent="0.3">
      <c r="A342" t="s">
        <v>262</v>
      </c>
      <c r="B342" t="s">
        <v>1</v>
      </c>
      <c r="C342">
        <v>0.3</v>
      </c>
      <c r="D342" t="s">
        <v>588</v>
      </c>
      <c r="E342" t="s">
        <v>2323</v>
      </c>
      <c r="F342">
        <v>0.15</v>
      </c>
      <c r="G342" t="s">
        <v>2329</v>
      </c>
      <c r="H342" t="s">
        <v>1991</v>
      </c>
      <c r="I342" t="s">
        <v>4</v>
      </c>
      <c r="J342">
        <v>376</v>
      </c>
      <c r="K342" t="s">
        <v>5</v>
      </c>
      <c r="L342">
        <v>121</v>
      </c>
      <c r="M342" t="s">
        <v>6</v>
      </c>
      <c r="N342">
        <v>20.0066499767238</v>
      </c>
      <c r="O342" t="s">
        <v>7</v>
      </c>
      <c r="P342">
        <v>5.3209175470010202E-2</v>
      </c>
      <c r="Q342" t="s">
        <v>8</v>
      </c>
      <c r="R342">
        <v>1.67283875927619</v>
      </c>
      <c r="S342" t="s">
        <v>9</v>
      </c>
      <c r="T342">
        <v>-0.71532094076743302</v>
      </c>
      <c r="U342" t="s">
        <v>10</v>
      </c>
      <c r="V342">
        <v>0.59387943418982403</v>
      </c>
      <c r="W342" t="s">
        <v>11</v>
      </c>
      <c r="X342" t="s">
        <v>2506</v>
      </c>
      <c r="Y342" t="s">
        <v>2055</v>
      </c>
      <c r="Z342">
        <v>0</v>
      </c>
      <c r="AA342" t="s">
        <v>14</v>
      </c>
      <c r="AB342" t="s">
        <v>15</v>
      </c>
      <c r="AC342" t="s">
        <v>2507</v>
      </c>
      <c r="AD342" t="s">
        <v>2055</v>
      </c>
      <c r="AE342">
        <v>0</v>
      </c>
      <c r="AF342" t="s">
        <v>18</v>
      </c>
    </row>
    <row r="343" spans="1:32" x14ac:dyDescent="0.3">
      <c r="A343" t="s">
        <v>262</v>
      </c>
      <c r="B343" t="s">
        <v>1</v>
      </c>
      <c r="C343">
        <v>0.3</v>
      </c>
      <c r="D343" t="s">
        <v>588</v>
      </c>
      <c r="E343" t="s">
        <v>2323</v>
      </c>
      <c r="F343">
        <v>0.15</v>
      </c>
      <c r="G343" t="s">
        <v>2329</v>
      </c>
      <c r="H343" t="s">
        <v>1994</v>
      </c>
      <c r="I343" t="s">
        <v>4</v>
      </c>
      <c r="J343">
        <v>376</v>
      </c>
      <c r="K343" t="s">
        <v>5</v>
      </c>
      <c r="L343">
        <v>128</v>
      </c>
      <c r="M343" t="s">
        <v>6</v>
      </c>
      <c r="N343">
        <v>-22.179417748077</v>
      </c>
      <c r="O343" t="s">
        <v>7</v>
      </c>
      <c r="P343">
        <v>-5.8987813159779197E-2</v>
      </c>
      <c r="Q343" t="s">
        <v>8</v>
      </c>
      <c r="R343">
        <v>1.6703397646282701</v>
      </c>
      <c r="S343" t="s">
        <v>9</v>
      </c>
      <c r="T343">
        <v>-0.95154398234071103</v>
      </c>
      <c r="U343" t="s">
        <v>10</v>
      </c>
      <c r="V343">
        <v>0.72061735434687801</v>
      </c>
      <c r="W343" t="s">
        <v>11</v>
      </c>
      <c r="X343" t="s">
        <v>2445</v>
      </c>
      <c r="Y343" t="s">
        <v>1987</v>
      </c>
      <c r="Z343">
        <v>0</v>
      </c>
      <c r="AA343" t="s">
        <v>14</v>
      </c>
      <c r="AB343" t="s">
        <v>15</v>
      </c>
      <c r="AC343" t="s">
        <v>2508</v>
      </c>
      <c r="AD343" t="s">
        <v>2132</v>
      </c>
      <c r="AE343">
        <v>0</v>
      </c>
      <c r="AF343" t="s">
        <v>18</v>
      </c>
    </row>
    <row r="344" spans="1:32" x14ac:dyDescent="0.3">
      <c r="A344" t="s">
        <v>262</v>
      </c>
      <c r="B344" t="s">
        <v>1</v>
      </c>
      <c r="C344">
        <v>0.3</v>
      </c>
      <c r="D344" t="s">
        <v>588</v>
      </c>
      <c r="E344" t="s">
        <v>2323</v>
      </c>
      <c r="F344">
        <v>0.15</v>
      </c>
      <c r="G344" t="s">
        <v>2329</v>
      </c>
      <c r="H344" t="s">
        <v>1996</v>
      </c>
      <c r="I344" t="s">
        <v>4</v>
      </c>
      <c r="J344">
        <v>376</v>
      </c>
      <c r="K344" t="s">
        <v>5</v>
      </c>
      <c r="L344">
        <v>130</v>
      </c>
      <c r="M344" t="s">
        <v>6</v>
      </c>
      <c r="N344">
        <v>-32.819417748076901</v>
      </c>
      <c r="O344" t="s">
        <v>7</v>
      </c>
      <c r="P344">
        <v>-8.7285685500204699E-2</v>
      </c>
      <c r="Q344" t="s">
        <v>8</v>
      </c>
      <c r="R344">
        <v>1.6810268451724499</v>
      </c>
      <c r="S344" t="s">
        <v>9</v>
      </c>
      <c r="T344">
        <v>-1.02175978707518</v>
      </c>
      <c r="U344" t="s">
        <v>10</v>
      </c>
      <c r="V344">
        <v>0.76749991307261201</v>
      </c>
      <c r="W344" t="s">
        <v>11</v>
      </c>
      <c r="X344" t="s">
        <v>2445</v>
      </c>
      <c r="Y344" t="s">
        <v>1987</v>
      </c>
      <c r="Z344">
        <v>0</v>
      </c>
      <c r="AA344" t="s">
        <v>14</v>
      </c>
      <c r="AB344" t="s">
        <v>15</v>
      </c>
      <c r="AC344" t="s">
        <v>2509</v>
      </c>
      <c r="AD344" t="s">
        <v>1987</v>
      </c>
      <c r="AE344">
        <v>0</v>
      </c>
      <c r="AF344" t="s">
        <v>18</v>
      </c>
    </row>
    <row r="345" spans="1:32" x14ac:dyDescent="0.3">
      <c r="A345" t="s">
        <v>262</v>
      </c>
      <c r="B345" t="s">
        <v>1</v>
      </c>
      <c r="C345">
        <v>0.3</v>
      </c>
      <c r="D345" t="s">
        <v>588</v>
      </c>
      <c r="E345" t="s">
        <v>2323</v>
      </c>
      <c r="F345">
        <v>0.15</v>
      </c>
      <c r="G345" t="s">
        <v>2329</v>
      </c>
      <c r="H345" t="s">
        <v>1997</v>
      </c>
      <c r="I345" t="s">
        <v>4</v>
      </c>
      <c r="J345">
        <v>376</v>
      </c>
      <c r="K345" t="s">
        <v>5</v>
      </c>
      <c r="L345">
        <v>134</v>
      </c>
      <c r="M345" t="s">
        <v>6</v>
      </c>
      <c r="N345">
        <v>-16.3794177480769</v>
      </c>
      <c r="O345" t="s">
        <v>7</v>
      </c>
      <c r="P345">
        <v>-4.3562281244885599E-2</v>
      </c>
      <c r="Q345" t="s">
        <v>8</v>
      </c>
      <c r="R345">
        <v>1.6865185811374499</v>
      </c>
      <c r="S345" t="s">
        <v>9</v>
      </c>
      <c r="T345">
        <v>-1.00154094058056</v>
      </c>
      <c r="U345" t="s">
        <v>10</v>
      </c>
      <c r="V345">
        <v>0.788252541633648</v>
      </c>
      <c r="W345" t="s">
        <v>11</v>
      </c>
      <c r="X345" t="s">
        <v>2445</v>
      </c>
      <c r="Y345" t="s">
        <v>1987</v>
      </c>
      <c r="Z345">
        <v>0</v>
      </c>
      <c r="AA345" t="s">
        <v>14</v>
      </c>
      <c r="AB345" t="s">
        <v>15</v>
      </c>
      <c r="AC345" t="s">
        <v>2509</v>
      </c>
      <c r="AD345" t="s">
        <v>1987</v>
      </c>
      <c r="AE345">
        <v>0</v>
      </c>
      <c r="AF345" t="s">
        <v>18</v>
      </c>
    </row>
    <row r="346" spans="1:32" x14ac:dyDescent="0.3">
      <c r="A346" t="s">
        <v>262</v>
      </c>
      <c r="B346" t="s">
        <v>1</v>
      </c>
      <c r="C346">
        <v>0.3</v>
      </c>
      <c r="D346" t="s">
        <v>588</v>
      </c>
      <c r="E346" t="s">
        <v>2323</v>
      </c>
      <c r="F346">
        <v>0.15</v>
      </c>
      <c r="G346" t="s">
        <v>2332</v>
      </c>
      <c r="H346" t="s">
        <v>1999</v>
      </c>
      <c r="I346" t="s">
        <v>4</v>
      </c>
      <c r="J346">
        <v>370</v>
      </c>
      <c r="K346" t="s">
        <v>5</v>
      </c>
      <c r="L346">
        <v>116</v>
      </c>
      <c r="M346" t="s">
        <v>6</v>
      </c>
      <c r="N346">
        <v>11.632035548727</v>
      </c>
      <c r="O346" t="s">
        <v>7</v>
      </c>
      <c r="P346">
        <v>3.1437933915478403E-2</v>
      </c>
      <c r="Q346" t="s">
        <v>8</v>
      </c>
      <c r="R346">
        <v>1.9356594738169699</v>
      </c>
      <c r="S346" t="s">
        <v>9</v>
      </c>
      <c r="T346">
        <v>-0.83820654887418</v>
      </c>
      <c r="U346" t="s">
        <v>10</v>
      </c>
      <c r="V346">
        <v>0.57931377295520703</v>
      </c>
      <c r="W346" t="s">
        <v>11</v>
      </c>
      <c r="X346" t="s">
        <v>2377</v>
      </c>
      <c r="Y346" t="s">
        <v>77</v>
      </c>
      <c r="Z346">
        <v>0</v>
      </c>
      <c r="AA346" t="s">
        <v>14</v>
      </c>
      <c r="AB346" t="s">
        <v>15</v>
      </c>
      <c r="AC346" t="s">
        <v>2510</v>
      </c>
      <c r="AD346" t="s">
        <v>2132</v>
      </c>
      <c r="AE346">
        <v>0</v>
      </c>
      <c r="AF346" t="s">
        <v>18</v>
      </c>
    </row>
    <row r="347" spans="1:32" x14ac:dyDescent="0.3">
      <c r="A347" t="s">
        <v>262</v>
      </c>
      <c r="B347" t="s">
        <v>1</v>
      </c>
      <c r="C347">
        <v>0.3</v>
      </c>
      <c r="D347" t="s">
        <v>588</v>
      </c>
      <c r="E347" t="s">
        <v>2323</v>
      </c>
      <c r="F347">
        <v>0.15</v>
      </c>
      <c r="G347" t="s">
        <v>2332</v>
      </c>
      <c r="H347" t="s">
        <v>2002</v>
      </c>
      <c r="I347" t="s">
        <v>4</v>
      </c>
      <c r="J347">
        <v>370</v>
      </c>
      <c r="K347" t="s">
        <v>5</v>
      </c>
      <c r="L347">
        <v>129</v>
      </c>
      <c r="M347" t="s">
        <v>6</v>
      </c>
      <c r="N347">
        <v>11.5941808062536</v>
      </c>
      <c r="O347" t="s">
        <v>7</v>
      </c>
      <c r="P347">
        <v>3.1335623800685601E-2</v>
      </c>
      <c r="Q347" t="s">
        <v>8</v>
      </c>
      <c r="R347">
        <v>1.91794003257449</v>
      </c>
      <c r="S347" t="s">
        <v>9</v>
      </c>
      <c r="T347">
        <v>-0.97850657010728803</v>
      </c>
      <c r="U347" t="s">
        <v>10</v>
      </c>
      <c r="V347">
        <v>0.642085013107628</v>
      </c>
      <c r="W347" t="s">
        <v>11</v>
      </c>
      <c r="X347" t="s">
        <v>2379</v>
      </c>
      <c r="Y347" t="s">
        <v>595</v>
      </c>
      <c r="Z347">
        <v>0</v>
      </c>
      <c r="AA347" t="s">
        <v>14</v>
      </c>
      <c r="AB347" t="s">
        <v>15</v>
      </c>
      <c r="AC347" t="s">
        <v>2511</v>
      </c>
      <c r="AD347" t="s">
        <v>2132</v>
      </c>
      <c r="AE347">
        <v>0</v>
      </c>
      <c r="AF347" t="s">
        <v>18</v>
      </c>
    </row>
    <row r="348" spans="1:32" x14ac:dyDescent="0.3">
      <c r="A348" t="s">
        <v>262</v>
      </c>
      <c r="B348" t="s">
        <v>1</v>
      </c>
      <c r="C348">
        <v>0.3</v>
      </c>
      <c r="D348" t="s">
        <v>588</v>
      </c>
      <c r="E348" t="s">
        <v>2323</v>
      </c>
      <c r="F348">
        <v>0.15</v>
      </c>
      <c r="G348" t="s">
        <v>2332</v>
      </c>
      <c r="H348" t="s">
        <v>2004</v>
      </c>
      <c r="I348" t="s">
        <v>4</v>
      </c>
      <c r="J348">
        <v>370</v>
      </c>
      <c r="K348" t="s">
        <v>5</v>
      </c>
      <c r="L348">
        <v>131</v>
      </c>
      <c r="M348" t="s">
        <v>6</v>
      </c>
      <c r="N348">
        <v>-0.345819193746287</v>
      </c>
      <c r="O348" t="s">
        <v>7</v>
      </c>
      <c r="P348">
        <v>-9.3464646958456104E-4</v>
      </c>
      <c r="Q348" t="s">
        <v>8</v>
      </c>
      <c r="R348">
        <v>1.90499438322221</v>
      </c>
      <c r="S348" t="s">
        <v>9</v>
      </c>
      <c r="T348">
        <v>-1.0456070434972999</v>
      </c>
      <c r="U348" t="s">
        <v>10</v>
      </c>
      <c r="V348">
        <v>0.72471816605891004</v>
      </c>
      <c r="W348" t="s">
        <v>11</v>
      </c>
      <c r="X348" t="s">
        <v>2379</v>
      </c>
      <c r="Y348" t="s">
        <v>595</v>
      </c>
      <c r="Z348">
        <v>0</v>
      </c>
      <c r="AA348" t="s">
        <v>14</v>
      </c>
      <c r="AB348" t="s">
        <v>15</v>
      </c>
      <c r="AC348" t="s">
        <v>2512</v>
      </c>
      <c r="AD348" t="s">
        <v>2052</v>
      </c>
      <c r="AE348">
        <v>0</v>
      </c>
      <c r="AF348" t="s">
        <v>18</v>
      </c>
    </row>
    <row r="349" spans="1:32" x14ac:dyDescent="0.3">
      <c r="A349" t="s">
        <v>262</v>
      </c>
      <c r="B349" t="s">
        <v>1</v>
      </c>
      <c r="C349">
        <v>0.3</v>
      </c>
      <c r="D349" t="s">
        <v>588</v>
      </c>
      <c r="E349" t="s">
        <v>2323</v>
      </c>
      <c r="F349">
        <v>0.15</v>
      </c>
      <c r="G349" t="s">
        <v>2332</v>
      </c>
      <c r="H349" t="s">
        <v>2005</v>
      </c>
      <c r="I349" t="s">
        <v>4</v>
      </c>
      <c r="J349">
        <v>370</v>
      </c>
      <c r="K349" t="s">
        <v>5</v>
      </c>
      <c r="L349">
        <v>134</v>
      </c>
      <c r="M349" t="s">
        <v>6</v>
      </c>
      <c r="N349">
        <v>-3.9558191937463101</v>
      </c>
      <c r="O349" t="s">
        <v>7</v>
      </c>
      <c r="P349">
        <v>-1.0691403226341401E-2</v>
      </c>
      <c r="Q349" t="s">
        <v>8</v>
      </c>
      <c r="R349">
        <v>1.9199149266185001</v>
      </c>
      <c r="S349" t="s">
        <v>9</v>
      </c>
      <c r="T349">
        <v>-1.1068831328840001</v>
      </c>
      <c r="U349" t="s">
        <v>10</v>
      </c>
      <c r="V349">
        <v>0.74838466689428296</v>
      </c>
      <c r="W349" t="s">
        <v>11</v>
      </c>
      <c r="X349" t="s">
        <v>2379</v>
      </c>
      <c r="Y349" t="s">
        <v>595</v>
      </c>
      <c r="Z349">
        <v>0</v>
      </c>
      <c r="AA349" t="s">
        <v>14</v>
      </c>
      <c r="AB349" t="s">
        <v>15</v>
      </c>
      <c r="AC349" t="s">
        <v>2512</v>
      </c>
      <c r="AD349" t="s">
        <v>2052</v>
      </c>
      <c r="AE349">
        <v>0</v>
      </c>
      <c r="AF349" t="s">
        <v>18</v>
      </c>
    </row>
    <row r="350" spans="1:32" x14ac:dyDescent="0.3">
      <c r="A350" t="s">
        <v>262</v>
      </c>
      <c r="B350" t="s">
        <v>1</v>
      </c>
      <c r="C350">
        <v>0.3</v>
      </c>
      <c r="D350" t="s">
        <v>588</v>
      </c>
      <c r="E350" t="s">
        <v>2323</v>
      </c>
      <c r="F350">
        <v>0.15</v>
      </c>
      <c r="G350" t="s">
        <v>2347</v>
      </c>
      <c r="H350" t="s">
        <v>1979</v>
      </c>
      <c r="I350" t="s">
        <v>4</v>
      </c>
      <c r="J350">
        <v>375</v>
      </c>
      <c r="K350" t="s">
        <v>5</v>
      </c>
      <c r="L350">
        <v>234</v>
      </c>
      <c r="M350" t="s">
        <v>6</v>
      </c>
      <c r="N350">
        <v>-41.547643302874803</v>
      </c>
      <c r="O350" t="s">
        <v>7</v>
      </c>
      <c r="P350">
        <v>-0.11079371547433201</v>
      </c>
      <c r="Q350" t="s">
        <v>8</v>
      </c>
      <c r="R350">
        <v>0.81033988723199302</v>
      </c>
      <c r="S350" t="s">
        <v>9</v>
      </c>
      <c r="T350">
        <v>-1.639483524221</v>
      </c>
      <c r="U350" t="s">
        <v>10</v>
      </c>
      <c r="V350">
        <v>0.80637017150874002</v>
      </c>
      <c r="W350" t="s">
        <v>11</v>
      </c>
      <c r="X350" t="s">
        <v>2348</v>
      </c>
      <c r="Y350" t="s">
        <v>720</v>
      </c>
      <c r="Z350">
        <v>0</v>
      </c>
      <c r="AA350" t="s">
        <v>14</v>
      </c>
      <c r="AB350" t="s">
        <v>15</v>
      </c>
      <c r="AC350" t="s">
        <v>2513</v>
      </c>
      <c r="AD350" t="s">
        <v>720</v>
      </c>
      <c r="AE350">
        <v>0</v>
      </c>
      <c r="AF350" t="s">
        <v>18</v>
      </c>
    </row>
    <row r="351" spans="1:32" x14ac:dyDescent="0.3">
      <c r="A351" t="s">
        <v>262</v>
      </c>
      <c r="B351" t="s">
        <v>1</v>
      </c>
      <c r="C351">
        <v>0.3</v>
      </c>
      <c r="D351" t="s">
        <v>588</v>
      </c>
      <c r="E351" t="s">
        <v>2323</v>
      </c>
      <c r="F351">
        <v>0.15</v>
      </c>
      <c r="G351" t="s">
        <v>2347</v>
      </c>
      <c r="H351" t="s">
        <v>1982</v>
      </c>
      <c r="I351" t="s">
        <v>4</v>
      </c>
      <c r="J351">
        <v>375</v>
      </c>
      <c r="K351" t="s">
        <v>5</v>
      </c>
      <c r="L351">
        <v>254</v>
      </c>
      <c r="M351" t="s">
        <v>6</v>
      </c>
      <c r="N351">
        <v>-83.377643302874702</v>
      </c>
      <c r="O351" t="s">
        <v>7</v>
      </c>
      <c r="P351">
        <v>-0.22234038214099899</v>
      </c>
      <c r="Q351" t="s">
        <v>8</v>
      </c>
      <c r="R351">
        <v>0.85395072393873706</v>
      </c>
      <c r="S351" t="s">
        <v>9</v>
      </c>
      <c r="T351">
        <v>-2.48166220812656</v>
      </c>
      <c r="U351" t="s">
        <v>10</v>
      </c>
      <c r="V351">
        <v>1.0142123452955101</v>
      </c>
      <c r="W351" t="s">
        <v>11</v>
      </c>
      <c r="X351" t="s">
        <v>2348</v>
      </c>
      <c r="Y351" t="s">
        <v>720</v>
      </c>
      <c r="Z351">
        <v>0</v>
      </c>
      <c r="AA351" t="s">
        <v>14</v>
      </c>
      <c r="AB351" t="s">
        <v>15</v>
      </c>
      <c r="AC351" t="s">
        <v>2514</v>
      </c>
      <c r="AD351" t="s">
        <v>2192</v>
      </c>
      <c r="AE351">
        <v>0</v>
      </c>
      <c r="AF351" t="s">
        <v>18</v>
      </c>
    </row>
    <row r="352" spans="1:32" x14ac:dyDescent="0.3">
      <c r="A352" t="s">
        <v>262</v>
      </c>
      <c r="B352" t="s">
        <v>1</v>
      </c>
      <c r="C352">
        <v>0.3</v>
      </c>
      <c r="D352" t="s">
        <v>588</v>
      </c>
      <c r="E352" t="s">
        <v>2323</v>
      </c>
      <c r="F352">
        <v>0.15</v>
      </c>
      <c r="G352" t="s">
        <v>2347</v>
      </c>
      <c r="H352" t="s">
        <v>1985</v>
      </c>
      <c r="I352" t="s">
        <v>4</v>
      </c>
      <c r="J352">
        <v>375</v>
      </c>
      <c r="K352" t="s">
        <v>5</v>
      </c>
      <c r="L352">
        <v>267</v>
      </c>
      <c r="M352" t="s">
        <v>6</v>
      </c>
      <c r="N352">
        <v>-54.007643302874698</v>
      </c>
      <c r="O352" t="s">
        <v>7</v>
      </c>
      <c r="P352">
        <v>-0.14402038214099899</v>
      </c>
      <c r="Q352" t="s">
        <v>8</v>
      </c>
      <c r="R352">
        <v>0.91360855385932305</v>
      </c>
      <c r="S352" t="s">
        <v>9</v>
      </c>
      <c r="T352">
        <v>-2.7587141405862399</v>
      </c>
      <c r="U352" t="s">
        <v>10</v>
      </c>
      <c r="V352">
        <v>1.1518400185328601</v>
      </c>
      <c r="W352" t="s">
        <v>11</v>
      </c>
      <c r="X352" t="s">
        <v>2348</v>
      </c>
      <c r="Y352" t="s">
        <v>720</v>
      </c>
      <c r="Z352">
        <v>0</v>
      </c>
      <c r="AA352" t="s">
        <v>14</v>
      </c>
      <c r="AB352" t="s">
        <v>15</v>
      </c>
      <c r="AC352" t="s">
        <v>2514</v>
      </c>
      <c r="AD352" t="s">
        <v>2192</v>
      </c>
      <c r="AE352">
        <v>0</v>
      </c>
      <c r="AF352" t="s">
        <v>18</v>
      </c>
    </row>
    <row r="353" spans="1:32" x14ac:dyDescent="0.3">
      <c r="A353" t="s">
        <v>262</v>
      </c>
      <c r="B353" t="s">
        <v>1</v>
      </c>
      <c r="C353">
        <v>0.3</v>
      </c>
      <c r="D353" t="s">
        <v>588</v>
      </c>
      <c r="E353" t="s">
        <v>2323</v>
      </c>
      <c r="F353">
        <v>0.15</v>
      </c>
      <c r="G353" t="s">
        <v>2347</v>
      </c>
      <c r="H353" t="s">
        <v>1988</v>
      </c>
      <c r="I353" t="s">
        <v>4</v>
      </c>
      <c r="J353">
        <v>375</v>
      </c>
      <c r="K353" t="s">
        <v>5</v>
      </c>
      <c r="L353">
        <v>274</v>
      </c>
      <c r="M353" t="s">
        <v>6</v>
      </c>
      <c r="N353">
        <v>-37.837643302874802</v>
      </c>
      <c r="O353" t="s">
        <v>7</v>
      </c>
      <c r="P353">
        <v>-0.100900382140999</v>
      </c>
      <c r="Q353" t="s">
        <v>8</v>
      </c>
      <c r="R353">
        <v>0.98037767839576395</v>
      </c>
      <c r="S353" t="s">
        <v>9</v>
      </c>
      <c r="T353">
        <v>-3.0342685859734102</v>
      </c>
      <c r="U353" t="s">
        <v>10</v>
      </c>
      <c r="V353">
        <v>1.2913697644220601</v>
      </c>
      <c r="W353" t="s">
        <v>11</v>
      </c>
      <c r="X353" t="s">
        <v>2348</v>
      </c>
      <c r="Y353" t="s">
        <v>720</v>
      </c>
      <c r="Z353">
        <v>0</v>
      </c>
      <c r="AA353" t="s">
        <v>14</v>
      </c>
      <c r="AB353" t="s">
        <v>15</v>
      </c>
      <c r="AC353" t="s">
        <v>2514</v>
      </c>
      <c r="AD353" t="s">
        <v>2192</v>
      </c>
      <c r="AE353">
        <v>0</v>
      </c>
      <c r="AF353" t="s">
        <v>18</v>
      </c>
    </row>
    <row r="354" spans="1:32" x14ac:dyDescent="0.3">
      <c r="A354" t="s">
        <v>262</v>
      </c>
      <c r="B354" t="s">
        <v>1</v>
      </c>
      <c r="C354">
        <v>0.3</v>
      </c>
      <c r="D354" t="s">
        <v>588</v>
      </c>
      <c r="E354" t="s">
        <v>2323</v>
      </c>
      <c r="F354">
        <v>0.15</v>
      </c>
      <c r="G354" t="s">
        <v>2355</v>
      </c>
      <c r="H354" t="s">
        <v>1991</v>
      </c>
      <c r="I354" t="s">
        <v>4</v>
      </c>
      <c r="J354">
        <v>376</v>
      </c>
      <c r="K354" t="s">
        <v>5</v>
      </c>
      <c r="L354">
        <v>230</v>
      </c>
      <c r="M354" t="s">
        <v>6</v>
      </c>
      <c r="N354">
        <v>18.274507793317198</v>
      </c>
      <c r="O354" t="s">
        <v>7</v>
      </c>
      <c r="P354">
        <v>4.8602414343928903E-2</v>
      </c>
      <c r="Q354" t="s">
        <v>8</v>
      </c>
      <c r="R354">
        <v>1.0432196744848099</v>
      </c>
      <c r="S354" t="s">
        <v>9</v>
      </c>
      <c r="T354">
        <v>-1.5182603927273199</v>
      </c>
      <c r="U354" t="s">
        <v>10</v>
      </c>
      <c r="V354">
        <v>0.63305819754569903</v>
      </c>
      <c r="W354" t="s">
        <v>11</v>
      </c>
      <c r="X354" t="s">
        <v>2515</v>
      </c>
      <c r="Y354" t="s">
        <v>720</v>
      </c>
      <c r="Z354">
        <v>0</v>
      </c>
      <c r="AA354" t="s">
        <v>14</v>
      </c>
      <c r="AB354" t="s">
        <v>15</v>
      </c>
      <c r="AC354" t="s">
        <v>2516</v>
      </c>
      <c r="AD354" t="s">
        <v>2517</v>
      </c>
      <c r="AE354">
        <v>0</v>
      </c>
      <c r="AF354" t="s">
        <v>18</v>
      </c>
    </row>
    <row r="355" spans="1:32" x14ac:dyDescent="0.3">
      <c r="A355" t="s">
        <v>262</v>
      </c>
      <c r="B355" t="s">
        <v>1</v>
      </c>
      <c r="C355">
        <v>0.3</v>
      </c>
      <c r="D355" t="s">
        <v>588</v>
      </c>
      <c r="E355" t="s">
        <v>2323</v>
      </c>
      <c r="F355">
        <v>0.15</v>
      </c>
      <c r="G355" t="s">
        <v>2355</v>
      </c>
      <c r="H355" t="s">
        <v>1994</v>
      </c>
      <c r="I355" t="s">
        <v>4</v>
      </c>
      <c r="J355">
        <v>376</v>
      </c>
      <c r="K355" t="s">
        <v>5</v>
      </c>
      <c r="L355">
        <v>258</v>
      </c>
      <c r="M355" t="s">
        <v>6</v>
      </c>
      <c r="N355">
        <v>-3.7084391466514499</v>
      </c>
      <c r="O355" t="s">
        <v>7</v>
      </c>
      <c r="P355">
        <v>-9.8628700708815308E-3</v>
      </c>
      <c r="Q355" t="s">
        <v>8</v>
      </c>
      <c r="R355">
        <v>1.07327316046379</v>
      </c>
      <c r="S355" t="s">
        <v>9</v>
      </c>
      <c r="T355">
        <v>-2.37807554700264</v>
      </c>
      <c r="U355" t="s">
        <v>10</v>
      </c>
      <c r="V355">
        <v>0.80880279145087697</v>
      </c>
      <c r="W355" t="s">
        <v>11</v>
      </c>
      <c r="X355" t="s">
        <v>2518</v>
      </c>
      <c r="Y355" t="s">
        <v>2055</v>
      </c>
      <c r="Z355">
        <v>0</v>
      </c>
      <c r="AA355" t="s">
        <v>14</v>
      </c>
      <c r="AB355" t="s">
        <v>15</v>
      </c>
      <c r="AC355" t="s">
        <v>2519</v>
      </c>
      <c r="AD355" t="s">
        <v>2192</v>
      </c>
      <c r="AE355">
        <v>0</v>
      </c>
      <c r="AF355" t="s">
        <v>18</v>
      </c>
    </row>
    <row r="356" spans="1:32" x14ac:dyDescent="0.3">
      <c r="A356" t="s">
        <v>262</v>
      </c>
      <c r="B356" t="s">
        <v>1</v>
      </c>
      <c r="C356">
        <v>0.3</v>
      </c>
      <c r="D356" t="s">
        <v>588</v>
      </c>
      <c r="E356" t="s">
        <v>2323</v>
      </c>
      <c r="F356">
        <v>0.15</v>
      </c>
      <c r="G356" t="s">
        <v>2355</v>
      </c>
      <c r="H356" t="s">
        <v>1996</v>
      </c>
      <c r="I356" t="s">
        <v>4</v>
      </c>
      <c r="J356">
        <v>376</v>
      </c>
      <c r="K356" t="s">
        <v>5</v>
      </c>
      <c r="L356">
        <v>273</v>
      </c>
      <c r="M356" t="s">
        <v>6</v>
      </c>
      <c r="N356">
        <v>-3.6984391466514901</v>
      </c>
      <c r="O356" t="s">
        <v>7</v>
      </c>
      <c r="P356">
        <v>-9.8362743262007703E-3</v>
      </c>
      <c r="Q356" t="s">
        <v>8</v>
      </c>
      <c r="R356">
        <v>1.1215548549438099</v>
      </c>
      <c r="S356" t="s">
        <v>9</v>
      </c>
      <c r="T356">
        <v>-3.0085719858865199</v>
      </c>
      <c r="U356" t="s">
        <v>10</v>
      </c>
      <c r="V356">
        <v>0.96209927412796703</v>
      </c>
      <c r="W356" t="s">
        <v>11</v>
      </c>
      <c r="X356" t="s">
        <v>2518</v>
      </c>
      <c r="Y356" t="s">
        <v>2055</v>
      </c>
      <c r="Z356">
        <v>0</v>
      </c>
      <c r="AA356" t="s">
        <v>14</v>
      </c>
      <c r="AB356" t="s">
        <v>15</v>
      </c>
      <c r="AC356" t="s">
        <v>2520</v>
      </c>
      <c r="AD356" t="s">
        <v>718</v>
      </c>
      <c r="AE356">
        <v>0</v>
      </c>
      <c r="AF356" t="s">
        <v>18</v>
      </c>
    </row>
    <row r="357" spans="1:32" x14ac:dyDescent="0.3">
      <c r="A357" t="s">
        <v>262</v>
      </c>
      <c r="B357" t="s">
        <v>1</v>
      </c>
      <c r="C357">
        <v>0.3</v>
      </c>
      <c r="D357" t="s">
        <v>588</v>
      </c>
      <c r="E357" t="s">
        <v>2323</v>
      </c>
      <c r="F357">
        <v>0.15</v>
      </c>
      <c r="G357" t="s">
        <v>2355</v>
      </c>
      <c r="H357" t="s">
        <v>1997</v>
      </c>
      <c r="I357" t="s">
        <v>4</v>
      </c>
      <c r="J357">
        <v>376</v>
      </c>
      <c r="K357" t="s">
        <v>5</v>
      </c>
      <c r="L357">
        <v>289</v>
      </c>
      <c r="M357" t="s">
        <v>6</v>
      </c>
      <c r="N357">
        <v>45.161560853348398</v>
      </c>
      <c r="O357" t="s">
        <v>7</v>
      </c>
      <c r="P357">
        <v>0.120110534184437</v>
      </c>
      <c r="Q357" t="s">
        <v>8</v>
      </c>
      <c r="R357">
        <v>1.1979196920625601</v>
      </c>
      <c r="S357" t="s">
        <v>9</v>
      </c>
      <c r="T357">
        <v>-3.46019804773255</v>
      </c>
      <c r="U357" t="s">
        <v>10</v>
      </c>
      <c r="V357">
        <v>1.1118435717991999</v>
      </c>
      <c r="W357" t="s">
        <v>11</v>
      </c>
      <c r="X357" t="s">
        <v>2518</v>
      </c>
      <c r="Y357" t="s">
        <v>2055</v>
      </c>
      <c r="Z357">
        <v>0</v>
      </c>
      <c r="AA357" t="s">
        <v>14</v>
      </c>
      <c r="AB357" t="s">
        <v>15</v>
      </c>
      <c r="AC357" t="s">
        <v>2521</v>
      </c>
      <c r="AD357" t="s">
        <v>2123</v>
      </c>
      <c r="AE357">
        <v>0</v>
      </c>
      <c r="AF357" t="s">
        <v>18</v>
      </c>
    </row>
    <row r="358" spans="1:32" x14ac:dyDescent="0.3">
      <c r="A358" t="s">
        <v>262</v>
      </c>
      <c r="B358" t="s">
        <v>1</v>
      </c>
      <c r="C358">
        <v>0.3</v>
      </c>
      <c r="D358" t="s">
        <v>588</v>
      </c>
      <c r="E358" t="s">
        <v>2323</v>
      </c>
      <c r="F358">
        <v>0.15</v>
      </c>
      <c r="G358" t="s">
        <v>2361</v>
      </c>
      <c r="H358" t="s">
        <v>1999</v>
      </c>
      <c r="I358" t="s">
        <v>4</v>
      </c>
      <c r="J358">
        <v>370</v>
      </c>
      <c r="K358" t="s">
        <v>5</v>
      </c>
      <c r="L358">
        <v>226</v>
      </c>
      <c r="M358" t="s">
        <v>6</v>
      </c>
      <c r="N358">
        <v>35.536963302846402</v>
      </c>
      <c r="O358" t="s">
        <v>7</v>
      </c>
      <c r="P358">
        <v>9.6045846764449799E-2</v>
      </c>
      <c r="Q358" t="s">
        <v>8</v>
      </c>
      <c r="R358">
        <v>1.1996515095299201</v>
      </c>
      <c r="S358" t="s">
        <v>9</v>
      </c>
      <c r="T358">
        <v>-1.6474425024539601</v>
      </c>
      <c r="U358" t="s">
        <v>10</v>
      </c>
      <c r="V358">
        <v>0.61533746728902405</v>
      </c>
      <c r="W358" t="s">
        <v>11</v>
      </c>
      <c r="X358" t="s">
        <v>2390</v>
      </c>
      <c r="Y358" t="s">
        <v>77</v>
      </c>
      <c r="Z358">
        <v>0</v>
      </c>
      <c r="AA358" t="s">
        <v>14</v>
      </c>
      <c r="AB358" t="s">
        <v>15</v>
      </c>
      <c r="AC358" t="s">
        <v>2391</v>
      </c>
      <c r="AD358" t="s">
        <v>2392</v>
      </c>
      <c r="AE358">
        <v>0</v>
      </c>
      <c r="AF358" t="s">
        <v>18</v>
      </c>
    </row>
    <row r="359" spans="1:32" x14ac:dyDescent="0.3">
      <c r="A359" t="s">
        <v>262</v>
      </c>
      <c r="B359" t="s">
        <v>1</v>
      </c>
      <c r="C359">
        <v>0.3</v>
      </c>
      <c r="D359" t="s">
        <v>588</v>
      </c>
      <c r="E359" t="s">
        <v>2323</v>
      </c>
      <c r="F359">
        <v>0.15</v>
      </c>
      <c r="G359" t="s">
        <v>2361</v>
      </c>
      <c r="H359" t="s">
        <v>2002</v>
      </c>
      <c r="I359" t="s">
        <v>4</v>
      </c>
      <c r="J359">
        <v>370</v>
      </c>
      <c r="K359" t="s">
        <v>5</v>
      </c>
      <c r="L359">
        <v>264</v>
      </c>
      <c r="M359" t="s">
        <v>6</v>
      </c>
      <c r="N359">
        <v>57.199951874376403</v>
      </c>
      <c r="O359" t="s">
        <v>7</v>
      </c>
      <c r="P359">
        <v>0.15459446452534101</v>
      </c>
      <c r="Q359" t="s">
        <v>8</v>
      </c>
      <c r="R359">
        <v>1.2624189437737601</v>
      </c>
      <c r="S359" t="s">
        <v>9</v>
      </c>
      <c r="T359">
        <v>-2.6293204693513998</v>
      </c>
      <c r="U359" t="s">
        <v>10</v>
      </c>
      <c r="V359">
        <v>0.79366780460283404</v>
      </c>
      <c r="W359" t="s">
        <v>11</v>
      </c>
      <c r="X359" t="s">
        <v>2390</v>
      </c>
      <c r="Y359" t="s">
        <v>77</v>
      </c>
      <c r="Z359">
        <v>0</v>
      </c>
      <c r="AA359" t="s">
        <v>14</v>
      </c>
      <c r="AB359" t="s">
        <v>15</v>
      </c>
      <c r="AC359" t="s">
        <v>2522</v>
      </c>
      <c r="AD359" t="s">
        <v>2123</v>
      </c>
      <c r="AE359">
        <v>0</v>
      </c>
      <c r="AF359" t="s">
        <v>18</v>
      </c>
    </row>
    <row r="360" spans="1:32" x14ac:dyDescent="0.3">
      <c r="A360" t="s">
        <v>262</v>
      </c>
      <c r="B360" t="s">
        <v>1</v>
      </c>
      <c r="C360">
        <v>0.3</v>
      </c>
      <c r="D360" t="s">
        <v>588</v>
      </c>
      <c r="E360" t="s">
        <v>2323</v>
      </c>
      <c r="F360">
        <v>0.15</v>
      </c>
      <c r="G360" t="s">
        <v>2361</v>
      </c>
      <c r="H360" t="s">
        <v>2004</v>
      </c>
      <c r="I360" t="s">
        <v>4</v>
      </c>
      <c r="J360">
        <v>370</v>
      </c>
      <c r="K360" t="s">
        <v>5</v>
      </c>
      <c r="L360">
        <v>285</v>
      </c>
      <c r="M360" t="s">
        <v>6</v>
      </c>
      <c r="N360">
        <v>65.229951874376496</v>
      </c>
      <c r="O360" t="s">
        <v>7</v>
      </c>
      <c r="P360">
        <v>0.176297167228044</v>
      </c>
      <c r="Q360" t="s">
        <v>8</v>
      </c>
      <c r="R360">
        <v>1.31031426844475</v>
      </c>
      <c r="S360" t="s">
        <v>9</v>
      </c>
      <c r="T360">
        <v>-3.6691620789569002</v>
      </c>
      <c r="U360" t="s">
        <v>10</v>
      </c>
      <c r="V360">
        <v>0.959730679008583</v>
      </c>
      <c r="W360" t="s">
        <v>11</v>
      </c>
      <c r="X360" t="s">
        <v>2394</v>
      </c>
      <c r="Y360" t="s">
        <v>720</v>
      </c>
      <c r="Z360">
        <v>0</v>
      </c>
      <c r="AA360" t="s">
        <v>14</v>
      </c>
      <c r="AB360" t="s">
        <v>15</v>
      </c>
      <c r="AC360" t="s">
        <v>2523</v>
      </c>
      <c r="AD360" t="s">
        <v>720</v>
      </c>
      <c r="AE360">
        <v>0</v>
      </c>
      <c r="AF360" t="s">
        <v>18</v>
      </c>
    </row>
    <row r="361" spans="1:32" x14ac:dyDescent="0.3">
      <c r="A361" t="s">
        <v>262</v>
      </c>
      <c r="B361" t="s">
        <v>1</v>
      </c>
      <c r="C361">
        <v>0.3</v>
      </c>
      <c r="D361" t="s">
        <v>588</v>
      </c>
      <c r="E361" t="s">
        <v>2323</v>
      </c>
      <c r="F361">
        <v>0.15</v>
      </c>
      <c r="G361" t="s">
        <v>2361</v>
      </c>
      <c r="H361" t="s">
        <v>2005</v>
      </c>
      <c r="I361" t="s">
        <v>4</v>
      </c>
      <c r="J361">
        <v>370</v>
      </c>
      <c r="K361" t="s">
        <v>5</v>
      </c>
      <c r="L361">
        <v>291</v>
      </c>
      <c r="M361" t="s">
        <v>6</v>
      </c>
      <c r="N361">
        <v>32.149951874376399</v>
      </c>
      <c r="O361" t="s">
        <v>7</v>
      </c>
      <c r="P361">
        <v>8.6891761822638997E-2</v>
      </c>
      <c r="Q361" t="s">
        <v>8</v>
      </c>
      <c r="R361">
        <v>1.32563740045051</v>
      </c>
      <c r="S361" t="s">
        <v>9</v>
      </c>
      <c r="T361">
        <v>-4.5334683545733796</v>
      </c>
      <c r="U361" t="s">
        <v>10</v>
      </c>
      <c r="V361">
        <v>1.0637730519312001</v>
      </c>
      <c r="W361" t="s">
        <v>11</v>
      </c>
      <c r="X361" t="s">
        <v>2394</v>
      </c>
      <c r="Y361" t="s">
        <v>720</v>
      </c>
      <c r="Z361">
        <v>0</v>
      </c>
      <c r="AA361" t="s">
        <v>14</v>
      </c>
      <c r="AB361" t="s">
        <v>15</v>
      </c>
      <c r="AC361" t="s">
        <v>2524</v>
      </c>
      <c r="AD361" t="s">
        <v>2392</v>
      </c>
      <c r="AE361">
        <v>0</v>
      </c>
      <c r="AF361" t="s">
        <v>18</v>
      </c>
    </row>
    <row r="362" spans="1:32" x14ac:dyDescent="0.3">
      <c r="A362" t="s">
        <v>2162</v>
      </c>
      <c r="B362" t="s">
        <v>1</v>
      </c>
      <c r="C362">
        <v>0.5</v>
      </c>
      <c r="D362" t="s">
        <v>588</v>
      </c>
      <c r="E362" t="s">
        <v>2323</v>
      </c>
      <c r="F362">
        <v>0.25</v>
      </c>
      <c r="G362" t="s">
        <v>2324</v>
      </c>
      <c r="H362" t="s">
        <v>1979</v>
      </c>
      <c r="I362" t="s">
        <v>4</v>
      </c>
      <c r="J362">
        <v>249</v>
      </c>
      <c r="K362" t="s">
        <v>5</v>
      </c>
      <c r="L362">
        <v>100</v>
      </c>
      <c r="M362" t="s">
        <v>6</v>
      </c>
      <c r="N362">
        <v>8.4644300134515404</v>
      </c>
      <c r="O362" t="s">
        <v>7</v>
      </c>
      <c r="P362">
        <v>3.3993694833138702E-2</v>
      </c>
      <c r="Q362" t="s">
        <v>8</v>
      </c>
      <c r="R362">
        <v>2.1928000000000001</v>
      </c>
      <c r="S362" t="s">
        <v>9</v>
      </c>
      <c r="T362">
        <v>-1.4148695972251499</v>
      </c>
      <c r="U362" t="s">
        <v>10</v>
      </c>
      <c r="V362">
        <v>0.66616026957034502</v>
      </c>
      <c r="W362" t="s">
        <v>11</v>
      </c>
      <c r="X362" t="s">
        <v>2325</v>
      </c>
      <c r="Y362" t="s">
        <v>720</v>
      </c>
      <c r="Z362">
        <v>0</v>
      </c>
      <c r="AA362" t="s">
        <v>14</v>
      </c>
      <c r="AB362" t="s">
        <v>15</v>
      </c>
      <c r="AC362" t="s">
        <v>2471</v>
      </c>
      <c r="AD362" t="s">
        <v>718</v>
      </c>
      <c r="AE362">
        <v>0</v>
      </c>
      <c r="AF362" t="s">
        <v>18</v>
      </c>
    </row>
    <row r="363" spans="1:32" x14ac:dyDescent="0.3">
      <c r="A363" t="s">
        <v>2162</v>
      </c>
      <c r="B363" t="s">
        <v>1</v>
      </c>
      <c r="C363">
        <v>0.5</v>
      </c>
      <c r="D363" t="s">
        <v>588</v>
      </c>
      <c r="E363" t="s">
        <v>2323</v>
      </c>
      <c r="F363">
        <v>0.25</v>
      </c>
      <c r="G363" t="s">
        <v>2324</v>
      </c>
      <c r="H363" t="s">
        <v>1982</v>
      </c>
      <c r="I363" t="s">
        <v>4</v>
      </c>
      <c r="J363">
        <v>249</v>
      </c>
      <c r="K363" t="s">
        <v>5</v>
      </c>
      <c r="L363">
        <v>109</v>
      </c>
      <c r="M363" t="s">
        <v>6</v>
      </c>
      <c r="N363">
        <v>-7.0355699865483903</v>
      </c>
      <c r="O363" t="s">
        <v>7</v>
      </c>
      <c r="P363">
        <v>-2.8255301150796702E-2</v>
      </c>
      <c r="Q363" t="s">
        <v>8</v>
      </c>
      <c r="R363">
        <v>2.2294495412844002</v>
      </c>
      <c r="S363" t="s">
        <v>9</v>
      </c>
      <c r="T363">
        <v>-1.7860397856182</v>
      </c>
      <c r="U363" t="s">
        <v>10</v>
      </c>
      <c r="V363">
        <v>0.75677327867089395</v>
      </c>
      <c r="W363" t="s">
        <v>11</v>
      </c>
      <c r="X363" t="s">
        <v>2325</v>
      </c>
      <c r="Y363" t="s">
        <v>720</v>
      </c>
      <c r="Z363">
        <v>0</v>
      </c>
      <c r="AA363" t="s">
        <v>14</v>
      </c>
      <c r="AB363" t="s">
        <v>15</v>
      </c>
      <c r="AC363" t="s">
        <v>2471</v>
      </c>
      <c r="AD363" t="s">
        <v>718</v>
      </c>
      <c r="AE363">
        <v>0</v>
      </c>
      <c r="AF363" t="s">
        <v>18</v>
      </c>
    </row>
    <row r="364" spans="1:32" x14ac:dyDescent="0.3">
      <c r="A364" t="s">
        <v>2162</v>
      </c>
      <c r="B364" t="s">
        <v>1</v>
      </c>
      <c r="C364">
        <v>0.5</v>
      </c>
      <c r="D364" t="s">
        <v>588</v>
      </c>
      <c r="E364" t="s">
        <v>2323</v>
      </c>
      <c r="F364">
        <v>0.25</v>
      </c>
      <c r="G364" t="s">
        <v>2324</v>
      </c>
      <c r="H364" t="s">
        <v>1985</v>
      </c>
      <c r="I364" t="s">
        <v>4</v>
      </c>
      <c r="J364">
        <v>249</v>
      </c>
      <c r="K364" t="s">
        <v>5</v>
      </c>
      <c r="L364">
        <v>114</v>
      </c>
      <c r="M364" t="s">
        <v>6</v>
      </c>
      <c r="N364">
        <v>6.9544300134516597</v>
      </c>
      <c r="O364" t="s">
        <v>7</v>
      </c>
      <c r="P364">
        <v>2.7929437805026699E-2</v>
      </c>
      <c r="Q364" t="s">
        <v>8</v>
      </c>
      <c r="R364">
        <v>2.2172807017543801</v>
      </c>
      <c r="S364" t="s">
        <v>9</v>
      </c>
      <c r="T364">
        <v>-1.8208560739744299</v>
      </c>
      <c r="U364" t="s">
        <v>10</v>
      </c>
      <c r="V364">
        <v>0.79502447066892301</v>
      </c>
      <c r="W364" t="s">
        <v>11</v>
      </c>
      <c r="X364" t="s">
        <v>2325</v>
      </c>
      <c r="Y364" t="s">
        <v>720</v>
      </c>
      <c r="Z364">
        <v>0</v>
      </c>
      <c r="AA364" t="s">
        <v>14</v>
      </c>
      <c r="AB364" t="s">
        <v>15</v>
      </c>
      <c r="AC364" t="s">
        <v>2471</v>
      </c>
      <c r="AD364" t="s">
        <v>718</v>
      </c>
      <c r="AE364">
        <v>0</v>
      </c>
      <c r="AF364" t="s">
        <v>18</v>
      </c>
    </row>
    <row r="365" spans="1:32" x14ac:dyDescent="0.3">
      <c r="A365" t="s">
        <v>2162</v>
      </c>
      <c r="B365" t="s">
        <v>1</v>
      </c>
      <c r="C365">
        <v>0.5</v>
      </c>
      <c r="D365" t="s">
        <v>588</v>
      </c>
      <c r="E365" t="s">
        <v>2323</v>
      </c>
      <c r="F365">
        <v>0.25</v>
      </c>
      <c r="G365" t="s">
        <v>2324</v>
      </c>
      <c r="H365" t="s">
        <v>1988</v>
      </c>
      <c r="I365" t="s">
        <v>4</v>
      </c>
      <c r="J365">
        <v>249</v>
      </c>
      <c r="K365" t="s">
        <v>5</v>
      </c>
      <c r="L365">
        <v>116</v>
      </c>
      <c r="M365" t="s">
        <v>6</v>
      </c>
      <c r="N365">
        <v>-11.0355699865483</v>
      </c>
      <c r="O365" t="s">
        <v>7</v>
      </c>
      <c r="P365">
        <v>-4.4319558178908897E-2</v>
      </c>
      <c r="Q365" t="s">
        <v>8</v>
      </c>
      <c r="R365">
        <v>2.2031896551724102</v>
      </c>
      <c r="S365" t="s">
        <v>9</v>
      </c>
      <c r="T365">
        <v>-2.0045531577935898</v>
      </c>
      <c r="U365" t="s">
        <v>10</v>
      </c>
      <c r="V365">
        <v>0.86743340583551898</v>
      </c>
      <c r="W365" t="s">
        <v>11</v>
      </c>
      <c r="X365" t="s">
        <v>2325</v>
      </c>
      <c r="Y365" t="s">
        <v>720</v>
      </c>
      <c r="Z365">
        <v>0</v>
      </c>
      <c r="AA365" t="s">
        <v>14</v>
      </c>
      <c r="AB365" t="s">
        <v>15</v>
      </c>
      <c r="AC365" t="s">
        <v>2472</v>
      </c>
      <c r="AD365" t="s">
        <v>718</v>
      </c>
      <c r="AE365">
        <v>0</v>
      </c>
      <c r="AF365" t="s">
        <v>18</v>
      </c>
    </row>
    <row r="366" spans="1:32" x14ac:dyDescent="0.3">
      <c r="A366" t="s">
        <v>2162</v>
      </c>
      <c r="B366" t="s">
        <v>1</v>
      </c>
      <c r="C366">
        <v>0.5</v>
      </c>
      <c r="D366" t="s">
        <v>588</v>
      </c>
      <c r="E366" t="s">
        <v>2323</v>
      </c>
      <c r="F366">
        <v>0.25</v>
      </c>
      <c r="G366" t="s">
        <v>2329</v>
      </c>
      <c r="H366" t="s">
        <v>1991</v>
      </c>
      <c r="I366" t="s">
        <v>4</v>
      </c>
      <c r="J366">
        <v>258</v>
      </c>
      <c r="K366" t="s">
        <v>5</v>
      </c>
      <c r="L366">
        <v>100</v>
      </c>
      <c r="M366" t="s">
        <v>6</v>
      </c>
      <c r="N366">
        <v>19.304430013451402</v>
      </c>
      <c r="O366" t="s">
        <v>7</v>
      </c>
      <c r="P366">
        <v>7.4823372145160702E-2</v>
      </c>
      <c r="Q366" t="s">
        <v>8</v>
      </c>
      <c r="R366">
        <v>2.3958999999999899</v>
      </c>
      <c r="S366" t="s">
        <v>9</v>
      </c>
      <c r="T366">
        <v>-1.39421246826929</v>
      </c>
      <c r="U366" t="s">
        <v>10</v>
      </c>
      <c r="V366">
        <v>0.60720787155097999</v>
      </c>
      <c r="W366" t="s">
        <v>11</v>
      </c>
      <c r="X366" t="s">
        <v>2473</v>
      </c>
      <c r="Y366" t="s">
        <v>2055</v>
      </c>
      <c r="Z366">
        <v>0</v>
      </c>
      <c r="AA366" t="s">
        <v>14</v>
      </c>
      <c r="AB366" t="s">
        <v>15</v>
      </c>
      <c r="AC366" t="s">
        <v>2474</v>
      </c>
      <c r="AD366" t="s">
        <v>718</v>
      </c>
      <c r="AE366">
        <v>0</v>
      </c>
      <c r="AF366" t="s">
        <v>18</v>
      </c>
    </row>
    <row r="367" spans="1:32" x14ac:dyDescent="0.3">
      <c r="A367" t="s">
        <v>2162</v>
      </c>
      <c r="B367" t="s">
        <v>1</v>
      </c>
      <c r="C367">
        <v>0.5</v>
      </c>
      <c r="D367" t="s">
        <v>588</v>
      </c>
      <c r="E367" t="s">
        <v>2323</v>
      </c>
      <c r="F367">
        <v>0.25</v>
      </c>
      <c r="G367" t="s">
        <v>2329</v>
      </c>
      <c r="H367" t="s">
        <v>1994</v>
      </c>
      <c r="I367" t="s">
        <v>4</v>
      </c>
      <c r="J367">
        <v>258</v>
      </c>
      <c r="K367" t="s">
        <v>5</v>
      </c>
      <c r="L367">
        <v>119</v>
      </c>
      <c r="M367" t="s">
        <v>6</v>
      </c>
      <c r="N367">
        <v>16.284430013451502</v>
      </c>
      <c r="O367" t="s">
        <v>7</v>
      </c>
      <c r="P367">
        <v>6.3117945788571897E-2</v>
      </c>
      <c r="Q367" t="s">
        <v>8</v>
      </c>
      <c r="R367">
        <v>2.4151260504201599</v>
      </c>
      <c r="S367" t="s">
        <v>9</v>
      </c>
      <c r="T367">
        <v>-1.95047172652193</v>
      </c>
      <c r="U367" t="s">
        <v>10</v>
      </c>
      <c r="V367">
        <v>0.74275601753400999</v>
      </c>
      <c r="W367" t="s">
        <v>11</v>
      </c>
      <c r="X367" t="s">
        <v>2473</v>
      </c>
      <c r="Y367" t="s">
        <v>2055</v>
      </c>
      <c r="Z367">
        <v>0</v>
      </c>
      <c r="AA367" t="s">
        <v>14</v>
      </c>
      <c r="AB367" t="s">
        <v>15</v>
      </c>
      <c r="AC367" t="s">
        <v>2474</v>
      </c>
      <c r="AD367" t="s">
        <v>718</v>
      </c>
      <c r="AE367">
        <v>0</v>
      </c>
      <c r="AF367" t="s">
        <v>18</v>
      </c>
    </row>
    <row r="368" spans="1:32" x14ac:dyDescent="0.3">
      <c r="A368" t="s">
        <v>2162</v>
      </c>
      <c r="B368" t="s">
        <v>1</v>
      </c>
      <c r="C368">
        <v>0.5</v>
      </c>
      <c r="D368" t="s">
        <v>588</v>
      </c>
      <c r="E368" t="s">
        <v>2323</v>
      </c>
      <c r="F368">
        <v>0.25</v>
      </c>
      <c r="G368" t="s">
        <v>2329</v>
      </c>
      <c r="H368" t="s">
        <v>1996</v>
      </c>
      <c r="I368" t="s">
        <v>4</v>
      </c>
      <c r="J368">
        <v>258</v>
      </c>
      <c r="K368" t="s">
        <v>5</v>
      </c>
      <c r="L368">
        <v>126</v>
      </c>
      <c r="M368" t="s">
        <v>6</v>
      </c>
      <c r="N368">
        <v>25.904430013451599</v>
      </c>
      <c r="O368" t="s">
        <v>7</v>
      </c>
      <c r="P368">
        <v>0.100404767493998</v>
      </c>
      <c r="Q368" t="s">
        <v>8</v>
      </c>
      <c r="R368">
        <v>2.4015873015873002</v>
      </c>
      <c r="S368" t="s">
        <v>9</v>
      </c>
      <c r="T368">
        <v>-2.0961785605041499</v>
      </c>
      <c r="U368" t="s">
        <v>10</v>
      </c>
      <c r="V368">
        <v>0.78859384800104904</v>
      </c>
      <c r="W368" t="s">
        <v>11</v>
      </c>
      <c r="X368" t="s">
        <v>2473</v>
      </c>
      <c r="Y368" t="s">
        <v>2055</v>
      </c>
      <c r="Z368">
        <v>0</v>
      </c>
      <c r="AA368" t="s">
        <v>14</v>
      </c>
      <c r="AB368" t="s">
        <v>15</v>
      </c>
      <c r="AC368" t="s">
        <v>2474</v>
      </c>
      <c r="AD368" t="s">
        <v>718</v>
      </c>
      <c r="AE368">
        <v>0</v>
      </c>
      <c r="AF368" t="s">
        <v>18</v>
      </c>
    </row>
    <row r="369" spans="1:32" x14ac:dyDescent="0.3">
      <c r="A369" t="s">
        <v>2162</v>
      </c>
      <c r="B369" t="s">
        <v>1</v>
      </c>
      <c r="C369">
        <v>0.5</v>
      </c>
      <c r="D369" t="s">
        <v>588</v>
      </c>
      <c r="E369" t="s">
        <v>2323</v>
      </c>
      <c r="F369">
        <v>0.25</v>
      </c>
      <c r="G369" t="s">
        <v>2329</v>
      </c>
      <c r="H369" t="s">
        <v>1997</v>
      </c>
      <c r="I369" t="s">
        <v>4</v>
      </c>
      <c r="J369">
        <v>258</v>
      </c>
      <c r="K369" t="s">
        <v>5</v>
      </c>
      <c r="L369">
        <v>130</v>
      </c>
      <c r="M369" t="s">
        <v>6</v>
      </c>
      <c r="N369">
        <v>34.004430013451604</v>
      </c>
      <c r="O369" t="s">
        <v>7</v>
      </c>
      <c r="P369">
        <v>0.131800116331208</v>
      </c>
      <c r="Q369" t="s">
        <v>8</v>
      </c>
      <c r="R369">
        <v>2.3981538461538401</v>
      </c>
      <c r="S369" t="s">
        <v>9</v>
      </c>
      <c r="T369">
        <v>-2.1699653905198999</v>
      </c>
      <c r="U369" t="s">
        <v>10</v>
      </c>
      <c r="V369">
        <v>0.82871831331596502</v>
      </c>
      <c r="W369" t="s">
        <v>11</v>
      </c>
      <c r="X369" t="s">
        <v>2473</v>
      </c>
      <c r="Y369" t="s">
        <v>2055</v>
      </c>
      <c r="Z369">
        <v>0</v>
      </c>
      <c r="AA369" t="s">
        <v>14</v>
      </c>
      <c r="AB369" t="s">
        <v>15</v>
      </c>
      <c r="AC369" t="s">
        <v>2475</v>
      </c>
      <c r="AD369" t="s">
        <v>718</v>
      </c>
      <c r="AE369">
        <v>0</v>
      </c>
      <c r="AF369" t="s">
        <v>18</v>
      </c>
    </row>
    <row r="370" spans="1:32" x14ac:dyDescent="0.3">
      <c r="A370" t="s">
        <v>2162</v>
      </c>
      <c r="B370" t="s">
        <v>1</v>
      </c>
      <c r="C370">
        <v>0.5</v>
      </c>
      <c r="D370" t="s">
        <v>588</v>
      </c>
      <c r="E370" t="s">
        <v>2323</v>
      </c>
      <c r="F370">
        <v>0.25</v>
      </c>
      <c r="G370" t="s">
        <v>2332</v>
      </c>
      <c r="H370" t="s">
        <v>1999</v>
      </c>
      <c r="I370" t="s">
        <v>4</v>
      </c>
      <c r="J370">
        <v>246</v>
      </c>
      <c r="K370" t="s">
        <v>5</v>
      </c>
      <c r="L370">
        <v>104</v>
      </c>
      <c r="M370" t="s">
        <v>6</v>
      </c>
      <c r="N370">
        <v>59.674427283486096</v>
      </c>
      <c r="O370" t="s">
        <v>7</v>
      </c>
      <c r="P370">
        <v>0.24257897269709799</v>
      </c>
      <c r="Q370" t="s">
        <v>8</v>
      </c>
      <c r="R370">
        <v>2.4242533087518301</v>
      </c>
      <c r="S370" t="s">
        <v>9</v>
      </c>
      <c r="T370">
        <v>-1.3552670199063701</v>
      </c>
      <c r="U370" t="s">
        <v>10</v>
      </c>
      <c r="V370">
        <v>0.56777567117380401</v>
      </c>
      <c r="W370" t="s">
        <v>11</v>
      </c>
      <c r="X370" t="s">
        <v>2525</v>
      </c>
      <c r="Y370" t="s">
        <v>720</v>
      </c>
      <c r="Z370">
        <v>0</v>
      </c>
      <c r="AA370" t="s">
        <v>14</v>
      </c>
      <c r="AB370" t="s">
        <v>15</v>
      </c>
      <c r="AC370" t="s">
        <v>2526</v>
      </c>
      <c r="AD370" t="s">
        <v>718</v>
      </c>
      <c r="AE370">
        <v>0</v>
      </c>
      <c r="AF370" t="s">
        <v>18</v>
      </c>
    </row>
    <row r="371" spans="1:32" x14ac:dyDescent="0.3">
      <c r="A371" t="s">
        <v>2162</v>
      </c>
      <c r="B371" t="s">
        <v>1</v>
      </c>
      <c r="C371">
        <v>0.5</v>
      </c>
      <c r="D371" t="s">
        <v>588</v>
      </c>
      <c r="E371" t="s">
        <v>2323</v>
      </c>
      <c r="F371">
        <v>0.25</v>
      </c>
      <c r="G371" t="s">
        <v>2332</v>
      </c>
      <c r="H371" t="s">
        <v>2002</v>
      </c>
      <c r="I371" t="s">
        <v>4</v>
      </c>
      <c r="J371">
        <v>246</v>
      </c>
      <c r="K371" t="s">
        <v>5</v>
      </c>
      <c r="L371">
        <v>134</v>
      </c>
      <c r="M371" t="s">
        <v>6</v>
      </c>
      <c r="N371">
        <v>81.529535350515999</v>
      </c>
      <c r="O371" t="s">
        <v>7</v>
      </c>
      <c r="P371">
        <v>0.33142087540860099</v>
      </c>
      <c r="Q371" t="s">
        <v>8</v>
      </c>
      <c r="R371">
        <v>2.50253256050553</v>
      </c>
      <c r="S371" t="s">
        <v>9</v>
      </c>
      <c r="T371">
        <v>-2.2661591764037898</v>
      </c>
      <c r="U371" t="s">
        <v>10</v>
      </c>
      <c r="V371">
        <v>0.75369412199221597</v>
      </c>
      <c r="W371" t="s">
        <v>11</v>
      </c>
      <c r="X371" t="s">
        <v>1980</v>
      </c>
      <c r="Y371" t="s">
        <v>2442</v>
      </c>
      <c r="Z371">
        <v>0</v>
      </c>
      <c r="AA371" t="s">
        <v>14</v>
      </c>
      <c r="AB371" t="s">
        <v>15</v>
      </c>
      <c r="AC371" t="s">
        <v>2477</v>
      </c>
      <c r="AD371" t="s">
        <v>2442</v>
      </c>
      <c r="AE371">
        <v>0</v>
      </c>
      <c r="AF371" t="s">
        <v>18</v>
      </c>
    </row>
    <row r="372" spans="1:32" x14ac:dyDescent="0.3">
      <c r="A372" t="s">
        <v>2162</v>
      </c>
      <c r="B372" t="s">
        <v>1</v>
      </c>
      <c r="C372">
        <v>0.5</v>
      </c>
      <c r="D372" t="s">
        <v>588</v>
      </c>
      <c r="E372" t="s">
        <v>2323</v>
      </c>
      <c r="F372">
        <v>0.25</v>
      </c>
      <c r="G372" t="s">
        <v>2332</v>
      </c>
      <c r="H372" t="s">
        <v>2004</v>
      </c>
      <c r="I372" t="s">
        <v>4</v>
      </c>
      <c r="J372">
        <v>246</v>
      </c>
      <c r="K372" t="s">
        <v>5</v>
      </c>
      <c r="L372">
        <v>139</v>
      </c>
      <c r="M372" t="s">
        <v>6</v>
      </c>
      <c r="N372">
        <v>57.949535350515902</v>
      </c>
      <c r="O372" t="s">
        <v>7</v>
      </c>
      <c r="P372">
        <v>0.23556721687201601</v>
      </c>
      <c r="Q372" t="s">
        <v>8</v>
      </c>
      <c r="R372">
        <v>2.5022256338686399</v>
      </c>
      <c r="S372" t="s">
        <v>9</v>
      </c>
      <c r="T372">
        <v>-2.7089703528712601</v>
      </c>
      <c r="U372" t="s">
        <v>10</v>
      </c>
      <c r="V372">
        <v>0.80861209864920003</v>
      </c>
      <c r="W372" t="s">
        <v>11</v>
      </c>
      <c r="X372" t="s">
        <v>1980</v>
      </c>
      <c r="Y372" t="s">
        <v>2442</v>
      </c>
      <c r="Z372">
        <v>0</v>
      </c>
      <c r="AA372" t="s">
        <v>14</v>
      </c>
      <c r="AB372" t="s">
        <v>15</v>
      </c>
      <c r="AC372" t="s">
        <v>2478</v>
      </c>
      <c r="AD372" t="s">
        <v>2132</v>
      </c>
      <c r="AE372">
        <v>0</v>
      </c>
      <c r="AF372" t="s">
        <v>18</v>
      </c>
    </row>
    <row r="373" spans="1:32" x14ac:dyDescent="0.3">
      <c r="A373" t="s">
        <v>2162</v>
      </c>
      <c r="B373" t="s">
        <v>1</v>
      </c>
      <c r="C373">
        <v>0.5</v>
      </c>
      <c r="D373" t="s">
        <v>588</v>
      </c>
      <c r="E373" t="s">
        <v>2323</v>
      </c>
      <c r="F373">
        <v>0.25</v>
      </c>
      <c r="G373" t="s">
        <v>2332</v>
      </c>
      <c r="H373" t="s">
        <v>2005</v>
      </c>
      <c r="I373" t="s">
        <v>4</v>
      </c>
      <c r="J373">
        <v>246</v>
      </c>
      <c r="K373" t="s">
        <v>5</v>
      </c>
      <c r="L373">
        <v>143</v>
      </c>
      <c r="M373" t="s">
        <v>6</v>
      </c>
      <c r="N373">
        <v>60.437397716569798</v>
      </c>
      <c r="O373" t="s">
        <v>7</v>
      </c>
      <c r="P373">
        <v>0.24568047852264099</v>
      </c>
      <c r="Q373" t="s">
        <v>8</v>
      </c>
      <c r="R373">
        <v>2.5016645320347699</v>
      </c>
      <c r="S373" t="s">
        <v>9</v>
      </c>
      <c r="T373">
        <v>-2.8864138870330298</v>
      </c>
      <c r="U373" t="s">
        <v>10</v>
      </c>
      <c r="V373">
        <v>0.83837898394837695</v>
      </c>
      <c r="W373" t="s">
        <v>11</v>
      </c>
      <c r="X373" t="s">
        <v>1980</v>
      </c>
      <c r="Y373" t="s">
        <v>2442</v>
      </c>
      <c r="Z373">
        <v>0</v>
      </c>
      <c r="AA373" t="s">
        <v>14</v>
      </c>
      <c r="AB373" t="s">
        <v>15</v>
      </c>
      <c r="AC373" t="s">
        <v>2478</v>
      </c>
      <c r="AD373" t="s">
        <v>2132</v>
      </c>
      <c r="AE373">
        <v>0</v>
      </c>
      <c r="AF373" t="s">
        <v>18</v>
      </c>
    </row>
    <row r="374" spans="1:32" x14ac:dyDescent="0.3">
      <c r="A374" t="s">
        <v>2162</v>
      </c>
      <c r="B374" t="s">
        <v>1</v>
      </c>
      <c r="C374">
        <v>0.4</v>
      </c>
      <c r="D374" t="s">
        <v>588</v>
      </c>
      <c r="E374" t="s">
        <v>2323</v>
      </c>
      <c r="F374">
        <v>0.2</v>
      </c>
      <c r="G374" t="s">
        <v>2324</v>
      </c>
      <c r="H374" t="s">
        <v>1979</v>
      </c>
      <c r="I374" t="s">
        <v>4</v>
      </c>
      <c r="J374">
        <v>249</v>
      </c>
      <c r="K374" t="s">
        <v>5</v>
      </c>
      <c r="L374">
        <v>83</v>
      </c>
      <c r="M374" t="s">
        <v>6</v>
      </c>
      <c r="N374">
        <v>-29.5283802669708</v>
      </c>
      <c r="O374" t="s">
        <v>7</v>
      </c>
      <c r="P374">
        <v>-0.118587872558115</v>
      </c>
      <c r="Q374" t="s">
        <v>8</v>
      </c>
      <c r="R374">
        <v>1.9797590361445701</v>
      </c>
      <c r="S374" t="s">
        <v>9</v>
      </c>
      <c r="T374">
        <v>-1.16776132690946</v>
      </c>
      <c r="U374" t="s">
        <v>10</v>
      </c>
      <c r="V374">
        <v>0.58839823068441599</v>
      </c>
      <c r="W374" t="s">
        <v>11</v>
      </c>
      <c r="X374" t="s">
        <v>2368</v>
      </c>
      <c r="Y374" t="s">
        <v>720</v>
      </c>
      <c r="Z374">
        <v>0</v>
      </c>
      <c r="AA374" t="s">
        <v>14</v>
      </c>
      <c r="AB374" t="s">
        <v>15</v>
      </c>
      <c r="AC374" t="s">
        <v>2479</v>
      </c>
      <c r="AD374" t="s">
        <v>720</v>
      </c>
      <c r="AE374">
        <v>0</v>
      </c>
      <c r="AF374" t="s">
        <v>18</v>
      </c>
    </row>
    <row r="375" spans="1:32" x14ac:dyDescent="0.3">
      <c r="A375" t="s">
        <v>2162</v>
      </c>
      <c r="B375" t="s">
        <v>1</v>
      </c>
      <c r="C375">
        <v>0.4</v>
      </c>
      <c r="D375" t="s">
        <v>588</v>
      </c>
      <c r="E375" t="s">
        <v>2323</v>
      </c>
      <c r="F375">
        <v>0.2</v>
      </c>
      <c r="G375" t="s">
        <v>2324</v>
      </c>
      <c r="H375" t="s">
        <v>1982</v>
      </c>
      <c r="I375" t="s">
        <v>4</v>
      </c>
      <c r="J375">
        <v>249</v>
      </c>
      <c r="K375" t="s">
        <v>5</v>
      </c>
      <c r="L375">
        <v>92</v>
      </c>
      <c r="M375" t="s">
        <v>6</v>
      </c>
      <c r="N375">
        <v>-34.258380266970804</v>
      </c>
      <c r="O375" t="s">
        <v>7</v>
      </c>
      <c r="P375">
        <v>-0.13758385649385799</v>
      </c>
      <c r="Q375" t="s">
        <v>8</v>
      </c>
      <c r="R375">
        <v>1.9745652173913</v>
      </c>
      <c r="S375" t="s">
        <v>9</v>
      </c>
      <c r="T375">
        <v>-1.3752763074329299</v>
      </c>
      <c r="U375" t="s">
        <v>10</v>
      </c>
      <c r="V375">
        <v>0.65729314737439604</v>
      </c>
      <c r="W375" t="s">
        <v>11</v>
      </c>
      <c r="X375" t="s">
        <v>2368</v>
      </c>
      <c r="Y375" t="s">
        <v>720</v>
      </c>
      <c r="Z375">
        <v>0</v>
      </c>
      <c r="AA375" t="s">
        <v>14</v>
      </c>
      <c r="AB375" t="s">
        <v>15</v>
      </c>
      <c r="AC375" t="s">
        <v>2479</v>
      </c>
      <c r="AD375" t="s">
        <v>720</v>
      </c>
      <c r="AE375">
        <v>0</v>
      </c>
      <c r="AF375" t="s">
        <v>18</v>
      </c>
    </row>
    <row r="376" spans="1:32" x14ac:dyDescent="0.3">
      <c r="A376" t="s">
        <v>2162</v>
      </c>
      <c r="B376" t="s">
        <v>1</v>
      </c>
      <c r="C376">
        <v>0.4</v>
      </c>
      <c r="D376" t="s">
        <v>588</v>
      </c>
      <c r="E376" t="s">
        <v>2323</v>
      </c>
      <c r="F376">
        <v>0.2</v>
      </c>
      <c r="G376" t="s">
        <v>2324</v>
      </c>
      <c r="H376" t="s">
        <v>1985</v>
      </c>
      <c r="I376" t="s">
        <v>4</v>
      </c>
      <c r="J376">
        <v>249</v>
      </c>
      <c r="K376" t="s">
        <v>5</v>
      </c>
      <c r="L376">
        <v>93</v>
      </c>
      <c r="M376" t="s">
        <v>6</v>
      </c>
      <c r="N376">
        <v>-54.208380266970799</v>
      </c>
      <c r="O376" t="s">
        <v>7</v>
      </c>
      <c r="P376">
        <v>-0.217704338421569</v>
      </c>
      <c r="Q376" t="s">
        <v>8</v>
      </c>
      <c r="R376">
        <v>1.9792473118279501</v>
      </c>
      <c r="S376" t="s">
        <v>9</v>
      </c>
      <c r="T376">
        <v>-1.52742551453186</v>
      </c>
      <c r="U376" t="s">
        <v>10</v>
      </c>
      <c r="V376">
        <v>0.74307949495090597</v>
      </c>
      <c r="W376" t="s">
        <v>11</v>
      </c>
      <c r="X376" t="s">
        <v>2368</v>
      </c>
      <c r="Y376" t="s">
        <v>720</v>
      </c>
      <c r="Z376">
        <v>0</v>
      </c>
      <c r="AA376" t="s">
        <v>14</v>
      </c>
      <c r="AB376" t="s">
        <v>15</v>
      </c>
      <c r="AC376" t="s">
        <v>2480</v>
      </c>
      <c r="AD376" t="s">
        <v>1987</v>
      </c>
      <c r="AE376">
        <v>0</v>
      </c>
      <c r="AF376" t="s">
        <v>18</v>
      </c>
    </row>
    <row r="377" spans="1:32" x14ac:dyDescent="0.3">
      <c r="A377" t="s">
        <v>2162</v>
      </c>
      <c r="B377" t="s">
        <v>1</v>
      </c>
      <c r="C377">
        <v>0.4</v>
      </c>
      <c r="D377" t="s">
        <v>588</v>
      </c>
      <c r="E377" t="s">
        <v>2323</v>
      </c>
      <c r="F377">
        <v>0.2</v>
      </c>
      <c r="G377" t="s">
        <v>2324</v>
      </c>
      <c r="H377" t="s">
        <v>1988</v>
      </c>
      <c r="I377" t="s">
        <v>4</v>
      </c>
      <c r="J377">
        <v>249</v>
      </c>
      <c r="K377" t="s">
        <v>5</v>
      </c>
      <c r="L377">
        <v>94</v>
      </c>
      <c r="M377" t="s">
        <v>6</v>
      </c>
      <c r="N377">
        <v>-88.998380266970699</v>
      </c>
      <c r="O377" t="s">
        <v>7</v>
      </c>
      <c r="P377">
        <v>-0.35742321392357701</v>
      </c>
      <c r="Q377" t="s">
        <v>8</v>
      </c>
      <c r="R377">
        <v>1.97712765957446</v>
      </c>
      <c r="S377" t="s">
        <v>9</v>
      </c>
      <c r="T377">
        <v>-1.7732153565611</v>
      </c>
      <c r="U377" t="s">
        <v>10</v>
      </c>
      <c r="V377">
        <v>0.96048880493761501</v>
      </c>
      <c r="W377" t="s">
        <v>11</v>
      </c>
      <c r="X377" t="s">
        <v>2368</v>
      </c>
      <c r="Y377" t="s">
        <v>720</v>
      </c>
      <c r="Z377">
        <v>0</v>
      </c>
      <c r="AA377" t="s">
        <v>14</v>
      </c>
      <c r="AB377" t="s">
        <v>15</v>
      </c>
      <c r="AC377" t="s">
        <v>2481</v>
      </c>
      <c r="AD377" t="s">
        <v>2132</v>
      </c>
      <c r="AE377">
        <v>0</v>
      </c>
      <c r="AF377" t="s">
        <v>18</v>
      </c>
    </row>
    <row r="378" spans="1:32" x14ac:dyDescent="0.3">
      <c r="A378" t="s">
        <v>2162</v>
      </c>
      <c r="B378" t="s">
        <v>1</v>
      </c>
      <c r="C378">
        <v>0.4</v>
      </c>
      <c r="D378" t="s">
        <v>588</v>
      </c>
      <c r="E378" t="s">
        <v>2323</v>
      </c>
      <c r="F378">
        <v>0.2</v>
      </c>
      <c r="G378" t="s">
        <v>2329</v>
      </c>
      <c r="H378" t="s">
        <v>1991</v>
      </c>
      <c r="I378" t="s">
        <v>4</v>
      </c>
      <c r="J378">
        <v>258</v>
      </c>
      <c r="K378" t="s">
        <v>5</v>
      </c>
      <c r="L378">
        <v>94</v>
      </c>
      <c r="M378" t="s">
        <v>6</v>
      </c>
      <c r="N378">
        <v>35.305821305154602</v>
      </c>
      <c r="O378" t="s">
        <v>7</v>
      </c>
      <c r="P378">
        <v>0.13684426862463001</v>
      </c>
      <c r="Q378" t="s">
        <v>8</v>
      </c>
      <c r="R378">
        <v>2.3698159000625898</v>
      </c>
      <c r="S378" t="s">
        <v>9</v>
      </c>
      <c r="T378">
        <v>-1.14302971524835</v>
      </c>
      <c r="U378" t="s">
        <v>10</v>
      </c>
      <c r="V378">
        <v>0.61091487456454396</v>
      </c>
      <c r="W378" t="s">
        <v>11</v>
      </c>
      <c r="X378" t="s">
        <v>2482</v>
      </c>
      <c r="Y378" t="s">
        <v>2055</v>
      </c>
      <c r="Z378">
        <v>0</v>
      </c>
      <c r="AA378" t="s">
        <v>14</v>
      </c>
      <c r="AB378" t="s">
        <v>15</v>
      </c>
      <c r="AC378" t="s">
        <v>2483</v>
      </c>
      <c r="AD378" t="s">
        <v>2055</v>
      </c>
      <c r="AE378">
        <v>0</v>
      </c>
      <c r="AF378" t="s">
        <v>18</v>
      </c>
    </row>
    <row r="379" spans="1:32" x14ac:dyDescent="0.3">
      <c r="A379" t="s">
        <v>2162</v>
      </c>
      <c r="B379" t="s">
        <v>1</v>
      </c>
      <c r="C379">
        <v>0.4</v>
      </c>
      <c r="D379" t="s">
        <v>588</v>
      </c>
      <c r="E379" t="s">
        <v>2323</v>
      </c>
      <c r="F379">
        <v>0.2</v>
      </c>
      <c r="G379" t="s">
        <v>2329</v>
      </c>
      <c r="H379" t="s">
        <v>1994</v>
      </c>
      <c r="I379" t="s">
        <v>4</v>
      </c>
      <c r="J379">
        <v>258</v>
      </c>
      <c r="K379" t="s">
        <v>5</v>
      </c>
      <c r="L379">
        <v>106</v>
      </c>
      <c r="M379" t="s">
        <v>6</v>
      </c>
      <c r="N379">
        <v>39.528590472307897</v>
      </c>
      <c r="O379" t="s">
        <v>7</v>
      </c>
      <c r="P379">
        <v>0.15321159097793699</v>
      </c>
      <c r="Q379" t="s">
        <v>8</v>
      </c>
      <c r="R379">
        <v>2.3727612698668299</v>
      </c>
      <c r="S379" t="s">
        <v>9</v>
      </c>
      <c r="T379">
        <v>-1.3946322640366799</v>
      </c>
      <c r="U379" t="s">
        <v>10</v>
      </c>
      <c r="V379">
        <v>0.68401331771811102</v>
      </c>
      <c r="W379" t="s">
        <v>11</v>
      </c>
      <c r="X379" t="s">
        <v>2482</v>
      </c>
      <c r="Y379" t="s">
        <v>2055</v>
      </c>
      <c r="Z379">
        <v>0</v>
      </c>
      <c r="AA379" t="s">
        <v>14</v>
      </c>
      <c r="AB379" t="s">
        <v>15</v>
      </c>
      <c r="AC379" t="s">
        <v>2483</v>
      </c>
      <c r="AD379" t="s">
        <v>2055</v>
      </c>
      <c r="AE379">
        <v>0</v>
      </c>
      <c r="AF379" t="s">
        <v>18</v>
      </c>
    </row>
    <row r="380" spans="1:32" x14ac:dyDescent="0.3">
      <c r="A380" t="s">
        <v>2162</v>
      </c>
      <c r="B380" t="s">
        <v>1</v>
      </c>
      <c r="C380">
        <v>0.4</v>
      </c>
      <c r="D380" t="s">
        <v>588</v>
      </c>
      <c r="E380" t="s">
        <v>2323</v>
      </c>
      <c r="F380">
        <v>0.2</v>
      </c>
      <c r="G380" t="s">
        <v>2329</v>
      </c>
      <c r="H380" t="s">
        <v>1996</v>
      </c>
      <c r="I380" t="s">
        <v>4</v>
      </c>
      <c r="J380">
        <v>258</v>
      </c>
      <c r="K380" t="s">
        <v>5</v>
      </c>
      <c r="L380">
        <v>108</v>
      </c>
      <c r="M380" t="s">
        <v>6</v>
      </c>
      <c r="N380">
        <v>25.628590472307899</v>
      </c>
      <c r="O380" t="s">
        <v>7</v>
      </c>
      <c r="P380">
        <v>9.9335621985689807E-2</v>
      </c>
      <c r="Q380" t="s">
        <v>8</v>
      </c>
      <c r="R380">
        <v>2.3718768019063301</v>
      </c>
      <c r="S380" t="s">
        <v>9</v>
      </c>
      <c r="T380">
        <v>-1.5368940275571701</v>
      </c>
      <c r="U380" t="s">
        <v>10</v>
      </c>
      <c r="V380">
        <v>0.71881521416069505</v>
      </c>
      <c r="W380" t="s">
        <v>11</v>
      </c>
      <c r="X380" t="s">
        <v>2445</v>
      </c>
      <c r="Y380" t="s">
        <v>1987</v>
      </c>
      <c r="Z380">
        <v>0</v>
      </c>
      <c r="AA380" t="s">
        <v>14</v>
      </c>
      <c r="AB380" t="s">
        <v>15</v>
      </c>
      <c r="AC380" t="s">
        <v>2484</v>
      </c>
      <c r="AD380" t="s">
        <v>718</v>
      </c>
      <c r="AE380">
        <v>0</v>
      </c>
      <c r="AF380" t="s">
        <v>18</v>
      </c>
    </row>
    <row r="381" spans="1:32" x14ac:dyDescent="0.3">
      <c r="A381" t="s">
        <v>2162</v>
      </c>
      <c r="B381" t="s">
        <v>1</v>
      </c>
      <c r="C381">
        <v>0.4</v>
      </c>
      <c r="D381" t="s">
        <v>588</v>
      </c>
      <c r="E381" t="s">
        <v>2323</v>
      </c>
      <c r="F381">
        <v>0.2</v>
      </c>
      <c r="G381" t="s">
        <v>2329</v>
      </c>
      <c r="H381" t="s">
        <v>1997</v>
      </c>
      <c r="I381" t="s">
        <v>4</v>
      </c>
      <c r="J381">
        <v>258</v>
      </c>
      <c r="K381" t="s">
        <v>5</v>
      </c>
      <c r="L381">
        <v>109</v>
      </c>
      <c r="M381" t="s">
        <v>6</v>
      </c>
      <c r="N381">
        <v>-2.2514095276920498</v>
      </c>
      <c r="O381" t="s">
        <v>7</v>
      </c>
      <c r="P381">
        <v>-8.7263935181862602E-3</v>
      </c>
      <c r="Q381" t="s">
        <v>8</v>
      </c>
      <c r="R381">
        <v>2.37029995051269</v>
      </c>
      <c r="S381" t="s">
        <v>9</v>
      </c>
      <c r="T381">
        <v>-1.7490879472052001</v>
      </c>
      <c r="U381" t="s">
        <v>10</v>
      </c>
      <c r="V381">
        <v>0.82861619376530105</v>
      </c>
      <c r="W381" t="s">
        <v>11</v>
      </c>
      <c r="X381" t="s">
        <v>2445</v>
      </c>
      <c r="Y381" t="s">
        <v>1987</v>
      </c>
      <c r="Z381">
        <v>0</v>
      </c>
      <c r="AA381" t="s">
        <v>14</v>
      </c>
      <c r="AB381" t="s">
        <v>15</v>
      </c>
      <c r="AC381" t="s">
        <v>2485</v>
      </c>
      <c r="AD381" t="s">
        <v>2132</v>
      </c>
      <c r="AE381">
        <v>0</v>
      </c>
      <c r="AF381" t="s">
        <v>18</v>
      </c>
    </row>
    <row r="382" spans="1:32" x14ac:dyDescent="0.3">
      <c r="A382" t="s">
        <v>2162</v>
      </c>
      <c r="B382" t="s">
        <v>1</v>
      </c>
      <c r="C382">
        <v>0.4</v>
      </c>
      <c r="D382" t="s">
        <v>588</v>
      </c>
      <c r="E382" t="s">
        <v>2323</v>
      </c>
      <c r="F382">
        <v>0.2</v>
      </c>
      <c r="G382" t="s">
        <v>2332</v>
      </c>
      <c r="H382" t="s">
        <v>1999</v>
      </c>
      <c r="I382" t="s">
        <v>4</v>
      </c>
      <c r="J382">
        <v>246</v>
      </c>
      <c r="K382" t="s">
        <v>5</v>
      </c>
      <c r="L382">
        <v>91</v>
      </c>
      <c r="M382" t="s">
        <v>6</v>
      </c>
      <c r="N382">
        <v>23.0002716911651</v>
      </c>
      <c r="O382" t="s">
        <v>7</v>
      </c>
      <c r="P382">
        <v>9.34970393949804E-2</v>
      </c>
      <c r="Q382" t="s">
        <v>8</v>
      </c>
      <c r="R382">
        <v>2.30613866207046</v>
      </c>
      <c r="S382" t="s">
        <v>9</v>
      </c>
      <c r="T382">
        <v>-1.2055377197241699</v>
      </c>
      <c r="U382" t="s">
        <v>10</v>
      </c>
      <c r="V382">
        <v>0.52835682848113596</v>
      </c>
      <c r="W382" t="s">
        <v>11</v>
      </c>
      <c r="X382" t="s">
        <v>2486</v>
      </c>
      <c r="Y382" t="s">
        <v>595</v>
      </c>
      <c r="Z382">
        <v>0</v>
      </c>
      <c r="AA382" t="s">
        <v>14</v>
      </c>
      <c r="AB382" t="s">
        <v>15</v>
      </c>
      <c r="AC382" t="s">
        <v>2487</v>
      </c>
      <c r="AD382" t="s">
        <v>595</v>
      </c>
      <c r="AE382">
        <v>0</v>
      </c>
      <c r="AF382" t="s">
        <v>18</v>
      </c>
    </row>
    <row r="383" spans="1:32" x14ac:dyDescent="0.3">
      <c r="A383" t="s">
        <v>2162</v>
      </c>
      <c r="B383" t="s">
        <v>1</v>
      </c>
      <c r="C383">
        <v>0.4</v>
      </c>
      <c r="D383" t="s">
        <v>588</v>
      </c>
      <c r="E383" t="s">
        <v>2323</v>
      </c>
      <c r="F383">
        <v>0.2</v>
      </c>
      <c r="G383" t="s">
        <v>2332</v>
      </c>
      <c r="H383" t="s">
        <v>2002</v>
      </c>
      <c r="I383" t="s">
        <v>4</v>
      </c>
      <c r="J383">
        <v>246</v>
      </c>
      <c r="K383" t="s">
        <v>5</v>
      </c>
      <c r="L383">
        <v>115</v>
      </c>
      <c r="M383" t="s">
        <v>6</v>
      </c>
      <c r="N383">
        <v>61.607504788079098</v>
      </c>
      <c r="O383" t="s">
        <v>7</v>
      </c>
      <c r="P383">
        <v>0.25043701133365498</v>
      </c>
      <c r="Q383" t="s">
        <v>8</v>
      </c>
      <c r="R383">
        <v>2.4260036870312902</v>
      </c>
      <c r="S383" t="s">
        <v>9</v>
      </c>
      <c r="T383">
        <v>-1.6594115971032</v>
      </c>
      <c r="U383" t="s">
        <v>10</v>
      </c>
      <c r="V383">
        <v>0.67289483490882296</v>
      </c>
      <c r="W383" t="s">
        <v>11</v>
      </c>
      <c r="X383" t="s">
        <v>2486</v>
      </c>
      <c r="Y383" t="s">
        <v>595</v>
      </c>
      <c r="Z383">
        <v>0</v>
      </c>
      <c r="AA383" t="s">
        <v>14</v>
      </c>
      <c r="AB383" t="s">
        <v>15</v>
      </c>
      <c r="AC383" t="s">
        <v>2488</v>
      </c>
      <c r="AD383" t="s">
        <v>1987</v>
      </c>
      <c r="AE383">
        <v>0</v>
      </c>
      <c r="AF383" t="s">
        <v>18</v>
      </c>
    </row>
    <row r="384" spans="1:32" x14ac:dyDescent="0.3">
      <c r="A384" t="s">
        <v>2162</v>
      </c>
      <c r="B384" t="s">
        <v>1</v>
      </c>
      <c r="C384">
        <v>0.4</v>
      </c>
      <c r="D384" t="s">
        <v>588</v>
      </c>
      <c r="E384" t="s">
        <v>2323</v>
      </c>
      <c r="F384">
        <v>0.2</v>
      </c>
      <c r="G384" t="s">
        <v>2332</v>
      </c>
      <c r="H384" t="s">
        <v>2004</v>
      </c>
      <c r="I384" t="s">
        <v>4</v>
      </c>
      <c r="J384">
        <v>246</v>
      </c>
      <c r="K384" t="s">
        <v>5</v>
      </c>
      <c r="L384">
        <v>117</v>
      </c>
      <c r="M384" t="s">
        <v>6</v>
      </c>
      <c r="N384">
        <v>45.106435917602703</v>
      </c>
      <c r="O384" t="s">
        <v>7</v>
      </c>
      <c r="P384">
        <v>0.183359495600011</v>
      </c>
      <c r="Q384" t="s">
        <v>8</v>
      </c>
      <c r="R384">
        <v>2.4262429402444301</v>
      </c>
      <c r="S384" t="s">
        <v>9</v>
      </c>
      <c r="T384">
        <v>-1.85088362861237</v>
      </c>
      <c r="U384" t="s">
        <v>10</v>
      </c>
      <c r="V384">
        <v>0.73122440214732798</v>
      </c>
      <c r="W384" t="s">
        <v>11</v>
      </c>
      <c r="X384" t="s">
        <v>2486</v>
      </c>
      <c r="Y384" t="s">
        <v>595</v>
      </c>
      <c r="Z384">
        <v>0</v>
      </c>
      <c r="AA384" t="s">
        <v>14</v>
      </c>
      <c r="AB384" t="s">
        <v>15</v>
      </c>
      <c r="AC384" t="s">
        <v>2489</v>
      </c>
      <c r="AD384" t="s">
        <v>2132</v>
      </c>
      <c r="AE384">
        <v>0</v>
      </c>
      <c r="AF384" t="s">
        <v>18</v>
      </c>
    </row>
    <row r="385" spans="1:32" x14ac:dyDescent="0.3">
      <c r="A385" t="s">
        <v>2162</v>
      </c>
      <c r="B385" t="s">
        <v>1</v>
      </c>
      <c r="C385">
        <v>0.4</v>
      </c>
      <c r="D385" t="s">
        <v>588</v>
      </c>
      <c r="E385" t="s">
        <v>2323</v>
      </c>
      <c r="F385">
        <v>0.2</v>
      </c>
      <c r="G385" t="s">
        <v>2332</v>
      </c>
      <c r="H385" t="s">
        <v>2005</v>
      </c>
      <c r="I385" t="s">
        <v>4</v>
      </c>
      <c r="J385">
        <v>246</v>
      </c>
      <c r="K385" t="s">
        <v>5</v>
      </c>
      <c r="L385">
        <v>122</v>
      </c>
      <c r="M385" t="s">
        <v>6</v>
      </c>
      <c r="N385">
        <v>56.716435917602801</v>
      </c>
      <c r="O385" t="s">
        <v>7</v>
      </c>
      <c r="P385">
        <v>0.23055461755123</v>
      </c>
      <c r="Q385" t="s">
        <v>8</v>
      </c>
      <c r="R385">
        <v>2.4240198689229402</v>
      </c>
      <c r="S385" t="s">
        <v>9</v>
      </c>
      <c r="T385">
        <v>-1.9275321620241599</v>
      </c>
      <c r="U385" t="s">
        <v>10</v>
      </c>
      <c r="V385">
        <v>0.78980746599960705</v>
      </c>
      <c r="W385" t="s">
        <v>11</v>
      </c>
      <c r="X385" t="s">
        <v>2486</v>
      </c>
      <c r="Y385" t="s">
        <v>595</v>
      </c>
      <c r="Z385">
        <v>0</v>
      </c>
      <c r="AA385" t="s">
        <v>14</v>
      </c>
      <c r="AB385" t="s">
        <v>15</v>
      </c>
      <c r="AC385" t="s">
        <v>2490</v>
      </c>
      <c r="AD385" t="s">
        <v>2132</v>
      </c>
      <c r="AE385">
        <v>0</v>
      </c>
      <c r="AF385" t="s">
        <v>18</v>
      </c>
    </row>
    <row r="386" spans="1:32" x14ac:dyDescent="0.3">
      <c r="A386" t="s">
        <v>2162</v>
      </c>
      <c r="B386" t="s">
        <v>1</v>
      </c>
      <c r="C386">
        <v>0.4</v>
      </c>
      <c r="D386" t="s">
        <v>588</v>
      </c>
      <c r="E386" t="s">
        <v>2323</v>
      </c>
      <c r="F386">
        <v>0.2</v>
      </c>
      <c r="G386" t="s">
        <v>2347</v>
      </c>
      <c r="H386" t="s">
        <v>1979</v>
      </c>
      <c r="I386" t="s">
        <v>4</v>
      </c>
      <c r="J386">
        <v>249</v>
      </c>
      <c r="K386" t="s">
        <v>5</v>
      </c>
      <c r="L386">
        <v>139</v>
      </c>
      <c r="M386" t="s">
        <v>6</v>
      </c>
      <c r="N386">
        <v>-10.377570400455999</v>
      </c>
      <c r="O386" t="s">
        <v>7</v>
      </c>
      <c r="P386">
        <v>-4.1676989560064603E-2</v>
      </c>
      <c r="Q386" t="s">
        <v>8</v>
      </c>
      <c r="R386">
        <v>1.3466187050359699</v>
      </c>
      <c r="S386" t="s">
        <v>9</v>
      </c>
      <c r="T386">
        <v>-1.7959779127314199</v>
      </c>
      <c r="U386" t="s">
        <v>10</v>
      </c>
      <c r="V386">
        <v>0.57747494930585797</v>
      </c>
      <c r="W386" t="s">
        <v>11</v>
      </c>
      <c r="X386" t="s">
        <v>2491</v>
      </c>
      <c r="Y386" t="s">
        <v>720</v>
      </c>
      <c r="Z386">
        <v>0</v>
      </c>
      <c r="AA386" t="s">
        <v>14</v>
      </c>
      <c r="AB386" t="s">
        <v>15</v>
      </c>
      <c r="AC386" t="s">
        <v>2527</v>
      </c>
      <c r="AD386" t="s">
        <v>2296</v>
      </c>
      <c r="AE386">
        <v>0</v>
      </c>
      <c r="AF386" t="s">
        <v>18</v>
      </c>
    </row>
    <row r="387" spans="1:32" x14ac:dyDescent="0.3">
      <c r="A387" t="s">
        <v>2162</v>
      </c>
      <c r="B387" t="s">
        <v>1</v>
      </c>
      <c r="C387">
        <v>0.4</v>
      </c>
      <c r="D387" t="s">
        <v>588</v>
      </c>
      <c r="E387" t="s">
        <v>2323</v>
      </c>
      <c r="F387">
        <v>0.2</v>
      </c>
      <c r="G387" t="s">
        <v>2347</v>
      </c>
      <c r="H387" t="s">
        <v>1982</v>
      </c>
      <c r="I387" t="s">
        <v>4</v>
      </c>
      <c r="J387">
        <v>249</v>
      </c>
      <c r="K387" t="s">
        <v>5</v>
      </c>
      <c r="L387">
        <v>159</v>
      </c>
      <c r="M387" t="s">
        <v>6</v>
      </c>
      <c r="N387">
        <v>-0.77757040045607795</v>
      </c>
      <c r="O387" t="s">
        <v>7</v>
      </c>
      <c r="P387">
        <v>-3.1227726925946902E-3</v>
      </c>
      <c r="Q387" t="s">
        <v>8</v>
      </c>
      <c r="R387">
        <v>1.4176100628930799</v>
      </c>
      <c r="S387" t="s">
        <v>9</v>
      </c>
      <c r="T387">
        <v>-2.5130841155606198</v>
      </c>
      <c r="U387" t="s">
        <v>10</v>
      </c>
      <c r="V387">
        <v>0.72080250548218205</v>
      </c>
      <c r="W387" t="s">
        <v>11</v>
      </c>
      <c r="X387" t="s">
        <v>2491</v>
      </c>
      <c r="Y387" t="s">
        <v>720</v>
      </c>
      <c r="Z387">
        <v>0</v>
      </c>
      <c r="AA387" t="s">
        <v>14</v>
      </c>
      <c r="AB387" t="s">
        <v>15</v>
      </c>
      <c r="AC387" t="s">
        <v>2528</v>
      </c>
      <c r="AD387" t="s">
        <v>2517</v>
      </c>
      <c r="AE387">
        <v>0</v>
      </c>
      <c r="AF387" t="s">
        <v>18</v>
      </c>
    </row>
    <row r="388" spans="1:32" x14ac:dyDescent="0.3">
      <c r="A388" t="s">
        <v>2162</v>
      </c>
      <c r="B388" t="s">
        <v>1</v>
      </c>
      <c r="C388">
        <v>0.4</v>
      </c>
      <c r="D388" t="s">
        <v>588</v>
      </c>
      <c r="E388" t="s">
        <v>2323</v>
      </c>
      <c r="F388">
        <v>0.2</v>
      </c>
      <c r="G388" t="s">
        <v>2347</v>
      </c>
      <c r="H388" t="s">
        <v>1985</v>
      </c>
      <c r="I388" t="s">
        <v>4</v>
      </c>
      <c r="J388">
        <v>249</v>
      </c>
      <c r="K388" t="s">
        <v>5</v>
      </c>
      <c r="L388">
        <v>171</v>
      </c>
      <c r="M388" t="s">
        <v>6</v>
      </c>
      <c r="N388">
        <v>-25.9175704004561</v>
      </c>
      <c r="O388" t="s">
        <v>7</v>
      </c>
      <c r="P388">
        <v>-0.104086628114281</v>
      </c>
      <c r="Q388" t="s">
        <v>8</v>
      </c>
      <c r="R388">
        <v>1.4971929824561401</v>
      </c>
      <c r="S388" t="s">
        <v>9</v>
      </c>
      <c r="T388">
        <v>-3.6145842359032798</v>
      </c>
      <c r="U388" t="s">
        <v>10</v>
      </c>
      <c r="V388">
        <v>0.97454202626588804</v>
      </c>
      <c r="W388" t="s">
        <v>11</v>
      </c>
      <c r="X388" t="s">
        <v>2351</v>
      </c>
      <c r="Y388" t="s">
        <v>720</v>
      </c>
      <c r="Z388">
        <v>0</v>
      </c>
      <c r="AA388" t="s">
        <v>14</v>
      </c>
      <c r="AB388" t="s">
        <v>15</v>
      </c>
      <c r="AC388" t="s">
        <v>2494</v>
      </c>
      <c r="AD388" t="s">
        <v>720</v>
      </c>
      <c r="AE388">
        <v>0</v>
      </c>
      <c r="AF388" t="s">
        <v>18</v>
      </c>
    </row>
    <row r="389" spans="1:32" x14ac:dyDescent="0.3">
      <c r="A389" t="s">
        <v>2162</v>
      </c>
      <c r="B389" t="s">
        <v>1</v>
      </c>
      <c r="C389">
        <v>0.4</v>
      </c>
      <c r="D389" t="s">
        <v>588</v>
      </c>
      <c r="E389" t="s">
        <v>2323</v>
      </c>
      <c r="F389">
        <v>0.2</v>
      </c>
      <c r="G389" t="s">
        <v>2347</v>
      </c>
      <c r="H389" t="s">
        <v>1988</v>
      </c>
      <c r="I389" t="s">
        <v>4</v>
      </c>
      <c r="J389">
        <v>249</v>
      </c>
      <c r="K389" t="s">
        <v>5</v>
      </c>
      <c r="L389">
        <v>176</v>
      </c>
      <c r="M389" t="s">
        <v>6</v>
      </c>
      <c r="N389">
        <v>-55.9875704004561</v>
      </c>
      <c r="O389" t="s">
        <v>7</v>
      </c>
      <c r="P389">
        <v>-0.224849680323116</v>
      </c>
      <c r="Q389" t="s">
        <v>8</v>
      </c>
      <c r="R389">
        <v>1.53551136363636</v>
      </c>
      <c r="S389" t="s">
        <v>9</v>
      </c>
      <c r="T389">
        <v>-4.4690078137048799</v>
      </c>
      <c r="U389" t="s">
        <v>10</v>
      </c>
      <c r="V389">
        <v>1.2027473347587401</v>
      </c>
      <c r="W389" t="s">
        <v>11</v>
      </c>
      <c r="X389" t="s">
        <v>2351</v>
      </c>
      <c r="Y389" t="s">
        <v>720</v>
      </c>
      <c r="Z389">
        <v>0</v>
      </c>
      <c r="AA389" t="s">
        <v>14</v>
      </c>
      <c r="AB389" t="s">
        <v>15</v>
      </c>
      <c r="AC389" t="s">
        <v>2494</v>
      </c>
      <c r="AD389" t="s">
        <v>720</v>
      </c>
      <c r="AE389">
        <v>0</v>
      </c>
      <c r="AF389" t="s">
        <v>18</v>
      </c>
    </row>
    <row r="390" spans="1:32" x14ac:dyDescent="0.3">
      <c r="A390" t="s">
        <v>2162</v>
      </c>
      <c r="B390" t="s">
        <v>1</v>
      </c>
      <c r="C390">
        <v>0.4</v>
      </c>
      <c r="D390" t="s">
        <v>588</v>
      </c>
      <c r="E390" t="s">
        <v>2323</v>
      </c>
      <c r="F390">
        <v>0.2</v>
      </c>
      <c r="G390" t="s">
        <v>2355</v>
      </c>
      <c r="H390" t="s">
        <v>1991</v>
      </c>
      <c r="I390" t="s">
        <v>4</v>
      </c>
      <c r="J390">
        <v>258</v>
      </c>
      <c r="K390" t="s">
        <v>5</v>
      </c>
      <c r="L390">
        <v>142</v>
      </c>
      <c r="M390" t="s">
        <v>6</v>
      </c>
      <c r="N390">
        <v>31.714742212434299</v>
      </c>
      <c r="O390" t="s">
        <v>7</v>
      </c>
      <c r="P390">
        <v>0.122925357412536</v>
      </c>
      <c r="Q390" t="s">
        <v>8</v>
      </c>
      <c r="R390">
        <v>1.5738312810480699</v>
      </c>
      <c r="S390" t="s">
        <v>9</v>
      </c>
      <c r="T390">
        <v>-1.65318361807234</v>
      </c>
      <c r="U390" t="s">
        <v>10</v>
      </c>
      <c r="V390">
        <v>0.53542494666222995</v>
      </c>
      <c r="W390" t="s">
        <v>11</v>
      </c>
      <c r="X390" t="s">
        <v>2495</v>
      </c>
      <c r="Y390" t="s">
        <v>720</v>
      </c>
      <c r="Z390">
        <v>0</v>
      </c>
      <c r="AA390" t="s">
        <v>14</v>
      </c>
      <c r="AB390" t="s">
        <v>15</v>
      </c>
      <c r="AC390" t="s">
        <v>2529</v>
      </c>
      <c r="AD390" t="s">
        <v>2123</v>
      </c>
      <c r="AE390">
        <v>0</v>
      </c>
      <c r="AF390" t="s">
        <v>18</v>
      </c>
    </row>
    <row r="391" spans="1:32" x14ac:dyDescent="0.3">
      <c r="A391" t="s">
        <v>2162</v>
      </c>
      <c r="B391" t="s">
        <v>1</v>
      </c>
      <c r="C391">
        <v>0.4</v>
      </c>
      <c r="D391" t="s">
        <v>588</v>
      </c>
      <c r="E391" t="s">
        <v>2323</v>
      </c>
      <c r="F391">
        <v>0.2</v>
      </c>
      <c r="G391" t="s">
        <v>2355</v>
      </c>
      <c r="H391" t="s">
        <v>1994</v>
      </c>
      <c r="I391" t="s">
        <v>4</v>
      </c>
      <c r="J391">
        <v>258</v>
      </c>
      <c r="K391" t="s">
        <v>5</v>
      </c>
      <c r="L391">
        <v>158</v>
      </c>
      <c r="M391" t="s">
        <v>6</v>
      </c>
      <c r="N391">
        <v>-6.2062680422681202</v>
      </c>
      <c r="O391" t="s">
        <v>7</v>
      </c>
      <c r="P391">
        <v>-2.40553024894113E-2</v>
      </c>
      <c r="Q391" t="s">
        <v>8</v>
      </c>
      <c r="R391">
        <v>1.59040532853687</v>
      </c>
      <c r="S391" t="s">
        <v>9</v>
      </c>
      <c r="T391">
        <v>-2.5749030995109399</v>
      </c>
      <c r="U391" t="s">
        <v>10</v>
      </c>
      <c r="V391">
        <v>0.72597795438442403</v>
      </c>
      <c r="W391" t="s">
        <v>11</v>
      </c>
      <c r="X391" t="s">
        <v>2496</v>
      </c>
      <c r="Y391" t="s">
        <v>720</v>
      </c>
      <c r="Z391">
        <v>0</v>
      </c>
      <c r="AA391" t="s">
        <v>14</v>
      </c>
      <c r="AB391" t="s">
        <v>15</v>
      </c>
      <c r="AC391" t="s">
        <v>2497</v>
      </c>
      <c r="AD391" t="s">
        <v>720</v>
      </c>
      <c r="AE391">
        <v>0</v>
      </c>
      <c r="AF391" t="s">
        <v>18</v>
      </c>
    </row>
    <row r="392" spans="1:32" x14ac:dyDescent="0.3">
      <c r="A392" t="s">
        <v>2162</v>
      </c>
      <c r="B392" t="s">
        <v>1</v>
      </c>
      <c r="C392">
        <v>0.4</v>
      </c>
      <c r="D392" t="s">
        <v>588</v>
      </c>
      <c r="E392" t="s">
        <v>2323</v>
      </c>
      <c r="F392">
        <v>0.2</v>
      </c>
      <c r="G392" t="s">
        <v>2355</v>
      </c>
      <c r="H392" t="s">
        <v>1996</v>
      </c>
      <c r="I392" t="s">
        <v>4</v>
      </c>
      <c r="J392">
        <v>258</v>
      </c>
      <c r="K392" t="s">
        <v>5</v>
      </c>
      <c r="L392">
        <v>176</v>
      </c>
      <c r="M392" t="s">
        <v>6</v>
      </c>
      <c r="N392">
        <v>38.6878857084617</v>
      </c>
      <c r="O392" t="s">
        <v>7</v>
      </c>
      <c r="P392">
        <v>0.14995304538163401</v>
      </c>
      <c r="Q392" t="s">
        <v>8</v>
      </c>
      <c r="R392">
        <v>1.6553719097097599</v>
      </c>
      <c r="S392" t="s">
        <v>9</v>
      </c>
      <c r="T392">
        <v>-3.08118988293239</v>
      </c>
      <c r="U392" t="s">
        <v>10</v>
      </c>
      <c r="V392">
        <v>0.81153871979936198</v>
      </c>
      <c r="W392" t="s">
        <v>11</v>
      </c>
      <c r="X392" t="s">
        <v>2496</v>
      </c>
      <c r="Y392" t="s">
        <v>720</v>
      </c>
      <c r="Z392">
        <v>0</v>
      </c>
      <c r="AA392" t="s">
        <v>14</v>
      </c>
      <c r="AB392" t="s">
        <v>15</v>
      </c>
      <c r="AC392" t="s">
        <v>2530</v>
      </c>
      <c r="AD392" t="s">
        <v>2531</v>
      </c>
      <c r="AE392">
        <v>0</v>
      </c>
      <c r="AF392" t="s">
        <v>18</v>
      </c>
    </row>
    <row r="393" spans="1:32" x14ac:dyDescent="0.3">
      <c r="A393" t="s">
        <v>2162</v>
      </c>
      <c r="B393" t="s">
        <v>1</v>
      </c>
      <c r="C393">
        <v>0.4</v>
      </c>
      <c r="D393" t="s">
        <v>588</v>
      </c>
      <c r="E393" t="s">
        <v>2323</v>
      </c>
      <c r="F393">
        <v>0.2</v>
      </c>
      <c r="G393" t="s">
        <v>2355</v>
      </c>
      <c r="H393" t="s">
        <v>1997</v>
      </c>
      <c r="I393" t="s">
        <v>4</v>
      </c>
      <c r="J393">
        <v>258</v>
      </c>
      <c r="K393" t="s">
        <v>5</v>
      </c>
      <c r="L393">
        <v>187</v>
      </c>
      <c r="M393" t="s">
        <v>6</v>
      </c>
      <c r="N393">
        <v>7.99788570846182</v>
      </c>
      <c r="O393" t="s">
        <v>7</v>
      </c>
      <c r="P393">
        <v>3.0999557009541899E-2</v>
      </c>
      <c r="Q393" t="s">
        <v>8</v>
      </c>
      <c r="R393">
        <v>1.7068740968391301</v>
      </c>
      <c r="S393" t="s">
        <v>9</v>
      </c>
      <c r="T393">
        <v>-4.3829235267669802</v>
      </c>
      <c r="U393" t="s">
        <v>10</v>
      </c>
      <c r="V393">
        <v>1.0485435980745501</v>
      </c>
      <c r="W393" t="s">
        <v>11</v>
      </c>
      <c r="X393" t="s">
        <v>2496</v>
      </c>
      <c r="Y393" t="s">
        <v>720</v>
      </c>
      <c r="Z393">
        <v>0</v>
      </c>
      <c r="AA393" t="s">
        <v>14</v>
      </c>
      <c r="AB393" t="s">
        <v>15</v>
      </c>
      <c r="AC393" t="s">
        <v>2499</v>
      </c>
      <c r="AD393" t="s">
        <v>2123</v>
      </c>
      <c r="AE393">
        <v>0</v>
      </c>
      <c r="AF393" t="s">
        <v>18</v>
      </c>
    </row>
    <row r="394" spans="1:32" x14ac:dyDescent="0.3">
      <c r="A394" t="s">
        <v>2162</v>
      </c>
      <c r="B394" t="s">
        <v>1</v>
      </c>
      <c r="C394">
        <v>0.4</v>
      </c>
      <c r="D394" t="s">
        <v>588</v>
      </c>
      <c r="E394" t="s">
        <v>2323</v>
      </c>
      <c r="F394">
        <v>0.2</v>
      </c>
      <c r="G394" t="s">
        <v>2361</v>
      </c>
      <c r="H394" t="s">
        <v>1999</v>
      </c>
      <c r="I394" t="s">
        <v>4</v>
      </c>
      <c r="J394">
        <v>246</v>
      </c>
      <c r="K394" t="s">
        <v>5</v>
      </c>
      <c r="L394">
        <v>135</v>
      </c>
      <c r="M394" t="s">
        <v>6</v>
      </c>
      <c r="N394">
        <v>55.734870516339498</v>
      </c>
      <c r="O394" t="s">
        <v>7</v>
      </c>
      <c r="P394">
        <v>0.22656451429406299</v>
      </c>
      <c r="Q394" t="s">
        <v>8</v>
      </c>
      <c r="R394">
        <v>1.80092368936806</v>
      </c>
      <c r="S394" t="s">
        <v>9</v>
      </c>
      <c r="T394">
        <v>-1.70354388680317</v>
      </c>
      <c r="U394" t="s">
        <v>10</v>
      </c>
      <c r="V394">
        <v>0.51822698741977902</v>
      </c>
      <c r="W394" t="s">
        <v>11</v>
      </c>
      <c r="X394" t="s">
        <v>2362</v>
      </c>
      <c r="Y394" t="s">
        <v>595</v>
      </c>
      <c r="Z394">
        <v>0</v>
      </c>
      <c r="AA394" t="s">
        <v>14</v>
      </c>
      <c r="AB394" t="s">
        <v>15</v>
      </c>
      <c r="AC394" t="s">
        <v>2532</v>
      </c>
      <c r="AD394" t="s">
        <v>2533</v>
      </c>
      <c r="AE394">
        <v>0</v>
      </c>
      <c r="AF394" t="s">
        <v>18</v>
      </c>
    </row>
    <row r="395" spans="1:32" x14ac:dyDescent="0.3">
      <c r="A395" t="s">
        <v>2162</v>
      </c>
      <c r="B395" t="s">
        <v>1</v>
      </c>
      <c r="C395">
        <v>0.4</v>
      </c>
      <c r="D395" t="s">
        <v>588</v>
      </c>
      <c r="E395" t="s">
        <v>2323</v>
      </c>
      <c r="F395">
        <v>0.2</v>
      </c>
      <c r="G395" t="s">
        <v>2361</v>
      </c>
      <c r="H395" t="s">
        <v>2002</v>
      </c>
      <c r="I395" t="s">
        <v>4</v>
      </c>
      <c r="J395">
        <v>246</v>
      </c>
      <c r="K395" t="s">
        <v>5</v>
      </c>
      <c r="L395">
        <v>157</v>
      </c>
      <c r="M395" t="s">
        <v>6</v>
      </c>
      <c r="N395">
        <v>56.244771869620401</v>
      </c>
      <c r="O395" t="s">
        <v>7</v>
      </c>
      <c r="P395">
        <v>0.228637284022847</v>
      </c>
      <c r="Q395" t="s">
        <v>8</v>
      </c>
      <c r="R395">
        <v>1.8440369480018901</v>
      </c>
      <c r="S395" t="s">
        <v>9</v>
      </c>
      <c r="T395">
        <v>-2.6507844200758801</v>
      </c>
      <c r="U395" t="s">
        <v>10</v>
      </c>
      <c r="V395">
        <v>0.63760465312550396</v>
      </c>
      <c r="W395" t="s">
        <v>11</v>
      </c>
      <c r="X395" t="s">
        <v>2362</v>
      </c>
      <c r="Y395" t="s">
        <v>595</v>
      </c>
      <c r="Z395">
        <v>0</v>
      </c>
      <c r="AA395" t="s">
        <v>14</v>
      </c>
      <c r="AB395" t="s">
        <v>15</v>
      </c>
      <c r="AC395" t="s">
        <v>2532</v>
      </c>
      <c r="AD395" t="s">
        <v>2533</v>
      </c>
      <c r="AE395">
        <v>0</v>
      </c>
      <c r="AF395" t="s">
        <v>18</v>
      </c>
    </row>
    <row r="396" spans="1:32" x14ac:dyDescent="0.3">
      <c r="A396" t="s">
        <v>2162</v>
      </c>
      <c r="B396" t="s">
        <v>1</v>
      </c>
      <c r="C396">
        <v>0.4</v>
      </c>
      <c r="D396" t="s">
        <v>588</v>
      </c>
      <c r="E396" t="s">
        <v>2323</v>
      </c>
      <c r="F396">
        <v>0.2</v>
      </c>
      <c r="G396" t="s">
        <v>2361</v>
      </c>
      <c r="H396" t="s">
        <v>2004</v>
      </c>
      <c r="I396" t="s">
        <v>4</v>
      </c>
      <c r="J396">
        <v>246</v>
      </c>
      <c r="K396" t="s">
        <v>5</v>
      </c>
      <c r="L396">
        <v>173</v>
      </c>
      <c r="M396" t="s">
        <v>6</v>
      </c>
      <c r="N396">
        <v>82.2389256203504</v>
      </c>
      <c r="O396" t="s">
        <v>7</v>
      </c>
      <c r="P396">
        <v>0.33430457569248101</v>
      </c>
      <c r="Q396" t="s">
        <v>8</v>
      </c>
      <c r="R396">
        <v>1.9016499241935301</v>
      </c>
      <c r="S396" t="s">
        <v>9</v>
      </c>
      <c r="T396">
        <v>-3.4270348786823699</v>
      </c>
      <c r="U396" t="s">
        <v>10</v>
      </c>
      <c r="V396">
        <v>0.76121705451966104</v>
      </c>
      <c r="W396" t="s">
        <v>11</v>
      </c>
      <c r="X396" t="s">
        <v>2501</v>
      </c>
      <c r="Y396" t="s">
        <v>2123</v>
      </c>
      <c r="Z396">
        <v>0</v>
      </c>
      <c r="AA396" t="s">
        <v>14</v>
      </c>
      <c r="AB396" t="s">
        <v>15</v>
      </c>
      <c r="AC396" t="s">
        <v>126</v>
      </c>
      <c r="AD396" t="s">
        <v>718</v>
      </c>
      <c r="AE396">
        <v>0</v>
      </c>
      <c r="AF396" t="s">
        <v>18</v>
      </c>
    </row>
    <row r="397" spans="1:32" x14ac:dyDescent="0.3">
      <c r="A397" t="s">
        <v>2162</v>
      </c>
      <c r="B397" t="s">
        <v>1</v>
      </c>
      <c r="C397">
        <v>0.4</v>
      </c>
      <c r="D397" t="s">
        <v>588</v>
      </c>
      <c r="E397" t="s">
        <v>2323</v>
      </c>
      <c r="F397">
        <v>0.2</v>
      </c>
      <c r="G397" t="s">
        <v>2361</v>
      </c>
      <c r="H397" t="s">
        <v>2005</v>
      </c>
      <c r="I397" t="s">
        <v>4</v>
      </c>
      <c r="J397">
        <v>246</v>
      </c>
      <c r="K397" t="s">
        <v>5</v>
      </c>
      <c r="L397">
        <v>185</v>
      </c>
      <c r="M397" t="s">
        <v>6</v>
      </c>
      <c r="N397">
        <v>63.878925620350302</v>
      </c>
      <c r="O397" t="s">
        <v>7</v>
      </c>
      <c r="P397">
        <v>0.25967042935101697</v>
      </c>
      <c r="Q397" t="s">
        <v>8</v>
      </c>
      <c r="R397">
        <v>1.92681369017518</v>
      </c>
      <c r="S397" t="s">
        <v>9</v>
      </c>
      <c r="T397">
        <v>-4.8763601177009903</v>
      </c>
      <c r="U397" t="s">
        <v>10</v>
      </c>
      <c r="V397">
        <v>0.97125936429281401</v>
      </c>
      <c r="W397" t="s">
        <v>11</v>
      </c>
      <c r="X397" t="s">
        <v>2367</v>
      </c>
      <c r="Y397" t="s">
        <v>595</v>
      </c>
      <c r="Z397">
        <v>0</v>
      </c>
      <c r="AA397" t="s">
        <v>14</v>
      </c>
      <c r="AB397" t="s">
        <v>15</v>
      </c>
      <c r="AC397" t="s">
        <v>2401</v>
      </c>
      <c r="AD397" t="s">
        <v>595</v>
      </c>
      <c r="AE397">
        <v>0</v>
      </c>
      <c r="AF397" t="s">
        <v>18</v>
      </c>
    </row>
    <row r="398" spans="1:32" x14ac:dyDescent="0.3">
      <c r="A398" t="s">
        <v>2162</v>
      </c>
      <c r="B398" t="s">
        <v>1</v>
      </c>
      <c r="C398">
        <v>0.3</v>
      </c>
      <c r="D398" t="s">
        <v>588</v>
      </c>
      <c r="E398" t="s">
        <v>2323</v>
      </c>
      <c r="F398">
        <v>0.15</v>
      </c>
      <c r="G398" t="s">
        <v>2324</v>
      </c>
      <c r="H398" t="s">
        <v>1979</v>
      </c>
      <c r="I398" t="s">
        <v>4</v>
      </c>
      <c r="J398">
        <v>249</v>
      </c>
      <c r="K398" t="s">
        <v>5</v>
      </c>
      <c r="L398">
        <v>86</v>
      </c>
      <c r="M398" t="s">
        <v>6</v>
      </c>
      <c r="N398">
        <v>4.0077794811074998</v>
      </c>
      <c r="O398" t="s">
        <v>7</v>
      </c>
      <c r="P398">
        <v>1.60954999241265E-2</v>
      </c>
      <c r="Q398" t="s">
        <v>8</v>
      </c>
      <c r="R398">
        <v>1.4145657639203799</v>
      </c>
      <c r="S398" t="s">
        <v>9</v>
      </c>
      <c r="T398">
        <v>-0.72174770684690304</v>
      </c>
      <c r="U398" t="s">
        <v>10</v>
      </c>
      <c r="V398">
        <v>0.43420834348200799</v>
      </c>
      <c r="W398" t="s">
        <v>11</v>
      </c>
      <c r="X398" t="s">
        <v>2502</v>
      </c>
      <c r="Y398" t="s">
        <v>720</v>
      </c>
      <c r="Z398">
        <v>0</v>
      </c>
      <c r="AA398" t="s">
        <v>14</v>
      </c>
      <c r="AB398" t="s">
        <v>15</v>
      </c>
      <c r="AC398" t="s">
        <v>2534</v>
      </c>
      <c r="AD398" t="s">
        <v>720</v>
      </c>
      <c r="AE398">
        <v>0</v>
      </c>
      <c r="AF398" t="s">
        <v>18</v>
      </c>
    </row>
    <row r="399" spans="1:32" x14ac:dyDescent="0.3">
      <c r="A399" t="s">
        <v>2162</v>
      </c>
      <c r="B399" t="s">
        <v>1</v>
      </c>
      <c r="C399">
        <v>0.3</v>
      </c>
      <c r="D399" t="s">
        <v>588</v>
      </c>
      <c r="E399" t="s">
        <v>2323</v>
      </c>
      <c r="F399">
        <v>0.15</v>
      </c>
      <c r="G399" t="s">
        <v>2324</v>
      </c>
      <c r="H399" t="s">
        <v>1982</v>
      </c>
      <c r="I399" t="s">
        <v>4</v>
      </c>
      <c r="J399">
        <v>249</v>
      </c>
      <c r="K399" t="s">
        <v>5</v>
      </c>
      <c r="L399">
        <v>89</v>
      </c>
      <c r="M399" t="s">
        <v>6</v>
      </c>
      <c r="N399">
        <v>-40.132220518892503</v>
      </c>
      <c r="O399" t="s">
        <v>7</v>
      </c>
      <c r="P399">
        <v>-0.161173576381094</v>
      </c>
      <c r="Q399" t="s">
        <v>8</v>
      </c>
      <c r="R399">
        <v>1.4102545583949699</v>
      </c>
      <c r="S399" t="s">
        <v>9</v>
      </c>
      <c r="T399">
        <v>-1.0352804763502801</v>
      </c>
      <c r="U399" t="s">
        <v>10</v>
      </c>
      <c r="V399">
        <v>0.57520269005331204</v>
      </c>
      <c r="W399" t="s">
        <v>11</v>
      </c>
      <c r="X399" t="s">
        <v>2373</v>
      </c>
      <c r="Y399" t="s">
        <v>1987</v>
      </c>
      <c r="Z399">
        <v>0</v>
      </c>
      <c r="AA399" t="s">
        <v>14</v>
      </c>
      <c r="AB399" t="s">
        <v>15</v>
      </c>
      <c r="AC399" t="s">
        <v>2504</v>
      </c>
      <c r="AD399" t="s">
        <v>2132</v>
      </c>
      <c r="AE399">
        <v>0</v>
      </c>
      <c r="AF399" t="s">
        <v>18</v>
      </c>
    </row>
    <row r="400" spans="1:32" x14ac:dyDescent="0.3">
      <c r="A400" t="s">
        <v>2162</v>
      </c>
      <c r="B400" t="s">
        <v>1</v>
      </c>
      <c r="C400">
        <v>0.3</v>
      </c>
      <c r="D400" t="s">
        <v>588</v>
      </c>
      <c r="E400" t="s">
        <v>2323</v>
      </c>
      <c r="F400">
        <v>0.15</v>
      </c>
      <c r="G400" t="s">
        <v>2324</v>
      </c>
      <c r="H400" t="s">
        <v>1985</v>
      </c>
      <c r="I400" t="s">
        <v>4</v>
      </c>
      <c r="J400">
        <v>249</v>
      </c>
      <c r="K400" t="s">
        <v>5</v>
      </c>
      <c r="L400">
        <v>91</v>
      </c>
      <c r="M400" t="s">
        <v>6</v>
      </c>
      <c r="N400">
        <v>-52.592220518892397</v>
      </c>
      <c r="O400" t="s">
        <v>7</v>
      </c>
      <c r="P400">
        <v>-0.211213737023664</v>
      </c>
      <c r="Q400" t="s">
        <v>8</v>
      </c>
      <c r="R400">
        <v>1.43277643623244</v>
      </c>
      <c r="S400" t="s">
        <v>9</v>
      </c>
      <c r="T400">
        <v>-1.15806883681041</v>
      </c>
      <c r="U400" t="s">
        <v>10</v>
      </c>
      <c r="V400">
        <v>0.67250913106264898</v>
      </c>
      <c r="W400" t="s">
        <v>11</v>
      </c>
      <c r="X400" t="s">
        <v>2460</v>
      </c>
      <c r="Y400" t="s">
        <v>1987</v>
      </c>
      <c r="Z400">
        <v>0</v>
      </c>
      <c r="AA400" t="s">
        <v>14</v>
      </c>
      <c r="AB400" t="s">
        <v>15</v>
      </c>
      <c r="AC400" t="s">
        <v>2505</v>
      </c>
      <c r="AD400" t="s">
        <v>2132</v>
      </c>
      <c r="AE400">
        <v>0</v>
      </c>
      <c r="AF400" t="s">
        <v>18</v>
      </c>
    </row>
    <row r="401" spans="1:32" x14ac:dyDescent="0.3">
      <c r="A401" t="s">
        <v>2162</v>
      </c>
      <c r="B401" t="s">
        <v>1</v>
      </c>
      <c r="C401">
        <v>0.3</v>
      </c>
      <c r="D401" t="s">
        <v>588</v>
      </c>
      <c r="E401" t="s">
        <v>2323</v>
      </c>
      <c r="F401">
        <v>0.15</v>
      </c>
      <c r="G401" t="s">
        <v>2324</v>
      </c>
      <c r="H401" t="s">
        <v>1988</v>
      </c>
      <c r="I401" t="s">
        <v>4</v>
      </c>
      <c r="J401">
        <v>249</v>
      </c>
      <c r="K401" t="s">
        <v>5</v>
      </c>
      <c r="L401">
        <v>92</v>
      </c>
      <c r="M401" t="s">
        <v>6</v>
      </c>
      <c r="N401">
        <v>-51.032220518892402</v>
      </c>
      <c r="O401" t="s">
        <v>7</v>
      </c>
      <c r="P401">
        <v>-0.20494867678270001</v>
      </c>
      <c r="Q401" t="s">
        <v>8</v>
      </c>
      <c r="R401">
        <v>1.4330723445342599</v>
      </c>
      <c r="S401" t="s">
        <v>9</v>
      </c>
      <c r="T401">
        <v>-1.1648081287646099</v>
      </c>
      <c r="U401" t="s">
        <v>10</v>
      </c>
      <c r="V401">
        <v>0.68348078862267003</v>
      </c>
      <c r="W401" t="s">
        <v>11</v>
      </c>
      <c r="X401" t="s">
        <v>2460</v>
      </c>
      <c r="Y401" t="s">
        <v>1987</v>
      </c>
      <c r="Z401">
        <v>0</v>
      </c>
      <c r="AA401" t="s">
        <v>14</v>
      </c>
      <c r="AB401" t="s">
        <v>15</v>
      </c>
      <c r="AC401" t="s">
        <v>2505</v>
      </c>
      <c r="AD401" t="s">
        <v>2132</v>
      </c>
      <c r="AE401">
        <v>0</v>
      </c>
      <c r="AF401" t="s">
        <v>18</v>
      </c>
    </row>
    <row r="402" spans="1:32" x14ac:dyDescent="0.3">
      <c r="A402" t="s">
        <v>2162</v>
      </c>
      <c r="B402" t="s">
        <v>1</v>
      </c>
      <c r="C402">
        <v>0.3</v>
      </c>
      <c r="D402" t="s">
        <v>588</v>
      </c>
      <c r="E402" t="s">
        <v>2323</v>
      </c>
      <c r="F402">
        <v>0.15</v>
      </c>
      <c r="G402" t="s">
        <v>2329</v>
      </c>
      <c r="H402" t="s">
        <v>1991</v>
      </c>
      <c r="I402" t="s">
        <v>4</v>
      </c>
      <c r="J402">
        <v>258</v>
      </c>
      <c r="K402" t="s">
        <v>5</v>
      </c>
      <c r="L402">
        <v>81</v>
      </c>
      <c r="M402" t="s">
        <v>6</v>
      </c>
      <c r="N402">
        <v>28.257360687675799</v>
      </c>
      <c r="O402" t="s">
        <v>7</v>
      </c>
      <c r="P402">
        <v>0.10952465382819999</v>
      </c>
      <c r="Q402" t="s">
        <v>8</v>
      </c>
      <c r="R402">
        <v>2.0349813564496202</v>
      </c>
      <c r="S402" t="s">
        <v>9</v>
      </c>
      <c r="T402">
        <v>-0.77161654906634802</v>
      </c>
      <c r="U402" t="s">
        <v>10</v>
      </c>
      <c r="V402">
        <v>0.491127843054462</v>
      </c>
      <c r="W402" t="s">
        <v>11</v>
      </c>
      <c r="X402" t="s">
        <v>2506</v>
      </c>
      <c r="Y402" t="s">
        <v>2055</v>
      </c>
      <c r="Z402">
        <v>0</v>
      </c>
      <c r="AA402" t="s">
        <v>14</v>
      </c>
      <c r="AB402" t="s">
        <v>15</v>
      </c>
      <c r="AC402" t="s">
        <v>2507</v>
      </c>
      <c r="AD402" t="s">
        <v>2055</v>
      </c>
      <c r="AE402">
        <v>0</v>
      </c>
      <c r="AF402" t="s">
        <v>18</v>
      </c>
    </row>
    <row r="403" spans="1:32" x14ac:dyDescent="0.3">
      <c r="A403" t="s">
        <v>2162</v>
      </c>
      <c r="B403" t="s">
        <v>1</v>
      </c>
      <c r="C403">
        <v>0.3</v>
      </c>
      <c r="D403" t="s">
        <v>588</v>
      </c>
      <c r="E403" t="s">
        <v>2323</v>
      </c>
      <c r="F403">
        <v>0.15</v>
      </c>
      <c r="G403" t="s">
        <v>2329</v>
      </c>
      <c r="H403" t="s">
        <v>1994</v>
      </c>
      <c r="I403" t="s">
        <v>4</v>
      </c>
      <c r="J403">
        <v>258</v>
      </c>
      <c r="K403" t="s">
        <v>5</v>
      </c>
      <c r="L403">
        <v>86</v>
      </c>
      <c r="M403" t="s">
        <v>6</v>
      </c>
      <c r="N403">
        <v>-14.058707037125</v>
      </c>
      <c r="O403" t="s">
        <v>7</v>
      </c>
      <c r="P403">
        <v>-5.44911125469962E-2</v>
      </c>
      <c r="Q403" t="s">
        <v>8</v>
      </c>
      <c r="R403">
        <v>2.0429475566560402</v>
      </c>
      <c r="S403" t="s">
        <v>9</v>
      </c>
      <c r="T403">
        <v>-1.10321044714851</v>
      </c>
      <c r="U403" t="s">
        <v>10</v>
      </c>
      <c r="V403">
        <v>0.61223071237236604</v>
      </c>
      <c r="W403" t="s">
        <v>11</v>
      </c>
      <c r="X403" t="s">
        <v>2445</v>
      </c>
      <c r="Y403" t="s">
        <v>1987</v>
      </c>
      <c r="Z403">
        <v>0</v>
      </c>
      <c r="AA403" t="s">
        <v>14</v>
      </c>
      <c r="AB403" t="s">
        <v>15</v>
      </c>
      <c r="AC403" t="s">
        <v>2508</v>
      </c>
      <c r="AD403" t="s">
        <v>2132</v>
      </c>
      <c r="AE403">
        <v>0</v>
      </c>
      <c r="AF403" t="s">
        <v>18</v>
      </c>
    </row>
    <row r="404" spans="1:32" x14ac:dyDescent="0.3">
      <c r="A404" t="s">
        <v>2162</v>
      </c>
      <c r="B404" t="s">
        <v>1</v>
      </c>
      <c r="C404">
        <v>0.3</v>
      </c>
      <c r="D404" t="s">
        <v>588</v>
      </c>
      <c r="E404" t="s">
        <v>2323</v>
      </c>
      <c r="F404">
        <v>0.15</v>
      </c>
      <c r="G404" t="s">
        <v>2329</v>
      </c>
      <c r="H404" t="s">
        <v>1996</v>
      </c>
      <c r="I404" t="s">
        <v>4</v>
      </c>
      <c r="J404">
        <v>258</v>
      </c>
      <c r="K404" t="s">
        <v>5</v>
      </c>
      <c r="L404">
        <v>88</v>
      </c>
      <c r="M404" t="s">
        <v>6</v>
      </c>
      <c r="N404">
        <v>-24.018707037125001</v>
      </c>
      <c r="O404" t="s">
        <v>7</v>
      </c>
      <c r="P404">
        <v>-9.3095763709786894E-2</v>
      </c>
      <c r="Q404" t="s">
        <v>8</v>
      </c>
      <c r="R404">
        <v>2.0502669303683998</v>
      </c>
      <c r="S404" t="s">
        <v>9</v>
      </c>
      <c r="T404">
        <v>-1.20260115829143</v>
      </c>
      <c r="U404" t="s">
        <v>10</v>
      </c>
      <c r="V404">
        <v>0.66038579683436804</v>
      </c>
      <c r="W404" t="s">
        <v>11</v>
      </c>
      <c r="X404" t="s">
        <v>2445</v>
      </c>
      <c r="Y404" t="s">
        <v>1987</v>
      </c>
      <c r="Z404">
        <v>0</v>
      </c>
      <c r="AA404" t="s">
        <v>14</v>
      </c>
      <c r="AB404" t="s">
        <v>15</v>
      </c>
      <c r="AC404" t="s">
        <v>2509</v>
      </c>
      <c r="AD404" t="s">
        <v>1987</v>
      </c>
      <c r="AE404">
        <v>0</v>
      </c>
      <c r="AF404" t="s">
        <v>18</v>
      </c>
    </row>
    <row r="405" spans="1:32" x14ac:dyDescent="0.3">
      <c r="A405" t="s">
        <v>2162</v>
      </c>
      <c r="B405" t="s">
        <v>1</v>
      </c>
      <c r="C405">
        <v>0.3</v>
      </c>
      <c r="D405" t="s">
        <v>588</v>
      </c>
      <c r="E405" t="s">
        <v>2323</v>
      </c>
      <c r="F405">
        <v>0.15</v>
      </c>
      <c r="G405" t="s">
        <v>2329</v>
      </c>
      <c r="H405" t="s">
        <v>1997</v>
      </c>
      <c r="I405" t="s">
        <v>4</v>
      </c>
      <c r="J405">
        <v>258</v>
      </c>
      <c r="K405" t="s">
        <v>5</v>
      </c>
      <c r="L405">
        <v>91</v>
      </c>
      <c r="M405" t="s">
        <v>6</v>
      </c>
      <c r="N405">
        <v>-12.768707037125001</v>
      </c>
      <c r="O405" t="s">
        <v>7</v>
      </c>
      <c r="P405">
        <v>-4.9491112546996202E-2</v>
      </c>
      <c r="Q405" t="s">
        <v>8</v>
      </c>
      <c r="R405">
        <v>2.0550932953013099</v>
      </c>
      <c r="S405" t="s">
        <v>9</v>
      </c>
      <c r="T405">
        <v>-1.19630058029667</v>
      </c>
      <c r="U405" t="s">
        <v>10</v>
      </c>
      <c r="V405">
        <v>0.67570079442750297</v>
      </c>
      <c r="W405" t="s">
        <v>11</v>
      </c>
      <c r="X405" t="s">
        <v>2445</v>
      </c>
      <c r="Y405" t="s">
        <v>1987</v>
      </c>
      <c r="Z405">
        <v>0</v>
      </c>
      <c r="AA405" t="s">
        <v>14</v>
      </c>
      <c r="AB405" t="s">
        <v>15</v>
      </c>
      <c r="AC405" t="s">
        <v>2509</v>
      </c>
      <c r="AD405" t="s">
        <v>1987</v>
      </c>
      <c r="AE405">
        <v>0</v>
      </c>
      <c r="AF405" t="s">
        <v>18</v>
      </c>
    </row>
    <row r="406" spans="1:32" x14ac:dyDescent="0.3">
      <c r="A406" t="s">
        <v>2162</v>
      </c>
      <c r="B406" t="s">
        <v>1</v>
      </c>
      <c r="C406">
        <v>0.3</v>
      </c>
      <c r="D406" t="s">
        <v>588</v>
      </c>
      <c r="E406" t="s">
        <v>2323</v>
      </c>
      <c r="F406">
        <v>0.15</v>
      </c>
      <c r="G406" t="s">
        <v>2332</v>
      </c>
      <c r="H406" t="s">
        <v>1999</v>
      </c>
      <c r="I406" t="s">
        <v>4</v>
      </c>
      <c r="J406">
        <v>246</v>
      </c>
      <c r="K406" t="s">
        <v>5</v>
      </c>
      <c r="L406">
        <v>83</v>
      </c>
      <c r="M406" t="s">
        <v>6</v>
      </c>
      <c r="N406">
        <v>20.034330935563901</v>
      </c>
      <c r="O406" t="s">
        <v>7</v>
      </c>
      <c r="P406">
        <v>8.14403696567641E-2</v>
      </c>
      <c r="Q406" t="s">
        <v>8</v>
      </c>
      <c r="R406">
        <v>2.0626084212381799</v>
      </c>
      <c r="S406" t="s">
        <v>9</v>
      </c>
      <c r="T406">
        <v>-0.92737526397058101</v>
      </c>
      <c r="U406" t="s">
        <v>10</v>
      </c>
      <c r="V406">
        <v>0.482847978209408</v>
      </c>
      <c r="W406" t="s">
        <v>11</v>
      </c>
      <c r="X406" t="s">
        <v>2377</v>
      </c>
      <c r="Y406" t="s">
        <v>77</v>
      </c>
      <c r="Z406">
        <v>0</v>
      </c>
      <c r="AA406" t="s">
        <v>14</v>
      </c>
      <c r="AB406" t="s">
        <v>15</v>
      </c>
      <c r="AC406" t="s">
        <v>2510</v>
      </c>
      <c r="AD406" t="s">
        <v>2132</v>
      </c>
      <c r="AE406">
        <v>0</v>
      </c>
      <c r="AF406" t="s">
        <v>18</v>
      </c>
    </row>
    <row r="407" spans="1:32" x14ac:dyDescent="0.3">
      <c r="A407" t="s">
        <v>2162</v>
      </c>
      <c r="B407" t="s">
        <v>1</v>
      </c>
      <c r="C407">
        <v>0.3</v>
      </c>
      <c r="D407" t="s">
        <v>588</v>
      </c>
      <c r="E407" t="s">
        <v>2323</v>
      </c>
      <c r="F407">
        <v>0.15</v>
      </c>
      <c r="G407" t="s">
        <v>2332</v>
      </c>
      <c r="H407" t="s">
        <v>2002</v>
      </c>
      <c r="I407" t="s">
        <v>4</v>
      </c>
      <c r="J407">
        <v>246</v>
      </c>
      <c r="K407" t="s">
        <v>5</v>
      </c>
      <c r="L407">
        <v>91</v>
      </c>
      <c r="M407" t="s">
        <v>6</v>
      </c>
      <c r="N407">
        <v>6.0077710038429704</v>
      </c>
      <c r="O407" t="s">
        <v>7</v>
      </c>
      <c r="P407">
        <v>2.4421833348955199E-2</v>
      </c>
      <c r="Q407" t="s">
        <v>8</v>
      </c>
      <c r="R407">
        <v>2.0849919143089002</v>
      </c>
      <c r="S407" t="s">
        <v>9</v>
      </c>
      <c r="T407">
        <v>-1.1853322141823599</v>
      </c>
      <c r="U407" t="s">
        <v>10</v>
      </c>
      <c r="V407">
        <v>0.54848747052733904</v>
      </c>
      <c r="W407" t="s">
        <v>11</v>
      </c>
      <c r="X407" t="s">
        <v>2379</v>
      </c>
      <c r="Y407" t="s">
        <v>595</v>
      </c>
      <c r="Z407">
        <v>0</v>
      </c>
      <c r="AA407" t="s">
        <v>14</v>
      </c>
      <c r="AB407" t="s">
        <v>15</v>
      </c>
      <c r="AC407" t="s">
        <v>2511</v>
      </c>
      <c r="AD407" t="s">
        <v>2132</v>
      </c>
      <c r="AE407">
        <v>0</v>
      </c>
      <c r="AF407" t="s">
        <v>18</v>
      </c>
    </row>
    <row r="408" spans="1:32" x14ac:dyDescent="0.3">
      <c r="A408" t="s">
        <v>2162</v>
      </c>
      <c r="B408" t="s">
        <v>1</v>
      </c>
      <c r="C408">
        <v>0.3</v>
      </c>
      <c r="D408" t="s">
        <v>588</v>
      </c>
      <c r="E408" t="s">
        <v>2323</v>
      </c>
      <c r="F408">
        <v>0.15</v>
      </c>
      <c r="G408" t="s">
        <v>2332</v>
      </c>
      <c r="H408" t="s">
        <v>2004</v>
      </c>
      <c r="I408" t="s">
        <v>4</v>
      </c>
      <c r="J408">
        <v>246</v>
      </c>
      <c r="K408" t="s">
        <v>5</v>
      </c>
      <c r="L408">
        <v>93</v>
      </c>
      <c r="M408" t="s">
        <v>6</v>
      </c>
      <c r="N408">
        <v>-7.0822289961570304</v>
      </c>
      <c r="O408" t="s">
        <v>7</v>
      </c>
      <c r="P408">
        <v>-2.8789548764865901E-2</v>
      </c>
      <c r="Q408" t="s">
        <v>8</v>
      </c>
      <c r="R408">
        <v>2.0631641312054798</v>
      </c>
      <c r="S408" t="s">
        <v>9</v>
      </c>
      <c r="T408">
        <v>-1.3003692365899799</v>
      </c>
      <c r="U408" t="s">
        <v>10</v>
      </c>
      <c r="V408">
        <v>0.63223935991136204</v>
      </c>
      <c r="W408" t="s">
        <v>11</v>
      </c>
      <c r="X408" t="s">
        <v>2379</v>
      </c>
      <c r="Y408" t="s">
        <v>595</v>
      </c>
      <c r="Z408">
        <v>0</v>
      </c>
      <c r="AA408" t="s">
        <v>14</v>
      </c>
      <c r="AB408" t="s">
        <v>15</v>
      </c>
      <c r="AC408" t="s">
        <v>2512</v>
      </c>
      <c r="AD408" t="s">
        <v>2052</v>
      </c>
      <c r="AE408">
        <v>0</v>
      </c>
      <c r="AF408" t="s">
        <v>18</v>
      </c>
    </row>
    <row r="409" spans="1:32" x14ac:dyDescent="0.3">
      <c r="A409" t="s">
        <v>2162</v>
      </c>
      <c r="B409" t="s">
        <v>1</v>
      </c>
      <c r="C409">
        <v>0.3</v>
      </c>
      <c r="D409" t="s">
        <v>588</v>
      </c>
      <c r="E409" t="s">
        <v>2323</v>
      </c>
      <c r="F409">
        <v>0.15</v>
      </c>
      <c r="G409" t="s">
        <v>2332</v>
      </c>
      <c r="H409" t="s">
        <v>2005</v>
      </c>
      <c r="I409" t="s">
        <v>4</v>
      </c>
      <c r="J409">
        <v>246</v>
      </c>
      <c r="K409" t="s">
        <v>5</v>
      </c>
      <c r="L409">
        <v>96</v>
      </c>
      <c r="M409" t="s">
        <v>6</v>
      </c>
      <c r="N409">
        <v>-4.3922289961570202</v>
      </c>
      <c r="O409" t="s">
        <v>7</v>
      </c>
      <c r="P409">
        <v>-1.78545894152724E-2</v>
      </c>
      <c r="Q409" t="s">
        <v>8</v>
      </c>
      <c r="R409">
        <v>2.0790479184049899</v>
      </c>
      <c r="S409" t="s">
        <v>9</v>
      </c>
      <c r="T409">
        <v>-1.3598721944202301</v>
      </c>
      <c r="U409" t="s">
        <v>10</v>
      </c>
      <c r="V409">
        <v>0.65369387395842005</v>
      </c>
      <c r="W409" t="s">
        <v>11</v>
      </c>
      <c r="X409" t="s">
        <v>2379</v>
      </c>
      <c r="Y409" t="s">
        <v>595</v>
      </c>
      <c r="Z409">
        <v>0</v>
      </c>
      <c r="AA409" t="s">
        <v>14</v>
      </c>
      <c r="AB409" t="s">
        <v>15</v>
      </c>
      <c r="AC409" t="s">
        <v>2512</v>
      </c>
      <c r="AD409" t="s">
        <v>2052</v>
      </c>
      <c r="AE409">
        <v>0</v>
      </c>
      <c r="AF409" t="s">
        <v>18</v>
      </c>
    </row>
    <row r="410" spans="1:32" x14ac:dyDescent="0.3">
      <c r="A410" t="s">
        <v>2162</v>
      </c>
      <c r="B410" t="s">
        <v>1</v>
      </c>
      <c r="C410">
        <v>0.3</v>
      </c>
      <c r="D410" t="s">
        <v>588</v>
      </c>
      <c r="E410" t="s">
        <v>2323</v>
      </c>
      <c r="F410">
        <v>0.15</v>
      </c>
      <c r="G410" t="s">
        <v>2347</v>
      </c>
      <c r="H410" t="s">
        <v>1979</v>
      </c>
      <c r="I410" t="s">
        <v>4</v>
      </c>
      <c r="J410">
        <v>249</v>
      </c>
      <c r="K410" t="s">
        <v>5</v>
      </c>
      <c r="L410">
        <v>154</v>
      </c>
      <c r="M410" t="s">
        <v>6</v>
      </c>
      <c r="N410">
        <v>-33.667643302874801</v>
      </c>
      <c r="O410" t="s">
        <v>7</v>
      </c>
      <c r="P410">
        <v>-0.13521141888704699</v>
      </c>
      <c r="Q410" t="s">
        <v>8</v>
      </c>
      <c r="R410">
        <v>0.90616580267718505</v>
      </c>
      <c r="S410" t="s">
        <v>9</v>
      </c>
      <c r="T410">
        <v>-1.8233387043701199</v>
      </c>
      <c r="U410" t="s">
        <v>10</v>
      </c>
      <c r="V410">
        <v>0.597455131506065</v>
      </c>
      <c r="W410" t="s">
        <v>11</v>
      </c>
      <c r="X410" t="s">
        <v>2348</v>
      </c>
      <c r="Y410" t="s">
        <v>720</v>
      </c>
      <c r="Z410">
        <v>0</v>
      </c>
      <c r="AA410" t="s">
        <v>14</v>
      </c>
      <c r="AB410" t="s">
        <v>15</v>
      </c>
      <c r="AC410" t="s">
        <v>2513</v>
      </c>
      <c r="AD410" t="s">
        <v>720</v>
      </c>
      <c r="AE410">
        <v>0</v>
      </c>
      <c r="AF410" t="s">
        <v>18</v>
      </c>
    </row>
    <row r="411" spans="1:32" x14ac:dyDescent="0.3">
      <c r="A411" t="s">
        <v>2162</v>
      </c>
      <c r="B411" t="s">
        <v>1</v>
      </c>
      <c r="C411">
        <v>0.3</v>
      </c>
      <c r="D411" t="s">
        <v>588</v>
      </c>
      <c r="E411" t="s">
        <v>2323</v>
      </c>
      <c r="F411">
        <v>0.15</v>
      </c>
      <c r="G411" t="s">
        <v>2347</v>
      </c>
      <c r="H411" t="s">
        <v>1982</v>
      </c>
      <c r="I411" t="s">
        <v>4</v>
      </c>
      <c r="J411">
        <v>249</v>
      </c>
      <c r="K411" t="s">
        <v>5</v>
      </c>
      <c r="L411">
        <v>169</v>
      </c>
      <c r="M411" t="s">
        <v>6</v>
      </c>
      <c r="N411">
        <v>-56.857643302874799</v>
      </c>
      <c r="O411" t="s">
        <v>7</v>
      </c>
      <c r="P411">
        <v>-0.228343949007529</v>
      </c>
      <c r="Q411" t="s">
        <v>8</v>
      </c>
      <c r="R411">
        <v>0.97942889870082495</v>
      </c>
      <c r="S411" t="s">
        <v>9</v>
      </c>
      <c r="T411">
        <v>-2.7797640897914202</v>
      </c>
      <c r="U411" t="s">
        <v>10</v>
      </c>
      <c r="V411">
        <v>0.72191526709132503</v>
      </c>
      <c r="W411" t="s">
        <v>11</v>
      </c>
      <c r="X411" t="s">
        <v>2348</v>
      </c>
      <c r="Y411" t="s">
        <v>720</v>
      </c>
      <c r="Z411">
        <v>0</v>
      </c>
      <c r="AA411" t="s">
        <v>14</v>
      </c>
      <c r="AB411" t="s">
        <v>15</v>
      </c>
      <c r="AC411" t="s">
        <v>2513</v>
      </c>
      <c r="AD411" t="s">
        <v>720</v>
      </c>
      <c r="AE411">
        <v>0</v>
      </c>
      <c r="AF411" t="s">
        <v>18</v>
      </c>
    </row>
    <row r="412" spans="1:32" x14ac:dyDescent="0.3">
      <c r="A412" t="s">
        <v>2162</v>
      </c>
      <c r="B412" t="s">
        <v>1</v>
      </c>
      <c r="C412">
        <v>0.3</v>
      </c>
      <c r="D412" t="s">
        <v>588</v>
      </c>
      <c r="E412" t="s">
        <v>2323</v>
      </c>
      <c r="F412">
        <v>0.15</v>
      </c>
      <c r="G412" t="s">
        <v>2347</v>
      </c>
      <c r="H412" t="s">
        <v>1985</v>
      </c>
      <c r="I412" t="s">
        <v>4</v>
      </c>
      <c r="J412">
        <v>249</v>
      </c>
      <c r="K412" t="s">
        <v>5</v>
      </c>
      <c r="L412">
        <v>180</v>
      </c>
      <c r="M412" t="s">
        <v>6</v>
      </c>
      <c r="N412">
        <v>-36.697643302874702</v>
      </c>
      <c r="O412" t="s">
        <v>7</v>
      </c>
      <c r="P412">
        <v>-0.147380093585842</v>
      </c>
      <c r="Q412" t="s">
        <v>8</v>
      </c>
      <c r="R412">
        <v>1.0469637993357701</v>
      </c>
      <c r="S412" t="s">
        <v>9</v>
      </c>
      <c r="T412">
        <v>-3.2630598142509299</v>
      </c>
      <c r="U412" t="s">
        <v>10</v>
      </c>
      <c r="V412">
        <v>0.85789947801111699</v>
      </c>
      <c r="W412" t="s">
        <v>11</v>
      </c>
      <c r="X412" t="s">
        <v>2348</v>
      </c>
      <c r="Y412" t="s">
        <v>720</v>
      </c>
      <c r="Z412">
        <v>0</v>
      </c>
      <c r="AA412" t="s">
        <v>14</v>
      </c>
      <c r="AB412" t="s">
        <v>15</v>
      </c>
      <c r="AC412" t="s">
        <v>2513</v>
      </c>
      <c r="AD412" t="s">
        <v>720</v>
      </c>
      <c r="AE412">
        <v>0</v>
      </c>
      <c r="AF412" t="s">
        <v>18</v>
      </c>
    </row>
    <row r="413" spans="1:32" x14ac:dyDescent="0.3">
      <c r="A413" t="s">
        <v>2162</v>
      </c>
      <c r="B413" t="s">
        <v>1</v>
      </c>
      <c r="C413">
        <v>0.3</v>
      </c>
      <c r="D413" t="s">
        <v>588</v>
      </c>
      <c r="E413" t="s">
        <v>2323</v>
      </c>
      <c r="F413">
        <v>0.15</v>
      </c>
      <c r="G413" t="s">
        <v>2347</v>
      </c>
      <c r="H413" t="s">
        <v>1988</v>
      </c>
      <c r="I413" t="s">
        <v>4</v>
      </c>
      <c r="J413">
        <v>249</v>
      </c>
      <c r="K413" t="s">
        <v>5</v>
      </c>
      <c r="L413">
        <v>184</v>
      </c>
      <c r="M413" t="s">
        <v>6</v>
      </c>
      <c r="N413">
        <v>-43.7476433028747</v>
      </c>
      <c r="O413" t="s">
        <v>7</v>
      </c>
      <c r="P413">
        <v>-0.17569334659788999</v>
      </c>
      <c r="Q413" t="s">
        <v>8</v>
      </c>
      <c r="R413">
        <v>1.0818124123936901</v>
      </c>
      <c r="S413" t="s">
        <v>9</v>
      </c>
      <c r="T413">
        <v>-3.7354019566663701</v>
      </c>
      <c r="U413" t="s">
        <v>10</v>
      </c>
      <c r="V413">
        <v>0.97415421747604203</v>
      </c>
      <c r="W413" t="s">
        <v>11</v>
      </c>
      <c r="X413" t="s">
        <v>2348</v>
      </c>
      <c r="Y413" t="s">
        <v>720</v>
      </c>
      <c r="Z413">
        <v>0</v>
      </c>
      <c r="AA413" t="s">
        <v>14</v>
      </c>
      <c r="AB413" t="s">
        <v>15</v>
      </c>
      <c r="AC413" t="s">
        <v>2513</v>
      </c>
      <c r="AD413" t="s">
        <v>720</v>
      </c>
      <c r="AE413">
        <v>0</v>
      </c>
      <c r="AF413" t="s">
        <v>18</v>
      </c>
    </row>
    <row r="414" spans="1:32" x14ac:dyDescent="0.3">
      <c r="A414" t="s">
        <v>2162</v>
      </c>
      <c r="B414" t="s">
        <v>1</v>
      </c>
      <c r="C414">
        <v>0.3</v>
      </c>
      <c r="D414" t="s">
        <v>588</v>
      </c>
      <c r="E414" t="s">
        <v>2323</v>
      </c>
      <c r="F414">
        <v>0.15</v>
      </c>
      <c r="G414" t="s">
        <v>2355</v>
      </c>
      <c r="H414" t="s">
        <v>1991</v>
      </c>
      <c r="I414" t="s">
        <v>4</v>
      </c>
      <c r="J414">
        <v>258</v>
      </c>
      <c r="K414" t="s">
        <v>5</v>
      </c>
      <c r="L414">
        <v>160</v>
      </c>
      <c r="M414" t="s">
        <v>6</v>
      </c>
      <c r="N414">
        <v>19.6955738597451</v>
      </c>
      <c r="O414" t="s">
        <v>7</v>
      </c>
      <c r="P414">
        <v>7.6339433564903802E-2</v>
      </c>
      <c r="Q414" t="s">
        <v>8</v>
      </c>
      <c r="R414">
        <v>1.14113494498709</v>
      </c>
      <c r="S414" t="s">
        <v>9</v>
      </c>
      <c r="T414">
        <v>-1.66210221773663</v>
      </c>
      <c r="U414" t="s">
        <v>10</v>
      </c>
      <c r="V414">
        <v>0.48107874909925302</v>
      </c>
      <c r="W414" t="s">
        <v>11</v>
      </c>
      <c r="X414" t="s">
        <v>2515</v>
      </c>
      <c r="Y414" t="s">
        <v>720</v>
      </c>
      <c r="Z414">
        <v>0</v>
      </c>
      <c r="AA414" t="s">
        <v>14</v>
      </c>
      <c r="AB414" t="s">
        <v>15</v>
      </c>
      <c r="AC414" t="s">
        <v>2516</v>
      </c>
      <c r="AD414" t="s">
        <v>2517</v>
      </c>
      <c r="AE414">
        <v>0</v>
      </c>
      <c r="AF414" t="s">
        <v>18</v>
      </c>
    </row>
    <row r="415" spans="1:32" x14ac:dyDescent="0.3">
      <c r="A415" t="s">
        <v>2162</v>
      </c>
      <c r="B415" t="s">
        <v>1</v>
      </c>
      <c r="C415">
        <v>0.3</v>
      </c>
      <c r="D415" t="s">
        <v>588</v>
      </c>
      <c r="E415" t="s">
        <v>2323</v>
      </c>
      <c r="F415">
        <v>0.15</v>
      </c>
      <c r="G415" t="s">
        <v>2355</v>
      </c>
      <c r="H415" t="s">
        <v>1994</v>
      </c>
      <c r="I415" t="s">
        <v>4</v>
      </c>
      <c r="J415">
        <v>258</v>
      </c>
      <c r="K415" t="s">
        <v>5</v>
      </c>
      <c r="L415">
        <v>181</v>
      </c>
      <c r="M415" t="s">
        <v>6</v>
      </c>
      <c r="N415">
        <v>10.222626919776401</v>
      </c>
      <c r="O415" t="s">
        <v>7</v>
      </c>
      <c r="P415">
        <v>3.9622584960373901E-2</v>
      </c>
      <c r="Q415" t="s">
        <v>8</v>
      </c>
      <c r="R415">
        <v>1.2009145937352901</v>
      </c>
      <c r="S415" t="s">
        <v>9</v>
      </c>
      <c r="T415">
        <v>-2.6901677213806701</v>
      </c>
      <c r="U415" t="s">
        <v>10</v>
      </c>
      <c r="V415">
        <v>0.61587171271861196</v>
      </c>
      <c r="W415" t="s">
        <v>11</v>
      </c>
      <c r="X415" t="s">
        <v>2518</v>
      </c>
      <c r="Y415" t="s">
        <v>2055</v>
      </c>
      <c r="Z415">
        <v>0</v>
      </c>
      <c r="AA415" t="s">
        <v>14</v>
      </c>
      <c r="AB415" t="s">
        <v>15</v>
      </c>
      <c r="AC415" t="s">
        <v>2535</v>
      </c>
      <c r="AD415" t="s">
        <v>2084</v>
      </c>
      <c r="AE415">
        <v>0</v>
      </c>
      <c r="AF415" t="s">
        <v>18</v>
      </c>
    </row>
    <row r="416" spans="1:32" x14ac:dyDescent="0.3">
      <c r="A416" t="s">
        <v>2162</v>
      </c>
      <c r="B416" t="s">
        <v>1</v>
      </c>
      <c r="C416">
        <v>0.3</v>
      </c>
      <c r="D416" t="s">
        <v>588</v>
      </c>
      <c r="E416" t="s">
        <v>2323</v>
      </c>
      <c r="F416">
        <v>0.15</v>
      </c>
      <c r="G416" t="s">
        <v>2355</v>
      </c>
      <c r="H416" t="s">
        <v>1996</v>
      </c>
      <c r="I416" t="s">
        <v>4</v>
      </c>
      <c r="J416">
        <v>258</v>
      </c>
      <c r="K416" t="s">
        <v>5</v>
      </c>
      <c r="L416">
        <v>192</v>
      </c>
      <c r="M416" t="s">
        <v>6</v>
      </c>
      <c r="N416">
        <v>-7.4673730802235303</v>
      </c>
      <c r="O416" t="s">
        <v>7</v>
      </c>
      <c r="P416">
        <v>-2.8943306512494299E-2</v>
      </c>
      <c r="Q416" t="s">
        <v>8</v>
      </c>
      <c r="R416">
        <v>1.24429969513587</v>
      </c>
      <c r="S416" t="s">
        <v>9</v>
      </c>
      <c r="T416">
        <v>-3.7329229476713799</v>
      </c>
      <c r="U416" t="s">
        <v>10</v>
      </c>
      <c r="V416">
        <v>0.76932343539030601</v>
      </c>
      <c r="W416" t="s">
        <v>11</v>
      </c>
      <c r="X416" t="s">
        <v>2518</v>
      </c>
      <c r="Y416" t="s">
        <v>2055</v>
      </c>
      <c r="Z416">
        <v>0</v>
      </c>
      <c r="AA416" t="s">
        <v>14</v>
      </c>
      <c r="AB416" t="s">
        <v>15</v>
      </c>
      <c r="AC416" t="s">
        <v>2520</v>
      </c>
      <c r="AD416" t="s">
        <v>718</v>
      </c>
      <c r="AE416">
        <v>0</v>
      </c>
      <c r="AF416" t="s">
        <v>18</v>
      </c>
    </row>
    <row r="417" spans="1:32" x14ac:dyDescent="0.3">
      <c r="A417" t="s">
        <v>2162</v>
      </c>
      <c r="B417" t="s">
        <v>1</v>
      </c>
      <c r="C417">
        <v>0.3</v>
      </c>
      <c r="D417" t="s">
        <v>588</v>
      </c>
      <c r="E417" t="s">
        <v>2323</v>
      </c>
      <c r="F417">
        <v>0.15</v>
      </c>
      <c r="G417" t="s">
        <v>2355</v>
      </c>
      <c r="H417" t="s">
        <v>1997</v>
      </c>
      <c r="I417" t="s">
        <v>4</v>
      </c>
      <c r="J417">
        <v>258</v>
      </c>
      <c r="K417" t="s">
        <v>5</v>
      </c>
      <c r="L417">
        <v>204</v>
      </c>
      <c r="M417" t="s">
        <v>6</v>
      </c>
      <c r="N417">
        <v>13.5926269197765</v>
      </c>
      <c r="O417" t="s">
        <v>7</v>
      </c>
      <c r="P417">
        <v>5.2684600464250199E-2</v>
      </c>
      <c r="Q417" t="s">
        <v>8</v>
      </c>
      <c r="R417">
        <v>1.29230322094366</v>
      </c>
      <c r="S417" t="s">
        <v>9</v>
      </c>
      <c r="T417">
        <v>-4.63031907690244</v>
      </c>
      <c r="U417" t="s">
        <v>10</v>
      </c>
      <c r="V417">
        <v>0.90368257145084296</v>
      </c>
      <c r="W417" t="s">
        <v>11</v>
      </c>
      <c r="X417" t="s">
        <v>2518</v>
      </c>
      <c r="Y417" t="s">
        <v>2055</v>
      </c>
      <c r="Z417">
        <v>0</v>
      </c>
      <c r="AA417" t="s">
        <v>14</v>
      </c>
      <c r="AB417" t="s">
        <v>15</v>
      </c>
      <c r="AC417" t="s">
        <v>2521</v>
      </c>
      <c r="AD417" t="s">
        <v>2123</v>
      </c>
      <c r="AE417">
        <v>0</v>
      </c>
      <c r="AF417" t="s">
        <v>18</v>
      </c>
    </row>
    <row r="418" spans="1:32" x14ac:dyDescent="0.3">
      <c r="A418" t="s">
        <v>2162</v>
      </c>
      <c r="B418" t="s">
        <v>1</v>
      </c>
      <c r="C418">
        <v>0.3</v>
      </c>
      <c r="D418" t="s">
        <v>588</v>
      </c>
      <c r="E418" t="s">
        <v>2323</v>
      </c>
      <c r="F418">
        <v>0.15</v>
      </c>
      <c r="G418" t="s">
        <v>2361</v>
      </c>
      <c r="H418" t="s">
        <v>1999</v>
      </c>
      <c r="I418" t="s">
        <v>4</v>
      </c>
      <c r="J418">
        <v>246</v>
      </c>
      <c r="K418" t="s">
        <v>5</v>
      </c>
      <c r="L418">
        <v>151</v>
      </c>
      <c r="M418" t="s">
        <v>6</v>
      </c>
      <c r="N418">
        <v>45.659772816387303</v>
      </c>
      <c r="O418" t="s">
        <v>7</v>
      </c>
      <c r="P418">
        <v>0.18560883258694</v>
      </c>
      <c r="Q418" t="s">
        <v>8</v>
      </c>
      <c r="R418">
        <v>1.3506126225636801</v>
      </c>
      <c r="S418" t="s">
        <v>9</v>
      </c>
      <c r="T418">
        <v>-1.6661340335866199</v>
      </c>
      <c r="U418" t="s">
        <v>10</v>
      </c>
      <c r="V418">
        <v>0.485033558426682</v>
      </c>
      <c r="W418" t="s">
        <v>11</v>
      </c>
      <c r="X418" t="s">
        <v>2390</v>
      </c>
      <c r="Y418" t="s">
        <v>77</v>
      </c>
      <c r="Z418">
        <v>0</v>
      </c>
      <c r="AA418" t="s">
        <v>14</v>
      </c>
      <c r="AB418" t="s">
        <v>15</v>
      </c>
      <c r="AC418" t="s">
        <v>2536</v>
      </c>
      <c r="AD418" t="s">
        <v>2408</v>
      </c>
      <c r="AE418">
        <v>0</v>
      </c>
      <c r="AF418" t="s">
        <v>18</v>
      </c>
    </row>
    <row r="419" spans="1:32" x14ac:dyDescent="0.3">
      <c r="A419" t="s">
        <v>2162</v>
      </c>
      <c r="B419" t="s">
        <v>1</v>
      </c>
      <c r="C419">
        <v>0.3</v>
      </c>
      <c r="D419" t="s">
        <v>588</v>
      </c>
      <c r="E419" t="s">
        <v>2323</v>
      </c>
      <c r="F419">
        <v>0.15</v>
      </c>
      <c r="G419" t="s">
        <v>2361</v>
      </c>
      <c r="H419" t="s">
        <v>2002</v>
      </c>
      <c r="I419" t="s">
        <v>4</v>
      </c>
      <c r="J419">
        <v>246</v>
      </c>
      <c r="K419" t="s">
        <v>5</v>
      </c>
      <c r="L419">
        <v>177</v>
      </c>
      <c r="M419" t="s">
        <v>6</v>
      </c>
      <c r="N419">
        <v>73.185337170760405</v>
      </c>
      <c r="O419" t="s">
        <v>7</v>
      </c>
      <c r="P419">
        <v>0.29750137061284698</v>
      </c>
      <c r="Q419" t="s">
        <v>8</v>
      </c>
      <c r="R419">
        <v>1.4417847566189701</v>
      </c>
      <c r="S419" t="s">
        <v>9</v>
      </c>
      <c r="T419">
        <v>-2.6378342717507</v>
      </c>
      <c r="U419" t="s">
        <v>10</v>
      </c>
      <c r="V419">
        <v>0.62871253734411703</v>
      </c>
      <c r="W419" t="s">
        <v>11</v>
      </c>
      <c r="X419" t="s">
        <v>2390</v>
      </c>
      <c r="Y419" t="s">
        <v>77</v>
      </c>
      <c r="Z419">
        <v>0</v>
      </c>
      <c r="AA419" t="s">
        <v>14</v>
      </c>
      <c r="AB419" t="s">
        <v>15</v>
      </c>
      <c r="AC419" t="s">
        <v>2522</v>
      </c>
      <c r="AD419" t="s">
        <v>2123</v>
      </c>
      <c r="AE419">
        <v>0</v>
      </c>
      <c r="AF419" t="s">
        <v>18</v>
      </c>
    </row>
    <row r="420" spans="1:32" x14ac:dyDescent="0.3">
      <c r="A420" t="s">
        <v>2162</v>
      </c>
      <c r="B420" t="s">
        <v>1</v>
      </c>
      <c r="C420">
        <v>0.3</v>
      </c>
      <c r="D420" t="s">
        <v>588</v>
      </c>
      <c r="E420" t="s">
        <v>2323</v>
      </c>
      <c r="F420">
        <v>0.15</v>
      </c>
      <c r="G420" t="s">
        <v>2361</v>
      </c>
      <c r="H420" t="s">
        <v>2004</v>
      </c>
      <c r="I420" t="s">
        <v>4</v>
      </c>
      <c r="J420">
        <v>246</v>
      </c>
      <c r="K420" t="s">
        <v>5</v>
      </c>
      <c r="L420">
        <v>190</v>
      </c>
      <c r="M420" t="s">
        <v>6</v>
      </c>
      <c r="N420">
        <v>56.255337170760498</v>
      </c>
      <c r="O420" t="s">
        <v>7</v>
      </c>
      <c r="P420">
        <v>0.22868023240146501</v>
      </c>
      <c r="Q420" t="s">
        <v>8</v>
      </c>
      <c r="R420">
        <v>1.46098351195811</v>
      </c>
      <c r="S420" t="s">
        <v>9</v>
      </c>
      <c r="T420">
        <v>-3.9523487518085698</v>
      </c>
      <c r="U420" t="s">
        <v>10</v>
      </c>
      <c r="V420">
        <v>0.77326498875223004</v>
      </c>
      <c r="W420" t="s">
        <v>11</v>
      </c>
      <c r="X420" t="s">
        <v>2394</v>
      </c>
      <c r="Y420" t="s">
        <v>720</v>
      </c>
      <c r="Z420">
        <v>0</v>
      </c>
      <c r="AA420" t="s">
        <v>14</v>
      </c>
      <c r="AB420" t="s">
        <v>15</v>
      </c>
      <c r="AC420" t="s">
        <v>2523</v>
      </c>
      <c r="AD420" t="s">
        <v>720</v>
      </c>
      <c r="AE420">
        <v>0</v>
      </c>
      <c r="AF420" t="s">
        <v>18</v>
      </c>
    </row>
    <row r="421" spans="1:32" x14ac:dyDescent="0.3">
      <c r="A421" t="s">
        <v>2162</v>
      </c>
      <c r="B421" t="s">
        <v>1</v>
      </c>
      <c r="C421">
        <v>0.3</v>
      </c>
      <c r="D421" t="s">
        <v>588</v>
      </c>
      <c r="E421" t="s">
        <v>2323</v>
      </c>
      <c r="F421">
        <v>0.15</v>
      </c>
      <c r="G421" t="s">
        <v>2361</v>
      </c>
      <c r="H421" t="s">
        <v>2005</v>
      </c>
      <c r="I421" t="s">
        <v>4</v>
      </c>
      <c r="J421">
        <v>246</v>
      </c>
      <c r="K421" t="s">
        <v>5</v>
      </c>
      <c r="L421">
        <v>195</v>
      </c>
      <c r="M421" t="s">
        <v>6</v>
      </c>
      <c r="N421">
        <v>39.665337170760502</v>
      </c>
      <c r="O421" t="s">
        <v>7</v>
      </c>
      <c r="P421">
        <v>0.16124120801122099</v>
      </c>
      <c r="Q421" t="s">
        <v>8</v>
      </c>
      <c r="R421">
        <v>1.48055273998146</v>
      </c>
      <c r="S421" t="s">
        <v>9</v>
      </c>
      <c r="T421">
        <v>-4.8831852377573499</v>
      </c>
      <c r="U421" t="s">
        <v>10</v>
      </c>
      <c r="V421">
        <v>0.85499206803713301</v>
      </c>
      <c r="W421" t="s">
        <v>11</v>
      </c>
      <c r="X421" t="s">
        <v>2394</v>
      </c>
      <c r="Y421" t="s">
        <v>720</v>
      </c>
      <c r="Z421">
        <v>0</v>
      </c>
      <c r="AA421" t="s">
        <v>14</v>
      </c>
      <c r="AB421" t="s">
        <v>15</v>
      </c>
      <c r="AC421" t="s">
        <v>2537</v>
      </c>
      <c r="AD421" t="s">
        <v>2132</v>
      </c>
      <c r="AE421">
        <v>0</v>
      </c>
      <c r="AF421" t="s">
        <v>18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649F-6EF9-4E58-8C93-813882607743}">
  <dimension ref="A1:AD407"/>
  <sheetViews>
    <sheetView workbookViewId="0">
      <selection activeCell="F5" sqref="F5"/>
    </sheetView>
  </sheetViews>
  <sheetFormatPr defaultRowHeight="16.5" x14ac:dyDescent="0.3"/>
  <cols>
    <col min="6" max="6" width="34.375" customWidth="1"/>
  </cols>
  <sheetData>
    <row r="1" spans="1:30" x14ac:dyDescent="0.3">
      <c r="A1">
        <v>1</v>
      </c>
    </row>
    <row r="2" spans="1:30" x14ac:dyDescent="0.3">
      <c r="A2" t="s">
        <v>2538</v>
      </c>
      <c r="B2" t="s">
        <v>1</v>
      </c>
      <c r="C2">
        <v>-0.4</v>
      </c>
      <c r="D2" t="s">
        <v>2174</v>
      </c>
      <c r="E2" t="s">
        <v>2569</v>
      </c>
      <c r="F2" t="str">
        <f>_xlfn.CONCAT(A2:E2)</f>
        <v xml:space="preserve">alltime_{'P' [('delta'-0.4 1)]}_[42 70]_6 </v>
      </c>
      <c r="G2" t="s">
        <v>2540</v>
      </c>
      <c r="H2">
        <v>3062</v>
      </c>
      <c r="I2" t="s">
        <v>5</v>
      </c>
      <c r="J2">
        <v>470</v>
      </c>
      <c r="K2" t="s">
        <v>6</v>
      </c>
      <c r="L2">
        <v>-2333.5532530012802</v>
      </c>
      <c r="M2" t="s">
        <v>7</v>
      </c>
      <c r="N2">
        <v>-0.76210099706116496</v>
      </c>
      <c r="O2" t="s">
        <v>8</v>
      </c>
      <c r="P2">
        <v>13.156012812466701</v>
      </c>
      <c r="Q2" t="s">
        <v>9</v>
      </c>
      <c r="R2">
        <v>-3.2858330535727802</v>
      </c>
      <c r="S2" t="s">
        <v>10</v>
      </c>
      <c r="T2">
        <v>20.6757343652774</v>
      </c>
      <c r="U2" t="s">
        <v>11</v>
      </c>
      <c r="V2" t="s">
        <v>2566</v>
      </c>
      <c r="W2" t="s">
        <v>851</v>
      </c>
      <c r="X2">
        <v>0</v>
      </c>
      <c r="Y2" t="s">
        <v>14</v>
      </c>
      <c r="Z2" t="s">
        <v>15</v>
      </c>
      <c r="AA2" t="s">
        <v>2567</v>
      </c>
      <c r="AB2" t="s">
        <v>2568</v>
      </c>
      <c r="AC2">
        <v>0</v>
      </c>
      <c r="AD2" t="s">
        <v>18</v>
      </c>
    </row>
    <row r="3" spans="1:30" x14ac:dyDescent="0.3">
      <c r="A3" t="s">
        <v>2538</v>
      </c>
      <c r="B3" t="s">
        <v>1</v>
      </c>
      <c r="C3">
        <v>-0.4</v>
      </c>
      <c r="D3" t="s">
        <v>2174</v>
      </c>
      <c r="E3" t="s">
        <v>2562</v>
      </c>
      <c r="F3" t="str">
        <f t="shared" ref="F3:F66" si="0">_xlfn.CONCAT(A3:E3)</f>
        <v xml:space="preserve">alltime_{'P' [('delta'-0.4 1)]}_[42 70]_2 </v>
      </c>
      <c r="G3" t="s">
        <v>2540</v>
      </c>
      <c r="H3">
        <v>3062</v>
      </c>
      <c r="I3" t="s">
        <v>5</v>
      </c>
      <c r="J3">
        <v>558</v>
      </c>
      <c r="K3" t="s">
        <v>6</v>
      </c>
      <c r="L3">
        <v>-1865.9478148083499</v>
      </c>
      <c r="M3" t="s">
        <v>7</v>
      </c>
      <c r="N3">
        <v>-0.60938857439854699</v>
      </c>
      <c r="O3" t="s">
        <v>8</v>
      </c>
      <c r="P3">
        <v>11.446006200810499</v>
      </c>
      <c r="Q3" t="s">
        <v>9</v>
      </c>
      <c r="R3">
        <v>-3.2958543429954701</v>
      </c>
      <c r="S3" t="s">
        <v>10</v>
      </c>
      <c r="T3">
        <v>15.5818975522066</v>
      </c>
      <c r="U3" t="s">
        <v>11</v>
      </c>
      <c r="V3" t="s">
        <v>2560</v>
      </c>
      <c r="W3" t="s">
        <v>851</v>
      </c>
      <c r="X3">
        <v>0</v>
      </c>
      <c r="Y3" t="s">
        <v>14</v>
      </c>
      <c r="Z3" t="s">
        <v>15</v>
      </c>
      <c r="AA3" t="s">
        <v>2563</v>
      </c>
      <c r="AB3" t="s">
        <v>2564</v>
      </c>
      <c r="AC3">
        <v>0</v>
      </c>
      <c r="AD3" t="s">
        <v>18</v>
      </c>
    </row>
    <row r="4" spans="1:30" x14ac:dyDescent="0.3">
      <c r="A4" t="s">
        <v>2538</v>
      </c>
      <c r="B4" t="s">
        <v>1</v>
      </c>
      <c r="C4">
        <v>-0.3</v>
      </c>
      <c r="D4" t="s">
        <v>2174</v>
      </c>
      <c r="E4" t="s">
        <v>2569</v>
      </c>
      <c r="F4" t="str">
        <f t="shared" si="0"/>
        <v xml:space="preserve">alltime_{'P' [('delta'-0.3 1)]}_[42 70]_6 </v>
      </c>
      <c r="G4" t="s">
        <v>2540</v>
      </c>
      <c r="H4">
        <v>3062</v>
      </c>
      <c r="I4" t="s">
        <v>5</v>
      </c>
      <c r="J4">
        <v>349</v>
      </c>
      <c r="K4" t="s">
        <v>6</v>
      </c>
      <c r="L4">
        <v>-1789.72555990971</v>
      </c>
      <c r="M4" t="s">
        <v>7</v>
      </c>
      <c r="N4">
        <v>-0.58449561068246703</v>
      </c>
      <c r="O4" t="s">
        <v>8</v>
      </c>
      <c r="P4">
        <v>12.9741434524993</v>
      </c>
      <c r="Q4" t="s">
        <v>9</v>
      </c>
      <c r="R4">
        <v>-2.3286773405204499</v>
      </c>
      <c r="S4" t="s">
        <v>10</v>
      </c>
      <c r="T4">
        <v>15.905277593780401</v>
      </c>
      <c r="U4" t="s">
        <v>11</v>
      </c>
      <c r="V4" t="s">
        <v>2566</v>
      </c>
      <c r="W4" t="s">
        <v>851</v>
      </c>
      <c r="X4">
        <v>0</v>
      </c>
      <c r="Y4" t="s">
        <v>14</v>
      </c>
      <c r="Z4" t="s">
        <v>15</v>
      </c>
      <c r="AA4" t="s">
        <v>2589</v>
      </c>
      <c r="AB4" t="s">
        <v>2587</v>
      </c>
      <c r="AC4">
        <v>0</v>
      </c>
      <c r="AD4" t="s">
        <v>18</v>
      </c>
    </row>
    <row r="5" spans="1:30" x14ac:dyDescent="0.3">
      <c r="A5" t="s">
        <v>2538</v>
      </c>
      <c r="B5" t="s">
        <v>1</v>
      </c>
      <c r="C5">
        <v>-0.3</v>
      </c>
      <c r="D5" t="s">
        <v>2174</v>
      </c>
      <c r="E5" t="s">
        <v>2562</v>
      </c>
      <c r="F5" t="str">
        <f t="shared" si="0"/>
        <v xml:space="preserve">alltime_{'P' [('delta'-0.3 1)]}_[42 70]_2 </v>
      </c>
      <c r="G5" t="s">
        <v>2540</v>
      </c>
      <c r="H5">
        <v>3062</v>
      </c>
      <c r="I5" t="s">
        <v>5</v>
      </c>
      <c r="J5">
        <v>495</v>
      </c>
      <c r="K5" t="s">
        <v>6</v>
      </c>
      <c r="L5">
        <v>-1770.2494836062799</v>
      </c>
      <c r="M5" t="s">
        <v>7</v>
      </c>
      <c r="N5">
        <v>-0.57813503710198599</v>
      </c>
      <c r="O5" t="s">
        <v>8</v>
      </c>
      <c r="P5">
        <v>8.5452972550013993</v>
      </c>
      <c r="Q5" t="s">
        <v>9</v>
      </c>
      <c r="R5">
        <v>-2.3374256427082098</v>
      </c>
      <c r="S5" t="s">
        <v>10</v>
      </c>
      <c r="T5">
        <v>11.436856708005999</v>
      </c>
      <c r="U5" t="s">
        <v>11</v>
      </c>
      <c r="V5" t="s">
        <v>2585</v>
      </c>
      <c r="W5" t="s">
        <v>647</v>
      </c>
      <c r="X5">
        <v>0</v>
      </c>
      <c r="Y5" t="s">
        <v>14</v>
      </c>
      <c r="Z5" t="s">
        <v>15</v>
      </c>
      <c r="AA5" t="s">
        <v>2586</v>
      </c>
      <c r="AB5" t="s">
        <v>2587</v>
      </c>
      <c r="AC5">
        <v>0</v>
      </c>
      <c r="AD5" t="s">
        <v>18</v>
      </c>
    </row>
    <row r="6" spans="1:30" x14ac:dyDescent="0.3">
      <c r="A6" t="s">
        <v>2538</v>
      </c>
      <c r="B6" t="s">
        <v>1</v>
      </c>
      <c r="C6">
        <v>-0.4</v>
      </c>
      <c r="D6" t="s">
        <v>2174</v>
      </c>
      <c r="E6" t="s">
        <v>2565</v>
      </c>
      <c r="F6" t="str">
        <f t="shared" si="0"/>
        <v xml:space="preserve">alltime_{'P' [('delta'-0.4 1)]}_[42 70]_4 </v>
      </c>
      <c r="G6" t="s">
        <v>2540</v>
      </c>
      <c r="H6">
        <v>3062</v>
      </c>
      <c r="I6" t="s">
        <v>5</v>
      </c>
      <c r="J6">
        <v>478</v>
      </c>
      <c r="K6" t="s">
        <v>6</v>
      </c>
      <c r="L6">
        <v>-1766.9378420978101</v>
      </c>
      <c r="M6" t="s">
        <v>7</v>
      </c>
      <c r="N6">
        <v>-0.577053508196542</v>
      </c>
      <c r="O6" t="s">
        <v>8</v>
      </c>
      <c r="P6">
        <v>14.058705926282</v>
      </c>
      <c r="Q6" t="s">
        <v>9</v>
      </c>
      <c r="R6">
        <v>-3.2844424438315198</v>
      </c>
      <c r="S6" t="s">
        <v>10</v>
      </c>
      <c r="T6">
        <v>19.178586958006498</v>
      </c>
      <c r="U6" t="s">
        <v>11</v>
      </c>
      <c r="V6" t="s">
        <v>2566</v>
      </c>
      <c r="W6" t="s">
        <v>851</v>
      </c>
      <c r="X6">
        <v>0</v>
      </c>
      <c r="Y6" t="s">
        <v>14</v>
      </c>
      <c r="Z6" t="s">
        <v>15</v>
      </c>
      <c r="AA6" t="s">
        <v>2567</v>
      </c>
      <c r="AB6" t="s">
        <v>2568</v>
      </c>
      <c r="AC6">
        <v>0</v>
      </c>
      <c r="AD6" t="s">
        <v>18</v>
      </c>
    </row>
    <row r="7" spans="1:30" x14ac:dyDescent="0.3">
      <c r="A7" t="s">
        <v>2538</v>
      </c>
      <c r="B7" t="s">
        <v>1</v>
      </c>
      <c r="C7">
        <v>-0.3</v>
      </c>
      <c r="D7" t="s">
        <v>2174</v>
      </c>
      <c r="E7" t="s">
        <v>2565</v>
      </c>
      <c r="F7" t="str">
        <f t="shared" si="0"/>
        <v xml:space="preserve">alltime_{'P' [('delta'-0.3 1)]}_[42 70]_4 </v>
      </c>
      <c r="G7" t="s">
        <v>2540</v>
      </c>
      <c r="H7">
        <v>3062</v>
      </c>
      <c r="I7" t="s">
        <v>5</v>
      </c>
      <c r="J7">
        <v>375</v>
      </c>
      <c r="K7" t="s">
        <v>6</v>
      </c>
      <c r="L7">
        <v>-1462.6320315046601</v>
      </c>
      <c r="M7" t="s">
        <v>7</v>
      </c>
      <c r="N7">
        <v>-0.47767212002111897</v>
      </c>
      <c r="O7" t="s">
        <v>8</v>
      </c>
      <c r="P7">
        <v>12.8226922488728</v>
      </c>
      <c r="Q7" t="s">
        <v>9</v>
      </c>
      <c r="R7">
        <v>-2.3338822571015898</v>
      </c>
      <c r="S7" t="s">
        <v>10</v>
      </c>
      <c r="T7">
        <v>14.0097765327044</v>
      </c>
      <c r="U7" t="s">
        <v>11</v>
      </c>
      <c r="V7" t="s">
        <v>2529</v>
      </c>
      <c r="W7" t="s">
        <v>647</v>
      </c>
      <c r="X7">
        <v>0</v>
      </c>
      <c r="Y7" t="s">
        <v>14</v>
      </c>
      <c r="Z7" t="s">
        <v>15</v>
      </c>
      <c r="AA7" t="s">
        <v>2588</v>
      </c>
      <c r="AB7" t="s">
        <v>2568</v>
      </c>
      <c r="AC7">
        <v>0</v>
      </c>
      <c r="AD7" t="s">
        <v>18</v>
      </c>
    </row>
    <row r="8" spans="1:30" x14ac:dyDescent="0.3">
      <c r="A8" t="s">
        <v>2538</v>
      </c>
      <c r="B8" t="s">
        <v>1</v>
      </c>
      <c r="C8">
        <v>-0.4</v>
      </c>
      <c r="D8" t="s">
        <v>27</v>
      </c>
      <c r="E8" t="s">
        <v>2558</v>
      </c>
      <c r="F8" t="str">
        <f t="shared" si="0"/>
        <v xml:space="preserve">alltime_{'P' [('delta'-0.4 1)]}_[21 49]_6 </v>
      </c>
      <c r="G8" t="s">
        <v>2540</v>
      </c>
      <c r="H8">
        <v>3050</v>
      </c>
      <c r="I8" t="s">
        <v>5</v>
      </c>
      <c r="J8">
        <v>479</v>
      </c>
      <c r="K8" t="s">
        <v>6</v>
      </c>
      <c r="L8">
        <v>-1456.45999999999</v>
      </c>
      <c r="M8" t="s">
        <v>7</v>
      </c>
      <c r="N8">
        <v>-0.47752786885245702</v>
      </c>
      <c r="O8" t="s">
        <v>8</v>
      </c>
      <c r="P8">
        <v>11.003340292275499</v>
      </c>
      <c r="Q8" t="s">
        <v>9</v>
      </c>
      <c r="R8">
        <v>-2.6165149747180099</v>
      </c>
      <c r="S8" t="s">
        <v>10</v>
      </c>
      <c r="T8">
        <v>18.204796244697899</v>
      </c>
      <c r="U8" t="s">
        <v>11</v>
      </c>
      <c r="V8" t="s">
        <v>2548</v>
      </c>
      <c r="W8" t="s">
        <v>632</v>
      </c>
      <c r="X8">
        <v>0</v>
      </c>
      <c r="Y8" t="s">
        <v>14</v>
      </c>
      <c r="Z8" t="s">
        <v>15</v>
      </c>
      <c r="AA8" t="s">
        <v>2556</v>
      </c>
      <c r="AB8" t="s">
        <v>2557</v>
      </c>
      <c r="AC8">
        <v>0</v>
      </c>
      <c r="AD8" t="s">
        <v>18</v>
      </c>
    </row>
    <row r="9" spans="1:30" x14ac:dyDescent="0.3">
      <c r="A9" t="s">
        <v>2538</v>
      </c>
      <c r="B9" t="s">
        <v>1</v>
      </c>
      <c r="C9">
        <v>-0.4</v>
      </c>
      <c r="D9" t="s">
        <v>2</v>
      </c>
      <c r="E9" t="s">
        <v>2547</v>
      </c>
      <c r="F9" t="str">
        <f t="shared" si="0"/>
        <v xml:space="preserve">alltime_{'P' [('delta'-0.4 1)]}_[7 35]_6 </v>
      </c>
      <c r="G9" t="s">
        <v>2540</v>
      </c>
      <c r="H9">
        <v>3073</v>
      </c>
      <c r="I9" t="s">
        <v>5</v>
      </c>
      <c r="J9">
        <v>558</v>
      </c>
      <c r="K9" t="s">
        <v>6</v>
      </c>
      <c r="L9">
        <v>-1399.97999999999</v>
      </c>
      <c r="M9" t="s">
        <v>7</v>
      </c>
      <c r="N9">
        <v>-0.455574357305564</v>
      </c>
      <c r="O9" t="s">
        <v>8</v>
      </c>
      <c r="P9">
        <v>6.9587455197132497</v>
      </c>
      <c r="Q9" t="s">
        <v>9</v>
      </c>
      <c r="R9">
        <v>-2.1005805168985998</v>
      </c>
      <c r="S9" t="s">
        <v>10</v>
      </c>
      <c r="T9">
        <v>14.8880811400997</v>
      </c>
      <c r="U9" t="s">
        <v>11</v>
      </c>
      <c r="V9" t="s">
        <v>2548</v>
      </c>
      <c r="W9" t="s">
        <v>632</v>
      </c>
      <c r="X9">
        <v>0</v>
      </c>
      <c r="Y9" t="s">
        <v>14</v>
      </c>
      <c r="Z9" t="s">
        <v>15</v>
      </c>
      <c r="AA9" t="s">
        <v>2549</v>
      </c>
      <c r="AB9" t="s">
        <v>851</v>
      </c>
      <c r="AC9">
        <v>0</v>
      </c>
      <c r="AD9" t="s">
        <v>18</v>
      </c>
    </row>
    <row r="10" spans="1:30" x14ac:dyDescent="0.3">
      <c r="A10" t="s">
        <v>2538</v>
      </c>
      <c r="B10" t="s">
        <v>1</v>
      </c>
      <c r="C10">
        <v>-0.4</v>
      </c>
      <c r="D10" t="s">
        <v>2174</v>
      </c>
      <c r="E10" t="s">
        <v>2559</v>
      </c>
      <c r="F10" t="str">
        <f t="shared" si="0"/>
        <v xml:space="preserve">alltime_{'P' [('delta'-0.4 1)]}_[42 70]_1 </v>
      </c>
      <c r="G10" t="s">
        <v>2540</v>
      </c>
      <c r="H10">
        <v>3062</v>
      </c>
      <c r="I10" t="s">
        <v>5</v>
      </c>
      <c r="J10">
        <v>885</v>
      </c>
      <c r="K10" t="s">
        <v>6</v>
      </c>
      <c r="L10">
        <v>-1348.1210901827701</v>
      </c>
      <c r="M10" t="s">
        <v>7</v>
      </c>
      <c r="N10">
        <v>-0.440274686539117</v>
      </c>
      <c r="O10" t="s">
        <v>8</v>
      </c>
      <c r="P10">
        <v>6.6338782240805703</v>
      </c>
      <c r="Q10" t="s">
        <v>9</v>
      </c>
      <c r="R10">
        <v>-3.3160786947607201</v>
      </c>
      <c r="S10" t="s">
        <v>10</v>
      </c>
      <c r="T10">
        <v>12.2376529601512</v>
      </c>
      <c r="U10" t="s">
        <v>11</v>
      </c>
      <c r="V10" t="s">
        <v>2560</v>
      </c>
      <c r="W10" t="s">
        <v>851</v>
      </c>
      <c r="X10">
        <v>0</v>
      </c>
      <c r="Y10" t="s">
        <v>14</v>
      </c>
      <c r="Z10" t="s">
        <v>15</v>
      </c>
      <c r="AA10" t="s">
        <v>2561</v>
      </c>
      <c r="AB10" t="s">
        <v>2542</v>
      </c>
      <c r="AC10">
        <v>0</v>
      </c>
      <c r="AD10" t="s">
        <v>18</v>
      </c>
    </row>
    <row r="11" spans="1:30" x14ac:dyDescent="0.3">
      <c r="A11" t="s">
        <v>2538</v>
      </c>
      <c r="B11" t="s">
        <v>1</v>
      </c>
      <c r="C11">
        <v>-0.4</v>
      </c>
      <c r="D11" t="s">
        <v>27</v>
      </c>
      <c r="E11" t="s">
        <v>2552</v>
      </c>
      <c r="F11" t="str">
        <f t="shared" si="0"/>
        <v xml:space="preserve">alltime_{'P' [('delta'-0.4 1)]}_[21 49]_2 </v>
      </c>
      <c r="G11" t="s">
        <v>2540</v>
      </c>
      <c r="H11">
        <v>3050</v>
      </c>
      <c r="I11" t="s">
        <v>5</v>
      </c>
      <c r="J11">
        <v>586</v>
      </c>
      <c r="K11" t="s">
        <v>6</v>
      </c>
      <c r="L11">
        <v>-1346.3599999999899</v>
      </c>
      <c r="M11" t="s">
        <v>7</v>
      </c>
      <c r="N11">
        <v>-0.44142950819672</v>
      </c>
      <c r="O11" t="s">
        <v>8</v>
      </c>
      <c r="P11">
        <v>8.7407337883958895</v>
      </c>
      <c r="Q11" t="s">
        <v>9</v>
      </c>
      <c r="R11">
        <v>-2.6251745129870101</v>
      </c>
      <c r="S11" t="s">
        <v>10</v>
      </c>
      <c r="T11">
        <v>13.7433053959844</v>
      </c>
      <c r="U11" t="s">
        <v>11</v>
      </c>
      <c r="V11" t="s">
        <v>1992</v>
      </c>
      <c r="W11" t="s">
        <v>647</v>
      </c>
      <c r="X11">
        <v>0</v>
      </c>
      <c r="Y11" t="s">
        <v>14</v>
      </c>
      <c r="Z11" t="s">
        <v>15</v>
      </c>
      <c r="AA11" t="s">
        <v>2553</v>
      </c>
      <c r="AB11" t="s">
        <v>2554</v>
      </c>
      <c r="AC11">
        <v>0</v>
      </c>
      <c r="AD11" t="s">
        <v>18</v>
      </c>
    </row>
    <row r="12" spans="1:30" x14ac:dyDescent="0.3">
      <c r="A12" t="s">
        <v>2538</v>
      </c>
      <c r="B12" t="s">
        <v>1</v>
      </c>
      <c r="C12">
        <v>-0.2</v>
      </c>
      <c r="D12" t="s">
        <v>2174</v>
      </c>
      <c r="E12" t="s">
        <v>2562</v>
      </c>
      <c r="F12" t="str">
        <f t="shared" si="0"/>
        <v xml:space="preserve">alltime_{'P' [('delta'-0.2 1)]}_[42 70]_2 </v>
      </c>
      <c r="G12" t="s">
        <v>2540</v>
      </c>
      <c r="H12">
        <v>3062</v>
      </c>
      <c r="I12" t="s">
        <v>5</v>
      </c>
      <c r="J12">
        <v>458</v>
      </c>
      <c r="K12" t="s">
        <v>6</v>
      </c>
      <c r="L12">
        <v>-1222.7202875297601</v>
      </c>
      <c r="M12" t="s">
        <v>7</v>
      </c>
      <c r="N12">
        <v>-0.39932079932389403</v>
      </c>
      <c r="O12" t="s">
        <v>8</v>
      </c>
      <c r="P12">
        <v>5.6846162321602103</v>
      </c>
      <c r="Q12" t="s">
        <v>9</v>
      </c>
      <c r="R12">
        <v>-1.46938345693515</v>
      </c>
      <c r="S12" t="s">
        <v>10</v>
      </c>
      <c r="T12">
        <v>7.4079647324980797</v>
      </c>
      <c r="U12" t="s">
        <v>11</v>
      </c>
      <c r="V12" t="s">
        <v>2604</v>
      </c>
      <c r="W12" t="s">
        <v>851</v>
      </c>
      <c r="X12">
        <v>0</v>
      </c>
      <c r="Y12" t="s">
        <v>14</v>
      </c>
      <c r="Z12" t="s">
        <v>15</v>
      </c>
      <c r="AA12" t="s">
        <v>2605</v>
      </c>
      <c r="AB12" t="s">
        <v>2587</v>
      </c>
      <c r="AC12">
        <v>0</v>
      </c>
      <c r="AD12" t="s">
        <v>18</v>
      </c>
    </row>
    <row r="13" spans="1:30" x14ac:dyDescent="0.3">
      <c r="A13" t="s">
        <v>2538</v>
      </c>
      <c r="B13" t="s">
        <v>1</v>
      </c>
      <c r="C13">
        <v>-0.3</v>
      </c>
      <c r="D13" t="s">
        <v>2</v>
      </c>
      <c r="E13" t="s">
        <v>2547</v>
      </c>
      <c r="F13" t="str">
        <f t="shared" si="0"/>
        <v xml:space="preserve">alltime_{'P' [('delta'-0.3 1)]}_[7 35]_6 </v>
      </c>
      <c r="G13" t="s">
        <v>2540</v>
      </c>
      <c r="H13">
        <v>3073</v>
      </c>
      <c r="I13" t="s">
        <v>5</v>
      </c>
      <c r="J13">
        <v>415</v>
      </c>
      <c r="K13" t="s">
        <v>6</v>
      </c>
      <c r="L13">
        <v>-1175.09484197696</v>
      </c>
      <c r="M13" t="s">
        <v>7</v>
      </c>
      <c r="N13">
        <v>-0.38239337519588701</v>
      </c>
      <c r="O13" t="s">
        <v>8</v>
      </c>
      <c r="P13">
        <v>6.6641927710843296</v>
      </c>
      <c r="Q13" t="s">
        <v>9</v>
      </c>
      <c r="R13">
        <v>-1.4825939962290999</v>
      </c>
      <c r="S13" t="s">
        <v>10</v>
      </c>
      <c r="T13">
        <v>11.0004555958888</v>
      </c>
      <c r="U13" t="s">
        <v>11</v>
      </c>
      <c r="V13" t="s">
        <v>2576</v>
      </c>
      <c r="W13" t="s">
        <v>851</v>
      </c>
      <c r="X13">
        <v>0</v>
      </c>
      <c r="Y13" t="s">
        <v>14</v>
      </c>
      <c r="Z13" t="s">
        <v>15</v>
      </c>
      <c r="AA13" t="s">
        <v>2577</v>
      </c>
      <c r="AB13" t="s">
        <v>851</v>
      </c>
      <c r="AC13">
        <v>0</v>
      </c>
      <c r="AD13" t="s">
        <v>18</v>
      </c>
    </row>
    <row r="14" spans="1:30" x14ac:dyDescent="0.3">
      <c r="A14" t="s">
        <v>2538</v>
      </c>
      <c r="B14" t="s">
        <v>1</v>
      </c>
      <c r="C14">
        <v>-0.4</v>
      </c>
      <c r="D14" t="s">
        <v>2</v>
      </c>
      <c r="E14" t="s">
        <v>2545</v>
      </c>
      <c r="F14" t="str">
        <f t="shared" si="0"/>
        <v xml:space="preserve">alltime_{'P' [('delta'-0.4 1)]}_[7 35]_4 </v>
      </c>
      <c r="G14" t="s">
        <v>2540</v>
      </c>
      <c r="H14">
        <v>3073</v>
      </c>
      <c r="I14" t="s">
        <v>5</v>
      </c>
      <c r="J14">
        <v>573</v>
      </c>
      <c r="K14" t="s">
        <v>6</v>
      </c>
      <c r="L14">
        <v>-1163.5699999999899</v>
      </c>
      <c r="M14" t="s">
        <v>7</v>
      </c>
      <c r="N14">
        <v>-0.37864301985030802</v>
      </c>
      <c r="O14" t="s">
        <v>8</v>
      </c>
      <c r="P14">
        <v>7.1384118673647396</v>
      </c>
      <c r="Q14" t="s">
        <v>9</v>
      </c>
      <c r="R14">
        <v>-2.1015519999999901</v>
      </c>
      <c r="S14" t="s">
        <v>10</v>
      </c>
      <c r="T14">
        <v>13.6070264042612</v>
      </c>
      <c r="U14" t="s">
        <v>11</v>
      </c>
      <c r="V14" t="s">
        <v>2546</v>
      </c>
      <c r="W14" t="s">
        <v>851</v>
      </c>
      <c r="X14">
        <v>0</v>
      </c>
      <c r="Y14" t="s">
        <v>14</v>
      </c>
      <c r="Z14" t="s">
        <v>15</v>
      </c>
      <c r="AA14" t="s">
        <v>2544</v>
      </c>
      <c r="AB14" t="s">
        <v>2542</v>
      </c>
      <c r="AC14">
        <v>0</v>
      </c>
      <c r="AD14" t="s">
        <v>18</v>
      </c>
    </row>
    <row r="15" spans="1:30" x14ac:dyDescent="0.3">
      <c r="A15" t="s">
        <v>2538</v>
      </c>
      <c r="B15" t="s">
        <v>1</v>
      </c>
      <c r="C15">
        <v>-0.2</v>
      </c>
      <c r="D15" t="s">
        <v>2174</v>
      </c>
      <c r="E15" t="s">
        <v>2569</v>
      </c>
      <c r="F15" t="str">
        <f t="shared" si="0"/>
        <v xml:space="preserve">alltime_{'P' [('delta'-0.2 1)]}_[42 70]_6 </v>
      </c>
      <c r="G15" t="s">
        <v>2540</v>
      </c>
      <c r="H15">
        <v>3062</v>
      </c>
      <c r="I15" t="s">
        <v>5</v>
      </c>
      <c r="J15">
        <v>245</v>
      </c>
      <c r="K15" t="s">
        <v>6</v>
      </c>
      <c r="L15">
        <v>-1143.1930439565199</v>
      </c>
      <c r="M15" t="s">
        <v>7</v>
      </c>
      <c r="N15">
        <v>-0.37334847941101301</v>
      </c>
      <c r="O15" t="s">
        <v>8</v>
      </c>
      <c r="P15">
        <v>12.1734433570406</v>
      </c>
      <c r="Q15" t="s">
        <v>9</v>
      </c>
      <c r="R15">
        <v>-1.46456750672044</v>
      </c>
      <c r="S15" t="s">
        <v>10</v>
      </c>
      <c r="T15">
        <v>10.572096380324799</v>
      </c>
      <c r="U15" t="s">
        <v>11</v>
      </c>
      <c r="V15" t="s">
        <v>2606</v>
      </c>
      <c r="W15" t="s">
        <v>851</v>
      </c>
      <c r="X15">
        <v>0</v>
      </c>
      <c r="Y15" t="s">
        <v>14</v>
      </c>
      <c r="Z15" t="s">
        <v>15</v>
      </c>
      <c r="AA15" t="s">
        <v>2608</v>
      </c>
      <c r="AB15" t="s">
        <v>2587</v>
      </c>
      <c r="AC15">
        <v>0</v>
      </c>
      <c r="AD15" t="s">
        <v>18</v>
      </c>
    </row>
    <row r="16" spans="1:30" x14ac:dyDescent="0.3">
      <c r="A16" t="s">
        <v>2538</v>
      </c>
      <c r="B16" t="s">
        <v>1</v>
      </c>
      <c r="C16">
        <v>-0.4</v>
      </c>
      <c r="D16" t="s">
        <v>27</v>
      </c>
      <c r="E16" t="s">
        <v>2555</v>
      </c>
      <c r="F16" t="str">
        <f t="shared" si="0"/>
        <v xml:space="preserve">alltime_{'P' [('delta'-0.4 1)]}_[21 49]_4 </v>
      </c>
      <c r="G16" t="s">
        <v>2540</v>
      </c>
      <c r="H16">
        <v>3050</v>
      </c>
      <c r="I16" t="s">
        <v>5</v>
      </c>
      <c r="J16">
        <v>492</v>
      </c>
      <c r="K16" t="s">
        <v>6</v>
      </c>
      <c r="L16">
        <v>-1082.6199999999899</v>
      </c>
      <c r="M16" t="s">
        <v>7</v>
      </c>
      <c r="N16">
        <v>-0.35495737704917901</v>
      </c>
      <c r="O16" t="s">
        <v>8</v>
      </c>
      <c r="P16">
        <v>11.4238414634146</v>
      </c>
      <c r="Q16" t="s">
        <v>9</v>
      </c>
      <c r="R16">
        <v>-2.6204652071931198</v>
      </c>
      <c r="S16" t="s">
        <v>10</v>
      </c>
      <c r="T16">
        <v>16.435857842979601</v>
      </c>
      <c r="U16" t="s">
        <v>11</v>
      </c>
      <c r="V16" t="s">
        <v>2546</v>
      </c>
      <c r="W16" t="s">
        <v>851</v>
      </c>
      <c r="X16">
        <v>0</v>
      </c>
      <c r="Y16" t="s">
        <v>14</v>
      </c>
      <c r="Z16" t="s">
        <v>15</v>
      </c>
      <c r="AA16" t="s">
        <v>2556</v>
      </c>
      <c r="AB16" t="s">
        <v>2557</v>
      </c>
      <c r="AC16">
        <v>0</v>
      </c>
      <c r="AD16" t="s">
        <v>18</v>
      </c>
    </row>
    <row r="17" spans="1:30" x14ac:dyDescent="0.3">
      <c r="A17" t="s">
        <v>2538</v>
      </c>
      <c r="B17" t="s">
        <v>1</v>
      </c>
      <c r="C17">
        <v>-0.2</v>
      </c>
      <c r="D17" t="s">
        <v>2174</v>
      </c>
      <c r="E17" t="s">
        <v>2565</v>
      </c>
      <c r="F17" t="str">
        <f t="shared" si="0"/>
        <v xml:space="preserve">alltime_{'P' [('delta'-0.2 1)]}_[42 70]_4 </v>
      </c>
      <c r="G17" t="s">
        <v>2540</v>
      </c>
      <c r="H17">
        <v>3062</v>
      </c>
      <c r="I17" t="s">
        <v>5</v>
      </c>
      <c r="J17">
        <v>305</v>
      </c>
      <c r="K17" t="s">
        <v>6</v>
      </c>
      <c r="L17">
        <v>-1053.2242966476899</v>
      </c>
      <c r="M17" t="s">
        <v>7</v>
      </c>
      <c r="N17">
        <v>-0.34396613215143301</v>
      </c>
      <c r="O17" t="s">
        <v>8</v>
      </c>
      <c r="P17">
        <v>9.8208144455783</v>
      </c>
      <c r="Q17" t="s">
        <v>9</v>
      </c>
      <c r="R17">
        <v>-1.4684703309934899</v>
      </c>
      <c r="S17" t="s">
        <v>10</v>
      </c>
      <c r="T17">
        <v>9.2168802583612894</v>
      </c>
      <c r="U17" t="s">
        <v>11</v>
      </c>
      <c r="V17" t="s">
        <v>2606</v>
      </c>
      <c r="W17" t="s">
        <v>851</v>
      </c>
      <c r="X17">
        <v>0</v>
      </c>
      <c r="Y17" t="s">
        <v>14</v>
      </c>
      <c r="Z17" t="s">
        <v>15</v>
      </c>
      <c r="AA17" t="s">
        <v>2607</v>
      </c>
      <c r="AB17" t="s">
        <v>2568</v>
      </c>
      <c r="AC17">
        <v>0</v>
      </c>
      <c r="AD17" t="s">
        <v>18</v>
      </c>
    </row>
    <row r="18" spans="1:30" x14ac:dyDescent="0.3">
      <c r="A18" t="s">
        <v>2538</v>
      </c>
      <c r="B18" t="s">
        <v>1</v>
      </c>
      <c r="C18">
        <v>-0.3</v>
      </c>
      <c r="D18" t="s">
        <v>27</v>
      </c>
      <c r="E18" t="s">
        <v>2552</v>
      </c>
      <c r="F18" t="str">
        <f t="shared" si="0"/>
        <v xml:space="preserve">alltime_{'P' [('delta'-0.3 1)]}_[21 49]_2 </v>
      </c>
      <c r="G18" t="s">
        <v>2540</v>
      </c>
      <c r="H18">
        <v>3050</v>
      </c>
      <c r="I18" t="s">
        <v>5</v>
      </c>
      <c r="J18">
        <v>524</v>
      </c>
      <c r="K18" t="s">
        <v>6</v>
      </c>
      <c r="L18">
        <v>-997.93665349610205</v>
      </c>
      <c r="M18" t="s">
        <v>7</v>
      </c>
      <c r="N18">
        <v>-0.32719234540855802</v>
      </c>
      <c r="O18" t="s">
        <v>8</v>
      </c>
      <c r="P18">
        <v>6.9988740458015197</v>
      </c>
      <c r="Q18" t="s">
        <v>9</v>
      </c>
      <c r="R18">
        <v>-1.84693058333178</v>
      </c>
      <c r="S18" t="s">
        <v>10</v>
      </c>
      <c r="T18">
        <v>9.8196569351383491</v>
      </c>
      <c r="U18" t="s">
        <v>11</v>
      </c>
      <c r="V18" t="s">
        <v>2572</v>
      </c>
      <c r="W18" t="s">
        <v>647</v>
      </c>
      <c r="X18">
        <v>0</v>
      </c>
      <c r="Y18" t="s">
        <v>14</v>
      </c>
      <c r="Z18" t="s">
        <v>15</v>
      </c>
      <c r="AA18" t="s">
        <v>2579</v>
      </c>
      <c r="AB18" t="s">
        <v>2554</v>
      </c>
      <c r="AC18">
        <v>0</v>
      </c>
      <c r="AD18" t="s">
        <v>18</v>
      </c>
    </row>
    <row r="19" spans="1:30" x14ac:dyDescent="0.3">
      <c r="A19" t="s">
        <v>2538</v>
      </c>
      <c r="B19" t="s">
        <v>1</v>
      </c>
      <c r="C19">
        <v>-0.3</v>
      </c>
      <c r="D19" t="s">
        <v>27</v>
      </c>
      <c r="E19" t="s">
        <v>2558</v>
      </c>
      <c r="F19" t="str">
        <f t="shared" si="0"/>
        <v xml:space="preserve">alltime_{'P' [('delta'-0.3 1)]}_[21 49]_6 </v>
      </c>
      <c r="G19" t="s">
        <v>2540</v>
      </c>
      <c r="H19">
        <v>3050</v>
      </c>
      <c r="I19" t="s">
        <v>5</v>
      </c>
      <c r="J19">
        <v>360</v>
      </c>
      <c r="K19" t="s">
        <v>6</v>
      </c>
      <c r="L19">
        <v>-968.55665349609706</v>
      </c>
      <c r="M19" t="s">
        <v>7</v>
      </c>
      <c r="N19">
        <v>-0.31755955852331003</v>
      </c>
      <c r="O19" t="s">
        <v>8</v>
      </c>
      <c r="P19">
        <v>11.1651666666666</v>
      </c>
      <c r="Q19" t="s">
        <v>9</v>
      </c>
      <c r="R19">
        <v>-1.85428128382754</v>
      </c>
      <c r="S19" t="s">
        <v>10</v>
      </c>
      <c r="T19">
        <v>13.6617742080378</v>
      </c>
      <c r="U19" t="s">
        <v>11</v>
      </c>
      <c r="V19" t="s">
        <v>2576</v>
      </c>
      <c r="W19" t="s">
        <v>851</v>
      </c>
      <c r="X19">
        <v>0</v>
      </c>
      <c r="Y19" t="s">
        <v>14</v>
      </c>
      <c r="Z19" t="s">
        <v>15</v>
      </c>
      <c r="AA19" t="s">
        <v>2581</v>
      </c>
      <c r="AB19" t="s">
        <v>2582</v>
      </c>
      <c r="AC19">
        <v>0</v>
      </c>
      <c r="AD19" t="s">
        <v>18</v>
      </c>
    </row>
    <row r="20" spans="1:30" x14ac:dyDescent="0.3">
      <c r="A20" t="s">
        <v>2538</v>
      </c>
      <c r="B20" t="s">
        <v>1</v>
      </c>
      <c r="C20">
        <v>-0.3</v>
      </c>
      <c r="D20" t="s">
        <v>2</v>
      </c>
      <c r="E20" t="s">
        <v>2545</v>
      </c>
      <c r="F20" t="str">
        <f t="shared" si="0"/>
        <v xml:space="preserve">alltime_{'P' [('delta'-0.3 1)]}_[7 35]_4 </v>
      </c>
      <c r="G20" t="s">
        <v>2540</v>
      </c>
      <c r="H20">
        <v>3073</v>
      </c>
      <c r="I20" t="s">
        <v>5</v>
      </c>
      <c r="J20">
        <v>446</v>
      </c>
      <c r="K20" t="s">
        <v>6</v>
      </c>
      <c r="L20">
        <v>-926.01484197696595</v>
      </c>
      <c r="M20" t="s">
        <v>7</v>
      </c>
      <c r="N20">
        <v>-0.30133903090691999</v>
      </c>
      <c r="O20" t="s">
        <v>8</v>
      </c>
      <c r="P20">
        <v>6.6299551569506701</v>
      </c>
      <c r="Q20" t="s">
        <v>9</v>
      </c>
      <c r="R20">
        <v>-1.4781023380194001</v>
      </c>
      <c r="S20" t="s">
        <v>10</v>
      </c>
      <c r="T20">
        <v>9.7421164464740304</v>
      </c>
      <c r="U20" t="s">
        <v>11</v>
      </c>
      <c r="V20" t="s">
        <v>2574</v>
      </c>
      <c r="W20" t="s">
        <v>851</v>
      </c>
      <c r="X20">
        <v>0</v>
      </c>
      <c r="Y20" t="s">
        <v>14</v>
      </c>
      <c r="Z20" t="s">
        <v>15</v>
      </c>
      <c r="AA20" t="s">
        <v>2575</v>
      </c>
      <c r="AB20" t="s">
        <v>2249</v>
      </c>
      <c r="AC20">
        <v>0</v>
      </c>
      <c r="AD20" t="s">
        <v>18</v>
      </c>
    </row>
    <row r="21" spans="1:30" x14ac:dyDescent="0.3">
      <c r="A21" t="s">
        <v>2538</v>
      </c>
      <c r="B21" t="s">
        <v>1</v>
      </c>
      <c r="C21">
        <v>-0.3</v>
      </c>
      <c r="D21" t="s">
        <v>27</v>
      </c>
      <c r="E21" t="s">
        <v>2555</v>
      </c>
      <c r="F21" t="str">
        <f t="shared" si="0"/>
        <v xml:space="preserve">alltime_{'P' [('delta'-0.3 1)]}_[21 49]_4 </v>
      </c>
      <c r="G21" t="s">
        <v>2540</v>
      </c>
      <c r="H21">
        <v>3050</v>
      </c>
      <c r="I21" t="s">
        <v>5</v>
      </c>
      <c r="J21">
        <v>389</v>
      </c>
      <c r="K21" t="s">
        <v>6</v>
      </c>
      <c r="L21">
        <v>-913.716653496101</v>
      </c>
      <c r="M21" t="s">
        <v>7</v>
      </c>
      <c r="N21">
        <v>-0.29957923065445902</v>
      </c>
      <c r="O21" t="s">
        <v>8</v>
      </c>
      <c r="P21">
        <v>10.328406169665801</v>
      </c>
      <c r="Q21" t="s">
        <v>9</v>
      </c>
      <c r="R21">
        <v>-1.8532381260789501</v>
      </c>
      <c r="S21" t="s">
        <v>10</v>
      </c>
      <c r="T21">
        <v>12.158154204317199</v>
      </c>
      <c r="U21" t="s">
        <v>11</v>
      </c>
      <c r="V21" t="s">
        <v>2574</v>
      </c>
      <c r="W21" t="s">
        <v>851</v>
      </c>
      <c r="X21">
        <v>0</v>
      </c>
      <c r="Y21" t="s">
        <v>14</v>
      </c>
      <c r="Z21" t="s">
        <v>15</v>
      </c>
      <c r="AA21" t="s">
        <v>2580</v>
      </c>
      <c r="AB21" t="s">
        <v>2557</v>
      </c>
      <c r="AC21">
        <v>0</v>
      </c>
      <c r="AD21" t="s">
        <v>18</v>
      </c>
    </row>
    <row r="22" spans="1:30" x14ac:dyDescent="0.3">
      <c r="A22" t="s">
        <v>2538</v>
      </c>
      <c r="B22" t="s">
        <v>1</v>
      </c>
      <c r="C22">
        <v>-0.3</v>
      </c>
      <c r="D22" t="s">
        <v>2174</v>
      </c>
      <c r="E22" t="s">
        <v>2559</v>
      </c>
      <c r="F22" t="str">
        <f t="shared" si="0"/>
        <v xml:space="preserve">alltime_{'P' [('delta'-0.3 1)]}_[42 70]_1 </v>
      </c>
      <c r="G22" t="s">
        <v>2540</v>
      </c>
      <c r="H22">
        <v>3062</v>
      </c>
      <c r="I22" t="s">
        <v>5</v>
      </c>
      <c r="J22">
        <v>857</v>
      </c>
      <c r="K22" t="s">
        <v>6</v>
      </c>
      <c r="L22">
        <v>-911.467465836271</v>
      </c>
      <c r="M22" t="s">
        <v>7</v>
      </c>
      <c r="N22">
        <v>-0.29767062894718199</v>
      </c>
      <c r="O22" t="s">
        <v>8</v>
      </c>
      <c r="P22">
        <v>4.92004010348042</v>
      </c>
      <c r="Q22" t="s">
        <v>9</v>
      </c>
      <c r="R22">
        <v>-2.3255972038634898</v>
      </c>
      <c r="S22" t="s">
        <v>10</v>
      </c>
      <c r="T22">
        <v>8.7281548594317808</v>
      </c>
      <c r="U22" t="s">
        <v>11</v>
      </c>
      <c r="V22" t="s">
        <v>2583</v>
      </c>
      <c r="W22" t="s">
        <v>851</v>
      </c>
      <c r="X22">
        <v>0</v>
      </c>
      <c r="Y22" t="s">
        <v>14</v>
      </c>
      <c r="Z22" t="s">
        <v>15</v>
      </c>
      <c r="AA22" t="s">
        <v>2584</v>
      </c>
      <c r="AB22" t="s">
        <v>691</v>
      </c>
      <c r="AC22">
        <v>0</v>
      </c>
      <c r="AD22" t="s">
        <v>18</v>
      </c>
    </row>
    <row r="23" spans="1:30" x14ac:dyDescent="0.3">
      <c r="A23" t="s">
        <v>2538</v>
      </c>
      <c r="B23" t="s">
        <v>1</v>
      </c>
      <c r="C23">
        <v>-0.4</v>
      </c>
      <c r="D23" t="s">
        <v>2</v>
      </c>
      <c r="E23" t="s">
        <v>2543</v>
      </c>
      <c r="F23" t="str">
        <f t="shared" si="0"/>
        <v xml:space="preserve">alltime_{'P' [('delta'-0.4 1)]}_[7 35]_2 </v>
      </c>
      <c r="G23" t="s">
        <v>2540</v>
      </c>
      <c r="H23">
        <v>3073</v>
      </c>
      <c r="I23" t="s">
        <v>5</v>
      </c>
      <c r="J23">
        <v>672</v>
      </c>
      <c r="K23" t="s">
        <v>6</v>
      </c>
      <c r="L23">
        <v>-877.04</v>
      </c>
      <c r="M23" t="s">
        <v>7</v>
      </c>
      <c r="N23">
        <v>-0.28540188740644301</v>
      </c>
      <c r="O23" t="s">
        <v>8</v>
      </c>
      <c r="P23">
        <v>6.2073511904761798</v>
      </c>
      <c r="Q23" t="s">
        <v>9</v>
      </c>
      <c r="R23">
        <v>-2.10261557684297</v>
      </c>
      <c r="S23" t="s">
        <v>10</v>
      </c>
      <c r="T23">
        <v>11.1005775782877</v>
      </c>
      <c r="U23" t="s">
        <v>11</v>
      </c>
      <c r="V23" t="s">
        <v>1992</v>
      </c>
      <c r="W23" t="s">
        <v>647</v>
      </c>
      <c r="X23">
        <v>0</v>
      </c>
      <c r="Y23" t="s">
        <v>14</v>
      </c>
      <c r="Z23" t="s">
        <v>15</v>
      </c>
      <c r="AA23" t="s">
        <v>2544</v>
      </c>
      <c r="AB23" t="s">
        <v>2542</v>
      </c>
      <c r="AC23">
        <v>0</v>
      </c>
      <c r="AD23" t="s">
        <v>18</v>
      </c>
    </row>
    <row r="24" spans="1:30" x14ac:dyDescent="0.3">
      <c r="A24" t="s">
        <v>2538</v>
      </c>
      <c r="B24" t="s">
        <v>1</v>
      </c>
      <c r="C24">
        <v>-0.2</v>
      </c>
      <c r="D24" t="s">
        <v>2</v>
      </c>
      <c r="E24" t="s">
        <v>2547</v>
      </c>
      <c r="F24" t="str">
        <f t="shared" si="0"/>
        <v xml:space="preserve">alltime_{'P' [('delta'-0.2 1)]}_[7 35]_6 </v>
      </c>
      <c r="G24" t="s">
        <v>2540</v>
      </c>
      <c r="H24">
        <v>3073</v>
      </c>
      <c r="I24" t="s">
        <v>5</v>
      </c>
      <c r="J24">
        <v>292</v>
      </c>
      <c r="K24" t="s">
        <v>6</v>
      </c>
      <c r="L24">
        <v>-711.19669492214302</v>
      </c>
      <c r="M24" t="s">
        <v>7</v>
      </c>
      <c r="N24">
        <v>-0.231434004205057</v>
      </c>
      <c r="O24" t="s">
        <v>8</v>
      </c>
      <c r="P24">
        <v>6.36777657732513</v>
      </c>
      <c r="Q24" t="s">
        <v>9</v>
      </c>
      <c r="R24">
        <v>-0.92433925044986798</v>
      </c>
      <c r="S24" t="s">
        <v>10</v>
      </c>
      <c r="T24">
        <v>7.1448505992218196</v>
      </c>
      <c r="U24" t="s">
        <v>11</v>
      </c>
      <c r="V24" t="s">
        <v>2083</v>
      </c>
      <c r="W24" t="s">
        <v>647</v>
      </c>
      <c r="X24">
        <v>0</v>
      </c>
      <c r="Y24" t="s">
        <v>14</v>
      </c>
      <c r="Z24" t="s">
        <v>15</v>
      </c>
      <c r="AA24" t="s">
        <v>2596</v>
      </c>
      <c r="AB24" t="s">
        <v>851</v>
      </c>
      <c r="AC24">
        <v>0</v>
      </c>
      <c r="AD24" t="s">
        <v>18</v>
      </c>
    </row>
    <row r="25" spans="1:30" x14ac:dyDescent="0.3">
      <c r="A25" t="s">
        <v>2538</v>
      </c>
      <c r="B25" t="s">
        <v>1</v>
      </c>
      <c r="C25">
        <v>-0.1</v>
      </c>
      <c r="D25" t="s">
        <v>2174</v>
      </c>
      <c r="E25" t="s">
        <v>2562</v>
      </c>
      <c r="F25" t="str">
        <f t="shared" si="0"/>
        <v xml:space="preserve">alltime_{'P' [('delta'-0.1 1)]}_[42 70]_2 </v>
      </c>
      <c r="G25" t="s">
        <v>2540</v>
      </c>
      <c r="H25">
        <v>3062</v>
      </c>
      <c r="I25" t="s">
        <v>5</v>
      </c>
      <c r="J25">
        <v>449</v>
      </c>
      <c r="K25" t="s">
        <v>6</v>
      </c>
      <c r="L25">
        <v>-694.26466854791897</v>
      </c>
      <c r="M25" t="s">
        <v>7</v>
      </c>
      <c r="N25">
        <v>-0.22673568535203101</v>
      </c>
      <c r="O25" t="s">
        <v>8</v>
      </c>
      <c r="P25">
        <v>2.82435351786035</v>
      </c>
      <c r="Q25" t="s">
        <v>9</v>
      </c>
      <c r="R25">
        <v>-0.75101392960857805</v>
      </c>
      <c r="S25" t="s">
        <v>10</v>
      </c>
      <c r="T25">
        <v>3.8404170535442401</v>
      </c>
      <c r="U25" t="s">
        <v>11</v>
      </c>
      <c r="V25" t="s">
        <v>2601</v>
      </c>
      <c r="W25" t="s">
        <v>2602</v>
      </c>
      <c r="X25">
        <v>0</v>
      </c>
      <c r="Y25" t="s">
        <v>14</v>
      </c>
      <c r="Z25" t="s">
        <v>15</v>
      </c>
      <c r="AA25" t="s">
        <v>2622</v>
      </c>
      <c r="AB25" t="s">
        <v>2557</v>
      </c>
      <c r="AC25">
        <v>0</v>
      </c>
      <c r="AD25" t="s">
        <v>18</v>
      </c>
    </row>
    <row r="26" spans="1:30" x14ac:dyDescent="0.3">
      <c r="A26" t="s">
        <v>2538</v>
      </c>
      <c r="B26" t="s">
        <v>1</v>
      </c>
      <c r="C26">
        <v>-0.2</v>
      </c>
      <c r="D26" t="s">
        <v>27</v>
      </c>
      <c r="E26" t="s">
        <v>2552</v>
      </c>
      <c r="F26" t="str">
        <f t="shared" si="0"/>
        <v xml:space="preserve">alltime_{'P' [('delta'-0.2 1)]}_[21 49]_2 </v>
      </c>
      <c r="G26" t="s">
        <v>2540</v>
      </c>
      <c r="H26">
        <v>3050</v>
      </c>
      <c r="I26" t="s">
        <v>5</v>
      </c>
      <c r="J26">
        <v>472</v>
      </c>
      <c r="K26" t="s">
        <v>6</v>
      </c>
      <c r="L26">
        <v>-680.25319793742096</v>
      </c>
      <c r="M26" t="s">
        <v>7</v>
      </c>
      <c r="N26">
        <v>-0.22303383538931801</v>
      </c>
      <c r="O26" t="s">
        <v>8</v>
      </c>
      <c r="P26">
        <v>4.8705693225243998</v>
      </c>
      <c r="Q26" t="s">
        <v>9</v>
      </c>
      <c r="R26">
        <v>-1.15560974327732</v>
      </c>
      <c r="S26" t="s">
        <v>10</v>
      </c>
      <c r="T26">
        <v>6.1669230548031697</v>
      </c>
      <c r="U26" t="s">
        <v>11</v>
      </c>
      <c r="V26" t="s">
        <v>2592</v>
      </c>
      <c r="W26" t="s">
        <v>647</v>
      </c>
      <c r="X26">
        <v>0</v>
      </c>
      <c r="Y26" t="s">
        <v>14</v>
      </c>
      <c r="Z26" t="s">
        <v>15</v>
      </c>
      <c r="AA26" t="s">
        <v>2598</v>
      </c>
      <c r="AB26" t="s">
        <v>2554</v>
      </c>
      <c r="AC26">
        <v>0</v>
      </c>
      <c r="AD26" t="s">
        <v>18</v>
      </c>
    </row>
    <row r="27" spans="1:30" x14ac:dyDescent="0.3">
      <c r="A27" t="s">
        <v>2538</v>
      </c>
      <c r="B27" t="s">
        <v>1</v>
      </c>
      <c r="C27">
        <v>-0.3</v>
      </c>
      <c r="D27" t="s">
        <v>2</v>
      </c>
      <c r="E27" t="s">
        <v>2543</v>
      </c>
      <c r="F27" t="str">
        <f t="shared" si="0"/>
        <v xml:space="preserve">alltime_{'P' [('delta'-0.3 1)]}_[7 35]_2 </v>
      </c>
      <c r="G27" t="s">
        <v>2540</v>
      </c>
      <c r="H27">
        <v>3073</v>
      </c>
      <c r="I27" t="s">
        <v>5</v>
      </c>
      <c r="J27">
        <v>579</v>
      </c>
      <c r="K27" t="s">
        <v>6</v>
      </c>
      <c r="L27">
        <v>-658.58484197696703</v>
      </c>
      <c r="M27" t="s">
        <v>7</v>
      </c>
      <c r="N27">
        <v>-0.21431332312950399</v>
      </c>
      <c r="O27" t="s">
        <v>8</v>
      </c>
      <c r="P27">
        <v>5.2079447322970598</v>
      </c>
      <c r="Q27" t="s">
        <v>9</v>
      </c>
      <c r="R27">
        <v>-1.4731294474647001</v>
      </c>
      <c r="S27" t="s">
        <v>10</v>
      </c>
      <c r="T27">
        <v>7.7069246871162003</v>
      </c>
      <c r="U27" t="s">
        <v>11</v>
      </c>
      <c r="V27" t="s">
        <v>2572</v>
      </c>
      <c r="W27" t="s">
        <v>647</v>
      </c>
      <c r="X27">
        <v>0</v>
      </c>
      <c r="Y27" t="s">
        <v>14</v>
      </c>
      <c r="Z27" t="s">
        <v>15</v>
      </c>
      <c r="AA27" t="s">
        <v>2573</v>
      </c>
      <c r="AB27" t="s">
        <v>2542</v>
      </c>
      <c r="AC27">
        <v>0</v>
      </c>
      <c r="AD27" t="s">
        <v>18</v>
      </c>
    </row>
    <row r="28" spans="1:30" x14ac:dyDescent="0.3">
      <c r="A28" t="s">
        <v>2538</v>
      </c>
      <c r="B28" t="s">
        <v>1</v>
      </c>
      <c r="C28">
        <v>-0.2</v>
      </c>
      <c r="D28" t="s">
        <v>27</v>
      </c>
      <c r="E28" t="s">
        <v>2555</v>
      </c>
      <c r="F28" t="str">
        <f t="shared" si="0"/>
        <v xml:space="preserve">alltime_{'P' [('delta'-0.2 1)]}_[21 49]_4 </v>
      </c>
      <c r="G28" t="s">
        <v>2540</v>
      </c>
      <c r="H28">
        <v>3050</v>
      </c>
      <c r="I28" t="s">
        <v>5</v>
      </c>
      <c r="J28">
        <v>297</v>
      </c>
      <c r="K28" t="s">
        <v>6</v>
      </c>
      <c r="L28">
        <v>-636.99283971327702</v>
      </c>
      <c r="M28" t="s">
        <v>7</v>
      </c>
      <c r="N28">
        <v>-0.208850111381402</v>
      </c>
      <c r="O28" t="s">
        <v>8</v>
      </c>
      <c r="P28">
        <v>8.5880100612990997</v>
      </c>
      <c r="Q28" t="s">
        <v>9</v>
      </c>
      <c r="R28">
        <v>-1.1578757093785299</v>
      </c>
      <c r="S28" t="s">
        <v>10</v>
      </c>
      <c r="T28">
        <v>7.9859160236036297</v>
      </c>
      <c r="U28" t="s">
        <v>11</v>
      </c>
      <c r="V28" t="s">
        <v>2594</v>
      </c>
      <c r="W28" t="s">
        <v>647</v>
      </c>
      <c r="X28">
        <v>0</v>
      </c>
      <c r="Y28" t="s">
        <v>14</v>
      </c>
      <c r="Z28" t="s">
        <v>15</v>
      </c>
      <c r="AA28" t="s">
        <v>2599</v>
      </c>
      <c r="AB28" t="s">
        <v>2582</v>
      </c>
      <c r="AC28">
        <v>0</v>
      </c>
      <c r="AD28" t="s">
        <v>18</v>
      </c>
    </row>
    <row r="29" spans="1:30" x14ac:dyDescent="0.3">
      <c r="A29" t="s">
        <v>2538</v>
      </c>
      <c r="B29" t="s">
        <v>1</v>
      </c>
      <c r="C29">
        <v>-0.2</v>
      </c>
      <c r="D29" t="s">
        <v>2</v>
      </c>
      <c r="E29" t="s">
        <v>2545</v>
      </c>
      <c r="F29" t="str">
        <f t="shared" si="0"/>
        <v xml:space="preserve">alltime_{'P' [('delta'-0.2 1)]}_[7 35]_4 </v>
      </c>
      <c r="G29" t="s">
        <v>2540</v>
      </c>
      <c r="H29">
        <v>3073</v>
      </c>
      <c r="I29" t="s">
        <v>5</v>
      </c>
      <c r="J29">
        <v>341</v>
      </c>
      <c r="K29" t="s">
        <v>6</v>
      </c>
      <c r="L29">
        <v>-617.21669492214301</v>
      </c>
      <c r="M29" t="s">
        <v>7</v>
      </c>
      <c r="N29">
        <v>-0.20085151152689301</v>
      </c>
      <c r="O29" t="s">
        <v>8</v>
      </c>
      <c r="P29">
        <v>5.5873042832226902</v>
      </c>
      <c r="Q29" t="s">
        <v>9</v>
      </c>
      <c r="R29">
        <v>-0.92331166013948895</v>
      </c>
      <c r="S29" t="s">
        <v>10</v>
      </c>
      <c r="T29">
        <v>6.1855037313622798</v>
      </c>
      <c r="U29" t="s">
        <v>11</v>
      </c>
      <c r="V29" t="s">
        <v>2594</v>
      </c>
      <c r="W29" t="s">
        <v>647</v>
      </c>
      <c r="X29">
        <v>0</v>
      </c>
      <c r="Y29" t="s">
        <v>14</v>
      </c>
      <c r="Z29" t="s">
        <v>15</v>
      </c>
      <c r="AA29" t="s">
        <v>2595</v>
      </c>
      <c r="AB29" t="s">
        <v>2582</v>
      </c>
      <c r="AC29">
        <v>0</v>
      </c>
      <c r="AD29" t="s">
        <v>18</v>
      </c>
    </row>
    <row r="30" spans="1:30" x14ac:dyDescent="0.3">
      <c r="A30" t="s">
        <v>2538</v>
      </c>
      <c r="B30" t="s">
        <v>1</v>
      </c>
      <c r="C30">
        <v>-0.2</v>
      </c>
      <c r="D30" t="s">
        <v>2174</v>
      </c>
      <c r="E30" t="s">
        <v>2559</v>
      </c>
      <c r="F30" t="str">
        <f t="shared" si="0"/>
        <v xml:space="preserve">alltime_{'P' [('delta'-0.2 1)]}_[42 70]_1 </v>
      </c>
      <c r="G30" t="s">
        <v>2540</v>
      </c>
      <c r="H30">
        <v>3062</v>
      </c>
      <c r="I30" t="s">
        <v>5</v>
      </c>
      <c r="J30">
        <v>831</v>
      </c>
      <c r="K30" t="s">
        <v>6</v>
      </c>
      <c r="L30">
        <v>-552.85115650139801</v>
      </c>
      <c r="M30" t="s">
        <v>7</v>
      </c>
      <c r="N30">
        <v>-0.18055230453997301</v>
      </c>
      <c r="O30" t="s">
        <v>8</v>
      </c>
      <c r="P30">
        <v>3.2756230604814802</v>
      </c>
      <c r="Q30" t="s">
        <v>9</v>
      </c>
      <c r="R30">
        <v>-1.46790404292313</v>
      </c>
      <c r="S30" t="s">
        <v>10</v>
      </c>
      <c r="T30">
        <v>5.5600756058251797</v>
      </c>
      <c r="U30" t="s">
        <v>11</v>
      </c>
      <c r="V30" t="s">
        <v>2601</v>
      </c>
      <c r="W30" t="s">
        <v>2602</v>
      </c>
      <c r="X30">
        <v>0</v>
      </c>
      <c r="Y30" t="s">
        <v>14</v>
      </c>
      <c r="Z30" t="s">
        <v>15</v>
      </c>
      <c r="AA30" t="s">
        <v>2603</v>
      </c>
      <c r="AB30" t="s">
        <v>691</v>
      </c>
      <c r="AC30">
        <v>0</v>
      </c>
      <c r="AD30" t="s">
        <v>18</v>
      </c>
    </row>
    <row r="31" spans="1:30" x14ac:dyDescent="0.3">
      <c r="A31" t="s">
        <v>2538</v>
      </c>
      <c r="B31" t="s">
        <v>1</v>
      </c>
      <c r="C31">
        <v>-0.1</v>
      </c>
      <c r="D31" t="s">
        <v>2174</v>
      </c>
      <c r="E31" t="s">
        <v>2565</v>
      </c>
      <c r="F31" t="str">
        <f t="shared" si="0"/>
        <v xml:space="preserve">alltime_{'P' [('delta'-0.1 1)]}_[42 70]_4 </v>
      </c>
      <c r="G31" t="s">
        <v>2540</v>
      </c>
      <c r="H31">
        <v>3062</v>
      </c>
      <c r="I31" t="s">
        <v>5</v>
      </c>
      <c r="J31">
        <v>287</v>
      </c>
      <c r="K31" t="s">
        <v>6</v>
      </c>
      <c r="L31">
        <v>-550.95873142555399</v>
      </c>
      <c r="M31" t="s">
        <v>7</v>
      </c>
      <c r="N31">
        <v>-0.17993426891755501</v>
      </c>
      <c r="O31" t="s">
        <v>8</v>
      </c>
      <c r="P31">
        <v>5.2775331641830201</v>
      </c>
      <c r="Q31" t="s">
        <v>9</v>
      </c>
      <c r="R31">
        <v>-0.74436423407066099</v>
      </c>
      <c r="S31" t="s">
        <v>10</v>
      </c>
      <c r="T31">
        <v>4.7005502587408898</v>
      </c>
      <c r="U31" t="s">
        <v>11</v>
      </c>
      <c r="V31" t="s">
        <v>2601</v>
      </c>
      <c r="W31" t="s">
        <v>2602</v>
      </c>
      <c r="X31">
        <v>0</v>
      </c>
      <c r="Y31" t="s">
        <v>14</v>
      </c>
      <c r="Z31" t="s">
        <v>15</v>
      </c>
      <c r="AA31" t="s">
        <v>2622</v>
      </c>
      <c r="AB31" t="s">
        <v>2557</v>
      </c>
      <c r="AC31">
        <v>0</v>
      </c>
      <c r="AD31" t="s">
        <v>18</v>
      </c>
    </row>
    <row r="32" spans="1:30" x14ac:dyDescent="0.3">
      <c r="A32" t="s">
        <v>2538</v>
      </c>
      <c r="B32" t="s">
        <v>1</v>
      </c>
      <c r="C32">
        <v>-0.1</v>
      </c>
      <c r="D32" t="s">
        <v>2174</v>
      </c>
      <c r="E32" t="s">
        <v>2569</v>
      </c>
      <c r="F32" t="str">
        <f t="shared" si="0"/>
        <v xml:space="preserve">alltime_{'P' [('delta'-0.1 1)]}_[42 70]_6 </v>
      </c>
      <c r="G32" t="s">
        <v>2540</v>
      </c>
      <c r="H32">
        <v>3062</v>
      </c>
      <c r="I32" t="s">
        <v>5</v>
      </c>
      <c r="J32">
        <v>216</v>
      </c>
      <c r="K32" t="s">
        <v>6</v>
      </c>
      <c r="L32">
        <v>-547.73430329237203</v>
      </c>
      <c r="M32" t="s">
        <v>7</v>
      </c>
      <c r="N32">
        <v>-0.17888122249914101</v>
      </c>
      <c r="O32" t="s">
        <v>8</v>
      </c>
      <c r="P32">
        <v>7.2591697020496104</v>
      </c>
      <c r="Q32" t="s">
        <v>9</v>
      </c>
      <c r="R32">
        <v>-0.743399493652526</v>
      </c>
      <c r="S32" t="s">
        <v>10</v>
      </c>
      <c r="T32">
        <v>5.3779540312663503</v>
      </c>
      <c r="U32" t="s">
        <v>11</v>
      </c>
      <c r="V32" t="s">
        <v>2601</v>
      </c>
      <c r="W32" t="s">
        <v>2602</v>
      </c>
      <c r="X32">
        <v>0</v>
      </c>
      <c r="Y32" t="s">
        <v>14</v>
      </c>
      <c r="Z32" t="s">
        <v>15</v>
      </c>
      <c r="AA32" t="s">
        <v>2622</v>
      </c>
      <c r="AB32" t="s">
        <v>2557</v>
      </c>
      <c r="AC32">
        <v>0</v>
      </c>
      <c r="AD32" t="s">
        <v>18</v>
      </c>
    </row>
    <row r="33" spans="1:30" x14ac:dyDescent="0.3">
      <c r="A33" t="s">
        <v>2538</v>
      </c>
      <c r="B33" t="s">
        <v>1</v>
      </c>
      <c r="C33">
        <v>-0.4</v>
      </c>
      <c r="D33" t="s">
        <v>27</v>
      </c>
      <c r="E33" t="s">
        <v>2550</v>
      </c>
      <c r="F33" t="str">
        <f t="shared" si="0"/>
        <v xml:space="preserve">alltime_{'P' [('delta'-0.4 1)]}_[21 49]_1 </v>
      </c>
      <c r="G33" t="s">
        <v>2540</v>
      </c>
      <c r="H33">
        <v>3050</v>
      </c>
      <c r="I33" t="s">
        <v>5</v>
      </c>
      <c r="J33">
        <v>904</v>
      </c>
      <c r="K33" t="s">
        <v>6</v>
      </c>
      <c r="L33">
        <v>-528.66999999999996</v>
      </c>
      <c r="M33" t="s">
        <v>7</v>
      </c>
      <c r="N33">
        <v>-0.17333442622950801</v>
      </c>
      <c r="O33" t="s">
        <v>8</v>
      </c>
      <c r="P33">
        <v>5.6089712389380502</v>
      </c>
      <c r="Q33" t="s">
        <v>9</v>
      </c>
      <c r="R33">
        <v>-2.60912395153774</v>
      </c>
      <c r="S33" t="s">
        <v>10</v>
      </c>
      <c r="T33">
        <v>9.8465034453380706</v>
      </c>
      <c r="U33" t="s">
        <v>11</v>
      </c>
      <c r="V33" t="s">
        <v>126</v>
      </c>
      <c r="W33" t="s">
        <v>851</v>
      </c>
      <c r="X33">
        <v>0</v>
      </c>
      <c r="Y33" t="s">
        <v>14</v>
      </c>
      <c r="Z33" t="s">
        <v>15</v>
      </c>
      <c r="AA33" t="s">
        <v>2551</v>
      </c>
      <c r="AB33" t="s">
        <v>2542</v>
      </c>
      <c r="AC33">
        <v>0</v>
      </c>
      <c r="AD33" t="s">
        <v>18</v>
      </c>
    </row>
    <row r="34" spans="1:30" x14ac:dyDescent="0.3">
      <c r="A34" t="s">
        <v>2538</v>
      </c>
      <c r="B34" t="s">
        <v>1</v>
      </c>
      <c r="C34">
        <v>-0.2</v>
      </c>
      <c r="D34" t="s">
        <v>2</v>
      </c>
      <c r="E34" t="s">
        <v>2543</v>
      </c>
      <c r="F34" t="str">
        <f t="shared" si="0"/>
        <v xml:space="preserve">alltime_{'P' [('delta'-0.2 1)]}_[7 35]_2 </v>
      </c>
      <c r="G34" t="s">
        <v>2540</v>
      </c>
      <c r="H34">
        <v>3073</v>
      </c>
      <c r="I34" t="s">
        <v>5</v>
      </c>
      <c r="J34">
        <v>497</v>
      </c>
      <c r="K34" t="s">
        <v>6</v>
      </c>
      <c r="L34">
        <v>-491.56705314628698</v>
      </c>
      <c r="M34" t="s">
        <v>7</v>
      </c>
      <c r="N34">
        <v>-0.15996324541044099</v>
      </c>
      <c r="O34" t="s">
        <v>8</v>
      </c>
      <c r="P34">
        <v>3.7435623593654399</v>
      </c>
      <c r="Q34" t="s">
        <v>9</v>
      </c>
      <c r="R34">
        <v>-0.91308910937535503</v>
      </c>
      <c r="S34" t="s">
        <v>10</v>
      </c>
      <c r="T34">
        <v>4.7649349061353696</v>
      </c>
      <c r="U34" t="s">
        <v>11</v>
      </c>
      <c r="V34" t="s">
        <v>2592</v>
      </c>
      <c r="W34" t="s">
        <v>647</v>
      </c>
      <c r="X34">
        <v>0</v>
      </c>
      <c r="Y34" t="s">
        <v>14</v>
      </c>
      <c r="Z34" t="s">
        <v>15</v>
      </c>
      <c r="AA34" t="s">
        <v>2593</v>
      </c>
      <c r="AB34" t="s">
        <v>2582</v>
      </c>
      <c r="AC34">
        <v>0</v>
      </c>
      <c r="AD34" t="s">
        <v>18</v>
      </c>
    </row>
    <row r="35" spans="1:30" x14ac:dyDescent="0.3">
      <c r="A35" t="s">
        <v>2538</v>
      </c>
      <c r="B35" t="s">
        <v>1</v>
      </c>
      <c r="C35">
        <v>-0.2</v>
      </c>
      <c r="D35" t="s">
        <v>27</v>
      </c>
      <c r="E35" t="s">
        <v>2558</v>
      </c>
      <c r="F35" t="str">
        <f t="shared" si="0"/>
        <v xml:space="preserve">alltime_{'P' [('delta'-0.2 1)]}_[21 49]_6 </v>
      </c>
      <c r="G35" t="s">
        <v>2540</v>
      </c>
      <c r="H35">
        <v>3050</v>
      </c>
      <c r="I35" t="s">
        <v>5</v>
      </c>
      <c r="J35">
        <v>250</v>
      </c>
      <c r="K35" t="s">
        <v>6</v>
      </c>
      <c r="L35">
        <v>-482.46283971327699</v>
      </c>
      <c r="M35" t="s">
        <v>7</v>
      </c>
      <c r="N35">
        <v>-0.15818453761091</v>
      </c>
      <c r="O35" t="s">
        <v>8</v>
      </c>
      <c r="P35">
        <v>11.0479959528233</v>
      </c>
      <c r="Q35" t="s">
        <v>9</v>
      </c>
      <c r="R35">
        <v>-1.1587363671139601</v>
      </c>
      <c r="S35" t="s">
        <v>10</v>
      </c>
      <c r="T35">
        <v>9.1736487622773293</v>
      </c>
      <c r="U35" t="s">
        <v>11</v>
      </c>
      <c r="V35" t="s">
        <v>2083</v>
      </c>
      <c r="W35" t="s">
        <v>647</v>
      </c>
      <c r="X35">
        <v>0</v>
      </c>
      <c r="Y35" t="s">
        <v>14</v>
      </c>
      <c r="Z35" t="s">
        <v>15</v>
      </c>
      <c r="AA35" t="s">
        <v>2600</v>
      </c>
      <c r="AB35" t="s">
        <v>2582</v>
      </c>
      <c r="AC35">
        <v>0</v>
      </c>
      <c r="AD35" t="s">
        <v>18</v>
      </c>
    </row>
    <row r="36" spans="1:30" x14ac:dyDescent="0.3">
      <c r="A36" t="s">
        <v>2538</v>
      </c>
      <c r="B36" t="s">
        <v>1</v>
      </c>
      <c r="C36">
        <v>-0.1</v>
      </c>
      <c r="D36" t="s">
        <v>2174</v>
      </c>
      <c r="E36" t="s">
        <v>2559</v>
      </c>
      <c r="F36" t="str">
        <f t="shared" si="0"/>
        <v xml:space="preserve">alltime_{'P' [('delta'-0.1 1)]}_[42 70]_1 </v>
      </c>
      <c r="G36" t="s">
        <v>2540</v>
      </c>
      <c r="H36">
        <v>3062</v>
      </c>
      <c r="I36" t="s">
        <v>5</v>
      </c>
      <c r="J36">
        <v>782</v>
      </c>
      <c r="K36" t="s">
        <v>6</v>
      </c>
      <c r="L36">
        <v>-441.39823317519603</v>
      </c>
      <c r="M36" t="s">
        <v>7</v>
      </c>
      <c r="N36">
        <v>-0.144153570599345</v>
      </c>
      <c r="O36" t="s">
        <v>8</v>
      </c>
      <c r="P36">
        <v>1.6276063453073899</v>
      </c>
      <c r="Q36" t="s">
        <v>9</v>
      </c>
      <c r="R36">
        <v>-0.75183613824806095</v>
      </c>
      <c r="S36" t="s">
        <v>10</v>
      </c>
      <c r="T36">
        <v>2.8247013080453498</v>
      </c>
      <c r="U36" t="s">
        <v>11</v>
      </c>
      <c r="V36" t="s">
        <v>2601</v>
      </c>
      <c r="W36" t="s">
        <v>2602</v>
      </c>
      <c r="X36">
        <v>0</v>
      </c>
      <c r="Y36" t="s">
        <v>14</v>
      </c>
      <c r="Z36" t="s">
        <v>15</v>
      </c>
      <c r="AA36" t="s">
        <v>2621</v>
      </c>
      <c r="AB36" t="s">
        <v>2554</v>
      </c>
      <c r="AC36">
        <v>0</v>
      </c>
      <c r="AD36" t="s">
        <v>18</v>
      </c>
    </row>
    <row r="37" spans="1:30" x14ac:dyDescent="0.3">
      <c r="A37" t="s">
        <v>2538</v>
      </c>
      <c r="B37" t="s">
        <v>1</v>
      </c>
      <c r="C37">
        <v>-0.4</v>
      </c>
      <c r="D37" t="s">
        <v>2</v>
      </c>
      <c r="E37" t="s">
        <v>2539</v>
      </c>
      <c r="F37" t="str">
        <f t="shared" si="0"/>
        <v xml:space="preserve">alltime_{'P' [('delta'-0.4 1)]}_[7 35]_1 </v>
      </c>
      <c r="G37" t="s">
        <v>2540</v>
      </c>
      <c r="H37">
        <v>3073</v>
      </c>
      <c r="I37" t="s">
        <v>5</v>
      </c>
      <c r="J37">
        <v>921</v>
      </c>
      <c r="K37" t="s">
        <v>6</v>
      </c>
      <c r="L37">
        <v>-404.76</v>
      </c>
      <c r="M37" t="s">
        <v>7</v>
      </c>
      <c r="N37">
        <v>-0.131714936544093</v>
      </c>
      <c r="O37" t="s">
        <v>8</v>
      </c>
      <c r="P37">
        <v>4.3976547231270304</v>
      </c>
      <c r="Q37" t="s">
        <v>9</v>
      </c>
      <c r="R37">
        <v>-2.0701672862453502</v>
      </c>
      <c r="S37" t="s">
        <v>10</v>
      </c>
      <c r="T37">
        <v>7.7703543761929703</v>
      </c>
      <c r="U37" t="s">
        <v>11</v>
      </c>
      <c r="V37" t="s">
        <v>126</v>
      </c>
      <c r="W37" t="s">
        <v>851</v>
      </c>
      <c r="X37">
        <v>0</v>
      </c>
      <c r="Y37" t="s">
        <v>14</v>
      </c>
      <c r="Z37" t="s">
        <v>15</v>
      </c>
      <c r="AA37" t="s">
        <v>2541</v>
      </c>
      <c r="AB37" t="s">
        <v>2542</v>
      </c>
      <c r="AC37">
        <v>0</v>
      </c>
      <c r="AD37" t="s">
        <v>18</v>
      </c>
    </row>
    <row r="38" spans="1:30" x14ac:dyDescent="0.3">
      <c r="A38" t="s">
        <v>2811</v>
      </c>
      <c r="B38" t="s">
        <v>1</v>
      </c>
      <c r="C38">
        <v>-0.4</v>
      </c>
      <c r="D38" t="s">
        <v>27</v>
      </c>
      <c r="E38" t="s">
        <v>2555</v>
      </c>
      <c r="F38" t="str">
        <f t="shared" si="0"/>
        <v xml:space="preserve">stoch_{'P' [('delta'-0.4 1)]}_[21 49]_4 </v>
      </c>
      <c r="G38" t="s">
        <v>2540</v>
      </c>
      <c r="H38">
        <v>376</v>
      </c>
      <c r="I38" t="s">
        <v>5</v>
      </c>
      <c r="J38">
        <v>50</v>
      </c>
      <c r="K38" t="s">
        <v>6</v>
      </c>
      <c r="L38">
        <v>-359.099999999999</v>
      </c>
      <c r="M38" t="s">
        <v>7</v>
      </c>
      <c r="N38">
        <v>-0.95505319148936096</v>
      </c>
      <c r="O38" t="s">
        <v>8</v>
      </c>
      <c r="P38">
        <v>9.8187999999999995</v>
      </c>
      <c r="Q38" t="s">
        <v>9</v>
      </c>
      <c r="R38">
        <v>-2.6074846625766801</v>
      </c>
      <c r="S38" t="s">
        <v>10</v>
      </c>
      <c r="T38">
        <v>2.9866414310830098</v>
      </c>
      <c r="U38" t="s">
        <v>11</v>
      </c>
      <c r="V38" t="s">
        <v>2633</v>
      </c>
      <c r="W38" t="s">
        <v>2071</v>
      </c>
      <c r="X38">
        <v>0</v>
      </c>
      <c r="Y38" t="s">
        <v>14</v>
      </c>
      <c r="Z38" t="s">
        <v>15</v>
      </c>
      <c r="AA38" t="s">
        <v>2817</v>
      </c>
      <c r="AB38" t="s">
        <v>2071</v>
      </c>
      <c r="AC38">
        <v>0</v>
      </c>
      <c r="AD38" t="s">
        <v>18</v>
      </c>
    </row>
    <row r="39" spans="1:30" x14ac:dyDescent="0.3">
      <c r="A39" t="s">
        <v>2811</v>
      </c>
      <c r="B39" t="s">
        <v>1</v>
      </c>
      <c r="C39">
        <v>-0.4</v>
      </c>
      <c r="D39" t="s">
        <v>27</v>
      </c>
      <c r="E39" t="s">
        <v>2558</v>
      </c>
      <c r="F39" t="str">
        <f t="shared" si="0"/>
        <v xml:space="preserve">stoch_{'P' [('delta'-0.4 1)]}_[21 49]_6 </v>
      </c>
      <c r="G39" t="s">
        <v>2540</v>
      </c>
      <c r="H39">
        <v>376</v>
      </c>
      <c r="I39" t="s">
        <v>5</v>
      </c>
      <c r="J39">
        <v>49</v>
      </c>
      <c r="K39" t="s">
        <v>6</v>
      </c>
      <c r="L39">
        <v>-342.93999999999897</v>
      </c>
      <c r="M39" t="s">
        <v>7</v>
      </c>
      <c r="N39">
        <v>-0.91207446808510595</v>
      </c>
      <c r="O39" t="s">
        <v>8</v>
      </c>
      <c r="P39">
        <v>10.3867346938775</v>
      </c>
      <c r="Q39" t="s">
        <v>9</v>
      </c>
      <c r="R39">
        <v>-2.6051681957186501</v>
      </c>
      <c r="S39" t="s">
        <v>10</v>
      </c>
      <c r="T39">
        <v>3.0629939876219598</v>
      </c>
      <c r="U39" t="s">
        <v>11</v>
      </c>
      <c r="V39" t="s">
        <v>2633</v>
      </c>
      <c r="W39" t="s">
        <v>2071</v>
      </c>
      <c r="X39">
        <v>0</v>
      </c>
      <c r="Y39" t="s">
        <v>14</v>
      </c>
      <c r="Z39" t="s">
        <v>15</v>
      </c>
      <c r="AA39" t="s">
        <v>2817</v>
      </c>
      <c r="AB39" t="s">
        <v>2071</v>
      </c>
      <c r="AC39">
        <v>0</v>
      </c>
      <c r="AD39" t="s">
        <v>18</v>
      </c>
    </row>
    <row r="40" spans="1:30" x14ac:dyDescent="0.3">
      <c r="A40" t="s">
        <v>2538</v>
      </c>
      <c r="B40" t="s">
        <v>1</v>
      </c>
      <c r="C40">
        <v>-0.3</v>
      </c>
      <c r="D40" t="s">
        <v>27</v>
      </c>
      <c r="E40" t="s">
        <v>2550</v>
      </c>
      <c r="F40" t="str">
        <f t="shared" si="0"/>
        <v xml:space="preserve">alltime_{'P' [('delta'-0.3 1)]}_[21 49]_1 </v>
      </c>
      <c r="G40" t="s">
        <v>2540</v>
      </c>
      <c r="H40">
        <v>3050</v>
      </c>
      <c r="I40" t="s">
        <v>5</v>
      </c>
      <c r="J40">
        <v>867</v>
      </c>
      <c r="K40" t="s">
        <v>6</v>
      </c>
      <c r="L40">
        <v>-319.52665349609998</v>
      </c>
      <c r="M40" t="s">
        <v>7</v>
      </c>
      <c r="N40">
        <v>-0.104762837211836</v>
      </c>
      <c r="O40" t="s">
        <v>8</v>
      </c>
      <c r="P40">
        <v>4.2223991417131899</v>
      </c>
      <c r="Q40" t="s">
        <v>9</v>
      </c>
      <c r="R40">
        <v>-1.8233379337432101</v>
      </c>
      <c r="S40" t="s">
        <v>10</v>
      </c>
      <c r="T40">
        <v>6.95551849889263</v>
      </c>
      <c r="U40" t="s">
        <v>11</v>
      </c>
      <c r="V40" t="s">
        <v>2570</v>
      </c>
      <c r="W40" t="s">
        <v>647</v>
      </c>
      <c r="X40">
        <v>0</v>
      </c>
      <c r="Y40" t="s">
        <v>14</v>
      </c>
      <c r="Z40" t="s">
        <v>15</v>
      </c>
      <c r="AA40" t="s">
        <v>2578</v>
      </c>
      <c r="AB40" t="s">
        <v>2542</v>
      </c>
      <c r="AC40">
        <v>0</v>
      </c>
      <c r="AD40" t="s">
        <v>18</v>
      </c>
    </row>
    <row r="41" spans="1:30" x14ac:dyDescent="0.3">
      <c r="A41" t="s">
        <v>2811</v>
      </c>
      <c r="B41" t="s">
        <v>1</v>
      </c>
      <c r="C41">
        <v>-0.3</v>
      </c>
      <c r="D41" t="s">
        <v>27</v>
      </c>
      <c r="E41" t="s">
        <v>2555</v>
      </c>
      <c r="F41" t="str">
        <f t="shared" si="0"/>
        <v xml:space="preserve">stoch_{'P' [('delta'-0.3 1)]}_[21 49]_4 </v>
      </c>
      <c r="G41" t="s">
        <v>2540</v>
      </c>
      <c r="H41">
        <v>376</v>
      </c>
      <c r="I41" t="s">
        <v>5</v>
      </c>
      <c r="J41">
        <v>34</v>
      </c>
      <c r="K41" t="s">
        <v>6</v>
      </c>
      <c r="L41">
        <v>-316.36854917218199</v>
      </c>
      <c r="M41" t="s">
        <v>7</v>
      </c>
      <c r="N41">
        <v>-0.84140571588346402</v>
      </c>
      <c r="O41" t="s">
        <v>8</v>
      </c>
      <c r="P41">
        <v>9.2311764705882293</v>
      </c>
      <c r="Q41" t="s">
        <v>9</v>
      </c>
      <c r="R41">
        <v>-1.8427735355911701</v>
      </c>
      <c r="S41" t="s">
        <v>10</v>
      </c>
      <c r="T41">
        <v>2.32799650888846</v>
      </c>
      <c r="U41" t="s">
        <v>11</v>
      </c>
      <c r="V41" t="s">
        <v>2027</v>
      </c>
      <c r="W41" t="s">
        <v>2557</v>
      </c>
      <c r="X41">
        <v>0</v>
      </c>
      <c r="Y41" t="s">
        <v>14</v>
      </c>
      <c r="Z41" t="s">
        <v>15</v>
      </c>
      <c r="AA41" t="s">
        <v>2826</v>
      </c>
      <c r="AB41" t="s">
        <v>2071</v>
      </c>
      <c r="AC41">
        <v>0</v>
      </c>
      <c r="AD41" t="s">
        <v>18</v>
      </c>
    </row>
    <row r="42" spans="1:30" x14ac:dyDescent="0.3">
      <c r="A42" t="s">
        <v>2538</v>
      </c>
      <c r="B42" t="s">
        <v>1</v>
      </c>
      <c r="C42">
        <v>-0.1</v>
      </c>
      <c r="D42" t="s">
        <v>2</v>
      </c>
      <c r="E42" t="s">
        <v>2547</v>
      </c>
      <c r="F42" t="str">
        <f t="shared" si="0"/>
        <v xml:space="preserve">alltime_{'P' [('delta'-0.1 1)]}_[7 35]_6 </v>
      </c>
      <c r="G42" t="s">
        <v>2540</v>
      </c>
      <c r="H42">
        <v>3073</v>
      </c>
      <c r="I42" t="s">
        <v>5</v>
      </c>
      <c r="J42">
        <v>206</v>
      </c>
      <c r="K42" t="s">
        <v>6</v>
      </c>
      <c r="L42">
        <v>-316.29118251813901</v>
      </c>
      <c r="M42" t="s">
        <v>7</v>
      </c>
      <c r="N42">
        <v>-0.10292586479601</v>
      </c>
      <c r="O42" t="s">
        <v>8</v>
      </c>
      <c r="P42">
        <v>4.5062567656684998</v>
      </c>
      <c r="Q42" t="s">
        <v>9</v>
      </c>
      <c r="R42">
        <v>-0.43410536318306597</v>
      </c>
      <c r="S42" t="s">
        <v>10</v>
      </c>
      <c r="T42">
        <v>3.5264627340501802</v>
      </c>
      <c r="U42" t="s">
        <v>11</v>
      </c>
      <c r="V42" t="s">
        <v>2095</v>
      </c>
      <c r="W42" t="s">
        <v>647</v>
      </c>
      <c r="X42">
        <v>0</v>
      </c>
      <c r="Y42" t="s">
        <v>14</v>
      </c>
      <c r="Z42" t="s">
        <v>15</v>
      </c>
      <c r="AA42" t="s">
        <v>2615</v>
      </c>
      <c r="AB42" t="s">
        <v>2582</v>
      </c>
      <c r="AC42">
        <v>0</v>
      </c>
      <c r="AD42" t="s">
        <v>18</v>
      </c>
    </row>
    <row r="43" spans="1:30" x14ac:dyDescent="0.3">
      <c r="A43" t="s">
        <v>2538</v>
      </c>
      <c r="B43" t="s">
        <v>1</v>
      </c>
      <c r="C43">
        <v>-0.1</v>
      </c>
      <c r="D43" t="s">
        <v>27</v>
      </c>
      <c r="E43" t="s">
        <v>2555</v>
      </c>
      <c r="F43" t="str">
        <f t="shared" si="0"/>
        <v xml:space="preserve">alltime_{'P' [('delta'-0.1 1)]}_[21 49]_4 </v>
      </c>
      <c r="G43" t="s">
        <v>2540</v>
      </c>
      <c r="H43">
        <v>3050</v>
      </c>
      <c r="I43" t="s">
        <v>5</v>
      </c>
      <c r="J43">
        <v>272</v>
      </c>
      <c r="K43" t="s">
        <v>6</v>
      </c>
      <c r="L43">
        <v>-314.40266650520903</v>
      </c>
      <c r="M43" t="s">
        <v>7</v>
      </c>
      <c r="N43">
        <v>-0.10308284147711699</v>
      </c>
      <c r="O43" t="s">
        <v>8</v>
      </c>
      <c r="P43">
        <v>4.5649567264929596</v>
      </c>
      <c r="Q43" t="s">
        <v>9</v>
      </c>
      <c r="R43">
        <v>-0.56014071134315702</v>
      </c>
      <c r="S43" t="s">
        <v>10</v>
      </c>
      <c r="T43">
        <v>3.8130496792461002</v>
      </c>
      <c r="U43" t="s">
        <v>11</v>
      </c>
      <c r="V43" t="s">
        <v>2619</v>
      </c>
      <c r="W43" t="s">
        <v>2557</v>
      </c>
      <c r="X43">
        <v>0</v>
      </c>
      <c r="Y43" t="s">
        <v>14</v>
      </c>
      <c r="Z43" t="s">
        <v>15</v>
      </c>
      <c r="AA43" t="s">
        <v>2350</v>
      </c>
      <c r="AB43" t="s">
        <v>2582</v>
      </c>
      <c r="AC43">
        <v>0</v>
      </c>
      <c r="AD43" t="s">
        <v>18</v>
      </c>
    </row>
    <row r="44" spans="1:30" x14ac:dyDescent="0.3">
      <c r="A44" t="s">
        <v>2538</v>
      </c>
      <c r="B44" t="s">
        <v>1</v>
      </c>
      <c r="C44">
        <v>-0.3</v>
      </c>
      <c r="D44" t="s">
        <v>2</v>
      </c>
      <c r="E44" t="s">
        <v>2539</v>
      </c>
      <c r="F44" t="str">
        <f t="shared" si="0"/>
        <v xml:space="preserve">alltime_{'P' [('delta'-0.3 1)]}_[7 35]_1 </v>
      </c>
      <c r="G44" t="s">
        <v>2540</v>
      </c>
      <c r="H44">
        <v>3073</v>
      </c>
      <c r="I44" t="s">
        <v>5</v>
      </c>
      <c r="J44">
        <v>848</v>
      </c>
      <c r="K44" t="s">
        <v>6</v>
      </c>
      <c r="L44">
        <v>-296.62484197696602</v>
      </c>
      <c r="M44" t="s">
        <v>7</v>
      </c>
      <c r="N44">
        <v>-9.6526144476722003E-2</v>
      </c>
      <c r="O44" t="s">
        <v>8</v>
      </c>
      <c r="P44">
        <v>3.4329953488978</v>
      </c>
      <c r="Q44" t="s">
        <v>9</v>
      </c>
      <c r="R44">
        <v>-1.4417100664459701</v>
      </c>
      <c r="S44" t="s">
        <v>10</v>
      </c>
      <c r="T44">
        <v>5.3997121215056501</v>
      </c>
      <c r="U44" t="s">
        <v>11</v>
      </c>
      <c r="V44" t="s">
        <v>2570</v>
      </c>
      <c r="W44" t="s">
        <v>647</v>
      </c>
      <c r="X44">
        <v>0</v>
      </c>
      <c r="Y44" t="s">
        <v>14</v>
      </c>
      <c r="Z44" t="s">
        <v>15</v>
      </c>
      <c r="AA44" t="s">
        <v>2571</v>
      </c>
      <c r="AB44" t="s">
        <v>2542</v>
      </c>
      <c r="AC44">
        <v>0</v>
      </c>
      <c r="AD44" t="s">
        <v>18</v>
      </c>
    </row>
    <row r="45" spans="1:30" x14ac:dyDescent="0.3">
      <c r="A45" t="s">
        <v>2538</v>
      </c>
      <c r="B45" t="s">
        <v>1</v>
      </c>
      <c r="C45">
        <v>-0.1</v>
      </c>
      <c r="D45" t="s">
        <v>2</v>
      </c>
      <c r="E45" t="s">
        <v>2545</v>
      </c>
      <c r="F45" t="str">
        <f t="shared" si="0"/>
        <v xml:space="preserve">alltime_{'P' [('delta'-0.1 1)]}_[7 35]_4 </v>
      </c>
      <c r="G45" t="s">
        <v>2540</v>
      </c>
      <c r="H45">
        <v>3073</v>
      </c>
      <c r="I45" t="s">
        <v>5</v>
      </c>
      <c r="J45">
        <v>265</v>
      </c>
      <c r="K45" t="s">
        <v>6</v>
      </c>
      <c r="L45">
        <v>-294.861182518139</v>
      </c>
      <c r="M45" t="s">
        <v>7</v>
      </c>
      <c r="N45">
        <v>-9.5952223403234393E-2</v>
      </c>
      <c r="O45" t="s">
        <v>8</v>
      </c>
      <c r="P45">
        <v>3.47345454016207</v>
      </c>
      <c r="Q45" t="s">
        <v>9</v>
      </c>
      <c r="R45">
        <v>-0.43280863093343502</v>
      </c>
      <c r="S45" t="s">
        <v>10</v>
      </c>
      <c r="T45">
        <v>3.0359002580285899</v>
      </c>
      <c r="U45" t="s">
        <v>11</v>
      </c>
      <c r="V45" t="s">
        <v>2613</v>
      </c>
      <c r="W45" t="s">
        <v>647</v>
      </c>
      <c r="X45">
        <v>0</v>
      </c>
      <c r="Y45" t="s">
        <v>14</v>
      </c>
      <c r="Z45" t="s">
        <v>15</v>
      </c>
      <c r="AA45" t="s">
        <v>2615</v>
      </c>
      <c r="AB45" t="s">
        <v>2582</v>
      </c>
      <c r="AC45">
        <v>0</v>
      </c>
      <c r="AD45" t="s">
        <v>18</v>
      </c>
    </row>
    <row r="46" spans="1:30" x14ac:dyDescent="0.3">
      <c r="A46" t="s">
        <v>2538</v>
      </c>
      <c r="B46" t="s">
        <v>1</v>
      </c>
      <c r="C46">
        <v>-0.1</v>
      </c>
      <c r="D46" t="s">
        <v>27</v>
      </c>
      <c r="E46" t="s">
        <v>2552</v>
      </c>
      <c r="F46" t="str">
        <f t="shared" si="0"/>
        <v xml:space="preserve">alltime_{'P' [('delta'-0.1 1)]}_[21 49]_2 </v>
      </c>
      <c r="G46" t="s">
        <v>2540</v>
      </c>
      <c r="H46">
        <v>3050</v>
      </c>
      <c r="I46" t="s">
        <v>5</v>
      </c>
      <c r="J46">
        <v>467</v>
      </c>
      <c r="K46" t="s">
        <v>6</v>
      </c>
      <c r="L46">
        <v>-292.04150659235501</v>
      </c>
      <c r="M46" t="s">
        <v>7</v>
      </c>
      <c r="N46">
        <v>-9.5751313636837795E-2</v>
      </c>
      <c r="O46" t="s">
        <v>8</v>
      </c>
      <c r="P46">
        <v>2.4791667785096898</v>
      </c>
      <c r="Q46" t="s">
        <v>9</v>
      </c>
      <c r="R46">
        <v>-0.56129012472178796</v>
      </c>
      <c r="S46" t="s">
        <v>10</v>
      </c>
      <c r="T46">
        <v>2.8857173295863099</v>
      </c>
      <c r="U46" t="s">
        <v>11</v>
      </c>
      <c r="V46" t="s">
        <v>2613</v>
      </c>
      <c r="W46" t="s">
        <v>647</v>
      </c>
      <c r="X46">
        <v>0</v>
      </c>
      <c r="Y46" t="s">
        <v>14</v>
      </c>
      <c r="Z46" t="s">
        <v>15</v>
      </c>
      <c r="AA46" t="s">
        <v>2618</v>
      </c>
      <c r="AB46" t="s">
        <v>2582</v>
      </c>
      <c r="AC46">
        <v>0</v>
      </c>
      <c r="AD46" t="s">
        <v>18</v>
      </c>
    </row>
    <row r="47" spans="1:30" x14ac:dyDescent="0.3">
      <c r="A47" t="s">
        <v>2811</v>
      </c>
      <c r="B47" t="s">
        <v>1</v>
      </c>
      <c r="C47">
        <v>-0.3</v>
      </c>
      <c r="D47" t="s">
        <v>27</v>
      </c>
      <c r="E47" t="s">
        <v>2558</v>
      </c>
      <c r="F47" t="str">
        <f t="shared" si="0"/>
        <v xml:space="preserve">stoch_{'P' [('delta'-0.3 1)]}_[21 49]_6 </v>
      </c>
      <c r="G47" t="s">
        <v>2540</v>
      </c>
      <c r="H47">
        <v>376</v>
      </c>
      <c r="I47" t="s">
        <v>5</v>
      </c>
      <c r="J47">
        <v>32</v>
      </c>
      <c r="K47" t="s">
        <v>6</v>
      </c>
      <c r="L47">
        <v>-283.30854917218198</v>
      </c>
      <c r="M47" t="s">
        <v>7</v>
      </c>
      <c r="N47">
        <v>-0.75348018396856997</v>
      </c>
      <c r="O47" t="s">
        <v>8</v>
      </c>
      <c r="P47">
        <v>10.952500000000001</v>
      </c>
      <c r="Q47" t="s">
        <v>9</v>
      </c>
      <c r="R47">
        <v>-1.84240857317494</v>
      </c>
      <c r="S47" t="s">
        <v>10</v>
      </c>
      <c r="T47">
        <v>2.4210347087790001</v>
      </c>
      <c r="U47" t="s">
        <v>11</v>
      </c>
      <c r="V47" t="s">
        <v>2027</v>
      </c>
      <c r="W47" t="s">
        <v>2557</v>
      </c>
      <c r="X47">
        <v>0</v>
      </c>
      <c r="Y47" t="s">
        <v>14</v>
      </c>
      <c r="Z47" t="s">
        <v>15</v>
      </c>
      <c r="AA47" t="s">
        <v>2826</v>
      </c>
      <c r="AB47" t="s">
        <v>2071</v>
      </c>
      <c r="AC47">
        <v>0</v>
      </c>
      <c r="AD47" t="s">
        <v>18</v>
      </c>
    </row>
    <row r="48" spans="1:30" x14ac:dyDescent="0.3">
      <c r="A48" t="s">
        <v>2538</v>
      </c>
      <c r="B48" t="s">
        <v>1</v>
      </c>
      <c r="C48">
        <v>-0.1</v>
      </c>
      <c r="D48" t="s">
        <v>27</v>
      </c>
      <c r="E48" t="s">
        <v>2558</v>
      </c>
      <c r="F48" t="str">
        <f t="shared" si="0"/>
        <v xml:space="preserve">alltime_{'P' [('delta'-0.1 1)]}_[21 49]_6 </v>
      </c>
      <c r="G48" t="s">
        <v>2540</v>
      </c>
      <c r="H48">
        <v>3050</v>
      </c>
      <c r="I48" t="s">
        <v>5</v>
      </c>
      <c r="J48">
        <v>204</v>
      </c>
      <c r="K48" t="s">
        <v>6</v>
      </c>
      <c r="L48">
        <v>-280.20266650520801</v>
      </c>
      <c r="M48" t="s">
        <v>7</v>
      </c>
      <c r="N48">
        <v>-9.1869726723019296E-2</v>
      </c>
      <c r="O48" t="s">
        <v>8</v>
      </c>
      <c r="P48">
        <v>6.4488317166218003</v>
      </c>
      <c r="Q48" t="s">
        <v>9</v>
      </c>
      <c r="R48">
        <v>-0.56070426447507205</v>
      </c>
      <c r="S48" t="s">
        <v>10</v>
      </c>
      <c r="T48">
        <v>4.5345461890792</v>
      </c>
      <c r="U48" t="s">
        <v>11</v>
      </c>
      <c r="V48" t="s">
        <v>2095</v>
      </c>
      <c r="W48" t="s">
        <v>647</v>
      </c>
      <c r="X48">
        <v>0</v>
      </c>
      <c r="Y48" t="s">
        <v>14</v>
      </c>
      <c r="Z48" t="s">
        <v>15</v>
      </c>
      <c r="AA48" t="s">
        <v>2620</v>
      </c>
      <c r="AB48" t="s">
        <v>2582</v>
      </c>
      <c r="AC48">
        <v>0</v>
      </c>
      <c r="AD48" t="s">
        <v>18</v>
      </c>
    </row>
    <row r="49" spans="1:30" x14ac:dyDescent="0.3">
      <c r="A49" t="s">
        <v>2811</v>
      </c>
      <c r="B49" t="s">
        <v>1</v>
      </c>
      <c r="C49">
        <v>-0.4</v>
      </c>
      <c r="D49" t="s">
        <v>27</v>
      </c>
      <c r="E49" t="s">
        <v>2552</v>
      </c>
      <c r="F49" t="str">
        <f t="shared" si="0"/>
        <v xml:space="preserve">stoch_{'P' [('delta'-0.4 1)]}_[21 49]_2 </v>
      </c>
      <c r="G49" t="s">
        <v>2540</v>
      </c>
      <c r="H49">
        <v>376</v>
      </c>
      <c r="I49" t="s">
        <v>5</v>
      </c>
      <c r="J49">
        <v>64</v>
      </c>
      <c r="K49" t="s">
        <v>6</v>
      </c>
      <c r="L49">
        <v>-276.05</v>
      </c>
      <c r="M49" t="s">
        <v>7</v>
      </c>
      <c r="N49">
        <v>-0.73417553191489404</v>
      </c>
      <c r="O49" t="s">
        <v>8</v>
      </c>
      <c r="P49">
        <v>8.26296874999999</v>
      </c>
      <c r="Q49" t="s">
        <v>9</v>
      </c>
      <c r="R49">
        <v>-2.5797435897435901</v>
      </c>
      <c r="S49" t="s">
        <v>10</v>
      </c>
      <c r="T49">
        <v>2.5693399723691002</v>
      </c>
      <c r="U49" t="s">
        <v>11</v>
      </c>
      <c r="V49" t="s">
        <v>2747</v>
      </c>
      <c r="W49" t="s">
        <v>2587</v>
      </c>
      <c r="X49">
        <v>0</v>
      </c>
      <c r="Y49" t="s">
        <v>14</v>
      </c>
      <c r="Z49" t="s">
        <v>15</v>
      </c>
      <c r="AA49" t="s">
        <v>2816</v>
      </c>
      <c r="AB49" t="s">
        <v>2046</v>
      </c>
      <c r="AC49">
        <v>0</v>
      </c>
      <c r="AD49" t="s">
        <v>18</v>
      </c>
    </row>
    <row r="50" spans="1:30" x14ac:dyDescent="0.3">
      <c r="A50" t="s">
        <v>2811</v>
      </c>
      <c r="B50" t="s">
        <v>1</v>
      </c>
      <c r="C50">
        <v>-0.3</v>
      </c>
      <c r="D50" t="s">
        <v>2174</v>
      </c>
      <c r="E50" t="s">
        <v>2562</v>
      </c>
      <c r="F50" t="str">
        <f t="shared" si="0"/>
        <v xml:space="preserve">stoch_{'P' [('delta'-0.3 1)]}_[42 70]_2 </v>
      </c>
      <c r="G50" t="s">
        <v>2540</v>
      </c>
      <c r="H50">
        <v>370</v>
      </c>
      <c r="I50" t="s">
        <v>5</v>
      </c>
      <c r="J50">
        <v>61</v>
      </c>
      <c r="K50" t="s">
        <v>6</v>
      </c>
      <c r="L50">
        <v>-246.234205119286</v>
      </c>
      <c r="M50" t="s">
        <v>7</v>
      </c>
      <c r="N50">
        <v>-0.66549785167374798</v>
      </c>
      <c r="O50" t="s">
        <v>8</v>
      </c>
      <c r="P50">
        <v>7.75819672131147</v>
      </c>
      <c r="Q50" t="s">
        <v>9</v>
      </c>
      <c r="R50">
        <v>-2.3284278482824798</v>
      </c>
      <c r="S50" t="s">
        <v>10</v>
      </c>
      <c r="T50">
        <v>2.2346866072547402</v>
      </c>
      <c r="U50" t="s">
        <v>11</v>
      </c>
      <c r="V50" t="s">
        <v>2651</v>
      </c>
      <c r="W50" t="s">
        <v>2631</v>
      </c>
      <c r="X50">
        <v>0</v>
      </c>
      <c r="Y50" t="s">
        <v>14</v>
      </c>
      <c r="Z50" t="s">
        <v>15</v>
      </c>
      <c r="AA50" t="s">
        <v>2829</v>
      </c>
      <c r="AB50" t="s">
        <v>2631</v>
      </c>
      <c r="AC50">
        <v>0</v>
      </c>
      <c r="AD50" t="s">
        <v>18</v>
      </c>
    </row>
    <row r="51" spans="1:30" x14ac:dyDescent="0.3">
      <c r="A51" t="s">
        <v>2858</v>
      </c>
      <c r="B51" t="s">
        <v>1</v>
      </c>
      <c r="C51">
        <v>-0.4</v>
      </c>
      <c r="D51" t="s">
        <v>27</v>
      </c>
      <c r="E51" t="s">
        <v>2552</v>
      </c>
      <c r="F51" t="str">
        <f t="shared" si="0"/>
        <v xml:space="preserve">stoch_no_highvol_{'P' [('delta'-0.4 1)]}_[21 49]_2 </v>
      </c>
      <c r="G51" t="s">
        <v>2540</v>
      </c>
      <c r="H51">
        <v>335</v>
      </c>
      <c r="I51" t="s">
        <v>5</v>
      </c>
      <c r="J51">
        <v>56</v>
      </c>
      <c r="K51" t="s">
        <v>6</v>
      </c>
      <c r="L51">
        <v>-245.39</v>
      </c>
      <c r="M51" t="s">
        <v>7</v>
      </c>
      <c r="N51">
        <v>-0.73250746268656697</v>
      </c>
      <c r="O51" t="s">
        <v>8</v>
      </c>
      <c r="P51">
        <v>7.2194642857142801</v>
      </c>
      <c r="Q51" t="s">
        <v>9</v>
      </c>
      <c r="R51">
        <v>-2.32860215053763</v>
      </c>
      <c r="S51" t="s">
        <v>10</v>
      </c>
      <c r="T51">
        <v>1.91899755500528</v>
      </c>
      <c r="U51" t="s">
        <v>11</v>
      </c>
      <c r="V51" t="s">
        <v>2747</v>
      </c>
      <c r="W51" t="s">
        <v>2587</v>
      </c>
      <c r="X51">
        <v>0</v>
      </c>
      <c r="Y51" t="s">
        <v>14</v>
      </c>
      <c r="Z51" t="s">
        <v>15</v>
      </c>
      <c r="AA51" t="s">
        <v>2866</v>
      </c>
      <c r="AB51" t="s">
        <v>2861</v>
      </c>
      <c r="AC51">
        <v>0</v>
      </c>
      <c r="AD51" t="s">
        <v>18</v>
      </c>
    </row>
    <row r="52" spans="1:30" x14ac:dyDescent="0.3">
      <c r="A52" t="s">
        <v>2538</v>
      </c>
      <c r="B52" t="s">
        <v>1</v>
      </c>
      <c r="C52">
        <v>-0.2</v>
      </c>
      <c r="D52" t="s">
        <v>2</v>
      </c>
      <c r="E52" t="s">
        <v>2539</v>
      </c>
      <c r="F52" t="str">
        <f t="shared" si="0"/>
        <v xml:space="preserve">alltime_{'P' [('delta'-0.2 1)]}_[7 35]_1 </v>
      </c>
      <c r="G52" t="s">
        <v>2540</v>
      </c>
      <c r="H52">
        <v>3073</v>
      </c>
      <c r="I52" t="s">
        <v>5</v>
      </c>
      <c r="J52">
        <v>780</v>
      </c>
      <c r="K52" t="s">
        <v>6</v>
      </c>
      <c r="L52">
        <v>-244.387053146287</v>
      </c>
      <c r="M52" t="s">
        <v>7</v>
      </c>
      <c r="N52">
        <v>-7.95271894390783E-2</v>
      </c>
      <c r="O52" t="s">
        <v>8</v>
      </c>
      <c r="P52">
        <v>2.31609037513413</v>
      </c>
      <c r="Q52" t="s">
        <v>9</v>
      </c>
      <c r="R52">
        <v>-0.89443416735757397</v>
      </c>
      <c r="S52" t="s">
        <v>10</v>
      </c>
      <c r="T52">
        <v>3.38750248543385</v>
      </c>
      <c r="U52" t="s">
        <v>11</v>
      </c>
      <c r="V52" t="s">
        <v>2590</v>
      </c>
      <c r="W52" t="s">
        <v>647</v>
      </c>
      <c r="X52">
        <v>0</v>
      </c>
      <c r="Y52" t="s">
        <v>14</v>
      </c>
      <c r="Z52" t="s">
        <v>15</v>
      </c>
      <c r="AA52" t="s">
        <v>2591</v>
      </c>
      <c r="AB52" t="s">
        <v>2554</v>
      </c>
      <c r="AC52">
        <v>0</v>
      </c>
      <c r="AD52" t="s">
        <v>18</v>
      </c>
    </row>
    <row r="53" spans="1:30" x14ac:dyDescent="0.3">
      <c r="A53" t="s">
        <v>2811</v>
      </c>
      <c r="B53" t="s">
        <v>1</v>
      </c>
      <c r="C53">
        <v>-0.4</v>
      </c>
      <c r="D53" t="s">
        <v>2174</v>
      </c>
      <c r="E53" t="s">
        <v>2562</v>
      </c>
      <c r="F53" t="str">
        <f t="shared" si="0"/>
        <v xml:space="preserve">stoch_{'P' [('delta'-0.4 1)]}_[42 70]_2 </v>
      </c>
      <c r="G53" t="s">
        <v>2540</v>
      </c>
      <c r="H53">
        <v>370</v>
      </c>
      <c r="I53" t="s">
        <v>5</v>
      </c>
      <c r="J53">
        <v>67</v>
      </c>
      <c r="K53" t="s">
        <v>6</v>
      </c>
      <c r="L53">
        <v>-240.19967581070699</v>
      </c>
      <c r="M53" t="s">
        <v>7</v>
      </c>
      <c r="N53">
        <v>-0.64918831300191204</v>
      </c>
      <c r="O53" t="s">
        <v>8</v>
      </c>
      <c r="P53">
        <v>10.8673340778087</v>
      </c>
      <c r="Q53" t="s">
        <v>9</v>
      </c>
      <c r="R53">
        <v>-3.19574606938578</v>
      </c>
      <c r="S53" t="s">
        <v>10</v>
      </c>
      <c r="T53">
        <v>2.96705476349416</v>
      </c>
      <c r="U53" t="s">
        <v>11</v>
      </c>
      <c r="V53" t="s">
        <v>2636</v>
      </c>
      <c r="W53" t="s">
        <v>691</v>
      </c>
      <c r="X53">
        <v>0</v>
      </c>
      <c r="Y53" t="s">
        <v>14</v>
      </c>
      <c r="Z53" t="s">
        <v>15</v>
      </c>
      <c r="AA53" t="s">
        <v>2819</v>
      </c>
      <c r="AB53" t="s">
        <v>2638</v>
      </c>
      <c r="AC53">
        <v>0</v>
      </c>
      <c r="AD53" t="s">
        <v>18</v>
      </c>
    </row>
    <row r="54" spans="1:30" x14ac:dyDescent="0.3">
      <c r="A54" t="s">
        <v>2538</v>
      </c>
      <c r="B54" t="s">
        <v>1</v>
      </c>
      <c r="C54">
        <v>-0.2</v>
      </c>
      <c r="D54" t="s">
        <v>27</v>
      </c>
      <c r="E54" t="s">
        <v>2550</v>
      </c>
      <c r="F54" t="str">
        <f t="shared" si="0"/>
        <v xml:space="preserve">alltime_{'P' [('delta'-0.2 1)]}_[21 49]_1 </v>
      </c>
      <c r="G54" t="s">
        <v>2540</v>
      </c>
      <c r="H54">
        <v>3050</v>
      </c>
      <c r="I54" t="s">
        <v>5</v>
      </c>
      <c r="J54">
        <v>821</v>
      </c>
      <c r="K54" t="s">
        <v>6</v>
      </c>
      <c r="L54">
        <v>-223.31319793742</v>
      </c>
      <c r="M54" t="s">
        <v>7</v>
      </c>
      <c r="N54">
        <v>-7.3217441946695203E-2</v>
      </c>
      <c r="O54" t="s">
        <v>8</v>
      </c>
      <c r="P54">
        <v>2.8363565410858902</v>
      </c>
      <c r="Q54" t="s">
        <v>9</v>
      </c>
      <c r="R54">
        <v>-1.1448909457913501</v>
      </c>
      <c r="S54" t="s">
        <v>10</v>
      </c>
      <c r="T54">
        <v>4.3950944505059102</v>
      </c>
      <c r="U54" t="s">
        <v>11</v>
      </c>
      <c r="V54" t="s">
        <v>2590</v>
      </c>
      <c r="W54" t="s">
        <v>647</v>
      </c>
      <c r="X54">
        <v>0</v>
      </c>
      <c r="Y54" t="s">
        <v>14</v>
      </c>
      <c r="Z54" t="s">
        <v>15</v>
      </c>
      <c r="AA54" t="s">
        <v>2597</v>
      </c>
      <c r="AB54" t="s">
        <v>2542</v>
      </c>
      <c r="AC54">
        <v>0</v>
      </c>
      <c r="AD54" t="s">
        <v>18</v>
      </c>
    </row>
    <row r="55" spans="1:30" x14ac:dyDescent="0.3">
      <c r="A55" t="s">
        <v>2811</v>
      </c>
      <c r="B55" t="s">
        <v>1</v>
      </c>
      <c r="C55">
        <v>-0.4</v>
      </c>
      <c r="D55" t="s">
        <v>2</v>
      </c>
      <c r="E55" t="s">
        <v>2545</v>
      </c>
      <c r="F55" t="str">
        <f t="shared" si="0"/>
        <v xml:space="preserve">stoch_{'P' [('delta'-0.4 1)]}_[7 35]_4 </v>
      </c>
      <c r="G55" t="s">
        <v>2540</v>
      </c>
      <c r="H55">
        <v>375</v>
      </c>
      <c r="I55" t="s">
        <v>5</v>
      </c>
      <c r="J55">
        <v>68</v>
      </c>
      <c r="K55" t="s">
        <v>6</v>
      </c>
      <c r="L55">
        <v>-199.85</v>
      </c>
      <c r="M55" t="s">
        <v>7</v>
      </c>
      <c r="N55">
        <v>-0.53293333333333404</v>
      </c>
      <c r="O55" t="s">
        <v>8</v>
      </c>
      <c r="P55">
        <v>6.2983823529411698</v>
      </c>
      <c r="Q55" t="s">
        <v>9</v>
      </c>
      <c r="R55">
        <v>-2.0460586319218201</v>
      </c>
      <c r="S55" t="s">
        <v>10</v>
      </c>
      <c r="T55">
        <v>2.6807018371239502</v>
      </c>
      <c r="U55" t="s">
        <v>11</v>
      </c>
      <c r="V55" t="s">
        <v>2633</v>
      </c>
      <c r="W55" t="s">
        <v>2071</v>
      </c>
      <c r="X55">
        <v>0</v>
      </c>
      <c r="Y55" t="s">
        <v>14</v>
      </c>
      <c r="Z55" t="s">
        <v>15</v>
      </c>
      <c r="AA55" t="s">
        <v>2814</v>
      </c>
      <c r="AB55" t="s">
        <v>2071</v>
      </c>
      <c r="AC55">
        <v>0</v>
      </c>
      <c r="AD55" t="s">
        <v>18</v>
      </c>
    </row>
    <row r="56" spans="1:30" x14ac:dyDescent="0.3">
      <c r="A56" t="s">
        <v>2811</v>
      </c>
      <c r="B56" t="s">
        <v>1</v>
      </c>
      <c r="C56">
        <v>-0.3</v>
      </c>
      <c r="D56" t="s">
        <v>27</v>
      </c>
      <c r="E56" t="s">
        <v>2552</v>
      </c>
      <c r="F56" t="str">
        <f t="shared" si="0"/>
        <v xml:space="preserve">stoch_{'P' [('delta'-0.3 1)]}_[21 49]_2 </v>
      </c>
      <c r="G56" t="s">
        <v>2540</v>
      </c>
      <c r="H56">
        <v>376</v>
      </c>
      <c r="I56" t="s">
        <v>5</v>
      </c>
      <c r="J56">
        <v>51</v>
      </c>
      <c r="K56" t="s">
        <v>6</v>
      </c>
      <c r="L56">
        <v>-199.21854917218201</v>
      </c>
      <c r="M56" t="s">
        <v>7</v>
      </c>
      <c r="N56">
        <v>-0.52983656694729397</v>
      </c>
      <c r="O56" t="s">
        <v>8</v>
      </c>
      <c r="P56">
        <v>7.6149019607843096</v>
      </c>
      <c r="Q56" t="s">
        <v>9</v>
      </c>
      <c r="R56">
        <v>-1.8079339974528701</v>
      </c>
      <c r="S56" t="s">
        <v>10</v>
      </c>
      <c r="T56">
        <v>1.9489001777542401</v>
      </c>
      <c r="U56" t="s">
        <v>11</v>
      </c>
      <c r="V56" t="s">
        <v>2824</v>
      </c>
      <c r="W56" t="s">
        <v>2557</v>
      </c>
      <c r="X56">
        <v>0</v>
      </c>
      <c r="Y56" t="s">
        <v>14</v>
      </c>
      <c r="Z56" t="s">
        <v>15</v>
      </c>
      <c r="AA56" t="s">
        <v>2825</v>
      </c>
      <c r="AB56" t="s">
        <v>2046</v>
      </c>
      <c r="AC56">
        <v>0</v>
      </c>
      <c r="AD56" t="s">
        <v>18</v>
      </c>
    </row>
    <row r="57" spans="1:30" x14ac:dyDescent="0.3">
      <c r="A57" t="s">
        <v>2858</v>
      </c>
      <c r="B57" t="s">
        <v>1</v>
      </c>
      <c r="C57">
        <v>-0.3</v>
      </c>
      <c r="D57" t="s">
        <v>27</v>
      </c>
      <c r="E57" t="s">
        <v>2552</v>
      </c>
      <c r="F57" t="str">
        <f t="shared" si="0"/>
        <v xml:space="preserve">stoch_no_highvol_{'P' [('delta'-0.3 1)]}_[21 49]_2 </v>
      </c>
      <c r="G57" t="s">
        <v>2540</v>
      </c>
      <c r="H57">
        <v>335</v>
      </c>
      <c r="I57" t="s">
        <v>5</v>
      </c>
      <c r="J57">
        <v>42</v>
      </c>
      <c r="K57" t="s">
        <v>6</v>
      </c>
      <c r="L57">
        <v>-198.93</v>
      </c>
      <c r="M57" t="s">
        <v>7</v>
      </c>
      <c r="N57">
        <v>-0.59382089552238804</v>
      </c>
      <c r="O57" t="s">
        <v>8</v>
      </c>
      <c r="P57">
        <v>6.5769047619047596</v>
      </c>
      <c r="Q57" t="s">
        <v>9</v>
      </c>
      <c r="R57">
        <v>-1.62170648464163</v>
      </c>
      <c r="S57" t="s">
        <v>10</v>
      </c>
      <c r="T57">
        <v>1.38096570346975</v>
      </c>
      <c r="U57" t="s">
        <v>11</v>
      </c>
      <c r="V57" t="s">
        <v>2880</v>
      </c>
      <c r="W57" t="s">
        <v>2564</v>
      </c>
      <c r="X57">
        <v>0</v>
      </c>
      <c r="Y57" t="s">
        <v>14</v>
      </c>
      <c r="Z57" t="s">
        <v>15</v>
      </c>
      <c r="AA57" t="s">
        <v>2881</v>
      </c>
      <c r="AB57" t="s">
        <v>2857</v>
      </c>
      <c r="AC57">
        <v>0</v>
      </c>
      <c r="AD57" t="s">
        <v>18</v>
      </c>
    </row>
    <row r="58" spans="1:30" x14ac:dyDescent="0.3">
      <c r="A58" t="s">
        <v>2858</v>
      </c>
      <c r="B58" t="s">
        <v>1</v>
      </c>
      <c r="C58">
        <v>-0.4</v>
      </c>
      <c r="D58" t="s">
        <v>27</v>
      </c>
      <c r="E58" t="s">
        <v>2555</v>
      </c>
      <c r="F58" t="str">
        <f t="shared" si="0"/>
        <v xml:space="preserve">stoch_no_highvol_{'P' [('delta'-0.4 1)]}_[21 49]_4 </v>
      </c>
      <c r="G58" t="s">
        <v>2540</v>
      </c>
      <c r="H58">
        <v>335</v>
      </c>
      <c r="I58" t="s">
        <v>5</v>
      </c>
      <c r="J58">
        <v>48</v>
      </c>
      <c r="K58" t="s">
        <v>6</v>
      </c>
      <c r="L58">
        <v>-197.94</v>
      </c>
      <c r="M58" t="s">
        <v>7</v>
      </c>
      <c r="N58">
        <v>-0.59086567164179105</v>
      </c>
      <c r="O58" t="s">
        <v>8</v>
      </c>
      <c r="P58">
        <v>9.7660416666666592</v>
      </c>
      <c r="Q58" t="s">
        <v>9</v>
      </c>
      <c r="R58">
        <v>-2.32303135888501</v>
      </c>
      <c r="S58" t="s">
        <v>10</v>
      </c>
      <c r="T58">
        <v>2.1144806619119199</v>
      </c>
      <c r="U58" t="s">
        <v>11</v>
      </c>
      <c r="V58" t="s">
        <v>2747</v>
      </c>
      <c r="W58" t="s">
        <v>2587</v>
      </c>
      <c r="X58">
        <v>0</v>
      </c>
      <c r="Y58" t="s">
        <v>14</v>
      </c>
      <c r="Z58" t="s">
        <v>15</v>
      </c>
      <c r="AA58" t="s">
        <v>2866</v>
      </c>
      <c r="AB58" t="s">
        <v>2861</v>
      </c>
      <c r="AC58">
        <v>0</v>
      </c>
      <c r="AD58" t="s">
        <v>18</v>
      </c>
    </row>
    <row r="59" spans="1:30" x14ac:dyDescent="0.3">
      <c r="A59" t="s">
        <v>2858</v>
      </c>
      <c r="B59" t="s">
        <v>1</v>
      </c>
      <c r="C59">
        <v>-0.3</v>
      </c>
      <c r="D59" t="s">
        <v>27</v>
      </c>
      <c r="E59" t="s">
        <v>2555</v>
      </c>
      <c r="F59" t="str">
        <f t="shared" si="0"/>
        <v xml:space="preserve">stoch_no_highvol_{'P' [('delta'-0.3 1)]}_[21 49]_4 </v>
      </c>
      <c r="G59" t="s">
        <v>2540</v>
      </c>
      <c r="H59">
        <v>335</v>
      </c>
      <c r="I59" t="s">
        <v>5</v>
      </c>
      <c r="J59">
        <v>32</v>
      </c>
      <c r="K59" t="s">
        <v>6</v>
      </c>
      <c r="L59">
        <v>-196.39</v>
      </c>
      <c r="M59" t="s">
        <v>7</v>
      </c>
      <c r="N59">
        <v>-0.58623880597014899</v>
      </c>
      <c r="O59" t="s">
        <v>8</v>
      </c>
      <c r="P59">
        <v>9.3340624999999893</v>
      </c>
      <c r="Q59" t="s">
        <v>9</v>
      </c>
      <c r="R59">
        <v>-1.6339273927392699</v>
      </c>
      <c r="S59" t="s">
        <v>10</v>
      </c>
      <c r="T59">
        <v>1.5797333464332399</v>
      </c>
      <c r="U59" t="s">
        <v>11</v>
      </c>
      <c r="V59" t="s">
        <v>2689</v>
      </c>
      <c r="W59" t="s">
        <v>2249</v>
      </c>
      <c r="X59">
        <v>0</v>
      </c>
      <c r="Y59" t="s">
        <v>14</v>
      </c>
      <c r="Z59" t="s">
        <v>15</v>
      </c>
      <c r="AA59" t="s">
        <v>2876</v>
      </c>
      <c r="AB59" t="s">
        <v>2655</v>
      </c>
      <c r="AC59">
        <v>0</v>
      </c>
      <c r="AD59" t="s">
        <v>18</v>
      </c>
    </row>
    <row r="60" spans="1:30" x14ac:dyDescent="0.3">
      <c r="A60" t="s">
        <v>2811</v>
      </c>
      <c r="B60" t="s">
        <v>1</v>
      </c>
      <c r="C60">
        <v>-0.2</v>
      </c>
      <c r="D60" t="s">
        <v>2174</v>
      </c>
      <c r="E60" t="s">
        <v>2562</v>
      </c>
      <c r="F60" t="str">
        <f t="shared" si="0"/>
        <v xml:space="preserve">stoch_{'P' [('delta'-0.2 1)]}_[42 70]_2 </v>
      </c>
      <c r="G60" t="s">
        <v>2540</v>
      </c>
      <c r="H60">
        <v>370</v>
      </c>
      <c r="I60" t="s">
        <v>5</v>
      </c>
      <c r="J60">
        <v>47</v>
      </c>
      <c r="K60" t="s">
        <v>6</v>
      </c>
      <c r="L60">
        <v>-184.229712251721</v>
      </c>
      <c r="M60" t="s">
        <v>7</v>
      </c>
      <c r="N60">
        <v>-0.49791814122086703</v>
      </c>
      <c r="O60" t="s">
        <v>8</v>
      </c>
      <c r="P60">
        <v>5.8722640471219796</v>
      </c>
      <c r="Q60" t="s">
        <v>9</v>
      </c>
      <c r="R60">
        <v>-1.4248486763667301</v>
      </c>
      <c r="S60" t="s">
        <v>10</v>
      </c>
      <c r="T60">
        <v>1.4486703305619599</v>
      </c>
      <c r="U60" t="s">
        <v>11</v>
      </c>
      <c r="V60" t="s">
        <v>2664</v>
      </c>
      <c r="W60" t="s">
        <v>2631</v>
      </c>
      <c r="X60">
        <v>0</v>
      </c>
      <c r="Y60" t="s">
        <v>14</v>
      </c>
      <c r="Z60" t="s">
        <v>15</v>
      </c>
      <c r="AA60" t="s">
        <v>2841</v>
      </c>
      <c r="AB60" t="s">
        <v>2631</v>
      </c>
      <c r="AC60">
        <v>0</v>
      </c>
      <c r="AD60" t="s">
        <v>18</v>
      </c>
    </row>
    <row r="61" spans="1:30" x14ac:dyDescent="0.3">
      <c r="A61" t="s">
        <v>2811</v>
      </c>
      <c r="B61" t="s">
        <v>1</v>
      </c>
      <c r="C61">
        <v>-0.3</v>
      </c>
      <c r="D61" t="s">
        <v>2</v>
      </c>
      <c r="E61" t="s">
        <v>2545</v>
      </c>
      <c r="F61" t="str">
        <f t="shared" si="0"/>
        <v xml:space="preserve">stoch_{'P' [('delta'-0.3 1)]}_[7 35]_4 </v>
      </c>
      <c r="G61" t="s">
        <v>2540</v>
      </c>
      <c r="H61">
        <v>375</v>
      </c>
      <c r="I61" t="s">
        <v>5</v>
      </c>
      <c r="J61">
        <v>49</v>
      </c>
      <c r="K61" t="s">
        <v>6</v>
      </c>
      <c r="L61">
        <v>-183.07854917218199</v>
      </c>
      <c r="M61" t="s">
        <v>7</v>
      </c>
      <c r="N61">
        <v>-0.48820946445915397</v>
      </c>
      <c r="O61" t="s">
        <v>8</v>
      </c>
      <c r="P61">
        <v>5.8265306122448903</v>
      </c>
      <c r="Q61" t="s">
        <v>9</v>
      </c>
      <c r="R61">
        <v>-1.4373575127981</v>
      </c>
      <c r="S61" t="s">
        <v>10</v>
      </c>
      <c r="T61">
        <v>2.0220848560948101</v>
      </c>
      <c r="U61" t="s">
        <v>11</v>
      </c>
      <c r="V61" t="s">
        <v>2647</v>
      </c>
      <c r="W61" t="s">
        <v>2071</v>
      </c>
      <c r="X61">
        <v>0</v>
      </c>
      <c r="Y61" t="s">
        <v>14</v>
      </c>
      <c r="Z61" t="s">
        <v>15</v>
      </c>
      <c r="AA61" t="s">
        <v>2822</v>
      </c>
      <c r="AB61" t="s">
        <v>2071</v>
      </c>
      <c r="AC61">
        <v>0</v>
      </c>
      <c r="AD61" t="s">
        <v>18</v>
      </c>
    </row>
    <row r="62" spans="1:30" x14ac:dyDescent="0.3">
      <c r="A62" t="s">
        <v>2858</v>
      </c>
      <c r="B62" t="s">
        <v>1</v>
      </c>
      <c r="C62">
        <v>-0.4</v>
      </c>
      <c r="D62" t="s">
        <v>27</v>
      </c>
      <c r="E62" t="s">
        <v>2558</v>
      </c>
      <c r="F62" t="str">
        <f t="shared" si="0"/>
        <v xml:space="preserve">stoch_no_highvol_{'P' [('delta'-0.4 1)]}_[21 49]_6 </v>
      </c>
      <c r="G62" t="s">
        <v>2540</v>
      </c>
      <c r="H62">
        <v>335</v>
      </c>
      <c r="I62" t="s">
        <v>5</v>
      </c>
      <c r="J62">
        <v>47</v>
      </c>
      <c r="K62" t="s">
        <v>6</v>
      </c>
      <c r="L62">
        <v>-181.77999999999901</v>
      </c>
      <c r="M62" t="s">
        <v>7</v>
      </c>
      <c r="N62">
        <v>-0.54262686567164098</v>
      </c>
      <c r="O62" t="s">
        <v>8</v>
      </c>
      <c r="P62">
        <v>10.357021276595701</v>
      </c>
      <c r="Q62" t="s">
        <v>9</v>
      </c>
      <c r="R62">
        <v>-2.3213888888888801</v>
      </c>
      <c r="S62" t="s">
        <v>10</v>
      </c>
      <c r="T62">
        <v>2.2296488080791099</v>
      </c>
      <c r="U62" t="s">
        <v>11</v>
      </c>
      <c r="V62" t="s">
        <v>2747</v>
      </c>
      <c r="W62" t="s">
        <v>2587</v>
      </c>
      <c r="X62">
        <v>0</v>
      </c>
      <c r="Y62" t="s">
        <v>14</v>
      </c>
      <c r="Z62" t="s">
        <v>15</v>
      </c>
      <c r="AA62" t="s">
        <v>2866</v>
      </c>
      <c r="AB62" t="s">
        <v>2861</v>
      </c>
      <c r="AC62">
        <v>0</v>
      </c>
      <c r="AD62" t="s">
        <v>18</v>
      </c>
    </row>
    <row r="63" spans="1:30" x14ac:dyDescent="0.3">
      <c r="A63" t="s">
        <v>2811</v>
      </c>
      <c r="B63" t="s">
        <v>1</v>
      </c>
      <c r="C63">
        <v>-0.2</v>
      </c>
      <c r="D63" t="s">
        <v>27</v>
      </c>
      <c r="E63" t="s">
        <v>2558</v>
      </c>
      <c r="F63" t="str">
        <f t="shared" si="0"/>
        <v xml:space="preserve">stoch_{'P' [('delta'-0.2 1)]}_[21 49]_6 </v>
      </c>
      <c r="G63" t="s">
        <v>2540</v>
      </c>
      <c r="H63">
        <v>376</v>
      </c>
      <c r="I63" t="s">
        <v>5</v>
      </c>
      <c r="J63">
        <v>20</v>
      </c>
      <c r="K63" t="s">
        <v>6</v>
      </c>
      <c r="L63">
        <v>-180.578498342654</v>
      </c>
      <c r="M63" t="s">
        <v>7</v>
      </c>
      <c r="N63">
        <v>-0.48026196367727197</v>
      </c>
      <c r="O63" t="s">
        <v>8</v>
      </c>
      <c r="P63">
        <v>11.3315</v>
      </c>
      <c r="Q63" t="s">
        <v>9</v>
      </c>
      <c r="R63">
        <v>-1.14384409646813</v>
      </c>
      <c r="S63" t="s">
        <v>10</v>
      </c>
      <c r="T63">
        <v>1.73888292774225</v>
      </c>
      <c r="U63" t="s">
        <v>11</v>
      </c>
      <c r="V63" t="s">
        <v>2832</v>
      </c>
      <c r="W63" t="s">
        <v>2071</v>
      </c>
      <c r="X63">
        <v>0</v>
      </c>
      <c r="Y63" t="s">
        <v>14</v>
      </c>
      <c r="Z63" t="s">
        <v>15</v>
      </c>
      <c r="AA63" t="s">
        <v>2838</v>
      </c>
      <c r="AB63" t="s">
        <v>2071</v>
      </c>
      <c r="AC63">
        <v>0</v>
      </c>
      <c r="AD63" t="s">
        <v>18</v>
      </c>
    </row>
    <row r="64" spans="1:30" x14ac:dyDescent="0.3">
      <c r="A64" t="s">
        <v>2538</v>
      </c>
      <c r="B64" t="s">
        <v>1</v>
      </c>
      <c r="C64">
        <v>-0.1</v>
      </c>
      <c r="D64" t="s">
        <v>2</v>
      </c>
      <c r="E64" t="s">
        <v>2543</v>
      </c>
      <c r="F64" t="str">
        <f t="shared" si="0"/>
        <v xml:space="preserve">alltime_{'P' [('delta'-0.1 1)]}_[7 35]_2 </v>
      </c>
      <c r="G64" t="s">
        <v>2540</v>
      </c>
      <c r="H64">
        <v>3073</v>
      </c>
      <c r="I64" t="s">
        <v>5</v>
      </c>
      <c r="J64">
        <v>460</v>
      </c>
      <c r="K64" t="s">
        <v>6</v>
      </c>
      <c r="L64">
        <v>-175.24996673995</v>
      </c>
      <c r="M64" t="s">
        <v>7</v>
      </c>
      <c r="N64">
        <v>-5.7028951103140303E-2</v>
      </c>
      <c r="O64" t="s">
        <v>8</v>
      </c>
      <c r="P64">
        <v>2.0604090542744</v>
      </c>
      <c r="Q64" t="s">
        <v>9</v>
      </c>
      <c r="R64">
        <v>-0.42978879896906802</v>
      </c>
      <c r="S64" t="s">
        <v>10</v>
      </c>
      <c r="T64">
        <v>2.30094098658483</v>
      </c>
      <c r="U64" t="s">
        <v>11</v>
      </c>
      <c r="V64" t="s">
        <v>2613</v>
      </c>
      <c r="W64" t="s">
        <v>647</v>
      </c>
      <c r="X64">
        <v>0</v>
      </c>
      <c r="Y64" t="s">
        <v>14</v>
      </c>
      <c r="Z64" t="s">
        <v>15</v>
      </c>
      <c r="AA64" t="s">
        <v>2614</v>
      </c>
      <c r="AB64" t="s">
        <v>2582</v>
      </c>
      <c r="AC64">
        <v>0</v>
      </c>
      <c r="AD64" t="s">
        <v>18</v>
      </c>
    </row>
    <row r="65" spans="1:30" x14ac:dyDescent="0.3">
      <c r="A65" t="s">
        <v>2623</v>
      </c>
      <c r="B65" t="s">
        <v>1</v>
      </c>
      <c r="C65">
        <v>-0.4</v>
      </c>
      <c r="D65" t="s">
        <v>2</v>
      </c>
      <c r="E65" t="s">
        <v>2547</v>
      </c>
      <c r="F65" t="str">
        <f t="shared" si="0"/>
        <v xml:space="preserve">bbands_{'P' [('delta'-0.4 1)]}_[7 35]_6 </v>
      </c>
      <c r="G65" t="s">
        <v>2540</v>
      </c>
      <c r="H65">
        <v>169</v>
      </c>
      <c r="I65" t="s">
        <v>5</v>
      </c>
      <c r="J65">
        <v>20</v>
      </c>
      <c r="K65" t="s">
        <v>6</v>
      </c>
      <c r="L65">
        <v>-168.79</v>
      </c>
      <c r="M65" t="s">
        <v>7</v>
      </c>
      <c r="N65">
        <v>-0.99875739644970396</v>
      </c>
      <c r="O65" t="s">
        <v>8</v>
      </c>
      <c r="P65">
        <v>6.0069999999999899</v>
      </c>
      <c r="Q65" t="s">
        <v>9</v>
      </c>
      <c r="R65">
        <v>-1.93912751677852</v>
      </c>
      <c r="S65" t="s">
        <v>10</v>
      </c>
      <c r="T65">
        <v>0.960240312127286</v>
      </c>
      <c r="U65" t="s">
        <v>11</v>
      </c>
      <c r="V65" t="s">
        <v>2626</v>
      </c>
      <c r="W65" t="s">
        <v>2627</v>
      </c>
    </row>
    <row r="66" spans="1:30" x14ac:dyDescent="0.3">
      <c r="A66" t="s">
        <v>2623</v>
      </c>
      <c r="B66" t="s">
        <v>1</v>
      </c>
      <c r="C66">
        <v>-0.4</v>
      </c>
      <c r="D66" t="s">
        <v>2</v>
      </c>
      <c r="E66" t="s">
        <v>2545</v>
      </c>
      <c r="F66" t="str">
        <f t="shared" si="0"/>
        <v xml:space="preserve">bbands_{'P' [('delta'-0.4 1)]}_[7 35]_4 </v>
      </c>
      <c r="G66" t="s">
        <v>2540</v>
      </c>
      <c r="H66">
        <v>169</v>
      </c>
      <c r="I66" t="s">
        <v>5</v>
      </c>
      <c r="J66">
        <v>21</v>
      </c>
      <c r="K66" t="s">
        <v>6</v>
      </c>
      <c r="L66">
        <v>-166.97</v>
      </c>
      <c r="M66" t="s">
        <v>7</v>
      </c>
      <c r="N66">
        <v>-0.98798816568047299</v>
      </c>
      <c r="O66" t="s">
        <v>8</v>
      </c>
      <c r="P66">
        <v>5.6742857142857099</v>
      </c>
      <c r="Q66" t="s">
        <v>9</v>
      </c>
      <c r="R66">
        <v>-1.9333108108108099</v>
      </c>
      <c r="S66" t="s">
        <v>10</v>
      </c>
      <c r="T66">
        <v>0.93979870182560599</v>
      </c>
      <c r="U66" t="s">
        <v>11</v>
      </c>
      <c r="V66" t="s">
        <v>2626</v>
      </c>
      <c r="W66" t="s">
        <v>2627</v>
      </c>
    </row>
    <row r="67" spans="1:30" x14ac:dyDescent="0.3">
      <c r="A67" t="s">
        <v>2811</v>
      </c>
      <c r="B67" t="s">
        <v>1</v>
      </c>
      <c r="C67">
        <v>-0.3</v>
      </c>
      <c r="D67" t="s">
        <v>2</v>
      </c>
      <c r="E67" t="s">
        <v>2547</v>
      </c>
      <c r="F67" t="str">
        <f t="shared" ref="F67:F130" si="1">_xlfn.CONCAT(A67:E67)</f>
        <v xml:space="preserve">stoch_{'P' [('delta'-0.3 1)]}_[7 35]_6 </v>
      </c>
      <c r="G67" t="s">
        <v>2540</v>
      </c>
      <c r="H67">
        <v>375</v>
      </c>
      <c r="I67" t="s">
        <v>5</v>
      </c>
      <c r="J67">
        <v>47</v>
      </c>
      <c r="K67" t="s">
        <v>6</v>
      </c>
      <c r="L67">
        <v>-165.888549172182</v>
      </c>
      <c r="M67" t="s">
        <v>7</v>
      </c>
      <c r="N67">
        <v>-0.44236946445915298</v>
      </c>
      <c r="O67" t="s">
        <v>8</v>
      </c>
      <c r="P67">
        <v>6.5159574468084998</v>
      </c>
      <c r="Q67" t="s">
        <v>9</v>
      </c>
      <c r="R67">
        <v>-1.43944679625665</v>
      </c>
      <c r="S67" t="s">
        <v>10</v>
      </c>
      <c r="T67">
        <v>2.1510401769183698</v>
      </c>
      <c r="U67" t="s">
        <v>11</v>
      </c>
      <c r="V67" t="s">
        <v>2647</v>
      </c>
      <c r="W67" t="s">
        <v>2071</v>
      </c>
      <c r="X67">
        <v>0</v>
      </c>
      <c r="Y67" t="s">
        <v>14</v>
      </c>
      <c r="Z67" t="s">
        <v>15</v>
      </c>
      <c r="AA67" t="s">
        <v>2822</v>
      </c>
      <c r="AB67" t="s">
        <v>2071</v>
      </c>
      <c r="AC67">
        <v>0</v>
      </c>
      <c r="AD67" t="s">
        <v>18</v>
      </c>
    </row>
    <row r="68" spans="1:30" x14ac:dyDescent="0.3">
      <c r="A68" t="s">
        <v>2858</v>
      </c>
      <c r="B68" t="s">
        <v>1</v>
      </c>
      <c r="C68">
        <v>-0.3</v>
      </c>
      <c r="D68" t="s">
        <v>27</v>
      </c>
      <c r="E68" t="s">
        <v>2558</v>
      </c>
      <c r="F68" t="str">
        <f t="shared" si="1"/>
        <v xml:space="preserve">stoch_no_highvol_{'P' [('delta'-0.3 1)]}_[21 49]_6 </v>
      </c>
      <c r="G68" t="s">
        <v>2540</v>
      </c>
      <c r="H68">
        <v>335</v>
      </c>
      <c r="I68" t="s">
        <v>5</v>
      </c>
      <c r="J68">
        <v>30</v>
      </c>
      <c r="K68" t="s">
        <v>6</v>
      </c>
      <c r="L68">
        <v>-163.32999999999899</v>
      </c>
      <c r="M68" t="s">
        <v>7</v>
      </c>
      <c r="N68">
        <v>-0.48755223880596998</v>
      </c>
      <c r="O68" t="s">
        <v>8</v>
      </c>
      <c r="P68">
        <v>11.177</v>
      </c>
      <c r="Q68" t="s">
        <v>9</v>
      </c>
      <c r="R68">
        <v>-1.6348852459016301</v>
      </c>
      <c r="S68" t="s">
        <v>10</v>
      </c>
      <c r="T68">
        <v>1.7155186324954701</v>
      </c>
      <c r="U68" t="s">
        <v>11</v>
      </c>
      <c r="V68" t="s">
        <v>142</v>
      </c>
      <c r="W68" t="s">
        <v>2732</v>
      </c>
      <c r="X68">
        <v>0</v>
      </c>
      <c r="Y68" t="s">
        <v>14</v>
      </c>
      <c r="Z68" t="s">
        <v>15</v>
      </c>
      <c r="AA68" t="s">
        <v>2876</v>
      </c>
      <c r="AB68" t="s">
        <v>2655</v>
      </c>
      <c r="AC68">
        <v>0</v>
      </c>
      <c r="AD68" t="s">
        <v>18</v>
      </c>
    </row>
    <row r="69" spans="1:30" x14ac:dyDescent="0.3">
      <c r="A69" t="s">
        <v>2858</v>
      </c>
      <c r="B69" t="s">
        <v>1</v>
      </c>
      <c r="C69">
        <v>-0.2</v>
      </c>
      <c r="D69" t="s">
        <v>2174</v>
      </c>
      <c r="E69" t="s">
        <v>2562</v>
      </c>
      <c r="F69" t="str">
        <f t="shared" si="1"/>
        <v xml:space="preserve">stoch_no_highvol_{'P' [('delta'-0.2 1)]}_[42 70]_2 </v>
      </c>
      <c r="G69" t="s">
        <v>2540</v>
      </c>
      <c r="H69">
        <v>331</v>
      </c>
      <c r="I69" t="s">
        <v>5</v>
      </c>
      <c r="J69">
        <v>40</v>
      </c>
      <c r="K69" t="s">
        <v>6</v>
      </c>
      <c r="L69">
        <v>-160.22576262073599</v>
      </c>
      <c r="M69" t="s">
        <v>7</v>
      </c>
      <c r="N69">
        <v>-0.48406574809890002</v>
      </c>
      <c r="O69" t="s">
        <v>8</v>
      </c>
      <c r="P69">
        <v>5.3812499999999996</v>
      </c>
      <c r="Q69" t="s">
        <v>9</v>
      </c>
      <c r="R69">
        <v>-1.2902947169097401</v>
      </c>
      <c r="S69" t="s">
        <v>10</v>
      </c>
      <c r="T69">
        <v>1.11799351521031</v>
      </c>
      <c r="U69" t="s">
        <v>11</v>
      </c>
      <c r="V69" t="s">
        <v>2892</v>
      </c>
      <c r="W69" t="s">
        <v>2587</v>
      </c>
      <c r="X69">
        <v>0</v>
      </c>
      <c r="Y69" t="s">
        <v>14</v>
      </c>
      <c r="Z69" t="s">
        <v>15</v>
      </c>
      <c r="AA69" t="s">
        <v>2893</v>
      </c>
      <c r="AB69" t="s">
        <v>2857</v>
      </c>
      <c r="AC69">
        <v>0</v>
      </c>
      <c r="AD69" t="s">
        <v>18</v>
      </c>
    </row>
    <row r="70" spans="1:30" x14ac:dyDescent="0.3">
      <c r="A70" t="s">
        <v>2811</v>
      </c>
      <c r="B70" t="s">
        <v>1</v>
      </c>
      <c r="C70">
        <v>-0.4</v>
      </c>
      <c r="D70" t="s">
        <v>2174</v>
      </c>
      <c r="E70" t="s">
        <v>2559</v>
      </c>
      <c r="F70" t="str">
        <f t="shared" si="1"/>
        <v xml:space="preserve">stoch_{'P' [('delta'-0.4 1)]}_[42 70]_1 </v>
      </c>
      <c r="G70" t="s">
        <v>2540</v>
      </c>
      <c r="H70">
        <v>370</v>
      </c>
      <c r="I70" t="s">
        <v>5</v>
      </c>
      <c r="J70">
        <v>104</v>
      </c>
      <c r="K70" t="s">
        <v>6</v>
      </c>
      <c r="L70">
        <v>-156.21055158990899</v>
      </c>
      <c r="M70" t="s">
        <v>7</v>
      </c>
      <c r="N70">
        <v>-0.42219067997272902</v>
      </c>
      <c r="O70" t="s">
        <v>8</v>
      </c>
      <c r="P70">
        <v>6.7292031668377801</v>
      </c>
      <c r="Q70" t="s">
        <v>9</v>
      </c>
      <c r="R70">
        <v>-3.2182243644399899</v>
      </c>
      <c r="S70" t="s">
        <v>10</v>
      </c>
      <c r="T70">
        <v>2.4284397421747901</v>
      </c>
      <c r="U70" t="s">
        <v>11</v>
      </c>
      <c r="V70" t="s">
        <v>1387</v>
      </c>
      <c r="W70" t="s">
        <v>2557</v>
      </c>
      <c r="X70">
        <v>0</v>
      </c>
      <c r="Y70" t="s">
        <v>14</v>
      </c>
      <c r="Z70" t="s">
        <v>15</v>
      </c>
      <c r="AA70" t="s">
        <v>2818</v>
      </c>
      <c r="AB70" t="s">
        <v>2046</v>
      </c>
      <c r="AC70">
        <v>0</v>
      </c>
      <c r="AD70" t="s">
        <v>18</v>
      </c>
    </row>
    <row r="71" spans="1:30" x14ac:dyDescent="0.3">
      <c r="A71" t="s">
        <v>2811</v>
      </c>
      <c r="B71" t="s">
        <v>1</v>
      </c>
      <c r="C71">
        <v>-0.2</v>
      </c>
      <c r="D71" t="s">
        <v>27</v>
      </c>
      <c r="E71" t="s">
        <v>2555</v>
      </c>
      <c r="F71" t="str">
        <f t="shared" si="1"/>
        <v xml:space="preserve">stoch_{'P' [('delta'-0.2 1)]}_[21 49]_4 </v>
      </c>
      <c r="G71" t="s">
        <v>2540</v>
      </c>
      <c r="H71">
        <v>376</v>
      </c>
      <c r="I71" t="s">
        <v>5</v>
      </c>
      <c r="J71">
        <v>25</v>
      </c>
      <c r="K71" t="s">
        <v>6</v>
      </c>
      <c r="L71">
        <v>-154.96849834265399</v>
      </c>
      <c r="M71" t="s">
        <v>7</v>
      </c>
      <c r="N71">
        <v>-0.41215026154961298</v>
      </c>
      <c r="O71" t="s">
        <v>8</v>
      </c>
      <c r="P71">
        <v>9.8247999999999998</v>
      </c>
      <c r="Q71" t="s">
        <v>9</v>
      </c>
      <c r="R71">
        <v>-1.14127777305599</v>
      </c>
      <c r="S71" t="s">
        <v>10</v>
      </c>
      <c r="T71">
        <v>1.6065887974828299</v>
      </c>
      <c r="U71" t="s">
        <v>11</v>
      </c>
      <c r="V71" t="s">
        <v>2832</v>
      </c>
      <c r="W71" t="s">
        <v>2071</v>
      </c>
      <c r="X71">
        <v>0</v>
      </c>
      <c r="Y71" t="s">
        <v>14</v>
      </c>
      <c r="Z71" t="s">
        <v>15</v>
      </c>
      <c r="AA71" t="s">
        <v>2837</v>
      </c>
      <c r="AB71" t="s">
        <v>2557</v>
      </c>
      <c r="AC71">
        <v>0</v>
      </c>
      <c r="AD71" t="s">
        <v>18</v>
      </c>
    </row>
    <row r="72" spans="1:30" x14ac:dyDescent="0.3">
      <c r="A72" t="s">
        <v>2858</v>
      </c>
      <c r="B72" t="s">
        <v>1</v>
      </c>
      <c r="C72">
        <v>-0.3</v>
      </c>
      <c r="D72" t="s">
        <v>2174</v>
      </c>
      <c r="E72" t="s">
        <v>2562</v>
      </c>
      <c r="F72" t="str">
        <f t="shared" si="1"/>
        <v xml:space="preserve">stoch_no_highvol_{'P' [('delta'-0.3 1)]}_[42 70]_2 </v>
      </c>
      <c r="G72" t="s">
        <v>2540</v>
      </c>
      <c r="H72">
        <v>331</v>
      </c>
      <c r="I72" t="s">
        <v>5</v>
      </c>
      <c r="J72">
        <v>57</v>
      </c>
      <c r="K72" t="s">
        <v>6</v>
      </c>
      <c r="L72">
        <v>-151.44362564775901</v>
      </c>
      <c r="M72" t="s">
        <v>7</v>
      </c>
      <c r="N72">
        <v>-0.45753361222887901</v>
      </c>
      <c r="O72" t="s">
        <v>8</v>
      </c>
      <c r="P72">
        <v>7.5105263157894697</v>
      </c>
      <c r="Q72" t="s">
        <v>9</v>
      </c>
      <c r="R72">
        <v>-2.1151227213421802</v>
      </c>
      <c r="S72" t="s">
        <v>10</v>
      </c>
      <c r="T72">
        <v>1.82520254210271</v>
      </c>
      <c r="U72" t="s">
        <v>11</v>
      </c>
      <c r="V72" t="s">
        <v>2790</v>
      </c>
      <c r="W72" t="s">
        <v>2568</v>
      </c>
      <c r="X72">
        <v>0</v>
      </c>
      <c r="Y72" t="s">
        <v>14</v>
      </c>
      <c r="Z72" t="s">
        <v>15</v>
      </c>
      <c r="AA72" t="s">
        <v>2884</v>
      </c>
      <c r="AB72" t="s">
        <v>2857</v>
      </c>
      <c r="AC72">
        <v>0</v>
      </c>
      <c r="AD72" t="s">
        <v>18</v>
      </c>
    </row>
    <row r="73" spans="1:30" x14ac:dyDescent="0.3">
      <c r="A73" t="s">
        <v>2811</v>
      </c>
      <c r="B73" t="s">
        <v>1</v>
      </c>
      <c r="C73">
        <v>-0.2</v>
      </c>
      <c r="D73" t="s">
        <v>2174</v>
      </c>
      <c r="E73" t="s">
        <v>2565</v>
      </c>
      <c r="F73" t="str">
        <f t="shared" si="1"/>
        <v xml:space="preserve">stoch_{'P' [('delta'-0.2 1)]}_[42 70]_4 </v>
      </c>
      <c r="G73" t="s">
        <v>2540</v>
      </c>
      <c r="H73">
        <v>370</v>
      </c>
      <c r="I73" t="s">
        <v>5</v>
      </c>
      <c r="J73">
        <v>33</v>
      </c>
      <c r="K73" t="s">
        <v>6</v>
      </c>
      <c r="L73">
        <v>-151.349712251721</v>
      </c>
      <c r="M73" t="s">
        <v>7</v>
      </c>
      <c r="N73">
        <v>-0.40905327635600303</v>
      </c>
      <c r="O73" t="s">
        <v>8</v>
      </c>
      <c r="P73">
        <v>9.95818181818181</v>
      </c>
      <c r="Q73" t="s">
        <v>9</v>
      </c>
      <c r="R73">
        <v>-1.42424246958967</v>
      </c>
      <c r="S73" t="s">
        <v>10</v>
      </c>
      <c r="T73">
        <v>1.7147099244007999</v>
      </c>
      <c r="U73" t="s">
        <v>11</v>
      </c>
      <c r="V73" t="s">
        <v>2842</v>
      </c>
      <c r="W73" t="s">
        <v>2557</v>
      </c>
      <c r="X73">
        <v>0</v>
      </c>
      <c r="Y73" t="s">
        <v>14</v>
      </c>
      <c r="Z73" t="s">
        <v>15</v>
      </c>
      <c r="AA73" t="s">
        <v>2843</v>
      </c>
      <c r="AB73" t="s">
        <v>2071</v>
      </c>
      <c r="AC73">
        <v>0</v>
      </c>
      <c r="AD73" t="s">
        <v>18</v>
      </c>
    </row>
    <row r="74" spans="1:30" x14ac:dyDescent="0.3">
      <c r="A74" t="s">
        <v>2811</v>
      </c>
      <c r="B74" t="s">
        <v>1</v>
      </c>
      <c r="C74">
        <v>-0.3</v>
      </c>
      <c r="D74" t="s">
        <v>2174</v>
      </c>
      <c r="E74" t="s">
        <v>2565</v>
      </c>
      <c r="F74" t="str">
        <f t="shared" si="1"/>
        <v xml:space="preserve">stoch_{'P' [('delta'-0.3 1)]}_[42 70]_4 </v>
      </c>
      <c r="G74" t="s">
        <v>2540</v>
      </c>
      <c r="H74">
        <v>370</v>
      </c>
      <c r="I74" t="s">
        <v>5</v>
      </c>
      <c r="J74">
        <v>50</v>
      </c>
      <c r="K74" t="s">
        <v>6</v>
      </c>
      <c r="L74">
        <v>-148.37420511928599</v>
      </c>
      <c r="M74" t="s">
        <v>7</v>
      </c>
      <c r="N74">
        <v>-0.40101136518726099</v>
      </c>
      <c r="O74" t="s">
        <v>8</v>
      </c>
      <c r="P74">
        <v>11.997</v>
      </c>
      <c r="Q74" t="s">
        <v>9</v>
      </c>
      <c r="R74">
        <v>-2.33820064099777</v>
      </c>
      <c r="S74" t="s">
        <v>10</v>
      </c>
      <c r="T74">
        <v>2.56455571800399</v>
      </c>
      <c r="U74" t="s">
        <v>11</v>
      </c>
      <c r="V74" t="s">
        <v>2027</v>
      </c>
      <c r="W74" t="s">
        <v>2557</v>
      </c>
      <c r="X74">
        <v>0</v>
      </c>
      <c r="Y74" t="s">
        <v>14</v>
      </c>
      <c r="Z74" t="s">
        <v>15</v>
      </c>
      <c r="AA74" t="s">
        <v>2829</v>
      </c>
      <c r="AB74" t="s">
        <v>2631</v>
      </c>
      <c r="AC74">
        <v>0</v>
      </c>
      <c r="AD74" t="s">
        <v>18</v>
      </c>
    </row>
    <row r="75" spans="1:30" x14ac:dyDescent="0.3">
      <c r="A75" t="s">
        <v>2538</v>
      </c>
      <c r="B75" t="s">
        <v>1</v>
      </c>
      <c r="C75">
        <v>-0.1</v>
      </c>
      <c r="D75" t="s">
        <v>27</v>
      </c>
      <c r="E75" t="s">
        <v>2550</v>
      </c>
      <c r="F75" t="str">
        <f t="shared" si="1"/>
        <v xml:space="preserve">alltime_{'P' [('delta'-0.1 1)]}_[21 49]_1 </v>
      </c>
      <c r="G75" t="s">
        <v>2540</v>
      </c>
      <c r="H75">
        <v>3050</v>
      </c>
      <c r="I75" t="s">
        <v>5</v>
      </c>
      <c r="J75">
        <v>789</v>
      </c>
      <c r="K75" t="s">
        <v>6</v>
      </c>
      <c r="L75">
        <v>-143.914227597755</v>
      </c>
      <c r="M75" t="s">
        <v>7</v>
      </c>
      <c r="N75">
        <v>-4.7184992655001902E-2</v>
      </c>
      <c r="O75" t="s">
        <v>8</v>
      </c>
      <c r="P75">
        <v>1.4162328852222801</v>
      </c>
      <c r="Q75" t="s">
        <v>9</v>
      </c>
      <c r="R75">
        <v>-0.55786022734990404</v>
      </c>
      <c r="S75" t="s">
        <v>10</v>
      </c>
      <c r="T75">
        <v>2.0920645107168898</v>
      </c>
      <c r="U75" t="s">
        <v>11</v>
      </c>
      <c r="V75" t="s">
        <v>2609</v>
      </c>
      <c r="W75" t="s">
        <v>2610</v>
      </c>
      <c r="X75">
        <v>0</v>
      </c>
      <c r="Y75" t="s">
        <v>14</v>
      </c>
      <c r="Z75" t="s">
        <v>15</v>
      </c>
      <c r="AA75" t="s">
        <v>2616</v>
      </c>
      <c r="AB75" t="s">
        <v>2617</v>
      </c>
      <c r="AC75">
        <v>0</v>
      </c>
      <c r="AD75" t="s">
        <v>18</v>
      </c>
    </row>
    <row r="76" spans="1:30" x14ac:dyDescent="0.3">
      <c r="A76" t="s">
        <v>2858</v>
      </c>
      <c r="B76" t="s">
        <v>1</v>
      </c>
      <c r="C76">
        <v>-0.3</v>
      </c>
      <c r="D76" t="s">
        <v>27</v>
      </c>
      <c r="E76" t="s">
        <v>2550</v>
      </c>
      <c r="F76" t="str">
        <f t="shared" si="1"/>
        <v xml:space="preserve">stoch_no_highvol_{'P' [('delta'-0.3 1)]}_[21 49]_1 </v>
      </c>
      <c r="G76" t="s">
        <v>2540</v>
      </c>
      <c r="H76">
        <v>335</v>
      </c>
      <c r="I76" t="s">
        <v>5</v>
      </c>
      <c r="J76">
        <v>71</v>
      </c>
      <c r="K76" t="s">
        <v>6</v>
      </c>
      <c r="L76">
        <v>-140.91999999999899</v>
      </c>
      <c r="M76" t="s">
        <v>7</v>
      </c>
      <c r="N76">
        <v>-0.42065671641791003</v>
      </c>
      <c r="O76" t="s">
        <v>8</v>
      </c>
      <c r="P76">
        <v>3.9552112676056299</v>
      </c>
      <c r="Q76" t="s">
        <v>9</v>
      </c>
      <c r="R76">
        <v>-1.5974999999999999</v>
      </c>
      <c r="S76" t="s">
        <v>10</v>
      </c>
      <c r="T76">
        <v>1.1260303860815499</v>
      </c>
      <c r="U76" t="s">
        <v>11</v>
      </c>
      <c r="V76" t="s">
        <v>2877</v>
      </c>
      <c r="W76" t="s">
        <v>2878</v>
      </c>
      <c r="X76">
        <v>0</v>
      </c>
      <c r="Y76" t="s">
        <v>14</v>
      </c>
      <c r="Z76" t="s">
        <v>15</v>
      </c>
      <c r="AA76" t="s">
        <v>2879</v>
      </c>
      <c r="AB76" t="s">
        <v>2865</v>
      </c>
      <c r="AC76">
        <v>0</v>
      </c>
      <c r="AD76" t="s">
        <v>18</v>
      </c>
    </row>
    <row r="77" spans="1:30" x14ac:dyDescent="0.3">
      <c r="A77" t="s">
        <v>2811</v>
      </c>
      <c r="B77" t="s">
        <v>1</v>
      </c>
      <c r="C77">
        <v>-0.4</v>
      </c>
      <c r="D77" t="s">
        <v>2</v>
      </c>
      <c r="E77" t="s">
        <v>2547</v>
      </c>
      <c r="F77" t="str">
        <f t="shared" si="1"/>
        <v xml:space="preserve">stoch_{'P' [('delta'-0.4 1)]}_[7 35]_6 </v>
      </c>
      <c r="G77" t="s">
        <v>2540</v>
      </c>
      <c r="H77">
        <v>375</v>
      </c>
      <c r="I77" t="s">
        <v>5</v>
      </c>
      <c r="J77">
        <v>67</v>
      </c>
      <c r="K77" t="s">
        <v>6</v>
      </c>
      <c r="L77">
        <v>-140.72</v>
      </c>
      <c r="M77" t="s">
        <v>7</v>
      </c>
      <c r="N77">
        <v>-0.37525333333333299</v>
      </c>
      <c r="O77" t="s">
        <v>8</v>
      </c>
      <c r="P77">
        <v>7.30253731343283</v>
      </c>
      <c r="Q77" t="s">
        <v>9</v>
      </c>
      <c r="R77">
        <v>-2.04542207792207</v>
      </c>
      <c r="S77" t="s">
        <v>10</v>
      </c>
      <c r="T77">
        <v>2.8265365034265</v>
      </c>
      <c r="U77" t="s">
        <v>11</v>
      </c>
      <c r="V77" t="s">
        <v>2633</v>
      </c>
      <c r="W77" t="s">
        <v>2071</v>
      </c>
      <c r="X77">
        <v>0</v>
      </c>
      <c r="Y77" t="s">
        <v>14</v>
      </c>
      <c r="Z77" t="s">
        <v>15</v>
      </c>
      <c r="AA77" t="s">
        <v>2814</v>
      </c>
      <c r="AB77" t="s">
        <v>2071</v>
      </c>
      <c r="AC77">
        <v>0</v>
      </c>
      <c r="AD77" t="s">
        <v>18</v>
      </c>
    </row>
    <row r="78" spans="1:30" x14ac:dyDescent="0.3">
      <c r="A78" t="s">
        <v>2623</v>
      </c>
      <c r="B78" t="s">
        <v>1</v>
      </c>
      <c r="C78">
        <v>-0.4</v>
      </c>
      <c r="D78" t="s">
        <v>27</v>
      </c>
      <c r="E78" t="s">
        <v>2555</v>
      </c>
      <c r="F78" t="str">
        <f t="shared" si="1"/>
        <v xml:space="preserve">bbands_{'P' [('delta'-0.4 1)]}_[21 49]_4 </v>
      </c>
      <c r="G78" t="s">
        <v>2540</v>
      </c>
      <c r="H78">
        <v>178</v>
      </c>
      <c r="I78" t="s">
        <v>5</v>
      </c>
      <c r="J78">
        <v>25</v>
      </c>
      <c r="K78" t="s">
        <v>6</v>
      </c>
      <c r="L78">
        <v>-135.29</v>
      </c>
      <c r="M78" t="s">
        <v>7</v>
      </c>
      <c r="N78">
        <v>-0.76005617977528095</v>
      </c>
      <c r="O78" t="s">
        <v>8</v>
      </c>
      <c r="P78">
        <v>9.8671999999999898</v>
      </c>
      <c r="Q78" t="s">
        <v>9</v>
      </c>
      <c r="R78">
        <v>-2.4965359477124101</v>
      </c>
      <c r="S78" t="s">
        <v>10</v>
      </c>
      <c r="T78">
        <v>1.4793849607927601</v>
      </c>
      <c r="U78" t="s">
        <v>11</v>
      </c>
      <c r="V78" t="s">
        <v>2633</v>
      </c>
      <c r="W78" t="s">
        <v>2071</v>
      </c>
      <c r="X78">
        <v>0</v>
      </c>
      <c r="Y78" t="s">
        <v>14</v>
      </c>
      <c r="Z78" t="s">
        <v>15</v>
      </c>
      <c r="AA78" t="s">
        <v>2634</v>
      </c>
      <c r="AB78" t="s">
        <v>2071</v>
      </c>
      <c r="AC78">
        <v>0</v>
      </c>
      <c r="AD78" t="s">
        <v>18</v>
      </c>
    </row>
    <row r="79" spans="1:30" x14ac:dyDescent="0.3">
      <c r="A79" t="s">
        <v>2858</v>
      </c>
      <c r="B79" t="s">
        <v>1</v>
      </c>
      <c r="C79">
        <v>-0.4</v>
      </c>
      <c r="D79" t="s">
        <v>27</v>
      </c>
      <c r="E79" t="s">
        <v>2550</v>
      </c>
      <c r="F79" t="str">
        <f t="shared" si="1"/>
        <v xml:space="preserve">stoch_no_highvol_{'P' [('delta'-0.4 1)]}_[21 49]_1 </v>
      </c>
      <c r="G79" t="s">
        <v>2540</v>
      </c>
      <c r="H79">
        <v>335</v>
      </c>
      <c r="I79" t="s">
        <v>5</v>
      </c>
      <c r="J79">
        <v>82</v>
      </c>
      <c r="K79" t="s">
        <v>6</v>
      </c>
      <c r="L79">
        <v>-131.59</v>
      </c>
      <c r="M79" t="s">
        <v>7</v>
      </c>
      <c r="N79">
        <v>-0.392805970149254</v>
      </c>
      <c r="O79" t="s">
        <v>8</v>
      </c>
      <c r="P79">
        <v>5.4356097560975503</v>
      </c>
      <c r="Q79" t="s">
        <v>9</v>
      </c>
      <c r="R79">
        <v>-2.28185770750988</v>
      </c>
      <c r="S79" t="s">
        <v>10</v>
      </c>
      <c r="T79">
        <v>1.5949786896098499</v>
      </c>
      <c r="U79" t="s">
        <v>11</v>
      </c>
      <c r="V79" t="s">
        <v>1298</v>
      </c>
      <c r="W79" t="s">
        <v>2863</v>
      </c>
      <c r="X79">
        <v>0</v>
      </c>
      <c r="Y79" t="s">
        <v>14</v>
      </c>
      <c r="Z79" t="s">
        <v>15</v>
      </c>
      <c r="AA79" t="s">
        <v>2864</v>
      </c>
      <c r="AB79" t="s">
        <v>2865</v>
      </c>
      <c r="AC79">
        <v>0</v>
      </c>
      <c r="AD79" t="s">
        <v>18</v>
      </c>
    </row>
    <row r="80" spans="1:30" x14ac:dyDescent="0.3">
      <c r="A80" t="s">
        <v>2683</v>
      </c>
      <c r="B80" t="s">
        <v>1</v>
      </c>
      <c r="C80">
        <v>-0.4</v>
      </c>
      <c r="D80" t="s">
        <v>2</v>
      </c>
      <c r="E80" t="s">
        <v>2547</v>
      </c>
      <c r="F80" t="str">
        <f t="shared" si="1"/>
        <v xml:space="preserve">bbands_no_highvol_{'P' [('delta'-0.4 1)]}_[7 35]_6 </v>
      </c>
      <c r="G80" t="s">
        <v>2540</v>
      </c>
      <c r="H80">
        <v>155</v>
      </c>
      <c r="I80" t="s">
        <v>5</v>
      </c>
      <c r="J80">
        <v>19</v>
      </c>
      <c r="K80" t="s">
        <v>6</v>
      </c>
      <c r="L80">
        <v>-128.47999999999999</v>
      </c>
      <c r="M80" t="s">
        <v>7</v>
      </c>
      <c r="N80">
        <v>-0.82890322580645204</v>
      </c>
      <c r="O80" t="s">
        <v>8</v>
      </c>
      <c r="P80">
        <v>6.2678947368421003</v>
      </c>
      <c r="Q80" t="s">
        <v>9</v>
      </c>
      <c r="R80">
        <v>-1.8203676470588199</v>
      </c>
      <c r="S80" t="s">
        <v>10</v>
      </c>
      <c r="T80">
        <v>0.85039136599029297</v>
      </c>
      <c r="U80" t="s">
        <v>11</v>
      </c>
      <c r="V80" t="s">
        <v>2688</v>
      </c>
      <c r="W80" t="s">
        <v>2666</v>
      </c>
      <c r="X80">
        <v>0</v>
      </c>
      <c r="Y80" t="s">
        <v>14</v>
      </c>
      <c r="Z80" t="s">
        <v>15</v>
      </c>
      <c r="AA80" t="s">
        <v>2687</v>
      </c>
      <c r="AB80" t="s">
        <v>2655</v>
      </c>
      <c r="AC80">
        <v>0</v>
      </c>
      <c r="AD80" t="s">
        <v>18</v>
      </c>
    </row>
    <row r="81" spans="1:30" x14ac:dyDescent="0.3">
      <c r="A81" t="s">
        <v>2623</v>
      </c>
      <c r="B81" t="s">
        <v>1</v>
      </c>
      <c r="C81">
        <v>-0.4</v>
      </c>
      <c r="D81" t="s">
        <v>2</v>
      </c>
      <c r="E81" t="s">
        <v>2543</v>
      </c>
      <c r="F81" t="str">
        <f t="shared" si="1"/>
        <v xml:space="preserve">bbands_{'P' [('delta'-0.4 1)]}_[7 35]_2 </v>
      </c>
      <c r="G81" t="s">
        <v>2540</v>
      </c>
      <c r="H81">
        <v>169</v>
      </c>
      <c r="I81" t="s">
        <v>5</v>
      </c>
      <c r="J81">
        <v>25</v>
      </c>
      <c r="K81" t="s">
        <v>6</v>
      </c>
      <c r="L81">
        <v>-128.09</v>
      </c>
      <c r="M81" t="s">
        <v>7</v>
      </c>
      <c r="N81">
        <v>-0.75792899408283998</v>
      </c>
      <c r="O81" t="s">
        <v>8</v>
      </c>
      <c r="P81">
        <v>5.8507999999999898</v>
      </c>
      <c r="Q81" t="s">
        <v>9</v>
      </c>
      <c r="R81">
        <v>-1.9052777777777701</v>
      </c>
      <c r="S81" t="s">
        <v>10</v>
      </c>
      <c r="T81">
        <v>0.83256910892248603</v>
      </c>
      <c r="U81" t="s">
        <v>11</v>
      </c>
      <c r="V81" t="s">
        <v>2626</v>
      </c>
      <c r="W81" t="s">
        <v>2627</v>
      </c>
    </row>
    <row r="82" spans="1:30" x14ac:dyDescent="0.3">
      <c r="A82" t="s">
        <v>2683</v>
      </c>
      <c r="B82" t="s">
        <v>1</v>
      </c>
      <c r="C82">
        <v>-0.4</v>
      </c>
      <c r="D82" t="s">
        <v>2</v>
      </c>
      <c r="E82" t="s">
        <v>2545</v>
      </c>
      <c r="F82" t="str">
        <f t="shared" si="1"/>
        <v xml:space="preserve">bbands_no_highvol_{'P' [('delta'-0.4 1)]}_[7 35]_4 </v>
      </c>
      <c r="G82" t="s">
        <v>2540</v>
      </c>
      <c r="H82">
        <v>155</v>
      </c>
      <c r="I82" t="s">
        <v>5</v>
      </c>
      <c r="J82">
        <v>20</v>
      </c>
      <c r="K82" t="s">
        <v>6</v>
      </c>
      <c r="L82">
        <v>-126.66</v>
      </c>
      <c r="M82" t="s">
        <v>7</v>
      </c>
      <c r="N82">
        <v>-0.81716129032258</v>
      </c>
      <c r="O82" t="s">
        <v>8</v>
      </c>
      <c r="P82">
        <v>5.9054999999999902</v>
      </c>
      <c r="Q82" t="s">
        <v>9</v>
      </c>
      <c r="R82">
        <v>-1.81311111111111</v>
      </c>
      <c r="S82" t="s">
        <v>10</v>
      </c>
      <c r="T82">
        <v>0.827217812546441</v>
      </c>
      <c r="U82" t="s">
        <v>11</v>
      </c>
      <c r="V82" t="s">
        <v>2685</v>
      </c>
      <c r="W82" t="s">
        <v>2686</v>
      </c>
      <c r="X82">
        <v>0</v>
      </c>
      <c r="Y82" t="s">
        <v>14</v>
      </c>
      <c r="Z82" t="s">
        <v>15</v>
      </c>
      <c r="AA82" t="s">
        <v>2687</v>
      </c>
      <c r="AB82" t="s">
        <v>2655</v>
      </c>
      <c r="AC82">
        <v>0</v>
      </c>
      <c r="AD82" t="s">
        <v>18</v>
      </c>
    </row>
    <row r="83" spans="1:30" x14ac:dyDescent="0.3">
      <c r="A83" t="s">
        <v>2811</v>
      </c>
      <c r="B83" t="s">
        <v>1</v>
      </c>
      <c r="C83">
        <v>-0.2</v>
      </c>
      <c r="D83" t="s">
        <v>2</v>
      </c>
      <c r="E83" t="s">
        <v>2547</v>
      </c>
      <c r="F83" t="str">
        <f t="shared" si="1"/>
        <v xml:space="preserve">stoch_{'P' [('delta'-0.2 1)]}_[7 35]_6 </v>
      </c>
      <c r="G83" t="s">
        <v>2540</v>
      </c>
      <c r="H83">
        <v>375</v>
      </c>
      <c r="I83" t="s">
        <v>5</v>
      </c>
      <c r="J83">
        <v>33</v>
      </c>
      <c r="K83" t="s">
        <v>6</v>
      </c>
      <c r="L83">
        <v>-123.388498342654</v>
      </c>
      <c r="M83" t="s">
        <v>7</v>
      </c>
      <c r="N83">
        <v>-0.32903599558041202</v>
      </c>
      <c r="O83" t="s">
        <v>8</v>
      </c>
      <c r="P83">
        <v>5.6896969696969597</v>
      </c>
      <c r="Q83" t="s">
        <v>9</v>
      </c>
      <c r="R83">
        <v>-0.909790930826475</v>
      </c>
      <c r="S83" t="s">
        <v>10</v>
      </c>
      <c r="T83">
        <v>1.4958559776554099</v>
      </c>
      <c r="U83" t="s">
        <v>11</v>
      </c>
      <c r="V83" t="s">
        <v>2832</v>
      </c>
      <c r="W83" t="s">
        <v>2071</v>
      </c>
      <c r="X83">
        <v>0</v>
      </c>
      <c r="Y83" t="s">
        <v>14</v>
      </c>
      <c r="Z83" t="s">
        <v>15</v>
      </c>
      <c r="AA83" t="s">
        <v>2835</v>
      </c>
      <c r="AB83" t="s">
        <v>2071</v>
      </c>
      <c r="AC83">
        <v>0</v>
      </c>
      <c r="AD83" t="s">
        <v>18</v>
      </c>
    </row>
    <row r="84" spans="1:30" x14ac:dyDescent="0.3">
      <c r="A84" t="s">
        <v>2858</v>
      </c>
      <c r="B84" t="s">
        <v>1</v>
      </c>
      <c r="C84">
        <v>-0.4</v>
      </c>
      <c r="D84" t="s">
        <v>2174</v>
      </c>
      <c r="E84" t="s">
        <v>2562</v>
      </c>
      <c r="F84" t="str">
        <f t="shared" si="1"/>
        <v xml:space="preserve">stoch_no_highvol_{'P' [('delta'-0.4 1)]}_[42 70]_2 </v>
      </c>
      <c r="G84" t="s">
        <v>2540</v>
      </c>
      <c r="H84">
        <v>331</v>
      </c>
      <c r="I84" t="s">
        <v>5</v>
      </c>
      <c r="J84">
        <v>62</v>
      </c>
      <c r="K84" t="s">
        <v>6</v>
      </c>
      <c r="L84">
        <v>-122.506260100373</v>
      </c>
      <c r="M84" t="s">
        <v>7</v>
      </c>
      <c r="N84">
        <v>-0.370109547131039</v>
      </c>
      <c r="O84" t="s">
        <v>8</v>
      </c>
      <c r="P84">
        <v>10.8190545679546</v>
      </c>
      <c r="Q84" t="s">
        <v>9</v>
      </c>
      <c r="R84">
        <v>-2.9490246963329301</v>
      </c>
      <c r="S84" t="s">
        <v>10</v>
      </c>
      <c r="T84">
        <v>2.42796098944592</v>
      </c>
      <c r="U84" t="s">
        <v>11</v>
      </c>
      <c r="V84" t="s">
        <v>2782</v>
      </c>
      <c r="W84" t="s">
        <v>2568</v>
      </c>
      <c r="X84">
        <v>0</v>
      </c>
      <c r="Y84" t="s">
        <v>14</v>
      </c>
      <c r="Z84" t="s">
        <v>15</v>
      </c>
      <c r="AA84" t="s">
        <v>2869</v>
      </c>
      <c r="AB84" t="s">
        <v>2655</v>
      </c>
      <c r="AC84">
        <v>0</v>
      </c>
      <c r="AD84" t="s">
        <v>18</v>
      </c>
    </row>
    <row r="85" spans="1:30" x14ac:dyDescent="0.3">
      <c r="A85" t="s">
        <v>2811</v>
      </c>
      <c r="B85" t="s">
        <v>1</v>
      </c>
      <c r="C85">
        <v>-0.4</v>
      </c>
      <c r="D85" t="s">
        <v>2</v>
      </c>
      <c r="E85" t="s">
        <v>2543</v>
      </c>
      <c r="F85" t="str">
        <f t="shared" si="1"/>
        <v xml:space="preserve">stoch_{'P' [('delta'-0.4 1)]}_[7 35]_2 </v>
      </c>
      <c r="G85" t="s">
        <v>2540</v>
      </c>
      <c r="H85">
        <v>375</v>
      </c>
      <c r="I85" t="s">
        <v>5</v>
      </c>
      <c r="J85">
        <v>80</v>
      </c>
      <c r="K85" t="s">
        <v>6</v>
      </c>
      <c r="L85">
        <v>-118.71</v>
      </c>
      <c r="M85" t="s">
        <v>7</v>
      </c>
      <c r="N85">
        <v>-0.31656000000000001</v>
      </c>
      <c r="O85" t="s">
        <v>8</v>
      </c>
      <c r="P85">
        <v>5.9424999999999901</v>
      </c>
      <c r="Q85" t="s">
        <v>9</v>
      </c>
      <c r="R85">
        <v>-2.0139322033898299</v>
      </c>
      <c r="S85" t="s">
        <v>10</v>
      </c>
      <c r="T85">
        <v>2.34127636812243</v>
      </c>
      <c r="U85" t="s">
        <v>11</v>
      </c>
      <c r="V85" t="s">
        <v>2747</v>
      </c>
      <c r="W85" t="s">
        <v>2587</v>
      </c>
      <c r="X85">
        <v>0</v>
      </c>
      <c r="Y85" t="s">
        <v>14</v>
      </c>
      <c r="Z85" t="s">
        <v>15</v>
      </c>
      <c r="AA85" t="s">
        <v>2813</v>
      </c>
      <c r="AB85" t="s">
        <v>2046</v>
      </c>
      <c r="AC85">
        <v>0</v>
      </c>
      <c r="AD85" t="s">
        <v>18</v>
      </c>
    </row>
    <row r="86" spans="1:30" x14ac:dyDescent="0.3">
      <c r="A86" t="s">
        <v>2811</v>
      </c>
      <c r="B86" t="s">
        <v>1</v>
      </c>
      <c r="C86">
        <v>-0.4</v>
      </c>
      <c r="D86" t="s">
        <v>27</v>
      </c>
      <c r="E86" t="s">
        <v>2550</v>
      </c>
      <c r="F86" t="str">
        <f t="shared" si="1"/>
        <v xml:space="preserve">stoch_{'P' [('delta'-0.4 1)]}_[21 49]_1 </v>
      </c>
      <c r="G86" t="s">
        <v>2540</v>
      </c>
      <c r="H86">
        <v>376</v>
      </c>
      <c r="I86" t="s">
        <v>5</v>
      </c>
      <c r="J86">
        <v>97</v>
      </c>
      <c r="K86" t="s">
        <v>6</v>
      </c>
      <c r="L86">
        <v>-118.07</v>
      </c>
      <c r="M86" t="s">
        <v>7</v>
      </c>
      <c r="N86">
        <v>-0.31401595744680799</v>
      </c>
      <c r="O86" t="s">
        <v>8</v>
      </c>
      <c r="P86">
        <v>5.9897938144329803</v>
      </c>
      <c r="Q86" t="s">
        <v>9</v>
      </c>
      <c r="R86">
        <v>-2.5056630824372701</v>
      </c>
      <c r="S86" t="s">
        <v>10</v>
      </c>
      <c r="T86">
        <v>2.0441641288237098</v>
      </c>
      <c r="U86" t="s">
        <v>11</v>
      </c>
      <c r="V86" t="s">
        <v>2624</v>
      </c>
      <c r="W86" t="s">
        <v>2046</v>
      </c>
      <c r="X86">
        <v>0</v>
      </c>
      <c r="Y86" t="s">
        <v>14</v>
      </c>
      <c r="Z86" t="s">
        <v>15</v>
      </c>
      <c r="AA86" t="s">
        <v>2815</v>
      </c>
      <c r="AB86" t="s">
        <v>2046</v>
      </c>
      <c r="AC86">
        <v>0</v>
      </c>
      <c r="AD86" t="s">
        <v>18</v>
      </c>
    </row>
    <row r="87" spans="1:30" x14ac:dyDescent="0.3">
      <c r="A87" t="s">
        <v>2811</v>
      </c>
      <c r="B87" t="s">
        <v>1</v>
      </c>
      <c r="C87">
        <v>-0.4</v>
      </c>
      <c r="D87" t="s">
        <v>2174</v>
      </c>
      <c r="E87" t="s">
        <v>2569</v>
      </c>
      <c r="F87" t="str">
        <f t="shared" si="1"/>
        <v xml:space="preserve">stoch_{'P' [('delta'-0.4 1)]}_[42 70]_6 </v>
      </c>
      <c r="G87" t="s">
        <v>2540</v>
      </c>
      <c r="H87">
        <v>370</v>
      </c>
      <c r="I87" t="s">
        <v>5</v>
      </c>
      <c r="J87">
        <v>59</v>
      </c>
      <c r="K87" t="s">
        <v>6</v>
      </c>
      <c r="L87">
        <v>-117.99216644453401</v>
      </c>
      <c r="M87" t="s">
        <v>7</v>
      </c>
      <c r="N87">
        <v>-0.318897747147391</v>
      </c>
      <c r="O87" t="s">
        <v>8</v>
      </c>
      <c r="P87">
        <v>14.767777840328099</v>
      </c>
      <c r="Q87" t="s">
        <v>9</v>
      </c>
      <c r="R87">
        <v>-3.1810001897874298</v>
      </c>
      <c r="S87" t="s">
        <v>10</v>
      </c>
      <c r="T87">
        <v>3.6499795291257402</v>
      </c>
      <c r="U87" t="s">
        <v>11</v>
      </c>
      <c r="V87" t="s">
        <v>2820</v>
      </c>
      <c r="W87" t="s">
        <v>2557</v>
      </c>
      <c r="X87">
        <v>0</v>
      </c>
      <c r="Y87" t="s">
        <v>14</v>
      </c>
      <c r="Z87" t="s">
        <v>15</v>
      </c>
      <c r="AA87" t="s">
        <v>2819</v>
      </c>
      <c r="AB87" t="s">
        <v>2638</v>
      </c>
      <c r="AC87">
        <v>0</v>
      </c>
      <c r="AD87" t="s">
        <v>18</v>
      </c>
    </row>
    <row r="88" spans="1:30" x14ac:dyDescent="0.3">
      <c r="A88" t="s">
        <v>2811</v>
      </c>
      <c r="B88" t="s">
        <v>1</v>
      </c>
      <c r="C88">
        <v>-0.3</v>
      </c>
      <c r="D88" t="s">
        <v>27</v>
      </c>
      <c r="E88" t="s">
        <v>2550</v>
      </c>
      <c r="F88" t="str">
        <f t="shared" si="1"/>
        <v xml:space="preserve">stoch_{'P' [('delta'-0.3 1)]}_[21 49]_1 </v>
      </c>
      <c r="G88" t="s">
        <v>2540</v>
      </c>
      <c r="H88">
        <v>376</v>
      </c>
      <c r="I88" t="s">
        <v>5</v>
      </c>
      <c r="J88">
        <v>87</v>
      </c>
      <c r="K88" t="s">
        <v>6</v>
      </c>
      <c r="L88">
        <v>-117.208549172182</v>
      </c>
      <c r="M88" t="s">
        <v>7</v>
      </c>
      <c r="N88">
        <v>-0.31172486481963402</v>
      </c>
      <c r="O88" t="s">
        <v>8</v>
      </c>
      <c r="P88">
        <v>4.4931034482758596</v>
      </c>
      <c r="Q88" t="s">
        <v>9</v>
      </c>
      <c r="R88">
        <v>-1.7581610697999399</v>
      </c>
      <c r="S88" t="s">
        <v>10</v>
      </c>
      <c r="T88">
        <v>1.49971215214237</v>
      </c>
      <c r="U88" t="s">
        <v>11</v>
      </c>
      <c r="V88" t="s">
        <v>191</v>
      </c>
      <c r="W88" t="s">
        <v>2046</v>
      </c>
      <c r="X88">
        <v>0</v>
      </c>
      <c r="Y88" t="s">
        <v>14</v>
      </c>
      <c r="Z88" t="s">
        <v>15</v>
      </c>
      <c r="AA88" t="s">
        <v>2823</v>
      </c>
      <c r="AB88" t="s">
        <v>2046</v>
      </c>
      <c r="AC88">
        <v>0</v>
      </c>
      <c r="AD88" t="s">
        <v>18</v>
      </c>
    </row>
    <row r="89" spans="1:30" x14ac:dyDescent="0.3">
      <c r="A89" t="s">
        <v>2811</v>
      </c>
      <c r="B89" t="s">
        <v>1</v>
      </c>
      <c r="C89">
        <v>-0.2</v>
      </c>
      <c r="D89" t="s">
        <v>2174</v>
      </c>
      <c r="E89" t="s">
        <v>2569</v>
      </c>
      <c r="F89" t="str">
        <f t="shared" si="1"/>
        <v xml:space="preserve">stoch_{'P' [('delta'-0.2 1)]}_[42 70]_6 </v>
      </c>
      <c r="G89" t="s">
        <v>2540</v>
      </c>
      <c r="H89">
        <v>370</v>
      </c>
      <c r="I89" t="s">
        <v>5</v>
      </c>
      <c r="J89">
        <v>28</v>
      </c>
      <c r="K89" t="s">
        <v>6</v>
      </c>
      <c r="L89">
        <v>-116.989712251721</v>
      </c>
      <c r="M89" t="s">
        <v>7</v>
      </c>
      <c r="N89">
        <v>-0.31618841149113802</v>
      </c>
      <c r="O89" t="s">
        <v>8</v>
      </c>
      <c r="P89">
        <v>13.1767857142857</v>
      </c>
      <c r="Q89" t="s">
        <v>9</v>
      </c>
      <c r="R89">
        <v>-1.4208763516132099</v>
      </c>
      <c r="S89" t="s">
        <v>10</v>
      </c>
      <c r="T89">
        <v>1.8195086177583499</v>
      </c>
      <c r="U89" t="s">
        <v>11</v>
      </c>
      <c r="V89" t="s">
        <v>2842</v>
      </c>
      <c r="W89" t="s">
        <v>2557</v>
      </c>
      <c r="X89">
        <v>0</v>
      </c>
      <c r="Y89" t="s">
        <v>14</v>
      </c>
      <c r="Z89" t="s">
        <v>15</v>
      </c>
      <c r="AA89" t="s">
        <v>2843</v>
      </c>
      <c r="AB89" t="s">
        <v>2071</v>
      </c>
      <c r="AC89">
        <v>0</v>
      </c>
      <c r="AD89" t="s">
        <v>18</v>
      </c>
    </row>
    <row r="90" spans="1:30" x14ac:dyDescent="0.3">
      <c r="A90" t="s">
        <v>2538</v>
      </c>
      <c r="B90" t="s">
        <v>1</v>
      </c>
      <c r="C90">
        <v>-0.1</v>
      </c>
      <c r="D90" t="s">
        <v>2</v>
      </c>
      <c r="E90" t="s">
        <v>2539</v>
      </c>
      <c r="F90" t="str">
        <f t="shared" si="1"/>
        <v xml:space="preserve">alltime_{'P' [('delta'-0.1 1)]}_[7 35]_1 </v>
      </c>
      <c r="G90" t="s">
        <v>2540</v>
      </c>
      <c r="H90">
        <v>3073</v>
      </c>
      <c r="I90" t="s">
        <v>5</v>
      </c>
      <c r="J90">
        <v>720</v>
      </c>
      <c r="K90" t="s">
        <v>6</v>
      </c>
      <c r="L90">
        <v>-116.95024077255</v>
      </c>
      <c r="M90" t="s">
        <v>7</v>
      </c>
      <c r="N90">
        <v>-3.8057351374080901E-2</v>
      </c>
      <c r="O90" t="s">
        <v>8</v>
      </c>
      <c r="P90">
        <v>1.2187060845814199</v>
      </c>
      <c r="Q90" t="s">
        <v>9</v>
      </c>
      <c r="R90">
        <v>-0.42261734877652901</v>
      </c>
      <c r="S90" t="s">
        <v>10</v>
      </c>
      <c r="T90">
        <v>1.6575362522526</v>
      </c>
      <c r="U90" t="s">
        <v>11</v>
      </c>
      <c r="V90" t="s">
        <v>2609</v>
      </c>
      <c r="W90" t="s">
        <v>2610</v>
      </c>
      <c r="X90">
        <v>0</v>
      </c>
      <c r="Y90" t="s">
        <v>14</v>
      </c>
      <c r="Z90" t="s">
        <v>15</v>
      </c>
      <c r="AA90" t="s">
        <v>2611</v>
      </c>
      <c r="AB90" t="s">
        <v>2612</v>
      </c>
      <c r="AC90">
        <v>0</v>
      </c>
      <c r="AD90" t="s">
        <v>18</v>
      </c>
    </row>
    <row r="91" spans="1:30" x14ac:dyDescent="0.3">
      <c r="A91" t="s">
        <v>2623</v>
      </c>
      <c r="B91" t="s">
        <v>1</v>
      </c>
      <c r="C91">
        <v>-0.3</v>
      </c>
      <c r="D91" t="s">
        <v>2</v>
      </c>
      <c r="E91" t="s">
        <v>2545</v>
      </c>
      <c r="F91" t="str">
        <f t="shared" si="1"/>
        <v xml:space="preserve">bbands_{'P' [('delta'-0.3 1)]}_[7 35]_4 </v>
      </c>
      <c r="G91" t="s">
        <v>2540</v>
      </c>
      <c r="H91">
        <v>169</v>
      </c>
      <c r="I91" t="s">
        <v>5</v>
      </c>
      <c r="J91">
        <v>18</v>
      </c>
      <c r="K91" t="s">
        <v>6</v>
      </c>
      <c r="L91">
        <v>-114.94</v>
      </c>
      <c r="M91" t="s">
        <v>7</v>
      </c>
      <c r="N91">
        <v>-0.68011834319526598</v>
      </c>
      <c r="O91" t="s">
        <v>8</v>
      </c>
      <c r="P91">
        <v>5.1361111111111004</v>
      </c>
      <c r="Q91" t="s">
        <v>9</v>
      </c>
      <c r="R91">
        <v>-1.3734437086092699</v>
      </c>
      <c r="S91" t="s">
        <v>10</v>
      </c>
      <c r="T91">
        <v>0.70107039156358597</v>
      </c>
      <c r="U91" t="s">
        <v>11</v>
      </c>
      <c r="V91" t="s">
        <v>191</v>
      </c>
      <c r="W91" t="s">
        <v>2627</v>
      </c>
    </row>
    <row r="92" spans="1:30" x14ac:dyDescent="0.3">
      <c r="A92" t="s">
        <v>2623</v>
      </c>
      <c r="B92" t="s">
        <v>1</v>
      </c>
      <c r="C92">
        <v>-0.3</v>
      </c>
      <c r="D92" t="s">
        <v>2</v>
      </c>
      <c r="E92" t="s">
        <v>2547</v>
      </c>
      <c r="F92" t="str">
        <f t="shared" si="1"/>
        <v xml:space="preserve">bbands_{'P' [('delta'-0.3 1)]}_[7 35]_6 </v>
      </c>
      <c r="G92" t="s">
        <v>2540</v>
      </c>
      <c r="H92">
        <v>169</v>
      </c>
      <c r="I92" t="s">
        <v>5</v>
      </c>
      <c r="J92">
        <v>17</v>
      </c>
      <c r="K92" t="s">
        <v>6</v>
      </c>
      <c r="L92">
        <v>-111.93</v>
      </c>
      <c r="M92" t="s">
        <v>7</v>
      </c>
      <c r="N92">
        <v>-0.66230769230769204</v>
      </c>
      <c r="O92" t="s">
        <v>8</v>
      </c>
      <c r="P92">
        <v>5.7270588235294104</v>
      </c>
      <c r="Q92" t="s">
        <v>9</v>
      </c>
      <c r="R92">
        <v>-1.3769078947368401</v>
      </c>
      <c r="S92" t="s">
        <v>10</v>
      </c>
      <c r="T92">
        <v>0.72682215794403504</v>
      </c>
      <c r="U92" t="s">
        <v>11</v>
      </c>
      <c r="V92" t="s">
        <v>2643</v>
      </c>
      <c r="W92" t="s">
        <v>2644</v>
      </c>
      <c r="X92">
        <v>0</v>
      </c>
      <c r="Y92" t="s">
        <v>14</v>
      </c>
      <c r="Z92" t="s">
        <v>15</v>
      </c>
      <c r="AA92" t="s">
        <v>2642</v>
      </c>
      <c r="AB92" t="s">
        <v>2046</v>
      </c>
      <c r="AC92">
        <v>0</v>
      </c>
      <c r="AD92" t="s">
        <v>18</v>
      </c>
    </row>
    <row r="93" spans="1:30" x14ac:dyDescent="0.3">
      <c r="A93" t="s">
        <v>2858</v>
      </c>
      <c r="B93" t="s">
        <v>1</v>
      </c>
      <c r="C93">
        <v>-0.2</v>
      </c>
      <c r="D93" t="s">
        <v>27</v>
      </c>
      <c r="E93" t="s">
        <v>2552</v>
      </c>
      <c r="F93" t="str">
        <f t="shared" si="1"/>
        <v xml:space="preserve">stoch_no_highvol_{'P' [('delta'-0.2 1)]}_[21 49]_2 </v>
      </c>
      <c r="G93" t="s">
        <v>2540</v>
      </c>
      <c r="H93">
        <v>335</v>
      </c>
      <c r="I93" t="s">
        <v>5</v>
      </c>
      <c r="J93">
        <v>37</v>
      </c>
      <c r="K93" t="s">
        <v>6</v>
      </c>
      <c r="L93">
        <v>-111.679999999999</v>
      </c>
      <c r="M93" t="s">
        <v>7</v>
      </c>
      <c r="N93">
        <v>-0.33337313432835802</v>
      </c>
      <c r="O93" t="s">
        <v>8</v>
      </c>
      <c r="P93">
        <v>5.0137837837837802</v>
      </c>
      <c r="Q93" t="s">
        <v>9</v>
      </c>
      <c r="R93">
        <v>-0.99728187919463096</v>
      </c>
      <c r="S93" t="s">
        <v>10</v>
      </c>
      <c r="T93">
        <v>0.88179894658503</v>
      </c>
      <c r="U93" t="s">
        <v>11</v>
      </c>
      <c r="V93" t="s">
        <v>2890</v>
      </c>
      <c r="W93" t="s">
        <v>2564</v>
      </c>
      <c r="X93">
        <v>0</v>
      </c>
      <c r="Y93" t="s">
        <v>14</v>
      </c>
      <c r="Z93" t="s">
        <v>15</v>
      </c>
      <c r="AA93" t="s">
        <v>2886</v>
      </c>
      <c r="AB93" t="s">
        <v>2889</v>
      </c>
      <c r="AC93">
        <v>0</v>
      </c>
      <c r="AD93" t="s">
        <v>18</v>
      </c>
    </row>
    <row r="94" spans="1:30" x14ac:dyDescent="0.3">
      <c r="A94" t="s">
        <v>2858</v>
      </c>
      <c r="B94" t="s">
        <v>1</v>
      </c>
      <c r="C94">
        <v>-0.4</v>
      </c>
      <c r="D94" t="s">
        <v>2174</v>
      </c>
      <c r="E94" t="s">
        <v>2559</v>
      </c>
      <c r="F94" t="str">
        <f t="shared" si="1"/>
        <v xml:space="preserve">stoch_no_highvol_{'P' [('delta'-0.4 1)]}_[42 70]_1 </v>
      </c>
      <c r="G94" t="s">
        <v>2540</v>
      </c>
      <c r="H94">
        <v>331</v>
      </c>
      <c r="I94" t="s">
        <v>5</v>
      </c>
      <c r="J94">
        <v>93</v>
      </c>
      <c r="K94" t="s">
        <v>6</v>
      </c>
      <c r="L94">
        <v>-109.987135879576</v>
      </c>
      <c r="M94" t="s">
        <v>7</v>
      </c>
      <c r="N94">
        <v>-0.33228741957575803</v>
      </c>
      <c r="O94" t="s">
        <v>8</v>
      </c>
      <c r="P94">
        <v>6.3879624455267097</v>
      </c>
      <c r="Q94" t="s">
        <v>9</v>
      </c>
      <c r="R94">
        <v>-2.9582674088804999</v>
      </c>
      <c r="S94" t="s">
        <v>10</v>
      </c>
      <c r="T94">
        <v>2.0620222457717299</v>
      </c>
      <c r="U94" t="s">
        <v>11</v>
      </c>
      <c r="V94" t="s">
        <v>2867</v>
      </c>
      <c r="W94" t="s">
        <v>2587</v>
      </c>
      <c r="X94">
        <v>0</v>
      </c>
      <c r="Y94" t="s">
        <v>14</v>
      </c>
      <c r="Z94" t="s">
        <v>15</v>
      </c>
      <c r="AA94" t="s">
        <v>2868</v>
      </c>
      <c r="AB94" t="s">
        <v>1431</v>
      </c>
      <c r="AC94">
        <v>0</v>
      </c>
      <c r="AD94" t="s">
        <v>18</v>
      </c>
    </row>
    <row r="95" spans="1:30" x14ac:dyDescent="0.3">
      <c r="A95" t="s">
        <v>2777</v>
      </c>
      <c r="B95" t="s">
        <v>1</v>
      </c>
      <c r="C95">
        <v>-0.4</v>
      </c>
      <c r="D95" t="s">
        <v>2174</v>
      </c>
      <c r="E95" t="s">
        <v>2569</v>
      </c>
      <c r="F95" t="str">
        <f t="shared" si="1"/>
        <v xml:space="preserve">rsi_{'P' [('delta'-0.4 1)]}_[42 70]_6 </v>
      </c>
      <c r="G95" t="s">
        <v>2540</v>
      </c>
      <c r="H95">
        <v>127</v>
      </c>
      <c r="I95" t="s">
        <v>5</v>
      </c>
      <c r="J95">
        <v>20</v>
      </c>
      <c r="K95" t="s">
        <v>6</v>
      </c>
      <c r="L95">
        <v>-107.33719718123599</v>
      </c>
      <c r="M95" t="s">
        <v>7</v>
      </c>
      <c r="N95">
        <v>-0.84517478095462095</v>
      </c>
      <c r="O95" t="s">
        <v>8</v>
      </c>
      <c r="P95">
        <v>11.3285</v>
      </c>
      <c r="Q95" t="s">
        <v>9</v>
      </c>
      <c r="R95">
        <v>-3.1206280110395999</v>
      </c>
      <c r="S95" t="s">
        <v>10</v>
      </c>
      <c r="T95">
        <v>1.3597595665743401</v>
      </c>
      <c r="U95" t="s">
        <v>11</v>
      </c>
      <c r="V95" t="s">
        <v>2784</v>
      </c>
      <c r="W95" t="s">
        <v>2568</v>
      </c>
      <c r="X95">
        <v>0</v>
      </c>
      <c r="Y95" t="s">
        <v>14</v>
      </c>
      <c r="Z95" t="s">
        <v>15</v>
      </c>
      <c r="AA95" t="s">
        <v>2785</v>
      </c>
      <c r="AB95" t="s">
        <v>2568</v>
      </c>
      <c r="AC95">
        <v>0</v>
      </c>
      <c r="AD95" t="s">
        <v>18</v>
      </c>
    </row>
    <row r="96" spans="1:30" x14ac:dyDescent="0.3">
      <c r="A96" t="s">
        <v>2777</v>
      </c>
      <c r="B96" t="s">
        <v>1</v>
      </c>
      <c r="C96">
        <v>-0.4</v>
      </c>
      <c r="D96" t="s">
        <v>2174</v>
      </c>
      <c r="E96" t="s">
        <v>2565</v>
      </c>
      <c r="F96" t="str">
        <f t="shared" si="1"/>
        <v xml:space="preserve">rsi_{'P' [('delta'-0.4 1)]}_[42 70]_4 </v>
      </c>
      <c r="G96" t="s">
        <v>2540</v>
      </c>
      <c r="H96">
        <v>127</v>
      </c>
      <c r="I96" t="s">
        <v>5</v>
      </c>
      <c r="J96">
        <v>20</v>
      </c>
      <c r="K96" t="s">
        <v>6</v>
      </c>
      <c r="L96">
        <v>-106.647197181236</v>
      </c>
      <c r="M96" t="s">
        <v>7</v>
      </c>
      <c r="N96">
        <v>-0.83974171008847898</v>
      </c>
      <c r="O96" t="s">
        <v>8</v>
      </c>
      <c r="P96">
        <v>11.363</v>
      </c>
      <c r="Q96" t="s">
        <v>9</v>
      </c>
      <c r="R96">
        <v>-3.1206280110395999</v>
      </c>
      <c r="S96" t="s">
        <v>10</v>
      </c>
      <c r="T96">
        <v>1.3248012677896199</v>
      </c>
      <c r="U96" t="s">
        <v>11</v>
      </c>
      <c r="V96" t="s">
        <v>2784</v>
      </c>
      <c r="W96" t="s">
        <v>2568</v>
      </c>
      <c r="X96">
        <v>0</v>
      </c>
      <c r="Y96" t="s">
        <v>14</v>
      </c>
      <c r="Z96" t="s">
        <v>15</v>
      </c>
      <c r="AA96" t="s">
        <v>2785</v>
      </c>
      <c r="AB96" t="s">
        <v>2568</v>
      </c>
      <c r="AC96">
        <v>0</v>
      </c>
      <c r="AD96" t="s">
        <v>18</v>
      </c>
    </row>
    <row r="97" spans="1:30" x14ac:dyDescent="0.3">
      <c r="A97" t="s">
        <v>2623</v>
      </c>
      <c r="B97" t="s">
        <v>1</v>
      </c>
      <c r="C97">
        <v>-0.3</v>
      </c>
      <c r="D97" t="s">
        <v>27</v>
      </c>
      <c r="E97" t="s">
        <v>2555</v>
      </c>
      <c r="F97" t="str">
        <f t="shared" si="1"/>
        <v xml:space="preserve">bbands_{'P' [('delta'-0.3 1)]}_[21 49]_4 </v>
      </c>
      <c r="G97" t="s">
        <v>2540</v>
      </c>
      <c r="H97">
        <v>178</v>
      </c>
      <c r="I97" t="s">
        <v>5</v>
      </c>
      <c r="J97">
        <v>20</v>
      </c>
      <c r="K97" t="s">
        <v>6</v>
      </c>
      <c r="L97">
        <v>-106.53</v>
      </c>
      <c r="M97" t="s">
        <v>7</v>
      </c>
      <c r="N97">
        <v>-0.59848314606741604</v>
      </c>
      <c r="O97" t="s">
        <v>8</v>
      </c>
      <c r="P97">
        <v>8.39299999999999</v>
      </c>
      <c r="Q97" t="s">
        <v>9</v>
      </c>
      <c r="R97">
        <v>-1.7366455696202501</v>
      </c>
      <c r="S97" t="s">
        <v>10</v>
      </c>
      <c r="T97">
        <v>1.0939810717259699</v>
      </c>
      <c r="U97" t="s">
        <v>11</v>
      </c>
      <c r="V97" t="s">
        <v>2647</v>
      </c>
      <c r="W97" t="s">
        <v>2071</v>
      </c>
      <c r="X97">
        <v>0</v>
      </c>
      <c r="Y97" t="s">
        <v>14</v>
      </c>
      <c r="Z97" t="s">
        <v>15</v>
      </c>
      <c r="AA97" t="s">
        <v>2648</v>
      </c>
      <c r="AB97" t="s">
        <v>2071</v>
      </c>
      <c r="AC97">
        <v>0</v>
      </c>
      <c r="AD97" t="s">
        <v>18</v>
      </c>
    </row>
    <row r="98" spans="1:30" x14ac:dyDescent="0.3">
      <c r="A98" t="s">
        <v>2683</v>
      </c>
      <c r="B98" t="s">
        <v>1</v>
      </c>
      <c r="C98">
        <v>-0.3</v>
      </c>
      <c r="D98" t="s">
        <v>2174</v>
      </c>
      <c r="E98" t="s">
        <v>2562</v>
      </c>
      <c r="F98" t="str">
        <f t="shared" si="1"/>
        <v xml:space="preserve">bbands_no_highvol_{'P' [('delta'-0.3 1)]}_[42 70]_2 </v>
      </c>
      <c r="G98" t="s">
        <v>2540</v>
      </c>
      <c r="H98">
        <v>157</v>
      </c>
      <c r="I98" t="s">
        <v>5</v>
      </c>
      <c r="J98">
        <v>26</v>
      </c>
      <c r="K98" t="s">
        <v>6</v>
      </c>
      <c r="L98">
        <v>-105.65861166693099</v>
      </c>
      <c r="M98" t="s">
        <v>7</v>
      </c>
      <c r="N98">
        <v>-0.67298478768746395</v>
      </c>
      <c r="O98" t="s">
        <v>8</v>
      </c>
      <c r="P98">
        <v>6.9119230769230704</v>
      </c>
      <c r="Q98" t="s">
        <v>9</v>
      </c>
      <c r="R98">
        <v>-2.1783863486025301</v>
      </c>
      <c r="S98" t="s">
        <v>10</v>
      </c>
      <c r="T98">
        <v>0.99849871113777</v>
      </c>
      <c r="U98" t="s">
        <v>11</v>
      </c>
      <c r="V98" t="s">
        <v>2424</v>
      </c>
      <c r="W98" t="s">
        <v>2704</v>
      </c>
      <c r="X98">
        <v>0</v>
      </c>
      <c r="Y98" t="s">
        <v>14</v>
      </c>
      <c r="Z98" t="s">
        <v>15</v>
      </c>
      <c r="AA98" t="s">
        <v>2705</v>
      </c>
      <c r="AB98" t="s">
        <v>2655</v>
      </c>
      <c r="AC98">
        <v>0</v>
      </c>
      <c r="AD98" t="s">
        <v>18</v>
      </c>
    </row>
    <row r="99" spans="1:30" x14ac:dyDescent="0.3">
      <c r="A99" t="s">
        <v>2811</v>
      </c>
      <c r="B99" t="s">
        <v>1</v>
      </c>
      <c r="C99">
        <v>-0.3</v>
      </c>
      <c r="D99" t="s">
        <v>2174</v>
      </c>
      <c r="E99" t="s">
        <v>2559</v>
      </c>
      <c r="F99" t="str">
        <f t="shared" si="1"/>
        <v xml:space="preserve">stoch_{'P' [('delta'-0.3 1)]}_[42 70]_1 </v>
      </c>
      <c r="G99" t="s">
        <v>2540</v>
      </c>
      <c r="H99">
        <v>370</v>
      </c>
      <c r="I99" t="s">
        <v>5</v>
      </c>
      <c r="J99">
        <v>101</v>
      </c>
      <c r="K99" t="s">
        <v>6</v>
      </c>
      <c r="L99">
        <v>-104.334205119286</v>
      </c>
      <c r="M99" t="s">
        <v>7</v>
      </c>
      <c r="N99">
        <v>-0.28198433816023399</v>
      </c>
      <c r="O99" t="s">
        <v>8</v>
      </c>
      <c r="P99">
        <v>5.03883440990169</v>
      </c>
      <c r="Q99" t="s">
        <v>9</v>
      </c>
      <c r="R99">
        <v>-2.2797638681016998</v>
      </c>
      <c r="S99" t="s">
        <v>10</v>
      </c>
      <c r="T99">
        <v>1.84760827778334</v>
      </c>
      <c r="U99" t="s">
        <v>11</v>
      </c>
      <c r="V99" t="s">
        <v>2827</v>
      </c>
      <c r="W99" t="s">
        <v>2557</v>
      </c>
      <c r="X99">
        <v>0</v>
      </c>
      <c r="Y99" t="s">
        <v>14</v>
      </c>
      <c r="Z99" t="s">
        <v>15</v>
      </c>
      <c r="AA99" t="s">
        <v>2828</v>
      </c>
      <c r="AB99" t="s">
        <v>2631</v>
      </c>
      <c r="AC99">
        <v>0</v>
      </c>
      <c r="AD99" t="s">
        <v>18</v>
      </c>
    </row>
    <row r="100" spans="1:30" x14ac:dyDescent="0.3">
      <c r="A100" t="s">
        <v>2811</v>
      </c>
      <c r="B100" t="s">
        <v>1</v>
      </c>
      <c r="C100">
        <v>-0.2</v>
      </c>
      <c r="D100" t="s">
        <v>27</v>
      </c>
      <c r="E100" t="s">
        <v>2552</v>
      </c>
      <c r="F100" t="str">
        <f t="shared" si="1"/>
        <v xml:space="preserve">stoch_{'P' [('delta'-0.2 1)]}_[21 49]_2 </v>
      </c>
      <c r="G100" t="s">
        <v>2540</v>
      </c>
      <c r="H100">
        <v>376</v>
      </c>
      <c r="I100" t="s">
        <v>5</v>
      </c>
      <c r="J100">
        <v>46</v>
      </c>
      <c r="K100" t="s">
        <v>6</v>
      </c>
      <c r="L100">
        <v>-103.188498342654</v>
      </c>
      <c r="M100" t="s">
        <v>7</v>
      </c>
      <c r="N100">
        <v>-0.27443749559216601</v>
      </c>
      <c r="O100" t="s">
        <v>8</v>
      </c>
      <c r="P100">
        <v>5.8389130434782599</v>
      </c>
      <c r="Q100" t="s">
        <v>9</v>
      </c>
      <c r="R100">
        <v>-1.1266015101292499</v>
      </c>
      <c r="S100" t="s">
        <v>10</v>
      </c>
      <c r="T100">
        <v>1.35733836042145</v>
      </c>
      <c r="U100" t="s">
        <v>11</v>
      </c>
      <c r="V100" t="s">
        <v>191</v>
      </c>
      <c r="W100" t="s">
        <v>2557</v>
      </c>
      <c r="X100">
        <v>0</v>
      </c>
      <c r="Y100" t="s">
        <v>14</v>
      </c>
      <c r="Z100" t="s">
        <v>15</v>
      </c>
      <c r="AA100" t="s">
        <v>2836</v>
      </c>
      <c r="AB100" t="s">
        <v>2046</v>
      </c>
      <c r="AC100">
        <v>0</v>
      </c>
      <c r="AD100" t="s">
        <v>18</v>
      </c>
    </row>
    <row r="101" spans="1:30" x14ac:dyDescent="0.3">
      <c r="A101" t="s">
        <v>2858</v>
      </c>
      <c r="B101" t="s">
        <v>1</v>
      </c>
      <c r="C101">
        <v>-0.2</v>
      </c>
      <c r="D101" t="s">
        <v>27</v>
      </c>
      <c r="E101" t="s">
        <v>2555</v>
      </c>
      <c r="F101" t="str">
        <f t="shared" si="1"/>
        <v xml:space="preserve">stoch_no_highvol_{'P' [('delta'-0.2 1)]}_[21 49]_4 </v>
      </c>
      <c r="G101" t="s">
        <v>2540</v>
      </c>
      <c r="H101">
        <v>335</v>
      </c>
      <c r="I101" t="s">
        <v>5</v>
      </c>
      <c r="J101">
        <v>22</v>
      </c>
      <c r="K101" t="s">
        <v>6</v>
      </c>
      <c r="L101">
        <v>-102.879999999999</v>
      </c>
      <c r="M101" t="s">
        <v>7</v>
      </c>
      <c r="N101">
        <v>-0.30710447761193999</v>
      </c>
      <c r="O101" t="s">
        <v>8</v>
      </c>
      <c r="P101">
        <v>9.6590909090909101</v>
      </c>
      <c r="Q101" t="s">
        <v>9</v>
      </c>
      <c r="R101">
        <v>-1.00760383386581</v>
      </c>
      <c r="S101" t="s">
        <v>10</v>
      </c>
      <c r="T101">
        <v>1.12225224654662</v>
      </c>
      <c r="U101" t="s">
        <v>11</v>
      </c>
      <c r="V101" t="s">
        <v>1362</v>
      </c>
      <c r="W101" t="s">
        <v>2249</v>
      </c>
      <c r="X101">
        <v>0</v>
      </c>
      <c r="Y101" t="s">
        <v>14</v>
      </c>
      <c r="Z101" t="s">
        <v>15</v>
      </c>
      <c r="AA101" t="s">
        <v>2883</v>
      </c>
      <c r="AB101" t="s">
        <v>2655</v>
      </c>
      <c r="AC101">
        <v>0</v>
      </c>
      <c r="AD101" t="s">
        <v>18</v>
      </c>
    </row>
    <row r="102" spans="1:30" x14ac:dyDescent="0.3">
      <c r="A102" t="s">
        <v>2623</v>
      </c>
      <c r="B102" t="s">
        <v>1</v>
      </c>
      <c r="C102">
        <v>-0.3</v>
      </c>
      <c r="D102" t="s">
        <v>27</v>
      </c>
      <c r="E102" t="s">
        <v>2558</v>
      </c>
      <c r="F102" t="str">
        <f t="shared" si="1"/>
        <v xml:space="preserve">bbands_{'P' [('delta'-0.3 1)]}_[21 49]_6 </v>
      </c>
      <c r="G102" t="s">
        <v>2540</v>
      </c>
      <c r="H102">
        <v>178</v>
      </c>
      <c r="I102" t="s">
        <v>5</v>
      </c>
      <c r="J102">
        <v>17</v>
      </c>
      <c r="K102" t="s">
        <v>6</v>
      </c>
      <c r="L102">
        <v>-101.02</v>
      </c>
      <c r="M102" t="s">
        <v>7</v>
      </c>
      <c r="N102">
        <v>-0.56752808988764003</v>
      </c>
      <c r="O102" t="s">
        <v>8</v>
      </c>
      <c r="P102">
        <v>10.4147058823529</v>
      </c>
      <c r="Q102" t="s">
        <v>9</v>
      </c>
      <c r="R102">
        <v>-1.72714285714285</v>
      </c>
      <c r="S102" t="s">
        <v>10</v>
      </c>
      <c r="T102">
        <v>1.16351446069956</v>
      </c>
      <c r="U102" t="s">
        <v>11</v>
      </c>
      <c r="V102" t="s">
        <v>2647</v>
      </c>
      <c r="W102" t="s">
        <v>2071</v>
      </c>
      <c r="X102">
        <v>0</v>
      </c>
      <c r="Y102" t="s">
        <v>14</v>
      </c>
      <c r="Z102" t="s">
        <v>15</v>
      </c>
      <c r="AA102" t="s">
        <v>2648</v>
      </c>
      <c r="AB102" t="s">
        <v>2071</v>
      </c>
      <c r="AC102">
        <v>0</v>
      </c>
      <c r="AD102" t="s">
        <v>18</v>
      </c>
    </row>
    <row r="103" spans="1:30" x14ac:dyDescent="0.3">
      <c r="A103" t="s">
        <v>2623</v>
      </c>
      <c r="B103" t="s">
        <v>1</v>
      </c>
      <c r="C103">
        <v>-0.3</v>
      </c>
      <c r="D103" t="s">
        <v>2</v>
      </c>
      <c r="E103" t="s">
        <v>2543</v>
      </c>
      <c r="F103" t="str">
        <f t="shared" si="1"/>
        <v xml:space="preserve">bbands_{'P' [('delta'-0.3 1)]}_[7 35]_2 </v>
      </c>
      <c r="G103" t="s">
        <v>2540</v>
      </c>
      <c r="H103">
        <v>169</v>
      </c>
      <c r="I103" t="s">
        <v>5</v>
      </c>
      <c r="J103">
        <v>21</v>
      </c>
      <c r="K103" t="s">
        <v>6</v>
      </c>
      <c r="L103">
        <v>-100.4</v>
      </c>
      <c r="M103" t="s">
        <v>7</v>
      </c>
      <c r="N103">
        <v>-0.59408284023668601</v>
      </c>
      <c r="O103" t="s">
        <v>8</v>
      </c>
      <c r="P103">
        <v>4.68904761904761</v>
      </c>
      <c r="Q103" t="s">
        <v>9</v>
      </c>
      <c r="R103">
        <v>-1.34371621621621</v>
      </c>
      <c r="S103" t="s">
        <v>10</v>
      </c>
      <c r="T103">
        <v>0.59865452764321603</v>
      </c>
      <c r="U103" t="s">
        <v>11</v>
      </c>
      <c r="V103" t="s">
        <v>191</v>
      </c>
      <c r="W103" t="s">
        <v>2627</v>
      </c>
    </row>
    <row r="104" spans="1:30" x14ac:dyDescent="0.3">
      <c r="A104" t="s">
        <v>2683</v>
      </c>
      <c r="B104" t="s">
        <v>1</v>
      </c>
      <c r="C104">
        <v>-0.4</v>
      </c>
      <c r="D104" t="s">
        <v>27</v>
      </c>
      <c r="E104" t="s">
        <v>2555</v>
      </c>
      <c r="F104" t="str">
        <f t="shared" si="1"/>
        <v xml:space="preserve">bbands_no_highvol_{'P' [('delta'-0.4 1)]}_[21 49]_4 </v>
      </c>
      <c r="G104" t="s">
        <v>2540</v>
      </c>
      <c r="H104">
        <v>165</v>
      </c>
      <c r="I104" t="s">
        <v>5</v>
      </c>
      <c r="J104">
        <v>23</v>
      </c>
      <c r="K104" t="s">
        <v>6</v>
      </c>
      <c r="L104">
        <v>-100.04</v>
      </c>
      <c r="M104" t="s">
        <v>7</v>
      </c>
      <c r="N104">
        <v>-0.60630303030303001</v>
      </c>
      <c r="O104" t="s">
        <v>8</v>
      </c>
      <c r="P104">
        <v>10.113478260869501</v>
      </c>
      <c r="Q104" t="s">
        <v>9</v>
      </c>
      <c r="R104">
        <v>-2.3426056338028101</v>
      </c>
      <c r="S104" t="s">
        <v>10</v>
      </c>
      <c r="T104">
        <v>1.21901682245995</v>
      </c>
      <c r="U104" t="s">
        <v>11</v>
      </c>
      <c r="V104" t="s">
        <v>2689</v>
      </c>
      <c r="W104" t="s">
        <v>2249</v>
      </c>
      <c r="X104">
        <v>0</v>
      </c>
      <c r="Y104" t="s">
        <v>14</v>
      </c>
      <c r="Z104" t="s">
        <v>15</v>
      </c>
      <c r="AA104" t="s">
        <v>2690</v>
      </c>
      <c r="AB104" t="s">
        <v>2691</v>
      </c>
      <c r="AC104">
        <v>0</v>
      </c>
      <c r="AD104" t="s">
        <v>18</v>
      </c>
    </row>
    <row r="105" spans="1:30" x14ac:dyDescent="0.3">
      <c r="A105" t="s">
        <v>2623</v>
      </c>
      <c r="B105" t="s">
        <v>1</v>
      </c>
      <c r="C105">
        <v>-0.2</v>
      </c>
      <c r="D105" t="s">
        <v>2</v>
      </c>
      <c r="E105" t="s">
        <v>2545</v>
      </c>
      <c r="F105" t="str">
        <f t="shared" si="1"/>
        <v xml:space="preserve">bbands_{'P' [('delta'-0.2 1)]}_[7 35]_4 </v>
      </c>
      <c r="G105" t="s">
        <v>2540</v>
      </c>
      <c r="H105">
        <v>169</v>
      </c>
      <c r="I105" t="s">
        <v>5</v>
      </c>
      <c r="J105">
        <v>8</v>
      </c>
      <c r="K105" t="s">
        <v>6</v>
      </c>
      <c r="L105">
        <v>-99.729999999999905</v>
      </c>
      <c r="M105" t="s">
        <v>7</v>
      </c>
      <c r="N105">
        <v>-0.59011834319526502</v>
      </c>
      <c r="O105" t="s">
        <v>8</v>
      </c>
      <c r="P105">
        <v>5.3262499999999999</v>
      </c>
      <c r="Q105" t="s">
        <v>9</v>
      </c>
      <c r="R105">
        <v>-0.88409937888198697</v>
      </c>
      <c r="S105" t="s">
        <v>10</v>
      </c>
      <c r="T105">
        <v>0.46711400108491002</v>
      </c>
      <c r="U105" t="s">
        <v>11</v>
      </c>
      <c r="V105" t="s">
        <v>2653</v>
      </c>
      <c r="W105" t="s">
        <v>2627</v>
      </c>
    </row>
    <row r="106" spans="1:30" x14ac:dyDescent="0.3">
      <c r="A106" t="s">
        <v>2777</v>
      </c>
      <c r="B106" t="s">
        <v>1</v>
      </c>
      <c r="C106">
        <v>-0.3</v>
      </c>
      <c r="D106" t="s">
        <v>2174</v>
      </c>
      <c r="E106" t="s">
        <v>2565</v>
      </c>
      <c r="F106" t="str">
        <f t="shared" si="1"/>
        <v xml:space="preserve">rsi_{'P' [('delta'-0.3 1)]}_[42 70]_4 </v>
      </c>
      <c r="G106" t="s">
        <v>2540</v>
      </c>
      <c r="H106">
        <v>127</v>
      </c>
      <c r="I106" t="s">
        <v>5</v>
      </c>
      <c r="J106">
        <v>12</v>
      </c>
      <c r="K106" t="s">
        <v>6</v>
      </c>
      <c r="L106">
        <v>-99.068552314018604</v>
      </c>
      <c r="M106" t="s">
        <v>7</v>
      </c>
      <c r="N106">
        <v>-0.78006734105526498</v>
      </c>
      <c r="O106" t="s">
        <v>8</v>
      </c>
      <c r="P106">
        <v>12.3266666666666</v>
      </c>
      <c r="Q106" t="s">
        <v>9</v>
      </c>
      <c r="R106">
        <v>-2.1477265418610298</v>
      </c>
      <c r="S106" t="s">
        <v>10</v>
      </c>
      <c r="T106">
        <v>1.0222407869991701</v>
      </c>
      <c r="U106" t="s">
        <v>11</v>
      </c>
      <c r="V106" t="s">
        <v>2476</v>
      </c>
      <c r="W106" t="s">
        <v>2732</v>
      </c>
      <c r="X106">
        <v>0</v>
      </c>
      <c r="Y106" t="s">
        <v>14</v>
      </c>
      <c r="Z106" t="s">
        <v>15</v>
      </c>
      <c r="AA106" t="s">
        <v>2791</v>
      </c>
      <c r="AB106" t="s">
        <v>2568</v>
      </c>
      <c r="AC106">
        <v>0</v>
      </c>
      <c r="AD106" t="s">
        <v>18</v>
      </c>
    </row>
    <row r="107" spans="1:30" x14ac:dyDescent="0.3">
      <c r="A107" t="s">
        <v>2811</v>
      </c>
      <c r="B107" t="s">
        <v>1</v>
      </c>
      <c r="C107">
        <v>-0.1</v>
      </c>
      <c r="D107" t="s">
        <v>27</v>
      </c>
      <c r="E107" t="s">
        <v>2558</v>
      </c>
      <c r="F107" t="str">
        <f t="shared" si="1"/>
        <v xml:space="preserve">stoch_{'P' [('delta'-0.1 1)]}_[21 49]_6 </v>
      </c>
      <c r="G107" t="s">
        <v>2540</v>
      </c>
      <c r="H107">
        <v>376</v>
      </c>
      <c r="I107" t="s">
        <v>5</v>
      </c>
      <c r="J107">
        <v>16</v>
      </c>
      <c r="K107" t="s">
        <v>6</v>
      </c>
      <c r="L107">
        <v>-99.051222084833</v>
      </c>
      <c r="M107" t="s">
        <v>7</v>
      </c>
      <c r="N107">
        <v>-0.263434101289449</v>
      </c>
      <c r="O107" t="s">
        <v>8</v>
      </c>
      <c r="P107">
        <v>6.2624999999999904</v>
      </c>
      <c r="Q107" t="s">
        <v>9</v>
      </c>
      <c r="R107">
        <v>-0.55347561690231295</v>
      </c>
      <c r="S107" t="s">
        <v>10</v>
      </c>
      <c r="T107">
        <v>0.971217515082473</v>
      </c>
      <c r="U107" t="s">
        <v>11</v>
      </c>
      <c r="V107" t="s">
        <v>2619</v>
      </c>
      <c r="W107" t="s">
        <v>2557</v>
      </c>
      <c r="X107">
        <v>0</v>
      </c>
      <c r="Y107" t="s">
        <v>14</v>
      </c>
      <c r="Z107" t="s">
        <v>15</v>
      </c>
      <c r="AA107" t="s">
        <v>2854</v>
      </c>
      <c r="AB107" t="s">
        <v>2071</v>
      </c>
      <c r="AC107">
        <v>0</v>
      </c>
      <c r="AD107" t="s">
        <v>18</v>
      </c>
    </row>
    <row r="108" spans="1:30" x14ac:dyDescent="0.3">
      <c r="A108" t="s">
        <v>2811</v>
      </c>
      <c r="B108" t="s">
        <v>1</v>
      </c>
      <c r="C108">
        <v>-0.3</v>
      </c>
      <c r="D108" t="s">
        <v>2174</v>
      </c>
      <c r="E108" t="s">
        <v>2569</v>
      </c>
      <c r="F108" t="str">
        <f t="shared" si="1"/>
        <v xml:space="preserve">stoch_{'P' [('delta'-0.3 1)]}_[42 70]_6 </v>
      </c>
      <c r="G108" t="s">
        <v>2540</v>
      </c>
      <c r="H108">
        <v>370</v>
      </c>
      <c r="I108" t="s">
        <v>5</v>
      </c>
      <c r="J108">
        <v>48</v>
      </c>
      <c r="K108" t="s">
        <v>6</v>
      </c>
      <c r="L108">
        <v>-98.914205119286606</v>
      </c>
      <c r="M108" t="s">
        <v>7</v>
      </c>
      <c r="N108">
        <v>-0.26733568951158498</v>
      </c>
      <c r="O108" t="s">
        <v>8</v>
      </c>
      <c r="P108">
        <v>13.5725</v>
      </c>
      <c r="Q108" t="s">
        <v>9</v>
      </c>
      <c r="R108">
        <v>-2.33041678608474</v>
      </c>
      <c r="S108" t="s">
        <v>10</v>
      </c>
      <c r="T108">
        <v>2.83790624665447</v>
      </c>
      <c r="U108" t="s">
        <v>11</v>
      </c>
      <c r="V108" t="s">
        <v>2027</v>
      </c>
      <c r="W108" t="s">
        <v>2557</v>
      </c>
      <c r="X108">
        <v>0</v>
      </c>
      <c r="Y108" t="s">
        <v>14</v>
      </c>
      <c r="Z108" t="s">
        <v>15</v>
      </c>
      <c r="AA108" t="s">
        <v>2829</v>
      </c>
      <c r="AB108" t="s">
        <v>2631</v>
      </c>
      <c r="AC108">
        <v>0</v>
      </c>
      <c r="AD108" t="s">
        <v>18</v>
      </c>
    </row>
    <row r="109" spans="1:30" x14ac:dyDescent="0.3">
      <c r="A109" t="s">
        <v>2623</v>
      </c>
      <c r="B109" t="s">
        <v>1</v>
      </c>
      <c r="C109">
        <v>-0.3</v>
      </c>
      <c r="D109" t="s">
        <v>2174</v>
      </c>
      <c r="E109" t="s">
        <v>2562</v>
      </c>
      <c r="F109" t="str">
        <f t="shared" si="1"/>
        <v xml:space="preserve">bbands_{'P' [('delta'-0.3 1)]}_[42 70]_2 </v>
      </c>
      <c r="G109" t="s">
        <v>2540</v>
      </c>
      <c r="H109">
        <v>167</v>
      </c>
      <c r="I109" t="s">
        <v>5</v>
      </c>
      <c r="J109">
        <v>30</v>
      </c>
      <c r="K109" t="s">
        <v>6</v>
      </c>
      <c r="L109">
        <v>-98.146166064188705</v>
      </c>
      <c r="M109" t="s">
        <v>7</v>
      </c>
      <c r="N109">
        <v>-0.58770159319873505</v>
      </c>
      <c r="O109" t="s">
        <v>8</v>
      </c>
      <c r="P109">
        <v>7.1413333333333302</v>
      </c>
      <c r="Q109" t="s">
        <v>9</v>
      </c>
      <c r="R109">
        <v>-2.2801909931692599</v>
      </c>
      <c r="S109" t="s">
        <v>10</v>
      </c>
      <c r="T109">
        <v>1.1784906351123501</v>
      </c>
      <c r="U109" t="s">
        <v>11</v>
      </c>
      <c r="V109" t="s">
        <v>2651</v>
      </c>
      <c r="W109" t="s">
        <v>2631</v>
      </c>
      <c r="X109">
        <v>0</v>
      </c>
      <c r="Y109" t="s">
        <v>14</v>
      </c>
      <c r="Z109" t="s">
        <v>15</v>
      </c>
      <c r="AA109" t="s">
        <v>2650</v>
      </c>
      <c r="AB109" t="s">
        <v>2046</v>
      </c>
      <c r="AC109">
        <v>0</v>
      </c>
      <c r="AD109" t="s">
        <v>18</v>
      </c>
    </row>
    <row r="110" spans="1:30" x14ac:dyDescent="0.3">
      <c r="A110" t="s">
        <v>2623</v>
      </c>
      <c r="B110" t="s">
        <v>1</v>
      </c>
      <c r="C110">
        <v>-0.3</v>
      </c>
      <c r="D110" t="s">
        <v>2174</v>
      </c>
      <c r="E110" t="s">
        <v>2565</v>
      </c>
      <c r="F110" t="str">
        <f t="shared" si="1"/>
        <v xml:space="preserve">bbands_{'P' [('delta'-0.3 1)]}_[42 70]_4 </v>
      </c>
      <c r="G110" t="s">
        <v>2540</v>
      </c>
      <c r="H110">
        <v>167</v>
      </c>
      <c r="I110" t="s">
        <v>5</v>
      </c>
      <c r="J110">
        <v>22</v>
      </c>
      <c r="K110" t="s">
        <v>6</v>
      </c>
      <c r="L110">
        <v>-95.866166064188704</v>
      </c>
      <c r="M110" t="s">
        <v>7</v>
      </c>
      <c r="N110">
        <v>-0.57404889858795605</v>
      </c>
      <c r="O110" t="s">
        <v>8</v>
      </c>
      <c r="P110">
        <v>10.4872727272727</v>
      </c>
      <c r="Q110" t="s">
        <v>9</v>
      </c>
      <c r="R110">
        <v>-2.25231838664957</v>
      </c>
      <c r="S110" t="s">
        <v>10</v>
      </c>
      <c r="T110">
        <v>1.4387012239841499</v>
      </c>
      <c r="U110" t="s">
        <v>11</v>
      </c>
      <c r="V110" t="s">
        <v>2158</v>
      </c>
      <c r="W110" t="s">
        <v>2640</v>
      </c>
      <c r="X110">
        <v>0</v>
      </c>
      <c r="Y110" t="s">
        <v>14</v>
      </c>
      <c r="Z110" t="s">
        <v>15</v>
      </c>
      <c r="AA110" t="s">
        <v>2652</v>
      </c>
      <c r="AB110" t="s">
        <v>2640</v>
      </c>
      <c r="AC110">
        <v>0</v>
      </c>
      <c r="AD110" t="s">
        <v>18</v>
      </c>
    </row>
    <row r="111" spans="1:30" x14ac:dyDescent="0.3">
      <c r="A111" t="s">
        <v>2623</v>
      </c>
      <c r="B111" t="s">
        <v>1</v>
      </c>
      <c r="C111">
        <v>-0.4</v>
      </c>
      <c r="D111" t="s">
        <v>27</v>
      </c>
      <c r="E111" t="s">
        <v>2558</v>
      </c>
      <c r="F111" t="str">
        <f t="shared" si="1"/>
        <v xml:space="preserve">bbands_{'P' [('delta'-0.4 1)]}_[21 49]_6 </v>
      </c>
      <c r="G111" t="s">
        <v>2540</v>
      </c>
      <c r="H111">
        <v>178</v>
      </c>
      <c r="I111" t="s">
        <v>5</v>
      </c>
      <c r="J111">
        <v>25</v>
      </c>
      <c r="K111" t="s">
        <v>6</v>
      </c>
      <c r="L111">
        <v>-95.59</v>
      </c>
      <c r="M111" t="s">
        <v>7</v>
      </c>
      <c r="N111">
        <v>-0.53702247191011199</v>
      </c>
      <c r="O111" t="s">
        <v>8</v>
      </c>
      <c r="P111">
        <v>11.4552</v>
      </c>
      <c r="Q111" t="s">
        <v>9</v>
      </c>
      <c r="R111">
        <v>-2.4965359477124101</v>
      </c>
      <c r="S111" t="s">
        <v>10</v>
      </c>
      <c r="T111">
        <v>1.5639956515078699</v>
      </c>
      <c r="U111" t="s">
        <v>11</v>
      </c>
      <c r="V111" t="s">
        <v>2633</v>
      </c>
      <c r="W111" t="s">
        <v>2071</v>
      </c>
      <c r="X111">
        <v>0</v>
      </c>
      <c r="Y111" t="s">
        <v>14</v>
      </c>
      <c r="Z111" t="s">
        <v>15</v>
      </c>
      <c r="AA111" t="s">
        <v>2634</v>
      </c>
      <c r="AB111" t="s">
        <v>2071</v>
      </c>
      <c r="AC111">
        <v>0</v>
      </c>
      <c r="AD111" t="s">
        <v>18</v>
      </c>
    </row>
    <row r="112" spans="1:30" x14ac:dyDescent="0.3">
      <c r="A112" t="s">
        <v>2777</v>
      </c>
      <c r="B112" t="s">
        <v>1</v>
      </c>
      <c r="C112">
        <v>-0.4</v>
      </c>
      <c r="D112" t="s">
        <v>2174</v>
      </c>
      <c r="E112" t="s">
        <v>2562</v>
      </c>
      <c r="F112" t="str">
        <f t="shared" si="1"/>
        <v xml:space="preserve">rsi_{'P' [('delta'-0.4 1)]}_[42 70]_2 </v>
      </c>
      <c r="G112" t="s">
        <v>2540</v>
      </c>
      <c r="H112">
        <v>127</v>
      </c>
      <c r="I112" t="s">
        <v>5</v>
      </c>
      <c r="J112">
        <v>24</v>
      </c>
      <c r="K112" t="s">
        <v>6</v>
      </c>
      <c r="L112">
        <v>-95.367197181237003</v>
      </c>
      <c r="M112" t="s">
        <v>7</v>
      </c>
      <c r="N112">
        <v>-0.75092281245068504</v>
      </c>
      <c r="O112" t="s">
        <v>8</v>
      </c>
      <c r="P112">
        <v>9.4229166666666693</v>
      </c>
      <c r="Q112" t="s">
        <v>9</v>
      </c>
      <c r="R112">
        <v>-3.1215261862256001</v>
      </c>
      <c r="S112" t="s">
        <v>10</v>
      </c>
      <c r="T112">
        <v>1.1150396440275001</v>
      </c>
      <c r="U112" t="s">
        <v>11</v>
      </c>
      <c r="V112" t="s">
        <v>2782</v>
      </c>
      <c r="W112" t="s">
        <v>2568</v>
      </c>
      <c r="X112">
        <v>0</v>
      </c>
      <c r="Y112" t="s">
        <v>14</v>
      </c>
      <c r="Z112" t="s">
        <v>15</v>
      </c>
      <c r="AA112" t="s">
        <v>2491</v>
      </c>
      <c r="AB112" t="s">
        <v>2783</v>
      </c>
      <c r="AC112">
        <v>0</v>
      </c>
      <c r="AD112" t="s">
        <v>18</v>
      </c>
    </row>
    <row r="113" spans="1:30" x14ac:dyDescent="0.3">
      <c r="A113" t="s">
        <v>2811</v>
      </c>
      <c r="B113" t="s">
        <v>1</v>
      </c>
      <c r="C113">
        <v>-0.2</v>
      </c>
      <c r="D113" t="s">
        <v>2</v>
      </c>
      <c r="E113" t="s">
        <v>2545</v>
      </c>
      <c r="F113" t="str">
        <f t="shared" si="1"/>
        <v xml:space="preserve">stoch_{'P' [('delta'-0.2 1)]}_[7 35]_4 </v>
      </c>
      <c r="G113" t="s">
        <v>2540</v>
      </c>
      <c r="H113">
        <v>375</v>
      </c>
      <c r="I113" t="s">
        <v>5</v>
      </c>
      <c r="J113">
        <v>37</v>
      </c>
      <c r="K113" t="s">
        <v>6</v>
      </c>
      <c r="L113">
        <v>-93.738498342654594</v>
      </c>
      <c r="M113" t="s">
        <v>7</v>
      </c>
      <c r="N113">
        <v>-0.24996932891374499</v>
      </c>
      <c r="O113" t="s">
        <v>8</v>
      </c>
      <c r="P113">
        <v>5.7386486486486401</v>
      </c>
      <c r="Q113" t="s">
        <v>9</v>
      </c>
      <c r="R113">
        <v>-0.90552810160548702</v>
      </c>
      <c r="S113" t="s">
        <v>10</v>
      </c>
      <c r="T113">
        <v>1.38356936571043</v>
      </c>
      <c r="U113" t="s">
        <v>11</v>
      </c>
      <c r="V113" t="s">
        <v>2832</v>
      </c>
      <c r="W113" t="s">
        <v>2071</v>
      </c>
      <c r="X113">
        <v>0</v>
      </c>
      <c r="Y113" t="s">
        <v>14</v>
      </c>
      <c r="Z113" t="s">
        <v>15</v>
      </c>
      <c r="AA113" t="s">
        <v>2833</v>
      </c>
      <c r="AB113" t="s">
        <v>2834</v>
      </c>
      <c r="AC113">
        <v>0</v>
      </c>
      <c r="AD113" t="s">
        <v>18</v>
      </c>
    </row>
    <row r="114" spans="1:30" x14ac:dyDescent="0.3">
      <c r="A114" t="s">
        <v>2623</v>
      </c>
      <c r="B114" t="s">
        <v>1</v>
      </c>
      <c r="C114">
        <v>-0.4</v>
      </c>
      <c r="D114" t="s">
        <v>2</v>
      </c>
      <c r="E114" t="s">
        <v>2539</v>
      </c>
      <c r="F114" t="str">
        <f t="shared" si="1"/>
        <v xml:space="preserve">bbands_{'P' [('delta'-0.4 1)]}_[7 35]_1 </v>
      </c>
      <c r="G114" t="s">
        <v>2540</v>
      </c>
      <c r="H114">
        <v>169</v>
      </c>
      <c r="I114" t="s">
        <v>5</v>
      </c>
      <c r="J114">
        <v>33</v>
      </c>
      <c r="K114" t="s">
        <v>6</v>
      </c>
      <c r="L114">
        <v>-91.44</v>
      </c>
      <c r="M114" t="s">
        <v>7</v>
      </c>
      <c r="N114">
        <v>-0.54106508875739601</v>
      </c>
      <c r="O114" t="s">
        <v>8</v>
      </c>
      <c r="P114">
        <v>5.0406060606060503</v>
      </c>
      <c r="Q114" t="s">
        <v>9</v>
      </c>
      <c r="R114">
        <v>-1.8954411764705801</v>
      </c>
      <c r="S114" t="s">
        <v>10</v>
      </c>
      <c r="T114">
        <v>0.72713709618268596</v>
      </c>
      <c r="U114" t="s">
        <v>11</v>
      </c>
      <c r="V114" t="s">
        <v>2624</v>
      </c>
      <c r="W114" t="s">
        <v>2046</v>
      </c>
      <c r="X114">
        <v>0</v>
      </c>
      <c r="Y114" t="s">
        <v>14</v>
      </c>
      <c r="Z114" t="s">
        <v>15</v>
      </c>
      <c r="AA114" t="s">
        <v>2625</v>
      </c>
      <c r="AB114" t="s">
        <v>2013</v>
      </c>
      <c r="AC114">
        <v>0</v>
      </c>
      <c r="AD114" t="s">
        <v>18</v>
      </c>
    </row>
    <row r="115" spans="1:30" x14ac:dyDescent="0.3">
      <c r="A115" t="s">
        <v>2623</v>
      </c>
      <c r="B115" t="s">
        <v>1</v>
      </c>
      <c r="C115">
        <v>-0.2</v>
      </c>
      <c r="D115" t="s">
        <v>2</v>
      </c>
      <c r="E115" t="s">
        <v>2547</v>
      </c>
      <c r="F115" t="str">
        <f t="shared" si="1"/>
        <v xml:space="preserve">bbands_{'P' [('delta'-0.2 1)]}_[7 35]_6 </v>
      </c>
      <c r="G115" t="s">
        <v>2540</v>
      </c>
      <c r="H115">
        <v>169</v>
      </c>
      <c r="I115" t="s">
        <v>5</v>
      </c>
      <c r="J115">
        <v>7</v>
      </c>
      <c r="K115" t="s">
        <v>6</v>
      </c>
      <c r="L115">
        <v>-91.429999999999893</v>
      </c>
      <c r="M115" t="s">
        <v>7</v>
      </c>
      <c r="N115">
        <v>-0.54100591715976298</v>
      </c>
      <c r="O115" t="s">
        <v>8</v>
      </c>
      <c r="P115">
        <v>7.4</v>
      </c>
      <c r="Q115" t="s">
        <v>9</v>
      </c>
      <c r="R115">
        <v>-0.88413580246913503</v>
      </c>
      <c r="S115" t="s">
        <v>10</v>
      </c>
      <c r="T115">
        <v>0.50684822881910097</v>
      </c>
      <c r="U115" t="s">
        <v>11</v>
      </c>
      <c r="V115" t="s">
        <v>2656</v>
      </c>
      <c r="W115" t="s">
        <v>2644</v>
      </c>
      <c r="X115">
        <v>0</v>
      </c>
      <c r="Y115" t="s">
        <v>14</v>
      </c>
      <c r="Z115" t="s">
        <v>15</v>
      </c>
      <c r="AA115" t="s">
        <v>2654</v>
      </c>
      <c r="AB115" t="s">
        <v>2655</v>
      </c>
      <c r="AC115">
        <v>0</v>
      </c>
      <c r="AD115" t="s">
        <v>18</v>
      </c>
    </row>
    <row r="116" spans="1:30" x14ac:dyDescent="0.3">
      <c r="A116" t="s">
        <v>2777</v>
      </c>
      <c r="B116" t="s">
        <v>1</v>
      </c>
      <c r="C116">
        <v>-0.3</v>
      </c>
      <c r="D116" t="s">
        <v>2174</v>
      </c>
      <c r="E116" t="s">
        <v>2569</v>
      </c>
      <c r="F116" t="str">
        <f t="shared" si="1"/>
        <v xml:space="preserve">rsi_{'P' [('delta'-0.3 1)]}_[42 70]_6 </v>
      </c>
      <c r="G116" t="s">
        <v>2540</v>
      </c>
      <c r="H116">
        <v>127</v>
      </c>
      <c r="I116" t="s">
        <v>5</v>
      </c>
      <c r="J116">
        <v>12</v>
      </c>
      <c r="K116" t="s">
        <v>6</v>
      </c>
      <c r="L116">
        <v>-90.418552314018598</v>
      </c>
      <c r="M116" t="s">
        <v>7</v>
      </c>
      <c r="N116">
        <v>-0.71195710483479202</v>
      </c>
      <c r="O116" t="s">
        <v>8</v>
      </c>
      <c r="P116">
        <v>13.047499999999999</v>
      </c>
      <c r="Q116" t="s">
        <v>9</v>
      </c>
      <c r="R116">
        <v>-2.1477265418610298</v>
      </c>
      <c r="S116" t="s">
        <v>10</v>
      </c>
      <c r="T116">
        <v>1.0777700656554301</v>
      </c>
      <c r="U116" t="s">
        <v>11</v>
      </c>
      <c r="V116" t="s">
        <v>2476</v>
      </c>
      <c r="W116" t="s">
        <v>2732</v>
      </c>
      <c r="X116">
        <v>0</v>
      </c>
      <c r="Y116" t="s">
        <v>14</v>
      </c>
      <c r="Z116" t="s">
        <v>15</v>
      </c>
      <c r="AA116" t="s">
        <v>2792</v>
      </c>
      <c r="AB116" t="s">
        <v>2793</v>
      </c>
      <c r="AC116">
        <v>0</v>
      </c>
      <c r="AD116" t="s">
        <v>18</v>
      </c>
    </row>
    <row r="117" spans="1:30" x14ac:dyDescent="0.3">
      <c r="A117" t="s">
        <v>2728</v>
      </c>
      <c r="B117" t="s">
        <v>1</v>
      </c>
      <c r="C117">
        <v>-0.4</v>
      </c>
      <c r="D117" t="s">
        <v>2174</v>
      </c>
      <c r="E117" t="s">
        <v>2569</v>
      </c>
      <c r="F117" t="str">
        <f t="shared" si="1"/>
        <v xml:space="preserve">psar_{'P' [('delta'-0.4 1)]}_[42 70]_6 </v>
      </c>
      <c r="G117" t="s">
        <v>2540</v>
      </c>
      <c r="H117">
        <v>139</v>
      </c>
      <c r="I117" t="s">
        <v>5</v>
      </c>
      <c r="J117">
        <v>27</v>
      </c>
      <c r="K117" t="s">
        <v>6</v>
      </c>
      <c r="L117">
        <v>-90.366012507632803</v>
      </c>
      <c r="M117" t="s">
        <v>7</v>
      </c>
      <c r="N117">
        <v>-0.65011519789663796</v>
      </c>
      <c r="O117" t="s">
        <v>8</v>
      </c>
      <c r="P117">
        <v>9.8681481481481406</v>
      </c>
      <c r="Q117" t="s">
        <v>9</v>
      </c>
      <c r="R117">
        <v>-3.1857679688181499</v>
      </c>
      <c r="S117" t="s">
        <v>10</v>
      </c>
      <c r="T117">
        <v>1.57235319487225</v>
      </c>
      <c r="U117" t="s">
        <v>11</v>
      </c>
      <c r="V117" t="s">
        <v>2736</v>
      </c>
      <c r="W117" t="s">
        <v>2734</v>
      </c>
      <c r="X117">
        <v>0</v>
      </c>
      <c r="Y117" t="s">
        <v>14</v>
      </c>
      <c r="Z117" t="s">
        <v>15</v>
      </c>
      <c r="AA117" t="s">
        <v>2629</v>
      </c>
      <c r="AB117" t="s">
        <v>1350</v>
      </c>
      <c r="AC117">
        <v>0</v>
      </c>
      <c r="AD117" t="s">
        <v>18</v>
      </c>
    </row>
    <row r="118" spans="1:30" x14ac:dyDescent="0.3">
      <c r="A118" t="s">
        <v>2858</v>
      </c>
      <c r="B118" t="s">
        <v>1</v>
      </c>
      <c r="C118">
        <v>-0.2</v>
      </c>
      <c r="D118" t="s">
        <v>27</v>
      </c>
      <c r="E118" t="s">
        <v>2558</v>
      </c>
      <c r="F118" t="str">
        <f t="shared" si="1"/>
        <v xml:space="preserve">stoch_no_highvol_{'P' [('delta'-0.2 1)]}_[21 49]_6 </v>
      </c>
      <c r="G118" t="s">
        <v>2540</v>
      </c>
      <c r="H118">
        <v>335</v>
      </c>
      <c r="I118" t="s">
        <v>5</v>
      </c>
      <c r="J118">
        <v>20</v>
      </c>
      <c r="K118" t="s">
        <v>6</v>
      </c>
      <c r="L118">
        <v>-90.339999999999904</v>
      </c>
      <c r="M118" t="s">
        <v>7</v>
      </c>
      <c r="N118">
        <v>-0.26967164179104403</v>
      </c>
      <c r="O118" t="s">
        <v>8</v>
      </c>
      <c r="P118">
        <v>11.3315</v>
      </c>
      <c r="Q118" t="s">
        <v>9</v>
      </c>
      <c r="R118">
        <v>-1.00625396825396</v>
      </c>
      <c r="S118" t="s">
        <v>10</v>
      </c>
      <c r="T118">
        <v>1.16056657700605</v>
      </c>
      <c r="U118" t="s">
        <v>11</v>
      </c>
      <c r="V118" t="s">
        <v>2656</v>
      </c>
      <c r="W118" t="s">
        <v>2644</v>
      </c>
      <c r="X118">
        <v>0</v>
      </c>
      <c r="Y118" t="s">
        <v>14</v>
      </c>
      <c r="Z118" t="s">
        <v>15</v>
      </c>
      <c r="AA118" t="s">
        <v>2883</v>
      </c>
      <c r="AB118" t="s">
        <v>2655</v>
      </c>
      <c r="AC118">
        <v>0</v>
      </c>
      <c r="AD118" t="s">
        <v>18</v>
      </c>
    </row>
    <row r="119" spans="1:30" x14ac:dyDescent="0.3">
      <c r="A119" t="s">
        <v>2683</v>
      </c>
      <c r="B119" t="s">
        <v>1</v>
      </c>
      <c r="C119">
        <v>-0.4</v>
      </c>
      <c r="D119" t="s">
        <v>2</v>
      </c>
      <c r="E119" t="s">
        <v>2543</v>
      </c>
      <c r="F119" t="str">
        <f t="shared" si="1"/>
        <v xml:space="preserve">bbands_no_highvol_{'P' [('delta'-0.4 1)]}_[7 35]_2 </v>
      </c>
      <c r="G119" t="s">
        <v>2540</v>
      </c>
      <c r="H119">
        <v>155</v>
      </c>
      <c r="I119" t="s">
        <v>5</v>
      </c>
      <c r="J119">
        <v>24</v>
      </c>
      <c r="K119" t="s">
        <v>6</v>
      </c>
      <c r="L119">
        <v>-90.03</v>
      </c>
      <c r="M119" t="s">
        <v>7</v>
      </c>
      <c r="N119">
        <v>-0.58083870967741902</v>
      </c>
      <c r="O119" t="s">
        <v>8</v>
      </c>
      <c r="P119">
        <v>5.9570833333333297</v>
      </c>
      <c r="Q119" t="s">
        <v>9</v>
      </c>
      <c r="R119">
        <v>-1.7786259541984699</v>
      </c>
      <c r="S119" t="s">
        <v>10</v>
      </c>
      <c r="T119">
        <v>0.70355303637609801</v>
      </c>
      <c r="U119" t="s">
        <v>11</v>
      </c>
      <c r="V119" t="s">
        <v>2684</v>
      </c>
      <c r="W119" t="s">
        <v>2013</v>
      </c>
      <c r="X119">
        <v>0</v>
      </c>
      <c r="Y119" t="s">
        <v>14</v>
      </c>
      <c r="Z119" t="s">
        <v>15</v>
      </c>
      <c r="AA119" t="s">
        <v>2625</v>
      </c>
      <c r="AB119" t="s">
        <v>2013</v>
      </c>
      <c r="AC119">
        <v>0</v>
      </c>
      <c r="AD119" t="s">
        <v>18</v>
      </c>
    </row>
    <row r="120" spans="1:30" x14ac:dyDescent="0.3">
      <c r="A120" t="s">
        <v>2683</v>
      </c>
      <c r="B120" t="s">
        <v>1</v>
      </c>
      <c r="C120">
        <v>-0.3</v>
      </c>
      <c r="D120" t="s">
        <v>2174</v>
      </c>
      <c r="E120" t="s">
        <v>2565</v>
      </c>
      <c r="F120" t="str">
        <f t="shared" si="1"/>
        <v xml:space="preserve">bbands_no_highvol_{'P' [('delta'-0.3 1)]}_[42 70]_4 </v>
      </c>
      <c r="G120" t="s">
        <v>2540</v>
      </c>
      <c r="H120">
        <v>157</v>
      </c>
      <c r="I120" t="s">
        <v>5</v>
      </c>
      <c r="J120">
        <v>19</v>
      </c>
      <c r="K120" t="s">
        <v>6</v>
      </c>
      <c r="L120">
        <v>-89.518611666931903</v>
      </c>
      <c r="M120" t="s">
        <v>7</v>
      </c>
      <c r="N120">
        <v>-0.57018223991676298</v>
      </c>
      <c r="O120" t="s">
        <v>8</v>
      </c>
      <c r="P120">
        <v>10.986315789473601</v>
      </c>
      <c r="Q120" t="s">
        <v>9</v>
      </c>
      <c r="R120">
        <v>-2.16129428744153</v>
      </c>
      <c r="S120" t="s">
        <v>10</v>
      </c>
      <c r="T120">
        <v>1.24663022751257</v>
      </c>
      <c r="U120" t="s">
        <v>11</v>
      </c>
      <c r="V120" t="s">
        <v>2706</v>
      </c>
      <c r="W120" t="s">
        <v>2695</v>
      </c>
      <c r="X120">
        <v>0</v>
      </c>
      <c r="Y120" t="s">
        <v>14</v>
      </c>
      <c r="Z120" t="s">
        <v>15</v>
      </c>
      <c r="AA120" t="s">
        <v>2705</v>
      </c>
      <c r="AB120" t="s">
        <v>2655</v>
      </c>
      <c r="AC120">
        <v>0</v>
      </c>
      <c r="AD120" t="s">
        <v>18</v>
      </c>
    </row>
    <row r="121" spans="1:30" x14ac:dyDescent="0.3">
      <c r="A121" t="s">
        <v>2858</v>
      </c>
      <c r="B121" t="s">
        <v>1</v>
      </c>
      <c r="C121">
        <v>-0.2</v>
      </c>
      <c r="D121" t="s">
        <v>27</v>
      </c>
      <c r="E121" t="s">
        <v>2550</v>
      </c>
      <c r="F121" t="str">
        <f t="shared" si="1"/>
        <v xml:space="preserve">stoch_no_highvol_{'P' [('delta'-0.2 1)]}_[21 49]_1 </v>
      </c>
      <c r="G121" t="s">
        <v>2540</v>
      </c>
      <c r="H121">
        <v>335</v>
      </c>
      <c r="I121" t="s">
        <v>5</v>
      </c>
      <c r="J121">
        <v>64</v>
      </c>
      <c r="K121" t="s">
        <v>6</v>
      </c>
      <c r="L121">
        <v>-89.009999999999906</v>
      </c>
      <c r="M121" t="s">
        <v>7</v>
      </c>
      <c r="N121">
        <v>-0.26570149253731301</v>
      </c>
      <c r="O121" t="s">
        <v>8</v>
      </c>
      <c r="P121">
        <v>2.7853124999999901</v>
      </c>
      <c r="Q121" t="s">
        <v>9</v>
      </c>
      <c r="R121">
        <v>-0.98623616236162404</v>
      </c>
      <c r="S121" t="s">
        <v>10</v>
      </c>
      <c r="T121">
        <v>0.73011315336067195</v>
      </c>
      <c r="U121" t="s">
        <v>11</v>
      </c>
      <c r="V121" t="s">
        <v>2193</v>
      </c>
      <c r="W121" t="s">
        <v>2859</v>
      </c>
      <c r="X121">
        <v>0</v>
      </c>
      <c r="Y121" t="s">
        <v>14</v>
      </c>
      <c r="Z121" t="s">
        <v>15</v>
      </c>
      <c r="AA121" t="s">
        <v>2886</v>
      </c>
      <c r="AB121" t="s">
        <v>2889</v>
      </c>
      <c r="AC121">
        <v>0</v>
      </c>
      <c r="AD121" t="s">
        <v>18</v>
      </c>
    </row>
    <row r="122" spans="1:30" x14ac:dyDescent="0.3">
      <c r="A122" t="s">
        <v>2811</v>
      </c>
      <c r="B122" t="s">
        <v>1</v>
      </c>
      <c r="C122">
        <v>-0.3</v>
      </c>
      <c r="D122" t="s">
        <v>2</v>
      </c>
      <c r="E122" t="s">
        <v>2543</v>
      </c>
      <c r="F122" t="str">
        <f t="shared" si="1"/>
        <v xml:space="preserve">stoch_{'P' [('delta'-0.3 1)]}_[7 35]_2 </v>
      </c>
      <c r="G122" t="s">
        <v>2540</v>
      </c>
      <c r="H122">
        <v>375</v>
      </c>
      <c r="I122" t="s">
        <v>5</v>
      </c>
      <c r="J122">
        <v>65</v>
      </c>
      <c r="K122" t="s">
        <v>6</v>
      </c>
      <c r="L122">
        <v>-88.578549172182505</v>
      </c>
      <c r="M122" t="s">
        <v>7</v>
      </c>
      <c r="N122">
        <v>-0.236209464459153</v>
      </c>
      <c r="O122" t="s">
        <v>8</v>
      </c>
      <c r="P122">
        <v>5.3876923076922996</v>
      </c>
      <c r="Q122" t="s">
        <v>9</v>
      </c>
      <c r="R122">
        <v>-1.41541467474897</v>
      </c>
      <c r="S122" t="s">
        <v>10</v>
      </c>
      <c r="T122">
        <v>1.70177654443822</v>
      </c>
      <c r="U122" t="s">
        <v>11</v>
      </c>
      <c r="V122" t="s">
        <v>2778</v>
      </c>
      <c r="W122" t="s">
        <v>2631</v>
      </c>
      <c r="X122">
        <v>0</v>
      </c>
      <c r="Y122" t="s">
        <v>14</v>
      </c>
      <c r="Z122" t="s">
        <v>15</v>
      </c>
      <c r="AA122" t="s">
        <v>2821</v>
      </c>
      <c r="AB122" t="s">
        <v>2046</v>
      </c>
      <c r="AC122">
        <v>0</v>
      </c>
      <c r="AD122" t="s">
        <v>18</v>
      </c>
    </row>
    <row r="123" spans="1:30" x14ac:dyDescent="0.3">
      <c r="A123" t="s">
        <v>2811</v>
      </c>
      <c r="B123" t="s">
        <v>1</v>
      </c>
      <c r="C123">
        <v>-0.2</v>
      </c>
      <c r="D123" t="s">
        <v>2174</v>
      </c>
      <c r="E123" t="s">
        <v>2559</v>
      </c>
      <c r="F123" t="str">
        <f t="shared" si="1"/>
        <v xml:space="preserve">stoch_{'P' [('delta'-0.2 1)]}_[42 70]_1 </v>
      </c>
      <c r="G123" t="s">
        <v>2540</v>
      </c>
      <c r="H123">
        <v>370</v>
      </c>
      <c r="I123" t="s">
        <v>5</v>
      </c>
      <c r="J123">
        <v>87</v>
      </c>
      <c r="K123" t="s">
        <v>6</v>
      </c>
      <c r="L123">
        <v>-87.949739190202195</v>
      </c>
      <c r="M123" t="s">
        <v>7</v>
      </c>
      <c r="N123">
        <v>-0.23770199781135701</v>
      </c>
      <c r="O123" t="s">
        <v>8</v>
      </c>
      <c r="P123">
        <v>3.55489682104061</v>
      </c>
      <c r="Q123" t="s">
        <v>9</v>
      </c>
      <c r="R123">
        <v>-1.40362460290012</v>
      </c>
      <c r="S123" t="s">
        <v>10</v>
      </c>
      <c r="T123">
        <v>1.2385468652029299</v>
      </c>
      <c r="U123" t="s">
        <v>11</v>
      </c>
      <c r="V123" t="s">
        <v>2839</v>
      </c>
      <c r="W123" t="s">
        <v>2557</v>
      </c>
      <c r="X123">
        <v>0</v>
      </c>
      <c r="Y123" t="s">
        <v>14</v>
      </c>
      <c r="Z123" t="s">
        <v>15</v>
      </c>
      <c r="AA123" t="s">
        <v>2840</v>
      </c>
      <c r="AB123" t="s">
        <v>2046</v>
      </c>
      <c r="AC123">
        <v>0</v>
      </c>
      <c r="AD123" t="s">
        <v>18</v>
      </c>
    </row>
    <row r="124" spans="1:30" x14ac:dyDescent="0.3">
      <c r="A124" t="s">
        <v>2683</v>
      </c>
      <c r="B124" t="s">
        <v>1</v>
      </c>
      <c r="C124">
        <v>-0.3</v>
      </c>
      <c r="D124" t="s">
        <v>2</v>
      </c>
      <c r="E124" t="s">
        <v>2545</v>
      </c>
      <c r="F124" t="str">
        <f t="shared" si="1"/>
        <v xml:space="preserve">bbands_no_highvol_{'P' [('delta'-0.3 1)]}_[7 35]_4 </v>
      </c>
      <c r="G124" t="s">
        <v>2540</v>
      </c>
      <c r="H124">
        <v>155</v>
      </c>
      <c r="I124" t="s">
        <v>5</v>
      </c>
      <c r="J124">
        <v>17</v>
      </c>
      <c r="K124" t="s">
        <v>6</v>
      </c>
      <c r="L124">
        <v>-87.16</v>
      </c>
      <c r="M124" t="s">
        <v>7</v>
      </c>
      <c r="N124">
        <v>-0.56232258064516105</v>
      </c>
      <c r="O124" t="s">
        <v>8</v>
      </c>
      <c r="P124">
        <v>5.3764705882352901</v>
      </c>
      <c r="Q124" t="s">
        <v>9</v>
      </c>
      <c r="R124">
        <v>-1.29391304347826</v>
      </c>
      <c r="S124" t="s">
        <v>10</v>
      </c>
      <c r="T124">
        <v>0.64147473712629399</v>
      </c>
      <c r="U124" t="s">
        <v>11</v>
      </c>
      <c r="V124" t="s">
        <v>2697</v>
      </c>
      <c r="W124" t="s">
        <v>2698</v>
      </c>
      <c r="X124">
        <v>0</v>
      </c>
      <c r="Y124" t="s">
        <v>14</v>
      </c>
      <c r="Z124" t="s">
        <v>15</v>
      </c>
      <c r="AA124" t="s">
        <v>2699</v>
      </c>
      <c r="AB124" t="s">
        <v>2655</v>
      </c>
      <c r="AC124">
        <v>0</v>
      </c>
      <c r="AD124" t="s">
        <v>18</v>
      </c>
    </row>
    <row r="125" spans="1:30" x14ac:dyDescent="0.3">
      <c r="A125" t="s">
        <v>2858</v>
      </c>
      <c r="B125" t="s">
        <v>1</v>
      </c>
      <c r="C125">
        <v>-0.2</v>
      </c>
      <c r="D125" t="s">
        <v>2174</v>
      </c>
      <c r="E125" t="s">
        <v>2559</v>
      </c>
      <c r="F125" t="str">
        <f t="shared" si="1"/>
        <v xml:space="preserve">stoch_no_highvol_{'P' [('delta'-0.2 1)]}_[42 70]_1 </v>
      </c>
      <c r="G125" t="s">
        <v>2540</v>
      </c>
      <c r="H125">
        <v>331</v>
      </c>
      <c r="I125" t="s">
        <v>5</v>
      </c>
      <c r="J125">
        <v>76</v>
      </c>
      <c r="K125" t="s">
        <v>6</v>
      </c>
      <c r="L125">
        <v>-86.655762620735999</v>
      </c>
      <c r="M125" t="s">
        <v>7</v>
      </c>
      <c r="N125">
        <v>-0.26179988707170998</v>
      </c>
      <c r="O125" t="s">
        <v>8</v>
      </c>
      <c r="P125">
        <v>3.1328947368421001</v>
      </c>
      <c r="Q125" t="s">
        <v>9</v>
      </c>
      <c r="R125">
        <v>-1.2735520102773901</v>
      </c>
      <c r="S125" t="s">
        <v>10</v>
      </c>
      <c r="T125">
        <v>0.92567103571388798</v>
      </c>
      <c r="U125" t="s">
        <v>11</v>
      </c>
      <c r="V125" t="s">
        <v>163</v>
      </c>
      <c r="W125" t="s">
        <v>2587</v>
      </c>
      <c r="X125">
        <v>0</v>
      </c>
      <c r="Y125" t="s">
        <v>14</v>
      </c>
      <c r="Z125" t="s">
        <v>15</v>
      </c>
      <c r="AA125" t="s">
        <v>2891</v>
      </c>
      <c r="AB125" t="s">
        <v>1431</v>
      </c>
      <c r="AC125">
        <v>0</v>
      </c>
      <c r="AD125" t="s">
        <v>18</v>
      </c>
    </row>
    <row r="126" spans="1:30" x14ac:dyDescent="0.3">
      <c r="A126" t="s">
        <v>2683</v>
      </c>
      <c r="B126" t="s">
        <v>1</v>
      </c>
      <c r="C126">
        <v>-0.4</v>
      </c>
      <c r="D126" t="s">
        <v>2174</v>
      </c>
      <c r="E126" t="s">
        <v>2562</v>
      </c>
      <c r="F126" t="str">
        <f t="shared" si="1"/>
        <v xml:space="preserve">bbands_no_highvol_{'P' [('delta'-0.4 1)]}_[42 70]_2 </v>
      </c>
      <c r="G126" t="s">
        <v>2540</v>
      </c>
      <c r="H126">
        <v>157</v>
      </c>
      <c r="I126" t="s">
        <v>5</v>
      </c>
      <c r="J126">
        <v>31</v>
      </c>
      <c r="K126" t="s">
        <v>6</v>
      </c>
      <c r="L126">
        <v>-85.520075066959905</v>
      </c>
      <c r="M126" t="s">
        <v>7</v>
      </c>
      <c r="N126">
        <v>-0.54471385392968097</v>
      </c>
      <c r="O126" t="s">
        <v>8</v>
      </c>
      <c r="P126">
        <v>9.7296774193548394</v>
      </c>
      <c r="Q126" t="s">
        <v>9</v>
      </c>
      <c r="R126">
        <v>-3.0725402783092002</v>
      </c>
      <c r="S126" t="s">
        <v>10</v>
      </c>
      <c r="T126">
        <v>1.3937918133087499</v>
      </c>
      <c r="U126" t="s">
        <v>11</v>
      </c>
      <c r="V126" t="s">
        <v>2692</v>
      </c>
      <c r="W126" t="s">
        <v>2693</v>
      </c>
      <c r="X126">
        <v>0</v>
      </c>
      <c r="Y126" t="s">
        <v>14</v>
      </c>
      <c r="Z126" t="s">
        <v>15</v>
      </c>
      <c r="AA126" t="s">
        <v>2694</v>
      </c>
      <c r="AB126" t="s">
        <v>2655</v>
      </c>
      <c r="AC126">
        <v>0</v>
      </c>
      <c r="AD126" t="s">
        <v>18</v>
      </c>
    </row>
    <row r="127" spans="1:30" x14ac:dyDescent="0.3">
      <c r="A127" t="s">
        <v>2811</v>
      </c>
      <c r="B127" t="s">
        <v>1</v>
      </c>
      <c r="C127">
        <v>-0.1</v>
      </c>
      <c r="D127" t="s">
        <v>2174</v>
      </c>
      <c r="E127" t="s">
        <v>2562</v>
      </c>
      <c r="F127" t="str">
        <f t="shared" si="1"/>
        <v xml:space="preserve">stoch_{'P' [('delta'-0.1 1)]}_[42 70]_2 </v>
      </c>
      <c r="G127" t="s">
        <v>2540</v>
      </c>
      <c r="H127">
        <v>370</v>
      </c>
      <c r="I127" t="s">
        <v>5</v>
      </c>
      <c r="J127">
        <v>48</v>
      </c>
      <c r="K127" t="s">
        <v>6</v>
      </c>
      <c r="L127">
        <v>-84.433936181982006</v>
      </c>
      <c r="M127" t="s">
        <v>7</v>
      </c>
      <c r="N127">
        <v>-0.22819982751887</v>
      </c>
      <c r="O127" t="s">
        <v>8</v>
      </c>
      <c r="P127">
        <v>2.9255532532133501</v>
      </c>
      <c r="Q127" t="s">
        <v>9</v>
      </c>
      <c r="R127">
        <v>-0.69832451036094001</v>
      </c>
      <c r="S127" t="s">
        <v>10</v>
      </c>
      <c r="T127">
        <v>0.72278307741328596</v>
      </c>
      <c r="U127" t="s">
        <v>11</v>
      </c>
      <c r="V127" t="s">
        <v>2855</v>
      </c>
      <c r="W127" t="s">
        <v>2845</v>
      </c>
      <c r="X127">
        <v>0</v>
      </c>
      <c r="Y127" t="s">
        <v>14</v>
      </c>
      <c r="Z127" t="s">
        <v>15</v>
      </c>
      <c r="AA127" t="s">
        <v>2856</v>
      </c>
      <c r="AB127" t="s">
        <v>2857</v>
      </c>
      <c r="AC127">
        <v>0</v>
      </c>
      <c r="AD127" t="s">
        <v>18</v>
      </c>
    </row>
    <row r="128" spans="1:30" x14ac:dyDescent="0.3">
      <c r="A128" t="s">
        <v>2777</v>
      </c>
      <c r="B128" t="s">
        <v>1</v>
      </c>
      <c r="C128">
        <v>-0.3</v>
      </c>
      <c r="D128" t="s">
        <v>27</v>
      </c>
      <c r="E128" t="s">
        <v>2555</v>
      </c>
      <c r="F128" t="str">
        <f t="shared" si="1"/>
        <v xml:space="preserve">rsi_{'P' [('delta'-0.3 1)]}_[21 49]_4 </v>
      </c>
      <c r="G128" t="s">
        <v>2540</v>
      </c>
      <c r="H128">
        <v>128</v>
      </c>
      <c r="I128" t="s">
        <v>5</v>
      </c>
      <c r="J128">
        <v>17</v>
      </c>
      <c r="K128" t="s">
        <v>6</v>
      </c>
      <c r="L128">
        <v>-84.38</v>
      </c>
      <c r="M128" t="s">
        <v>7</v>
      </c>
      <c r="N128">
        <v>-0.65921874999999996</v>
      </c>
      <c r="O128" t="s">
        <v>8</v>
      </c>
      <c r="P128">
        <v>6.2682352941176402</v>
      </c>
      <c r="Q128" t="s">
        <v>9</v>
      </c>
      <c r="R128">
        <v>-1.7201801801801699</v>
      </c>
      <c r="S128" t="s">
        <v>10</v>
      </c>
      <c r="T128">
        <v>0.87752575143411704</v>
      </c>
      <c r="U128" t="s">
        <v>11</v>
      </c>
      <c r="V128" t="s">
        <v>116</v>
      </c>
      <c r="W128" t="s">
        <v>2640</v>
      </c>
      <c r="X128">
        <v>0</v>
      </c>
      <c r="Y128" t="s">
        <v>14</v>
      </c>
      <c r="Z128" t="s">
        <v>15</v>
      </c>
      <c r="AA128" t="s">
        <v>2788</v>
      </c>
      <c r="AB128" t="s">
        <v>2554</v>
      </c>
      <c r="AC128">
        <v>0</v>
      </c>
      <c r="AD128" t="s">
        <v>18</v>
      </c>
    </row>
    <row r="129" spans="1:30" x14ac:dyDescent="0.3">
      <c r="A129" t="s">
        <v>2683</v>
      </c>
      <c r="B129" t="s">
        <v>1</v>
      </c>
      <c r="C129">
        <v>-0.3</v>
      </c>
      <c r="D129" t="s">
        <v>2</v>
      </c>
      <c r="E129" t="s">
        <v>2547</v>
      </c>
      <c r="F129" t="str">
        <f t="shared" si="1"/>
        <v xml:space="preserve">bbands_no_highvol_{'P' [('delta'-0.3 1)]}_[7 35]_6 </v>
      </c>
      <c r="G129" t="s">
        <v>2540</v>
      </c>
      <c r="H129">
        <v>155</v>
      </c>
      <c r="I129" t="s">
        <v>5</v>
      </c>
      <c r="J129">
        <v>16</v>
      </c>
      <c r="K129" t="s">
        <v>6</v>
      </c>
      <c r="L129">
        <v>-84.15</v>
      </c>
      <c r="M129" t="s">
        <v>7</v>
      </c>
      <c r="N129">
        <v>-0.54290322580645101</v>
      </c>
      <c r="O129" t="s">
        <v>8</v>
      </c>
      <c r="P129">
        <v>6.0193749999999904</v>
      </c>
      <c r="Q129" t="s">
        <v>9</v>
      </c>
      <c r="R129">
        <v>-1.2982733812949601</v>
      </c>
      <c r="S129" t="s">
        <v>10</v>
      </c>
      <c r="T129">
        <v>0.66938166589063097</v>
      </c>
      <c r="U129" t="s">
        <v>11</v>
      </c>
      <c r="V129" t="s">
        <v>2643</v>
      </c>
      <c r="W129" t="s">
        <v>2644</v>
      </c>
      <c r="X129">
        <v>0</v>
      </c>
      <c r="Y129" t="s">
        <v>14</v>
      </c>
      <c r="Z129" t="s">
        <v>15</v>
      </c>
      <c r="AA129" t="s">
        <v>2699</v>
      </c>
      <c r="AB129" t="s">
        <v>2655</v>
      </c>
      <c r="AC129">
        <v>0</v>
      </c>
      <c r="AD129" t="s">
        <v>18</v>
      </c>
    </row>
    <row r="130" spans="1:30" x14ac:dyDescent="0.3">
      <c r="A130" t="s">
        <v>2623</v>
      </c>
      <c r="B130" t="s">
        <v>1</v>
      </c>
      <c r="C130">
        <v>-0.4</v>
      </c>
      <c r="D130" t="s">
        <v>27</v>
      </c>
      <c r="E130" t="s">
        <v>2552</v>
      </c>
      <c r="F130" t="str">
        <f t="shared" si="1"/>
        <v xml:space="preserve">bbands_{'P' [('delta'-0.4 1)]}_[21 49]_2 </v>
      </c>
      <c r="G130" t="s">
        <v>2540</v>
      </c>
      <c r="H130">
        <v>178</v>
      </c>
      <c r="I130" t="s">
        <v>5</v>
      </c>
      <c r="J130">
        <v>35</v>
      </c>
      <c r="K130" t="s">
        <v>6</v>
      </c>
      <c r="L130">
        <v>-83.55</v>
      </c>
      <c r="M130" t="s">
        <v>7</v>
      </c>
      <c r="N130">
        <v>-0.46938202247191002</v>
      </c>
      <c r="O130" t="s">
        <v>8</v>
      </c>
      <c r="P130">
        <v>7.8151428571428498</v>
      </c>
      <c r="Q130" t="s">
        <v>9</v>
      </c>
      <c r="R130">
        <v>-2.49706293706293</v>
      </c>
      <c r="S130" t="s">
        <v>10</v>
      </c>
      <c r="T130">
        <v>1.2334613601133899</v>
      </c>
      <c r="U130" t="s">
        <v>11</v>
      </c>
      <c r="V130" t="s">
        <v>2626</v>
      </c>
      <c r="W130" t="s">
        <v>2631</v>
      </c>
      <c r="X130">
        <v>0</v>
      </c>
      <c r="Y130" t="s">
        <v>14</v>
      </c>
      <c r="Z130" t="s">
        <v>15</v>
      </c>
      <c r="AA130" t="s">
        <v>2632</v>
      </c>
      <c r="AB130" t="s">
        <v>2046</v>
      </c>
      <c r="AC130">
        <v>0</v>
      </c>
      <c r="AD130" t="s">
        <v>18</v>
      </c>
    </row>
    <row r="131" spans="1:30" x14ac:dyDescent="0.3">
      <c r="A131" t="s">
        <v>2811</v>
      </c>
      <c r="B131" t="s">
        <v>1</v>
      </c>
      <c r="C131">
        <v>-0.4</v>
      </c>
      <c r="D131" t="s">
        <v>2174</v>
      </c>
      <c r="E131" t="s">
        <v>2565</v>
      </c>
      <c r="F131" t="str">
        <f t="shared" ref="F131:F194" si="2">_xlfn.CONCAT(A131:E131)</f>
        <v xml:space="preserve">stoch_{'P' [('delta'-0.4 1)]}_[42 70]_4 </v>
      </c>
      <c r="G131" t="s">
        <v>2540</v>
      </c>
      <c r="H131">
        <v>370</v>
      </c>
      <c r="I131" t="s">
        <v>5</v>
      </c>
      <c r="J131">
        <v>60</v>
      </c>
      <c r="K131" t="s">
        <v>6</v>
      </c>
      <c r="L131">
        <v>-83.123566965309706</v>
      </c>
      <c r="M131" t="s">
        <v>7</v>
      </c>
      <c r="N131">
        <v>-0.22465828909543101</v>
      </c>
      <c r="O131" t="s">
        <v>8</v>
      </c>
      <c r="P131">
        <v>15.044458200976401</v>
      </c>
      <c r="Q131" t="s">
        <v>9</v>
      </c>
      <c r="R131">
        <v>-3.1799711581415901</v>
      </c>
      <c r="S131" t="s">
        <v>10</v>
      </c>
      <c r="T131">
        <v>3.4271826340759901</v>
      </c>
      <c r="U131" t="s">
        <v>11</v>
      </c>
      <c r="V131" t="s">
        <v>2820</v>
      </c>
      <c r="W131" t="s">
        <v>2557</v>
      </c>
      <c r="X131">
        <v>0</v>
      </c>
      <c r="Y131" t="s">
        <v>14</v>
      </c>
      <c r="Z131" t="s">
        <v>15</v>
      </c>
      <c r="AA131" t="s">
        <v>2819</v>
      </c>
      <c r="AB131" t="s">
        <v>2638</v>
      </c>
      <c r="AC131">
        <v>0</v>
      </c>
      <c r="AD131" t="s">
        <v>18</v>
      </c>
    </row>
    <row r="132" spans="1:30" x14ac:dyDescent="0.3">
      <c r="A132" t="s">
        <v>2623</v>
      </c>
      <c r="B132" t="s">
        <v>1</v>
      </c>
      <c r="C132">
        <v>-0.2</v>
      </c>
      <c r="D132" t="s">
        <v>27</v>
      </c>
      <c r="E132" t="s">
        <v>2555</v>
      </c>
      <c r="F132" t="str">
        <f t="shared" si="2"/>
        <v xml:space="preserve">bbands_{'P' [('delta'-0.2 1)]}_[21 49]_4 </v>
      </c>
      <c r="G132" t="s">
        <v>2540</v>
      </c>
      <c r="H132">
        <v>178</v>
      </c>
      <c r="I132" t="s">
        <v>5</v>
      </c>
      <c r="J132">
        <v>14</v>
      </c>
      <c r="K132" t="s">
        <v>6</v>
      </c>
      <c r="L132">
        <v>-82.36</v>
      </c>
      <c r="M132" t="s">
        <v>7</v>
      </c>
      <c r="N132">
        <v>-0.46269662921348298</v>
      </c>
      <c r="O132" t="s">
        <v>8</v>
      </c>
      <c r="P132">
        <v>7.1957142857142804</v>
      </c>
      <c r="Q132" t="s">
        <v>9</v>
      </c>
      <c r="R132">
        <v>-1.1164634146341399</v>
      </c>
      <c r="S132" t="s">
        <v>10</v>
      </c>
      <c r="T132">
        <v>0.74276824877663805</v>
      </c>
      <c r="U132" t="s">
        <v>11</v>
      </c>
      <c r="V132" t="s">
        <v>2659</v>
      </c>
      <c r="W132" t="s">
        <v>2071</v>
      </c>
      <c r="X132">
        <v>0</v>
      </c>
      <c r="Y132" t="s">
        <v>14</v>
      </c>
      <c r="Z132" t="s">
        <v>15</v>
      </c>
      <c r="AA132" t="s">
        <v>2660</v>
      </c>
      <c r="AB132" t="s">
        <v>2071</v>
      </c>
      <c r="AC132">
        <v>0</v>
      </c>
      <c r="AD132" t="s">
        <v>18</v>
      </c>
    </row>
    <row r="133" spans="1:30" x14ac:dyDescent="0.3">
      <c r="A133" t="s">
        <v>2777</v>
      </c>
      <c r="B133" t="s">
        <v>1</v>
      </c>
      <c r="C133">
        <v>-0.2</v>
      </c>
      <c r="D133" t="s">
        <v>2174</v>
      </c>
      <c r="E133" t="s">
        <v>2569</v>
      </c>
      <c r="F133" t="str">
        <f t="shared" si="2"/>
        <v xml:space="preserve">rsi_{'P' [('delta'-0.2 1)]}_[42 70]_6 </v>
      </c>
      <c r="G133" t="s">
        <v>2540</v>
      </c>
      <c r="H133">
        <v>127</v>
      </c>
      <c r="I133" t="s">
        <v>5</v>
      </c>
      <c r="J133">
        <v>5</v>
      </c>
      <c r="K133" t="s">
        <v>6</v>
      </c>
      <c r="L133">
        <v>-82.292887693364094</v>
      </c>
      <c r="M133" t="s">
        <v>7</v>
      </c>
      <c r="N133">
        <v>-0.64797549364853602</v>
      </c>
      <c r="O133" t="s">
        <v>8</v>
      </c>
      <c r="P133">
        <v>16.431999999999999</v>
      </c>
      <c r="Q133" t="s">
        <v>9</v>
      </c>
      <c r="R133">
        <v>-1.34797448928987</v>
      </c>
      <c r="S133" t="s">
        <v>10</v>
      </c>
      <c r="T133">
        <v>0.70918298217862497</v>
      </c>
      <c r="U133" t="s">
        <v>11</v>
      </c>
      <c r="V133" t="s">
        <v>1323</v>
      </c>
      <c r="W133" t="s">
        <v>2732</v>
      </c>
      <c r="X133">
        <v>0</v>
      </c>
      <c r="Y133" t="s">
        <v>14</v>
      </c>
      <c r="Z133" t="s">
        <v>15</v>
      </c>
      <c r="AA133" t="s">
        <v>2803</v>
      </c>
      <c r="AB133" t="s">
        <v>2793</v>
      </c>
      <c r="AC133">
        <v>0</v>
      </c>
      <c r="AD133" t="s">
        <v>18</v>
      </c>
    </row>
    <row r="134" spans="1:30" x14ac:dyDescent="0.3">
      <c r="A134" t="s">
        <v>2623</v>
      </c>
      <c r="B134" t="s">
        <v>1</v>
      </c>
      <c r="C134">
        <v>-0.2</v>
      </c>
      <c r="D134" t="s">
        <v>27</v>
      </c>
      <c r="E134" t="s">
        <v>2558</v>
      </c>
      <c r="F134" t="str">
        <f t="shared" si="2"/>
        <v xml:space="preserve">bbands_{'P' [('delta'-0.2 1)]}_[21 49]_6 </v>
      </c>
      <c r="G134" t="s">
        <v>2540</v>
      </c>
      <c r="H134">
        <v>178</v>
      </c>
      <c r="I134" t="s">
        <v>5</v>
      </c>
      <c r="J134">
        <v>9</v>
      </c>
      <c r="K134" t="s">
        <v>6</v>
      </c>
      <c r="L134">
        <v>-81.639999999999901</v>
      </c>
      <c r="M134" t="s">
        <v>7</v>
      </c>
      <c r="N134">
        <v>-0.45865168539325801</v>
      </c>
      <c r="O134" t="s">
        <v>8</v>
      </c>
      <c r="P134">
        <v>11.726666666666601</v>
      </c>
      <c r="Q134" t="s">
        <v>9</v>
      </c>
      <c r="R134">
        <v>-1.1075739644970399</v>
      </c>
      <c r="S134" t="s">
        <v>10</v>
      </c>
      <c r="T134">
        <v>0.85740244545714295</v>
      </c>
      <c r="U134" t="s">
        <v>11</v>
      </c>
      <c r="V134" t="s">
        <v>2661</v>
      </c>
      <c r="W134" t="s">
        <v>2071</v>
      </c>
      <c r="X134">
        <v>0</v>
      </c>
      <c r="Y134" t="s">
        <v>14</v>
      </c>
      <c r="Z134" t="s">
        <v>15</v>
      </c>
      <c r="AA134" t="s">
        <v>649</v>
      </c>
      <c r="AB134" t="s">
        <v>2071</v>
      </c>
      <c r="AC134">
        <v>0</v>
      </c>
      <c r="AD134" t="s">
        <v>18</v>
      </c>
    </row>
    <row r="135" spans="1:30" x14ac:dyDescent="0.3">
      <c r="A135" t="s">
        <v>2858</v>
      </c>
      <c r="B135" t="s">
        <v>1</v>
      </c>
      <c r="C135">
        <v>-0.3</v>
      </c>
      <c r="D135" t="s">
        <v>2</v>
      </c>
      <c r="E135" t="s">
        <v>2545</v>
      </c>
      <c r="F135" t="str">
        <f t="shared" si="2"/>
        <v xml:space="preserve">stoch_no_highvol_{'P' [('delta'-0.3 1)]}_[7 35]_4 </v>
      </c>
      <c r="G135" t="s">
        <v>2540</v>
      </c>
      <c r="H135">
        <v>334</v>
      </c>
      <c r="I135" t="s">
        <v>5</v>
      </c>
      <c r="J135">
        <v>49</v>
      </c>
      <c r="K135" t="s">
        <v>6</v>
      </c>
      <c r="L135">
        <v>-80.470000000000098</v>
      </c>
      <c r="M135" t="s">
        <v>7</v>
      </c>
      <c r="N135">
        <v>-0.24092814371257501</v>
      </c>
      <c r="O135" t="s">
        <v>8</v>
      </c>
      <c r="P135">
        <v>5.8265306122448903</v>
      </c>
      <c r="Q135" t="s">
        <v>9</v>
      </c>
      <c r="R135">
        <v>-1.28410526315789</v>
      </c>
      <c r="S135" t="s">
        <v>10</v>
      </c>
      <c r="T135">
        <v>1.55100309683435</v>
      </c>
      <c r="U135" t="s">
        <v>11</v>
      </c>
      <c r="V135" t="s">
        <v>2689</v>
      </c>
      <c r="W135" t="s">
        <v>2249</v>
      </c>
      <c r="X135">
        <v>0</v>
      </c>
      <c r="Y135" t="s">
        <v>14</v>
      </c>
      <c r="Z135" t="s">
        <v>15</v>
      </c>
      <c r="AA135" t="s">
        <v>2876</v>
      </c>
      <c r="AB135" t="s">
        <v>2655</v>
      </c>
      <c r="AC135">
        <v>0</v>
      </c>
      <c r="AD135" t="s">
        <v>18</v>
      </c>
    </row>
    <row r="136" spans="1:30" x14ac:dyDescent="0.3">
      <c r="A136" t="s">
        <v>2623</v>
      </c>
      <c r="B136" t="s">
        <v>1</v>
      </c>
      <c r="C136">
        <v>-0.2</v>
      </c>
      <c r="D136" t="s">
        <v>2</v>
      </c>
      <c r="E136" t="s">
        <v>2543</v>
      </c>
      <c r="F136" t="str">
        <f t="shared" si="2"/>
        <v xml:space="preserve">bbands_{'P' [('delta'-0.2 1)]}_[7 35]_2 </v>
      </c>
      <c r="G136" t="s">
        <v>2540</v>
      </c>
      <c r="H136">
        <v>169</v>
      </c>
      <c r="I136" t="s">
        <v>5</v>
      </c>
      <c r="J136">
        <v>12</v>
      </c>
      <c r="K136" t="s">
        <v>6</v>
      </c>
      <c r="L136">
        <v>-80.339999999999904</v>
      </c>
      <c r="M136" t="s">
        <v>7</v>
      </c>
      <c r="N136">
        <v>-0.47538461538461502</v>
      </c>
      <c r="O136" t="s">
        <v>8</v>
      </c>
      <c r="P136">
        <v>4.6774999999999904</v>
      </c>
      <c r="Q136" t="s">
        <v>9</v>
      </c>
      <c r="R136">
        <v>-0.86923566878980896</v>
      </c>
      <c r="S136" t="s">
        <v>10</v>
      </c>
      <c r="T136">
        <v>0.41483064427617899</v>
      </c>
      <c r="U136" t="s">
        <v>11</v>
      </c>
      <c r="V136" t="s">
        <v>2653</v>
      </c>
      <c r="W136" t="s">
        <v>2627</v>
      </c>
    </row>
    <row r="137" spans="1:30" x14ac:dyDescent="0.3">
      <c r="A137" t="s">
        <v>2777</v>
      </c>
      <c r="B137" t="s">
        <v>1</v>
      </c>
      <c r="C137">
        <v>-0.3</v>
      </c>
      <c r="D137" t="s">
        <v>27</v>
      </c>
      <c r="E137" t="s">
        <v>2558</v>
      </c>
      <c r="F137" t="str">
        <f t="shared" si="2"/>
        <v xml:space="preserve">rsi_{'P' [('delta'-0.3 1)]}_[21 49]_6 </v>
      </c>
      <c r="G137" t="s">
        <v>2540</v>
      </c>
      <c r="H137">
        <v>128</v>
      </c>
      <c r="I137" t="s">
        <v>5</v>
      </c>
      <c r="J137">
        <v>17</v>
      </c>
      <c r="K137" t="s">
        <v>6</v>
      </c>
      <c r="L137">
        <v>-79.999999999999901</v>
      </c>
      <c r="M137" t="s">
        <v>7</v>
      </c>
      <c r="N137">
        <v>-0.624999999999999</v>
      </c>
      <c r="O137" t="s">
        <v>8</v>
      </c>
      <c r="P137">
        <v>6.5258823529411698</v>
      </c>
      <c r="Q137" t="s">
        <v>9</v>
      </c>
      <c r="R137">
        <v>-1.7201801801801699</v>
      </c>
      <c r="S137" t="s">
        <v>10</v>
      </c>
      <c r="T137">
        <v>0.90694575864517102</v>
      </c>
      <c r="U137" t="s">
        <v>11</v>
      </c>
      <c r="V137" t="s">
        <v>116</v>
      </c>
      <c r="W137" t="s">
        <v>2640</v>
      </c>
      <c r="X137">
        <v>0</v>
      </c>
      <c r="Y137" t="s">
        <v>14</v>
      </c>
      <c r="Z137" t="s">
        <v>15</v>
      </c>
      <c r="AA137" t="s">
        <v>2788</v>
      </c>
      <c r="AB137" t="s">
        <v>2554</v>
      </c>
      <c r="AC137">
        <v>0</v>
      </c>
      <c r="AD137" t="s">
        <v>18</v>
      </c>
    </row>
    <row r="138" spans="1:30" x14ac:dyDescent="0.3">
      <c r="A138" t="s">
        <v>2811</v>
      </c>
      <c r="B138" t="s">
        <v>1</v>
      </c>
      <c r="C138">
        <v>-0.1</v>
      </c>
      <c r="D138" t="s">
        <v>2</v>
      </c>
      <c r="E138" t="s">
        <v>2547</v>
      </c>
      <c r="F138" t="str">
        <f t="shared" si="2"/>
        <v xml:space="preserve">stoch_{'P' [('delta'-0.1 1)]}_[7 35]_6 </v>
      </c>
      <c r="G138" t="s">
        <v>2540</v>
      </c>
      <c r="H138">
        <v>375</v>
      </c>
      <c r="I138" t="s">
        <v>5</v>
      </c>
      <c r="J138">
        <v>23</v>
      </c>
      <c r="K138" t="s">
        <v>6</v>
      </c>
      <c r="L138">
        <v>-78.951222084833006</v>
      </c>
      <c r="M138" t="s">
        <v>7</v>
      </c>
      <c r="N138">
        <v>-0.21053659222622101</v>
      </c>
      <c r="O138" t="s">
        <v>8</v>
      </c>
      <c r="P138">
        <v>3.1326086956521699</v>
      </c>
      <c r="Q138" t="s">
        <v>9</v>
      </c>
      <c r="R138">
        <v>-0.428980744559184</v>
      </c>
      <c r="S138" t="s">
        <v>10</v>
      </c>
      <c r="T138">
        <v>0.783922768354397</v>
      </c>
      <c r="U138" t="s">
        <v>11</v>
      </c>
      <c r="V138" t="s">
        <v>2675</v>
      </c>
      <c r="W138" t="s">
        <v>2071</v>
      </c>
      <c r="X138">
        <v>0</v>
      </c>
      <c r="Y138" t="s">
        <v>14</v>
      </c>
      <c r="Z138" t="s">
        <v>15</v>
      </c>
      <c r="AA138" t="s">
        <v>2850</v>
      </c>
      <c r="AB138" t="s">
        <v>2071</v>
      </c>
      <c r="AC138">
        <v>0</v>
      </c>
      <c r="AD138" t="s">
        <v>18</v>
      </c>
    </row>
    <row r="139" spans="1:30" x14ac:dyDescent="0.3">
      <c r="A139" t="s">
        <v>2683</v>
      </c>
      <c r="B139" t="s">
        <v>1</v>
      </c>
      <c r="C139">
        <v>-0.3</v>
      </c>
      <c r="D139" t="s">
        <v>27</v>
      </c>
      <c r="E139" t="s">
        <v>2555</v>
      </c>
      <c r="F139" t="str">
        <f t="shared" si="2"/>
        <v xml:space="preserve">bbands_no_highvol_{'P' [('delta'-0.3 1)]}_[21 49]_4 </v>
      </c>
      <c r="G139" t="s">
        <v>2540</v>
      </c>
      <c r="H139">
        <v>165</v>
      </c>
      <c r="I139" t="s">
        <v>5</v>
      </c>
      <c r="J139">
        <v>19</v>
      </c>
      <c r="K139" t="s">
        <v>6</v>
      </c>
      <c r="L139">
        <v>-78.89</v>
      </c>
      <c r="M139" t="s">
        <v>7</v>
      </c>
      <c r="N139">
        <v>-0.478121212121212</v>
      </c>
      <c r="O139" t="s">
        <v>8</v>
      </c>
      <c r="P139">
        <v>8.3736842105263101</v>
      </c>
      <c r="Q139" t="s">
        <v>9</v>
      </c>
      <c r="R139">
        <v>-1.6300684931506799</v>
      </c>
      <c r="S139" t="s">
        <v>10</v>
      </c>
      <c r="T139">
        <v>0.86633217306670096</v>
      </c>
      <c r="U139" t="s">
        <v>11</v>
      </c>
      <c r="V139" t="s">
        <v>2305</v>
      </c>
      <c r="W139" t="s">
        <v>2249</v>
      </c>
      <c r="X139">
        <v>0</v>
      </c>
      <c r="Y139" t="s">
        <v>14</v>
      </c>
      <c r="Z139" t="s">
        <v>15</v>
      </c>
      <c r="AA139" t="s">
        <v>2699</v>
      </c>
      <c r="AB139" t="s">
        <v>2655</v>
      </c>
      <c r="AC139">
        <v>0</v>
      </c>
      <c r="AD139" t="s">
        <v>18</v>
      </c>
    </row>
    <row r="140" spans="1:30" x14ac:dyDescent="0.3">
      <c r="A140" t="s">
        <v>2683</v>
      </c>
      <c r="B140" t="s">
        <v>1</v>
      </c>
      <c r="C140">
        <v>-0.4</v>
      </c>
      <c r="D140" t="s">
        <v>27</v>
      </c>
      <c r="E140" t="s">
        <v>2552</v>
      </c>
      <c r="F140" t="str">
        <f t="shared" si="2"/>
        <v xml:space="preserve">bbands_no_highvol_{'P' [('delta'-0.4 1)]}_[21 49]_2 </v>
      </c>
      <c r="G140" t="s">
        <v>2540</v>
      </c>
      <c r="H140">
        <v>165</v>
      </c>
      <c r="I140" t="s">
        <v>5</v>
      </c>
      <c r="J140">
        <v>32</v>
      </c>
      <c r="K140" t="s">
        <v>6</v>
      </c>
      <c r="L140">
        <v>-78.819999999999993</v>
      </c>
      <c r="M140" t="s">
        <v>7</v>
      </c>
      <c r="N140">
        <v>-0.47769696969697001</v>
      </c>
      <c r="O140" t="s">
        <v>8</v>
      </c>
      <c r="P140">
        <v>7.3024999999999904</v>
      </c>
      <c r="Q140" t="s">
        <v>9</v>
      </c>
      <c r="R140">
        <v>-2.34962406015037</v>
      </c>
      <c r="S140" t="s">
        <v>10</v>
      </c>
      <c r="T140">
        <v>0.98201350472716098</v>
      </c>
      <c r="U140" t="s">
        <v>11</v>
      </c>
      <c r="V140" t="s">
        <v>2689</v>
      </c>
      <c r="W140" t="s">
        <v>2249</v>
      </c>
      <c r="X140">
        <v>0</v>
      </c>
      <c r="Y140" t="s">
        <v>14</v>
      </c>
      <c r="Z140" t="s">
        <v>15</v>
      </c>
      <c r="AA140" t="s">
        <v>2690</v>
      </c>
      <c r="AB140" t="s">
        <v>2691</v>
      </c>
      <c r="AC140">
        <v>0</v>
      </c>
      <c r="AD140" t="s">
        <v>18</v>
      </c>
    </row>
    <row r="141" spans="1:30" x14ac:dyDescent="0.3">
      <c r="A141" t="s">
        <v>2683</v>
      </c>
      <c r="B141" t="s">
        <v>1</v>
      </c>
      <c r="C141">
        <v>-0.2</v>
      </c>
      <c r="D141" t="s">
        <v>2</v>
      </c>
      <c r="E141" t="s">
        <v>2545</v>
      </c>
      <c r="F141" t="str">
        <f t="shared" si="2"/>
        <v xml:space="preserve">bbands_no_highvol_{'P' [('delta'-0.2 1)]}_[7 35]_4 </v>
      </c>
      <c r="G141" t="s">
        <v>2540</v>
      </c>
      <c r="H141">
        <v>155</v>
      </c>
      <c r="I141" t="s">
        <v>5</v>
      </c>
      <c r="J141">
        <v>8</v>
      </c>
      <c r="K141" t="s">
        <v>6</v>
      </c>
      <c r="L141">
        <v>-78.489999999999895</v>
      </c>
      <c r="M141" t="s">
        <v>7</v>
      </c>
      <c r="N141">
        <v>-0.50638709677419302</v>
      </c>
      <c r="O141" t="s">
        <v>8</v>
      </c>
      <c r="P141">
        <v>5.3262499999999999</v>
      </c>
      <c r="Q141" t="s">
        <v>9</v>
      </c>
      <c r="R141">
        <v>-0.82380952380952299</v>
      </c>
      <c r="S141" t="s">
        <v>10</v>
      </c>
      <c r="T141">
        <v>0.41837115076051601</v>
      </c>
      <c r="U141" t="s">
        <v>11</v>
      </c>
      <c r="V141" t="s">
        <v>2709</v>
      </c>
      <c r="W141" t="s">
        <v>2698</v>
      </c>
      <c r="X141">
        <v>0</v>
      </c>
      <c r="Y141" t="s">
        <v>14</v>
      </c>
      <c r="Z141" t="s">
        <v>15</v>
      </c>
      <c r="AA141" t="s">
        <v>2654</v>
      </c>
      <c r="AB141" t="s">
        <v>2655</v>
      </c>
      <c r="AC141">
        <v>0</v>
      </c>
      <c r="AD141" t="s">
        <v>18</v>
      </c>
    </row>
    <row r="142" spans="1:30" x14ac:dyDescent="0.3">
      <c r="A142" t="s">
        <v>2777</v>
      </c>
      <c r="B142" t="s">
        <v>1</v>
      </c>
      <c r="C142">
        <v>-0.3</v>
      </c>
      <c r="D142" t="s">
        <v>2</v>
      </c>
      <c r="E142" t="s">
        <v>2547</v>
      </c>
      <c r="F142" t="str">
        <f t="shared" si="2"/>
        <v xml:space="preserve">rsi_{'P' [('delta'-0.3 1)]}_[7 35]_6 </v>
      </c>
      <c r="G142" t="s">
        <v>2540</v>
      </c>
      <c r="H142">
        <v>136</v>
      </c>
      <c r="I142" t="s">
        <v>5</v>
      </c>
      <c r="J142">
        <v>18</v>
      </c>
      <c r="K142" t="s">
        <v>6</v>
      </c>
      <c r="L142">
        <v>-76.839999999999904</v>
      </c>
      <c r="M142" t="s">
        <v>7</v>
      </c>
      <c r="N142">
        <v>-0.56499999999999895</v>
      </c>
      <c r="O142" t="s">
        <v>8</v>
      </c>
      <c r="P142">
        <v>4.1566666666666601</v>
      </c>
      <c r="Q142" t="s">
        <v>9</v>
      </c>
      <c r="R142">
        <v>-1.2852542372881299</v>
      </c>
      <c r="S142" t="s">
        <v>10</v>
      </c>
      <c r="T142">
        <v>0.60767910743995301</v>
      </c>
      <c r="U142" t="s">
        <v>11</v>
      </c>
      <c r="V142" t="s">
        <v>90</v>
      </c>
      <c r="W142" t="s">
        <v>2554</v>
      </c>
      <c r="X142">
        <v>0</v>
      </c>
      <c r="Y142" t="s">
        <v>14</v>
      </c>
      <c r="Z142" t="s">
        <v>15</v>
      </c>
      <c r="AA142" t="s">
        <v>2787</v>
      </c>
      <c r="AB142" t="s">
        <v>2783</v>
      </c>
      <c r="AC142">
        <v>0</v>
      </c>
      <c r="AD142" t="s">
        <v>18</v>
      </c>
    </row>
    <row r="143" spans="1:30" x14ac:dyDescent="0.3">
      <c r="A143" t="s">
        <v>2811</v>
      </c>
      <c r="B143" t="s">
        <v>1</v>
      </c>
      <c r="C143">
        <v>-0.1</v>
      </c>
      <c r="D143" t="s">
        <v>27</v>
      </c>
      <c r="E143" t="s">
        <v>2555</v>
      </c>
      <c r="F143" t="str">
        <f t="shared" si="2"/>
        <v xml:space="preserve">stoch_{'P' [('delta'-0.1 1)]}_[21 49]_4 </v>
      </c>
      <c r="G143" t="s">
        <v>2540</v>
      </c>
      <c r="H143">
        <v>376</v>
      </c>
      <c r="I143" t="s">
        <v>5</v>
      </c>
      <c r="J143">
        <v>23</v>
      </c>
      <c r="K143" t="s">
        <v>6</v>
      </c>
      <c r="L143">
        <v>-76.531222084832905</v>
      </c>
      <c r="M143" t="s">
        <v>7</v>
      </c>
      <c r="N143">
        <v>-0.20354048426817201</v>
      </c>
      <c r="O143" t="s">
        <v>8</v>
      </c>
      <c r="P143">
        <v>5.08304347826087</v>
      </c>
      <c r="Q143" t="s">
        <v>9</v>
      </c>
      <c r="R143">
        <v>-0.54799213055193396</v>
      </c>
      <c r="S143" t="s">
        <v>10</v>
      </c>
      <c r="T143">
        <v>0.84542260247448997</v>
      </c>
      <c r="U143" t="s">
        <v>11</v>
      </c>
      <c r="V143" t="s">
        <v>2619</v>
      </c>
      <c r="W143" t="s">
        <v>2557</v>
      </c>
      <c r="X143">
        <v>0</v>
      </c>
      <c r="Y143" t="s">
        <v>14</v>
      </c>
      <c r="Z143" t="s">
        <v>15</v>
      </c>
      <c r="AA143" t="s">
        <v>2853</v>
      </c>
      <c r="AB143" t="s">
        <v>2557</v>
      </c>
      <c r="AC143">
        <v>0</v>
      </c>
      <c r="AD143" t="s">
        <v>18</v>
      </c>
    </row>
    <row r="144" spans="1:30" x14ac:dyDescent="0.3">
      <c r="A144" t="s">
        <v>2683</v>
      </c>
      <c r="B144" t="s">
        <v>1</v>
      </c>
      <c r="C144">
        <v>-0.3</v>
      </c>
      <c r="D144" t="s">
        <v>2</v>
      </c>
      <c r="E144" t="s">
        <v>2543</v>
      </c>
      <c r="F144" t="str">
        <f t="shared" si="2"/>
        <v xml:space="preserve">bbands_no_highvol_{'P' [('delta'-0.3 1)]}_[7 35]_2 </v>
      </c>
      <c r="G144" t="s">
        <v>2540</v>
      </c>
      <c r="H144">
        <v>155</v>
      </c>
      <c r="I144" t="s">
        <v>5</v>
      </c>
      <c r="J144">
        <v>20</v>
      </c>
      <c r="K144" t="s">
        <v>6</v>
      </c>
      <c r="L144">
        <v>-74.87</v>
      </c>
      <c r="M144" t="s">
        <v>7</v>
      </c>
      <c r="N144">
        <v>-0.483032258064516</v>
      </c>
      <c r="O144" t="s">
        <v>8</v>
      </c>
      <c r="P144">
        <v>4.75849999999999</v>
      </c>
      <c r="Q144" t="s">
        <v>9</v>
      </c>
      <c r="R144">
        <v>-1.25955555555555</v>
      </c>
      <c r="S144" t="s">
        <v>10</v>
      </c>
      <c r="T144">
        <v>0.52907657138492303</v>
      </c>
      <c r="U144" t="s">
        <v>11</v>
      </c>
      <c r="V144" t="s">
        <v>2697</v>
      </c>
      <c r="W144" t="s">
        <v>2698</v>
      </c>
      <c r="X144">
        <v>0</v>
      </c>
      <c r="Y144" t="s">
        <v>14</v>
      </c>
      <c r="Z144" t="s">
        <v>15</v>
      </c>
      <c r="AA144" t="s">
        <v>142</v>
      </c>
      <c r="AB144" t="s">
        <v>2013</v>
      </c>
      <c r="AC144">
        <v>0</v>
      </c>
      <c r="AD144" t="s">
        <v>18</v>
      </c>
    </row>
    <row r="145" spans="1:30" x14ac:dyDescent="0.3">
      <c r="A145" t="s">
        <v>2683</v>
      </c>
      <c r="B145" t="s">
        <v>1</v>
      </c>
      <c r="C145">
        <v>-0.4</v>
      </c>
      <c r="D145" t="s">
        <v>2174</v>
      </c>
      <c r="E145" t="s">
        <v>2565</v>
      </c>
      <c r="F145" t="str">
        <f t="shared" si="2"/>
        <v xml:space="preserve">bbands_no_highvol_{'P' [('delta'-0.4 1)]}_[42 70]_4 </v>
      </c>
      <c r="G145" t="s">
        <v>2540</v>
      </c>
      <c r="H145">
        <v>157</v>
      </c>
      <c r="I145" t="s">
        <v>5</v>
      </c>
      <c r="J145">
        <v>25</v>
      </c>
      <c r="K145" t="s">
        <v>6</v>
      </c>
      <c r="L145">
        <v>-74.810075066959897</v>
      </c>
      <c r="M145" t="s">
        <v>7</v>
      </c>
      <c r="N145">
        <v>-0.47649729342012598</v>
      </c>
      <c r="O145" t="s">
        <v>8</v>
      </c>
      <c r="P145">
        <v>12.970800000000001</v>
      </c>
      <c r="Q145" t="s">
        <v>9</v>
      </c>
      <c r="R145">
        <v>-3.0233339020224199</v>
      </c>
      <c r="S145" t="s">
        <v>10</v>
      </c>
      <c r="T145">
        <v>1.7121547707318601</v>
      </c>
      <c r="U145" t="s">
        <v>11</v>
      </c>
      <c r="V145" t="s">
        <v>2416</v>
      </c>
      <c r="W145" t="s">
        <v>2695</v>
      </c>
      <c r="X145">
        <v>0</v>
      </c>
      <c r="Y145" t="s">
        <v>14</v>
      </c>
      <c r="Z145" t="s">
        <v>15</v>
      </c>
      <c r="AA145" t="s">
        <v>2696</v>
      </c>
      <c r="AB145" t="s">
        <v>2686</v>
      </c>
      <c r="AC145">
        <v>0</v>
      </c>
      <c r="AD145" t="s">
        <v>18</v>
      </c>
    </row>
    <row r="146" spans="1:30" x14ac:dyDescent="0.3">
      <c r="A146" t="s">
        <v>2811</v>
      </c>
      <c r="B146" t="s">
        <v>1</v>
      </c>
      <c r="C146">
        <v>-0.1</v>
      </c>
      <c r="D146" t="s">
        <v>2174</v>
      </c>
      <c r="E146" t="s">
        <v>2565</v>
      </c>
      <c r="F146" t="str">
        <f t="shared" si="2"/>
        <v xml:space="preserve">stoch_{'P' [('delta'-0.1 1)]}_[42 70]_4 </v>
      </c>
      <c r="G146" t="s">
        <v>2540</v>
      </c>
      <c r="H146">
        <v>370</v>
      </c>
      <c r="I146" t="s">
        <v>5</v>
      </c>
      <c r="J146">
        <v>32</v>
      </c>
      <c r="K146" t="s">
        <v>6</v>
      </c>
      <c r="L146">
        <v>-74.683936181982006</v>
      </c>
      <c r="M146" t="s">
        <v>7</v>
      </c>
      <c r="N146">
        <v>-0.201848476167519</v>
      </c>
      <c r="O146" t="s">
        <v>8</v>
      </c>
      <c r="P146">
        <v>5.0631250000000003</v>
      </c>
      <c r="Q146" t="s">
        <v>9</v>
      </c>
      <c r="R146">
        <v>-0.700307503496987</v>
      </c>
      <c r="S146" t="s">
        <v>10</v>
      </c>
      <c r="T146">
        <v>0.89648686780098397</v>
      </c>
      <c r="U146" t="s">
        <v>11</v>
      </c>
      <c r="V146" t="s">
        <v>2619</v>
      </c>
      <c r="W146" t="s">
        <v>2557</v>
      </c>
      <c r="X146">
        <v>0</v>
      </c>
      <c r="Y146" t="s">
        <v>14</v>
      </c>
      <c r="Z146" t="s">
        <v>15</v>
      </c>
      <c r="AA146" t="s">
        <v>2688</v>
      </c>
      <c r="AB146" t="s">
        <v>2557</v>
      </c>
      <c r="AC146">
        <v>0</v>
      </c>
      <c r="AD146" t="s">
        <v>18</v>
      </c>
    </row>
    <row r="147" spans="1:30" x14ac:dyDescent="0.3">
      <c r="A147" t="s">
        <v>2683</v>
      </c>
      <c r="B147" t="s">
        <v>1</v>
      </c>
      <c r="C147">
        <v>-0.3</v>
      </c>
      <c r="D147" t="s">
        <v>27</v>
      </c>
      <c r="E147" t="s">
        <v>2552</v>
      </c>
      <c r="F147" t="str">
        <f t="shared" si="2"/>
        <v xml:space="preserve">bbands_no_highvol_{'P' [('delta'-0.3 1)]}_[21 49]_2 </v>
      </c>
      <c r="G147" t="s">
        <v>2540</v>
      </c>
      <c r="H147">
        <v>165</v>
      </c>
      <c r="I147" t="s">
        <v>5</v>
      </c>
      <c r="J147">
        <v>27</v>
      </c>
      <c r="K147" t="s">
        <v>6</v>
      </c>
      <c r="L147">
        <v>-74.64</v>
      </c>
      <c r="M147" t="s">
        <v>7</v>
      </c>
      <c r="N147">
        <v>-0.45236363636363602</v>
      </c>
      <c r="O147" t="s">
        <v>8</v>
      </c>
      <c r="P147">
        <v>5.5088888888888796</v>
      </c>
      <c r="Q147" t="s">
        <v>9</v>
      </c>
      <c r="R147">
        <v>-1.61869565217391</v>
      </c>
      <c r="S147" t="s">
        <v>10</v>
      </c>
      <c r="T147">
        <v>0.69514425247078104</v>
      </c>
      <c r="U147" t="s">
        <v>11</v>
      </c>
      <c r="V147" t="s">
        <v>2305</v>
      </c>
      <c r="W147" t="s">
        <v>2249</v>
      </c>
      <c r="X147">
        <v>0</v>
      </c>
      <c r="Y147" t="s">
        <v>14</v>
      </c>
      <c r="Z147" t="s">
        <v>15</v>
      </c>
      <c r="AA147" t="s">
        <v>2700</v>
      </c>
      <c r="AB147" t="s">
        <v>2701</v>
      </c>
      <c r="AC147">
        <v>0</v>
      </c>
      <c r="AD147" t="s">
        <v>18</v>
      </c>
    </row>
    <row r="148" spans="1:30" x14ac:dyDescent="0.3">
      <c r="A148" t="s">
        <v>2777</v>
      </c>
      <c r="B148" t="s">
        <v>1</v>
      </c>
      <c r="C148">
        <v>-0.4</v>
      </c>
      <c r="D148" t="s">
        <v>2174</v>
      </c>
      <c r="E148" t="s">
        <v>2559</v>
      </c>
      <c r="F148" t="str">
        <f t="shared" si="2"/>
        <v xml:space="preserve">rsi_{'P' [('delta'-0.4 1)]}_[42 70]_1 </v>
      </c>
      <c r="G148" t="s">
        <v>2540</v>
      </c>
      <c r="H148">
        <v>127</v>
      </c>
      <c r="I148" t="s">
        <v>5</v>
      </c>
      <c r="J148">
        <v>36</v>
      </c>
      <c r="K148" t="s">
        <v>6</v>
      </c>
      <c r="L148">
        <v>-74.387197181236999</v>
      </c>
      <c r="M148" t="s">
        <v>7</v>
      </c>
      <c r="N148">
        <v>-0.58572596205698402</v>
      </c>
      <c r="O148" t="s">
        <v>8</v>
      </c>
      <c r="P148">
        <v>5.8563888888888798</v>
      </c>
      <c r="Q148" t="s">
        <v>9</v>
      </c>
      <c r="R148">
        <v>-3.1342549140795302</v>
      </c>
      <c r="S148" t="s">
        <v>10</v>
      </c>
      <c r="T148">
        <v>0.91831052735423702</v>
      </c>
      <c r="U148" t="s">
        <v>11</v>
      </c>
      <c r="V148" t="s">
        <v>180</v>
      </c>
      <c r="W148" t="s">
        <v>2631</v>
      </c>
      <c r="X148">
        <v>0</v>
      </c>
      <c r="Y148" t="s">
        <v>14</v>
      </c>
      <c r="Z148" t="s">
        <v>15</v>
      </c>
      <c r="AA148" t="s">
        <v>2344</v>
      </c>
      <c r="AB148" t="s">
        <v>2249</v>
      </c>
      <c r="AC148">
        <v>0</v>
      </c>
      <c r="AD148" t="s">
        <v>18</v>
      </c>
    </row>
    <row r="149" spans="1:30" x14ac:dyDescent="0.3">
      <c r="A149" t="s">
        <v>2683</v>
      </c>
      <c r="B149" t="s">
        <v>1</v>
      </c>
      <c r="C149">
        <v>-0.2</v>
      </c>
      <c r="D149" t="s">
        <v>27</v>
      </c>
      <c r="E149" t="s">
        <v>2555</v>
      </c>
      <c r="F149" t="str">
        <f t="shared" si="2"/>
        <v xml:space="preserve">bbands_no_highvol_{'P' [('delta'-0.2 1)]}_[21 49]_4 </v>
      </c>
      <c r="G149" t="s">
        <v>2540</v>
      </c>
      <c r="H149">
        <v>165</v>
      </c>
      <c r="I149" t="s">
        <v>5</v>
      </c>
      <c r="J149">
        <v>12</v>
      </c>
      <c r="K149" t="s">
        <v>6</v>
      </c>
      <c r="L149">
        <v>-74.2</v>
      </c>
      <c r="M149" t="s">
        <v>7</v>
      </c>
      <c r="N149">
        <v>-0.44969696969696898</v>
      </c>
      <c r="O149" t="s">
        <v>8</v>
      </c>
      <c r="P149">
        <v>7.0966666666666596</v>
      </c>
      <c r="Q149" t="s">
        <v>9</v>
      </c>
      <c r="R149">
        <v>-1.0415686274509799</v>
      </c>
      <c r="S149" t="s">
        <v>10</v>
      </c>
      <c r="T149">
        <v>0.58516522049598796</v>
      </c>
      <c r="U149" t="s">
        <v>11</v>
      </c>
      <c r="V149" t="s">
        <v>2710</v>
      </c>
      <c r="W149" t="s">
        <v>2711</v>
      </c>
      <c r="X149">
        <v>0</v>
      </c>
      <c r="Y149" t="s">
        <v>14</v>
      </c>
      <c r="Z149" t="s">
        <v>15</v>
      </c>
      <c r="AA149" t="s">
        <v>2654</v>
      </c>
      <c r="AB149" t="s">
        <v>2655</v>
      </c>
      <c r="AC149">
        <v>0</v>
      </c>
      <c r="AD149" t="s">
        <v>18</v>
      </c>
    </row>
    <row r="150" spans="1:30" x14ac:dyDescent="0.3">
      <c r="A150" t="s">
        <v>2777</v>
      </c>
      <c r="B150" t="s">
        <v>1</v>
      </c>
      <c r="C150">
        <v>-0.2</v>
      </c>
      <c r="D150" t="s">
        <v>2174</v>
      </c>
      <c r="E150" t="s">
        <v>2565</v>
      </c>
      <c r="F150" t="str">
        <f t="shared" si="2"/>
        <v xml:space="preserve">rsi_{'P' [('delta'-0.2 1)]}_[42 70]_4 </v>
      </c>
      <c r="G150" t="s">
        <v>2540</v>
      </c>
      <c r="H150">
        <v>127</v>
      </c>
      <c r="I150" t="s">
        <v>5</v>
      </c>
      <c r="J150">
        <v>8</v>
      </c>
      <c r="K150" t="s">
        <v>6</v>
      </c>
      <c r="L150">
        <v>-74.082887693364199</v>
      </c>
      <c r="M150" t="s">
        <v>7</v>
      </c>
      <c r="N150">
        <v>-0.58332982435719805</v>
      </c>
      <c r="O150" t="s">
        <v>8</v>
      </c>
      <c r="P150">
        <v>10.795</v>
      </c>
      <c r="Q150" t="s">
        <v>9</v>
      </c>
      <c r="R150">
        <v>-1.34825956044843</v>
      </c>
      <c r="S150" t="s">
        <v>10</v>
      </c>
      <c r="T150">
        <v>0.65113681931102996</v>
      </c>
      <c r="U150" t="s">
        <v>11</v>
      </c>
      <c r="V150" t="s">
        <v>1323</v>
      </c>
      <c r="W150" t="s">
        <v>2732</v>
      </c>
      <c r="X150">
        <v>0</v>
      </c>
      <c r="Y150" t="s">
        <v>14</v>
      </c>
      <c r="Z150" t="s">
        <v>15</v>
      </c>
      <c r="AA150" t="s">
        <v>2802</v>
      </c>
      <c r="AB150" t="s">
        <v>2582</v>
      </c>
      <c r="AC150">
        <v>0</v>
      </c>
      <c r="AD150" t="s">
        <v>18</v>
      </c>
    </row>
    <row r="151" spans="1:30" x14ac:dyDescent="0.3">
      <c r="A151" t="s">
        <v>2683</v>
      </c>
      <c r="B151" t="s">
        <v>1</v>
      </c>
      <c r="C151">
        <v>-0.3</v>
      </c>
      <c r="D151" t="s">
        <v>27</v>
      </c>
      <c r="E151" t="s">
        <v>2558</v>
      </c>
      <c r="F151" t="str">
        <f t="shared" si="2"/>
        <v xml:space="preserve">bbands_no_highvol_{'P' [('delta'-0.3 1)]}_[21 49]_6 </v>
      </c>
      <c r="G151" t="s">
        <v>2540</v>
      </c>
      <c r="H151">
        <v>165</v>
      </c>
      <c r="I151" t="s">
        <v>5</v>
      </c>
      <c r="J151">
        <v>16</v>
      </c>
      <c r="K151" t="s">
        <v>6</v>
      </c>
      <c r="L151">
        <v>-73.38</v>
      </c>
      <c r="M151" t="s">
        <v>7</v>
      </c>
      <c r="N151">
        <v>-0.44472727272727303</v>
      </c>
      <c r="O151" t="s">
        <v>8</v>
      </c>
      <c r="P151">
        <v>10.518125</v>
      </c>
      <c r="Q151" t="s">
        <v>9</v>
      </c>
      <c r="R151">
        <v>-1.62194630872483</v>
      </c>
      <c r="S151" t="s">
        <v>10</v>
      </c>
      <c r="T151">
        <v>0.953051640157348</v>
      </c>
      <c r="U151" t="s">
        <v>11</v>
      </c>
      <c r="V151" t="s">
        <v>2643</v>
      </c>
      <c r="W151" t="s">
        <v>2644</v>
      </c>
      <c r="X151">
        <v>0</v>
      </c>
      <c r="Y151" t="s">
        <v>14</v>
      </c>
      <c r="Z151" t="s">
        <v>15</v>
      </c>
      <c r="AA151" t="s">
        <v>2699</v>
      </c>
      <c r="AB151" t="s">
        <v>2655</v>
      </c>
      <c r="AC151">
        <v>0</v>
      </c>
      <c r="AD151" t="s">
        <v>18</v>
      </c>
    </row>
    <row r="152" spans="1:30" x14ac:dyDescent="0.3">
      <c r="A152" t="s">
        <v>2777</v>
      </c>
      <c r="B152" t="s">
        <v>1</v>
      </c>
      <c r="C152">
        <v>-0.3</v>
      </c>
      <c r="D152" t="s">
        <v>27</v>
      </c>
      <c r="E152" t="s">
        <v>2552</v>
      </c>
      <c r="F152" t="str">
        <f t="shared" si="2"/>
        <v xml:space="preserve">rsi_{'P' [('delta'-0.3 1)]}_[21 49]_2 </v>
      </c>
      <c r="G152" t="s">
        <v>2540</v>
      </c>
      <c r="H152">
        <v>128</v>
      </c>
      <c r="I152" t="s">
        <v>5</v>
      </c>
      <c r="J152">
        <v>21</v>
      </c>
      <c r="K152" t="s">
        <v>6</v>
      </c>
      <c r="L152">
        <v>-72.11</v>
      </c>
      <c r="M152" t="s">
        <v>7</v>
      </c>
      <c r="N152">
        <v>-0.563359375</v>
      </c>
      <c r="O152" t="s">
        <v>8</v>
      </c>
      <c r="P152">
        <v>5.29285714285714</v>
      </c>
      <c r="Q152" t="s">
        <v>9</v>
      </c>
      <c r="R152">
        <v>-1.7127102803738301</v>
      </c>
      <c r="S152" t="s">
        <v>10</v>
      </c>
      <c r="T152">
        <v>0.77573366446873604</v>
      </c>
      <c r="U152" t="s">
        <v>11</v>
      </c>
      <c r="V152" t="s">
        <v>90</v>
      </c>
      <c r="W152" t="s">
        <v>2554</v>
      </c>
      <c r="X152">
        <v>0</v>
      </c>
      <c r="Y152" t="s">
        <v>14</v>
      </c>
      <c r="Z152" t="s">
        <v>15</v>
      </c>
      <c r="AA152" t="s">
        <v>2788</v>
      </c>
      <c r="AB152" t="s">
        <v>2554</v>
      </c>
      <c r="AC152">
        <v>0</v>
      </c>
      <c r="AD152" t="s">
        <v>18</v>
      </c>
    </row>
    <row r="153" spans="1:30" x14ac:dyDescent="0.3">
      <c r="A153" t="s">
        <v>2683</v>
      </c>
      <c r="B153" t="s">
        <v>1</v>
      </c>
      <c r="C153">
        <v>-0.4</v>
      </c>
      <c r="D153" t="s">
        <v>27</v>
      </c>
      <c r="E153" t="s">
        <v>2550</v>
      </c>
      <c r="F153" t="str">
        <f t="shared" si="2"/>
        <v xml:space="preserve">bbands_no_highvol_{'P' [('delta'-0.4 1)]}_[21 49]_1 </v>
      </c>
      <c r="G153" t="s">
        <v>2540</v>
      </c>
      <c r="H153">
        <v>165</v>
      </c>
      <c r="I153" t="s">
        <v>5</v>
      </c>
      <c r="J153">
        <v>40</v>
      </c>
      <c r="K153" t="s">
        <v>6</v>
      </c>
      <c r="L153">
        <v>-70.87</v>
      </c>
      <c r="M153" t="s">
        <v>7</v>
      </c>
      <c r="N153">
        <v>-0.42951515151515102</v>
      </c>
      <c r="O153" t="s">
        <v>8</v>
      </c>
      <c r="P153">
        <v>5.5129999999999999</v>
      </c>
      <c r="Q153" t="s">
        <v>9</v>
      </c>
      <c r="R153">
        <v>-2.3311199999999999</v>
      </c>
      <c r="S153" t="s">
        <v>10</v>
      </c>
      <c r="T153">
        <v>0.81183900137198295</v>
      </c>
      <c r="U153" t="s">
        <v>11</v>
      </c>
      <c r="V153" t="s">
        <v>2684</v>
      </c>
      <c r="W153" t="s">
        <v>2013</v>
      </c>
      <c r="X153">
        <v>0</v>
      </c>
      <c r="Y153" t="s">
        <v>14</v>
      </c>
      <c r="Z153" t="s">
        <v>15</v>
      </c>
      <c r="AA153" t="s">
        <v>2625</v>
      </c>
      <c r="AB153" t="s">
        <v>2013</v>
      </c>
      <c r="AC153">
        <v>0</v>
      </c>
      <c r="AD153" t="s">
        <v>18</v>
      </c>
    </row>
    <row r="154" spans="1:30" x14ac:dyDescent="0.3">
      <c r="A154" t="s">
        <v>2623</v>
      </c>
      <c r="B154" t="s">
        <v>1</v>
      </c>
      <c r="C154">
        <v>-0.3</v>
      </c>
      <c r="D154" t="s">
        <v>2</v>
      </c>
      <c r="E154" t="s">
        <v>2539</v>
      </c>
      <c r="F154" t="str">
        <f t="shared" si="2"/>
        <v xml:space="preserve">bbands_{'P' [('delta'-0.3 1)]}_[7 35]_1 </v>
      </c>
      <c r="G154" t="s">
        <v>2540</v>
      </c>
      <c r="H154">
        <v>169</v>
      </c>
      <c r="I154" t="s">
        <v>5</v>
      </c>
      <c r="J154">
        <v>29</v>
      </c>
      <c r="K154" t="s">
        <v>6</v>
      </c>
      <c r="L154">
        <v>-70.8</v>
      </c>
      <c r="M154" t="s">
        <v>7</v>
      </c>
      <c r="N154">
        <v>-0.41893491124260301</v>
      </c>
      <c r="O154" t="s">
        <v>8</v>
      </c>
      <c r="P154">
        <v>3.99413793103448</v>
      </c>
      <c r="Q154" t="s">
        <v>9</v>
      </c>
      <c r="R154">
        <v>-1.33307142857142</v>
      </c>
      <c r="S154" t="s">
        <v>10</v>
      </c>
      <c r="T154">
        <v>0.54197343413579302</v>
      </c>
      <c r="U154" t="s">
        <v>11</v>
      </c>
      <c r="V154" t="s">
        <v>191</v>
      </c>
      <c r="W154" t="s">
        <v>2046</v>
      </c>
      <c r="X154">
        <v>0</v>
      </c>
      <c r="Y154" t="s">
        <v>14</v>
      </c>
      <c r="Z154" t="s">
        <v>15</v>
      </c>
      <c r="AA154" t="s">
        <v>142</v>
      </c>
      <c r="AB154" t="s">
        <v>2013</v>
      </c>
      <c r="AC154">
        <v>0</v>
      </c>
      <c r="AD154" t="s">
        <v>18</v>
      </c>
    </row>
    <row r="155" spans="1:30" x14ac:dyDescent="0.3">
      <c r="A155" t="s">
        <v>2683</v>
      </c>
      <c r="B155" t="s">
        <v>1</v>
      </c>
      <c r="C155">
        <v>-0.2</v>
      </c>
      <c r="D155" t="s">
        <v>2</v>
      </c>
      <c r="E155" t="s">
        <v>2547</v>
      </c>
      <c r="F155" t="str">
        <f t="shared" si="2"/>
        <v xml:space="preserve">bbands_no_highvol_{'P' [('delta'-0.2 1)]}_[7 35]_6 </v>
      </c>
      <c r="G155" t="s">
        <v>2540</v>
      </c>
      <c r="H155">
        <v>155</v>
      </c>
      <c r="I155" t="s">
        <v>5</v>
      </c>
      <c r="J155">
        <v>7</v>
      </c>
      <c r="K155" t="s">
        <v>6</v>
      </c>
      <c r="L155">
        <v>-70.19</v>
      </c>
      <c r="M155" t="s">
        <v>7</v>
      </c>
      <c r="N155">
        <v>-0.45283870967741902</v>
      </c>
      <c r="O155" t="s">
        <v>8</v>
      </c>
      <c r="P155">
        <v>7.4</v>
      </c>
      <c r="Q155" t="s">
        <v>9</v>
      </c>
      <c r="R155">
        <v>-0.82425675675675603</v>
      </c>
      <c r="S155" t="s">
        <v>10</v>
      </c>
      <c r="T155">
        <v>0.46202207685336899</v>
      </c>
      <c r="U155" t="s">
        <v>11</v>
      </c>
      <c r="V155" t="s">
        <v>2656</v>
      </c>
      <c r="W155" t="s">
        <v>2644</v>
      </c>
      <c r="X155">
        <v>0</v>
      </c>
      <c r="Y155" t="s">
        <v>14</v>
      </c>
      <c r="Z155" t="s">
        <v>15</v>
      </c>
      <c r="AA155" t="s">
        <v>2654</v>
      </c>
      <c r="AB155" t="s">
        <v>2655</v>
      </c>
      <c r="AC155">
        <v>0</v>
      </c>
      <c r="AD155" t="s">
        <v>18</v>
      </c>
    </row>
    <row r="156" spans="1:30" x14ac:dyDescent="0.3">
      <c r="A156" t="s">
        <v>2683</v>
      </c>
      <c r="B156" t="s">
        <v>1</v>
      </c>
      <c r="C156">
        <v>-0.4</v>
      </c>
      <c r="D156" t="s">
        <v>2</v>
      </c>
      <c r="E156" t="s">
        <v>2539</v>
      </c>
      <c r="F156" t="str">
        <f t="shared" si="2"/>
        <v xml:space="preserve">bbands_no_highvol_{'P' [('delta'-0.4 1)]}_[7 35]_1 </v>
      </c>
      <c r="G156" t="s">
        <v>2540</v>
      </c>
      <c r="H156">
        <v>155</v>
      </c>
      <c r="I156" t="s">
        <v>5</v>
      </c>
      <c r="J156">
        <v>31</v>
      </c>
      <c r="K156" t="s">
        <v>6</v>
      </c>
      <c r="L156">
        <v>-69.53</v>
      </c>
      <c r="M156" t="s">
        <v>7</v>
      </c>
      <c r="N156">
        <v>-0.44858064516128998</v>
      </c>
      <c r="O156" t="s">
        <v>8</v>
      </c>
      <c r="P156">
        <v>4.9206451612903201</v>
      </c>
      <c r="Q156" t="s">
        <v>9</v>
      </c>
      <c r="R156">
        <v>-1.7908870967741899</v>
      </c>
      <c r="S156" t="s">
        <v>10</v>
      </c>
      <c r="T156">
        <v>0.64743657225067197</v>
      </c>
      <c r="U156" t="s">
        <v>11</v>
      </c>
      <c r="V156" t="s">
        <v>2684</v>
      </c>
      <c r="W156" t="s">
        <v>2013</v>
      </c>
      <c r="X156">
        <v>0</v>
      </c>
      <c r="Y156" t="s">
        <v>14</v>
      </c>
      <c r="Z156" t="s">
        <v>15</v>
      </c>
      <c r="AA156" t="s">
        <v>2625</v>
      </c>
      <c r="AB156" t="s">
        <v>2013</v>
      </c>
      <c r="AC156">
        <v>0</v>
      </c>
      <c r="AD156" t="s">
        <v>18</v>
      </c>
    </row>
    <row r="157" spans="1:30" x14ac:dyDescent="0.3">
      <c r="A157" t="s">
        <v>2777</v>
      </c>
      <c r="B157" t="s">
        <v>1</v>
      </c>
      <c r="C157">
        <v>-0.3</v>
      </c>
      <c r="D157" t="s">
        <v>2174</v>
      </c>
      <c r="E157" t="s">
        <v>2562</v>
      </c>
      <c r="F157" t="str">
        <f t="shared" si="2"/>
        <v xml:space="preserve">rsi_{'P' [('delta'-0.3 1)]}_[42 70]_2 </v>
      </c>
      <c r="G157" t="s">
        <v>2540</v>
      </c>
      <c r="H157">
        <v>127</v>
      </c>
      <c r="I157" t="s">
        <v>5</v>
      </c>
      <c r="J157">
        <v>20</v>
      </c>
      <c r="K157" t="s">
        <v>6</v>
      </c>
      <c r="L157">
        <v>-69.358552314018695</v>
      </c>
      <c r="M157" t="s">
        <v>7</v>
      </c>
      <c r="N157">
        <v>-0.54613033318124904</v>
      </c>
      <c r="O157" t="s">
        <v>8</v>
      </c>
      <c r="P157">
        <v>7.93</v>
      </c>
      <c r="Q157" t="s">
        <v>9</v>
      </c>
      <c r="R157">
        <v>-2.1304537599440998</v>
      </c>
      <c r="S157" t="s">
        <v>10</v>
      </c>
      <c r="T157">
        <v>0.81518715531681096</v>
      </c>
      <c r="U157" t="s">
        <v>11</v>
      </c>
      <c r="V157" t="s">
        <v>2790</v>
      </c>
      <c r="W157" t="s">
        <v>2568</v>
      </c>
      <c r="X157">
        <v>0</v>
      </c>
      <c r="Y157" t="s">
        <v>14</v>
      </c>
      <c r="Z157" t="s">
        <v>15</v>
      </c>
      <c r="AA157" t="s">
        <v>142</v>
      </c>
      <c r="AB157" t="s">
        <v>2249</v>
      </c>
      <c r="AC157">
        <v>0</v>
      </c>
      <c r="AD157" t="s">
        <v>18</v>
      </c>
    </row>
    <row r="158" spans="1:30" x14ac:dyDescent="0.3">
      <c r="A158" t="s">
        <v>2777</v>
      </c>
      <c r="B158" t="s">
        <v>1</v>
      </c>
      <c r="C158">
        <v>-0.2</v>
      </c>
      <c r="D158" t="s">
        <v>27</v>
      </c>
      <c r="E158" t="s">
        <v>2558</v>
      </c>
      <c r="F158" t="str">
        <f t="shared" si="2"/>
        <v xml:space="preserve">rsi_{'P' [('delta'-0.2 1)]}_[21 49]_6 </v>
      </c>
      <c r="G158" t="s">
        <v>2540</v>
      </c>
      <c r="H158">
        <v>128</v>
      </c>
      <c r="I158" t="s">
        <v>5</v>
      </c>
      <c r="J158">
        <v>8</v>
      </c>
      <c r="K158" t="s">
        <v>6</v>
      </c>
      <c r="L158">
        <v>-69.319999999999993</v>
      </c>
      <c r="M158" t="s">
        <v>7</v>
      </c>
      <c r="N158">
        <v>-0.54156249999999995</v>
      </c>
      <c r="O158" t="s">
        <v>8</v>
      </c>
      <c r="P158">
        <v>7.3049999999999997</v>
      </c>
      <c r="Q158" t="s">
        <v>9</v>
      </c>
      <c r="R158">
        <v>-1.06466666666666</v>
      </c>
      <c r="S158" t="s">
        <v>10</v>
      </c>
      <c r="T158">
        <v>0.57346524788320796</v>
      </c>
      <c r="U158" t="s">
        <v>11</v>
      </c>
      <c r="V158" t="s">
        <v>2800</v>
      </c>
      <c r="W158" t="s">
        <v>2582</v>
      </c>
      <c r="X158">
        <v>0</v>
      </c>
      <c r="Y158" t="s">
        <v>14</v>
      </c>
      <c r="Z158" t="s">
        <v>15</v>
      </c>
      <c r="AA158" t="s">
        <v>2799</v>
      </c>
      <c r="AB158" t="s">
        <v>2704</v>
      </c>
      <c r="AC158">
        <v>0</v>
      </c>
      <c r="AD158" t="s">
        <v>18</v>
      </c>
    </row>
    <row r="159" spans="1:30" x14ac:dyDescent="0.3">
      <c r="A159" t="s">
        <v>2777</v>
      </c>
      <c r="B159" t="s">
        <v>1</v>
      </c>
      <c r="C159">
        <v>-0.3</v>
      </c>
      <c r="D159" t="s">
        <v>2</v>
      </c>
      <c r="E159" t="s">
        <v>2545</v>
      </c>
      <c r="F159" t="str">
        <f t="shared" si="2"/>
        <v xml:space="preserve">rsi_{'P' [('delta'-0.3 1)]}_[7 35]_4 </v>
      </c>
      <c r="G159" t="s">
        <v>2540</v>
      </c>
      <c r="H159">
        <v>136</v>
      </c>
      <c r="I159" t="s">
        <v>5</v>
      </c>
      <c r="J159">
        <v>19</v>
      </c>
      <c r="K159" t="s">
        <v>6</v>
      </c>
      <c r="L159">
        <v>-69.209999999999994</v>
      </c>
      <c r="M159" t="s">
        <v>7</v>
      </c>
      <c r="N159">
        <v>-0.50889705882352898</v>
      </c>
      <c r="O159" t="s">
        <v>8</v>
      </c>
      <c r="P159">
        <v>4.3284210526315796</v>
      </c>
      <c r="Q159" t="s">
        <v>9</v>
      </c>
      <c r="R159">
        <v>-1.2944444444444401</v>
      </c>
      <c r="S159" t="s">
        <v>10</v>
      </c>
      <c r="T159">
        <v>0.555285190580317</v>
      </c>
      <c r="U159" t="s">
        <v>11</v>
      </c>
      <c r="V159" t="s">
        <v>90</v>
      </c>
      <c r="W159" t="s">
        <v>2554</v>
      </c>
      <c r="X159">
        <v>0</v>
      </c>
      <c r="Y159" t="s">
        <v>14</v>
      </c>
      <c r="Z159" t="s">
        <v>15</v>
      </c>
      <c r="AA159" t="s">
        <v>2786</v>
      </c>
      <c r="AB159" t="s">
        <v>2249</v>
      </c>
      <c r="AC159">
        <v>0</v>
      </c>
      <c r="AD159" t="s">
        <v>18</v>
      </c>
    </row>
    <row r="160" spans="1:30" x14ac:dyDescent="0.3">
      <c r="A160" t="s">
        <v>2683</v>
      </c>
      <c r="B160" t="s">
        <v>1</v>
      </c>
      <c r="C160">
        <v>-0.3</v>
      </c>
      <c r="D160" t="s">
        <v>27</v>
      </c>
      <c r="E160" t="s">
        <v>2550</v>
      </c>
      <c r="F160" t="str">
        <f t="shared" si="2"/>
        <v xml:space="preserve">bbands_no_highvol_{'P' [('delta'-0.3 1)]}_[21 49]_1 </v>
      </c>
      <c r="G160" t="s">
        <v>2540</v>
      </c>
      <c r="H160">
        <v>165</v>
      </c>
      <c r="I160" t="s">
        <v>5</v>
      </c>
      <c r="J160">
        <v>32</v>
      </c>
      <c r="K160" t="s">
        <v>6</v>
      </c>
      <c r="L160">
        <v>-68.73</v>
      </c>
      <c r="M160" t="s">
        <v>7</v>
      </c>
      <c r="N160">
        <v>-0.416545454545454</v>
      </c>
      <c r="O160" t="s">
        <v>8</v>
      </c>
      <c r="P160">
        <v>4.5518749999999999</v>
      </c>
      <c r="Q160" t="s">
        <v>9</v>
      </c>
      <c r="R160">
        <v>-1.61195488721804</v>
      </c>
      <c r="S160" t="s">
        <v>10</v>
      </c>
      <c r="T160">
        <v>0.60392029838556305</v>
      </c>
      <c r="U160" t="s">
        <v>11</v>
      </c>
      <c r="V160" t="s">
        <v>163</v>
      </c>
      <c r="W160" t="s">
        <v>2013</v>
      </c>
      <c r="X160">
        <v>0</v>
      </c>
      <c r="Y160" t="s">
        <v>14</v>
      </c>
      <c r="Z160" t="s">
        <v>15</v>
      </c>
      <c r="AA160" t="s">
        <v>142</v>
      </c>
      <c r="AB160" t="s">
        <v>2013</v>
      </c>
      <c r="AC160">
        <v>0</v>
      </c>
      <c r="AD160" t="s">
        <v>18</v>
      </c>
    </row>
    <row r="161" spans="1:30" x14ac:dyDescent="0.3">
      <c r="A161" t="s">
        <v>2858</v>
      </c>
      <c r="B161" t="s">
        <v>1</v>
      </c>
      <c r="C161">
        <v>-0.1</v>
      </c>
      <c r="D161" t="s">
        <v>2174</v>
      </c>
      <c r="E161" t="s">
        <v>2562</v>
      </c>
      <c r="F161" t="str">
        <f t="shared" si="2"/>
        <v xml:space="preserve">stoch_no_highvol_{'P' [('delta'-0.1 1)]}_[42 70]_2 </v>
      </c>
      <c r="G161" t="s">
        <v>2540</v>
      </c>
      <c r="H161">
        <v>331</v>
      </c>
      <c r="I161" t="s">
        <v>5</v>
      </c>
      <c r="J161">
        <v>41</v>
      </c>
      <c r="K161" t="s">
        <v>6</v>
      </c>
      <c r="L161">
        <v>-67.201500846768695</v>
      </c>
      <c r="M161" t="s">
        <v>7</v>
      </c>
      <c r="N161">
        <v>-0.20302568231652099</v>
      </c>
      <c r="O161" t="s">
        <v>8</v>
      </c>
      <c r="P161">
        <v>2.7136585365853598</v>
      </c>
      <c r="Q161" t="s">
        <v>9</v>
      </c>
      <c r="R161">
        <v>-0.61538448567851201</v>
      </c>
      <c r="S161" t="s">
        <v>10</v>
      </c>
      <c r="T161">
        <v>0.56508413588226003</v>
      </c>
      <c r="U161" t="s">
        <v>11</v>
      </c>
      <c r="V161" t="s">
        <v>92</v>
      </c>
      <c r="W161" t="s">
        <v>2587</v>
      </c>
      <c r="X161">
        <v>0</v>
      </c>
      <c r="Y161" t="s">
        <v>14</v>
      </c>
      <c r="Z161" t="s">
        <v>15</v>
      </c>
      <c r="AA161" t="s">
        <v>2856</v>
      </c>
      <c r="AB161" t="s">
        <v>2857</v>
      </c>
      <c r="AC161">
        <v>0</v>
      </c>
      <c r="AD161" t="s">
        <v>18</v>
      </c>
    </row>
    <row r="162" spans="1:30" x14ac:dyDescent="0.3">
      <c r="A162" t="s">
        <v>2683</v>
      </c>
      <c r="B162" t="s">
        <v>1</v>
      </c>
      <c r="C162">
        <v>-0.2</v>
      </c>
      <c r="D162" t="s">
        <v>2174</v>
      </c>
      <c r="E162" t="s">
        <v>2562</v>
      </c>
      <c r="F162" t="str">
        <f t="shared" si="2"/>
        <v xml:space="preserve">bbands_no_highvol_{'P' [('delta'-0.2 1)]}_[42 70]_2 </v>
      </c>
      <c r="G162" t="s">
        <v>2540</v>
      </c>
      <c r="H162">
        <v>157</v>
      </c>
      <c r="I162" t="s">
        <v>5</v>
      </c>
      <c r="J162">
        <v>23</v>
      </c>
      <c r="K162" t="s">
        <v>6</v>
      </c>
      <c r="L162">
        <v>-66.407511225068006</v>
      </c>
      <c r="M162" t="s">
        <v>7</v>
      </c>
      <c r="N162">
        <v>-0.42297777850361801</v>
      </c>
      <c r="O162" t="s">
        <v>8</v>
      </c>
      <c r="P162">
        <v>4.9160869565217302</v>
      </c>
      <c r="Q162" t="s">
        <v>9</v>
      </c>
      <c r="R162">
        <v>-1.3393844121273699</v>
      </c>
      <c r="S162" t="s">
        <v>10</v>
      </c>
      <c r="T162">
        <v>0.65791613888715195</v>
      </c>
      <c r="U162" t="s">
        <v>11</v>
      </c>
      <c r="V162" t="s">
        <v>2712</v>
      </c>
      <c r="W162" t="s">
        <v>2013</v>
      </c>
      <c r="X162">
        <v>0</v>
      </c>
      <c r="Y162" t="s">
        <v>14</v>
      </c>
      <c r="Z162" t="s">
        <v>15</v>
      </c>
      <c r="AA162" t="s">
        <v>2713</v>
      </c>
      <c r="AB162" t="s">
        <v>2655</v>
      </c>
      <c r="AC162">
        <v>0</v>
      </c>
      <c r="AD162" t="s">
        <v>18</v>
      </c>
    </row>
    <row r="163" spans="1:30" x14ac:dyDescent="0.3">
      <c r="A163" t="s">
        <v>2858</v>
      </c>
      <c r="B163" t="s">
        <v>1</v>
      </c>
      <c r="C163">
        <v>-0.3</v>
      </c>
      <c r="D163" t="s">
        <v>2174</v>
      </c>
      <c r="E163" t="s">
        <v>2559</v>
      </c>
      <c r="F163" t="str">
        <f t="shared" si="2"/>
        <v xml:space="preserve">stoch_no_highvol_{'P' [('delta'-0.3 1)]}_[42 70]_1 </v>
      </c>
      <c r="G163" t="s">
        <v>2540</v>
      </c>
      <c r="H163">
        <v>331</v>
      </c>
      <c r="I163" t="s">
        <v>5</v>
      </c>
      <c r="J163">
        <v>91</v>
      </c>
      <c r="K163" t="s">
        <v>6</v>
      </c>
      <c r="L163">
        <v>-66.103625647758804</v>
      </c>
      <c r="M163" t="s">
        <v>7</v>
      </c>
      <c r="N163">
        <v>-0.199708838814981</v>
      </c>
      <c r="O163" t="s">
        <v>8</v>
      </c>
      <c r="P163">
        <v>4.7354945054944997</v>
      </c>
      <c r="Q163" t="s">
        <v>9</v>
      </c>
      <c r="R163">
        <v>-2.0709734401989901</v>
      </c>
      <c r="S163" t="s">
        <v>10</v>
      </c>
      <c r="T163">
        <v>1.49171653559934</v>
      </c>
      <c r="U163" t="s">
        <v>11</v>
      </c>
      <c r="V163" t="s">
        <v>2882</v>
      </c>
      <c r="W163" t="s">
        <v>2587</v>
      </c>
      <c r="X163">
        <v>0</v>
      </c>
      <c r="Y163" t="s">
        <v>14</v>
      </c>
      <c r="Z163" t="s">
        <v>15</v>
      </c>
      <c r="AA163" t="s">
        <v>2883</v>
      </c>
      <c r="AB163" t="s">
        <v>1431</v>
      </c>
      <c r="AC163">
        <v>0</v>
      </c>
      <c r="AD163" t="s">
        <v>18</v>
      </c>
    </row>
    <row r="164" spans="1:30" x14ac:dyDescent="0.3">
      <c r="A164" t="s">
        <v>2728</v>
      </c>
      <c r="B164" t="s">
        <v>1</v>
      </c>
      <c r="C164">
        <v>-0.3</v>
      </c>
      <c r="D164" t="s">
        <v>2174</v>
      </c>
      <c r="E164" t="s">
        <v>2569</v>
      </c>
      <c r="F164" t="str">
        <f t="shared" si="2"/>
        <v xml:space="preserve">psar_{'P' [('delta'-0.3 1)]}_[42 70]_6 </v>
      </c>
      <c r="G164" t="s">
        <v>2540</v>
      </c>
      <c r="H164">
        <v>139</v>
      </c>
      <c r="I164" t="s">
        <v>5</v>
      </c>
      <c r="J164">
        <v>17</v>
      </c>
      <c r="K164" t="s">
        <v>6</v>
      </c>
      <c r="L164">
        <v>-65.45</v>
      </c>
      <c r="M164" t="s">
        <v>7</v>
      </c>
      <c r="N164">
        <v>-0.47086330935251802</v>
      </c>
      <c r="O164" t="s">
        <v>8</v>
      </c>
      <c r="P164">
        <v>12.005294117647001</v>
      </c>
      <c r="Q164" t="s">
        <v>9</v>
      </c>
      <c r="R164">
        <v>-2.2093442622950801</v>
      </c>
      <c r="S164" t="s">
        <v>10</v>
      </c>
      <c r="T164">
        <v>1.23941399660695</v>
      </c>
      <c r="U164" t="s">
        <v>11</v>
      </c>
      <c r="V164" t="s">
        <v>2742</v>
      </c>
      <c r="W164" t="s">
        <v>2587</v>
      </c>
      <c r="X164">
        <v>0</v>
      </c>
      <c r="Y164" t="s">
        <v>14</v>
      </c>
      <c r="Z164" t="s">
        <v>15</v>
      </c>
      <c r="AA164" t="s">
        <v>2742</v>
      </c>
      <c r="AB164" t="s">
        <v>2587</v>
      </c>
      <c r="AC164">
        <v>0</v>
      </c>
      <c r="AD164" t="s">
        <v>18</v>
      </c>
    </row>
    <row r="165" spans="1:30" x14ac:dyDescent="0.3">
      <c r="A165" t="s">
        <v>2777</v>
      </c>
      <c r="B165" t="s">
        <v>1</v>
      </c>
      <c r="C165">
        <v>-0.3</v>
      </c>
      <c r="D165" t="s">
        <v>2174</v>
      </c>
      <c r="E165" t="s">
        <v>2559</v>
      </c>
      <c r="F165" t="str">
        <f t="shared" si="2"/>
        <v xml:space="preserve">rsi_{'P' [('delta'-0.3 1)]}_[42 70]_1 </v>
      </c>
      <c r="G165" t="s">
        <v>2540</v>
      </c>
      <c r="H165">
        <v>127</v>
      </c>
      <c r="I165" t="s">
        <v>5</v>
      </c>
      <c r="J165">
        <v>32</v>
      </c>
      <c r="K165" t="s">
        <v>6</v>
      </c>
      <c r="L165">
        <v>-65.358552314018596</v>
      </c>
      <c r="M165" t="s">
        <v>7</v>
      </c>
      <c r="N165">
        <v>-0.514634270189123</v>
      </c>
      <c r="O165" t="s">
        <v>8</v>
      </c>
      <c r="P165">
        <v>4.3915625</v>
      </c>
      <c r="Q165" t="s">
        <v>9</v>
      </c>
      <c r="R165">
        <v>-2.1672479190949301</v>
      </c>
      <c r="S165" t="s">
        <v>10</v>
      </c>
      <c r="T165">
        <v>0.65925867219159495</v>
      </c>
      <c r="U165" t="s">
        <v>11</v>
      </c>
      <c r="V165" t="s">
        <v>2789</v>
      </c>
      <c r="W165" t="s">
        <v>2631</v>
      </c>
      <c r="X165">
        <v>0</v>
      </c>
      <c r="Y165" t="s">
        <v>14</v>
      </c>
      <c r="Z165" t="s">
        <v>15</v>
      </c>
      <c r="AA165" t="s">
        <v>142</v>
      </c>
      <c r="AB165" t="s">
        <v>2249</v>
      </c>
      <c r="AC165">
        <v>0</v>
      </c>
      <c r="AD165" t="s">
        <v>18</v>
      </c>
    </row>
    <row r="166" spans="1:30" x14ac:dyDescent="0.3">
      <c r="A166" t="s">
        <v>2811</v>
      </c>
      <c r="B166" t="s">
        <v>1</v>
      </c>
      <c r="C166">
        <v>-0.2</v>
      </c>
      <c r="D166" t="s">
        <v>27</v>
      </c>
      <c r="E166" t="s">
        <v>2550</v>
      </c>
      <c r="F166" t="str">
        <f t="shared" si="2"/>
        <v xml:space="preserve">stoch_{'P' [('delta'-0.2 1)]}_[21 49]_1 </v>
      </c>
      <c r="G166" t="s">
        <v>2540</v>
      </c>
      <c r="H166">
        <v>376</v>
      </c>
      <c r="I166" t="s">
        <v>5</v>
      </c>
      <c r="J166">
        <v>81</v>
      </c>
      <c r="K166" t="s">
        <v>6</v>
      </c>
      <c r="L166">
        <v>-64.958498342654494</v>
      </c>
      <c r="M166" t="s">
        <v>7</v>
      </c>
      <c r="N166">
        <v>-0.17276196367727201</v>
      </c>
      <c r="O166" t="s">
        <v>8</v>
      </c>
      <c r="P166">
        <v>3.17148148148148</v>
      </c>
      <c r="Q166" t="s">
        <v>9</v>
      </c>
      <c r="R166">
        <v>-1.0910118587886599</v>
      </c>
      <c r="S166" t="s">
        <v>10</v>
      </c>
      <c r="T166">
        <v>1.0025683295453101</v>
      </c>
      <c r="U166" t="s">
        <v>11</v>
      </c>
      <c r="V166" t="s">
        <v>2108</v>
      </c>
      <c r="W166" t="s">
        <v>2046</v>
      </c>
      <c r="X166">
        <v>0</v>
      </c>
      <c r="Y166" t="s">
        <v>14</v>
      </c>
      <c r="Z166" t="s">
        <v>15</v>
      </c>
      <c r="AA166" t="s">
        <v>282</v>
      </c>
      <c r="AB166" t="s">
        <v>2046</v>
      </c>
      <c r="AC166">
        <v>0</v>
      </c>
      <c r="AD166" t="s">
        <v>18</v>
      </c>
    </row>
    <row r="167" spans="1:30" x14ac:dyDescent="0.3">
      <c r="A167" t="s">
        <v>2683</v>
      </c>
      <c r="B167" t="s">
        <v>1</v>
      </c>
      <c r="C167">
        <v>-0.2</v>
      </c>
      <c r="D167" t="s">
        <v>27</v>
      </c>
      <c r="E167" t="s">
        <v>2552</v>
      </c>
      <c r="F167" t="str">
        <f t="shared" si="2"/>
        <v xml:space="preserve">bbands_no_highvol_{'P' [('delta'-0.2 1)]}_[21 49]_2 </v>
      </c>
      <c r="G167" t="s">
        <v>2540</v>
      </c>
      <c r="H167">
        <v>165</v>
      </c>
      <c r="I167" t="s">
        <v>5</v>
      </c>
      <c r="J167">
        <v>19</v>
      </c>
      <c r="K167" t="s">
        <v>6</v>
      </c>
      <c r="L167">
        <v>-64.31</v>
      </c>
      <c r="M167" t="s">
        <v>7</v>
      </c>
      <c r="N167">
        <v>-0.38975757575757503</v>
      </c>
      <c r="O167" t="s">
        <v>8</v>
      </c>
      <c r="P167">
        <v>4.5478947368420997</v>
      </c>
      <c r="Q167" t="s">
        <v>9</v>
      </c>
      <c r="R167">
        <v>-1.0323287671232799</v>
      </c>
      <c r="S167" t="s">
        <v>10</v>
      </c>
      <c r="T167">
        <v>0.46278046830837299</v>
      </c>
      <c r="U167" t="s">
        <v>11</v>
      </c>
      <c r="V167" t="s">
        <v>2709</v>
      </c>
      <c r="W167" t="s">
        <v>2698</v>
      </c>
      <c r="X167">
        <v>0</v>
      </c>
      <c r="Y167" t="s">
        <v>14</v>
      </c>
      <c r="Z167" t="s">
        <v>15</v>
      </c>
      <c r="AA167" t="s">
        <v>1351</v>
      </c>
      <c r="AB167" t="s">
        <v>2701</v>
      </c>
      <c r="AC167">
        <v>0</v>
      </c>
      <c r="AD167" t="s">
        <v>18</v>
      </c>
    </row>
    <row r="168" spans="1:30" x14ac:dyDescent="0.3">
      <c r="A168" t="s">
        <v>2858</v>
      </c>
      <c r="B168" t="s">
        <v>1</v>
      </c>
      <c r="C168">
        <v>-0.3</v>
      </c>
      <c r="D168" t="s">
        <v>2</v>
      </c>
      <c r="E168" t="s">
        <v>2547</v>
      </c>
      <c r="F168" t="str">
        <f t="shared" si="2"/>
        <v xml:space="preserve">stoch_no_highvol_{'P' [('delta'-0.3 1)]}_[7 35]_6 </v>
      </c>
      <c r="G168" t="s">
        <v>2540</v>
      </c>
      <c r="H168">
        <v>334</v>
      </c>
      <c r="I168" t="s">
        <v>5</v>
      </c>
      <c r="J168">
        <v>47</v>
      </c>
      <c r="K168" t="s">
        <v>6</v>
      </c>
      <c r="L168">
        <v>-63.28</v>
      </c>
      <c r="M168" t="s">
        <v>7</v>
      </c>
      <c r="N168">
        <v>-0.18946107784431099</v>
      </c>
      <c r="O168" t="s">
        <v>8</v>
      </c>
      <c r="P168">
        <v>6.5159574468084998</v>
      </c>
      <c r="Q168" t="s">
        <v>9</v>
      </c>
      <c r="R168">
        <v>-1.2875609756097499</v>
      </c>
      <c r="S168" t="s">
        <v>10</v>
      </c>
      <c r="T168">
        <v>1.7042168150427399</v>
      </c>
      <c r="U168" t="s">
        <v>11</v>
      </c>
      <c r="V168" t="s">
        <v>142</v>
      </c>
      <c r="W168" t="s">
        <v>2732</v>
      </c>
      <c r="X168">
        <v>0</v>
      </c>
      <c r="Y168" t="s">
        <v>14</v>
      </c>
      <c r="Z168" t="s">
        <v>15</v>
      </c>
      <c r="AA168" t="s">
        <v>2876</v>
      </c>
      <c r="AB168" t="s">
        <v>2655</v>
      </c>
      <c r="AC168">
        <v>0</v>
      </c>
      <c r="AD168" t="s">
        <v>18</v>
      </c>
    </row>
    <row r="169" spans="1:30" x14ac:dyDescent="0.3">
      <c r="A169" t="s">
        <v>2623</v>
      </c>
      <c r="B169" t="s">
        <v>1</v>
      </c>
      <c r="C169">
        <v>-0.2</v>
      </c>
      <c r="D169" t="s">
        <v>2174</v>
      </c>
      <c r="E169" t="s">
        <v>2565</v>
      </c>
      <c r="F169" t="str">
        <f t="shared" si="2"/>
        <v xml:space="preserve">bbands_{'P' [('delta'-0.2 1)]}_[42 70]_4 </v>
      </c>
      <c r="G169" t="s">
        <v>2540</v>
      </c>
      <c r="H169">
        <v>167</v>
      </c>
      <c r="I169" t="s">
        <v>5</v>
      </c>
      <c r="J169">
        <v>16</v>
      </c>
      <c r="K169" t="s">
        <v>6</v>
      </c>
      <c r="L169">
        <v>-62.927511225068002</v>
      </c>
      <c r="M169" t="s">
        <v>7</v>
      </c>
      <c r="N169">
        <v>-0.37681144446148501</v>
      </c>
      <c r="O169" t="s">
        <v>8</v>
      </c>
      <c r="P169">
        <v>9.3087499999999999</v>
      </c>
      <c r="Q169" t="s">
        <v>9</v>
      </c>
      <c r="R169">
        <v>-1.4030961008282601</v>
      </c>
      <c r="S169" t="s">
        <v>10</v>
      </c>
      <c r="T169">
        <v>0.98859823673117198</v>
      </c>
      <c r="U169" t="s">
        <v>11</v>
      </c>
      <c r="V169" t="s">
        <v>2665</v>
      </c>
      <c r="W169" t="s">
        <v>2666</v>
      </c>
      <c r="X169">
        <v>0</v>
      </c>
      <c r="Y169" t="s">
        <v>14</v>
      </c>
      <c r="Z169" t="s">
        <v>15</v>
      </c>
      <c r="AA169" t="s">
        <v>2667</v>
      </c>
      <c r="AB169" t="s">
        <v>2640</v>
      </c>
      <c r="AC169">
        <v>0</v>
      </c>
      <c r="AD169" t="s">
        <v>18</v>
      </c>
    </row>
    <row r="170" spans="1:30" x14ac:dyDescent="0.3">
      <c r="A170" t="s">
        <v>2623</v>
      </c>
      <c r="B170" t="s">
        <v>1</v>
      </c>
      <c r="C170">
        <v>-0.4</v>
      </c>
      <c r="D170" t="s">
        <v>2174</v>
      </c>
      <c r="E170" t="s">
        <v>2565</v>
      </c>
      <c r="F170" t="str">
        <f t="shared" si="2"/>
        <v xml:space="preserve">bbands_{'P' [('delta'-0.4 1)]}_[42 70]_4 </v>
      </c>
      <c r="G170" t="s">
        <v>2540</v>
      </c>
      <c r="H170">
        <v>167</v>
      </c>
      <c r="I170" t="s">
        <v>5</v>
      </c>
      <c r="J170">
        <v>30</v>
      </c>
      <c r="K170" t="s">
        <v>6</v>
      </c>
      <c r="L170">
        <v>-62.706410795162498</v>
      </c>
      <c r="M170" t="s">
        <v>7</v>
      </c>
      <c r="N170">
        <v>-0.37548748979139202</v>
      </c>
      <c r="O170" t="s">
        <v>8</v>
      </c>
      <c r="P170">
        <v>11.986333333333301</v>
      </c>
      <c r="Q170" t="s">
        <v>9</v>
      </c>
      <c r="R170">
        <v>-3.08245555324936</v>
      </c>
      <c r="S170" t="s">
        <v>10</v>
      </c>
      <c r="T170">
        <v>1.98957949615323</v>
      </c>
      <c r="U170" t="s">
        <v>11</v>
      </c>
      <c r="V170" t="s">
        <v>2636</v>
      </c>
      <c r="W170" t="s">
        <v>691</v>
      </c>
      <c r="X170">
        <v>0</v>
      </c>
      <c r="Y170" t="s">
        <v>14</v>
      </c>
      <c r="Z170" t="s">
        <v>15</v>
      </c>
      <c r="AA170" t="s">
        <v>2639</v>
      </c>
      <c r="AB170" t="s">
        <v>2640</v>
      </c>
      <c r="AC170">
        <v>0</v>
      </c>
      <c r="AD170" t="s">
        <v>18</v>
      </c>
    </row>
    <row r="171" spans="1:30" x14ac:dyDescent="0.3">
      <c r="A171" t="s">
        <v>2777</v>
      </c>
      <c r="B171" t="s">
        <v>1</v>
      </c>
      <c r="C171">
        <v>-0.2</v>
      </c>
      <c r="D171" t="s">
        <v>2174</v>
      </c>
      <c r="E171" t="s">
        <v>2562</v>
      </c>
      <c r="F171" t="str">
        <f t="shared" si="2"/>
        <v xml:space="preserve">rsi_{'P' [('delta'-0.2 1)]}_[42 70]_2 </v>
      </c>
      <c r="G171" t="s">
        <v>2540</v>
      </c>
      <c r="H171">
        <v>127</v>
      </c>
      <c r="I171" t="s">
        <v>5</v>
      </c>
      <c r="J171">
        <v>16</v>
      </c>
      <c r="K171" t="s">
        <v>6</v>
      </c>
      <c r="L171">
        <v>-62.252887693364102</v>
      </c>
      <c r="M171" t="s">
        <v>7</v>
      </c>
      <c r="N171">
        <v>-0.49018021805798501</v>
      </c>
      <c r="O171" t="s">
        <v>8</v>
      </c>
      <c r="P171">
        <v>5.3181250000000002</v>
      </c>
      <c r="Q171" t="s">
        <v>9</v>
      </c>
      <c r="R171">
        <v>-1.3274134026429201</v>
      </c>
      <c r="S171" t="s">
        <v>10</v>
      </c>
      <c r="T171">
        <v>0.50392602819615495</v>
      </c>
      <c r="U171" t="s">
        <v>11</v>
      </c>
      <c r="V171" t="s">
        <v>2797</v>
      </c>
      <c r="W171" t="s">
        <v>2631</v>
      </c>
      <c r="X171">
        <v>0</v>
      </c>
      <c r="Y171" t="s">
        <v>14</v>
      </c>
      <c r="Z171" t="s">
        <v>15</v>
      </c>
      <c r="AA171" t="s">
        <v>2801</v>
      </c>
      <c r="AB171" t="s">
        <v>2249</v>
      </c>
      <c r="AC171">
        <v>0</v>
      </c>
      <c r="AD171" t="s">
        <v>18</v>
      </c>
    </row>
    <row r="172" spans="1:30" x14ac:dyDescent="0.3">
      <c r="A172" t="s">
        <v>2623</v>
      </c>
      <c r="B172" t="s">
        <v>1</v>
      </c>
      <c r="C172">
        <v>-0.2</v>
      </c>
      <c r="D172" t="s">
        <v>2174</v>
      </c>
      <c r="E172" t="s">
        <v>2562</v>
      </c>
      <c r="F172" t="str">
        <f t="shared" si="2"/>
        <v xml:space="preserve">bbands_{'P' [('delta'-0.2 1)]}_[42 70]_2 </v>
      </c>
      <c r="G172" t="s">
        <v>2540</v>
      </c>
      <c r="H172">
        <v>167</v>
      </c>
      <c r="I172" t="s">
        <v>5</v>
      </c>
      <c r="J172">
        <v>27</v>
      </c>
      <c r="K172" t="s">
        <v>6</v>
      </c>
      <c r="L172">
        <v>-62.057511225067998</v>
      </c>
      <c r="M172" t="s">
        <v>7</v>
      </c>
      <c r="N172">
        <v>-0.371601863623162</v>
      </c>
      <c r="O172" t="s">
        <v>8</v>
      </c>
      <c r="P172">
        <v>5.0914814814814804</v>
      </c>
      <c r="Q172" t="s">
        <v>9</v>
      </c>
      <c r="R172">
        <v>-1.4251965087504801</v>
      </c>
      <c r="S172" t="s">
        <v>10</v>
      </c>
      <c r="T172">
        <v>0.79600450373710896</v>
      </c>
      <c r="U172" t="s">
        <v>11</v>
      </c>
      <c r="V172" t="s">
        <v>2664</v>
      </c>
      <c r="W172" t="s">
        <v>2631</v>
      </c>
      <c r="X172">
        <v>0</v>
      </c>
      <c r="Y172" t="s">
        <v>14</v>
      </c>
      <c r="Z172" t="s">
        <v>15</v>
      </c>
      <c r="AA172" t="s">
        <v>2663</v>
      </c>
      <c r="AB172" t="s">
        <v>2046</v>
      </c>
      <c r="AC172">
        <v>0</v>
      </c>
      <c r="AD172" t="s">
        <v>18</v>
      </c>
    </row>
    <row r="173" spans="1:30" x14ac:dyDescent="0.3">
      <c r="A173" t="s">
        <v>2683</v>
      </c>
      <c r="B173" t="s">
        <v>1</v>
      </c>
      <c r="C173">
        <v>-0.2</v>
      </c>
      <c r="D173" t="s">
        <v>27</v>
      </c>
      <c r="E173" t="s">
        <v>2558</v>
      </c>
      <c r="F173" t="str">
        <f t="shared" si="2"/>
        <v xml:space="preserve">bbands_no_highvol_{'P' [('delta'-0.2 1)]}_[21 49]_6 </v>
      </c>
      <c r="G173" t="s">
        <v>2540</v>
      </c>
      <c r="H173">
        <v>165</v>
      </c>
      <c r="I173" t="s">
        <v>5</v>
      </c>
      <c r="J173">
        <v>8</v>
      </c>
      <c r="K173" t="s">
        <v>6</v>
      </c>
      <c r="L173">
        <v>-61.44</v>
      </c>
      <c r="M173" t="s">
        <v>7</v>
      </c>
      <c r="N173">
        <v>-0.37236363636363601</v>
      </c>
      <c r="O173" t="s">
        <v>8</v>
      </c>
      <c r="P173">
        <v>12.5725</v>
      </c>
      <c r="Q173" t="s">
        <v>9</v>
      </c>
      <c r="R173">
        <v>-1.0319745222929899</v>
      </c>
      <c r="S173" t="s">
        <v>10</v>
      </c>
      <c r="T173">
        <v>0.69174364991485904</v>
      </c>
      <c r="U173" t="s">
        <v>11</v>
      </c>
      <c r="V173" t="s">
        <v>2656</v>
      </c>
      <c r="W173" t="s">
        <v>2644</v>
      </c>
      <c r="X173">
        <v>0</v>
      </c>
      <c r="Y173" t="s">
        <v>14</v>
      </c>
      <c r="Z173" t="s">
        <v>15</v>
      </c>
      <c r="AA173" t="s">
        <v>2654</v>
      </c>
      <c r="AB173" t="s">
        <v>2655</v>
      </c>
      <c r="AC173">
        <v>0</v>
      </c>
      <c r="AD173" t="s">
        <v>18</v>
      </c>
    </row>
    <row r="174" spans="1:30" x14ac:dyDescent="0.3">
      <c r="A174" t="s">
        <v>2623</v>
      </c>
      <c r="B174" t="s">
        <v>1</v>
      </c>
      <c r="C174">
        <v>-0.4</v>
      </c>
      <c r="D174" t="s">
        <v>2174</v>
      </c>
      <c r="E174" t="s">
        <v>2562</v>
      </c>
      <c r="F174" t="str">
        <f t="shared" si="2"/>
        <v xml:space="preserve">bbands_{'P' [('delta'-0.4 1)]}_[42 70]_2 </v>
      </c>
      <c r="G174" t="s">
        <v>2540</v>
      </c>
      <c r="H174">
        <v>167</v>
      </c>
      <c r="I174" t="s">
        <v>5</v>
      </c>
      <c r="J174">
        <v>36</v>
      </c>
      <c r="K174" t="s">
        <v>6</v>
      </c>
      <c r="L174">
        <v>-61.356410795162603</v>
      </c>
      <c r="M174" t="s">
        <v>7</v>
      </c>
      <c r="N174">
        <v>-0.36740365745606302</v>
      </c>
      <c r="O174" t="s">
        <v>8</v>
      </c>
      <c r="P174">
        <v>9.6944444444444393</v>
      </c>
      <c r="Q174" t="s">
        <v>9</v>
      </c>
      <c r="R174">
        <v>-3.1324916854592502</v>
      </c>
      <c r="S174" t="s">
        <v>10</v>
      </c>
      <c r="T174">
        <v>1.6783891640895201</v>
      </c>
      <c r="U174" t="s">
        <v>11</v>
      </c>
      <c r="V174" t="s">
        <v>2636</v>
      </c>
      <c r="W174" t="s">
        <v>691</v>
      </c>
      <c r="X174">
        <v>0</v>
      </c>
      <c r="Y174" t="s">
        <v>14</v>
      </c>
      <c r="Z174" t="s">
        <v>15</v>
      </c>
      <c r="AA174" t="s">
        <v>2637</v>
      </c>
      <c r="AB174" t="s">
        <v>2638</v>
      </c>
      <c r="AC174">
        <v>0</v>
      </c>
      <c r="AD174" t="s">
        <v>18</v>
      </c>
    </row>
    <row r="175" spans="1:30" x14ac:dyDescent="0.3">
      <c r="A175" t="s">
        <v>2858</v>
      </c>
      <c r="B175" t="s">
        <v>1</v>
      </c>
      <c r="C175">
        <v>-0.4</v>
      </c>
      <c r="D175" t="s">
        <v>2</v>
      </c>
      <c r="E175" t="s">
        <v>2543</v>
      </c>
      <c r="F175" t="str">
        <f t="shared" si="2"/>
        <v xml:space="preserve">stoch_no_highvol_{'P' [('delta'-0.4 1)]}_[7 35]_2 </v>
      </c>
      <c r="G175" t="s">
        <v>2540</v>
      </c>
      <c r="H175">
        <v>334</v>
      </c>
      <c r="I175" t="s">
        <v>5</v>
      </c>
      <c r="J175">
        <v>75</v>
      </c>
      <c r="K175" t="s">
        <v>6</v>
      </c>
      <c r="L175">
        <v>-61.310000000000102</v>
      </c>
      <c r="M175" t="s">
        <v>7</v>
      </c>
      <c r="N175">
        <v>-0.183562874251497</v>
      </c>
      <c r="O175" t="s">
        <v>8</v>
      </c>
      <c r="P175">
        <v>5.4421333333333299</v>
      </c>
      <c r="Q175" t="s">
        <v>9</v>
      </c>
      <c r="R175">
        <v>-1.81262548262548</v>
      </c>
      <c r="S175" t="s">
        <v>10</v>
      </c>
      <c r="T175">
        <v>1.81017648845171</v>
      </c>
      <c r="U175" t="s">
        <v>11</v>
      </c>
      <c r="V175" t="s">
        <v>2747</v>
      </c>
      <c r="W175" t="s">
        <v>2587</v>
      </c>
      <c r="X175">
        <v>0</v>
      </c>
      <c r="Y175" t="s">
        <v>14</v>
      </c>
      <c r="Z175" t="s">
        <v>15</v>
      </c>
      <c r="AA175" t="s">
        <v>2560</v>
      </c>
      <c r="AB175" t="s">
        <v>2861</v>
      </c>
      <c r="AC175">
        <v>0</v>
      </c>
      <c r="AD175" t="s">
        <v>18</v>
      </c>
    </row>
    <row r="176" spans="1:30" x14ac:dyDescent="0.3">
      <c r="A176" t="s">
        <v>2683</v>
      </c>
      <c r="B176" t="s">
        <v>1</v>
      </c>
      <c r="C176">
        <v>-0.4</v>
      </c>
      <c r="D176" t="s">
        <v>27</v>
      </c>
      <c r="E176" t="s">
        <v>2558</v>
      </c>
      <c r="F176" t="str">
        <f t="shared" si="2"/>
        <v xml:space="preserve">bbands_no_highvol_{'P' [('delta'-0.4 1)]}_[21 49]_6 </v>
      </c>
      <c r="G176" t="s">
        <v>2540</v>
      </c>
      <c r="H176">
        <v>165</v>
      </c>
      <c r="I176" t="s">
        <v>5</v>
      </c>
      <c r="J176">
        <v>23</v>
      </c>
      <c r="K176" t="s">
        <v>6</v>
      </c>
      <c r="L176">
        <v>-60.34</v>
      </c>
      <c r="M176" t="s">
        <v>7</v>
      </c>
      <c r="N176">
        <v>-0.36569696969697002</v>
      </c>
      <c r="O176" t="s">
        <v>8</v>
      </c>
      <c r="P176">
        <v>11.8395652173913</v>
      </c>
      <c r="Q176" t="s">
        <v>9</v>
      </c>
      <c r="R176">
        <v>-2.3426056338028101</v>
      </c>
      <c r="S176" t="s">
        <v>10</v>
      </c>
      <c r="T176">
        <v>1.3212401019817099</v>
      </c>
      <c r="U176" t="s">
        <v>11</v>
      </c>
      <c r="V176" t="s">
        <v>2689</v>
      </c>
      <c r="W176" t="s">
        <v>2249</v>
      </c>
      <c r="X176">
        <v>0</v>
      </c>
      <c r="Y176" t="s">
        <v>14</v>
      </c>
      <c r="Z176" t="s">
        <v>15</v>
      </c>
      <c r="AA176" t="s">
        <v>2690</v>
      </c>
      <c r="AB176" t="s">
        <v>2691</v>
      </c>
      <c r="AC176">
        <v>0</v>
      </c>
      <c r="AD176" t="s">
        <v>18</v>
      </c>
    </row>
    <row r="177" spans="1:30" x14ac:dyDescent="0.3">
      <c r="A177" t="s">
        <v>2777</v>
      </c>
      <c r="B177" t="s">
        <v>1</v>
      </c>
      <c r="C177">
        <v>-0.4</v>
      </c>
      <c r="D177" t="s">
        <v>27</v>
      </c>
      <c r="E177" t="s">
        <v>2552</v>
      </c>
      <c r="F177" t="str">
        <f t="shared" si="2"/>
        <v xml:space="preserve">rsi_{'P' [('delta'-0.4 1)]}_[21 49]_2 </v>
      </c>
      <c r="G177" t="s">
        <v>2540</v>
      </c>
      <c r="H177">
        <v>128</v>
      </c>
      <c r="I177" t="s">
        <v>5</v>
      </c>
      <c r="J177">
        <v>27</v>
      </c>
      <c r="K177" t="s">
        <v>6</v>
      </c>
      <c r="L177">
        <v>-60.05</v>
      </c>
      <c r="M177" t="s">
        <v>7</v>
      </c>
      <c r="N177">
        <v>-0.46914062499999998</v>
      </c>
      <c r="O177" t="s">
        <v>8</v>
      </c>
      <c r="P177">
        <v>7.0125925925925898</v>
      </c>
      <c r="Q177" t="s">
        <v>9</v>
      </c>
      <c r="R177">
        <v>-2.4692079207920701</v>
      </c>
      <c r="S177" t="s">
        <v>10</v>
      </c>
      <c r="T177">
        <v>1.10680473616609</v>
      </c>
      <c r="U177" t="s">
        <v>11</v>
      </c>
      <c r="V177" t="s">
        <v>2689</v>
      </c>
      <c r="W177" t="s">
        <v>2249</v>
      </c>
      <c r="X177">
        <v>0</v>
      </c>
      <c r="Y177" t="s">
        <v>14</v>
      </c>
      <c r="Z177" t="s">
        <v>15</v>
      </c>
      <c r="AA177" t="s">
        <v>2780</v>
      </c>
      <c r="AB177" t="s">
        <v>2554</v>
      </c>
      <c r="AC177">
        <v>0</v>
      </c>
      <c r="AD177" t="s">
        <v>18</v>
      </c>
    </row>
    <row r="178" spans="1:30" x14ac:dyDescent="0.3">
      <c r="A178" t="s">
        <v>2777</v>
      </c>
      <c r="B178" t="s">
        <v>1</v>
      </c>
      <c r="C178">
        <v>-0.2</v>
      </c>
      <c r="D178" t="s">
        <v>2</v>
      </c>
      <c r="E178" t="s">
        <v>2547</v>
      </c>
      <c r="F178" t="str">
        <f t="shared" si="2"/>
        <v xml:space="preserve">rsi_{'P' [('delta'-0.2 1)]}_[7 35]_6 </v>
      </c>
      <c r="G178" t="s">
        <v>2540</v>
      </c>
      <c r="H178">
        <v>136</v>
      </c>
      <c r="I178" t="s">
        <v>5</v>
      </c>
      <c r="J178">
        <v>11</v>
      </c>
      <c r="K178" t="s">
        <v>6</v>
      </c>
      <c r="L178">
        <v>-59.91</v>
      </c>
      <c r="M178" t="s">
        <v>7</v>
      </c>
      <c r="N178">
        <v>-0.44051470588235198</v>
      </c>
      <c r="O178" t="s">
        <v>8</v>
      </c>
      <c r="P178">
        <v>3.7372727272727202</v>
      </c>
      <c r="Q178" t="s">
        <v>9</v>
      </c>
      <c r="R178">
        <v>-0.80815999999999999</v>
      </c>
      <c r="S178" t="s">
        <v>10</v>
      </c>
      <c r="T178">
        <v>0.41963694420794201</v>
      </c>
      <c r="U178" t="s">
        <v>11</v>
      </c>
      <c r="V178" t="s">
        <v>2796</v>
      </c>
      <c r="W178" t="s">
        <v>2783</v>
      </c>
      <c r="X178">
        <v>0</v>
      </c>
      <c r="Y178" t="s">
        <v>14</v>
      </c>
      <c r="Z178" t="s">
        <v>15</v>
      </c>
      <c r="AA178" t="s">
        <v>2795</v>
      </c>
      <c r="AB178" t="s">
        <v>2249</v>
      </c>
      <c r="AC178">
        <v>0</v>
      </c>
      <c r="AD178" t="s">
        <v>18</v>
      </c>
    </row>
    <row r="179" spans="1:30" x14ac:dyDescent="0.3">
      <c r="A179" t="s">
        <v>2858</v>
      </c>
      <c r="B179" t="s">
        <v>1</v>
      </c>
      <c r="C179">
        <v>-0.1</v>
      </c>
      <c r="D179" t="s">
        <v>27</v>
      </c>
      <c r="E179" t="s">
        <v>2555</v>
      </c>
      <c r="F179" t="str">
        <f t="shared" si="2"/>
        <v xml:space="preserve">stoch_no_highvol_{'P' [('delta'-0.1 1)]}_[21 49]_4 </v>
      </c>
      <c r="G179" t="s">
        <v>2540</v>
      </c>
      <c r="H179">
        <v>335</v>
      </c>
      <c r="I179" t="s">
        <v>5</v>
      </c>
      <c r="J179">
        <v>19</v>
      </c>
      <c r="K179" t="s">
        <v>6</v>
      </c>
      <c r="L179">
        <v>-59.169999999999902</v>
      </c>
      <c r="M179" t="s">
        <v>7</v>
      </c>
      <c r="N179">
        <v>-0.17662686567164099</v>
      </c>
      <c r="O179" t="s">
        <v>8</v>
      </c>
      <c r="P179">
        <v>4.7110526315789398</v>
      </c>
      <c r="Q179" t="s">
        <v>9</v>
      </c>
      <c r="R179">
        <v>-0.47050632911392398</v>
      </c>
      <c r="S179" t="s">
        <v>10</v>
      </c>
      <c r="T179">
        <v>0.54692352874704597</v>
      </c>
      <c r="U179" t="s">
        <v>11</v>
      </c>
      <c r="V179" t="s">
        <v>2899</v>
      </c>
      <c r="W179" t="s">
        <v>2564</v>
      </c>
      <c r="X179">
        <v>0</v>
      </c>
      <c r="Y179" t="s">
        <v>14</v>
      </c>
      <c r="Z179" t="s">
        <v>15</v>
      </c>
      <c r="AA179" t="s">
        <v>2900</v>
      </c>
      <c r="AB179" t="s">
        <v>2857</v>
      </c>
      <c r="AC179">
        <v>0</v>
      </c>
      <c r="AD179" t="s">
        <v>18</v>
      </c>
    </row>
    <row r="180" spans="1:30" x14ac:dyDescent="0.3">
      <c r="A180" t="s">
        <v>2683</v>
      </c>
      <c r="B180" t="s">
        <v>1</v>
      </c>
      <c r="C180">
        <v>-0.2</v>
      </c>
      <c r="D180" t="s">
        <v>2</v>
      </c>
      <c r="E180" t="s">
        <v>2543</v>
      </c>
      <c r="F180" t="str">
        <f t="shared" si="2"/>
        <v xml:space="preserve">bbands_no_highvol_{'P' [('delta'-0.2 1)]}_[7 35]_2 </v>
      </c>
      <c r="G180" t="s">
        <v>2540</v>
      </c>
      <c r="H180">
        <v>155</v>
      </c>
      <c r="I180" t="s">
        <v>5</v>
      </c>
      <c r="J180">
        <v>12</v>
      </c>
      <c r="K180" t="s">
        <v>6</v>
      </c>
      <c r="L180">
        <v>-59.1</v>
      </c>
      <c r="M180" t="s">
        <v>7</v>
      </c>
      <c r="N180">
        <v>-0.38129032258064499</v>
      </c>
      <c r="O180" t="s">
        <v>8</v>
      </c>
      <c r="P180">
        <v>4.6774999999999904</v>
      </c>
      <c r="Q180" t="s">
        <v>9</v>
      </c>
      <c r="R180">
        <v>-0.80580419580419504</v>
      </c>
      <c r="S180" t="s">
        <v>10</v>
      </c>
      <c r="T180">
        <v>0.35949575098948799</v>
      </c>
      <c r="U180" t="s">
        <v>11</v>
      </c>
      <c r="V180" t="s">
        <v>2709</v>
      </c>
      <c r="W180" t="s">
        <v>2698</v>
      </c>
      <c r="X180">
        <v>0</v>
      </c>
      <c r="Y180" t="s">
        <v>14</v>
      </c>
      <c r="Z180" t="s">
        <v>15</v>
      </c>
      <c r="AA180" t="s">
        <v>281</v>
      </c>
      <c r="AB180" t="s">
        <v>2013</v>
      </c>
      <c r="AC180">
        <v>0</v>
      </c>
      <c r="AD180" t="s">
        <v>18</v>
      </c>
    </row>
    <row r="181" spans="1:30" x14ac:dyDescent="0.3">
      <c r="A181" t="s">
        <v>2683</v>
      </c>
      <c r="B181" t="s">
        <v>1</v>
      </c>
      <c r="C181">
        <v>-0.3</v>
      </c>
      <c r="D181" t="s">
        <v>2</v>
      </c>
      <c r="E181" t="s">
        <v>2539</v>
      </c>
      <c r="F181" t="str">
        <f t="shared" si="2"/>
        <v xml:space="preserve">bbands_no_highvol_{'P' [('delta'-0.3 1)]}_[7 35]_1 </v>
      </c>
      <c r="G181" t="s">
        <v>2540</v>
      </c>
      <c r="H181">
        <v>155</v>
      </c>
      <c r="I181" t="s">
        <v>5</v>
      </c>
      <c r="J181">
        <v>27</v>
      </c>
      <c r="K181" t="s">
        <v>6</v>
      </c>
      <c r="L181">
        <v>-56.96</v>
      </c>
      <c r="M181" t="s">
        <v>7</v>
      </c>
      <c r="N181">
        <v>-0.36748387096774199</v>
      </c>
      <c r="O181" t="s">
        <v>8</v>
      </c>
      <c r="P181">
        <v>3.8899999999999899</v>
      </c>
      <c r="Q181" t="s">
        <v>9</v>
      </c>
      <c r="R181">
        <v>-1.2655468749999901</v>
      </c>
      <c r="S181" t="s">
        <v>10</v>
      </c>
      <c r="T181">
        <v>0.48875103759372701</v>
      </c>
      <c r="U181" t="s">
        <v>11</v>
      </c>
      <c r="V181" t="s">
        <v>163</v>
      </c>
      <c r="W181" t="s">
        <v>2013</v>
      </c>
      <c r="X181">
        <v>0</v>
      </c>
      <c r="Y181" t="s">
        <v>14</v>
      </c>
      <c r="Z181" t="s">
        <v>15</v>
      </c>
      <c r="AA181" t="s">
        <v>142</v>
      </c>
      <c r="AB181" t="s">
        <v>2013</v>
      </c>
      <c r="AC181">
        <v>0</v>
      </c>
      <c r="AD181" t="s">
        <v>18</v>
      </c>
    </row>
    <row r="182" spans="1:30" x14ac:dyDescent="0.3">
      <c r="A182" t="s">
        <v>2858</v>
      </c>
      <c r="B182" t="s">
        <v>1</v>
      </c>
      <c r="C182">
        <v>-0.2</v>
      </c>
      <c r="D182" t="s">
        <v>2</v>
      </c>
      <c r="E182" t="s">
        <v>2547</v>
      </c>
      <c r="F182" t="str">
        <f t="shared" si="2"/>
        <v xml:space="preserve">stoch_no_highvol_{'P' [('delta'-0.2 1)]}_[7 35]_6 </v>
      </c>
      <c r="G182" t="s">
        <v>2540</v>
      </c>
      <c r="H182">
        <v>334</v>
      </c>
      <c r="I182" t="s">
        <v>5</v>
      </c>
      <c r="J182">
        <v>33</v>
      </c>
      <c r="K182" t="s">
        <v>6</v>
      </c>
      <c r="L182">
        <v>-56.76</v>
      </c>
      <c r="M182" t="s">
        <v>7</v>
      </c>
      <c r="N182">
        <v>-0.16994011976047901</v>
      </c>
      <c r="O182" t="s">
        <v>8</v>
      </c>
      <c r="P182">
        <v>5.6896969696969597</v>
      </c>
      <c r="Q182" t="s">
        <v>9</v>
      </c>
      <c r="R182">
        <v>-0.81235880398671101</v>
      </c>
      <c r="S182" t="s">
        <v>10</v>
      </c>
      <c r="T182">
        <v>1.1351015958819199</v>
      </c>
      <c r="U182" t="s">
        <v>11</v>
      </c>
      <c r="V182" t="s">
        <v>2656</v>
      </c>
      <c r="W182" t="s">
        <v>2644</v>
      </c>
      <c r="X182">
        <v>0</v>
      </c>
      <c r="Y182" t="s">
        <v>14</v>
      </c>
      <c r="Z182" t="s">
        <v>15</v>
      </c>
      <c r="AA182" t="s">
        <v>2883</v>
      </c>
      <c r="AB182" t="s">
        <v>2655</v>
      </c>
      <c r="AC182">
        <v>0</v>
      </c>
      <c r="AD182" t="s">
        <v>18</v>
      </c>
    </row>
    <row r="183" spans="1:30" x14ac:dyDescent="0.3">
      <c r="A183" t="s">
        <v>2683</v>
      </c>
      <c r="B183" t="s">
        <v>1</v>
      </c>
      <c r="C183">
        <v>-0.3</v>
      </c>
      <c r="D183" t="s">
        <v>2174</v>
      </c>
      <c r="E183" t="s">
        <v>2559</v>
      </c>
      <c r="F183" t="str">
        <f t="shared" si="2"/>
        <v xml:space="preserve">bbands_no_highvol_{'P' [('delta'-0.3 1)]}_[42 70]_1 </v>
      </c>
      <c r="G183" t="s">
        <v>2540</v>
      </c>
      <c r="H183">
        <v>157</v>
      </c>
      <c r="I183" t="s">
        <v>5</v>
      </c>
      <c r="J183">
        <v>41</v>
      </c>
      <c r="K183" t="s">
        <v>6</v>
      </c>
      <c r="L183">
        <v>-56.478611666931798</v>
      </c>
      <c r="M183" t="s">
        <v>7</v>
      </c>
      <c r="N183">
        <v>-0.35973638004415198</v>
      </c>
      <c r="O183" t="s">
        <v>8</v>
      </c>
      <c r="P183">
        <v>4.6697560975609704</v>
      </c>
      <c r="Q183" t="s">
        <v>9</v>
      </c>
      <c r="R183">
        <v>-2.1374018247149298</v>
      </c>
      <c r="S183" t="s">
        <v>10</v>
      </c>
      <c r="T183">
        <v>0.81512720017672902</v>
      </c>
      <c r="U183" t="s">
        <v>11</v>
      </c>
      <c r="V183" t="s">
        <v>2702</v>
      </c>
      <c r="W183" t="s">
        <v>2249</v>
      </c>
      <c r="X183">
        <v>0</v>
      </c>
      <c r="Y183" t="s">
        <v>14</v>
      </c>
      <c r="Z183" t="s">
        <v>15</v>
      </c>
      <c r="AA183" t="s">
        <v>2703</v>
      </c>
      <c r="AB183" t="s">
        <v>2691</v>
      </c>
      <c r="AC183">
        <v>0</v>
      </c>
      <c r="AD183" t="s">
        <v>18</v>
      </c>
    </row>
    <row r="184" spans="1:30" x14ac:dyDescent="0.3">
      <c r="A184" t="s">
        <v>2728</v>
      </c>
      <c r="B184" t="s">
        <v>1</v>
      </c>
      <c r="C184">
        <v>-0.2</v>
      </c>
      <c r="D184" t="s">
        <v>2174</v>
      </c>
      <c r="E184" t="s">
        <v>2559</v>
      </c>
      <c r="F184" t="str">
        <f t="shared" si="2"/>
        <v xml:space="preserve">psar_{'P' [('delta'-0.2 1)]}_[42 70]_1 </v>
      </c>
      <c r="G184" t="s">
        <v>2540</v>
      </c>
      <c r="H184">
        <v>139</v>
      </c>
      <c r="I184" t="s">
        <v>5</v>
      </c>
      <c r="J184">
        <v>30</v>
      </c>
      <c r="K184" t="s">
        <v>6</v>
      </c>
      <c r="L184">
        <v>-55.679859735703403</v>
      </c>
      <c r="M184" t="s">
        <v>7</v>
      </c>
      <c r="N184">
        <v>-0.40057453047268698</v>
      </c>
      <c r="O184" t="s">
        <v>8</v>
      </c>
      <c r="P184">
        <v>3.4586666666666601</v>
      </c>
      <c r="Q184" t="s">
        <v>9</v>
      </c>
      <c r="R184">
        <v>-1.4627510067495699</v>
      </c>
      <c r="S184" t="s">
        <v>10</v>
      </c>
      <c r="T184">
        <v>0.50144838201999997</v>
      </c>
      <c r="U184" t="s">
        <v>11</v>
      </c>
      <c r="V184" t="s">
        <v>2745</v>
      </c>
      <c r="W184" t="s">
        <v>2557</v>
      </c>
      <c r="X184">
        <v>0</v>
      </c>
      <c r="Y184" t="s">
        <v>14</v>
      </c>
      <c r="Z184" t="s">
        <v>15</v>
      </c>
      <c r="AA184" t="s">
        <v>2730</v>
      </c>
      <c r="AB184" t="s">
        <v>2564</v>
      </c>
      <c r="AC184">
        <v>0</v>
      </c>
      <c r="AD184" t="s">
        <v>18</v>
      </c>
    </row>
    <row r="185" spans="1:30" x14ac:dyDescent="0.3">
      <c r="A185" t="s">
        <v>2858</v>
      </c>
      <c r="B185" t="s">
        <v>1</v>
      </c>
      <c r="C185">
        <v>-0.4</v>
      </c>
      <c r="D185" t="s">
        <v>2</v>
      </c>
      <c r="E185" t="s">
        <v>2545</v>
      </c>
      <c r="F185" t="str">
        <f t="shared" si="2"/>
        <v xml:space="preserve">stoch_no_highvol_{'P' [('delta'-0.4 1)]}_[7 35]_4 </v>
      </c>
      <c r="G185" t="s">
        <v>2540</v>
      </c>
      <c r="H185">
        <v>334</v>
      </c>
      <c r="I185" t="s">
        <v>5</v>
      </c>
      <c r="J185">
        <v>68</v>
      </c>
      <c r="K185" t="s">
        <v>6</v>
      </c>
      <c r="L185">
        <v>-55.41</v>
      </c>
      <c r="M185" t="s">
        <v>7</v>
      </c>
      <c r="N185">
        <v>-0.16589820359281399</v>
      </c>
      <c r="O185" t="s">
        <v>8</v>
      </c>
      <c r="P185">
        <v>6.2983823529411698</v>
      </c>
      <c r="Q185" t="s">
        <v>9</v>
      </c>
      <c r="R185">
        <v>-1.81842105263158</v>
      </c>
      <c r="S185" t="s">
        <v>10</v>
      </c>
      <c r="T185">
        <v>2.04461839144727</v>
      </c>
      <c r="U185" t="s">
        <v>11</v>
      </c>
      <c r="V185" t="s">
        <v>2747</v>
      </c>
      <c r="W185" t="s">
        <v>2587</v>
      </c>
      <c r="X185">
        <v>0</v>
      </c>
      <c r="Y185" t="s">
        <v>14</v>
      </c>
      <c r="Z185" t="s">
        <v>15</v>
      </c>
      <c r="AA185" t="s">
        <v>2862</v>
      </c>
      <c r="AB185" t="s">
        <v>2655</v>
      </c>
      <c r="AC185">
        <v>0</v>
      </c>
      <c r="AD185" t="s">
        <v>18</v>
      </c>
    </row>
    <row r="186" spans="1:30" x14ac:dyDescent="0.3">
      <c r="A186" t="s">
        <v>2858</v>
      </c>
      <c r="B186" t="s">
        <v>1</v>
      </c>
      <c r="C186">
        <v>-0.3</v>
      </c>
      <c r="D186" t="s">
        <v>2</v>
      </c>
      <c r="E186" t="s">
        <v>2543</v>
      </c>
      <c r="F186" t="str">
        <f t="shared" si="2"/>
        <v xml:space="preserve">stoch_no_highvol_{'P' [('delta'-0.3 1)]}_[7 35]_2 </v>
      </c>
      <c r="G186" t="s">
        <v>2540</v>
      </c>
      <c r="H186">
        <v>334</v>
      </c>
      <c r="I186" t="s">
        <v>5</v>
      </c>
      <c r="J186">
        <v>60</v>
      </c>
      <c r="K186" t="s">
        <v>6</v>
      </c>
      <c r="L186">
        <v>-55.090000000000103</v>
      </c>
      <c r="M186" t="s">
        <v>7</v>
      </c>
      <c r="N186">
        <v>-0.16494011976047901</v>
      </c>
      <c r="O186" t="s">
        <v>8</v>
      </c>
      <c r="P186">
        <v>4.9164999999999903</v>
      </c>
      <c r="Q186" t="s">
        <v>9</v>
      </c>
      <c r="R186">
        <v>-1.2776642335766399</v>
      </c>
      <c r="S186" t="s">
        <v>10</v>
      </c>
      <c r="T186">
        <v>1.31721981311409</v>
      </c>
      <c r="U186" t="s">
        <v>11</v>
      </c>
      <c r="V186" t="s">
        <v>2265</v>
      </c>
      <c r="W186" t="s">
        <v>2698</v>
      </c>
      <c r="X186">
        <v>0</v>
      </c>
      <c r="Y186" t="s">
        <v>14</v>
      </c>
      <c r="Z186" t="s">
        <v>15</v>
      </c>
      <c r="AA186" t="s">
        <v>2875</v>
      </c>
      <c r="AB186" t="s">
        <v>2857</v>
      </c>
      <c r="AC186">
        <v>0</v>
      </c>
      <c r="AD186" t="s">
        <v>18</v>
      </c>
    </row>
    <row r="187" spans="1:30" x14ac:dyDescent="0.3">
      <c r="A187" t="s">
        <v>2811</v>
      </c>
      <c r="B187" t="s">
        <v>1</v>
      </c>
      <c r="C187">
        <v>-0.1</v>
      </c>
      <c r="D187" t="s">
        <v>2174</v>
      </c>
      <c r="E187" t="s">
        <v>2569</v>
      </c>
      <c r="F187" t="str">
        <f t="shared" si="2"/>
        <v xml:space="preserve">stoch_{'P' [('delta'-0.1 1)]}_[42 70]_6 </v>
      </c>
      <c r="G187" t="s">
        <v>2540</v>
      </c>
      <c r="H187">
        <v>370</v>
      </c>
      <c r="I187" t="s">
        <v>5</v>
      </c>
      <c r="J187">
        <v>27</v>
      </c>
      <c r="K187" t="s">
        <v>6</v>
      </c>
      <c r="L187">
        <v>-55.033936181982099</v>
      </c>
      <c r="M187" t="s">
        <v>7</v>
      </c>
      <c r="N187">
        <v>-0.14874036805941099</v>
      </c>
      <c r="O187" t="s">
        <v>8</v>
      </c>
      <c r="P187">
        <v>6.8333333333333304</v>
      </c>
      <c r="Q187" t="s">
        <v>9</v>
      </c>
      <c r="R187">
        <v>-0.69834966816904298</v>
      </c>
      <c r="S187" t="s">
        <v>10</v>
      </c>
      <c r="T187">
        <v>0.97635665388402904</v>
      </c>
      <c r="U187" t="s">
        <v>11</v>
      </c>
      <c r="V187" t="s">
        <v>2619</v>
      </c>
      <c r="W187" t="s">
        <v>2557</v>
      </c>
      <c r="X187">
        <v>0</v>
      </c>
      <c r="Y187" t="s">
        <v>14</v>
      </c>
      <c r="Z187" t="s">
        <v>15</v>
      </c>
      <c r="AA187" t="s">
        <v>2688</v>
      </c>
      <c r="AB187" t="s">
        <v>2557</v>
      </c>
      <c r="AC187">
        <v>0</v>
      </c>
      <c r="AD187" t="s">
        <v>18</v>
      </c>
    </row>
    <row r="188" spans="1:30" x14ac:dyDescent="0.3">
      <c r="A188" t="s">
        <v>2811</v>
      </c>
      <c r="B188" t="s">
        <v>1</v>
      </c>
      <c r="C188">
        <v>-0.1</v>
      </c>
      <c r="D188" t="s">
        <v>2</v>
      </c>
      <c r="E188" t="s">
        <v>2545</v>
      </c>
      <c r="F188" t="str">
        <f t="shared" si="2"/>
        <v xml:space="preserve">stoch_{'P' [('delta'-0.1 1)]}_[7 35]_4 </v>
      </c>
      <c r="G188" t="s">
        <v>2540</v>
      </c>
      <c r="H188">
        <v>375</v>
      </c>
      <c r="I188" t="s">
        <v>5</v>
      </c>
      <c r="J188">
        <v>29</v>
      </c>
      <c r="K188" t="s">
        <v>6</v>
      </c>
      <c r="L188">
        <v>-54.881222084832999</v>
      </c>
      <c r="M188" t="s">
        <v>7</v>
      </c>
      <c r="N188">
        <v>-0.14634992555955401</v>
      </c>
      <c r="O188" t="s">
        <v>8</v>
      </c>
      <c r="P188">
        <v>3.1565517241379299</v>
      </c>
      <c r="Q188" t="s">
        <v>9</v>
      </c>
      <c r="R188">
        <v>-0.42318272278853403</v>
      </c>
      <c r="S188" t="s">
        <v>10</v>
      </c>
      <c r="T188">
        <v>0.689760911252284</v>
      </c>
      <c r="U188" t="s">
        <v>11</v>
      </c>
      <c r="V188" t="s">
        <v>2848</v>
      </c>
      <c r="W188" t="s">
        <v>2834</v>
      </c>
      <c r="X188">
        <v>0</v>
      </c>
      <c r="Y188" t="s">
        <v>14</v>
      </c>
      <c r="Z188" t="s">
        <v>15</v>
      </c>
      <c r="AA188" t="s">
        <v>2849</v>
      </c>
      <c r="AB188" t="s">
        <v>2655</v>
      </c>
      <c r="AC188">
        <v>0</v>
      </c>
      <c r="AD188" t="s">
        <v>18</v>
      </c>
    </row>
    <row r="189" spans="1:30" x14ac:dyDescent="0.3">
      <c r="A189" t="s">
        <v>2777</v>
      </c>
      <c r="B189" t="s">
        <v>1</v>
      </c>
      <c r="C189">
        <v>-0.2</v>
      </c>
      <c r="D189" t="s">
        <v>27</v>
      </c>
      <c r="E189" t="s">
        <v>2555</v>
      </c>
      <c r="F189" t="str">
        <f t="shared" si="2"/>
        <v xml:space="preserve">rsi_{'P' [('delta'-0.2 1)]}_[21 49]_4 </v>
      </c>
      <c r="G189" t="s">
        <v>2540</v>
      </c>
      <c r="H189">
        <v>128</v>
      </c>
      <c r="I189" t="s">
        <v>5</v>
      </c>
      <c r="J189">
        <v>10</v>
      </c>
      <c r="K189" t="s">
        <v>6</v>
      </c>
      <c r="L189">
        <v>-54.05</v>
      </c>
      <c r="M189" t="s">
        <v>7</v>
      </c>
      <c r="N189">
        <v>-0.42226562499999998</v>
      </c>
      <c r="O189" t="s">
        <v>8</v>
      </c>
      <c r="P189">
        <v>7.14299999999999</v>
      </c>
      <c r="Q189" t="s">
        <v>9</v>
      </c>
      <c r="R189">
        <v>-1.0633898305084699</v>
      </c>
      <c r="S189" t="s">
        <v>10</v>
      </c>
      <c r="T189">
        <v>0.53122521442639803</v>
      </c>
      <c r="U189" t="s">
        <v>11</v>
      </c>
      <c r="V189" t="s">
        <v>2800</v>
      </c>
      <c r="W189" t="s">
        <v>2582</v>
      </c>
      <c r="X189">
        <v>0</v>
      </c>
      <c r="Y189" t="s">
        <v>14</v>
      </c>
      <c r="Z189" t="s">
        <v>15</v>
      </c>
      <c r="AA189" t="s">
        <v>2799</v>
      </c>
      <c r="AB189" t="s">
        <v>2704</v>
      </c>
      <c r="AC189">
        <v>0</v>
      </c>
      <c r="AD189" t="s">
        <v>18</v>
      </c>
    </row>
    <row r="190" spans="1:30" x14ac:dyDescent="0.3">
      <c r="A190" t="s">
        <v>2858</v>
      </c>
      <c r="B190" t="s">
        <v>1</v>
      </c>
      <c r="C190">
        <v>-0.2</v>
      </c>
      <c r="D190" t="s">
        <v>2174</v>
      </c>
      <c r="E190" t="s">
        <v>2565</v>
      </c>
      <c r="F190" t="str">
        <f t="shared" si="2"/>
        <v xml:space="preserve">stoch_no_highvol_{'P' [('delta'-0.2 1)]}_[42 70]_4 </v>
      </c>
      <c r="G190" t="s">
        <v>2540</v>
      </c>
      <c r="H190">
        <v>331</v>
      </c>
      <c r="I190" t="s">
        <v>5</v>
      </c>
      <c r="J190">
        <v>33</v>
      </c>
      <c r="K190" t="s">
        <v>6</v>
      </c>
      <c r="L190">
        <v>-53.925762620735902</v>
      </c>
      <c r="M190" t="s">
        <v>7</v>
      </c>
      <c r="N190">
        <v>-0.16291771184512299</v>
      </c>
      <c r="O190" t="s">
        <v>8</v>
      </c>
      <c r="P190">
        <v>9.95818181818181</v>
      </c>
      <c r="Q190" t="s">
        <v>9</v>
      </c>
      <c r="R190">
        <v>-1.2837106128212601</v>
      </c>
      <c r="S190" t="s">
        <v>10</v>
      </c>
      <c r="T190">
        <v>1.35349463777319</v>
      </c>
      <c r="U190" t="s">
        <v>11</v>
      </c>
      <c r="V190" t="s">
        <v>2746</v>
      </c>
      <c r="W190" t="s">
        <v>2568</v>
      </c>
      <c r="X190">
        <v>0</v>
      </c>
      <c r="Y190" t="s">
        <v>14</v>
      </c>
      <c r="Z190" t="s">
        <v>15</v>
      </c>
      <c r="AA190" t="s">
        <v>2893</v>
      </c>
      <c r="AB190" t="s">
        <v>2857</v>
      </c>
      <c r="AC190">
        <v>0</v>
      </c>
      <c r="AD190" t="s">
        <v>18</v>
      </c>
    </row>
    <row r="191" spans="1:30" x14ac:dyDescent="0.3">
      <c r="A191" t="s">
        <v>2858</v>
      </c>
      <c r="B191" t="s">
        <v>1</v>
      </c>
      <c r="C191">
        <v>-0.2</v>
      </c>
      <c r="D191" t="s">
        <v>2</v>
      </c>
      <c r="E191" t="s">
        <v>2545</v>
      </c>
      <c r="F191" t="str">
        <f t="shared" si="2"/>
        <v xml:space="preserve">stoch_no_highvol_{'P' [('delta'-0.2 1)]}_[7 35]_4 </v>
      </c>
      <c r="G191" t="s">
        <v>2540</v>
      </c>
      <c r="H191">
        <v>334</v>
      </c>
      <c r="I191" t="s">
        <v>5</v>
      </c>
      <c r="J191">
        <v>35</v>
      </c>
      <c r="K191" t="s">
        <v>6</v>
      </c>
      <c r="L191">
        <v>-53.22</v>
      </c>
      <c r="M191" t="s">
        <v>7</v>
      </c>
      <c r="N191">
        <v>-0.15934131736526899</v>
      </c>
      <c r="O191" t="s">
        <v>8</v>
      </c>
      <c r="P191">
        <v>5.4237142857142802</v>
      </c>
      <c r="Q191" t="s">
        <v>9</v>
      </c>
      <c r="R191">
        <v>-0.81287625418060205</v>
      </c>
      <c r="S191" t="s">
        <v>10</v>
      </c>
      <c r="T191">
        <v>1.0844175150377</v>
      </c>
      <c r="U191" t="s">
        <v>11</v>
      </c>
      <c r="V191" t="s">
        <v>1362</v>
      </c>
      <c r="W191" t="s">
        <v>2249</v>
      </c>
      <c r="X191">
        <v>0</v>
      </c>
      <c r="Y191" t="s">
        <v>14</v>
      </c>
      <c r="Z191" t="s">
        <v>15</v>
      </c>
      <c r="AA191" t="s">
        <v>2883</v>
      </c>
      <c r="AB191" t="s">
        <v>2655</v>
      </c>
      <c r="AC191">
        <v>0</v>
      </c>
      <c r="AD191" t="s">
        <v>18</v>
      </c>
    </row>
    <row r="192" spans="1:30" x14ac:dyDescent="0.3">
      <c r="A192" t="s">
        <v>2777</v>
      </c>
      <c r="B192" t="s">
        <v>1</v>
      </c>
      <c r="C192">
        <v>-0.2</v>
      </c>
      <c r="D192" t="s">
        <v>27</v>
      </c>
      <c r="E192" t="s">
        <v>2552</v>
      </c>
      <c r="F192" t="str">
        <f t="shared" si="2"/>
        <v xml:space="preserve">rsi_{'P' [('delta'-0.2 1)]}_[21 49]_2 </v>
      </c>
      <c r="G192" t="s">
        <v>2540</v>
      </c>
      <c r="H192">
        <v>128</v>
      </c>
      <c r="I192" t="s">
        <v>5</v>
      </c>
      <c r="J192">
        <v>16</v>
      </c>
      <c r="K192" t="s">
        <v>6</v>
      </c>
      <c r="L192">
        <v>-52.989999999999903</v>
      </c>
      <c r="M192" t="s">
        <v>7</v>
      </c>
      <c r="N192">
        <v>-0.41398437499999902</v>
      </c>
      <c r="O192" t="s">
        <v>8</v>
      </c>
      <c r="P192">
        <v>4.0443749999999996</v>
      </c>
      <c r="Q192" t="s">
        <v>9</v>
      </c>
      <c r="R192">
        <v>-1.05089285714285</v>
      </c>
      <c r="S192" t="s">
        <v>10</v>
      </c>
      <c r="T192">
        <v>0.43508679471131601</v>
      </c>
      <c r="U192" t="s">
        <v>11</v>
      </c>
      <c r="V192" t="s">
        <v>2798</v>
      </c>
      <c r="W192" t="s">
        <v>2554</v>
      </c>
      <c r="X192">
        <v>0</v>
      </c>
      <c r="Y192" t="s">
        <v>14</v>
      </c>
      <c r="Z192" t="s">
        <v>15</v>
      </c>
      <c r="AA192" t="s">
        <v>2799</v>
      </c>
      <c r="AB192" t="s">
        <v>2704</v>
      </c>
      <c r="AC192">
        <v>0</v>
      </c>
      <c r="AD192" t="s">
        <v>18</v>
      </c>
    </row>
    <row r="193" spans="1:30" x14ac:dyDescent="0.3">
      <c r="A193" t="s">
        <v>2623</v>
      </c>
      <c r="B193" t="s">
        <v>1</v>
      </c>
      <c r="C193">
        <v>-0.3</v>
      </c>
      <c r="D193" t="s">
        <v>2174</v>
      </c>
      <c r="E193" t="s">
        <v>2569</v>
      </c>
      <c r="F193" t="str">
        <f t="shared" si="2"/>
        <v xml:space="preserve">bbands_{'P' [('delta'-0.3 1)]}_[42 70]_6 </v>
      </c>
      <c r="G193" t="s">
        <v>2540</v>
      </c>
      <c r="H193">
        <v>167</v>
      </c>
      <c r="I193" t="s">
        <v>5</v>
      </c>
      <c r="J193">
        <v>22</v>
      </c>
      <c r="K193" t="s">
        <v>6</v>
      </c>
      <c r="L193">
        <v>-52.286166064188698</v>
      </c>
      <c r="M193" t="s">
        <v>7</v>
      </c>
      <c r="N193">
        <v>-0.31309081475562101</v>
      </c>
      <c r="O193" t="s">
        <v>8</v>
      </c>
      <c r="P193">
        <v>12.468181818181799</v>
      </c>
      <c r="Q193" t="s">
        <v>9</v>
      </c>
      <c r="R193">
        <v>-2.25231838664957</v>
      </c>
      <c r="S193" t="s">
        <v>10</v>
      </c>
      <c r="T193">
        <v>1.58332827387682</v>
      </c>
      <c r="U193" t="s">
        <v>11</v>
      </c>
      <c r="V193" t="s">
        <v>2158</v>
      </c>
      <c r="W193" t="s">
        <v>2640</v>
      </c>
      <c r="X193">
        <v>0</v>
      </c>
      <c r="Y193" t="s">
        <v>14</v>
      </c>
      <c r="Z193" t="s">
        <v>15</v>
      </c>
      <c r="AA193" t="s">
        <v>2652</v>
      </c>
      <c r="AB193" t="s">
        <v>2640</v>
      </c>
      <c r="AC193">
        <v>0</v>
      </c>
      <c r="AD193" t="s">
        <v>18</v>
      </c>
    </row>
    <row r="194" spans="1:30" x14ac:dyDescent="0.3">
      <c r="A194" t="s">
        <v>2623</v>
      </c>
      <c r="B194" t="s">
        <v>1</v>
      </c>
      <c r="C194">
        <v>-0.2</v>
      </c>
      <c r="D194" t="s">
        <v>2</v>
      </c>
      <c r="E194" t="s">
        <v>2539</v>
      </c>
      <c r="F194" t="str">
        <f t="shared" si="2"/>
        <v xml:space="preserve">bbands_{'P' [('delta'-0.2 1)]}_[7 35]_1 </v>
      </c>
      <c r="G194" t="s">
        <v>2540</v>
      </c>
      <c r="H194">
        <v>169</v>
      </c>
      <c r="I194" t="s">
        <v>5</v>
      </c>
      <c r="J194">
        <v>23</v>
      </c>
      <c r="K194" t="s">
        <v>6</v>
      </c>
      <c r="L194">
        <v>-52.23</v>
      </c>
      <c r="M194" t="s">
        <v>7</v>
      </c>
      <c r="N194">
        <v>-0.30905325443786902</v>
      </c>
      <c r="O194" t="s">
        <v>8</v>
      </c>
      <c r="P194">
        <v>3.08652173913043</v>
      </c>
      <c r="Q194" t="s">
        <v>9</v>
      </c>
      <c r="R194">
        <v>-0.84397260273972496</v>
      </c>
      <c r="S194" t="s">
        <v>10</v>
      </c>
      <c r="T194">
        <v>0.36915106412361298</v>
      </c>
      <c r="U194" t="s">
        <v>11</v>
      </c>
      <c r="V194" t="s">
        <v>2108</v>
      </c>
      <c r="W194" t="s">
        <v>2046</v>
      </c>
      <c r="X194">
        <v>0</v>
      </c>
      <c r="Y194" t="s">
        <v>14</v>
      </c>
      <c r="Z194" t="s">
        <v>15</v>
      </c>
      <c r="AA194" t="s">
        <v>150</v>
      </c>
      <c r="AB194" t="s">
        <v>2169</v>
      </c>
      <c r="AC194">
        <v>0</v>
      </c>
      <c r="AD194" t="s">
        <v>18</v>
      </c>
    </row>
    <row r="195" spans="1:30" x14ac:dyDescent="0.3">
      <c r="A195" t="s">
        <v>2623</v>
      </c>
      <c r="B195" t="s">
        <v>1</v>
      </c>
      <c r="C195">
        <v>-0.3</v>
      </c>
      <c r="D195" t="s">
        <v>2174</v>
      </c>
      <c r="E195" t="s">
        <v>2559</v>
      </c>
      <c r="F195" t="str">
        <f t="shared" ref="F195:F258" si="3">_xlfn.CONCAT(A195:E195)</f>
        <v xml:space="preserve">bbands_{'P' [('delta'-0.3 1)]}_[42 70]_1 </v>
      </c>
      <c r="G195" t="s">
        <v>2540</v>
      </c>
      <c r="H195">
        <v>167</v>
      </c>
      <c r="I195" t="s">
        <v>5</v>
      </c>
      <c r="J195">
        <v>46</v>
      </c>
      <c r="K195" t="s">
        <v>6</v>
      </c>
      <c r="L195">
        <v>-50.906166064188703</v>
      </c>
      <c r="M195" t="s">
        <v>7</v>
      </c>
      <c r="N195">
        <v>-0.30482734170172898</v>
      </c>
      <c r="O195" t="s">
        <v>8</v>
      </c>
      <c r="P195">
        <v>4.7443478260869503</v>
      </c>
      <c r="Q195" t="s">
        <v>9</v>
      </c>
      <c r="R195">
        <v>-2.2243484798693198</v>
      </c>
      <c r="S195" t="s">
        <v>10</v>
      </c>
      <c r="T195">
        <v>0.96833068037157699</v>
      </c>
      <c r="U195" t="s">
        <v>11</v>
      </c>
      <c r="V195" t="s">
        <v>2649</v>
      </c>
      <c r="W195" t="s">
        <v>2631</v>
      </c>
      <c r="X195">
        <v>0</v>
      </c>
      <c r="Y195" t="s">
        <v>14</v>
      </c>
      <c r="Z195" t="s">
        <v>15</v>
      </c>
      <c r="AA195" t="s">
        <v>2650</v>
      </c>
      <c r="AB195" t="s">
        <v>2046</v>
      </c>
      <c r="AC195">
        <v>0</v>
      </c>
      <c r="AD195" t="s">
        <v>18</v>
      </c>
    </row>
    <row r="196" spans="1:30" x14ac:dyDescent="0.3">
      <c r="A196" t="s">
        <v>2777</v>
      </c>
      <c r="B196" t="s">
        <v>1</v>
      </c>
      <c r="C196">
        <v>-0.2</v>
      </c>
      <c r="D196" t="s">
        <v>2</v>
      </c>
      <c r="E196" t="s">
        <v>2545</v>
      </c>
      <c r="F196" t="str">
        <f t="shared" si="3"/>
        <v xml:space="preserve">rsi_{'P' [('delta'-0.2 1)]}_[7 35]_4 </v>
      </c>
      <c r="G196" t="s">
        <v>2540</v>
      </c>
      <c r="H196">
        <v>136</v>
      </c>
      <c r="I196" t="s">
        <v>5</v>
      </c>
      <c r="J196">
        <v>14</v>
      </c>
      <c r="K196" t="s">
        <v>6</v>
      </c>
      <c r="L196">
        <v>-50.8599999999999</v>
      </c>
      <c r="M196" t="s">
        <v>7</v>
      </c>
      <c r="N196">
        <v>-0.373970588235294</v>
      </c>
      <c r="O196" t="s">
        <v>8</v>
      </c>
      <c r="P196">
        <v>3.4414285714285699</v>
      </c>
      <c r="Q196" t="s">
        <v>9</v>
      </c>
      <c r="R196">
        <v>-0.81180327868852498</v>
      </c>
      <c r="S196" t="s">
        <v>10</v>
      </c>
      <c r="T196">
        <v>0.36237148235123301</v>
      </c>
      <c r="U196" t="s">
        <v>11</v>
      </c>
      <c r="V196" t="s">
        <v>2794</v>
      </c>
      <c r="W196" t="s">
        <v>2631</v>
      </c>
      <c r="X196">
        <v>0</v>
      </c>
      <c r="Y196" t="s">
        <v>14</v>
      </c>
      <c r="Z196" t="s">
        <v>15</v>
      </c>
      <c r="AA196" t="s">
        <v>2795</v>
      </c>
      <c r="AB196" t="s">
        <v>2249</v>
      </c>
      <c r="AC196">
        <v>0</v>
      </c>
      <c r="AD196" t="s">
        <v>18</v>
      </c>
    </row>
    <row r="197" spans="1:30" x14ac:dyDescent="0.3">
      <c r="A197" t="s">
        <v>2683</v>
      </c>
      <c r="B197" t="s">
        <v>1</v>
      </c>
      <c r="C197">
        <v>-0.4</v>
      </c>
      <c r="D197" t="s">
        <v>2174</v>
      </c>
      <c r="E197" t="s">
        <v>2559</v>
      </c>
      <c r="F197" t="str">
        <f t="shared" si="3"/>
        <v xml:space="preserve">bbands_no_highvol_{'P' [('delta'-0.4 1)]}_[42 70]_1 </v>
      </c>
      <c r="G197" t="s">
        <v>2540</v>
      </c>
      <c r="H197">
        <v>157</v>
      </c>
      <c r="I197" t="s">
        <v>5</v>
      </c>
      <c r="J197">
        <v>48</v>
      </c>
      <c r="K197" t="s">
        <v>6</v>
      </c>
      <c r="L197">
        <v>-50.800075066959899</v>
      </c>
      <c r="M197" t="s">
        <v>7</v>
      </c>
      <c r="N197">
        <v>-0.32356735711439399</v>
      </c>
      <c r="O197" t="s">
        <v>8</v>
      </c>
      <c r="P197">
        <v>5.9389583333333302</v>
      </c>
      <c r="Q197" t="s">
        <v>9</v>
      </c>
      <c r="R197">
        <v>-3.0813768354766902</v>
      </c>
      <c r="S197" t="s">
        <v>10</v>
      </c>
      <c r="T197">
        <v>1.1115279331722501</v>
      </c>
      <c r="U197" t="s">
        <v>11</v>
      </c>
      <c r="V197" t="s">
        <v>110</v>
      </c>
      <c r="W197" t="s">
        <v>2013</v>
      </c>
      <c r="X197">
        <v>0</v>
      </c>
      <c r="Y197" t="s">
        <v>14</v>
      </c>
      <c r="Z197" t="s">
        <v>15</v>
      </c>
      <c r="AA197" t="s">
        <v>2398</v>
      </c>
      <c r="AB197" t="s">
        <v>2691</v>
      </c>
      <c r="AC197">
        <v>0</v>
      </c>
      <c r="AD197" t="s">
        <v>18</v>
      </c>
    </row>
    <row r="198" spans="1:30" x14ac:dyDescent="0.3">
      <c r="A198" t="s">
        <v>2683</v>
      </c>
      <c r="B198" t="s">
        <v>1</v>
      </c>
      <c r="C198">
        <v>-0.2</v>
      </c>
      <c r="D198" t="s">
        <v>27</v>
      </c>
      <c r="E198" t="s">
        <v>2550</v>
      </c>
      <c r="F198" t="str">
        <f t="shared" si="3"/>
        <v xml:space="preserve">bbands_no_highvol_{'P' [('delta'-0.2 1)]}_[21 49]_1 </v>
      </c>
      <c r="G198" t="s">
        <v>2540</v>
      </c>
      <c r="H198">
        <v>165</v>
      </c>
      <c r="I198" t="s">
        <v>5</v>
      </c>
      <c r="J198">
        <v>27</v>
      </c>
      <c r="K198" t="s">
        <v>6</v>
      </c>
      <c r="L198">
        <v>-50.69</v>
      </c>
      <c r="M198" t="s">
        <v>7</v>
      </c>
      <c r="N198">
        <v>-0.30721212121212099</v>
      </c>
      <c r="O198" t="s">
        <v>8</v>
      </c>
      <c r="P198">
        <v>3.3270370370370301</v>
      </c>
      <c r="Q198" t="s">
        <v>9</v>
      </c>
      <c r="R198">
        <v>-1.01826086956521</v>
      </c>
      <c r="S198" t="s">
        <v>10</v>
      </c>
      <c r="T198">
        <v>0.41139505013324301</v>
      </c>
      <c r="U198" t="s">
        <v>11</v>
      </c>
      <c r="V198" t="s">
        <v>2708</v>
      </c>
      <c r="W198" t="s">
        <v>2013</v>
      </c>
      <c r="X198">
        <v>0</v>
      </c>
      <c r="Y198" t="s">
        <v>14</v>
      </c>
      <c r="Z198" t="s">
        <v>15</v>
      </c>
      <c r="AA198" t="s">
        <v>281</v>
      </c>
      <c r="AB198" t="s">
        <v>2013</v>
      </c>
      <c r="AC198">
        <v>0</v>
      </c>
      <c r="AD198" t="s">
        <v>18</v>
      </c>
    </row>
    <row r="199" spans="1:30" x14ac:dyDescent="0.3">
      <c r="A199" t="s">
        <v>2777</v>
      </c>
      <c r="B199" t="s">
        <v>1</v>
      </c>
      <c r="C199">
        <v>-0.3</v>
      </c>
      <c r="D199" t="s">
        <v>2</v>
      </c>
      <c r="E199" t="s">
        <v>2543</v>
      </c>
      <c r="F199" t="str">
        <f t="shared" si="3"/>
        <v xml:space="preserve">rsi_{'P' [('delta'-0.3 1)]}_[7 35]_2 </v>
      </c>
      <c r="G199" t="s">
        <v>2540</v>
      </c>
      <c r="H199">
        <v>136</v>
      </c>
      <c r="I199" t="s">
        <v>5</v>
      </c>
      <c r="J199">
        <v>24</v>
      </c>
      <c r="K199" t="s">
        <v>6</v>
      </c>
      <c r="L199">
        <v>-50.69</v>
      </c>
      <c r="M199" t="s">
        <v>7</v>
      </c>
      <c r="N199">
        <v>-0.37272058823529403</v>
      </c>
      <c r="O199" t="s">
        <v>8</v>
      </c>
      <c r="P199">
        <v>4.0041666666666602</v>
      </c>
      <c r="Q199" t="s">
        <v>9</v>
      </c>
      <c r="R199">
        <v>-1.3106249999999999</v>
      </c>
      <c r="S199" t="s">
        <v>10</v>
      </c>
      <c r="T199">
        <v>0.47979763803226499</v>
      </c>
      <c r="U199" t="s">
        <v>11</v>
      </c>
      <c r="V199" t="s">
        <v>90</v>
      </c>
      <c r="W199" t="s">
        <v>2554</v>
      </c>
      <c r="X199">
        <v>0</v>
      </c>
      <c r="Y199" t="s">
        <v>14</v>
      </c>
      <c r="Z199" t="s">
        <v>15</v>
      </c>
      <c r="AA199" t="s">
        <v>2786</v>
      </c>
      <c r="AB199" t="s">
        <v>2249</v>
      </c>
      <c r="AC199">
        <v>0</v>
      </c>
      <c r="AD199" t="s">
        <v>18</v>
      </c>
    </row>
    <row r="200" spans="1:30" x14ac:dyDescent="0.3">
      <c r="A200" t="s">
        <v>2858</v>
      </c>
      <c r="B200" t="s">
        <v>1</v>
      </c>
      <c r="C200">
        <v>-0.1</v>
      </c>
      <c r="D200" t="s">
        <v>27</v>
      </c>
      <c r="E200" t="s">
        <v>2558</v>
      </c>
      <c r="F200" t="str">
        <f t="shared" si="3"/>
        <v xml:space="preserve">stoch_no_highvol_{'P' [('delta'-0.1 1)]}_[21 49]_6 </v>
      </c>
      <c r="G200" t="s">
        <v>2540</v>
      </c>
      <c r="H200">
        <v>335</v>
      </c>
      <c r="I200" t="s">
        <v>5</v>
      </c>
      <c r="J200">
        <v>16</v>
      </c>
      <c r="K200" t="s">
        <v>6</v>
      </c>
      <c r="L200">
        <v>-49.999999999999901</v>
      </c>
      <c r="M200" t="s">
        <v>7</v>
      </c>
      <c r="N200">
        <v>-0.14925373134328301</v>
      </c>
      <c r="O200" t="s">
        <v>8</v>
      </c>
      <c r="P200">
        <v>6.2624999999999904</v>
      </c>
      <c r="Q200" t="s">
        <v>9</v>
      </c>
      <c r="R200">
        <v>-0.47084639498432501</v>
      </c>
      <c r="S200" t="s">
        <v>10</v>
      </c>
      <c r="T200">
        <v>0.60956512441746502</v>
      </c>
      <c r="U200" t="s">
        <v>11</v>
      </c>
      <c r="V200" t="s">
        <v>2896</v>
      </c>
      <c r="W200" t="s">
        <v>2897</v>
      </c>
      <c r="X200">
        <v>0</v>
      </c>
      <c r="Y200" t="s">
        <v>14</v>
      </c>
      <c r="Z200" t="s">
        <v>15</v>
      </c>
      <c r="AA200" t="s">
        <v>2900</v>
      </c>
      <c r="AB200" t="s">
        <v>2857</v>
      </c>
      <c r="AC200">
        <v>0</v>
      </c>
      <c r="AD200" t="s">
        <v>18</v>
      </c>
    </row>
    <row r="201" spans="1:30" x14ac:dyDescent="0.3">
      <c r="A201" t="s">
        <v>2777</v>
      </c>
      <c r="B201" t="s">
        <v>1</v>
      </c>
      <c r="C201">
        <v>-0.4</v>
      </c>
      <c r="D201" t="s">
        <v>27</v>
      </c>
      <c r="E201" t="s">
        <v>2555</v>
      </c>
      <c r="F201" t="str">
        <f t="shared" si="3"/>
        <v xml:space="preserve">rsi_{'P' [('delta'-0.4 1)]}_[21 49]_4 </v>
      </c>
      <c r="G201" t="s">
        <v>2540</v>
      </c>
      <c r="H201">
        <v>128</v>
      </c>
      <c r="I201" t="s">
        <v>5</v>
      </c>
      <c r="J201">
        <v>25</v>
      </c>
      <c r="K201" t="s">
        <v>6</v>
      </c>
      <c r="L201">
        <v>-49.559999999999903</v>
      </c>
      <c r="M201" t="s">
        <v>7</v>
      </c>
      <c r="N201">
        <v>-0.38718749999999902</v>
      </c>
      <c r="O201" t="s">
        <v>8</v>
      </c>
      <c r="P201">
        <v>8.2335999999999991</v>
      </c>
      <c r="Q201" t="s">
        <v>9</v>
      </c>
      <c r="R201">
        <v>-2.4796116504854302</v>
      </c>
      <c r="S201" t="s">
        <v>10</v>
      </c>
      <c r="T201">
        <v>1.2085547181004599</v>
      </c>
      <c r="U201" t="s">
        <v>11</v>
      </c>
      <c r="V201" t="s">
        <v>2781</v>
      </c>
      <c r="W201" t="s">
        <v>2695</v>
      </c>
      <c r="X201">
        <v>0</v>
      </c>
      <c r="Y201" t="s">
        <v>14</v>
      </c>
      <c r="Z201" t="s">
        <v>15</v>
      </c>
      <c r="AA201" t="s">
        <v>2780</v>
      </c>
      <c r="AB201" t="s">
        <v>2554</v>
      </c>
      <c r="AC201">
        <v>0</v>
      </c>
      <c r="AD201" t="s">
        <v>18</v>
      </c>
    </row>
    <row r="202" spans="1:30" x14ac:dyDescent="0.3">
      <c r="A202" t="s">
        <v>2623</v>
      </c>
      <c r="B202" t="s">
        <v>1</v>
      </c>
      <c r="C202">
        <v>-0.3</v>
      </c>
      <c r="D202" t="s">
        <v>27</v>
      </c>
      <c r="E202" t="s">
        <v>2552</v>
      </c>
      <c r="F202" t="str">
        <f t="shared" si="3"/>
        <v xml:space="preserve">bbands_{'P' [('delta'-0.3 1)]}_[21 49]_2 </v>
      </c>
      <c r="G202" t="s">
        <v>2540</v>
      </c>
      <c r="H202">
        <v>178</v>
      </c>
      <c r="I202" t="s">
        <v>5</v>
      </c>
      <c r="J202">
        <v>32</v>
      </c>
      <c r="K202" t="s">
        <v>6</v>
      </c>
      <c r="L202">
        <v>-48.51</v>
      </c>
      <c r="M202" t="s">
        <v>7</v>
      </c>
      <c r="N202">
        <v>-0.27252808988763999</v>
      </c>
      <c r="O202" t="s">
        <v>8</v>
      </c>
      <c r="P202">
        <v>6.2962499999999997</v>
      </c>
      <c r="Q202" t="s">
        <v>9</v>
      </c>
      <c r="R202">
        <v>-1.7122602739726001</v>
      </c>
      <c r="S202" t="s">
        <v>10</v>
      </c>
      <c r="T202">
        <v>0.87768165899885797</v>
      </c>
      <c r="U202" t="s">
        <v>11</v>
      </c>
      <c r="V202" t="s">
        <v>2305</v>
      </c>
      <c r="W202" t="s">
        <v>2249</v>
      </c>
      <c r="X202">
        <v>0</v>
      </c>
      <c r="Y202" t="s">
        <v>14</v>
      </c>
      <c r="Z202" t="s">
        <v>15</v>
      </c>
      <c r="AA202" t="s">
        <v>2646</v>
      </c>
      <c r="AB202" t="s">
        <v>2046</v>
      </c>
      <c r="AC202">
        <v>0</v>
      </c>
      <c r="AD202" t="s">
        <v>18</v>
      </c>
    </row>
    <row r="203" spans="1:30" x14ac:dyDescent="0.3">
      <c r="A203" t="s">
        <v>2683</v>
      </c>
      <c r="B203" t="s">
        <v>1</v>
      </c>
      <c r="C203">
        <v>-0.2</v>
      </c>
      <c r="D203" t="s">
        <v>2174</v>
      </c>
      <c r="E203" t="s">
        <v>2559</v>
      </c>
      <c r="F203" t="str">
        <f t="shared" si="3"/>
        <v xml:space="preserve">bbands_no_highvol_{'P' [('delta'-0.2 1)]}_[42 70]_1 </v>
      </c>
      <c r="G203" t="s">
        <v>2540</v>
      </c>
      <c r="H203">
        <v>157</v>
      </c>
      <c r="I203" t="s">
        <v>5</v>
      </c>
      <c r="J203">
        <v>35</v>
      </c>
      <c r="K203" t="s">
        <v>6</v>
      </c>
      <c r="L203">
        <v>-48.297511225068</v>
      </c>
      <c r="M203" t="s">
        <v>7</v>
      </c>
      <c r="N203">
        <v>-0.30762746003227998</v>
      </c>
      <c r="O203" t="s">
        <v>8</v>
      </c>
      <c r="P203">
        <v>3.2188571428571402</v>
      </c>
      <c r="Q203" t="s">
        <v>9</v>
      </c>
      <c r="R203">
        <v>-1.3193238625005499</v>
      </c>
      <c r="S203" t="s">
        <v>10</v>
      </c>
      <c r="T203">
        <v>0.52764421527471705</v>
      </c>
      <c r="U203" t="s">
        <v>11</v>
      </c>
      <c r="V203" t="s">
        <v>2712</v>
      </c>
      <c r="W203" t="s">
        <v>2013</v>
      </c>
      <c r="X203">
        <v>0</v>
      </c>
      <c r="Y203" t="s">
        <v>14</v>
      </c>
      <c r="Z203" t="s">
        <v>15</v>
      </c>
      <c r="AA203" t="s">
        <v>1310</v>
      </c>
      <c r="AB203" t="s">
        <v>2013</v>
      </c>
      <c r="AC203">
        <v>0</v>
      </c>
      <c r="AD203" t="s">
        <v>18</v>
      </c>
    </row>
    <row r="204" spans="1:30" x14ac:dyDescent="0.3">
      <c r="A204" t="s">
        <v>2623</v>
      </c>
      <c r="B204" t="s">
        <v>1</v>
      </c>
      <c r="C204">
        <v>-0.4</v>
      </c>
      <c r="D204" t="s">
        <v>27</v>
      </c>
      <c r="E204" t="s">
        <v>2550</v>
      </c>
      <c r="F204" t="str">
        <f t="shared" si="3"/>
        <v xml:space="preserve">bbands_{'P' [('delta'-0.4 1)]}_[21 49]_1 </v>
      </c>
      <c r="G204" t="s">
        <v>2540</v>
      </c>
      <c r="H204">
        <v>178</v>
      </c>
      <c r="I204" t="s">
        <v>5</v>
      </c>
      <c r="J204">
        <v>46</v>
      </c>
      <c r="K204" t="s">
        <v>6</v>
      </c>
      <c r="L204">
        <v>-48.26</v>
      </c>
      <c r="M204" t="s">
        <v>7</v>
      </c>
      <c r="N204">
        <v>-0.27112359550561799</v>
      </c>
      <c r="O204" t="s">
        <v>8</v>
      </c>
      <c r="P204">
        <v>5.91978260869565</v>
      </c>
      <c r="Q204" t="s">
        <v>9</v>
      </c>
      <c r="R204">
        <v>-2.4285606060606</v>
      </c>
      <c r="S204" t="s">
        <v>10</v>
      </c>
      <c r="T204">
        <v>0.973939624730083</v>
      </c>
      <c r="U204" t="s">
        <v>11</v>
      </c>
      <c r="V204" t="s">
        <v>2624</v>
      </c>
      <c r="W204" t="s">
        <v>2046</v>
      </c>
      <c r="X204">
        <v>0</v>
      </c>
      <c r="Y204" t="s">
        <v>14</v>
      </c>
      <c r="Z204" t="s">
        <v>15</v>
      </c>
      <c r="AA204" t="s">
        <v>2630</v>
      </c>
      <c r="AB204" t="s">
        <v>2046</v>
      </c>
      <c r="AC204">
        <v>0</v>
      </c>
      <c r="AD204" t="s">
        <v>18</v>
      </c>
    </row>
    <row r="205" spans="1:30" x14ac:dyDescent="0.3">
      <c r="A205" t="s">
        <v>2623</v>
      </c>
      <c r="B205" t="s">
        <v>1</v>
      </c>
      <c r="C205">
        <v>-0.3</v>
      </c>
      <c r="D205" t="s">
        <v>27</v>
      </c>
      <c r="E205" t="s">
        <v>2550</v>
      </c>
      <c r="F205" t="str">
        <f t="shared" si="3"/>
        <v xml:space="preserve">bbands_{'P' [('delta'-0.3 1)]}_[21 49]_1 </v>
      </c>
      <c r="G205" t="s">
        <v>2540</v>
      </c>
      <c r="H205">
        <v>178</v>
      </c>
      <c r="I205" t="s">
        <v>5</v>
      </c>
      <c r="J205">
        <v>38</v>
      </c>
      <c r="K205" t="s">
        <v>6</v>
      </c>
      <c r="L205">
        <v>-48.14</v>
      </c>
      <c r="M205" t="s">
        <v>7</v>
      </c>
      <c r="N205">
        <v>-0.27044943820224698</v>
      </c>
      <c r="O205" t="s">
        <v>8</v>
      </c>
      <c r="P205">
        <v>4.9649999999999999</v>
      </c>
      <c r="Q205" t="s">
        <v>9</v>
      </c>
      <c r="R205">
        <v>-1.6915</v>
      </c>
      <c r="S205" t="s">
        <v>10</v>
      </c>
      <c r="T205">
        <v>0.74046422535897805</v>
      </c>
      <c r="U205" t="s">
        <v>11</v>
      </c>
      <c r="V205" t="s">
        <v>191</v>
      </c>
      <c r="W205" t="s">
        <v>2046</v>
      </c>
      <c r="X205">
        <v>0</v>
      </c>
      <c r="Y205" t="s">
        <v>14</v>
      </c>
      <c r="Z205" t="s">
        <v>15</v>
      </c>
      <c r="AA205" t="s">
        <v>2645</v>
      </c>
      <c r="AB205" t="s">
        <v>720</v>
      </c>
      <c r="AC205">
        <v>0</v>
      </c>
      <c r="AD205" t="s">
        <v>18</v>
      </c>
    </row>
    <row r="206" spans="1:30" x14ac:dyDescent="0.3">
      <c r="A206" t="s">
        <v>2728</v>
      </c>
      <c r="B206" t="s">
        <v>1</v>
      </c>
      <c r="C206">
        <v>-0.2</v>
      </c>
      <c r="D206" t="s">
        <v>2174</v>
      </c>
      <c r="E206" t="s">
        <v>2562</v>
      </c>
      <c r="F206" t="str">
        <f t="shared" si="3"/>
        <v xml:space="preserve">psar_{'P' [('delta'-0.2 1)]}_[42 70]_2 </v>
      </c>
      <c r="G206" t="s">
        <v>2540</v>
      </c>
      <c r="H206">
        <v>139</v>
      </c>
      <c r="I206" t="s">
        <v>5</v>
      </c>
      <c r="J206">
        <v>22</v>
      </c>
      <c r="K206" t="s">
        <v>6</v>
      </c>
      <c r="L206">
        <v>-47.479859735703499</v>
      </c>
      <c r="M206" t="s">
        <v>7</v>
      </c>
      <c r="N206">
        <v>-0.34158172471729098</v>
      </c>
      <c r="O206" t="s">
        <v>8</v>
      </c>
      <c r="P206">
        <v>5.6454545454545402</v>
      </c>
      <c r="Q206" t="s">
        <v>9</v>
      </c>
      <c r="R206">
        <v>-1.46734922851028</v>
      </c>
      <c r="S206" t="s">
        <v>10</v>
      </c>
      <c r="T206">
        <v>0.59564906436105503</v>
      </c>
      <c r="U206" t="s">
        <v>11</v>
      </c>
      <c r="V206" t="s">
        <v>2682</v>
      </c>
      <c r="W206" t="s">
        <v>2666</v>
      </c>
      <c r="X206">
        <v>0</v>
      </c>
      <c r="Y206" t="s">
        <v>14</v>
      </c>
      <c r="Z206" t="s">
        <v>15</v>
      </c>
      <c r="AA206" t="s">
        <v>2730</v>
      </c>
      <c r="AB206" t="s">
        <v>2564</v>
      </c>
      <c r="AC206">
        <v>0</v>
      </c>
      <c r="AD206" t="s">
        <v>18</v>
      </c>
    </row>
    <row r="207" spans="1:30" x14ac:dyDescent="0.3">
      <c r="A207" t="s">
        <v>2777</v>
      </c>
      <c r="B207" t="s">
        <v>1</v>
      </c>
      <c r="C207">
        <v>-0.4</v>
      </c>
      <c r="D207" t="s">
        <v>2</v>
      </c>
      <c r="E207" t="s">
        <v>2545</v>
      </c>
      <c r="F207" t="str">
        <f t="shared" si="3"/>
        <v xml:space="preserve">rsi_{'P' [('delta'-0.4 1)]}_[7 35]_4 </v>
      </c>
      <c r="G207" t="s">
        <v>2540</v>
      </c>
      <c r="H207">
        <v>136</v>
      </c>
      <c r="I207" t="s">
        <v>5</v>
      </c>
      <c r="J207">
        <v>28</v>
      </c>
      <c r="K207" t="s">
        <v>6</v>
      </c>
      <c r="L207">
        <v>-46.78</v>
      </c>
      <c r="M207" t="s">
        <v>7</v>
      </c>
      <c r="N207">
        <v>-0.34397058823529397</v>
      </c>
      <c r="O207" t="s">
        <v>8</v>
      </c>
      <c r="P207">
        <v>5.5439285714285704</v>
      </c>
      <c r="Q207" t="s">
        <v>9</v>
      </c>
      <c r="R207">
        <v>-1.8704629629629601</v>
      </c>
      <c r="S207" t="s">
        <v>10</v>
      </c>
      <c r="T207">
        <v>0.81568359353485398</v>
      </c>
      <c r="U207" t="s">
        <v>11</v>
      </c>
      <c r="V207" t="s">
        <v>2778</v>
      </c>
      <c r="W207" t="s">
        <v>2631</v>
      </c>
      <c r="X207">
        <v>0</v>
      </c>
      <c r="Y207" t="s">
        <v>14</v>
      </c>
      <c r="Z207" t="s">
        <v>15</v>
      </c>
      <c r="AA207" t="s">
        <v>2535</v>
      </c>
      <c r="AB207" t="s">
        <v>2249</v>
      </c>
      <c r="AC207">
        <v>0</v>
      </c>
      <c r="AD207" t="s">
        <v>18</v>
      </c>
    </row>
    <row r="208" spans="1:30" x14ac:dyDescent="0.3">
      <c r="A208" t="s">
        <v>2683</v>
      </c>
      <c r="B208" t="s">
        <v>1</v>
      </c>
      <c r="C208">
        <v>-0.3</v>
      </c>
      <c r="D208" t="s">
        <v>2174</v>
      </c>
      <c r="E208" t="s">
        <v>2569</v>
      </c>
      <c r="F208" t="str">
        <f t="shared" si="3"/>
        <v xml:space="preserve">bbands_no_highvol_{'P' [('delta'-0.3 1)]}_[42 70]_6 </v>
      </c>
      <c r="G208" t="s">
        <v>2540</v>
      </c>
      <c r="H208">
        <v>157</v>
      </c>
      <c r="I208" t="s">
        <v>5</v>
      </c>
      <c r="J208">
        <v>19</v>
      </c>
      <c r="K208" t="s">
        <v>6</v>
      </c>
      <c r="L208">
        <v>-45.938611666931799</v>
      </c>
      <c r="M208" t="s">
        <v>7</v>
      </c>
      <c r="N208">
        <v>-0.29260262208236798</v>
      </c>
      <c r="O208" t="s">
        <v>8</v>
      </c>
      <c r="P208">
        <v>13.28</v>
      </c>
      <c r="Q208" t="s">
        <v>9</v>
      </c>
      <c r="R208">
        <v>-2.16129428744153</v>
      </c>
      <c r="S208" t="s">
        <v>10</v>
      </c>
      <c r="T208">
        <v>1.41180805442758</v>
      </c>
      <c r="U208" t="s">
        <v>11</v>
      </c>
      <c r="V208" t="s">
        <v>2706</v>
      </c>
      <c r="W208" t="s">
        <v>2695</v>
      </c>
      <c r="X208">
        <v>0</v>
      </c>
      <c r="Y208" t="s">
        <v>14</v>
      </c>
      <c r="Z208" t="s">
        <v>15</v>
      </c>
      <c r="AA208" t="s">
        <v>2707</v>
      </c>
      <c r="AB208" t="s">
        <v>2686</v>
      </c>
      <c r="AC208">
        <v>0</v>
      </c>
      <c r="AD208" t="s">
        <v>18</v>
      </c>
    </row>
    <row r="209" spans="1:30" x14ac:dyDescent="0.3">
      <c r="A209" t="s">
        <v>2858</v>
      </c>
      <c r="B209" t="s">
        <v>1</v>
      </c>
      <c r="C209">
        <v>-0.1</v>
      </c>
      <c r="D209" t="s">
        <v>2</v>
      </c>
      <c r="E209" t="s">
        <v>2545</v>
      </c>
      <c r="F209" t="str">
        <f t="shared" si="3"/>
        <v xml:space="preserve">stoch_no_highvol_{'P' [('delta'-0.1 1)]}_[7 35]_4 </v>
      </c>
      <c r="G209" t="s">
        <v>2540</v>
      </c>
      <c r="H209">
        <v>334</v>
      </c>
      <c r="I209" t="s">
        <v>5</v>
      </c>
      <c r="J209">
        <v>25</v>
      </c>
      <c r="K209" t="s">
        <v>6</v>
      </c>
      <c r="L209">
        <v>-45.93</v>
      </c>
      <c r="M209" t="s">
        <v>7</v>
      </c>
      <c r="N209">
        <v>-0.13751497005988</v>
      </c>
      <c r="O209" t="s">
        <v>8</v>
      </c>
      <c r="P209">
        <v>2.75639999999999</v>
      </c>
      <c r="Q209" t="s">
        <v>9</v>
      </c>
      <c r="R209">
        <v>-0.371650485436892</v>
      </c>
      <c r="S209" t="s">
        <v>10</v>
      </c>
      <c r="T209">
        <v>0.52001056845765703</v>
      </c>
      <c r="U209" t="s">
        <v>11</v>
      </c>
      <c r="V209" t="s">
        <v>2677</v>
      </c>
      <c r="W209" t="s">
        <v>2857</v>
      </c>
      <c r="X209">
        <v>0</v>
      </c>
      <c r="Y209" t="s">
        <v>14</v>
      </c>
      <c r="Z209" t="s">
        <v>15</v>
      </c>
      <c r="AA209" t="s">
        <v>2849</v>
      </c>
      <c r="AB209" t="s">
        <v>2655</v>
      </c>
      <c r="AC209">
        <v>0</v>
      </c>
      <c r="AD209" t="s">
        <v>18</v>
      </c>
    </row>
    <row r="210" spans="1:30" x14ac:dyDescent="0.3">
      <c r="A210" t="s">
        <v>2858</v>
      </c>
      <c r="B210" t="s">
        <v>1</v>
      </c>
      <c r="C210">
        <v>-0.1</v>
      </c>
      <c r="D210" t="s">
        <v>27</v>
      </c>
      <c r="E210" t="s">
        <v>2552</v>
      </c>
      <c r="F210" t="str">
        <f t="shared" si="3"/>
        <v xml:space="preserve">stoch_no_highvol_{'P' [('delta'-0.1 1)]}_[21 49]_2 </v>
      </c>
      <c r="G210" t="s">
        <v>2540</v>
      </c>
      <c r="H210">
        <v>335</v>
      </c>
      <c r="I210" t="s">
        <v>5</v>
      </c>
      <c r="J210">
        <v>36</v>
      </c>
      <c r="K210" t="s">
        <v>6</v>
      </c>
      <c r="L210">
        <v>-45.829999999999899</v>
      </c>
      <c r="M210" t="s">
        <v>7</v>
      </c>
      <c r="N210">
        <v>-0.136805970149253</v>
      </c>
      <c r="O210" t="s">
        <v>8</v>
      </c>
      <c r="P210">
        <v>2.5758333333333301</v>
      </c>
      <c r="Q210" t="s">
        <v>9</v>
      </c>
      <c r="R210">
        <v>-0.46341137123745701</v>
      </c>
      <c r="S210" t="s">
        <v>10</v>
      </c>
      <c r="T210">
        <v>0.43852158222315701</v>
      </c>
      <c r="U210" t="s">
        <v>11</v>
      </c>
      <c r="V210" t="s">
        <v>2899</v>
      </c>
      <c r="W210" t="s">
        <v>2564</v>
      </c>
      <c r="X210">
        <v>0</v>
      </c>
      <c r="Y210" t="s">
        <v>14</v>
      </c>
      <c r="Z210" t="s">
        <v>15</v>
      </c>
      <c r="AA210" t="s">
        <v>2898</v>
      </c>
      <c r="AB210" t="s">
        <v>2889</v>
      </c>
      <c r="AC210">
        <v>0</v>
      </c>
      <c r="AD210" t="s">
        <v>18</v>
      </c>
    </row>
    <row r="211" spans="1:30" x14ac:dyDescent="0.3">
      <c r="A211" t="s">
        <v>2811</v>
      </c>
      <c r="B211" t="s">
        <v>1</v>
      </c>
      <c r="C211">
        <v>-0.2</v>
      </c>
      <c r="D211" t="s">
        <v>2</v>
      </c>
      <c r="E211" t="s">
        <v>2543</v>
      </c>
      <c r="F211" t="str">
        <f t="shared" si="3"/>
        <v xml:space="preserve">stoch_{'P' [('delta'-0.2 1)]}_[7 35]_2 </v>
      </c>
      <c r="G211" t="s">
        <v>2540</v>
      </c>
      <c r="H211">
        <v>375</v>
      </c>
      <c r="I211" t="s">
        <v>5</v>
      </c>
      <c r="J211">
        <v>58</v>
      </c>
      <c r="K211" t="s">
        <v>6</v>
      </c>
      <c r="L211">
        <v>-45.278498342654601</v>
      </c>
      <c r="M211" t="s">
        <v>7</v>
      </c>
      <c r="N211">
        <v>-0.120742662247079</v>
      </c>
      <c r="O211" t="s">
        <v>8</v>
      </c>
      <c r="P211">
        <v>4.0503448275862004</v>
      </c>
      <c r="Q211" t="s">
        <v>9</v>
      </c>
      <c r="R211">
        <v>-0.88390693483487204</v>
      </c>
      <c r="S211" t="s">
        <v>10</v>
      </c>
      <c r="T211">
        <v>1.14448140479723</v>
      </c>
      <c r="U211" t="s">
        <v>11</v>
      </c>
      <c r="V211" t="s">
        <v>191</v>
      </c>
      <c r="W211" t="s">
        <v>2557</v>
      </c>
      <c r="X211">
        <v>0</v>
      </c>
      <c r="Y211" t="s">
        <v>14</v>
      </c>
      <c r="Z211" t="s">
        <v>15</v>
      </c>
      <c r="AA211" t="s">
        <v>2831</v>
      </c>
      <c r="AB211" t="s">
        <v>2046</v>
      </c>
      <c r="AC211">
        <v>0</v>
      </c>
      <c r="AD211" t="s">
        <v>18</v>
      </c>
    </row>
    <row r="212" spans="1:30" x14ac:dyDescent="0.3">
      <c r="A212" t="s">
        <v>2623</v>
      </c>
      <c r="B212" t="s">
        <v>1</v>
      </c>
      <c r="C212">
        <v>-0.2</v>
      </c>
      <c r="D212" t="s">
        <v>2174</v>
      </c>
      <c r="E212" t="s">
        <v>2559</v>
      </c>
      <c r="F212" t="str">
        <f t="shared" si="3"/>
        <v xml:space="preserve">bbands_{'P' [('delta'-0.2 1)]}_[42 70]_1 </v>
      </c>
      <c r="G212" t="s">
        <v>2540</v>
      </c>
      <c r="H212">
        <v>167</v>
      </c>
      <c r="I212" t="s">
        <v>5</v>
      </c>
      <c r="J212">
        <v>40</v>
      </c>
      <c r="K212" t="s">
        <v>6</v>
      </c>
      <c r="L212">
        <v>-44.187511225068</v>
      </c>
      <c r="M212" t="s">
        <v>7</v>
      </c>
      <c r="N212">
        <v>-0.26459587559921</v>
      </c>
      <c r="O212" t="s">
        <v>8</v>
      </c>
      <c r="P212">
        <v>3.30775</v>
      </c>
      <c r="Q212" t="s">
        <v>9</v>
      </c>
      <c r="R212">
        <v>-1.38974418287455</v>
      </c>
      <c r="S212" t="s">
        <v>10</v>
      </c>
      <c r="T212">
        <v>0.63638023798715404</v>
      </c>
      <c r="U212" t="s">
        <v>11</v>
      </c>
      <c r="V212" t="s">
        <v>2662</v>
      </c>
      <c r="W212" t="s">
        <v>2631</v>
      </c>
      <c r="X212">
        <v>0</v>
      </c>
      <c r="Y212" t="s">
        <v>14</v>
      </c>
      <c r="Z212" t="s">
        <v>15</v>
      </c>
      <c r="AA212" t="s">
        <v>2663</v>
      </c>
      <c r="AB212" t="s">
        <v>2046</v>
      </c>
      <c r="AC212">
        <v>0</v>
      </c>
      <c r="AD212" t="s">
        <v>18</v>
      </c>
    </row>
    <row r="213" spans="1:30" x14ac:dyDescent="0.3">
      <c r="A213" t="s">
        <v>2811</v>
      </c>
      <c r="B213" t="s">
        <v>1</v>
      </c>
      <c r="C213">
        <v>-0.1</v>
      </c>
      <c r="D213" t="s">
        <v>2174</v>
      </c>
      <c r="E213" t="s">
        <v>2559</v>
      </c>
      <c r="F213" t="str">
        <f t="shared" si="3"/>
        <v xml:space="preserve">stoch_{'P' [('delta'-0.1 1)]}_[42 70]_1 </v>
      </c>
      <c r="G213" t="s">
        <v>2540</v>
      </c>
      <c r="H213">
        <v>370</v>
      </c>
      <c r="I213" t="s">
        <v>5</v>
      </c>
      <c r="J213">
        <v>87</v>
      </c>
      <c r="K213" t="s">
        <v>6</v>
      </c>
      <c r="L213">
        <v>-44.112151601328002</v>
      </c>
      <c r="M213" t="s">
        <v>7</v>
      </c>
      <c r="N213">
        <v>-0.11922203135494</v>
      </c>
      <c r="O213" t="s">
        <v>8</v>
      </c>
      <c r="P213">
        <v>1.73123997674604</v>
      </c>
      <c r="Q213" t="s">
        <v>9</v>
      </c>
      <c r="R213">
        <v>-0.68809197730824601</v>
      </c>
      <c r="S213" t="s">
        <v>10</v>
      </c>
      <c r="T213">
        <v>0.59695686386596303</v>
      </c>
      <c r="U213" t="s">
        <v>11</v>
      </c>
      <c r="V213" t="s">
        <v>2677</v>
      </c>
      <c r="W213" t="s">
        <v>2046</v>
      </c>
      <c r="X213">
        <v>0</v>
      </c>
      <c r="Y213" t="s">
        <v>14</v>
      </c>
      <c r="Z213" t="s">
        <v>15</v>
      </c>
      <c r="AA213" t="s">
        <v>191</v>
      </c>
      <c r="AB213" t="s">
        <v>2046</v>
      </c>
      <c r="AC213">
        <v>0</v>
      </c>
      <c r="AD213" t="s">
        <v>18</v>
      </c>
    </row>
    <row r="214" spans="1:30" x14ac:dyDescent="0.3">
      <c r="A214" t="s">
        <v>2728</v>
      </c>
      <c r="B214" t="s">
        <v>1</v>
      </c>
      <c r="C214">
        <v>-0.4</v>
      </c>
      <c r="D214" t="s">
        <v>2174</v>
      </c>
      <c r="E214" t="s">
        <v>2559</v>
      </c>
      <c r="F214" t="str">
        <f t="shared" si="3"/>
        <v xml:space="preserve">psar_{'P' [('delta'-0.4 1)]}_[42 70]_1 </v>
      </c>
      <c r="G214" t="s">
        <v>2540</v>
      </c>
      <c r="H214">
        <v>139</v>
      </c>
      <c r="I214" t="s">
        <v>5</v>
      </c>
      <c r="J214">
        <v>40</v>
      </c>
      <c r="K214" t="s">
        <v>6</v>
      </c>
      <c r="L214">
        <v>-43.806700326379399</v>
      </c>
      <c r="M214" t="s">
        <v>7</v>
      </c>
      <c r="N214">
        <v>-0.315156117455967</v>
      </c>
      <c r="O214" t="s">
        <v>8</v>
      </c>
      <c r="P214">
        <v>6.8567328045313296</v>
      </c>
      <c r="Q214" t="s">
        <v>9</v>
      </c>
      <c r="R214">
        <v>-3.21288901522861</v>
      </c>
      <c r="S214" t="s">
        <v>10</v>
      </c>
      <c r="T214">
        <v>1.03697972246635</v>
      </c>
      <c r="U214" t="s">
        <v>11</v>
      </c>
      <c r="V214" t="s">
        <v>2651</v>
      </c>
      <c r="W214" t="s">
        <v>2631</v>
      </c>
      <c r="X214">
        <v>0</v>
      </c>
      <c r="Y214" t="s">
        <v>14</v>
      </c>
      <c r="Z214" t="s">
        <v>15</v>
      </c>
      <c r="AA214" t="s">
        <v>2735</v>
      </c>
      <c r="AB214" t="s">
        <v>2564</v>
      </c>
      <c r="AC214">
        <v>0</v>
      </c>
      <c r="AD214" t="s">
        <v>18</v>
      </c>
    </row>
    <row r="215" spans="1:30" x14ac:dyDescent="0.3">
      <c r="A215" t="s">
        <v>2683</v>
      </c>
      <c r="B215" t="s">
        <v>1</v>
      </c>
      <c r="C215">
        <v>-0.2</v>
      </c>
      <c r="D215" t="s">
        <v>2174</v>
      </c>
      <c r="E215" t="s">
        <v>2565</v>
      </c>
      <c r="F215" t="str">
        <f t="shared" si="3"/>
        <v xml:space="preserve">bbands_no_highvol_{'P' [('delta'-0.2 1)]}_[42 70]_4 </v>
      </c>
      <c r="G215" t="s">
        <v>2540</v>
      </c>
      <c r="H215">
        <v>157</v>
      </c>
      <c r="I215" t="s">
        <v>5</v>
      </c>
      <c r="J215">
        <v>15</v>
      </c>
      <c r="K215" t="s">
        <v>6</v>
      </c>
      <c r="L215">
        <v>-43.797511225068</v>
      </c>
      <c r="M215" t="s">
        <v>7</v>
      </c>
      <c r="N215">
        <v>-0.27896503965011499</v>
      </c>
      <c r="O215" t="s">
        <v>8</v>
      </c>
      <c r="P215">
        <v>9.5986666666666594</v>
      </c>
      <c r="Q215" t="s">
        <v>9</v>
      </c>
      <c r="R215">
        <v>-1.3223768396131499</v>
      </c>
      <c r="S215" t="s">
        <v>10</v>
      </c>
      <c r="T215">
        <v>0.841697243521628</v>
      </c>
      <c r="U215" t="s">
        <v>11</v>
      </c>
      <c r="V215" t="s">
        <v>2665</v>
      </c>
      <c r="W215" t="s">
        <v>2666</v>
      </c>
      <c r="X215">
        <v>0</v>
      </c>
      <c r="Y215" t="s">
        <v>14</v>
      </c>
      <c r="Z215" t="s">
        <v>15</v>
      </c>
      <c r="AA215" t="s">
        <v>2713</v>
      </c>
      <c r="AB215" t="s">
        <v>2655</v>
      </c>
      <c r="AC215">
        <v>0</v>
      </c>
      <c r="AD215" t="s">
        <v>18</v>
      </c>
    </row>
    <row r="216" spans="1:30" x14ac:dyDescent="0.3">
      <c r="A216" t="s">
        <v>2858</v>
      </c>
      <c r="B216" t="s">
        <v>1</v>
      </c>
      <c r="C216">
        <v>-0.1</v>
      </c>
      <c r="D216" t="s">
        <v>2</v>
      </c>
      <c r="E216" t="s">
        <v>2547</v>
      </c>
      <c r="F216" t="str">
        <f t="shared" si="3"/>
        <v xml:space="preserve">stoch_no_highvol_{'P' [('delta'-0.1 1)]}_[7 35]_6 </v>
      </c>
      <c r="G216" t="s">
        <v>2540</v>
      </c>
      <c r="H216">
        <v>334</v>
      </c>
      <c r="I216" t="s">
        <v>5</v>
      </c>
      <c r="J216">
        <v>23</v>
      </c>
      <c r="K216" t="s">
        <v>6</v>
      </c>
      <c r="L216">
        <v>-43.77</v>
      </c>
      <c r="M216" t="s">
        <v>7</v>
      </c>
      <c r="N216">
        <v>-0.13104790419161599</v>
      </c>
      <c r="O216" t="s">
        <v>8</v>
      </c>
      <c r="P216">
        <v>3.1326086956521699</v>
      </c>
      <c r="Q216" t="s">
        <v>9</v>
      </c>
      <c r="R216">
        <v>-0.37241157556269999</v>
      </c>
      <c r="S216" t="s">
        <v>10</v>
      </c>
      <c r="T216">
        <v>0.55904184978510096</v>
      </c>
      <c r="U216" t="s">
        <v>11</v>
      </c>
      <c r="V216" t="s">
        <v>2896</v>
      </c>
      <c r="W216" t="s">
        <v>2897</v>
      </c>
      <c r="X216">
        <v>0</v>
      </c>
      <c r="Y216" t="s">
        <v>14</v>
      </c>
      <c r="Z216" t="s">
        <v>15</v>
      </c>
      <c r="AA216" t="s">
        <v>2849</v>
      </c>
      <c r="AB216" t="s">
        <v>2655</v>
      </c>
      <c r="AC216">
        <v>0</v>
      </c>
      <c r="AD216" t="s">
        <v>18</v>
      </c>
    </row>
    <row r="217" spans="1:30" x14ac:dyDescent="0.3">
      <c r="A217" t="s">
        <v>2683</v>
      </c>
      <c r="B217" t="s">
        <v>1</v>
      </c>
      <c r="C217">
        <v>-0.2</v>
      </c>
      <c r="D217" t="s">
        <v>2</v>
      </c>
      <c r="E217" t="s">
        <v>2539</v>
      </c>
      <c r="F217" t="str">
        <f t="shared" si="3"/>
        <v xml:space="preserve">bbands_no_highvol_{'P' [('delta'-0.2 1)]}_[7 35]_1 </v>
      </c>
      <c r="G217" t="s">
        <v>2540</v>
      </c>
      <c r="H217">
        <v>155</v>
      </c>
      <c r="I217" t="s">
        <v>5</v>
      </c>
      <c r="J217">
        <v>21</v>
      </c>
      <c r="K217" t="s">
        <v>6</v>
      </c>
      <c r="L217">
        <v>-42.67</v>
      </c>
      <c r="M217" t="s">
        <v>7</v>
      </c>
      <c r="N217">
        <v>-0.27529032258064501</v>
      </c>
      <c r="O217" t="s">
        <v>8</v>
      </c>
      <c r="P217">
        <v>3.0180952380952299</v>
      </c>
      <c r="Q217" t="s">
        <v>9</v>
      </c>
      <c r="R217">
        <v>-0.791417910447761</v>
      </c>
      <c r="S217" t="s">
        <v>10</v>
      </c>
      <c r="T217">
        <v>0.32862056048887101</v>
      </c>
      <c r="U217" t="s">
        <v>11</v>
      </c>
      <c r="V217" t="s">
        <v>2708</v>
      </c>
      <c r="W217" t="s">
        <v>2013</v>
      </c>
      <c r="X217">
        <v>0</v>
      </c>
      <c r="Y217" t="s">
        <v>14</v>
      </c>
      <c r="Z217" t="s">
        <v>15</v>
      </c>
      <c r="AA217" t="s">
        <v>281</v>
      </c>
      <c r="AB217" t="s">
        <v>2013</v>
      </c>
      <c r="AC217">
        <v>0</v>
      </c>
      <c r="AD217" t="s">
        <v>18</v>
      </c>
    </row>
    <row r="218" spans="1:30" x14ac:dyDescent="0.3">
      <c r="A218" t="s">
        <v>2811</v>
      </c>
      <c r="B218" t="s">
        <v>1</v>
      </c>
      <c r="C218">
        <v>-0.3</v>
      </c>
      <c r="D218" t="s">
        <v>2</v>
      </c>
      <c r="E218" t="s">
        <v>2539</v>
      </c>
      <c r="F218" t="str">
        <f t="shared" si="3"/>
        <v xml:space="preserve">stoch_{'P' [('delta'-0.3 1)]}_[7 35]_1 </v>
      </c>
      <c r="G218" t="s">
        <v>2540</v>
      </c>
      <c r="H218">
        <v>375</v>
      </c>
      <c r="I218" t="s">
        <v>5</v>
      </c>
      <c r="J218">
        <v>98</v>
      </c>
      <c r="K218" t="s">
        <v>6</v>
      </c>
      <c r="L218">
        <v>-42.418549172182502</v>
      </c>
      <c r="M218" t="s">
        <v>7</v>
      </c>
      <c r="N218">
        <v>-0.11311613112582</v>
      </c>
      <c r="O218" t="s">
        <v>8</v>
      </c>
      <c r="P218">
        <v>3.4758163265306101</v>
      </c>
      <c r="Q218" t="s">
        <v>9</v>
      </c>
      <c r="R218">
        <v>-1.3828467479140101</v>
      </c>
      <c r="S218" t="s">
        <v>10</v>
      </c>
      <c r="T218">
        <v>1.3278489116733301</v>
      </c>
      <c r="U218" t="s">
        <v>11</v>
      </c>
      <c r="V218" t="s">
        <v>191</v>
      </c>
      <c r="W218" t="s">
        <v>2046</v>
      </c>
      <c r="X218">
        <v>0</v>
      </c>
      <c r="Y218" t="s">
        <v>14</v>
      </c>
      <c r="Z218" t="s">
        <v>15</v>
      </c>
      <c r="AA218" t="s">
        <v>2301</v>
      </c>
      <c r="AB218" t="s">
        <v>2046</v>
      </c>
      <c r="AC218">
        <v>0</v>
      </c>
      <c r="AD218" t="s">
        <v>18</v>
      </c>
    </row>
    <row r="219" spans="1:30" x14ac:dyDescent="0.3">
      <c r="A219" t="s">
        <v>2623</v>
      </c>
      <c r="B219" t="s">
        <v>1</v>
      </c>
      <c r="C219">
        <v>-0.2</v>
      </c>
      <c r="D219" t="s">
        <v>27</v>
      </c>
      <c r="E219" t="s">
        <v>2552</v>
      </c>
      <c r="F219" t="str">
        <f t="shared" si="3"/>
        <v xml:space="preserve">bbands_{'P' [('delta'-0.2 1)]}_[21 49]_2 </v>
      </c>
      <c r="G219" t="s">
        <v>2540</v>
      </c>
      <c r="H219">
        <v>178</v>
      </c>
      <c r="I219" t="s">
        <v>5</v>
      </c>
      <c r="J219">
        <v>24</v>
      </c>
      <c r="K219" t="s">
        <v>6</v>
      </c>
      <c r="L219">
        <v>-42.17</v>
      </c>
      <c r="M219" t="s">
        <v>7</v>
      </c>
      <c r="N219">
        <v>-0.23691011235955001</v>
      </c>
      <c r="O219" t="s">
        <v>8</v>
      </c>
      <c r="P219">
        <v>5.27708333333333</v>
      </c>
      <c r="Q219" t="s">
        <v>9</v>
      </c>
      <c r="R219">
        <v>-1.09623376623376</v>
      </c>
      <c r="S219" t="s">
        <v>10</v>
      </c>
      <c r="T219">
        <v>0.61390256116689501</v>
      </c>
      <c r="U219" t="s">
        <v>11</v>
      </c>
      <c r="V219" t="s">
        <v>2653</v>
      </c>
      <c r="W219" t="s">
        <v>2046</v>
      </c>
      <c r="X219">
        <v>0</v>
      </c>
      <c r="Y219" t="s">
        <v>14</v>
      </c>
      <c r="Z219" t="s">
        <v>15</v>
      </c>
      <c r="AA219" t="s">
        <v>2658</v>
      </c>
      <c r="AB219" t="s">
        <v>2046</v>
      </c>
      <c r="AC219">
        <v>0</v>
      </c>
      <c r="AD219" t="s">
        <v>18</v>
      </c>
    </row>
    <row r="220" spans="1:30" x14ac:dyDescent="0.3">
      <c r="A220" t="s">
        <v>2811</v>
      </c>
      <c r="B220" t="s">
        <v>1</v>
      </c>
      <c r="C220">
        <v>-0.4</v>
      </c>
      <c r="D220" t="s">
        <v>2</v>
      </c>
      <c r="E220" t="s">
        <v>2539</v>
      </c>
      <c r="F220" t="str">
        <f t="shared" si="3"/>
        <v xml:space="preserve">stoch_{'P' [('delta'-0.4 1)]}_[7 35]_1 </v>
      </c>
      <c r="G220" t="s">
        <v>2540</v>
      </c>
      <c r="H220">
        <v>375</v>
      </c>
      <c r="I220" t="s">
        <v>5</v>
      </c>
      <c r="J220">
        <v>104</v>
      </c>
      <c r="K220" t="s">
        <v>6</v>
      </c>
      <c r="L220">
        <v>-42.1400000000001</v>
      </c>
      <c r="M220" t="s">
        <v>7</v>
      </c>
      <c r="N220">
        <v>-0.11237333333333301</v>
      </c>
      <c r="O220" t="s">
        <v>8</v>
      </c>
      <c r="P220">
        <v>4.6878846153846103</v>
      </c>
      <c r="Q220" t="s">
        <v>9</v>
      </c>
      <c r="R220">
        <v>-1.9545387453874501</v>
      </c>
      <c r="S220" t="s">
        <v>10</v>
      </c>
      <c r="T220">
        <v>1.8689998796962699</v>
      </c>
      <c r="U220" t="s">
        <v>11</v>
      </c>
      <c r="V220" t="s">
        <v>2624</v>
      </c>
      <c r="W220" t="s">
        <v>2046</v>
      </c>
      <c r="X220">
        <v>0</v>
      </c>
      <c r="Y220" t="s">
        <v>14</v>
      </c>
      <c r="Z220" t="s">
        <v>15</v>
      </c>
      <c r="AA220" t="s">
        <v>2812</v>
      </c>
      <c r="AB220" t="s">
        <v>2533</v>
      </c>
      <c r="AC220">
        <v>0</v>
      </c>
      <c r="AD220" t="s">
        <v>18</v>
      </c>
    </row>
    <row r="221" spans="1:30" x14ac:dyDescent="0.3">
      <c r="A221" t="s">
        <v>2811</v>
      </c>
      <c r="B221" t="s">
        <v>1</v>
      </c>
      <c r="C221">
        <v>-0.2</v>
      </c>
      <c r="D221" t="s">
        <v>2</v>
      </c>
      <c r="E221" t="s">
        <v>2539</v>
      </c>
      <c r="F221" t="str">
        <f t="shared" si="3"/>
        <v xml:space="preserve">stoch_{'P' [('delta'-0.2 1)]}_[7 35]_1 </v>
      </c>
      <c r="G221" t="s">
        <v>2540</v>
      </c>
      <c r="H221">
        <v>375</v>
      </c>
      <c r="I221" t="s">
        <v>5</v>
      </c>
      <c r="J221">
        <v>85</v>
      </c>
      <c r="K221" t="s">
        <v>6</v>
      </c>
      <c r="L221">
        <v>-42.108498342654499</v>
      </c>
      <c r="M221" t="s">
        <v>7</v>
      </c>
      <c r="N221">
        <v>-0.112289328913745</v>
      </c>
      <c r="O221" t="s">
        <v>8</v>
      </c>
      <c r="P221">
        <v>2.4625882352941102</v>
      </c>
      <c r="Q221" t="s">
        <v>9</v>
      </c>
      <c r="R221">
        <v>-0.86699482187122201</v>
      </c>
      <c r="S221" t="s">
        <v>10</v>
      </c>
      <c r="T221">
        <v>0.89933213225378095</v>
      </c>
      <c r="U221" t="s">
        <v>11</v>
      </c>
      <c r="V221" t="s">
        <v>2108</v>
      </c>
      <c r="W221" t="s">
        <v>2046</v>
      </c>
      <c r="X221">
        <v>0</v>
      </c>
      <c r="Y221" t="s">
        <v>14</v>
      </c>
      <c r="Z221" t="s">
        <v>15</v>
      </c>
      <c r="AA221" t="s">
        <v>2830</v>
      </c>
      <c r="AB221" t="s">
        <v>2046</v>
      </c>
      <c r="AC221">
        <v>0</v>
      </c>
      <c r="AD221" t="s">
        <v>18</v>
      </c>
    </row>
    <row r="222" spans="1:30" x14ac:dyDescent="0.3">
      <c r="A222" t="s">
        <v>2858</v>
      </c>
      <c r="B222" t="s">
        <v>1</v>
      </c>
      <c r="C222">
        <v>-0.1</v>
      </c>
      <c r="D222" t="s">
        <v>2174</v>
      </c>
      <c r="E222" t="s">
        <v>2559</v>
      </c>
      <c r="F222" t="str">
        <f t="shared" si="3"/>
        <v xml:space="preserve">stoch_no_highvol_{'P' [('delta'-0.1 1)]}_[42 70]_1 </v>
      </c>
      <c r="G222" t="s">
        <v>2540</v>
      </c>
      <c r="H222">
        <v>331</v>
      </c>
      <c r="I222" t="s">
        <v>5</v>
      </c>
      <c r="J222">
        <v>74</v>
      </c>
      <c r="K222" t="s">
        <v>6</v>
      </c>
      <c r="L222">
        <v>-42.081500846768598</v>
      </c>
      <c r="M222" t="s">
        <v>7</v>
      </c>
      <c r="N222">
        <v>-0.12713444364582599</v>
      </c>
      <c r="O222" t="s">
        <v>8</v>
      </c>
      <c r="P222">
        <v>1.56391891891891</v>
      </c>
      <c r="Q222" t="s">
        <v>9</v>
      </c>
      <c r="R222">
        <v>-0.61405253247769898</v>
      </c>
      <c r="S222" t="s">
        <v>10</v>
      </c>
      <c r="T222">
        <v>0.45770371229442902</v>
      </c>
      <c r="U222" t="s">
        <v>11</v>
      </c>
      <c r="V222" t="s">
        <v>256</v>
      </c>
      <c r="W222" t="s">
        <v>2888</v>
      </c>
      <c r="X222">
        <v>0</v>
      </c>
      <c r="Y222" t="s">
        <v>14</v>
      </c>
      <c r="Z222" t="s">
        <v>15</v>
      </c>
      <c r="AA222" t="s">
        <v>290</v>
      </c>
      <c r="AB222" t="s">
        <v>1431</v>
      </c>
      <c r="AC222">
        <v>0</v>
      </c>
      <c r="AD222" t="s">
        <v>18</v>
      </c>
    </row>
    <row r="223" spans="1:30" x14ac:dyDescent="0.3">
      <c r="A223" t="s">
        <v>2777</v>
      </c>
      <c r="B223" t="s">
        <v>1</v>
      </c>
      <c r="C223">
        <v>-0.4</v>
      </c>
      <c r="D223" t="s">
        <v>27</v>
      </c>
      <c r="E223" t="s">
        <v>2558</v>
      </c>
      <c r="F223" t="str">
        <f t="shared" si="3"/>
        <v xml:space="preserve">rsi_{'P' [('delta'-0.4 1)]}_[21 49]_6 </v>
      </c>
      <c r="G223" t="s">
        <v>2540</v>
      </c>
      <c r="H223">
        <v>128</v>
      </c>
      <c r="I223" t="s">
        <v>5</v>
      </c>
      <c r="J223">
        <v>25</v>
      </c>
      <c r="K223" t="s">
        <v>6</v>
      </c>
      <c r="L223">
        <v>-41.869999999999898</v>
      </c>
      <c r="M223" t="s">
        <v>7</v>
      </c>
      <c r="N223">
        <v>-0.32710937499999898</v>
      </c>
      <c r="O223" t="s">
        <v>8</v>
      </c>
      <c r="P223">
        <v>8.5411999999999999</v>
      </c>
      <c r="Q223" t="s">
        <v>9</v>
      </c>
      <c r="R223">
        <v>-2.4796116504854302</v>
      </c>
      <c r="S223" t="s">
        <v>10</v>
      </c>
      <c r="T223">
        <v>1.2376990729523001</v>
      </c>
      <c r="U223" t="s">
        <v>11</v>
      </c>
      <c r="V223" t="s">
        <v>2781</v>
      </c>
      <c r="W223" t="s">
        <v>2695</v>
      </c>
      <c r="X223">
        <v>0</v>
      </c>
      <c r="Y223" t="s">
        <v>14</v>
      </c>
      <c r="Z223" t="s">
        <v>15</v>
      </c>
      <c r="AA223" t="s">
        <v>2780</v>
      </c>
      <c r="AB223" t="s">
        <v>2554</v>
      </c>
      <c r="AC223">
        <v>0</v>
      </c>
      <c r="AD223" t="s">
        <v>18</v>
      </c>
    </row>
    <row r="224" spans="1:30" x14ac:dyDescent="0.3">
      <c r="A224" t="s">
        <v>2777</v>
      </c>
      <c r="B224" t="s">
        <v>1</v>
      </c>
      <c r="C224">
        <v>-0.1</v>
      </c>
      <c r="D224" t="s">
        <v>2174</v>
      </c>
      <c r="E224" t="s">
        <v>2562</v>
      </c>
      <c r="F224" t="str">
        <f t="shared" si="3"/>
        <v xml:space="preserve">rsi_{'P' [('delta'-0.1 1)]}_[42 70]_2 </v>
      </c>
      <c r="G224" t="s">
        <v>2540</v>
      </c>
      <c r="H224">
        <v>127</v>
      </c>
      <c r="I224" t="s">
        <v>5</v>
      </c>
      <c r="J224">
        <v>13</v>
      </c>
      <c r="K224" t="s">
        <v>6</v>
      </c>
      <c r="L224">
        <v>-41.557047340626902</v>
      </c>
      <c r="M224" t="s">
        <v>7</v>
      </c>
      <c r="N224">
        <v>-0.32722084520178701</v>
      </c>
      <c r="O224" t="s">
        <v>8</v>
      </c>
      <c r="P224">
        <v>2.3567256798276501</v>
      </c>
      <c r="Q224" t="s">
        <v>9</v>
      </c>
      <c r="R224">
        <v>-0.63328492261742497</v>
      </c>
      <c r="S224" t="s">
        <v>10</v>
      </c>
      <c r="T224">
        <v>0.23544053524884501</v>
      </c>
      <c r="U224" t="s">
        <v>11</v>
      </c>
      <c r="V224" t="s">
        <v>2806</v>
      </c>
      <c r="W224" t="s">
        <v>2582</v>
      </c>
      <c r="X224">
        <v>0</v>
      </c>
      <c r="Y224" t="s">
        <v>14</v>
      </c>
      <c r="Z224" t="s">
        <v>15</v>
      </c>
      <c r="AA224" t="s">
        <v>2810</v>
      </c>
      <c r="AB224" t="s">
        <v>2582</v>
      </c>
      <c r="AC224">
        <v>0</v>
      </c>
      <c r="AD224" t="s">
        <v>18</v>
      </c>
    </row>
    <row r="225" spans="1:30" x14ac:dyDescent="0.3">
      <c r="A225" t="s">
        <v>2728</v>
      </c>
      <c r="B225" t="s">
        <v>1</v>
      </c>
      <c r="C225">
        <v>-0.3</v>
      </c>
      <c r="D225" t="s">
        <v>2174</v>
      </c>
      <c r="E225" t="s">
        <v>2559</v>
      </c>
      <c r="F225" t="str">
        <f t="shared" si="3"/>
        <v xml:space="preserve">psar_{'P' [('delta'-0.3 1)]}_[42 70]_1 </v>
      </c>
      <c r="G225" t="s">
        <v>2540</v>
      </c>
      <c r="H225">
        <v>139</v>
      </c>
      <c r="I225" t="s">
        <v>5</v>
      </c>
      <c r="J225">
        <v>38</v>
      </c>
      <c r="K225" t="s">
        <v>6</v>
      </c>
      <c r="L225">
        <v>-41.379999999999903</v>
      </c>
      <c r="M225" t="s">
        <v>7</v>
      </c>
      <c r="N225">
        <v>-0.29769784172661801</v>
      </c>
      <c r="O225" t="s">
        <v>8</v>
      </c>
      <c r="P225">
        <v>4.92315789473684</v>
      </c>
      <c r="Q225" t="s">
        <v>9</v>
      </c>
      <c r="R225">
        <v>-2.2619801980198</v>
      </c>
      <c r="S225" t="s">
        <v>10</v>
      </c>
      <c r="T225">
        <v>0.72684225637550204</v>
      </c>
      <c r="U225" t="s">
        <v>11</v>
      </c>
      <c r="V225" t="s">
        <v>2740</v>
      </c>
      <c r="W225" t="s">
        <v>2587</v>
      </c>
      <c r="X225">
        <v>0</v>
      </c>
      <c r="Y225" t="s">
        <v>14</v>
      </c>
      <c r="Z225" t="s">
        <v>15</v>
      </c>
      <c r="AA225" t="s">
        <v>2740</v>
      </c>
      <c r="AB225" t="s">
        <v>2587</v>
      </c>
      <c r="AC225">
        <v>0</v>
      </c>
      <c r="AD225" t="s">
        <v>18</v>
      </c>
    </row>
    <row r="226" spans="1:30" x14ac:dyDescent="0.3">
      <c r="A226" t="s">
        <v>2858</v>
      </c>
      <c r="B226" t="s">
        <v>1</v>
      </c>
      <c r="C226">
        <v>-0.3</v>
      </c>
      <c r="D226" t="s">
        <v>2</v>
      </c>
      <c r="E226" t="s">
        <v>2539</v>
      </c>
      <c r="F226" t="str">
        <f t="shared" si="3"/>
        <v xml:space="preserve">stoch_no_highvol_{'P' [('delta'-0.3 1)]}_[7 35]_1 </v>
      </c>
      <c r="G226" t="s">
        <v>2540</v>
      </c>
      <c r="H226">
        <v>334</v>
      </c>
      <c r="I226" t="s">
        <v>5</v>
      </c>
      <c r="J226">
        <v>86</v>
      </c>
      <c r="K226" t="s">
        <v>6</v>
      </c>
      <c r="L226">
        <v>-40.94</v>
      </c>
      <c r="M226" t="s">
        <v>7</v>
      </c>
      <c r="N226">
        <v>-0.122574850299401</v>
      </c>
      <c r="O226" t="s">
        <v>8</v>
      </c>
      <c r="P226">
        <v>3.1524418604651099</v>
      </c>
      <c r="Q226" t="s">
        <v>9</v>
      </c>
      <c r="R226">
        <v>-1.2582661290322501</v>
      </c>
      <c r="S226" t="s">
        <v>10</v>
      </c>
      <c r="T226">
        <v>1.03478708011482</v>
      </c>
      <c r="U226" t="s">
        <v>11</v>
      </c>
      <c r="V226" t="s">
        <v>1972</v>
      </c>
      <c r="W226" t="s">
        <v>2859</v>
      </c>
      <c r="X226">
        <v>0</v>
      </c>
      <c r="Y226" t="s">
        <v>14</v>
      </c>
      <c r="Z226" t="s">
        <v>15</v>
      </c>
      <c r="AA226" t="s">
        <v>2873</v>
      </c>
      <c r="AB226" t="s">
        <v>2874</v>
      </c>
      <c r="AC226">
        <v>0</v>
      </c>
      <c r="AD226" t="s">
        <v>18</v>
      </c>
    </row>
    <row r="227" spans="1:30" x14ac:dyDescent="0.3">
      <c r="A227" t="s">
        <v>2777</v>
      </c>
      <c r="B227" t="s">
        <v>1</v>
      </c>
      <c r="C227">
        <v>-0.4</v>
      </c>
      <c r="D227" t="s">
        <v>2</v>
      </c>
      <c r="E227" t="s">
        <v>2543</v>
      </c>
      <c r="F227" t="str">
        <f t="shared" si="3"/>
        <v xml:space="preserve">rsi_{'P' [('delta'-0.4 1)]}_[7 35]_2 </v>
      </c>
      <c r="G227" t="s">
        <v>2540</v>
      </c>
      <c r="H227">
        <v>136</v>
      </c>
      <c r="I227" t="s">
        <v>5</v>
      </c>
      <c r="J227">
        <v>31</v>
      </c>
      <c r="K227" t="s">
        <v>6</v>
      </c>
      <c r="L227">
        <v>-40.869999999999997</v>
      </c>
      <c r="M227" t="s">
        <v>7</v>
      </c>
      <c r="N227">
        <v>-0.30051470588235302</v>
      </c>
      <c r="O227" t="s">
        <v>8</v>
      </c>
      <c r="P227">
        <v>5.1093548387096703</v>
      </c>
      <c r="Q227" t="s">
        <v>9</v>
      </c>
      <c r="R227">
        <v>-1.8977142857142799</v>
      </c>
      <c r="S227" t="s">
        <v>10</v>
      </c>
      <c r="T227">
        <v>0.71297037849741296</v>
      </c>
      <c r="U227" t="s">
        <v>11</v>
      </c>
      <c r="V227" t="s">
        <v>2778</v>
      </c>
      <c r="W227" t="s">
        <v>2631</v>
      </c>
      <c r="X227">
        <v>0</v>
      </c>
      <c r="Y227" t="s">
        <v>14</v>
      </c>
      <c r="Z227" t="s">
        <v>15</v>
      </c>
      <c r="AA227" t="s">
        <v>2535</v>
      </c>
      <c r="AB227" t="s">
        <v>2249</v>
      </c>
      <c r="AC227">
        <v>0</v>
      </c>
      <c r="AD227" t="s">
        <v>18</v>
      </c>
    </row>
    <row r="228" spans="1:30" x14ac:dyDescent="0.3">
      <c r="A228" t="s">
        <v>2728</v>
      </c>
      <c r="B228" t="s">
        <v>1</v>
      </c>
      <c r="C228">
        <v>-0.2</v>
      </c>
      <c r="D228" t="s">
        <v>2174</v>
      </c>
      <c r="E228" t="s">
        <v>2565</v>
      </c>
      <c r="F228" t="str">
        <f t="shared" si="3"/>
        <v xml:space="preserve">psar_{'P' [('delta'-0.2 1)]}_[42 70]_4 </v>
      </c>
      <c r="G228" t="s">
        <v>2540</v>
      </c>
      <c r="H228">
        <v>139</v>
      </c>
      <c r="I228" t="s">
        <v>5</v>
      </c>
      <c r="J228">
        <v>13</v>
      </c>
      <c r="K228" t="s">
        <v>6</v>
      </c>
      <c r="L228">
        <v>-40.649859735703501</v>
      </c>
      <c r="M228" t="s">
        <v>7</v>
      </c>
      <c r="N228">
        <v>-0.29244503406980898</v>
      </c>
      <c r="O228" t="s">
        <v>8</v>
      </c>
      <c r="P228">
        <v>11.0592307692307</v>
      </c>
      <c r="Q228" t="s">
        <v>9</v>
      </c>
      <c r="R228">
        <v>-1.46364968044209</v>
      </c>
      <c r="S228" t="s">
        <v>10</v>
      </c>
      <c r="T228">
        <v>0.77018660001369998</v>
      </c>
      <c r="U228" t="s">
        <v>11</v>
      </c>
      <c r="V228" t="s">
        <v>2746</v>
      </c>
      <c r="W228" t="s">
        <v>2568</v>
      </c>
      <c r="X228">
        <v>0</v>
      </c>
      <c r="Y228" t="s">
        <v>14</v>
      </c>
      <c r="Z228" t="s">
        <v>15</v>
      </c>
      <c r="AA228" t="s">
        <v>2730</v>
      </c>
      <c r="AB228" t="s">
        <v>2564</v>
      </c>
      <c r="AC228">
        <v>0</v>
      </c>
      <c r="AD228" t="s">
        <v>18</v>
      </c>
    </row>
    <row r="229" spans="1:30" x14ac:dyDescent="0.3">
      <c r="A229" t="s">
        <v>2728</v>
      </c>
      <c r="B229" t="s">
        <v>1</v>
      </c>
      <c r="C229">
        <v>-0.4</v>
      </c>
      <c r="D229" t="s">
        <v>2174</v>
      </c>
      <c r="E229" t="s">
        <v>2565</v>
      </c>
      <c r="F229" t="str">
        <f t="shared" si="3"/>
        <v xml:space="preserve">psar_{'P' [('delta'-0.4 1)]}_[42 70]_4 </v>
      </c>
      <c r="G229" t="s">
        <v>2540</v>
      </c>
      <c r="H229">
        <v>139</v>
      </c>
      <c r="I229" t="s">
        <v>5</v>
      </c>
      <c r="J229">
        <v>27</v>
      </c>
      <c r="K229" t="s">
        <v>6</v>
      </c>
      <c r="L229">
        <v>-40.616012507632803</v>
      </c>
      <c r="M229" t="s">
        <v>7</v>
      </c>
      <c r="N229">
        <v>-0.29220152883189099</v>
      </c>
      <c r="O229" t="s">
        <v>8</v>
      </c>
      <c r="P229">
        <v>11.7107407407407</v>
      </c>
      <c r="Q229" t="s">
        <v>9</v>
      </c>
      <c r="R229">
        <v>-3.1857679688181499</v>
      </c>
      <c r="S229" t="s">
        <v>10</v>
      </c>
      <c r="T229">
        <v>1.5220703159790601</v>
      </c>
      <c r="U229" t="s">
        <v>11</v>
      </c>
      <c r="V229" t="s">
        <v>2736</v>
      </c>
      <c r="W229" t="s">
        <v>2734</v>
      </c>
      <c r="X229">
        <v>0</v>
      </c>
      <c r="Y229" t="s">
        <v>14</v>
      </c>
      <c r="Z229" t="s">
        <v>15</v>
      </c>
      <c r="AA229" t="s">
        <v>2735</v>
      </c>
      <c r="AB229" t="s">
        <v>2564</v>
      </c>
      <c r="AC229">
        <v>0</v>
      </c>
      <c r="AD229" t="s">
        <v>18</v>
      </c>
    </row>
    <row r="230" spans="1:30" x14ac:dyDescent="0.3">
      <c r="A230" t="s">
        <v>2623</v>
      </c>
      <c r="B230" t="s">
        <v>1</v>
      </c>
      <c r="C230">
        <v>-0.1</v>
      </c>
      <c r="D230" t="s">
        <v>2174</v>
      </c>
      <c r="E230" t="s">
        <v>2562</v>
      </c>
      <c r="F230" t="str">
        <f t="shared" si="3"/>
        <v xml:space="preserve">bbands_{'P' [('delta'-0.1 1)]}_[42 70]_2 </v>
      </c>
      <c r="G230" t="s">
        <v>2540</v>
      </c>
      <c r="H230">
        <v>167</v>
      </c>
      <c r="I230" t="s">
        <v>5</v>
      </c>
      <c r="J230">
        <v>23</v>
      </c>
      <c r="K230" t="s">
        <v>6</v>
      </c>
      <c r="L230">
        <v>-40.459999999999901</v>
      </c>
      <c r="M230" t="s">
        <v>7</v>
      </c>
      <c r="N230">
        <v>-0.24227544910179599</v>
      </c>
      <c r="O230" t="s">
        <v>8</v>
      </c>
      <c r="P230">
        <v>2.4621739130434701</v>
      </c>
      <c r="Q230" t="s">
        <v>9</v>
      </c>
      <c r="R230">
        <v>-0.67423611111111104</v>
      </c>
      <c r="S230" t="s">
        <v>10</v>
      </c>
      <c r="T230">
        <v>0.39929323765188202</v>
      </c>
      <c r="U230" t="s">
        <v>11</v>
      </c>
      <c r="V230" t="s">
        <v>2679</v>
      </c>
      <c r="W230" t="s">
        <v>2631</v>
      </c>
      <c r="X230">
        <v>0</v>
      </c>
      <c r="Y230" t="s">
        <v>14</v>
      </c>
      <c r="Z230" t="s">
        <v>15</v>
      </c>
      <c r="AA230" t="s">
        <v>2678</v>
      </c>
      <c r="AB230" t="s">
        <v>2046</v>
      </c>
      <c r="AC230">
        <v>0</v>
      </c>
      <c r="AD230" t="s">
        <v>18</v>
      </c>
    </row>
    <row r="231" spans="1:30" x14ac:dyDescent="0.3">
      <c r="A231" t="s">
        <v>2777</v>
      </c>
      <c r="B231" t="s">
        <v>1</v>
      </c>
      <c r="C231">
        <v>-0.2</v>
      </c>
      <c r="D231" t="s">
        <v>2174</v>
      </c>
      <c r="E231" t="s">
        <v>2559</v>
      </c>
      <c r="F231" t="str">
        <f t="shared" si="3"/>
        <v xml:space="preserve">rsi_{'P' [('delta'-0.2 1)]}_[42 70]_1 </v>
      </c>
      <c r="G231" t="s">
        <v>2540</v>
      </c>
      <c r="H231">
        <v>127</v>
      </c>
      <c r="I231" t="s">
        <v>5</v>
      </c>
      <c r="J231">
        <v>29</v>
      </c>
      <c r="K231" t="s">
        <v>6</v>
      </c>
      <c r="L231">
        <v>-40.392887693364202</v>
      </c>
      <c r="M231" t="s">
        <v>7</v>
      </c>
      <c r="N231">
        <v>-0.31805423380601699</v>
      </c>
      <c r="O231" t="s">
        <v>8</v>
      </c>
      <c r="P231">
        <v>3.1751724137931001</v>
      </c>
      <c r="Q231" t="s">
        <v>9</v>
      </c>
      <c r="R231">
        <v>-1.3517641601363599</v>
      </c>
      <c r="S231" t="s">
        <v>10</v>
      </c>
      <c r="T231">
        <v>0.424205706839001</v>
      </c>
      <c r="U231" t="s">
        <v>11</v>
      </c>
      <c r="V231" t="s">
        <v>2797</v>
      </c>
      <c r="W231" t="s">
        <v>2631</v>
      </c>
      <c r="X231">
        <v>0</v>
      </c>
      <c r="Y231" t="s">
        <v>14</v>
      </c>
      <c r="Z231" t="s">
        <v>15</v>
      </c>
      <c r="AA231" t="s">
        <v>2801</v>
      </c>
      <c r="AB231" t="s">
        <v>2249</v>
      </c>
      <c r="AC231">
        <v>0</v>
      </c>
      <c r="AD231" t="s">
        <v>18</v>
      </c>
    </row>
    <row r="232" spans="1:30" x14ac:dyDescent="0.3">
      <c r="A232" t="s">
        <v>2858</v>
      </c>
      <c r="B232" t="s">
        <v>1</v>
      </c>
      <c r="C232">
        <v>-0.1</v>
      </c>
      <c r="D232" t="s">
        <v>27</v>
      </c>
      <c r="E232" t="s">
        <v>2550</v>
      </c>
      <c r="F232" t="str">
        <f t="shared" si="3"/>
        <v xml:space="preserve">stoch_no_highvol_{'P' [('delta'-0.1 1)]}_[21 49]_1 </v>
      </c>
      <c r="G232" t="s">
        <v>2540</v>
      </c>
      <c r="H232">
        <v>335</v>
      </c>
      <c r="I232" t="s">
        <v>5</v>
      </c>
      <c r="J232">
        <v>62</v>
      </c>
      <c r="K232" t="s">
        <v>6</v>
      </c>
      <c r="L232">
        <v>-40.049999999999898</v>
      </c>
      <c r="M232" t="s">
        <v>7</v>
      </c>
      <c r="N232">
        <v>-0.11955223880597</v>
      </c>
      <c r="O232" t="s">
        <v>8</v>
      </c>
      <c r="P232">
        <v>1.38822580645161</v>
      </c>
      <c r="Q232" t="s">
        <v>9</v>
      </c>
      <c r="R232">
        <v>-0.46197802197802101</v>
      </c>
      <c r="S232" t="s">
        <v>10</v>
      </c>
      <c r="T232">
        <v>0.36989237925906898</v>
      </c>
      <c r="U232" t="s">
        <v>11</v>
      </c>
      <c r="V232" t="s">
        <v>2894</v>
      </c>
      <c r="W232" t="s">
        <v>2859</v>
      </c>
      <c r="X232">
        <v>0</v>
      </c>
      <c r="Y232" t="s">
        <v>14</v>
      </c>
      <c r="Z232" t="s">
        <v>15</v>
      </c>
      <c r="AA232" t="s">
        <v>2898</v>
      </c>
      <c r="AB232" t="s">
        <v>2889</v>
      </c>
      <c r="AC232">
        <v>0</v>
      </c>
      <c r="AD232" t="s">
        <v>18</v>
      </c>
    </row>
    <row r="233" spans="1:30" x14ac:dyDescent="0.3">
      <c r="A233" t="s">
        <v>2777</v>
      </c>
      <c r="B233" t="s">
        <v>1</v>
      </c>
      <c r="C233">
        <v>-0.2</v>
      </c>
      <c r="D233" t="s">
        <v>2</v>
      </c>
      <c r="E233" t="s">
        <v>2543</v>
      </c>
      <c r="F233" t="str">
        <f t="shared" si="3"/>
        <v xml:space="preserve">rsi_{'P' [('delta'-0.2 1)]}_[7 35]_2 </v>
      </c>
      <c r="G233" t="s">
        <v>2540</v>
      </c>
      <c r="H233">
        <v>136</v>
      </c>
      <c r="I233" t="s">
        <v>5</v>
      </c>
      <c r="J233">
        <v>19</v>
      </c>
      <c r="K233" t="s">
        <v>6</v>
      </c>
      <c r="L233">
        <v>-39.89</v>
      </c>
      <c r="M233" t="s">
        <v>7</v>
      </c>
      <c r="N233">
        <v>-0.29330882352941101</v>
      </c>
      <c r="O233" t="s">
        <v>8</v>
      </c>
      <c r="P233">
        <v>2.88894736842105</v>
      </c>
      <c r="Q233" t="s">
        <v>9</v>
      </c>
      <c r="R233">
        <v>-0.81008547008547005</v>
      </c>
      <c r="S233" t="s">
        <v>10</v>
      </c>
      <c r="T233">
        <v>0.31195430589698903</v>
      </c>
      <c r="U233" t="s">
        <v>11</v>
      </c>
      <c r="V233" t="s">
        <v>2794</v>
      </c>
      <c r="W233" t="s">
        <v>2631</v>
      </c>
      <c r="X233">
        <v>0</v>
      </c>
      <c r="Y233" t="s">
        <v>14</v>
      </c>
      <c r="Z233" t="s">
        <v>15</v>
      </c>
      <c r="AA233" t="s">
        <v>2795</v>
      </c>
      <c r="AB233" t="s">
        <v>2249</v>
      </c>
      <c r="AC233">
        <v>0</v>
      </c>
      <c r="AD233" t="s">
        <v>18</v>
      </c>
    </row>
    <row r="234" spans="1:30" x14ac:dyDescent="0.3">
      <c r="A234" t="s">
        <v>2623</v>
      </c>
      <c r="B234" t="s">
        <v>1</v>
      </c>
      <c r="C234">
        <v>-0.1</v>
      </c>
      <c r="D234" t="s">
        <v>2</v>
      </c>
      <c r="E234" t="s">
        <v>2545</v>
      </c>
      <c r="F234" t="str">
        <f t="shared" si="3"/>
        <v xml:space="preserve">bbands_{'P' [('delta'-0.1 1)]}_[7 35]_4 </v>
      </c>
      <c r="G234" t="s">
        <v>2540</v>
      </c>
      <c r="H234">
        <v>169</v>
      </c>
      <c r="I234" t="s">
        <v>5</v>
      </c>
      <c r="J234">
        <v>9</v>
      </c>
      <c r="K234" t="s">
        <v>6</v>
      </c>
      <c r="L234">
        <v>-39.85</v>
      </c>
      <c r="M234" t="s">
        <v>7</v>
      </c>
      <c r="N234">
        <v>-0.23579881656804699</v>
      </c>
      <c r="O234" t="s">
        <v>8</v>
      </c>
      <c r="P234">
        <v>3.1733333333333298</v>
      </c>
      <c r="Q234" t="s">
        <v>9</v>
      </c>
      <c r="R234">
        <v>-0.42756250000000001</v>
      </c>
      <c r="S234" t="s">
        <v>10</v>
      </c>
      <c r="T234">
        <v>0.24559335184158701</v>
      </c>
      <c r="U234" t="s">
        <v>11</v>
      </c>
      <c r="V234" t="s">
        <v>2669</v>
      </c>
      <c r="W234" t="s">
        <v>2627</v>
      </c>
    </row>
    <row r="235" spans="1:30" x14ac:dyDescent="0.3">
      <c r="A235" t="s">
        <v>2777</v>
      </c>
      <c r="B235" t="s">
        <v>1</v>
      </c>
      <c r="C235">
        <v>-0.3</v>
      </c>
      <c r="D235" t="s">
        <v>2</v>
      </c>
      <c r="E235" t="s">
        <v>2539</v>
      </c>
      <c r="F235" t="str">
        <f t="shared" si="3"/>
        <v xml:space="preserve">rsi_{'P' [('delta'-0.3 1)]}_[7 35]_1 </v>
      </c>
      <c r="G235" t="s">
        <v>2540</v>
      </c>
      <c r="H235">
        <v>136</v>
      </c>
      <c r="I235" t="s">
        <v>5</v>
      </c>
      <c r="J235">
        <v>36</v>
      </c>
      <c r="K235" t="s">
        <v>6</v>
      </c>
      <c r="L235">
        <v>-39.779999999999902</v>
      </c>
      <c r="M235" t="s">
        <v>7</v>
      </c>
      <c r="N235">
        <v>-0.29249999999999998</v>
      </c>
      <c r="O235" t="s">
        <v>8</v>
      </c>
      <c r="P235">
        <v>2.4311111111111101</v>
      </c>
      <c r="Q235" t="s">
        <v>9</v>
      </c>
      <c r="R235">
        <v>-1.2729999999999999</v>
      </c>
      <c r="S235" t="s">
        <v>10</v>
      </c>
      <c r="T235">
        <v>0.36717478545012699</v>
      </c>
      <c r="U235" t="s">
        <v>11</v>
      </c>
      <c r="V235" t="s">
        <v>191</v>
      </c>
      <c r="W235" t="s">
        <v>2631</v>
      </c>
      <c r="X235">
        <v>0</v>
      </c>
      <c r="Y235" t="s">
        <v>14</v>
      </c>
      <c r="Z235" t="s">
        <v>15</v>
      </c>
      <c r="AA235" t="s">
        <v>191</v>
      </c>
      <c r="AB235" t="s">
        <v>2631</v>
      </c>
      <c r="AC235">
        <v>0</v>
      </c>
      <c r="AD235" t="s">
        <v>18</v>
      </c>
    </row>
    <row r="236" spans="1:30" x14ac:dyDescent="0.3">
      <c r="A236" t="s">
        <v>2752</v>
      </c>
      <c r="B236" t="s">
        <v>1</v>
      </c>
      <c r="C236">
        <v>-0.4</v>
      </c>
      <c r="D236" t="s">
        <v>2174</v>
      </c>
      <c r="E236" t="s">
        <v>2569</v>
      </c>
      <c r="F236" t="str">
        <f t="shared" si="3"/>
        <v xml:space="preserve">psar_no_highvol_{'P' [('delta'-0.4 1)]}_[42 70]_6 </v>
      </c>
      <c r="G236" t="s">
        <v>2540</v>
      </c>
      <c r="H236">
        <v>130</v>
      </c>
      <c r="I236" t="s">
        <v>5</v>
      </c>
      <c r="J236">
        <v>27</v>
      </c>
      <c r="K236" t="s">
        <v>6</v>
      </c>
      <c r="L236">
        <v>-39.091577945848201</v>
      </c>
      <c r="M236" t="s">
        <v>7</v>
      </c>
      <c r="N236">
        <v>-0.30070444573729399</v>
      </c>
      <c r="O236" t="s">
        <v>8</v>
      </c>
      <c r="P236">
        <v>9.8681481481481406</v>
      </c>
      <c r="Q236" t="s">
        <v>9</v>
      </c>
      <c r="R236">
        <v>-2.9663259994742499</v>
      </c>
      <c r="S236" t="s">
        <v>10</v>
      </c>
      <c r="T236">
        <v>1.47116684175015</v>
      </c>
      <c r="U236" t="s">
        <v>11</v>
      </c>
      <c r="V236" t="s">
        <v>2736</v>
      </c>
      <c r="W236" t="s">
        <v>2734</v>
      </c>
      <c r="X236">
        <v>0</v>
      </c>
      <c r="Y236" t="s">
        <v>14</v>
      </c>
      <c r="Z236" t="s">
        <v>15</v>
      </c>
      <c r="AA236" t="s">
        <v>2629</v>
      </c>
      <c r="AB236" t="s">
        <v>1350</v>
      </c>
      <c r="AC236">
        <v>0</v>
      </c>
      <c r="AD236" t="s">
        <v>18</v>
      </c>
    </row>
    <row r="237" spans="1:30" x14ac:dyDescent="0.3">
      <c r="A237" t="s">
        <v>2728</v>
      </c>
      <c r="B237" t="s">
        <v>1</v>
      </c>
      <c r="C237">
        <v>-0.3</v>
      </c>
      <c r="D237" t="s">
        <v>2174</v>
      </c>
      <c r="E237" t="s">
        <v>2565</v>
      </c>
      <c r="F237" t="str">
        <f t="shared" si="3"/>
        <v xml:space="preserve">psar_{'P' [('delta'-0.3 1)]}_[42 70]_4 </v>
      </c>
      <c r="G237" t="s">
        <v>2540</v>
      </c>
      <c r="H237">
        <v>139</v>
      </c>
      <c r="I237" t="s">
        <v>5</v>
      </c>
      <c r="J237">
        <v>19</v>
      </c>
      <c r="K237" t="s">
        <v>6</v>
      </c>
      <c r="L237">
        <v>-39.01</v>
      </c>
      <c r="M237" t="s">
        <v>7</v>
      </c>
      <c r="N237">
        <v>-0.28064748201438899</v>
      </c>
      <c r="O237" t="s">
        <v>8</v>
      </c>
      <c r="P237">
        <v>12.1005263157894</v>
      </c>
      <c r="Q237" t="s">
        <v>9</v>
      </c>
      <c r="R237">
        <v>-2.2409999999999899</v>
      </c>
      <c r="S237" t="s">
        <v>10</v>
      </c>
      <c r="T237">
        <v>1.1422138111008699</v>
      </c>
      <c r="U237" t="s">
        <v>11</v>
      </c>
      <c r="V237" t="s">
        <v>2742</v>
      </c>
      <c r="W237" t="s">
        <v>2587</v>
      </c>
      <c r="X237">
        <v>0</v>
      </c>
      <c r="Y237" t="s">
        <v>14</v>
      </c>
      <c r="Z237" t="s">
        <v>15</v>
      </c>
      <c r="AA237" t="s">
        <v>2742</v>
      </c>
      <c r="AB237" t="s">
        <v>2587</v>
      </c>
      <c r="AC237">
        <v>0</v>
      </c>
      <c r="AD237" t="s">
        <v>18</v>
      </c>
    </row>
    <row r="238" spans="1:30" x14ac:dyDescent="0.3">
      <c r="A238" t="s">
        <v>2811</v>
      </c>
      <c r="B238" t="s">
        <v>1</v>
      </c>
      <c r="C238">
        <v>-0.1</v>
      </c>
      <c r="D238" t="s">
        <v>27</v>
      </c>
      <c r="E238" t="s">
        <v>2550</v>
      </c>
      <c r="F238" t="str">
        <f t="shared" si="3"/>
        <v xml:space="preserve">stoch_{'P' [('delta'-0.1 1)]}_[21 49]_1 </v>
      </c>
      <c r="G238" t="s">
        <v>2540</v>
      </c>
      <c r="H238">
        <v>376</v>
      </c>
      <c r="I238" t="s">
        <v>5</v>
      </c>
      <c r="J238">
        <v>77</v>
      </c>
      <c r="K238" t="s">
        <v>6</v>
      </c>
      <c r="L238">
        <v>-38.986877487405401</v>
      </c>
      <c r="M238" t="s">
        <v>7</v>
      </c>
      <c r="N238">
        <v>-0.103688503955865</v>
      </c>
      <c r="O238" t="s">
        <v>8</v>
      </c>
      <c r="P238">
        <v>1.5546963747434901</v>
      </c>
      <c r="Q238" t="s">
        <v>9</v>
      </c>
      <c r="R238">
        <v>-0.53076420850386097</v>
      </c>
      <c r="S238" t="s">
        <v>10</v>
      </c>
      <c r="T238">
        <v>0.52105736687077997</v>
      </c>
      <c r="U238" t="s">
        <v>11</v>
      </c>
      <c r="V238" t="s">
        <v>2844</v>
      </c>
      <c r="W238" t="s">
        <v>2845</v>
      </c>
      <c r="X238">
        <v>0</v>
      </c>
      <c r="Y238" t="s">
        <v>14</v>
      </c>
      <c r="Z238" t="s">
        <v>15</v>
      </c>
      <c r="AA238" t="s">
        <v>2851</v>
      </c>
      <c r="AB238" t="s">
        <v>2046</v>
      </c>
      <c r="AC238">
        <v>0</v>
      </c>
      <c r="AD238" t="s">
        <v>18</v>
      </c>
    </row>
    <row r="239" spans="1:30" x14ac:dyDescent="0.3">
      <c r="A239" t="s">
        <v>2811</v>
      </c>
      <c r="B239" t="s">
        <v>1</v>
      </c>
      <c r="C239">
        <v>-0.1</v>
      </c>
      <c r="D239" t="s">
        <v>27</v>
      </c>
      <c r="E239" t="s">
        <v>2552</v>
      </c>
      <c r="F239" t="str">
        <f t="shared" si="3"/>
        <v xml:space="preserve">stoch_{'P' [('delta'-0.1 1)]}_[21 49]_2 </v>
      </c>
      <c r="G239" t="s">
        <v>2540</v>
      </c>
      <c r="H239">
        <v>376</v>
      </c>
      <c r="I239" t="s">
        <v>5</v>
      </c>
      <c r="J239">
        <v>45</v>
      </c>
      <c r="K239" t="s">
        <v>6</v>
      </c>
      <c r="L239">
        <v>-38.141222084832997</v>
      </c>
      <c r="M239" t="s">
        <v>7</v>
      </c>
      <c r="N239">
        <v>-0.101439420438385</v>
      </c>
      <c r="O239" t="s">
        <v>8</v>
      </c>
      <c r="P239">
        <v>3.1191111111111098</v>
      </c>
      <c r="Q239" t="s">
        <v>9</v>
      </c>
      <c r="R239">
        <v>-0.53927861657049203</v>
      </c>
      <c r="S239" t="s">
        <v>10</v>
      </c>
      <c r="T239">
        <v>0.71289334876144095</v>
      </c>
      <c r="U239" t="s">
        <v>11</v>
      </c>
      <c r="V239" t="s">
        <v>2669</v>
      </c>
      <c r="W239" t="s">
        <v>2046</v>
      </c>
      <c r="X239">
        <v>0</v>
      </c>
      <c r="Y239" t="s">
        <v>14</v>
      </c>
      <c r="Z239" t="s">
        <v>15</v>
      </c>
      <c r="AA239" t="s">
        <v>2852</v>
      </c>
      <c r="AB239" t="s">
        <v>2046</v>
      </c>
      <c r="AC239">
        <v>0</v>
      </c>
      <c r="AD239" t="s">
        <v>18</v>
      </c>
    </row>
    <row r="240" spans="1:30" x14ac:dyDescent="0.3">
      <c r="A240" t="s">
        <v>2728</v>
      </c>
      <c r="B240" t="s">
        <v>1</v>
      </c>
      <c r="C240">
        <v>-0.2</v>
      </c>
      <c r="D240" t="s">
        <v>2174</v>
      </c>
      <c r="E240" t="s">
        <v>2569</v>
      </c>
      <c r="F240" t="str">
        <f t="shared" si="3"/>
        <v xml:space="preserve">psar_{'P' [('delta'-0.2 1)]}_[42 70]_6 </v>
      </c>
      <c r="G240" t="s">
        <v>2540</v>
      </c>
      <c r="H240">
        <v>139</v>
      </c>
      <c r="I240" t="s">
        <v>5</v>
      </c>
      <c r="J240">
        <v>10</v>
      </c>
      <c r="K240" t="s">
        <v>6</v>
      </c>
      <c r="L240">
        <v>-37.499859735703502</v>
      </c>
      <c r="M240" t="s">
        <v>7</v>
      </c>
      <c r="N240">
        <v>-0.26978316356621201</v>
      </c>
      <c r="O240" t="s">
        <v>8</v>
      </c>
      <c r="P240">
        <v>15.1</v>
      </c>
      <c r="Q240" t="s">
        <v>9</v>
      </c>
      <c r="R240">
        <v>-1.46123922275739</v>
      </c>
      <c r="S240" t="s">
        <v>10</v>
      </c>
      <c r="T240">
        <v>0.90760982378340005</v>
      </c>
      <c r="U240" t="s">
        <v>11</v>
      </c>
      <c r="V240" t="s">
        <v>2747</v>
      </c>
      <c r="W240" t="s">
        <v>2587</v>
      </c>
      <c r="X240">
        <v>0</v>
      </c>
      <c r="Y240" t="s">
        <v>14</v>
      </c>
      <c r="Z240" t="s">
        <v>15</v>
      </c>
      <c r="AA240" t="s">
        <v>2747</v>
      </c>
      <c r="AB240" t="s">
        <v>2587</v>
      </c>
      <c r="AC240">
        <v>0</v>
      </c>
      <c r="AD240" t="s">
        <v>18</v>
      </c>
    </row>
    <row r="241" spans="1:30" x14ac:dyDescent="0.3">
      <c r="A241" t="s">
        <v>2858</v>
      </c>
      <c r="B241" t="s">
        <v>1</v>
      </c>
      <c r="C241">
        <v>-0.2</v>
      </c>
      <c r="D241" t="s">
        <v>2</v>
      </c>
      <c r="E241" t="s">
        <v>2543</v>
      </c>
      <c r="F241" t="str">
        <f t="shared" si="3"/>
        <v xml:space="preserve">stoch_no_highvol_{'P' [('delta'-0.2 1)]}_[7 35]_2 </v>
      </c>
      <c r="G241" t="s">
        <v>2540</v>
      </c>
      <c r="H241">
        <v>334</v>
      </c>
      <c r="I241" t="s">
        <v>5</v>
      </c>
      <c r="J241">
        <v>52</v>
      </c>
      <c r="K241" t="s">
        <v>6</v>
      </c>
      <c r="L241">
        <v>-37.46</v>
      </c>
      <c r="M241" t="s">
        <v>7</v>
      </c>
      <c r="N241">
        <v>-0.112155688622754</v>
      </c>
      <c r="O241" t="s">
        <v>8</v>
      </c>
      <c r="P241">
        <v>3.5792307692307599</v>
      </c>
      <c r="Q241" t="s">
        <v>9</v>
      </c>
      <c r="R241">
        <v>-0.79283687943262404</v>
      </c>
      <c r="S241" t="s">
        <v>10</v>
      </c>
      <c r="T241">
        <v>0.84122224775749199</v>
      </c>
      <c r="U241" t="s">
        <v>11</v>
      </c>
      <c r="V241" t="s">
        <v>2887</v>
      </c>
      <c r="W241" t="s">
        <v>2888</v>
      </c>
      <c r="X241">
        <v>0</v>
      </c>
      <c r="Y241" t="s">
        <v>14</v>
      </c>
      <c r="Z241" t="s">
        <v>15</v>
      </c>
      <c r="AA241" t="s">
        <v>2886</v>
      </c>
      <c r="AB241" t="s">
        <v>2874</v>
      </c>
      <c r="AC241">
        <v>0</v>
      </c>
      <c r="AD241" t="s">
        <v>18</v>
      </c>
    </row>
    <row r="242" spans="1:30" x14ac:dyDescent="0.3">
      <c r="A242" t="s">
        <v>2623</v>
      </c>
      <c r="B242" t="s">
        <v>1</v>
      </c>
      <c r="C242">
        <v>-0.1</v>
      </c>
      <c r="D242" t="s">
        <v>27</v>
      </c>
      <c r="E242" t="s">
        <v>2558</v>
      </c>
      <c r="F242" t="str">
        <f t="shared" si="3"/>
        <v xml:space="preserve">bbands_{'P' [('delta'-0.1 1)]}_[21 49]_6 </v>
      </c>
      <c r="G242" t="s">
        <v>2540</v>
      </c>
      <c r="H242">
        <v>178</v>
      </c>
      <c r="I242" t="s">
        <v>5</v>
      </c>
      <c r="J242">
        <v>10</v>
      </c>
      <c r="K242" t="s">
        <v>6</v>
      </c>
      <c r="L242">
        <v>-36.76</v>
      </c>
      <c r="M242" t="s">
        <v>7</v>
      </c>
      <c r="N242">
        <v>-0.20651685393258401</v>
      </c>
      <c r="O242" t="s">
        <v>8</v>
      </c>
      <c r="P242">
        <v>5.2459999999999898</v>
      </c>
      <c r="Q242" t="s">
        <v>9</v>
      </c>
      <c r="R242">
        <v>-0.53107142857142797</v>
      </c>
      <c r="S242" t="s">
        <v>10</v>
      </c>
      <c r="T242">
        <v>0.48667848552888998</v>
      </c>
      <c r="U242" t="s">
        <v>11</v>
      </c>
      <c r="V242" t="s">
        <v>2675</v>
      </c>
      <c r="W242" t="s">
        <v>2071</v>
      </c>
      <c r="X242">
        <v>0</v>
      </c>
      <c r="Y242" t="s">
        <v>14</v>
      </c>
      <c r="Z242" t="s">
        <v>15</v>
      </c>
      <c r="AA242" t="s">
        <v>2676</v>
      </c>
      <c r="AB242" t="s">
        <v>2071</v>
      </c>
      <c r="AC242">
        <v>0</v>
      </c>
      <c r="AD242" t="s">
        <v>18</v>
      </c>
    </row>
    <row r="243" spans="1:30" x14ac:dyDescent="0.3">
      <c r="A243" t="s">
        <v>2623</v>
      </c>
      <c r="B243" t="s">
        <v>1</v>
      </c>
      <c r="C243">
        <v>-0.1</v>
      </c>
      <c r="D243" t="s">
        <v>2</v>
      </c>
      <c r="E243" t="s">
        <v>2547</v>
      </c>
      <c r="F243" t="str">
        <f t="shared" si="3"/>
        <v xml:space="preserve">bbands_{'P' [('delta'-0.1 1)]}_[7 35]_6 </v>
      </c>
      <c r="G243" t="s">
        <v>2540</v>
      </c>
      <c r="H243">
        <v>169</v>
      </c>
      <c r="I243" t="s">
        <v>5</v>
      </c>
      <c r="J243">
        <v>7</v>
      </c>
      <c r="K243" t="s">
        <v>6</v>
      </c>
      <c r="L243">
        <v>-36.18</v>
      </c>
      <c r="M243" t="s">
        <v>7</v>
      </c>
      <c r="N243">
        <v>-0.214082840236686</v>
      </c>
      <c r="O243" t="s">
        <v>8</v>
      </c>
      <c r="P243">
        <v>4.7371428571428504</v>
      </c>
      <c r="Q243" t="s">
        <v>9</v>
      </c>
      <c r="R243">
        <v>-0.42802469135802401</v>
      </c>
      <c r="S243" t="s">
        <v>10</v>
      </c>
      <c r="T243">
        <v>0.26959382173670798</v>
      </c>
      <c r="U243" t="s">
        <v>11</v>
      </c>
      <c r="V243" t="s">
        <v>2669</v>
      </c>
      <c r="W243" t="s">
        <v>2627</v>
      </c>
    </row>
    <row r="244" spans="1:30" x14ac:dyDescent="0.3">
      <c r="A244" t="s">
        <v>2683</v>
      </c>
      <c r="B244" t="s">
        <v>1</v>
      </c>
      <c r="C244">
        <v>-0.1</v>
      </c>
      <c r="D244" t="s">
        <v>2174</v>
      </c>
      <c r="E244" t="s">
        <v>2562</v>
      </c>
      <c r="F244" t="str">
        <f t="shared" si="3"/>
        <v xml:space="preserve">bbands_no_highvol_{'P' [('delta'-0.1 1)]}_[42 70]_2 </v>
      </c>
      <c r="G244" t="s">
        <v>2540</v>
      </c>
      <c r="H244">
        <v>157</v>
      </c>
      <c r="I244" t="s">
        <v>5</v>
      </c>
      <c r="J244">
        <v>21</v>
      </c>
      <c r="K244" t="s">
        <v>6</v>
      </c>
      <c r="L244">
        <v>-34.869999999999898</v>
      </c>
      <c r="M244" t="s">
        <v>7</v>
      </c>
      <c r="N244">
        <v>-0.222101910828025</v>
      </c>
      <c r="O244" t="s">
        <v>8</v>
      </c>
      <c r="P244">
        <v>2.4085714285714199</v>
      </c>
      <c r="Q244" t="s">
        <v>9</v>
      </c>
      <c r="R244">
        <v>-0.62830882352941197</v>
      </c>
      <c r="S244" t="s">
        <v>10</v>
      </c>
      <c r="T244">
        <v>0.32418478608967799</v>
      </c>
      <c r="U244" t="s">
        <v>11</v>
      </c>
      <c r="V244" t="s">
        <v>2725</v>
      </c>
      <c r="W244" t="s">
        <v>2698</v>
      </c>
      <c r="X244">
        <v>0</v>
      </c>
      <c r="Y244" t="s">
        <v>14</v>
      </c>
      <c r="Z244" t="s">
        <v>15</v>
      </c>
      <c r="AA244" t="s">
        <v>2726</v>
      </c>
      <c r="AB244" t="s">
        <v>2655</v>
      </c>
      <c r="AC244">
        <v>0</v>
      </c>
      <c r="AD244" t="s">
        <v>18</v>
      </c>
    </row>
    <row r="245" spans="1:30" x14ac:dyDescent="0.3">
      <c r="A245" t="s">
        <v>2728</v>
      </c>
      <c r="B245" t="s">
        <v>1</v>
      </c>
      <c r="C245">
        <v>-0.1</v>
      </c>
      <c r="D245" t="s">
        <v>2174</v>
      </c>
      <c r="E245" t="s">
        <v>2559</v>
      </c>
      <c r="F245" t="str">
        <f t="shared" si="3"/>
        <v xml:space="preserve">psar_{'P' [('delta'-0.1 1)]}_[42 70]_1 </v>
      </c>
      <c r="G245" t="s">
        <v>2540</v>
      </c>
      <c r="H245">
        <v>139</v>
      </c>
      <c r="I245" t="s">
        <v>5</v>
      </c>
      <c r="J245">
        <v>28</v>
      </c>
      <c r="K245" t="s">
        <v>6</v>
      </c>
      <c r="L245">
        <v>-34.001171466705998</v>
      </c>
      <c r="M245" t="s">
        <v>7</v>
      </c>
      <c r="N245">
        <v>-0.244612744364791</v>
      </c>
      <c r="O245" t="s">
        <v>8</v>
      </c>
      <c r="P245">
        <v>1.74987534888064</v>
      </c>
      <c r="Q245" t="s">
        <v>9</v>
      </c>
      <c r="R245">
        <v>-0.74772685797625305</v>
      </c>
      <c r="S245" t="s">
        <v>10</v>
      </c>
      <c r="T245">
        <v>0.26739579727509299</v>
      </c>
      <c r="U245" t="s">
        <v>11</v>
      </c>
      <c r="V245" t="s">
        <v>2745</v>
      </c>
      <c r="W245" t="s">
        <v>2557</v>
      </c>
      <c r="X245">
        <v>0</v>
      </c>
      <c r="Y245" t="s">
        <v>14</v>
      </c>
      <c r="Z245" t="s">
        <v>15</v>
      </c>
      <c r="AA245" t="s">
        <v>2745</v>
      </c>
      <c r="AB245" t="s">
        <v>2557</v>
      </c>
      <c r="AC245">
        <v>0</v>
      </c>
      <c r="AD245" t="s">
        <v>18</v>
      </c>
    </row>
    <row r="246" spans="1:30" x14ac:dyDescent="0.3">
      <c r="A246" t="s">
        <v>2623</v>
      </c>
      <c r="B246" t="s">
        <v>1</v>
      </c>
      <c r="C246">
        <v>-0.1</v>
      </c>
      <c r="D246" t="s">
        <v>2</v>
      </c>
      <c r="E246" t="s">
        <v>2543</v>
      </c>
      <c r="F246" t="str">
        <f t="shared" si="3"/>
        <v xml:space="preserve">bbands_{'P' [('delta'-0.1 1)]}_[7 35]_2 </v>
      </c>
      <c r="G246" t="s">
        <v>2540</v>
      </c>
      <c r="H246">
        <v>169</v>
      </c>
      <c r="I246" t="s">
        <v>5</v>
      </c>
      <c r="J246">
        <v>13</v>
      </c>
      <c r="K246" t="s">
        <v>6</v>
      </c>
      <c r="L246">
        <v>-32.729999999999997</v>
      </c>
      <c r="M246" t="s">
        <v>7</v>
      </c>
      <c r="N246">
        <v>-0.19366863905325399</v>
      </c>
      <c r="O246" t="s">
        <v>8</v>
      </c>
      <c r="P246">
        <v>2.52076923076923</v>
      </c>
      <c r="Q246" t="s">
        <v>9</v>
      </c>
      <c r="R246">
        <v>-0.41987179487179499</v>
      </c>
      <c r="S246" t="s">
        <v>10</v>
      </c>
      <c r="T246">
        <v>0.217974729698965</v>
      </c>
      <c r="U246" t="s">
        <v>11</v>
      </c>
      <c r="V246" t="s">
        <v>2669</v>
      </c>
      <c r="W246" t="s">
        <v>2627</v>
      </c>
    </row>
    <row r="247" spans="1:30" x14ac:dyDescent="0.3">
      <c r="A247" t="s">
        <v>2623</v>
      </c>
      <c r="B247" t="s">
        <v>1</v>
      </c>
      <c r="C247">
        <v>-0.2</v>
      </c>
      <c r="D247" t="s">
        <v>27</v>
      </c>
      <c r="E247" t="s">
        <v>2550</v>
      </c>
      <c r="F247" t="str">
        <f t="shared" si="3"/>
        <v xml:space="preserve">bbands_{'P' [('delta'-0.2 1)]}_[21 49]_1 </v>
      </c>
      <c r="G247" t="s">
        <v>2540</v>
      </c>
      <c r="H247">
        <v>178</v>
      </c>
      <c r="I247" t="s">
        <v>5</v>
      </c>
      <c r="J247">
        <v>33</v>
      </c>
      <c r="K247" t="s">
        <v>6</v>
      </c>
      <c r="L247">
        <v>-32.64</v>
      </c>
      <c r="M247" t="s">
        <v>7</v>
      </c>
      <c r="N247">
        <v>-0.18337078651685401</v>
      </c>
      <c r="O247" t="s">
        <v>8</v>
      </c>
      <c r="P247">
        <v>3.71969696969696</v>
      </c>
      <c r="Q247" t="s">
        <v>9</v>
      </c>
      <c r="R247">
        <v>-1.0716551724137899</v>
      </c>
      <c r="S247" t="s">
        <v>10</v>
      </c>
      <c r="T247">
        <v>0.51759081902115001</v>
      </c>
      <c r="U247" t="s">
        <v>11</v>
      </c>
      <c r="V247" t="s">
        <v>2108</v>
      </c>
      <c r="W247" t="s">
        <v>2046</v>
      </c>
      <c r="X247">
        <v>0</v>
      </c>
      <c r="Y247" t="s">
        <v>14</v>
      </c>
      <c r="Z247" t="s">
        <v>15</v>
      </c>
      <c r="AA247" t="s">
        <v>2657</v>
      </c>
      <c r="AB247" t="s">
        <v>2046</v>
      </c>
      <c r="AC247">
        <v>0</v>
      </c>
      <c r="AD247" t="s">
        <v>18</v>
      </c>
    </row>
    <row r="248" spans="1:30" x14ac:dyDescent="0.3">
      <c r="A248" t="s">
        <v>2623</v>
      </c>
      <c r="B248" t="s">
        <v>1</v>
      </c>
      <c r="C248">
        <v>-0.1</v>
      </c>
      <c r="D248" t="s">
        <v>2174</v>
      </c>
      <c r="E248" t="s">
        <v>2565</v>
      </c>
      <c r="F248" t="str">
        <f t="shared" si="3"/>
        <v xml:space="preserve">bbands_{'P' [('delta'-0.1 1)]}_[42 70]_4 </v>
      </c>
      <c r="G248" t="s">
        <v>2540</v>
      </c>
      <c r="H248">
        <v>167</v>
      </c>
      <c r="I248" t="s">
        <v>5</v>
      </c>
      <c r="J248">
        <v>13</v>
      </c>
      <c r="K248" t="s">
        <v>6</v>
      </c>
      <c r="L248">
        <v>-32.11</v>
      </c>
      <c r="M248" t="s">
        <v>7</v>
      </c>
      <c r="N248">
        <v>-0.192275449101796</v>
      </c>
      <c r="O248" t="s">
        <v>8</v>
      </c>
      <c r="P248">
        <v>5.43923076923077</v>
      </c>
      <c r="Q248" t="s">
        <v>9</v>
      </c>
      <c r="R248">
        <v>-0.66766233766233796</v>
      </c>
      <c r="S248" t="s">
        <v>10</v>
      </c>
      <c r="T248">
        <v>0.49239835397925502</v>
      </c>
      <c r="U248" t="s">
        <v>11</v>
      </c>
      <c r="V248" t="s">
        <v>2680</v>
      </c>
      <c r="W248" t="s">
        <v>2640</v>
      </c>
      <c r="X248">
        <v>0</v>
      </c>
      <c r="Y248" t="s">
        <v>14</v>
      </c>
      <c r="Z248" t="s">
        <v>15</v>
      </c>
      <c r="AA248" t="s">
        <v>2681</v>
      </c>
      <c r="AB248" t="s">
        <v>2640</v>
      </c>
      <c r="AC248">
        <v>0</v>
      </c>
      <c r="AD248" t="s">
        <v>18</v>
      </c>
    </row>
    <row r="249" spans="1:30" x14ac:dyDescent="0.3">
      <c r="A249" t="s">
        <v>2752</v>
      </c>
      <c r="B249" t="s">
        <v>1</v>
      </c>
      <c r="C249">
        <v>-0.2</v>
      </c>
      <c r="D249" t="s">
        <v>2174</v>
      </c>
      <c r="E249" t="s">
        <v>2559</v>
      </c>
      <c r="F249" t="str">
        <f t="shared" si="3"/>
        <v xml:space="preserve">psar_no_highvol_{'P' [('delta'-0.2 1)]}_[42 70]_1 </v>
      </c>
      <c r="G249" t="s">
        <v>2540</v>
      </c>
      <c r="H249">
        <v>130</v>
      </c>
      <c r="I249" t="s">
        <v>5</v>
      </c>
      <c r="J249">
        <v>30</v>
      </c>
      <c r="K249" t="s">
        <v>6</v>
      </c>
      <c r="L249">
        <v>-31.889999999999901</v>
      </c>
      <c r="M249" t="s">
        <v>7</v>
      </c>
      <c r="N249">
        <v>-0.245307692307692</v>
      </c>
      <c r="O249" t="s">
        <v>8</v>
      </c>
      <c r="P249">
        <v>3.4586666666666601</v>
      </c>
      <c r="Q249" t="s">
        <v>9</v>
      </c>
      <c r="R249">
        <v>-1.3565</v>
      </c>
      <c r="S249" t="s">
        <v>10</v>
      </c>
      <c r="T249">
        <v>0.43336996034641101</v>
      </c>
      <c r="U249" t="s">
        <v>11</v>
      </c>
      <c r="V249" t="s">
        <v>2770</v>
      </c>
      <c r="W249" t="s">
        <v>2564</v>
      </c>
      <c r="X249">
        <v>0</v>
      </c>
      <c r="Y249" t="s">
        <v>14</v>
      </c>
      <c r="Z249" t="s">
        <v>15</v>
      </c>
      <c r="AA249" t="s">
        <v>2730</v>
      </c>
      <c r="AB249" t="s">
        <v>2564</v>
      </c>
      <c r="AC249">
        <v>0</v>
      </c>
      <c r="AD249" t="s">
        <v>18</v>
      </c>
    </row>
    <row r="250" spans="1:30" x14ac:dyDescent="0.3">
      <c r="A250" t="s">
        <v>2858</v>
      </c>
      <c r="B250" t="s">
        <v>1</v>
      </c>
      <c r="C250">
        <v>-0.2</v>
      </c>
      <c r="D250" t="s">
        <v>2</v>
      </c>
      <c r="E250" t="s">
        <v>2539</v>
      </c>
      <c r="F250" t="str">
        <f t="shared" si="3"/>
        <v xml:space="preserve">stoch_no_highvol_{'P' [('delta'-0.2 1)]}_[7 35]_1 </v>
      </c>
      <c r="G250" t="s">
        <v>2540</v>
      </c>
      <c r="H250">
        <v>334</v>
      </c>
      <c r="I250" t="s">
        <v>5</v>
      </c>
      <c r="J250">
        <v>75</v>
      </c>
      <c r="K250" t="s">
        <v>6</v>
      </c>
      <c r="L250">
        <v>-31.829999999999899</v>
      </c>
      <c r="M250" t="s">
        <v>7</v>
      </c>
      <c r="N250">
        <v>-9.5299401197604702E-2</v>
      </c>
      <c r="O250" t="s">
        <v>8</v>
      </c>
      <c r="P250">
        <v>2.2806666666666602</v>
      </c>
      <c r="Q250" t="s">
        <v>9</v>
      </c>
      <c r="R250">
        <v>-0.78332046332046301</v>
      </c>
      <c r="S250" t="s">
        <v>10</v>
      </c>
      <c r="T250">
        <v>0.69561703921365303</v>
      </c>
      <c r="U250" t="s">
        <v>11</v>
      </c>
      <c r="V250" t="s">
        <v>2193</v>
      </c>
      <c r="W250" t="s">
        <v>2859</v>
      </c>
      <c r="X250">
        <v>0</v>
      </c>
      <c r="Y250" t="s">
        <v>14</v>
      </c>
      <c r="Z250" t="s">
        <v>15</v>
      </c>
      <c r="AA250" t="s">
        <v>2886</v>
      </c>
      <c r="AB250" t="s">
        <v>2874</v>
      </c>
      <c r="AC250">
        <v>0</v>
      </c>
      <c r="AD250" t="s">
        <v>18</v>
      </c>
    </row>
    <row r="251" spans="1:30" x14ac:dyDescent="0.3">
      <c r="A251" t="s">
        <v>2623</v>
      </c>
      <c r="B251" t="s">
        <v>1</v>
      </c>
      <c r="C251">
        <v>-0.1</v>
      </c>
      <c r="D251" t="s">
        <v>2174</v>
      </c>
      <c r="E251" t="s">
        <v>2569</v>
      </c>
      <c r="F251" t="str">
        <f t="shared" si="3"/>
        <v xml:space="preserve">bbands_{'P' [('delta'-0.1 1)]}_[42 70]_6 </v>
      </c>
      <c r="G251" t="s">
        <v>2540</v>
      </c>
      <c r="H251">
        <v>167</v>
      </c>
      <c r="I251" t="s">
        <v>5</v>
      </c>
      <c r="J251">
        <v>10</v>
      </c>
      <c r="K251" t="s">
        <v>6</v>
      </c>
      <c r="L251">
        <v>-31.3599999999999</v>
      </c>
      <c r="M251" t="s">
        <v>7</v>
      </c>
      <c r="N251">
        <v>-0.187784431137724</v>
      </c>
      <c r="O251" t="s">
        <v>8</v>
      </c>
      <c r="P251">
        <v>7.3369999999999997</v>
      </c>
      <c r="Q251" t="s">
        <v>9</v>
      </c>
      <c r="R251">
        <v>-0.66707006369426702</v>
      </c>
      <c r="S251" t="s">
        <v>10</v>
      </c>
      <c r="T251">
        <v>0.538930260142646</v>
      </c>
      <c r="U251" t="s">
        <v>11</v>
      </c>
      <c r="V251" t="s">
        <v>2682</v>
      </c>
      <c r="W251" t="s">
        <v>2666</v>
      </c>
      <c r="X251">
        <v>0</v>
      </c>
      <c r="Y251" t="s">
        <v>14</v>
      </c>
      <c r="Z251" t="s">
        <v>15</v>
      </c>
      <c r="AA251" t="s">
        <v>2681</v>
      </c>
      <c r="AB251" t="s">
        <v>2640</v>
      </c>
      <c r="AC251">
        <v>0</v>
      </c>
      <c r="AD251" t="s">
        <v>18</v>
      </c>
    </row>
    <row r="252" spans="1:30" x14ac:dyDescent="0.3">
      <c r="A252" t="s">
        <v>2777</v>
      </c>
      <c r="B252" t="s">
        <v>1</v>
      </c>
      <c r="C252">
        <v>-0.1</v>
      </c>
      <c r="D252" t="s">
        <v>27</v>
      </c>
      <c r="E252" t="s">
        <v>2558</v>
      </c>
      <c r="F252" t="str">
        <f t="shared" si="3"/>
        <v xml:space="preserve">rsi_{'P' [('delta'-0.1 1)]}_[21 49]_6 </v>
      </c>
      <c r="G252" t="s">
        <v>2540</v>
      </c>
      <c r="H252">
        <v>128</v>
      </c>
      <c r="I252" t="s">
        <v>5</v>
      </c>
      <c r="J252">
        <v>5</v>
      </c>
      <c r="K252" t="s">
        <v>6</v>
      </c>
      <c r="L252">
        <v>-31.27</v>
      </c>
      <c r="M252" t="s">
        <v>7</v>
      </c>
      <c r="N252">
        <v>-0.244296875</v>
      </c>
      <c r="O252" t="s">
        <v>8</v>
      </c>
      <c r="P252">
        <v>5.8799999999999901</v>
      </c>
      <c r="Q252" t="s">
        <v>9</v>
      </c>
      <c r="R252">
        <v>-0.49325203252032501</v>
      </c>
      <c r="S252" t="s">
        <v>10</v>
      </c>
      <c r="T252">
        <v>0.28928030279607198</v>
      </c>
      <c r="U252" t="s">
        <v>11</v>
      </c>
      <c r="V252" t="s">
        <v>2808</v>
      </c>
      <c r="W252" t="s">
        <v>2793</v>
      </c>
      <c r="X252">
        <v>0</v>
      </c>
      <c r="Y252" t="s">
        <v>14</v>
      </c>
      <c r="Z252" t="s">
        <v>15</v>
      </c>
      <c r="AA252" t="s">
        <v>1445</v>
      </c>
      <c r="AB252" t="s">
        <v>2762</v>
      </c>
      <c r="AC252">
        <v>0</v>
      </c>
      <c r="AD252" t="s">
        <v>18</v>
      </c>
    </row>
    <row r="253" spans="1:30" x14ac:dyDescent="0.3">
      <c r="A253" t="s">
        <v>2777</v>
      </c>
      <c r="B253" t="s">
        <v>1</v>
      </c>
      <c r="C253">
        <v>-0.1</v>
      </c>
      <c r="D253" t="s">
        <v>2</v>
      </c>
      <c r="E253" t="s">
        <v>2547</v>
      </c>
      <c r="F253" t="str">
        <f t="shared" si="3"/>
        <v xml:space="preserve">rsi_{'P' [('delta'-0.1 1)]}_[7 35]_6 </v>
      </c>
      <c r="G253" t="s">
        <v>2540</v>
      </c>
      <c r="H253">
        <v>136</v>
      </c>
      <c r="I253" t="s">
        <v>5</v>
      </c>
      <c r="J253">
        <v>5</v>
      </c>
      <c r="K253" t="s">
        <v>6</v>
      </c>
      <c r="L253">
        <v>-30.65</v>
      </c>
      <c r="M253" t="s">
        <v>7</v>
      </c>
      <c r="N253">
        <v>-0.22536764705882301</v>
      </c>
      <c r="O253" t="s">
        <v>8</v>
      </c>
      <c r="P253">
        <v>3.5939999999999901</v>
      </c>
      <c r="Q253" t="s">
        <v>9</v>
      </c>
      <c r="R253">
        <v>-0.37114503816793798</v>
      </c>
      <c r="S253" t="s">
        <v>10</v>
      </c>
      <c r="T253">
        <v>0.215318801242917</v>
      </c>
      <c r="U253" t="s">
        <v>11</v>
      </c>
      <c r="V253" t="s">
        <v>2804</v>
      </c>
      <c r="W253" t="s">
        <v>2631</v>
      </c>
      <c r="X253">
        <v>0</v>
      </c>
      <c r="Y253" t="s">
        <v>14</v>
      </c>
      <c r="Z253" t="s">
        <v>15</v>
      </c>
      <c r="AA253" t="s">
        <v>2804</v>
      </c>
      <c r="AB253" t="s">
        <v>2631</v>
      </c>
      <c r="AC253">
        <v>0</v>
      </c>
      <c r="AD253" t="s">
        <v>18</v>
      </c>
    </row>
    <row r="254" spans="1:30" x14ac:dyDescent="0.3">
      <c r="A254" t="s">
        <v>2752</v>
      </c>
      <c r="B254" t="s">
        <v>1</v>
      </c>
      <c r="C254">
        <v>-0.3</v>
      </c>
      <c r="D254" t="s">
        <v>2174</v>
      </c>
      <c r="E254" t="s">
        <v>2569</v>
      </c>
      <c r="F254" t="str">
        <f t="shared" si="3"/>
        <v xml:space="preserve">psar_no_highvol_{'P' [('delta'-0.3 1)]}_[42 70]_6 </v>
      </c>
      <c r="G254" t="s">
        <v>2540</v>
      </c>
      <c r="H254">
        <v>130</v>
      </c>
      <c r="I254" t="s">
        <v>5</v>
      </c>
      <c r="J254">
        <v>17</v>
      </c>
      <c r="K254" t="s">
        <v>6</v>
      </c>
      <c r="L254">
        <v>-28.93</v>
      </c>
      <c r="M254" t="s">
        <v>7</v>
      </c>
      <c r="N254">
        <v>-0.22253846153846099</v>
      </c>
      <c r="O254" t="s">
        <v>8</v>
      </c>
      <c r="P254">
        <v>12.005294117647001</v>
      </c>
      <c r="Q254" t="s">
        <v>9</v>
      </c>
      <c r="R254">
        <v>-2.0621238938053099</v>
      </c>
      <c r="S254" t="s">
        <v>10</v>
      </c>
      <c r="T254">
        <v>1.1749387871886401</v>
      </c>
      <c r="U254" t="s">
        <v>11</v>
      </c>
      <c r="V254" t="s">
        <v>2742</v>
      </c>
      <c r="W254" t="s">
        <v>2587</v>
      </c>
      <c r="X254">
        <v>0</v>
      </c>
      <c r="Y254" t="s">
        <v>14</v>
      </c>
      <c r="Z254" t="s">
        <v>15</v>
      </c>
      <c r="AA254" t="s">
        <v>2742</v>
      </c>
      <c r="AB254" t="s">
        <v>2587</v>
      </c>
      <c r="AC254">
        <v>0</v>
      </c>
      <c r="AD254" t="s">
        <v>18</v>
      </c>
    </row>
    <row r="255" spans="1:30" x14ac:dyDescent="0.3">
      <c r="A255" t="s">
        <v>2777</v>
      </c>
      <c r="B255" t="s">
        <v>1</v>
      </c>
      <c r="C255">
        <v>-0.1</v>
      </c>
      <c r="D255" t="s">
        <v>2174</v>
      </c>
      <c r="E255" t="s">
        <v>2565</v>
      </c>
      <c r="F255" t="str">
        <f t="shared" si="3"/>
        <v xml:space="preserve">rsi_{'P' [('delta'-0.1 1)]}_[42 70]_4 </v>
      </c>
      <c r="G255" t="s">
        <v>2540</v>
      </c>
      <c r="H255">
        <v>127</v>
      </c>
      <c r="I255" t="s">
        <v>5</v>
      </c>
      <c r="J255">
        <v>8</v>
      </c>
      <c r="K255" t="s">
        <v>6</v>
      </c>
      <c r="L255">
        <v>-28.6570473406269</v>
      </c>
      <c r="M255" t="s">
        <v>7</v>
      </c>
      <c r="N255">
        <v>-0.225646042052181</v>
      </c>
      <c r="O255" t="s">
        <v>8</v>
      </c>
      <c r="P255">
        <v>5.7387499999999898</v>
      </c>
      <c r="Q255" t="s">
        <v>9</v>
      </c>
      <c r="R255">
        <v>-0.62661384319854596</v>
      </c>
      <c r="S255" t="s">
        <v>10</v>
      </c>
      <c r="T255">
        <v>0.30725540736366302</v>
      </c>
      <c r="U255" t="s">
        <v>11</v>
      </c>
      <c r="V255" t="s">
        <v>204</v>
      </c>
      <c r="W255" t="s">
        <v>2568</v>
      </c>
      <c r="X255">
        <v>0</v>
      </c>
      <c r="Y255" t="s">
        <v>14</v>
      </c>
      <c r="Z255" t="s">
        <v>15</v>
      </c>
      <c r="AA255" t="s">
        <v>2810</v>
      </c>
      <c r="AB255" t="s">
        <v>2582</v>
      </c>
      <c r="AC255">
        <v>0</v>
      </c>
      <c r="AD255" t="s">
        <v>18</v>
      </c>
    </row>
    <row r="256" spans="1:30" x14ac:dyDescent="0.3">
      <c r="A256" t="s">
        <v>2777</v>
      </c>
      <c r="B256" t="s">
        <v>1</v>
      </c>
      <c r="C256">
        <v>-0.3</v>
      </c>
      <c r="D256" t="s">
        <v>27</v>
      </c>
      <c r="E256" t="s">
        <v>2550</v>
      </c>
      <c r="F256" t="str">
        <f t="shared" si="3"/>
        <v xml:space="preserve">rsi_{'P' [('delta'-0.3 1)]}_[21 49]_1 </v>
      </c>
      <c r="G256" t="s">
        <v>2540</v>
      </c>
      <c r="H256">
        <v>128</v>
      </c>
      <c r="I256" t="s">
        <v>5</v>
      </c>
      <c r="J256">
        <v>38</v>
      </c>
      <c r="K256" t="s">
        <v>6</v>
      </c>
      <c r="L256">
        <v>-28.349999999999898</v>
      </c>
      <c r="M256" t="s">
        <v>7</v>
      </c>
      <c r="N256">
        <v>-0.22148437499999901</v>
      </c>
      <c r="O256" t="s">
        <v>8</v>
      </c>
      <c r="P256">
        <v>3.32578947368421</v>
      </c>
      <c r="Q256" t="s">
        <v>9</v>
      </c>
      <c r="R256">
        <v>-1.71922222222222</v>
      </c>
      <c r="S256" t="s">
        <v>10</v>
      </c>
      <c r="T256">
        <v>0.61695007639820998</v>
      </c>
      <c r="U256" t="s">
        <v>11</v>
      </c>
      <c r="V256" t="s">
        <v>2738</v>
      </c>
      <c r="W256" t="s">
        <v>2554</v>
      </c>
      <c r="X256">
        <v>0</v>
      </c>
      <c r="Y256" t="s">
        <v>14</v>
      </c>
      <c r="Z256" t="s">
        <v>15</v>
      </c>
      <c r="AA256" t="s">
        <v>2417</v>
      </c>
      <c r="AB256" t="s">
        <v>2554</v>
      </c>
      <c r="AC256">
        <v>0</v>
      </c>
      <c r="AD256" t="s">
        <v>18</v>
      </c>
    </row>
    <row r="257" spans="1:30" x14ac:dyDescent="0.3">
      <c r="A257" t="s">
        <v>2683</v>
      </c>
      <c r="B257" t="s">
        <v>1</v>
      </c>
      <c r="C257">
        <v>-0.1</v>
      </c>
      <c r="D257" t="s">
        <v>2</v>
      </c>
      <c r="E257" t="s">
        <v>2545</v>
      </c>
      <c r="F257" t="str">
        <f t="shared" si="3"/>
        <v xml:space="preserve">bbands_no_highvol_{'P' [('delta'-0.1 1)]}_[7 35]_4 </v>
      </c>
      <c r="G257" t="s">
        <v>2540</v>
      </c>
      <c r="H257">
        <v>155</v>
      </c>
      <c r="I257" t="s">
        <v>5</v>
      </c>
      <c r="J257">
        <v>9</v>
      </c>
      <c r="K257" t="s">
        <v>6</v>
      </c>
      <c r="L257">
        <v>-28.17</v>
      </c>
      <c r="M257" t="s">
        <v>7</v>
      </c>
      <c r="N257">
        <v>-0.18174193548387099</v>
      </c>
      <c r="O257" t="s">
        <v>8</v>
      </c>
      <c r="P257">
        <v>3.1733333333333298</v>
      </c>
      <c r="Q257" t="s">
        <v>9</v>
      </c>
      <c r="R257">
        <v>-0.38856164383561598</v>
      </c>
      <c r="S257" t="s">
        <v>10</v>
      </c>
      <c r="T257">
        <v>0.21970784248474501</v>
      </c>
      <c r="U257" t="s">
        <v>11</v>
      </c>
      <c r="V257" t="s">
        <v>2718</v>
      </c>
      <c r="W257" t="s">
        <v>2655</v>
      </c>
      <c r="X257">
        <v>0</v>
      </c>
      <c r="Y257" t="s">
        <v>14</v>
      </c>
      <c r="Z257" t="s">
        <v>15</v>
      </c>
      <c r="AA257" t="s">
        <v>2671</v>
      </c>
      <c r="AB257" t="s">
        <v>2655</v>
      </c>
      <c r="AC257">
        <v>0</v>
      </c>
      <c r="AD257" t="s">
        <v>18</v>
      </c>
    </row>
    <row r="258" spans="1:30" x14ac:dyDescent="0.3">
      <c r="A258" t="s">
        <v>2777</v>
      </c>
      <c r="B258" t="s">
        <v>1</v>
      </c>
      <c r="C258">
        <v>-0.1</v>
      </c>
      <c r="D258" t="s">
        <v>2</v>
      </c>
      <c r="E258" t="s">
        <v>2545</v>
      </c>
      <c r="F258" t="str">
        <f t="shared" si="3"/>
        <v xml:space="preserve">rsi_{'P' [('delta'-0.1 1)]}_[7 35]_4 </v>
      </c>
      <c r="G258" t="s">
        <v>2540</v>
      </c>
      <c r="H258">
        <v>136</v>
      </c>
      <c r="I258" t="s">
        <v>5</v>
      </c>
      <c r="J258">
        <v>8</v>
      </c>
      <c r="K258" t="s">
        <v>6</v>
      </c>
      <c r="L258">
        <v>-27.96</v>
      </c>
      <c r="M258" t="s">
        <v>7</v>
      </c>
      <c r="N258">
        <v>-0.20558823529411699</v>
      </c>
      <c r="O258" t="s">
        <v>8</v>
      </c>
      <c r="P258">
        <v>2.38749999999999</v>
      </c>
      <c r="Q258" t="s">
        <v>9</v>
      </c>
      <c r="R258">
        <v>-0.36765624999999902</v>
      </c>
      <c r="S258" t="s">
        <v>10</v>
      </c>
      <c r="T258">
        <v>0.17112496037017499</v>
      </c>
      <c r="U258" t="s">
        <v>11</v>
      </c>
      <c r="V258" t="s">
        <v>2804</v>
      </c>
      <c r="W258" t="s">
        <v>2631</v>
      </c>
      <c r="X258">
        <v>0</v>
      </c>
      <c r="Y258" t="s">
        <v>14</v>
      </c>
      <c r="Z258" t="s">
        <v>15</v>
      </c>
      <c r="AA258" t="s">
        <v>2804</v>
      </c>
      <c r="AB258" t="s">
        <v>2631</v>
      </c>
      <c r="AC258">
        <v>0</v>
      </c>
      <c r="AD258" t="s">
        <v>18</v>
      </c>
    </row>
    <row r="259" spans="1:30" x14ac:dyDescent="0.3">
      <c r="A259" t="s">
        <v>2623</v>
      </c>
      <c r="B259" t="s">
        <v>1</v>
      </c>
      <c r="C259">
        <v>-0.1</v>
      </c>
      <c r="D259" t="s">
        <v>27</v>
      </c>
      <c r="E259" t="s">
        <v>2555</v>
      </c>
      <c r="F259" t="str">
        <f t="shared" ref="F259:F322" si="4">_xlfn.CONCAT(A259:E259)</f>
        <v xml:space="preserve">bbands_{'P' [('delta'-0.1 1)]}_[21 49]_4 </v>
      </c>
      <c r="G259" t="s">
        <v>2540</v>
      </c>
      <c r="H259">
        <v>178</v>
      </c>
      <c r="I259" t="s">
        <v>5</v>
      </c>
      <c r="J259">
        <v>15</v>
      </c>
      <c r="K259" t="s">
        <v>6</v>
      </c>
      <c r="L259">
        <v>-27.2</v>
      </c>
      <c r="M259" t="s">
        <v>7</v>
      </c>
      <c r="N259">
        <v>-0.152808988764044</v>
      </c>
      <c r="O259" t="s">
        <v>8</v>
      </c>
      <c r="P259">
        <v>3.9473333333333298</v>
      </c>
      <c r="Q259" t="s">
        <v>9</v>
      </c>
      <c r="R259">
        <v>-0.53012269938650303</v>
      </c>
      <c r="S259" t="s">
        <v>10</v>
      </c>
      <c r="T259">
        <v>0.43625505533486397</v>
      </c>
      <c r="U259" t="s">
        <v>11</v>
      </c>
      <c r="V259" t="s">
        <v>2673</v>
      </c>
      <c r="W259" t="s">
        <v>2071</v>
      </c>
      <c r="X259">
        <v>0</v>
      </c>
      <c r="Y259" t="s">
        <v>14</v>
      </c>
      <c r="Z259" t="s">
        <v>15</v>
      </c>
      <c r="AA259" t="s">
        <v>2674</v>
      </c>
      <c r="AB259" t="s">
        <v>2071</v>
      </c>
      <c r="AC259">
        <v>0</v>
      </c>
      <c r="AD259" t="s">
        <v>18</v>
      </c>
    </row>
    <row r="260" spans="1:30" x14ac:dyDescent="0.3">
      <c r="A260" t="s">
        <v>2623</v>
      </c>
      <c r="B260" t="s">
        <v>1</v>
      </c>
      <c r="C260">
        <v>-0.4</v>
      </c>
      <c r="D260" t="s">
        <v>2174</v>
      </c>
      <c r="E260" t="s">
        <v>2559</v>
      </c>
      <c r="F260" t="str">
        <f t="shared" si="4"/>
        <v xml:space="preserve">bbands_{'P' [('delta'-0.4 1)]}_[42 70]_1 </v>
      </c>
      <c r="G260" t="s">
        <v>2540</v>
      </c>
      <c r="H260">
        <v>167</v>
      </c>
      <c r="I260" t="s">
        <v>5</v>
      </c>
      <c r="J260">
        <v>54</v>
      </c>
      <c r="K260" t="s">
        <v>6</v>
      </c>
      <c r="L260">
        <v>-26.5464107951626</v>
      </c>
      <c r="M260" t="s">
        <v>7</v>
      </c>
      <c r="N260">
        <v>-0.15896054368360801</v>
      </c>
      <c r="O260" t="s">
        <v>8</v>
      </c>
      <c r="P260">
        <v>6.1530308198480901</v>
      </c>
      <c r="Q260" t="s">
        <v>9</v>
      </c>
      <c r="R260">
        <v>-3.1753103988226501</v>
      </c>
      <c r="S260" t="s">
        <v>10</v>
      </c>
      <c r="T260">
        <v>1.2547584924498401</v>
      </c>
      <c r="U260" t="s">
        <v>11</v>
      </c>
      <c r="V260" t="s">
        <v>738</v>
      </c>
      <c r="W260" t="s">
        <v>2631</v>
      </c>
      <c r="X260">
        <v>0</v>
      </c>
      <c r="Y260" t="s">
        <v>14</v>
      </c>
      <c r="Z260" t="s">
        <v>15</v>
      </c>
      <c r="AA260" t="s">
        <v>2635</v>
      </c>
      <c r="AB260" t="s">
        <v>2046</v>
      </c>
      <c r="AC260">
        <v>0</v>
      </c>
      <c r="AD260" t="s">
        <v>18</v>
      </c>
    </row>
    <row r="261" spans="1:30" x14ac:dyDescent="0.3">
      <c r="A261" t="s">
        <v>2728</v>
      </c>
      <c r="B261" t="s">
        <v>1</v>
      </c>
      <c r="C261">
        <v>-0.1</v>
      </c>
      <c r="D261" t="s">
        <v>2174</v>
      </c>
      <c r="E261" t="s">
        <v>2562</v>
      </c>
      <c r="F261" t="str">
        <f t="shared" si="4"/>
        <v xml:space="preserve">psar_{'P' [('delta'-0.1 1)]}_[42 70]_2 </v>
      </c>
      <c r="G261" t="s">
        <v>2540</v>
      </c>
      <c r="H261">
        <v>139</v>
      </c>
      <c r="I261" t="s">
        <v>5</v>
      </c>
      <c r="J261">
        <v>22</v>
      </c>
      <c r="K261" t="s">
        <v>6</v>
      </c>
      <c r="L261">
        <v>-26.5117173762712</v>
      </c>
      <c r="M261" t="s">
        <v>7</v>
      </c>
      <c r="N261">
        <v>-0.190731779685404</v>
      </c>
      <c r="O261" t="s">
        <v>8</v>
      </c>
      <c r="P261">
        <v>2.7493619935951301</v>
      </c>
      <c r="Q261" t="s">
        <v>9</v>
      </c>
      <c r="R261">
        <v>-0.743569925088582</v>
      </c>
      <c r="S261" t="s">
        <v>10</v>
      </c>
      <c r="T261">
        <v>0.29911510549934101</v>
      </c>
      <c r="U261" t="s">
        <v>11</v>
      </c>
      <c r="V261" t="s">
        <v>2745</v>
      </c>
      <c r="W261" t="s">
        <v>2557</v>
      </c>
      <c r="X261">
        <v>0</v>
      </c>
      <c r="Y261" t="s">
        <v>14</v>
      </c>
      <c r="Z261" t="s">
        <v>15</v>
      </c>
      <c r="AA261" t="s">
        <v>2745</v>
      </c>
      <c r="AB261" t="s">
        <v>2557</v>
      </c>
      <c r="AC261">
        <v>0</v>
      </c>
      <c r="AD261" t="s">
        <v>18</v>
      </c>
    </row>
    <row r="262" spans="1:30" x14ac:dyDescent="0.3">
      <c r="A262" t="s">
        <v>2623</v>
      </c>
      <c r="B262" t="s">
        <v>1</v>
      </c>
      <c r="C262">
        <v>-0.1</v>
      </c>
      <c r="D262" t="s">
        <v>2</v>
      </c>
      <c r="E262" t="s">
        <v>2539</v>
      </c>
      <c r="F262" t="str">
        <f t="shared" si="4"/>
        <v xml:space="preserve">bbands_{'P' [('delta'-0.1 1)]}_[7 35]_1 </v>
      </c>
      <c r="G262" t="s">
        <v>2540</v>
      </c>
      <c r="H262">
        <v>169</v>
      </c>
      <c r="I262" t="s">
        <v>5</v>
      </c>
      <c r="J262">
        <v>21</v>
      </c>
      <c r="K262" t="s">
        <v>6</v>
      </c>
      <c r="L262">
        <v>-25.93</v>
      </c>
      <c r="M262" t="s">
        <v>7</v>
      </c>
      <c r="N262">
        <v>-0.153431952662721</v>
      </c>
      <c r="O262" t="s">
        <v>8</v>
      </c>
      <c r="P262">
        <v>1.62809523809523</v>
      </c>
      <c r="Q262" t="s">
        <v>9</v>
      </c>
      <c r="R262">
        <v>-0.40621621621621601</v>
      </c>
      <c r="S262" t="s">
        <v>10</v>
      </c>
      <c r="T262">
        <v>0.18388494912536199</v>
      </c>
      <c r="U262" t="s">
        <v>11</v>
      </c>
      <c r="V262" t="s">
        <v>757</v>
      </c>
      <c r="W262" t="s">
        <v>2046</v>
      </c>
      <c r="X262">
        <v>0</v>
      </c>
      <c r="Y262" t="s">
        <v>14</v>
      </c>
      <c r="Z262" t="s">
        <v>15</v>
      </c>
      <c r="AA262" t="s">
        <v>2668</v>
      </c>
      <c r="AB262" t="s">
        <v>2169</v>
      </c>
      <c r="AC262">
        <v>0</v>
      </c>
      <c r="AD262" t="s">
        <v>18</v>
      </c>
    </row>
    <row r="263" spans="1:30" x14ac:dyDescent="0.3">
      <c r="A263" t="s">
        <v>2752</v>
      </c>
      <c r="B263" t="s">
        <v>1</v>
      </c>
      <c r="C263">
        <v>-0.1</v>
      </c>
      <c r="D263" t="s">
        <v>2174</v>
      </c>
      <c r="E263" t="s">
        <v>2559</v>
      </c>
      <c r="F263" t="str">
        <f t="shared" si="4"/>
        <v xml:space="preserve">psar_no_highvol_{'P' [('delta'-0.1 1)]}_[42 70]_1 </v>
      </c>
      <c r="G263" t="s">
        <v>2540</v>
      </c>
      <c r="H263">
        <v>130</v>
      </c>
      <c r="I263" t="s">
        <v>5</v>
      </c>
      <c r="J263">
        <v>27</v>
      </c>
      <c r="K263" t="s">
        <v>6</v>
      </c>
      <c r="L263">
        <v>-25.6013117310025</v>
      </c>
      <c r="M263" t="s">
        <v>7</v>
      </c>
      <c r="N263">
        <v>-0.19693316716155801</v>
      </c>
      <c r="O263" t="s">
        <v>8</v>
      </c>
      <c r="P263">
        <v>1.6187596210614099</v>
      </c>
      <c r="Q263" t="s">
        <v>9</v>
      </c>
      <c r="R263">
        <v>-0.67289147087049195</v>
      </c>
      <c r="S263" t="s">
        <v>10</v>
      </c>
      <c r="T263">
        <v>0.20168663636787701</v>
      </c>
      <c r="U263" t="s">
        <v>11</v>
      </c>
      <c r="V263" t="s">
        <v>2230</v>
      </c>
      <c r="W263" t="s">
        <v>2773</v>
      </c>
      <c r="X263">
        <v>0</v>
      </c>
      <c r="Y263" t="s">
        <v>14</v>
      </c>
      <c r="Z263" t="s">
        <v>15</v>
      </c>
      <c r="AA263" t="s">
        <v>2230</v>
      </c>
      <c r="AB263" t="s">
        <v>2773</v>
      </c>
      <c r="AC263">
        <v>0</v>
      </c>
      <c r="AD263" t="s">
        <v>18</v>
      </c>
    </row>
    <row r="264" spans="1:30" x14ac:dyDescent="0.3">
      <c r="A264" t="s">
        <v>2728</v>
      </c>
      <c r="B264" t="s">
        <v>1</v>
      </c>
      <c r="C264">
        <v>-0.3</v>
      </c>
      <c r="D264" t="s">
        <v>2174</v>
      </c>
      <c r="E264" t="s">
        <v>2562</v>
      </c>
      <c r="F264" t="str">
        <f t="shared" si="4"/>
        <v xml:space="preserve">psar_{'P' [('delta'-0.3 1)]}_[42 70]_2 </v>
      </c>
      <c r="G264" t="s">
        <v>2540</v>
      </c>
      <c r="H264">
        <v>139</v>
      </c>
      <c r="I264" t="s">
        <v>5</v>
      </c>
      <c r="J264">
        <v>26</v>
      </c>
      <c r="K264" t="s">
        <v>6</v>
      </c>
      <c r="L264">
        <v>-25.44</v>
      </c>
      <c r="M264" t="s">
        <v>7</v>
      </c>
      <c r="N264">
        <v>-0.183021582733813</v>
      </c>
      <c r="O264" t="s">
        <v>8</v>
      </c>
      <c r="P264">
        <v>8.7196153846153805</v>
      </c>
      <c r="Q264" t="s">
        <v>9</v>
      </c>
      <c r="R264">
        <v>-2.23141592920354</v>
      </c>
      <c r="S264" t="s">
        <v>10</v>
      </c>
      <c r="T264">
        <v>0.88963341426341902</v>
      </c>
      <c r="U264" t="s">
        <v>11</v>
      </c>
      <c r="V264" t="s">
        <v>2740</v>
      </c>
      <c r="W264" t="s">
        <v>2587</v>
      </c>
      <c r="X264">
        <v>0</v>
      </c>
      <c r="Y264" t="s">
        <v>14</v>
      </c>
      <c r="Z264" t="s">
        <v>15</v>
      </c>
      <c r="AA264" t="s">
        <v>2741</v>
      </c>
      <c r="AB264" t="s">
        <v>2564</v>
      </c>
      <c r="AC264">
        <v>0</v>
      </c>
      <c r="AD264" t="s">
        <v>18</v>
      </c>
    </row>
    <row r="265" spans="1:30" x14ac:dyDescent="0.3">
      <c r="A265" t="s">
        <v>2777</v>
      </c>
      <c r="B265" t="s">
        <v>1</v>
      </c>
      <c r="C265">
        <v>-0.1</v>
      </c>
      <c r="D265" t="s">
        <v>2174</v>
      </c>
      <c r="E265" t="s">
        <v>2559</v>
      </c>
      <c r="F265" t="str">
        <f t="shared" si="4"/>
        <v xml:space="preserve">rsi_{'P' [('delta'-0.1 1)]}_[42 70]_1 </v>
      </c>
      <c r="G265" t="s">
        <v>2540</v>
      </c>
      <c r="H265">
        <v>127</v>
      </c>
      <c r="I265" t="s">
        <v>5</v>
      </c>
      <c r="J265">
        <v>26</v>
      </c>
      <c r="K265" t="s">
        <v>6</v>
      </c>
      <c r="L265">
        <v>-25.272597055848902</v>
      </c>
      <c r="M265" t="s">
        <v>7</v>
      </c>
      <c r="N265">
        <v>-0.19899682721140899</v>
      </c>
      <c r="O265" t="s">
        <v>8</v>
      </c>
      <c r="P265">
        <v>1.4671932848370699</v>
      </c>
      <c r="Q265" t="s">
        <v>9</v>
      </c>
      <c r="R265">
        <v>-0.62791705407537401</v>
      </c>
      <c r="S265" t="s">
        <v>10</v>
      </c>
      <c r="T265">
        <v>0.18245587937949001</v>
      </c>
      <c r="U265" t="s">
        <v>11</v>
      </c>
      <c r="V265" t="s">
        <v>2805</v>
      </c>
      <c r="W265" t="s">
        <v>2631</v>
      </c>
      <c r="X265">
        <v>0</v>
      </c>
      <c r="Y265" t="s">
        <v>14</v>
      </c>
      <c r="Z265" t="s">
        <v>15</v>
      </c>
      <c r="AA265" t="s">
        <v>2809</v>
      </c>
      <c r="AB265" t="s">
        <v>2249</v>
      </c>
      <c r="AC265">
        <v>0</v>
      </c>
      <c r="AD265" t="s">
        <v>18</v>
      </c>
    </row>
    <row r="266" spans="1:30" x14ac:dyDescent="0.3">
      <c r="A266" t="s">
        <v>2777</v>
      </c>
      <c r="B266" t="s">
        <v>1</v>
      </c>
      <c r="C266">
        <v>-0.1</v>
      </c>
      <c r="D266" t="s">
        <v>2174</v>
      </c>
      <c r="E266" t="s">
        <v>2569</v>
      </c>
      <c r="F266" t="str">
        <f t="shared" si="4"/>
        <v xml:space="preserve">rsi_{'P' [('delta'-0.1 1)]}_[42 70]_6 </v>
      </c>
      <c r="G266" t="s">
        <v>2540</v>
      </c>
      <c r="H266">
        <v>127</v>
      </c>
      <c r="I266" t="s">
        <v>5</v>
      </c>
      <c r="J266">
        <v>6</v>
      </c>
      <c r="K266" t="s">
        <v>6</v>
      </c>
      <c r="L266">
        <v>-25.097047340626901</v>
      </c>
      <c r="M266" t="s">
        <v>7</v>
      </c>
      <c r="N266">
        <v>-0.19761454598918801</v>
      </c>
      <c r="O266" t="s">
        <v>8</v>
      </c>
      <c r="P266">
        <v>8.4483333333333306</v>
      </c>
      <c r="Q266" t="s">
        <v>9</v>
      </c>
      <c r="R266">
        <v>-0.626339234220057</v>
      </c>
      <c r="S266" t="s">
        <v>10</v>
      </c>
      <c r="T266">
        <v>0.33470906608212497</v>
      </c>
      <c r="U266" t="s">
        <v>11</v>
      </c>
      <c r="V266" t="s">
        <v>204</v>
      </c>
      <c r="W266" t="s">
        <v>2568</v>
      </c>
      <c r="X266">
        <v>0</v>
      </c>
      <c r="Y266" t="s">
        <v>14</v>
      </c>
      <c r="Z266" t="s">
        <v>15</v>
      </c>
      <c r="AA266" t="s">
        <v>2810</v>
      </c>
      <c r="AB266" t="s">
        <v>2582</v>
      </c>
      <c r="AC266">
        <v>0</v>
      </c>
      <c r="AD266" t="s">
        <v>18</v>
      </c>
    </row>
    <row r="267" spans="1:30" x14ac:dyDescent="0.3">
      <c r="A267" t="s">
        <v>2683</v>
      </c>
      <c r="B267" t="s">
        <v>1</v>
      </c>
      <c r="C267">
        <v>-0.1</v>
      </c>
      <c r="D267" t="s">
        <v>27</v>
      </c>
      <c r="E267" t="s">
        <v>2552</v>
      </c>
      <c r="F267" t="str">
        <f t="shared" si="4"/>
        <v xml:space="preserve">bbands_no_highvol_{'P' [('delta'-0.1 1)]}_[21 49]_2 </v>
      </c>
      <c r="G267" t="s">
        <v>2540</v>
      </c>
      <c r="H267">
        <v>165</v>
      </c>
      <c r="I267" t="s">
        <v>5</v>
      </c>
      <c r="J267">
        <v>19</v>
      </c>
      <c r="K267" t="s">
        <v>6</v>
      </c>
      <c r="L267">
        <v>-24.76</v>
      </c>
      <c r="M267" t="s">
        <v>7</v>
      </c>
      <c r="N267">
        <v>-0.15006060606060601</v>
      </c>
      <c r="O267" t="s">
        <v>8</v>
      </c>
      <c r="P267">
        <v>2.3752631578947301</v>
      </c>
      <c r="Q267" t="s">
        <v>9</v>
      </c>
      <c r="R267">
        <v>-0.47869863013698599</v>
      </c>
      <c r="S267" t="s">
        <v>10</v>
      </c>
      <c r="T267">
        <v>0.26879212548374698</v>
      </c>
      <c r="U267" t="s">
        <v>11</v>
      </c>
      <c r="V267" t="s">
        <v>256</v>
      </c>
      <c r="W267" t="s">
        <v>2655</v>
      </c>
      <c r="X267">
        <v>0</v>
      </c>
      <c r="Y267" t="s">
        <v>14</v>
      </c>
      <c r="Z267" t="s">
        <v>15</v>
      </c>
      <c r="AA267" t="s">
        <v>2721</v>
      </c>
      <c r="AB267" t="s">
        <v>2655</v>
      </c>
      <c r="AC267">
        <v>0</v>
      </c>
      <c r="AD267" t="s">
        <v>18</v>
      </c>
    </row>
    <row r="268" spans="1:30" x14ac:dyDescent="0.3">
      <c r="A268" t="s">
        <v>2777</v>
      </c>
      <c r="B268" t="s">
        <v>1</v>
      </c>
      <c r="C268">
        <v>-0.2</v>
      </c>
      <c r="D268" t="s">
        <v>2</v>
      </c>
      <c r="E268" t="s">
        <v>2539</v>
      </c>
      <c r="F268" t="str">
        <f t="shared" si="4"/>
        <v xml:space="preserve">rsi_{'P' [('delta'-0.2 1)]}_[7 35]_1 </v>
      </c>
      <c r="G268" t="s">
        <v>2540</v>
      </c>
      <c r="H268">
        <v>136</v>
      </c>
      <c r="I268" t="s">
        <v>5</v>
      </c>
      <c r="J268">
        <v>33</v>
      </c>
      <c r="K268" t="s">
        <v>6</v>
      </c>
      <c r="L268">
        <v>-24.54</v>
      </c>
      <c r="M268" t="s">
        <v>7</v>
      </c>
      <c r="N268">
        <v>-0.18044117647058799</v>
      </c>
      <c r="O268" t="s">
        <v>8</v>
      </c>
      <c r="P268">
        <v>1.6766666666666601</v>
      </c>
      <c r="Q268" t="s">
        <v>9</v>
      </c>
      <c r="R268">
        <v>-0.77543689320388298</v>
      </c>
      <c r="S268" t="s">
        <v>10</v>
      </c>
      <c r="T268">
        <v>0.22880287876722999</v>
      </c>
      <c r="U268" t="s">
        <v>11</v>
      </c>
      <c r="V268" t="s">
        <v>2794</v>
      </c>
      <c r="W268" t="s">
        <v>2631</v>
      </c>
      <c r="X268">
        <v>0</v>
      </c>
      <c r="Y268" t="s">
        <v>14</v>
      </c>
      <c r="Z268" t="s">
        <v>15</v>
      </c>
      <c r="AA268" t="s">
        <v>2794</v>
      </c>
      <c r="AB268" t="s">
        <v>2631</v>
      </c>
      <c r="AC268">
        <v>0</v>
      </c>
      <c r="AD268" t="s">
        <v>18</v>
      </c>
    </row>
    <row r="269" spans="1:30" x14ac:dyDescent="0.3">
      <c r="A269" t="s">
        <v>2683</v>
      </c>
      <c r="B269" t="s">
        <v>1</v>
      </c>
      <c r="C269">
        <v>-0.1</v>
      </c>
      <c r="D269" t="s">
        <v>2</v>
      </c>
      <c r="E269" t="s">
        <v>2547</v>
      </c>
      <c r="F269" t="str">
        <f t="shared" si="4"/>
        <v xml:space="preserve">bbands_no_highvol_{'P' [('delta'-0.1 1)]}_[7 35]_6 </v>
      </c>
      <c r="G269" t="s">
        <v>2540</v>
      </c>
      <c r="H269">
        <v>155</v>
      </c>
      <c r="I269" t="s">
        <v>5</v>
      </c>
      <c r="J269">
        <v>7</v>
      </c>
      <c r="K269" t="s">
        <v>6</v>
      </c>
      <c r="L269">
        <v>-24.5</v>
      </c>
      <c r="M269" t="s">
        <v>7</v>
      </c>
      <c r="N269">
        <v>-0.158064516129032</v>
      </c>
      <c r="O269" t="s">
        <v>8</v>
      </c>
      <c r="P269">
        <v>4.7371428571428504</v>
      </c>
      <c r="Q269" t="s">
        <v>9</v>
      </c>
      <c r="R269">
        <v>-0.389594594594594</v>
      </c>
      <c r="S269" t="s">
        <v>10</v>
      </c>
      <c r="T269">
        <v>0.246037187505597</v>
      </c>
      <c r="U269" t="s">
        <v>11</v>
      </c>
      <c r="V269" t="s">
        <v>2719</v>
      </c>
      <c r="W269" t="s">
        <v>2720</v>
      </c>
      <c r="X269">
        <v>0</v>
      </c>
      <c r="Y269" t="s">
        <v>14</v>
      </c>
      <c r="Z269" t="s">
        <v>15</v>
      </c>
      <c r="AA269" t="s">
        <v>2671</v>
      </c>
      <c r="AB269" t="s">
        <v>2655</v>
      </c>
      <c r="AC269">
        <v>0</v>
      </c>
      <c r="AD269" t="s">
        <v>18</v>
      </c>
    </row>
    <row r="270" spans="1:30" x14ac:dyDescent="0.3">
      <c r="A270" t="s">
        <v>2752</v>
      </c>
      <c r="B270" t="s">
        <v>1</v>
      </c>
      <c r="C270">
        <v>-0.2</v>
      </c>
      <c r="D270" t="s">
        <v>2174</v>
      </c>
      <c r="E270" t="s">
        <v>2562</v>
      </c>
      <c r="F270" t="str">
        <f t="shared" si="4"/>
        <v xml:space="preserve">psar_no_highvol_{'P' [('delta'-0.2 1)]}_[42 70]_2 </v>
      </c>
      <c r="G270" t="s">
        <v>2540</v>
      </c>
      <c r="H270">
        <v>130</v>
      </c>
      <c r="I270" t="s">
        <v>5</v>
      </c>
      <c r="J270">
        <v>22</v>
      </c>
      <c r="K270" t="s">
        <v>6</v>
      </c>
      <c r="L270">
        <v>-23.689999999999898</v>
      </c>
      <c r="M270" t="s">
        <v>7</v>
      </c>
      <c r="N270">
        <v>-0.182230769230769</v>
      </c>
      <c r="O270" t="s">
        <v>8</v>
      </c>
      <c r="P270">
        <v>5.6454545454545402</v>
      </c>
      <c r="Q270" t="s">
        <v>9</v>
      </c>
      <c r="R270">
        <v>-1.3693518518518499</v>
      </c>
      <c r="S270" t="s">
        <v>10</v>
      </c>
      <c r="T270">
        <v>0.53541487412257804</v>
      </c>
      <c r="U270" t="s">
        <v>11</v>
      </c>
      <c r="V270" t="s">
        <v>2682</v>
      </c>
      <c r="W270" t="s">
        <v>2666</v>
      </c>
      <c r="X270">
        <v>0</v>
      </c>
      <c r="Y270" t="s">
        <v>14</v>
      </c>
      <c r="Z270" t="s">
        <v>15</v>
      </c>
      <c r="AA270" t="s">
        <v>2730</v>
      </c>
      <c r="AB270" t="s">
        <v>2564</v>
      </c>
      <c r="AC270">
        <v>0</v>
      </c>
      <c r="AD270" t="s">
        <v>18</v>
      </c>
    </row>
    <row r="271" spans="1:30" x14ac:dyDescent="0.3">
      <c r="A271" t="s">
        <v>2811</v>
      </c>
      <c r="B271" t="s">
        <v>1</v>
      </c>
      <c r="C271">
        <v>-0.1</v>
      </c>
      <c r="D271" t="s">
        <v>2</v>
      </c>
      <c r="E271" t="s">
        <v>2539</v>
      </c>
      <c r="F271" t="str">
        <f t="shared" si="4"/>
        <v xml:space="preserve">stoch_{'P' [('delta'-0.1 1)]}_[7 35]_1 </v>
      </c>
      <c r="G271" t="s">
        <v>2540</v>
      </c>
      <c r="H271">
        <v>375</v>
      </c>
      <c r="I271" t="s">
        <v>5</v>
      </c>
      <c r="J271">
        <v>77</v>
      </c>
      <c r="K271" t="s">
        <v>6</v>
      </c>
      <c r="L271">
        <v>-23.286877487405398</v>
      </c>
      <c r="M271" t="s">
        <v>7</v>
      </c>
      <c r="N271">
        <v>-6.2098339966414597E-2</v>
      </c>
      <c r="O271" t="s">
        <v>8</v>
      </c>
      <c r="P271">
        <v>1.2704106604577801</v>
      </c>
      <c r="Q271" t="s">
        <v>9</v>
      </c>
      <c r="R271">
        <v>-0.40640435685454501</v>
      </c>
      <c r="S271" t="s">
        <v>10</v>
      </c>
      <c r="T271">
        <v>0.45413707528281599</v>
      </c>
      <c r="U271" t="s">
        <v>11</v>
      </c>
      <c r="V271" t="s">
        <v>2844</v>
      </c>
      <c r="W271" t="s">
        <v>2845</v>
      </c>
      <c r="X271">
        <v>0</v>
      </c>
      <c r="Y271" t="s">
        <v>14</v>
      </c>
      <c r="Z271" t="s">
        <v>15</v>
      </c>
      <c r="AA271" t="s">
        <v>2846</v>
      </c>
      <c r="AB271" t="s">
        <v>2046</v>
      </c>
      <c r="AC271">
        <v>0</v>
      </c>
      <c r="AD271" t="s">
        <v>18</v>
      </c>
    </row>
    <row r="272" spans="1:30" x14ac:dyDescent="0.3">
      <c r="A272" t="s">
        <v>2683</v>
      </c>
      <c r="B272" t="s">
        <v>1</v>
      </c>
      <c r="C272">
        <v>-0.1</v>
      </c>
      <c r="D272" t="s">
        <v>27</v>
      </c>
      <c r="E272" t="s">
        <v>2558</v>
      </c>
      <c r="F272" t="str">
        <f t="shared" si="4"/>
        <v xml:space="preserve">bbands_no_highvol_{'P' [('delta'-0.1 1)]}_[21 49]_6 </v>
      </c>
      <c r="G272" t="s">
        <v>2540</v>
      </c>
      <c r="H272">
        <v>165</v>
      </c>
      <c r="I272" t="s">
        <v>5</v>
      </c>
      <c r="J272">
        <v>10</v>
      </c>
      <c r="K272" t="s">
        <v>6</v>
      </c>
      <c r="L272">
        <v>-22.96</v>
      </c>
      <c r="M272" t="s">
        <v>7</v>
      </c>
      <c r="N272">
        <v>-0.139151515151515</v>
      </c>
      <c r="O272" t="s">
        <v>8</v>
      </c>
      <c r="P272">
        <v>5.2459999999999898</v>
      </c>
      <c r="Q272" t="s">
        <v>9</v>
      </c>
      <c r="R272">
        <v>-0.48658064516129002</v>
      </c>
      <c r="S272" t="s">
        <v>10</v>
      </c>
      <c r="T272">
        <v>0.38372573939377902</v>
      </c>
      <c r="U272" t="s">
        <v>11</v>
      </c>
      <c r="V272" t="s">
        <v>2722</v>
      </c>
      <c r="W272" t="s">
        <v>2612</v>
      </c>
      <c r="X272">
        <v>0</v>
      </c>
      <c r="Y272" t="s">
        <v>14</v>
      </c>
      <c r="Z272" t="s">
        <v>15</v>
      </c>
      <c r="AA272" t="s">
        <v>2723</v>
      </c>
      <c r="AB272" t="s">
        <v>2655</v>
      </c>
      <c r="AC272">
        <v>0</v>
      </c>
      <c r="AD272" t="s">
        <v>18</v>
      </c>
    </row>
    <row r="273" spans="1:30" x14ac:dyDescent="0.3">
      <c r="A273" t="s">
        <v>2777</v>
      </c>
      <c r="B273" t="s">
        <v>1</v>
      </c>
      <c r="C273">
        <v>-0.1</v>
      </c>
      <c r="D273" t="s">
        <v>27</v>
      </c>
      <c r="E273" t="s">
        <v>2555</v>
      </c>
      <c r="F273" t="str">
        <f t="shared" si="4"/>
        <v xml:space="preserve">rsi_{'P' [('delta'-0.1 1)]}_[21 49]_4 </v>
      </c>
      <c r="G273" t="s">
        <v>2540</v>
      </c>
      <c r="H273">
        <v>128</v>
      </c>
      <c r="I273" t="s">
        <v>5</v>
      </c>
      <c r="J273">
        <v>8</v>
      </c>
      <c r="K273" t="s">
        <v>6</v>
      </c>
      <c r="L273">
        <v>-22.4499999999999</v>
      </c>
      <c r="M273" t="s">
        <v>7</v>
      </c>
      <c r="N273">
        <v>-0.175390624999999</v>
      </c>
      <c r="O273" t="s">
        <v>8</v>
      </c>
      <c r="P273">
        <v>4.5212499999999904</v>
      </c>
      <c r="Q273" t="s">
        <v>9</v>
      </c>
      <c r="R273">
        <v>-0.48849999999999899</v>
      </c>
      <c r="S273" t="s">
        <v>10</v>
      </c>
      <c r="T273">
        <v>0.25455801203466</v>
      </c>
      <c r="U273" t="s">
        <v>11</v>
      </c>
      <c r="V273" t="s">
        <v>2806</v>
      </c>
      <c r="W273" t="s">
        <v>2582</v>
      </c>
      <c r="X273">
        <v>0</v>
      </c>
      <c r="Y273" t="s">
        <v>14</v>
      </c>
      <c r="Z273" t="s">
        <v>15</v>
      </c>
      <c r="AA273" t="s">
        <v>2807</v>
      </c>
      <c r="AB273" t="s">
        <v>2704</v>
      </c>
      <c r="AC273">
        <v>0</v>
      </c>
      <c r="AD273" t="s">
        <v>18</v>
      </c>
    </row>
    <row r="274" spans="1:30" x14ac:dyDescent="0.3">
      <c r="A274" t="s">
        <v>2683</v>
      </c>
      <c r="B274" t="s">
        <v>1</v>
      </c>
      <c r="C274">
        <v>-0.1</v>
      </c>
      <c r="D274" t="s">
        <v>27</v>
      </c>
      <c r="E274" t="s">
        <v>2555</v>
      </c>
      <c r="F274" t="str">
        <f t="shared" si="4"/>
        <v xml:space="preserve">bbands_no_highvol_{'P' [('delta'-0.1 1)]}_[21 49]_4 </v>
      </c>
      <c r="G274" t="s">
        <v>2540</v>
      </c>
      <c r="H274">
        <v>165</v>
      </c>
      <c r="I274" t="s">
        <v>5</v>
      </c>
      <c r="J274">
        <v>14</v>
      </c>
      <c r="K274" t="s">
        <v>6</v>
      </c>
      <c r="L274">
        <v>-21.54</v>
      </c>
      <c r="M274" t="s">
        <v>7</v>
      </c>
      <c r="N274">
        <v>-0.13054545454545399</v>
      </c>
      <c r="O274" t="s">
        <v>8</v>
      </c>
      <c r="P274">
        <v>3.7257142857142802</v>
      </c>
      <c r="Q274" t="s">
        <v>9</v>
      </c>
      <c r="R274">
        <v>-0.48807947019867498</v>
      </c>
      <c r="S274" t="s">
        <v>10</v>
      </c>
      <c r="T274">
        <v>0.34486249438713901</v>
      </c>
      <c r="U274" t="s">
        <v>11</v>
      </c>
      <c r="V274" t="s">
        <v>2722</v>
      </c>
      <c r="W274" t="s">
        <v>2612</v>
      </c>
      <c r="X274">
        <v>0</v>
      </c>
      <c r="Y274" t="s">
        <v>14</v>
      </c>
      <c r="Z274" t="s">
        <v>15</v>
      </c>
      <c r="AA274" t="s">
        <v>2723</v>
      </c>
      <c r="AB274" t="s">
        <v>2655</v>
      </c>
      <c r="AC274">
        <v>0</v>
      </c>
      <c r="AD274" t="s">
        <v>18</v>
      </c>
    </row>
    <row r="275" spans="1:30" x14ac:dyDescent="0.3">
      <c r="A275" t="s">
        <v>2858</v>
      </c>
      <c r="B275" t="s">
        <v>1</v>
      </c>
      <c r="C275">
        <v>-0.1</v>
      </c>
      <c r="D275" t="s">
        <v>2174</v>
      </c>
      <c r="E275" t="s">
        <v>2565</v>
      </c>
      <c r="F275" t="str">
        <f t="shared" si="4"/>
        <v xml:space="preserve">stoch_no_highvol_{'P' [('delta'-0.1 1)]}_[42 70]_4 </v>
      </c>
      <c r="G275" t="s">
        <v>2540</v>
      </c>
      <c r="H275">
        <v>331</v>
      </c>
      <c r="I275" t="s">
        <v>5</v>
      </c>
      <c r="J275">
        <v>32</v>
      </c>
      <c r="K275" t="s">
        <v>6</v>
      </c>
      <c r="L275">
        <v>-21.331500846768702</v>
      </c>
      <c r="M275" t="s">
        <v>7</v>
      </c>
      <c r="N275">
        <v>-6.4445621893560998E-2</v>
      </c>
      <c r="O275" t="s">
        <v>8</v>
      </c>
      <c r="P275">
        <v>5.0631250000000003</v>
      </c>
      <c r="Q275" t="s">
        <v>9</v>
      </c>
      <c r="R275">
        <v>-0.61321572189554696</v>
      </c>
      <c r="S275" t="s">
        <v>10</v>
      </c>
      <c r="T275">
        <v>0.70865967980544997</v>
      </c>
      <c r="U275" t="s">
        <v>11</v>
      </c>
      <c r="V275" t="s">
        <v>204</v>
      </c>
      <c r="W275" t="s">
        <v>2568</v>
      </c>
      <c r="X275">
        <v>0</v>
      </c>
      <c r="Y275" t="s">
        <v>14</v>
      </c>
      <c r="Z275" t="s">
        <v>15</v>
      </c>
      <c r="AA275" t="s">
        <v>2856</v>
      </c>
      <c r="AB275" t="s">
        <v>2857</v>
      </c>
      <c r="AC275">
        <v>0</v>
      </c>
      <c r="AD275" t="s">
        <v>18</v>
      </c>
    </row>
    <row r="276" spans="1:30" x14ac:dyDescent="0.3">
      <c r="A276" t="s">
        <v>2683</v>
      </c>
      <c r="B276" t="s">
        <v>1</v>
      </c>
      <c r="C276">
        <v>-0.1</v>
      </c>
      <c r="D276" t="s">
        <v>2</v>
      </c>
      <c r="E276" t="s">
        <v>2543</v>
      </c>
      <c r="F276" t="str">
        <f t="shared" si="4"/>
        <v xml:space="preserve">bbands_no_highvol_{'P' [('delta'-0.1 1)]}_[7 35]_2 </v>
      </c>
      <c r="G276" t="s">
        <v>2540</v>
      </c>
      <c r="H276">
        <v>155</v>
      </c>
      <c r="I276" t="s">
        <v>5</v>
      </c>
      <c r="J276">
        <v>13</v>
      </c>
      <c r="K276" t="s">
        <v>6</v>
      </c>
      <c r="L276">
        <v>-21.05</v>
      </c>
      <c r="M276" t="s">
        <v>7</v>
      </c>
      <c r="N276">
        <v>-0.135806451612903</v>
      </c>
      <c r="O276" t="s">
        <v>8</v>
      </c>
      <c r="P276">
        <v>2.52076923076923</v>
      </c>
      <c r="Q276" t="s">
        <v>9</v>
      </c>
      <c r="R276">
        <v>-0.37901408450704199</v>
      </c>
      <c r="S276" t="s">
        <v>10</v>
      </c>
      <c r="T276">
        <v>0.188574933196964</v>
      </c>
      <c r="U276" t="s">
        <v>11</v>
      </c>
      <c r="V276" t="s">
        <v>256</v>
      </c>
      <c r="W276" t="s">
        <v>2655</v>
      </c>
      <c r="X276">
        <v>0</v>
      </c>
      <c r="Y276" t="s">
        <v>14</v>
      </c>
      <c r="Z276" t="s">
        <v>15</v>
      </c>
      <c r="AA276" t="s">
        <v>2716</v>
      </c>
      <c r="AB276" t="s">
        <v>2717</v>
      </c>
      <c r="AC276">
        <v>0</v>
      </c>
      <c r="AD276" t="s">
        <v>18</v>
      </c>
    </row>
    <row r="277" spans="1:30" x14ac:dyDescent="0.3">
      <c r="A277" t="s">
        <v>2683</v>
      </c>
      <c r="B277" t="s">
        <v>1</v>
      </c>
      <c r="C277">
        <v>-0.1</v>
      </c>
      <c r="D277" t="s">
        <v>2174</v>
      </c>
      <c r="E277" t="s">
        <v>2559</v>
      </c>
      <c r="F277" t="str">
        <f t="shared" si="4"/>
        <v xml:space="preserve">bbands_no_highvol_{'P' [('delta'-0.1 1)]}_[42 70]_1 </v>
      </c>
      <c r="G277" t="s">
        <v>2540</v>
      </c>
      <c r="H277">
        <v>157</v>
      </c>
      <c r="I277" t="s">
        <v>5</v>
      </c>
      <c r="J277">
        <v>33</v>
      </c>
      <c r="K277" t="s">
        <v>6</v>
      </c>
      <c r="L277">
        <v>-21.05</v>
      </c>
      <c r="M277" t="s">
        <v>7</v>
      </c>
      <c r="N277">
        <v>-0.134076433121019</v>
      </c>
      <c r="O277" t="s">
        <v>8</v>
      </c>
      <c r="P277">
        <v>1.70818181818181</v>
      </c>
      <c r="Q277" t="s">
        <v>9</v>
      </c>
      <c r="R277">
        <v>-0.62435483870967701</v>
      </c>
      <c r="S277" t="s">
        <v>10</v>
      </c>
      <c r="T277">
        <v>0.27824964604861702</v>
      </c>
      <c r="U277" t="s">
        <v>11</v>
      </c>
      <c r="V277" t="s">
        <v>2724</v>
      </c>
      <c r="W277" t="s">
        <v>2249</v>
      </c>
      <c r="X277">
        <v>0</v>
      </c>
      <c r="Y277" t="s">
        <v>14</v>
      </c>
      <c r="Z277" t="s">
        <v>15</v>
      </c>
      <c r="AA277" t="s">
        <v>685</v>
      </c>
      <c r="AB277" t="s">
        <v>2717</v>
      </c>
      <c r="AC277">
        <v>0</v>
      </c>
      <c r="AD277" t="s">
        <v>18</v>
      </c>
    </row>
    <row r="278" spans="1:30" x14ac:dyDescent="0.3">
      <c r="A278" t="s">
        <v>2858</v>
      </c>
      <c r="B278" t="s">
        <v>1</v>
      </c>
      <c r="C278">
        <v>-0.1</v>
      </c>
      <c r="D278" t="s">
        <v>2</v>
      </c>
      <c r="E278" t="s">
        <v>2539</v>
      </c>
      <c r="F278" t="str">
        <f t="shared" si="4"/>
        <v xml:space="preserve">stoch_no_highvol_{'P' [('delta'-0.1 1)]}_[7 35]_1 </v>
      </c>
      <c r="G278" t="s">
        <v>2540</v>
      </c>
      <c r="H278">
        <v>334</v>
      </c>
      <c r="I278" t="s">
        <v>5</v>
      </c>
      <c r="J278">
        <v>66</v>
      </c>
      <c r="K278" t="s">
        <v>6</v>
      </c>
      <c r="L278">
        <v>-20.52</v>
      </c>
      <c r="M278" t="s">
        <v>7</v>
      </c>
      <c r="N278">
        <v>-6.1437125748502998E-2</v>
      </c>
      <c r="O278" t="s">
        <v>8</v>
      </c>
      <c r="P278">
        <v>1.14530303030303</v>
      </c>
      <c r="Q278" t="s">
        <v>9</v>
      </c>
      <c r="R278">
        <v>-0.358619402985074</v>
      </c>
      <c r="S278" t="s">
        <v>10</v>
      </c>
      <c r="T278">
        <v>0.341578450926877</v>
      </c>
      <c r="U278" t="s">
        <v>11</v>
      </c>
      <c r="V278" t="s">
        <v>2894</v>
      </c>
      <c r="W278" t="s">
        <v>2859</v>
      </c>
      <c r="X278">
        <v>0</v>
      </c>
      <c r="Y278" t="s">
        <v>14</v>
      </c>
      <c r="Z278" t="s">
        <v>15</v>
      </c>
      <c r="AA278" t="s">
        <v>2895</v>
      </c>
      <c r="AB278" t="s">
        <v>2418</v>
      </c>
      <c r="AC278">
        <v>0</v>
      </c>
      <c r="AD278" t="s">
        <v>18</v>
      </c>
    </row>
    <row r="279" spans="1:30" x14ac:dyDescent="0.3">
      <c r="A279" t="s">
        <v>2728</v>
      </c>
      <c r="B279" t="s">
        <v>1</v>
      </c>
      <c r="C279">
        <v>-0.1</v>
      </c>
      <c r="D279" t="s">
        <v>2174</v>
      </c>
      <c r="E279" t="s">
        <v>2565</v>
      </c>
      <c r="F279" t="str">
        <f t="shared" si="4"/>
        <v xml:space="preserve">psar_{'P' [('delta'-0.1 1)]}_[42 70]_4 </v>
      </c>
      <c r="G279" t="s">
        <v>2540</v>
      </c>
      <c r="H279">
        <v>139</v>
      </c>
      <c r="I279" t="s">
        <v>5</v>
      </c>
      <c r="J279">
        <v>14</v>
      </c>
      <c r="K279" t="s">
        <v>6</v>
      </c>
      <c r="L279">
        <v>-20.3906051263838</v>
      </c>
      <c r="M279" t="s">
        <v>7</v>
      </c>
      <c r="N279">
        <v>-0.14669500090923601</v>
      </c>
      <c r="O279" t="s">
        <v>8</v>
      </c>
      <c r="P279">
        <v>5.1695075894949998</v>
      </c>
      <c r="Q279" t="s">
        <v>9</v>
      </c>
      <c r="R279">
        <v>-0.74210969103450997</v>
      </c>
      <c r="S279" t="s">
        <v>10</v>
      </c>
      <c r="T279">
        <v>0.39183038602134801</v>
      </c>
      <c r="U279" t="s">
        <v>11</v>
      </c>
      <c r="V279" t="s">
        <v>812</v>
      </c>
      <c r="W279" t="s">
        <v>2071</v>
      </c>
      <c r="X279">
        <v>0</v>
      </c>
      <c r="Y279" t="s">
        <v>14</v>
      </c>
      <c r="Z279" t="s">
        <v>15</v>
      </c>
      <c r="AA279" t="s">
        <v>812</v>
      </c>
      <c r="AB279" t="s">
        <v>2071</v>
      </c>
      <c r="AC279">
        <v>0</v>
      </c>
      <c r="AD279" t="s">
        <v>18</v>
      </c>
    </row>
    <row r="280" spans="1:30" x14ac:dyDescent="0.3">
      <c r="A280" t="s">
        <v>2777</v>
      </c>
      <c r="B280" t="s">
        <v>1</v>
      </c>
      <c r="C280">
        <v>-0.1</v>
      </c>
      <c r="D280" t="s">
        <v>27</v>
      </c>
      <c r="E280" t="s">
        <v>2552</v>
      </c>
      <c r="F280" t="str">
        <f t="shared" si="4"/>
        <v xml:space="preserve">rsi_{'P' [('delta'-0.1 1)]}_[21 49]_2 </v>
      </c>
      <c r="G280" t="s">
        <v>2540</v>
      </c>
      <c r="H280">
        <v>128</v>
      </c>
      <c r="I280" t="s">
        <v>5</v>
      </c>
      <c r="J280">
        <v>17</v>
      </c>
      <c r="K280" t="s">
        <v>6</v>
      </c>
      <c r="L280">
        <v>-20.260000000000002</v>
      </c>
      <c r="M280" t="s">
        <v>7</v>
      </c>
      <c r="N280">
        <v>-0.15828125000000001</v>
      </c>
      <c r="O280" t="s">
        <v>8</v>
      </c>
      <c r="P280">
        <v>1.99941176470588</v>
      </c>
      <c r="Q280" t="s">
        <v>9</v>
      </c>
      <c r="R280">
        <v>-0.48873873873873802</v>
      </c>
      <c r="S280" t="s">
        <v>10</v>
      </c>
      <c r="T280">
        <v>0.199273079026209</v>
      </c>
      <c r="U280" t="s">
        <v>11</v>
      </c>
      <c r="V280" t="s">
        <v>2806</v>
      </c>
      <c r="W280" t="s">
        <v>2582</v>
      </c>
      <c r="X280">
        <v>0</v>
      </c>
      <c r="Y280" t="s">
        <v>14</v>
      </c>
      <c r="Z280" t="s">
        <v>15</v>
      </c>
      <c r="AA280" t="s">
        <v>2807</v>
      </c>
      <c r="AB280" t="s">
        <v>2704</v>
      </c>
      <c r="AC280">
        <v>0</v>
      </c>
      <c r="AD280" t="s">
        <v>18</v>
      </c>
    </row>
    <row r="281" spans="1:30" x14ac:dyDescent="0.3">
      <c r="A281" t="s">
        <v>2623</v>
      </c>
      <c r="B281" t="s">
        <v>1</v>
      </c>
      <c r="C281">
        <v>-0.1</v>
      </c>
      <c r="D281" t="s">
        <v>2174</v>
      </c>
      <c r="E281" t="s">
        <v>2559</v>
      </c>
      <c r="F281" t="str">
        <f t="shared" si="4"/>
        <v xml:space="preserve">bbands_{'P' [('delta'-0.1 1)]}_[42 70]_1 </v>
      </c>
      <c r="G281" t="s">
        <v>2540</v>
      </c>
      <c r="H281">
        <v>167</v>
      </c>
      <c r="I281" t="s">
        <v>5</v>
      </c>
      <c r="J281">
        <v>38</v>
      </c>
      <c r="K281" t="s">
        <v>6</v>
      </c>
      <c r="L281">
        <v>-20.149999999999899</v>
      </c>
      <c r="M281" t="s">
        <v>7</v>
      </c>
      <c r="N281">
        <v>-0.12065868263472999</v>
      </c>
      <c r="O281" t="s">
        <v>8</v>
      </c>
      <c r="P281">
        <v>1.72236842105263</v>
      </c>
      <c r="Q281" t="s">
        <v>9</v>
      </c>
      <c r="R281">
        <v>-0.66356589147286804</v>
      </c>
      <c r="S281" t="s">
        <v>10</v>
      </c>
      <c r="T281">
        <v>0.34325460607573999</v>
      </c>
      <c r="U281" t="s">
        <v>11</v>
      </c>
      <c r="V281" t="s">
        <v>2677</v>
      </c>
      <c r="W281" t="s">
        <v>2046</v>
      </c>
      <c r="X281">
        <v>0</v>
      </c>
      <c r="Y281" t="s">
        <v>14</v>
      </c>
      <c r="Z281" t="s">
        <v>15</v>
      </c>
      <c r="AA281" t="s">
        <v>2678</v>
      </c>
      <c r="AB281" t="s">
        <v>2046</v>
      </c>
      <c r="AC281">
        <v>0</v>
      </c>
      <c r="AD281" t="s">
        <v>18</v>
      </c>
    </row>
    <row r="282" spans="1:30" x14ac:dyDescent="0.3">
      <c r="A282" t="s">
        <v>2683</v>
      </c>
      <c r="B282" t="s">
        <v>1</v>
      </c>
      <c r="C282">
        <v>-0.1</v>
      </c>
      <c r="D282" t="s">
        <v>2</v>
      </c>
      <c r="E282" t="s">
        <v>2539</v>
      </c>
      <c r="F282" t="str">
        <f t="shared" si="4"/>
        <v xml:space="preserve">bbands_no_highvol_{'P' [('delta'-0.1 1)]}_[7 35]_1 </v>
      </c>
      <c r="G282" t="s">
        <v>2540</v>
      </c>
      <c r="H282">
        <v>155</v>
      </c>
      <c r="I282" t="s">
        <v>5</v>
      </c>
      <c r="J282">
        <v>20</v>
      </c>
      <c r="K282" t="s">
        <v>6</v>
      </c>
      <c r="L282">
        <v>-19.809999999999999</v>
      </c>
      <c r="M282" t="s">
        <v>7</v>
      </c>
      <c r="N282">
        <v>-0.12780645161290299</v>
      </c>
      <c r="O282" t="s">
        <v>8</v>
      </c>
      <c r="P282">
        <v>1.5415000000000001</v>
      </c>
      <c r="Q282" t="s">
        <v>9</v>
      </c>
      <c r="R282">
        <v>-0.37511111111111101</v>
      </c>
      <c r="S282" t="s">
        <v>10</v>
      </c>
      <c r="T282">
        <v>0.16086246459387499</v>
      </c>
      <c r="U282" t="s">
        <v>11</v>
      </c>
      <c r="V282" t="s">
        <v>2214</v>
      </c>
      <c r="W282" t="s">
        <v>2013</v>
      </c>
      <c r="X282">
        <v>0</v>
      </c>
      <c r="Y282" t="s">
        <v>14</v>
      </c>
      <c r="Z282" t="s">
        <v>15</v>
      </c>
      <c r="AA282" t="s">
        <v>2715</v>
      </c>
      <c r="AB282" t="s">
        <v>2013</v>
      </c>
      <c r="AC282">
        <v>0</v>
      </c>
      <c r="AD282" t="s">
        <v>18</v>
      </c>
    </row>
    <row r="283" spans="1:30" x14ac:dyDescent="0.3">
      <c r="A283" t="s">
        <v>2811</v>
      </c>
      <c r="B283" t="s">
        <v>1</v>
      </c>
      <c r="C283">
        <v>-0.1</v>
      </c>
      <c r="D283" t="s">
        <v>2</v>
      </c>
      <c r="E283" t="s">
        <v>2543</v>
      </c>
      <c r="F283" t="str">
        <f t="shared" si="4"/>
        <v xml:space="preserve">stoch_{'P' [('delta'-0.1 1)]}_[7 35]_2 </v>
      </c>
      <c r="G283" t="s">
        <v>2540</v>
      </c>
      <c r="H283">
        <v>375</v>
      </c>
      <c r="I283" t="s">
        <v>5</v>
      </c>
      <c r="J283">
        <v>53</v>
      </c>
      <c r="K283" t="s">
        <v>6</v>
      </c>
      <c r="L283">
        <v>-19.711222084833</v>
      </c>
      <c r="M283" t="s">
        <v>7</v>
      </c>
      <c r="N283">
        <v>-5.2563258892888098E-2</v>
      </c>
      <c r="O283" t="s">
        <v>8</v>
      </c>
      <c r="P283">
        <v>2.1575471698113202</v>
      </c>
      <c r="Q283" t="s">
        <v>9</v>
      </c>
      <c r="R283">
        <v>-0.41633919902122002</v>
      </c>
      <c r="S283" t="s">
        <v>10</v>
      </c>
      <c r="T283">
        <v>0.596269363746738</v>
      </c>
      <c r="U283" t="s">
        <v>11</v>
      </c>
      <c r="V283" t="s">
        <v>2669</v>
      </c>
      <c r="W283" t="s">
        <v>2627</v>
      </c>
    </row>
    <row r="284" spans="1:30" x14ac:dyDescent="0.3">
      <c r="A284" t="s">
        <v>2858</v>
      </c>
      <c r="B284" t="s">
        <v>1</v>
      </c>
      <c r="C284">
        <v>-0.2</v>
      </c>
      <c r="D284" t="s">
        <v>2174</v>
      </c>
      <c r="E284" t="s">
        <v>2569</v>
      </c>
      <c r="F284" t="str">
        <f t="shared" si="4"/>
        <v xml:space="preserve">stoch_no_highvol_{'P' [('delta'-0.2 1)]}_[42 70]_6 </v>
      </c>
      <c r="G284" t="s">
        <v>2540</v>
      </c>
      <c r="H284">
        <v>331</v>
      </c>
      <c r="I284" t="s">
        <v>5</v>
      </c>
      <c r="J284">
        <v>28</v>
      </c>
      <c r="K284" t="s">
        <v>6</v>
      </c>
      <c r="L284">
        <v>-19.565762620735899</v>
      </c>
      <c r="M284" t="s">
        <v>7</v>
      </c>
      <c r="N284">
        <v>-5.9111065319443899E-2</v>
      </c>
      <c r="O284" t="s">
        <v>8</v>
      </c>
      <c r="P284">
        <v>13.1767857142857</v>
      </c>
      <c r="Q284" t="s">
        <v>9</v>
      </c>
      <c r="R284">
        <v>-1.2822302396723899</v>
      </c>
      <c r="S284" t="s">
        <v>10</v>
      </c>
      <c r="T284">
        <v>1.48597548464605</v>
      </c>
      <c r="U284" t="s">
        <v>11</v>
      </c>
      <c r="V284" t="s">
        <v>2746</v>
      </c>
      <c r="W284" t="s">
        <v>2568</v>
      </c>
      <c r="X284">
        <v>0</v>
      </c>
      <c r="Y284" t="s">
        <v>14</v>
      </c>
      <c r="Z284" t="s">
        <v>15</v>
      </c>
      <c r="AA284" t="s">
        <v>2803</v>
      </c>
      <c r="AB284" t="s">
        <v>2793</v>
      </c>
      <c r="AC284">
        <v>0</v>
      </c>
      <c r="AD284" t="s">
        <v>18</v>
      </c>
    </row>
    <row r="285" spans="1:30" x14ac:dyDescent="0.3">
      <c r="A285" t="s">
        <v>2683</v>
      </c>
      <c r="B285" t="s">
        <v>1</v>
      </c>
      <c r="C285">
        <v>-0.1</v>
      </c>
      <c r="D285" t="s">
        <v>2174</v>
      </c>
      <c r="E285" t="s">
        <v>2565</v>
      </c>
      <c r="F285" t="str">
        <f t="shared" si="4"/>
        <v xml:space="preserve">bbands_no_highvol_{'P' [('delta'-0.1 1)]}_[42 70]_4 </v>
      </c>
      <c r="G285" t="s">
        <v>2540</v>
      </c>
      <c r="H285">
        <v>157</v>
      </c>
      <c r="I285" t="s">
        <v>5</v>
      </c>
      <c r="J285">
        <v>13</v>
      </c>
      <c r="K285" t="s">
        <v>6</v>
      </c>
      <c r="L285">
        <v>-18.869999999999902</v>
      </c>
      <c r="M285" t="s">
        <v>7</v>
      </c>
      <c r="N285">
        <v>-0.12019108280254701</v>
      </c>
      <c r="O285" t="s">
        <v>8</v>
      </c>
      <c r="P285">
        <v>5.43923076923077</v>
      </c>
      <c r="Q285" t="s">
        <v>9</v>
      </c>
      <c r="R285">
        <v>-0.62208333333333299</v>
      </c>
      <c r="S285" t="s">
        <v>10</v>
      </c>
      <c r="T285">
        <v>0.42185055445432701</v>
      </c>
      <c r="U285" t="s">
        <v>11</v>
      </c>
      <c r="V285" t="s">
        <v>89</v>
      </c>
      <c r="W285" t="s">
        <v>2704</v>
      </c>
      <c r="X285">
        <v>0</v>
      </c>
      <c r="Y285" t="s">
        <v>14</v>
      </c>
      <c r="Z285" t="s">
        <v>15</v>
      </c>
      <c r="AA285" t="s">
        <v>2727</v>
      </c>
      <c r="AB285" t="s">
        <v>2655</v>
      </c>
      <c r="AC285">
        <v>0</v>
      </c>
      <c r="AD285" t="s">
        <v>18</v>
      </c>
    </row>
    <row r="286" spans="1:30" x14ac:dyDescent="0.3">
      <c r="A286" t="s">
        <v>2858</v>
      </c>
      <c r="B286" t="s">
        <v>1</v>
      </c>
      <c r="C286">
        <v>-0.4</v>
      </c>
      <c r="D286" t="s">
        <v>2</v>
      </c>
      <c r="E286" t="s">
        <v>2539</v>
      </c>
      <c r="F286" t="str">
        <f t="shared" si="4"/>
        <v xml:space="preserve">stoch_no_highvol_{'P' [('delta'-0.4 1)]}_[7 35]_1 </v>
      </c>
      <c r="G286" t="s">
        <v>2540</v>
      </c>
      <c r="H286">
        <v>334</v>
      </c>
      <c r="I286" t="s">
        <v>5</v>
      </c>
      <c r="J286">
        <v>94</v>
      </c>
      <c r="K286" t="s">
        <v>6</v>
      </c>
      <c r="L286">
        <v>-18.500000000000099</v>
      </c>
      <c r="M286" t="s">
        <v>7</v>
      </c>
      <c r="N286">
        <v>-5.5389221556886498E-2</v>
      </c>
      <c r="O286" t="s">
        <v>8</v>
      </c>
      <c r="P286">
        <v>4.3068085106382901</v>
      </c>
      <c r="Q286" t="s">
        <v>9</v>
      </c>
      <c r="R286">
        <v>-1.7639166666666599</v>
      </c>
      <c r="S286" t="s">
        <v>10</v>
      </c>
      <c r="T286">
        <v>1.4695406287052</v>
      </c>
      <c r="U286" t="s">
        <v>11</v>
      </c>
      <c r="V286" t="s">
        <v>1464</v>
      </c>
      <c r="W286" t="s">
        <v>2859</v>
      </c>
      <c r="X286">
        <v>0</v>
      </c>
      <c r="Y286" t="s">
        <v>14</v>
      </c>
      <c r="Z286" t="s">
        <v>15</v>
      </c>
      <c r="AA286" t="s">
        <v>2860</v>
      </c>
      <c r="AB286" t="s">
        <v>2418</v>
      </c>
      <c r="AC286">
        <v>0</v>
      </c>
      <c r="AD286" t="s">
        <v>18</v>
      </c>
    </row>
    <row r="287" spans="1:30" x14ac:dyDescent="0.3">
      <c r="A287" t="s">
        <v>2858</v>
      </c>
      <c r="B287" t="s">
        <v>1</v>
      </c>
      <c r="C287">
        <v>-0.1</v>
      </c>
      <c r="D287" t="s">
        <v>2</v>
      </c>
      <c r="E287" t="s">
        <v>2543</v>
      </c>
      <c r="F287" t="str">
        <f t="shared" si="4"/>
        <v xml:space="preserve">stoch_no_highvol_{'P' [('delta'-0.1 1)]}_[7 35]_2 </v>
      </c>
      <c r="G287" t="s">
        <v>2540</v>
      </c>
      <c r="H287">
        <v>334</v>
      </c>
      <c r="I287" t="s">
        <v>5</v>
      </c>
      <c r="J287">
        <v>47</v>
      </c>
      <c r="K287" t="s">
        <v>6</v>
      </c>
      <c r="L287">
        <v>-18.260000000000002</v>
      </c>
      <c r="M287" t="s">
        <v>7</v>
      </c>
      <c r="N287">
        <v>-5.4670658682634703E-2</v>
      </c>
      <c r="O287" t="s">
        <v>8</v>
      </c>
      <c r="P287">
        <v>1.8240425531914799</v>
      </c>
      <c r="Q287" t="s">
        <v>9</v>
      </c>
      <c r="R287">
        <v>-0.36233449477351798</v>
      </c>
      <c r="S287" t="s">
        <v>10</v>
      </c>
      <c r="T287">
        <v>0.41228852052855602</v>
      </c>
      <c r="U287" t="s">
        <v>11</v>
      </c>
      <c r="V287" t="s">
        <v>2316</v>
      </c>
      <c r="W287" t="s">
        <v>2888</v>
      </c>
      <c r="X287">
        <v>0</v>
      </c>
      <c r="Y287" t="s">
        <v>14</v>
      </c>
      <c r="Z287" t="s">
        <v>15</v>
      </c>
      <c r="AA287" t="s">
        <v>2895</v>
      </c>
      <c r="AB287" t="s">
        <v>2418</v>
      </c>
      <c r="AC287">
        <v>0</v>
      </c>
      <c r="AD287" t="s">
        <v>18</v>
      </c>
    </row>
    <row r="288" spans="1:30" x14ac:dyDescent="0.3">
      <c r="A288" t="s">
        <v>2683</v>
      </c>
      <c r="B288" t="s">
        <v>1</v>
      </c>
      <c r="C288">
        <v>-0.1</v>
      </c>
      <c r="D288" t="s">
        <v>2174</v>
      </c>
      <c r="E288" t="s">
        <v>2569</v>
      </c>
      <c r="F288" t="str">
        <f t="shared" si="4"/>
        <v xml:space="preserve">bbands_no_highvol_{'P' [('delta'-0.1 1)]}_[42 70]_6 </v>
      </c>
      <c r="G288" t="s">
        <v>2540</v>
      </c>
      <c r="H288">
        <v>157</v>
      </c>
      <c r="I288" t="s">
        <v>5</v>
      </c>
      <c r="J288">
        <v>10</v>
      </c>
      <c r="K288" t="s">
        <v>6</v>
      </c>
      <c r="L288">
        <v>-18.119999999999902</v>
      </c>
      <c r="M288" t="s">
        <v>7</v>
      </c>
      <c r="N288">
        <v>-0.115414012738853</v>
      </c>
      <c r="O288" t="s">
        <v>8</v>
      </c>
      <c r="P288">
        <v>7.3369999999999997</v>
      </c>
      <c r="Q288" t="s">
        <v>9</v>
      </c>
      <c r="R288">
        <v>-0.62238095238095203</v>
      </c>
      <c r="S288" t="s">
        <v>10</v>
      </c>
      <c r="T288">
        <v>0.47582213373228999</v>
      </c>
      <c r="U288" t="s">
        <v>11</v>
      </c>
      <c r="V288" t="s">
        <v>2682</v>
      </c>
      <c r="W288" t="s">
        <v>2666</v>
      </c>
      <c r="X288">
        <v>0</v>
      </c>
      <c r="Y288" t="s">
        <v>14</v>
      </c>
      <c r="Z288" t="s">
        <v>15</v>
      </c>
      <c r="AA288" t="s">
        <v>2727</v>
      </c>
      <c r="AB288" t="s">
        <v>2655</v>
      </c>
      <c r="AC288">
        <v>0</v>
      </c>
      <c r="AD288" t="s">
        <v>18</v>
      </c>
    </row>
    <row r="289" spans="1:30" x14ac:dyDescent="0.3">
      <c r="A289" t="s">
        <v>2752</v>
      </c>
      <c r="B289" t="s">
        <v>1</v>
      </c>
      <c r="C289">
        <v>-0.1</v>
      </c>
      <c r="D289" t="s">
        <v>2174</v>
      </c>
      <c r="E289" t="s">
        <v>2562</v>
      </c>
      <c r="F289" t="str">
        <f t="shared" si="4"/>
        <v xml:space="preserve">psar_no_highvol_{'P' [('delta'-0.1 1)]}_[42 70]_2 </v>
      </c>
      <c r="G289" t="s">
        <v>2540</v>
      </c>
      <c r="H289">
        <v>130</v>
      </c>
      <c r="I289" t="s">
        <v>5</v>
      </c>
      <c r="J289">
        <v>21</v>
      </c>
      <c r="K289" t="s">
        <v>6</v>
      </c>
      <c r="L289">
        <v>-18.111857640567699</v>
      </c>
      <c r="M289" t="s">
        <v>7</v>
      </c>
      <c r="N289">
        <v>-0.139321981850521</v>
      </c>
      <c r="O289" t="s">
        <v>8</v>
      </c>
      <c r="P289">
        <v>2.6283792313853702</v>
      </c>
      <c r="Q289" t="s">
        <v>9</v>
      </c>
      <c r="R289">
        <v>-0.67254882109780401</v>
      </c>
      <c r="S289" t="s">
        <v>10</v>
      </c>
      <c r="T289">
        <v>0.240793136209461</v>
      </c>
      <c r="U289" t="s">
        <v>11</v>
      </c>
      <c r="V289" t="s">
        <v>2776</v>
      </c>
      <c r="W289" t="s">
        <v>2666</v>
      </c>
      <c r="X289">
        <v>0</v>
      </c>
      <c r="Y289" t="s">
        <v>14</v>
      </c>
      <c r="Z289" t="s">
        <v>15</v>
      </c>
      <c r="AA289" t="s">
        <v>2776</v>
      </c>
      <c r="AB289" t="s">
        <v>2666</v>
      </c>
      <c r="AC289">
        <v>0</v>
      </c>
      <c r="AD289" t="s">
        <v>18</v>
      </c>
    </row>
    <row r="290" spans="1:30" x14ac:dyDescent="0.3">
      <c r="A290" t="s">
        <v>2777</v>
      </c>
      <c r="B290" t="s">
        <v>1</v>
      </c>
      <c r="C290">
        <v>-0.1</v>
      </c>
      <c r="D290" t="s">
        <v>2</v>
      </c>
      <c r="E290" t="s">
        <v>2543</v>
      </c>
      <c r="F290" t="str">
        <f t="shared" si="4"/>
        <v xml:space="preserve">rsi_{'P' [('delta'-0.1 1)]}_[7 35]_2 </v>
      </c>
      <c r="G290" t="s">
        <v>2540</v>
      </c>
      <c r="H290">
        <v>136</v>
      </c>
      <c r="I290" t="s">
        <v>5</v>
      </c>
      <c r="J290">
        <v>17</v>
      </c>
      <c r="K290" t="s">
        <v>6</v>
      </c>
      <c r="L290">
        <v>-17.63</v>
      </c>
      <c r="M290" t="s">
        <v>7</v>
      </c>
      <c r="N290">
        <v>-0.129632352941176</v>
      </c>
      <c r="O290" t="s">
        <v>8</v>
      </c>
      <c r="P290">
        <v>1.53235294117647</v>
      </c>
      <c r="Q290" t="s">
        <v>9</v>
      </c>
      <c r="R290">
        <v>-0.36705882352941099</v>
      </c>
      <c r="S290" t="s">
        <v>10</v>
      </c>
      <c r="T290">
        <v>0.147182784872986</v>
      </c>
      <c r="U290" t="s">
        <v>11</v>
      </c>
      <c r="V290" t="s">
        <v>2804</v>
      </c>
      <c r="W290" t="s">
        <v>2631</v>
      </c>
      <c r="X290">
        <v>0</v>
      </c>
      <c r="Y290" t="s">
        <v>14</v>
      </c>
      <c r="Z290" t="s">
        <v>15</v>
      </c>
      <c r="AA290" t="s">
        <v>2804</v>
      </c>
      <c r="AB290" t="s">
        <v>2631</v>
      </c>
      <c r="AC290">
        <v>0</v>
      </c>
      <c r="AD290" t="s">
        <v>18</v>
      </c>
    </row>
    <row r="291" spans="1:30" x14ac:dyDescent="0.3">
      <c r="A291" t="s">
        <v>2752</v>
      </c>
      <c r="B291" t="s">
        <v>1</v>
      </c>
      <c r="C291">
        <v>-0.2</v>
      </c>
      <c r="D291" t="s">
        <v>2174</v>
      </c>
      <c r="E291" t="s">
        <v>2565</v>
      </c>
      <c r="F291" t="str">
        <f t="shared" si="4"/>
        <v xml:space="preserve">psar_no_highvol_{'P' [('delta'-0.2 1)]}_[42 70]_4 </v>
      </c>
      <c r="G291" t="s">
        <v>2540</v>
      </c>
      <c r="H291">
        <v>130</v>
      </c>
      <c r="I291" t="s">
        <v>5</v>
      </c>
      <c r="J291">
        <v>13</v>
      </c>
      <c r="K291" t="s">
        <v>6</v>
      </c>
      <c r="L291">
        <v>-16.86</v>
      </c>
      <c r="M291" t="s">
        <v>7</v>
      </c>
      <c r="N291">
        <v>-0.129692307692307</v>
      </c>
      <c r="O291" t="s">
        <v>8</v>
      </c>
      <c r="P291">
        <v>11.0592307692307</v>
      </c>
      <c r="Q291" t="s">
        <v>9</v>
      </c>
      <c r="R291">
        <v>-1.37290598290598</v>
      </c>
      <c r="S291" t="s">
        <v>10</v>
      </c>
      <c r="T291">
        <v>0.71660604121038296</v>
      </c>
      <c r="U291" t="s">
        <v>11</v>
      </c>
      <c r="V291" t="s">
        <v>2746</v>
      </c>
      <c r="W291" t="s">
        <v>2568</v>
      </c>
      <c r="X291">
        <v>0</v>
      </c>
      <c r="Y291" t="s">
        <v>14</v>
      </c>
      <c r="Z291" t="s">
        <v>15</v>
      </c>
      <c r="AA291" t="s">
        <v>2730</v>
      </c>
      <c r="AB291" t="s">
        <v>2564</v>
      </c>
      <c r="AC291">
        <v>0</v>
      </c>
      <c r="AD291" t="s">
        <v>18</v>
      </c>
    </row>
    <row r="292" spans="1:30" x14ac:dyDescent="0.3">
      <c r="A292" t="s">
        <v>2683</v>
      </c>
      <c r="B292" t="s">
        <v>1</v>
      </c>
      <c r="C292">
        <v>-0.1</v>
      </c>
      <c r="D292" t="s">
        <v>27</v>
      </c>
      <c r="E292" t="s">
        <v>2550</v>
      </c>
      <c r="F292" t="str">
        <f t="shared" si="4"/>
        <v xml:space="preserve">bbands_no_highvol_{'P' [('delta'-0.1 1)]}_[21 49]_1 </v>
      </c>
      <c r="G292" t="s">
        <v>2540</v>
      </c>
      <c r="H292">
        <v>165</v>
      </c>
      <c r="I292" t="s">
        <v>5</v>
      </c>
      <c r="J292">
        <v>28</v>
      </c>
      <c r="K292" t="s">
        <v>6</v>
      </c>
      <c r="L292">
        <v>-16.619999999999902</v>
      </c>
      <c r="M292" t="s">
        <v>7</v>
      </c>
      <c r="N292">
        <v>-0.100727272727272</v>
      </c>
      <c r="O292" t="s">
        <v>8</v>
      </c>
      <c r="P292">
        <v>1.7235714285714201</v>
      </c>
      <c r="Q292" t="s">
        <v>9</v>
      </c>
      <c r="R292">
        <v>-0.47357664233576602</v>
      </c>
      <c r="S292" t="s">
        <v>10</v>
      </c>
      <c r="T292">
        <v>0.241809950487192</v>
      </c>
      <c r="U292" t="s">
        <v>11</v>
      </c>
      <c r="V292" t="s">
        <v>2214</v>
      </c>
      <c r="W292" t="s">
        <v>2013</v>
      </c>
      <c r="X292">
        <v>0</v>
      </c>
      <c r="Y292" t="s">
        <v>14</v>
      </c>
      <c r="Z292" t="s">
        <v>15</v>
      </c>
      <c r="AA292" t="s">
        <v>2715</v>
      </c>
      <c r="AB292" t="s">
        <v>2013</v>
      </c>
      <c r="AC292">
        <v>0</v>
      </c>
      <c r="AD292" t="s">
        <v>18</v>
      </c>
    </row>
    <row r="293" spans="1:30" x14ac:dyDescent="0.3">
      <c r="A293" t="s">
        <v>2858</v>
      </c>
      <c r="B293" t="s">
        <v>1</v>
      </c>
      <c r="C293">
        <v>-0.3</v>
      </c>
      <c r="D293" t="s">
        <v>2174</v>
      </c>
      <c r="E293" t="s">
        <v>2565</v>
      </c>
      <c r="F293" t="str">
        <f t="shared" si="4"/>
        <v xml:space="preserve">stoch_no_highvol_{'P' [('delta'-0.3 1)]}_[42 70]_4 </v>
      </c>
      <c r="G293" t="s">
        <v>2540</v>
      </c>
      <c r="H293">
        <v>331</v>
      </c>
      <c r="I293" t="s">
        <v>5</v>
      </c>
      <c r="J293">
        <v>48</v>
      </c>
      <c r="K293" t="s">
        <v>6</v>
      </c>
      <c r="L293">
        <v>-15.1736256477589</v>
      </c>
      <c r="M293" t="s">
        <v>7</v>
      </c>
      <c r="N293">
        <v>-4.5841769328576802E-2</v>
      </c>
      <c r="O293" t="s">
        <v>8</v>
      </c>
      <c r="P293">
        <v>12.1808333333333</v>
      </c>
      <c r="Q293" t="s">
        <v>9</v>
      </c>
      <c r="R293">
        <v>-2.1196241188966698</v>
      </c>
      <c r="S293" t="s">
        <v>10</v>
      </c>
      <c r="T293">
        <v>2.1681344891896801</v>
      </c>
      <c r="U293" t="s">
        <v>11</v>
      </c>
      <c r="V293" t="s">
        <v>2782</v>
      </c>
      <c r="W293" t="s">
        <v>2568</v>
      </c>
      <c r="X293">
        <v>0</v>
      </c>
      <c r="Y293" t="s">
        <v>14</v>
      </c>
      <c r="Z293" t="s">
        <v>15</v>
      </c>
      <c r="AA293" t="s">
        <v>2885</v>
      </c>
      <c r="AB293" t="s">
        <v>2695</v>
      </c>
      <c r="AC293">
        <v>0</v>
      </c>
      <c r="AD293" t="s">
        <v>18</v>
      </c>
    </row>
    <row r="294" spans="1:30" x14ac:dyDescent="0.3">
      <c r="A294" t="s">
        <v>2623</v>
      </c>
      <c r="B294" t="s">
        <v>1</v>
      </c>
      <c r="C294">
        <v>-0.2</v>
      </c>
      <c r="D294" t="s">
        <v>2174</v>
      </c>
      <c r="E294" t="s">
        <v>2569</v>
      </c>
      <c r="F294" t="str">
        <f t="shared" si="4"/>
        <v xml:space="preserve">bbands_{'P' [('delta'-0.2 1)]}_[42 70]_6 </v>
      </c>
      <c r="G294" t="s">
        <v>2540</v>
      </c>
      <c r="H294">
        <v>167</v>
      </c>
      <c r="I294" t="s">
        <v>5</v>
      </c>
      <c r="J294">
        <v>14</v>
      </c>
      <c r="K294" t="s">
        <v>6</v>
      </c>
      <c r="L294">
        <v>-14.647511225068101</v>
      </c>
      <c r="M294" t="s">
        <v>7</v>
      </c>
      <c r="N294">
        <v>-8.7709648054299996E-2</v>
      </c>
      <c r="O294" t="s">
        <v>8</v>
      </c>
      <c r="P294">
        <v>14.2864285714285</v>
      </c>
      <c r="Q294" t="s">
        <v>9</v>
      </c>
      <c r="R294">
        <v>-1.4029902694448799</v>
      </c>
      <c r="S294" t="s">
        <v>10</v>
      </c>
      <c r="T294">
        <v>1.1310896140305999</v>
      </c>
      <c r="U294" t="s">
        <v>11</v>
      </c>
      <c r="V294" t="s">
        <v>2665</v>
      </c>
      <c r="W294" t="s">
        <v>2666</v>
      </c>
      <c r="X294">
        <v>0</v>
      </c>
      <c r="Y294" t="s">
        <v>14</v>
      </c>
      <c r="Z294" t="s">
        <v>15</v>
      </c>
      <c r="AA294" t="s">
        <v>2667</v>
      </c>
      <c r="AB294" t="s">
        <v>2640</v>
      </c>
      <c r="AC294">
        <v>0</v>
      </c>
      <c r="AD294" t="s">
        <v>18</v>
      </c>
    </row>
    <row r="295" spans="1:30" x14ac:dyDescent="0.3">
      <c r="A295" t="s">
        <v>2777</v>
      </c>
      <c r="B295" t="s">
        <v>1</v>
      </c>
      <c r="C295">
        <v>-0.4</v>
      </c>
      <c r="D295" t="s">
        <v>2</v>
      </c>
      <c r="E295" t="s">
        <v>2547</v>
      </c>
      <c r="F295" t="str">
        <f t="shared" si="4"/>
        <v xml:space="preserve">rsi_{'P' [('delta'-0.4 1)]}_[7 35]_6 </v>
      </c>
      <c r="G295" t="s">
        <v>2540</v>
      </c>
      <c r="H295">
        <v>136</v>
      </c>
      <c r="I295" t="s">
        <v>5</v>
      </c>
      <c r="J295">
        <v>28</v>
      </c>
      <c r="K295" t="s">
        <v>6</v>
      </c>
      <c r="L295">
        <v>-14.45</v>
      </c>
      <c r="M295" t="s">
        <v>7</v>
      </c>
      <c r="N295">
        <v>-0.10625</v>
      </c>
      <c r="O295" t="s">
        <v>8</v>
      </c>
      <c r="P295">
        <v>6.6985714285714302</v>
      </c>
      <c r="Q295" t="s">
        <v>9</v>
      </c>
      <c r="R295">
        <v>-1.8704629629629601</v>
      </c>
      <c r="S295" t="s">
        <v>10</v>
      </c>
      <c r="T295">
        <v>0.86319949703561905</v>
      </c>
      <c r="U295" t="s">
        <v>11</v>
      </c>
      <c r="V295" t="s">
        <v>2778</v>
      </c>
      <c r="W295" t="s">
        <v>2631</v>
      </c>
      <c r="X295">
        <v>0</v>
      </c>
      <c r="Y295" t="s">
        <v>14</v>
      </c>
      <c r="Z295" t="s">
        <v>15</v>
      </c>
      <c r="AA295" t="s">
        <v>2535</v>
      </c>
      <c r="AB295" t="s">
        <v>2249</v>
      </c>
      <c r="AC295">
        <v>0</v>
      </c>
      <c r="AD295" t="s">
        <v>18</v>
      </c>
    </row>
    <row r="296" spans="1:30" x14ac:dyDescent="0.3">
      <c r="A296" t="s">
        <v>2623</v>
      </c>
      <c r="B296" t="s">
        <v>1</v>
      </c>
      <c r="C296">
        <v>-0.1</v>
      </c>
      <c r="D296" t="s">
        <v>27</v>
      </c>
      <c r="E296" t="s">
        <v>2552</v>
      </c>
      <c r="F296" t="str">
        <f t="shared" si="4"/>
        <v xml:space="preserve">bbands_{'P' [('delta'-0.1 1)]}_[21 49]_2 </v>
      </c>
      <c r="G296" t="s">
        <v>2540</v>
      </c>
      <c r="H296">
        <v>178</v>
      </c>
      <c r="I296" t="s">
        <v>5</v>
      </c>
      <c r="J296">
        <v>23</v>
      </c>
      <c r="K296" t="s">
        <v>6</v>
      </c>
      <c r="L296">
        <v>-14.219999999999899</v>
      </c>
      <c r="M296" t="s">
        <v>7</v>
      </c>
      <c r="N296">
        <v>-7.9887640449438094E-2</v>
      </c>
      <c r="O296" t="s">
        <v>8</v>
      </c>
      <c r="P296">
        <v>2.8695652173913002</v>
      </c>
      <c r="Q296" t="s">
        <v>9</v>
      </c>
      <c r="R296">
        <v>-0.51754838709677398</v>
      </c>
      <c r="S296" t="s">
        <v>10</v>
      </c>
      <c r="T296">
        <v>0.36093400849090002</v>
      </c>
      <c r="U296" t="s">
        <v>11</v>
      </c>
      <c r="V296" t="s">
        <v>2669</v>
      </c>
      <c r="W296" t="s">
        <v>2046</v>
      </c>
      <c r="X296">
        <v>0</v>
      </c>
      <c r="Y296" t="s">
        <v>14</v>
      </c>
      <c r="Z296" t="s">
        <v>15</v>
      </c>
      <c r="AA296" t="s">
        <v>2672</v>
      </c>
      <c r="AB296" t="s">
        <v>2046</v>
      </c>
      <c r="AC296">
        <v>0</v>
      </c>
      <c r="AD296" t="s">
        <v>18</v>
      </c>
    </row>
    <row r="297" spans="1:30" x14ac:dyDescent="0.3">
      <c r="A297" t="s">
        <v>2777</v>
      </c>
      <c r="B297" t="s">
        <v>1</v>
      </c>
      <c r="C297">
        <v>-0.2</v>
      </c>
      <c r="D297" t="s">
        <v>27</v>
      </c>
      <c r="E297" t="s">
        <v>2550</v>
      </c>
      <c r="F297" t="str">
        <f t="shared" si="4"/>
        <v xml:space="preserve">rsi_{'P' [('delta'-0.2 1)]}_[21 49]_1 </v>
      </c>
      <c r="G297" t="s">
        <v>2540</v>
      </c>
      <c r="H297">
        <v>128</v>
      </c>
      <c r="I297" t="s">
        <v>5</v>
      </c>
      <c r="J297">
        <v>35</v>
      </c>
      <c r="K297" t="s">
        <v>6</v>
      </c>
      <c r="L297">
        <v>-14.069999999999901</v>
      </c>
      <c r="M297" t="s">
        <v>7</v>
      </c>
      <c r="N297">
        <v>-0.109921874999999</v>
      </c>
      <c r="O297" t="s">
        <v>8</v>
      </c>
      <c r="P297">
        <v>2.3782857142857101</v>
      </c>
      <c r="Q297" t="s">
        <v>9</v>
      </c>
      <c r="R297">
        <v>-1.0463440860215001</v>
      </c>
      <c r="S297" t="s">
        <v>10</v>
      </c>
      <c r="T297">
        <v>0.33856427977104803</v>
      </c>
      <c r="U297" t="s">
        <v>11</v>
      </c>
      <c r="V297" t="s">
        <v>2797</v>
      </c>
      <c r="W297" t="s">
        <v>2631</v>
      </c>
      <c r="X297">
        <v>0</v>
      </c>
      <c r="Y297" t="s">
        <v>14</v>
      </c>
      <c r="Z297" t="s">
        <v>15</v>
      </c>
      <c r="AA297" t="s">
        <v>180</v>
      </c>
      <c r="AB297" t="s">
        <v>2749</v>
      </c>
      <c r="AC297">
        <v>0</v>
      </c>
      <c r="AD297" t="s">
        <v>18</v>
      </c>
    </row>
    <row r="298" spans="1:30" x14ac:dyDescent="0.3">
      <c r="A298" t="s">
        <v>2752</v>
      </c>
      <c r="B298" t="s">
        <v>1</v>
      </c>
      <c r="C298">
        <v>-0.2</v>
      </c>
      <c r="D298" t="s">
        <v>2174</v>
      </c>
      <c r="E298" t="s">
        <v>2569</v>
      </c>
      <c r="F298" t="str">
        <f t="shared" si="4"/>
        <v xml:space="preserve">psar_no_highvol_{'P' [('delta'-0.2 1)]}_[42 70]_6 </v>
      </c>
      <c r="G298" t="s">
        <v>2540</v>
      </c>
      <c r="H298">
        <v>130</v>
      </c>
      <c r="I298" t="s">
        <v>5</v>
      </c>
      <c r="J298">
        <v>10</v>
      </c>
      <c r="K298" t="s">
        <v>6</v>
      </c>
      <c r="L298">
        <v>-13.71</v>
      </c>
      <c r="M298" t="s">
        <v>7</v>
      </c>
      <c r="N298">
        <v>-0.105461538461538</v>
      </c>
      <c r="O298" t="s">
        <v>8</v>
      </c>
      <c r="P298">
        <v>15.1</v>
      </c>
      <c r="Q298" t="s">
        <v>9</v>
      </c>
      <c r="R298">
        <v>-1.3725833333333299</v>
      </c>
      <c r="S298" t="s">
        <v>10</v>
      </c>
      <c r="T298">
        <v>0.85529100994750196</v>
      </c>
      <c r="U298" t="s">
        <v>11</v>
      </c>
      <c r="V298" t="s">
        <v>2747</v>
      </c>
      <c r="W298" t="s">
        <v>2587</v>
      </c>
      <c r="X298">
        <v>0</v>
      </c>
      <c r="Y298" t="s">
        <v>14</v>
      </c>
      <c r="Z298" t="s">
        <v>15</v>
      </c>
      <c r="AA298" t="s">
        <v>2747</v>
      </c>
      <c r="AB298" t="s">
        <v>2587</v>
      </c>
      <c r="AC298">
        <v>0</v>
      </c>
      <c r="AD298" t="s">
        <v>18</v>
      </c>
    </row>
    <row r="299" spans="1:30" x14ac:dyDescent="0.3">
      <c r="A299" t="s">
        <v>2777</v>
      </c>
      <c r="B299" t="s">
        <v>1</v>
      </c>
      <c r="C299">
        <v>-0.1</v>
      </c>
      <c r="D299" t="s">
        <v>2</v>
      </c>
      <c r="E299" t="s">
        <v>2539</v>
      </c>
      <c r="F299" t="str">
        <f t="shared" si="4"/>
        <v xml:space="preserve">rsi_{'P' [('delta'-0.1 1)]}_[7 35]_1 </v>
      </c>
      <c r="G299" t="s">
        <v>2540</v>
      </c>
      <c r="H299">
        <v>136</v>
      </c>
      <c r="I299" t="s">
        <v>5</v>
      </c>
      <c r="J299">
        <v>28</v>
      </c>
      <c r="K299" t="s">
        <v>6</v>
      </c>
      <c r="L299">
        <v>-12.33</v>
      </c>
      <c r="M299" t="s">
        <v>7</v>
      </c>
      <c r="N299">
        <v>-9.0661764705882303E-2</v>
      </c>
      <c r="O299" t="s">
        <v>8</v>
      </c>
      <c r="P299">
        <v>0.91928571428571404</v>
      </c>
      <c r="Q299" t="s">
        <v>9</v>
      </c>
      <c r="R299">
        <v>-0.35249999999999898</v>
      </c>
      <c r="S299" t="s">
        <v>10</v>
      </c>
      <c r="T299">
        <v>0.117976353014743</v>
      </c>
      <c r="U299" t="s">
        <v>11</v>
      </c>
      <c r="V299" t="s">
        <v>2804</v>
      </c>
      <c r="W299" t="s">
        <v>2631</v>
      </c>
      <c r="X299">
        <v>0</v>
      </c>
      <c r="Y299" t="s">
        <v>14</v>
      </c>
      <c r="Z299" t="s">
        <v>15</v>
      </c>
      <c r="AA299" t="s">
        <v>2804</v>
      </c>
      <c r="AB299" t="s">
        <v>2631</v>
      </c>
      <c r="AC299">
        <v>0</v>
      </c>
      <c r="AD299" t="s">
        <v>18</v>
      </c>
    </row>
    <row r="300" spans="1:30" x14ac:dyDescent="0.3">
      <c r="A300" t="s">
        <v>2683</v>
      </c>
      <c r="B300" t="s">
        <v>1</v>
      </c>
      <c r="C300">
        <v>-0.4</v>
      </c>
      <c r="D300" t="s">
        <v>2174</v>
      </c>
      <c r="E300" t="s">
        <v>2569</v>
      </c>
      <c r="F300" t="str">
        <f t="shared" si="4"/>
        <v xml:space="preserve">bbands_no_highvol_{'P' [('delta'-0.4 1)]}_[42 70]_6 </v>
      </c>
      <c r="G300" t="s">
        <v>2540</v>
      </c>
      <c r="H300">
        <v>157</v>
      </c>
      <c r="I300" t="s">
        <v>5</v>
      </c>
      <c r="J300">
        <v>25</v>
      </c>
      <c r="K300" t="s">
        <v>6</v>
      </c>
      <c r="L300">
        <v>-10.5900750669599</v>
      </c>
      <c r="M300" t="s">
        <v>7</v>
      </c>
      <c r="N300">
        <v>-6.7452707432865605E-2</v>
      </c>
      <c r="O300" t="s">
        <v>8</v>
      </c>
      <c r="P300">
        <v>15.5396</v>
      </c>
      <c r="Q300" t="s">
        <v>9</v>
      </c>
      <c r="R300">
        <v>-3.0233339020224199</v>
      </c>
      <c r="S300" t="s">
        <v>10</v>
      </c>
      <c r="T300">
        <v>1.8716671062663199</v>
      </c>
      <c r="U300" t="s">
        <v>11</v>
      </c>
      <c r="V300" t="s">
        <v>2416</v>
      </c>
      <c r="W300" t="s">
        <v>2695</v>
      </c>
      <c r="X300">
        <v>0</v>
      </c>
      <c r="Y300" t="s">
        <v>14</v>
      </c>
      <c r="Z300" t="s">
        <v>15</v>
      </c>
      <c r="AA300" t="s">
        <v>2696</v>
      </c>
      <c r="AB300" t="s">
        <v>2686</v>
      </c>
      <c r="AC300">
        <v>0</v>
      </c>
      <c r="AD300" t="s">
        <v>18</v>
      </c>
    </row>
    <row r="301" spans="1:30" x14ac:dyDescent="0.3">
      <c r="A301" t="s">
        <v>2777</v>
      </c>
      <c r="B301" t="s">
        <v>1</v>
      </c>
      <c r="C301">
        <v>-0.4</v>
      </c>
      <c r="D301" t="s">
        <v>2</v>
      </c>
      <c r="E301" t="s">
        <v>2539</v>
      </c>
      <c r="F301" t="str">
        <f t="shared" si="4"/>
        <v xml:space="preserve">rsi_{'P' [('delta'-0.4 1)]}_[7 35]_1 </v>
      </c>
      <c r="G301" t="s">
        <v>2540</v>
      </c>
      <c r="H301">
        <v>136</v>
      </c>
      <c r="I301" t="s">
        <v>5</v>
      </c>
      <c r="J301">
        <v>42</v>
      </c>
      <c r="K301" t="s">
        <v>6</v>
      </c>
      <c r="L301">
        <v>-9.8200000000000092</v>
      </c>
      <c r="M301" t="s">
        <v>7</v>
      </c>
      <c r="N301">
        <v>-7.2205882352941203E-2</v>
      </c>
      <c r="O301" t="s">
        <v>8</v>
      </c>
      <c r="P301">
        <v>3.85928571428571</v>
      </c>
      <c r="Q301" t="s">
        <v>9</v>
      </c>
      <c r="R301">
        <v>-1.82882978723404</v>
      </c>
      <c r="S301" t="s">
        <v>10</v>
      </c>
      <c r="T301">
        <v>0.57084569696426102</v>
      </c>
      <c r="U301" t="s">
        <v>11</v>
      </c>
      <c r="V301" t="s">
        <v>2778</v>
      </c>
      <c r="W301" t="s">
        <v>2631</v>
      </c>
      <c r="X301">
        <v>0</v>
      </c>
      <c r="Y301" t="s">
        <v>14</v>
      </c>
      <c r="Z301" t="s">
        <v>15</v>
      </c>
      <c r="AA301" t="s">
        <v>2778</v>
      </c>
      <c r="AB301" t="s">
        <v>2631</v>
      </c>
      <c r="AC301">
        <v>0</v>
      </c>
      <c r="AD301" t="s">
        <v>18</v>
      </c>
    </row>
    <row r="302" spans="1:30" x14ac:dyDescent="0.3">
      <c r="A302" t="s">
        <v>2623</v>
      </c>
      <c r="B302" t="s">
        <v>1</v>
      </c>
      <c r="C302">
        <v>-0.1</v>
      </c>
      <c r="D302" t="s">
        <v>27</v>
      </c>
      <c r="E302" t="s">
        <v>2550</v>
      </c>
      <c r="F302" t="str">
        <f t="shared" si="4"/>
        <v xml:space="preserve">bbands_{'P' [('delta'-0.1 1)]}_[21 49]_1 </v>
      </c>
      <c r="G302" t="s">
        <v>2540</v>
      </c>
      <c r="H302">
        <v>178</v>
      </c>
      <c r="I302" t="s">
        <v>5</v>
      </c>
      <c r="J302">
        <v>34</v>
      </c>
      <c r="K302" t="s">
        <v>6</v>
      </c>
      <c r="L302">
        <v>-8.9199999999999893</v>
      </c>
      <c r="M302" t="s">
        <v>7</v>
      </c>
      <c r="N302">
        <v>-5.0112359550561703E-2</v>
      </c>
      <c r="O302" t="s">
        <v>8</v>
      </c>
      <c r="P302">
        <v>1.8685294117647</v>
      </c>
      <c r="Q302" t="s">
        <v>9</v>
      </c>
      <c r="R302">
        <v>-0.50312500000000004</v>
      </c>
      <c r="S302" t="s">
        <v>10</v>
      </c>
      <c r="T302">
        <v>0.29324504938760598</v>
      </c>
      <c r="U302" t="s">
        <v>11</v>
      </c>
      <c r="V302" t="s">
        <v>757</v>
      </c>
      <c r="W302" t="s">
        <v>2046</v>
      </c>
      <c r="X302">
        <v>0</v>
      </c>
      <c r="Y302" t="s">
        <v>14</v>
      </c>
      <c r="Z302" t="s">
        <v>15</v>
      </c>
      <c r="AA302" t="s">
        <v>2653</v>
      </c>
      <c r="AB302" t="s">
        <v>2198</v>
      </c>
      <c r="AC302">
        <v>0</v>
      </c>
      <c r="AD302" t="s">
        <v>18</v>
      </c>
    </row>
    <row r="303" spans="1:30" x14ac:dyDescent="0.3">
      <c r="A303" t="s">
        <v>2728</v>
      </c>
      <c r="B303" t="s">
        <v>1</v>
      </c>
      <c r="C303">
        <v>-0.4</v>
      </c>
      <c r="D303" t="s">
        <v>2174</v>
      </c>
      <c r="E303" t="s">
        <v>2562</v>
      </c>
      <c r="F303" t="str">
        <f t="shared" si="4"/>
        <v xml:space="preserve">psar_{'P' [('delta'-0.4 1)]}_[42 70]_2 </v>
      </c>
      <c r="G303" t="s">
        <v>2540</v>
      </c>
      <c r="H303">
        <v>139</v>
      </c>
      <c r="I303" t="s">
        <v>5</v>
      </c>
      <c r="J303">
        <v>31</v>
      </c>
      <c r="K303" t="s">
        <v>6</v>
      </c>
      <c r="L303">
        <v>-7.5060125076328799</v>
      </c>
      <c r="M303" t="s">
        <v>7</v>
      </c>
      <c r="N303">
        <v>-5.4000089982970401E-2</v>
      </c>
      <c r="O303" t="s">
        <v>8</v>
      </c>
      <c r="P303">
        <v>10.8522580645161</v>
      </c>
      <c r="Q303" t="s">
        <v>9</v>
      </c>
      <c r="R303">
        <v>-3.1845001158114101</v>
      </c>
      <c r="S303" t="s">
        <v>10</v>
      </c>
      <c r="T303">
        <v>1.27552666382112</v>
      </c>
      <c r="U303" t="s">
        <v>11</v>
      </c>
      <c r="V303" t="s">
        <v>2651</v>
      </c>
      <c r="W303" t="s">
        <v>2631</v>
      </c>
      <c r="X303">
        <v>0</v>
      </c>
      <c r="Y303" t="s">
        <v>14</v>
      </c>
      <c r="Z303" t="s">
        <v>15</v>
      </c>
      <c r="AA303" t="s">
        <v>2735</v>
      </c>
      <c r="AB303" t="s">
        <v>2564</v>
      </c>
      <c r="AC303">
        <v>0</v>
      </c>
      <c r="AD303" t="s">
        <v>18</v>
      </c>
    </row>
    <row r="304" spans="1:30" x14ac:dyDescent="0.3">
      <c r="A304" t="s">
        <v>2752</v>
      </c>
      <c r="B304" t="s">
        <v>1</v>
      </c>
      <c r="C304">
        <v>-0.4</v>
      </c>
      <c r="D304" t="s">
        <v>2174</v>
      </c>
      <c r="E304" t="s">
        <v>2559</v>
      </c>
      <c r="F304" t="str">
        <f t="shared" si="4"/>
        <v xml:space="preserve">psar_no_highvol_{'P' [('delta'-0.4 1)]}_[42 70]_1 </v>
      </c>
      <c r="G304" t="s">
        <v>2540</v>
      </c>
      <c r="H304">
        <v>130</v>
      </c>
      <c r="I304" t="s">
        <v>5</v>
      </c>
      <c r="J304">
        <v>39</v>
      </c>
      <c r="K304" t="s">
        <v>6</v>
      </c>
      <c r="L304">
        <v>-7.41226576459482</v>
      </c>
      <c r="M304" t="s">
        <v>7</v>
      </c>
      <c r="N304">
        <v>-5.7017428958421698E-2</v>
      </c>
      <c r="O304" t="s">
        <v>8</v>
      </c>
      <c r="P304">
        <v>6.7525464661859802</v>
      </c>
      <c r="Q304" t="s">
        <v>9</v>
      </c>
      <c r="R304">
        <v>-2.9754019554488802</v>
      </c>
      <c r="S304" t="s">
        <v>10</v>
      </c>
      <c r="T304">
        <v>0.90023340973813504</v>
      </c>
      <c r="U304" t="s">
        <v>11</v>
      </c>
      <c r="V304" t="s">
        <v>2760</v>
      </c>
      <c r="W304" t="s">
        <v>2666</v>
      </c>
      <c r="X304">
        <v>0</v>
      </c>
      <c r="Y304" t="s">
        <v>14</v>
      </c>
      <c r="Z304" t="s">
        <v>15</v>
      </c>
      <c r="AA304" t="s">
        <v>2735</v>
      </c>
      <c r="AB304" t="s">
        <v>2564</v>
      </c>
      <c r="AC304">
        <v>0</v>
      </c>
      <c r="AD304" t="s">
        <v>18</v>
      </c>
    </row>
    <row r="305" spans="1:30" x14ac:dyDescent="0.3">
      <c r="A305" t="s">
        <v>2777</v>
      </c>
      <c r="B305" t="s">
        <v>1</v>
      </c>
      <c r="C305">
        <v>-0.1</v>
      </c>
      <c r="D305" t="s">
        <v>27</v>
      </c>
      <c r="E305" t="s">
        <v>2550</v>
      </c>
      <c r="F305" t="str">
        <f t="shared" si="4"/>
        <v xml:space="preserve">rsi_{'P' [('delta'-0.1 1)]}_[21 49]_1 </v>
      </c>
      <c r="G305" t="s">
        <v>2540</v>
      </c>
      <c r="H305">
        <v>128</v>
      </c>
      <c r="I305" t="s">
        <v>5</v>
      </c>
      <c r="J305">
        <v>32</v>
      </c>
      <c r="K305" t="s">
        <v>6</v>
      </c>
      <c r="L305">
        <v>-5.75</v>
      </c>
      <c r="M305" t="s">
        <v>7</v>
      </c>
      <c r="N305">
        <v>-4.4921875E-2</v>
      </c>
      <c r="O305" t="s">
        <v>8</v>
      </c>
      <c r="P305">
        <v>1.2562500000000001</v>
      </c>
      <c r="Q305" t="s">
        <v>9</v>
      </c>
      <c r="R305">
        <v>-0.47864583333333299</v>
      </c>
      <c r="S305" t="s">
        <v>10</v>
      </c>
      <c r="T305">
        <v>0.16002414270536899</v>
      </c>
      <c r="U305" t="s">
        <v>11</v>
      </c>
      <c r="V305" t="s">
        <v>2805</v>
      </c>
      <c r="W305" t="s">
        <v>2631</v>
      </c>
      <c r="X305">
        <v>0</v>
      </c>
      <c r="Y305" t="s">
        <v>14</v>
      </c>
      <c r="Z305" t="s">
        <v>15</v>
      </c>
      <c r="AA305" t="s">
        <v>781</v>
      </c>
      <c r="AB305" t="s">
        <v>2749</v>
      </c>
      <c r="AC305">
        <v>0</v>
      </c>
      <c r="AD305" t="s">
        <v>18</v>
      </c>
    </row>
    <row r="306" spans="1:30" x14ac:dyDescent="0.3">
      <c r="A306" t="s">
        <v>2752</v>
      </c>
      <c r="B306" t="s">
        <v>1</v>
      </c>
      <c r="C306">
        <v>-0.1</v>
      </c>
      <c r="D306" t="s">
        <v>2174</v>
      </c>
      <c r="E306" t="s">
        <v>2565</v>
      </c>
      <c r="F306" t="str">
        <f t="shared" si="4"/>
        <v xml:space="preserve">psar_no_highvol_{'P' [('delta'-0.1 1)]}_[42 70]_4 </v>
      </c>
      <c r="G306" t="s">
        <v>2540</v>
      </c>
      <c r="H306">
        <v>130</v>
      </c>
      <c r="I306" t="s">
        <v>5</v>
      </c>
      <c r="J306">
        <v>14</v>
      </c>
      <c r="K306" t="s">
        <v>6</v>
      </c>
      <c r="L306">
        <v>-5.3307453906802902</v>
      </c>
      <c r="M306" t="s">
        <v>7</v>
      </c>
      <c r="N306">
        <v>-4.1005733774463801E-2</v>
      </c>
      <c r="O306" t="s">
        <v>8</v>
      </c>
      <c r="P306">
        <v>5.1695075894949998</v>
      </c>
      <c r="Q306" t="s">
        <v>9</v>
      </c>
      <c r="R306">
        <v>-0.66986079003112298</v>
      </c>
      <c r="S306" t="s">
        <v>10</v>
      </c>
      <c r="T306">
        <v>0.33740169350211602</v>
      </c>
      <c r="U306" t="s">
        <v>11</v>
      </c>
      <c r="V306" t="s">
        <v>661</v>
      </c>
      <c r="W306" t="s">
        <v>2757</v>
      </c>
      <c r="X306">
        <v>0</v>
      </c>
      <c r="Y306" t="s">
        <v>14</v>
      </c>
      <c r="Z306" t="s">
        <v>15</v>
      </c>
      <c r="AA306" t="s">
        <v>661</v>
      </c>
      <c r="AB306" t="s">
        <v>2757</v>
      </c>
      <c r="AC306">
        <v>0</v>
      </c>
      <c r="AD306" t="s">
        <v>18</v>
      </c>
    </row>
    <row r="307" spans="1:30" x14ac:dyDescent="0.3">
      <c r="A307" t="s">
        <v>2752</v>
      </c>
      <c r="B307" t="s">
        <v>1</v>
      </c>
      <c r="C307">
        <v>-0.3</v>
      </c>
      <c r="D307" t="s">
        <v>2174</v>
      </c>
      <c r="E307" t="s">
        <v>2559</v>
      </c>
      <c r="F307" t="str">
        <f t="shared" si="4"/>
        <v xml:space="preserve">psar_no_highvol_{'P' [('delta'-0.3 1)]}_[42 70]_1 </v>
      </c>
      <c r="G307" t="s">
        <v>2540</v>
      </c>
      <c r="H307">
        <v>130</v>
      </c>
      <c r="I307" t="s">
        <v>5</v>
      </c>
      <c r="J307">
        <v>38</v>
      </c>
      <c r="K307" t="s">
        <v>6</v>
      </c>
      <c r="L307">
        <v>-4.8599999999999897</v>
      </c>
      <c r="M307" t="s">
        <v>7</v>
      </c>
      <c r="N307">
        <v>-3.7384615384615301E-2</v>
      </c>
      <c r="O307" t="s">
        <v>8</v>
      </c>
      <c r="P307">
        <v>4.92315789473684</v>
      </c>
      <c r="Q307" t="s">
        <v>9</v>
      </c>
      <c r="R307">
        <v>-2.0863043478260801</v>
      </c>
      <c r="S307" t="s">
        <v>10</v>
      </c>
      <c r="T307">
        <v>0.64443234535815597</v>
      </c>
      <c r="U307" t="s">
        <v>11</v>
      </c>
      <c r="V307" t="s">
        <v>2765</v>
      </c>
      <c r="W307" t="s">
        <v>2666</v>
      </c>
      <c r="X307">
        <v>0</v>
      </c>
      <c r="Y307" t="s">
        <v>14</v>
      </c>
      <c r="Z307" t="s">
        <v>15</v>
      </c>
      <c r="AA307" t="s">
        <v>2765</v>
      </c>
      <c r="AB307" t="s">
        <v>2666</v>
      </c>
      <c r="AC307">
        <v>0</v>
      </c>
      <c r="AD307" t="s">
        <v>18</v>
      </c>
    </row>
    <row r="308" spans="1:30" x14ac:dyDescent="0.3">
      <c r="A308" t="s">
        <v>2728</v>
      </c>
      <c r="B308" t="s">
        <v>1</v>
      </c>
      <c r="C308">
        <v>-0.4</v>
      </c>
      <c r="D308" t="s">
        <v>2</v>
      </c>
      <c r="E308" t="s">
        <v>2543</v>
      </c>
      <c r="F308" t="str">
        <f t="shared" si="4"/>
        <v xml:space="preserve">psar_{'P' [('delta'-0.4 1)]}_[7 35]_2 </v>
      </c>
      <c r="G308" t="s">
        <v>2540</v>
      </c>
      <c r="H308">
        <v>135</v>
      </c>
      <c r="I308" t="s">
        <v>5</v>
      </c>
      <c r="J308">
        <v>34</v>
      </c>
      <c r="K308" t="s">
        <v>6</v>
      </c>
      <c r="L308">
        <v>-4.4399999999999604</v>
      </c>
      <c r="M308" t="s">
        <v>7</v>
      </c>
      <c r="N308">
        <v>-3.28888888888886E-2</v>
      </c>
      <c r="O308" t="s">
        <v>8</v>
      </c>
      <c r="P308">
        <v>5.9129411764705901</v>
      </c>
      <c r="Q308" t="s">
        <v>9</v>
      </c>
      <c r="R308">
        <v>-2.03445544554455</v>
      </c>
      <c r="S308" t="s">
        <v>10</v>
      </c>
      <c r="T308">
        <v>0.91647155227160904</v>
      </c>
      <c r="U308" t="s">
        <v>11</v>
      </c>
      <c r="V308" t="s">
        <v>2729</v>
      </c>
      <c r="W308" t="s">
        <v>2071</v>
      </c>
      <c r="X308">
        <v>0</v>
      </c>
      <c r="Y308" t="s">
        <v>14</v>
      </c>
      <c r="Z308" t="s">
        <v>15</v>
      </c>
      <c r="AA308" t="s">
        <v>2729</v>
      </c>
      <c r="AB308" t="s">
        <v>2071</v>
      </c>
      <c r="AC308">
        <v>0</v>
      </c>
      <c r="AD308" t="s">
        <v>18</v>
      </c>
    </row>
    <row r="309" spans="1:30" x14ac:dyDescent="0.3">
      <c r="A309" t="s">
        <v>2728</v>
      </c>
      <c r="B309" t="s">
        <v>1</v>
      </c>
      <c r="C309">
        <v>-0.3</v>
      </c>
      <c r="D309" t="s">
        <v>27</v>
      </c>
      <c r="E309" t="s">
        <v>2552</v>
      </c>
      <c r="F309" t="str">
        <f t="shared" si="4"/>
        <v xml:space="preserve">psar_{'P' [('delta'-0.3 1)]}_[21 49]_2 </v>
      </c>
      <c r="G309" t="s">
        <v>2540</v>
      </c>
      <c r="H309">
        <v>140</v>
      </c>
      <c r="I309" t="s">
        <v>5</v>
      </c>
      <c r="J309">
        <v>27</v>
      </c>
      <c r="K309" t="s">
        <v>6</v>
      </c>
      <c r="L309">
        <v>-3.7899999999999698</v>
      </c>
      <c r="M309" t="s">
        <v>7</v>
      </c>
      <c r="N309">
        <v>-2.7071428571428299E-2</v>
      </c>
      <c r="O309" t="s">
        <v>8</v>
      </c>
      <c r="P309">
        <v>7.3785185185185203</v>
      </c>
      <c r="Q309" t="s">
        <v>9</v>
      </c>
      <c r="R309">
        <v>-1.79654867256637</v>
      </c>
      <c r="S309" t="s">
        <v>10</v>
      </c>
      <c r="T309">
        <v>0.85828633319037195</v>
      </c>
      <c r="U309" t="s">
        <v>11</v>
      </c>
      <c r="V309" t="s">
        <v>2739</v>
      </c>
      <c r="W309" t="s">
        <v>2582</v>
      </c>
      <c r="X309">
        <v>0</v>
      </c>
      <c r="Y309" t="s">
        <v>14</v>
      </c>
      <c r="Z309" t="s">
        <v>15</v>
      </c>
      <c r="AA309" t="s">
        <v>2739</v>
      </c>
      <c r="AB309" t="s">
        <v>2582</v>
      </c>
      <c r="AC309">
        <v>0</v>
      </c>
      <c r="AD309" t="s">
        <v>18</v>
      </c>
    </row>
    <row r="310" spans="1:30" x14ac:dyDescent="0.3">
      <c r="A310" t="s">
        <v>2752</v>
      </c>
      <c r="B310" t="s">
        <v>1</v>
      </c>
      <c r="C310">
        <v>-0.3</v>
      </c>
      <c r="D310" t="s">
        <v>2174</v>
      </c>
      <c r="E310" t="s">
        <v>2565</v>
      </c>
      <c r="F310" t="str">
        <f t="shared" si="4"/>
        <v xml:space="preserve">psar_no_highvol_{'P' [('delta'-0.3 1)]}_[42 70]_4 </v>
      </c>
      <c r="G310" t="s">
        <v>2540</v>
      </c>
      <c r="H310">
        <v>130</v>
      </c>
      <c r="I310" t="s">
        <v>5</v>
      </c>
      <c r="J310">
        <v>19</v>
      </c>
      <c r="K310" t="s">
        <v>6</v>
      </c>
      <c r="L310">
        <v>-2.49000000000005</v>
      </c>
      <c r="M310" t="s">
        <v>7</v>
      </c>
      <c r="N310">
        <v>-1.9153846153846601E-2</v>
      </c>
      <c r="O310" t="s">
        <v>8</v>
      </c>
      <c r="P310">
        <v>12.1005263157894</v>
      </c>
      <c r="Q310" t="s">
        <v>9</v>
      </c>
      <c r="R310">
        <v>-2.0936936936936901</v>
      </c>
      <c r="S310" t="s">
        <v>10</v>
      </c>
      <c r="T310">
        <v>1.0766349672462201</v>
      </c>
      <c r="U310" t="s">
        <v>11</v>
      </c>
      <c r="V310" t="s">
        <v>2742</v>
      </c>
      <c r="W310" t="s">
        <v>2587</v>
      </c>
      <c r="X310">
        <v>0</v>
      </c>
      <c r="Y310" t="s">
        <v>14</v>
      </c>
      <c r="Z310" t="s">
        <v>15</v>
      </c>
      <c r="AA310" t="s">
        <v>2742</v>
      </c>
      <c r="AB310" t="s">
        <v>2587</v>
      </c>
      <c r="AC310">
        <v>0</v>
      </c>
      <c r="AD310" t="s">
        <v>18</v>
      </c>
    </row>
    <row r="311" spans="1:30" x14ac:dyDescent="0.3">
      <c r="A311" t="s">
        <v>2728</v>
      </c>
      <c r="B311" t="s">
        <v>1</v>
      </c>
      <c r="C311">
        <v>-0.1</v>
      </c>
      <c r="D311" t="s">
        <v>2</v>
      </c>
      <c r="E311" t="s">
        <v>2547</v>
      </c>
      <c r="F311" t="str">
        <f t="shared" si="4"/>
        <v xml:space="preserve">psar_{'P' [('delta'-0.1 1)]}_[7 35]_6 </v>
      </c>
      <c r="G311" t="s">
        <v>2540</v>
      </c>
      <c r="H311">
        <v>135</v>
      </c>
      <c r="I311" t="s">
        <v>5</v>
      </c>
      <c r="J311">
        <v>10</v>
      </c>
      <c r="K311" t="s">
        <v>6</v>
      </c>
      <c r="L311">
        <v>-2.3292242594214101</v>
      </c>
      <c r="M311" t="s">
        <v>7</v>
      </c>
      <c r="N311">
        <v>-1.7253513032751199E-2</v>
      </c>
      <c r="O311" t="s">
        <v>8</v>
      </c>
      <c r="P311">
        <v>4.9279999999999999</v>
      </c>
      <c r="Q311" t="s">
        <v>9</v>
      </c>
      <c r="R311">
        <v>-0.412873794075371</v>
      </c>
      <c r="S311" t="s">
        <v>10</v>
      </c>
      <c r="T311">
        <v>0.39309767191621398</v>
      </c>
      <c r="U311" t="s">
        <v>11</v>
      </c>
      <c r="V311" t="s">
        <v>2673</v>
      </c>
      <c r="W311" t="s">
        <v>2071</v>
      </c>
      <c r="X311">
        <v>0</v>
      </c>
      <c r="Y311" t="s">
        <v>14</v>
      </c>
      <c r="Z311" t="s">
        <v>15</v>
      </c>
      <c r="AA311" t="s">
        <v>2673</v>
      </c>
      <c r="AB311" t="s">
        <v>2071</v>
      </c>
      <c r="AC311">
        <v>0</v>
      </c>
      <c r="AD311" t="s">
        <v>18</v>
      </c>
    </row>
    <row r="312" spans="1:30" x14ac:dyDescent="0.3">
      <c r="A312" t="s">
        <v>2728</v>
      </c>
      <c r="B312" t="s">
        <v>1</v>
      </c>
      <c r="C312">
        <v>-0.2</v>
      </c>
      <c r="D312" t="s">
        <v>2</v>
      </c>
      <c r="E312" t="s">
        <v>2547</v>
      </c>
      <c r="F312" t="str">
        <f t="shared" si="4"/>
        <v xml:space="preserve">psar_{'P' [('delta'-0.2 1)]}_[7 35]_6 </v>
      </c>
      <c r="G312" t="s">
        <v>2540</v>
      </c>
      <c r="H312">
        <v>135</v>
      </c>
      <c r="I312" t="s">
        <v>5</v>
      </c>
      <c r="J312">
        <v>15</v>
      </c>
      <c r="K312" t="s">
        <v>6</v>
      </c>
      <c r="L312">
        <v>-2.23999999999995</v>
      </c>
      <c r="M312" t="s">
        <v>7</v>
      </c>
      <c r="N312">
        <v>-1.6592592592592201E-2</v>
      </c>
      <c r="O312" t="s">
        <v>8</v>
      </c>
      <c r="P312">
        <v>6.8966666666666701</v>
      </c>
      <c r="Q312" t="s">
        <v>9</v>
      </c>
      <c r="R312">
        <v>-0.88074999999999903</v>
      </c>
      <c r="S312" t="s">
        <v>10</v>
      </c>
      <c r="T312">
        <v>0.70420203800037695</v>
      </c>
      <c r="U312" t="s">
        <v>11</v>
      </c>
      <c r="V312" t="s">
        <v>2661</v>
      </c>
      <c r="W312" t="s">
        <v>2071</v>
      </c>
      <c r="X312">
        <v>0</v>
      </c>
      <c r="Y312" t="s">
        <v>14</v>
      </c>
      <c r="Z312" t="s">
        <v>15</v>
      </c>
      <c r="AA312" t="s">
        <v>2661</v>
      </c>
      <c r="AB312" t="s">
        <v>2071</v>
      </c>
      <c r="AC312">
        <v>0</v>
      </c>
      <c r="AD312" t="s">
        <v>18</v>
      </c>
    </row>
    <row r="313" spans="1:30" x14ac:dyDescent="0.3">
      <c r="A313" t="s">
        <v>2858</v>
      </c>
      <c r="B313" t="s">
        <v>1</v>
      </c>
      <c r="C313">
        <v>-0.1</v>
      </c>
      <c r="D313" t="s">
        <v>2174</v>
      </c>
      <c r="E313" t="s">
        <v>2569</v>
      </c>
      <c r="F313" t="str">
        <f t="shared" si="4"/>
        <v xml:space="preserve">stoch_no_highvol_{'P' [('delta'-0.1 1)]}_[42 70]_6 </v>
      </c>
      <c r="G313" t="s">
        <v>2540</v>
      </c>
      <c r="H313">
        <v>331</v>
      </c>
      <c r="I313" t="s">
        <v>5</v>
      </c>
      <c r="J313">
        <v>27</v>
      </c>
      <c r="K313" t="s">
        <v>6</v>
      </c>
      <c r="L313">
        <v>-1.68150084676871</v>
      </c>
      <c r="M313" t="s">
        <v>7</v>
      </c>
      <c r="N313">
        <v>-5.0800629811743698E-3</v>
      </c>
      <c r="O313" t="s">
        <v>8</v>
      </c>
      <c r="P313">
        <v>6.8333333333333304</v>
      </c>
      <c r="Q313" t="s">
        <v>9</v>
      </c>
      <c r="R313">
        <v>-0.61243914752226503</v>
      </c>
      <c r="S313" t="s">
        <v>10</v>
      </c>
      <c r="T313">
        <v>0.80402367046362</v>
      </c>
      <c r="U313" t="s">
        <v>11</v>
      </c>
      <c r="V313" t="s">
        <v>2896</v>
      </c>
      <c r="W313" t="s">
        <v>2897</v>
      </c>
      <c r="X313">
        <v>0</v>
      </c>
      <c r="Y313" t="s">
        <v>14</v>
      </c>
      <c r="Z313" t="s">
        <v>15</v>
      </c>
      <c r="AA313" t="s">
        <v>2901</v>
      </c>
      <c r="AB313" t="s">
        <v>2793</v>
      </c>
      <c r="AC313">
        <v>0</v>
      </c>
      <c r="AD313" t="s">
        <v>18</v>
      </c>
    </row>
    <row r="314" spans="1:30" x14ac:dyDescent="0.3">
      <c r="A314" t="s">
        <v>2728</v>
      </c>
      <c r="B314" t="s">
        <v>1</v>
      </c>
      <c r="C314">
        <v>-0.3</v>
      </c>
      <c r="D314" t="s">
        <v>2</v>
      </c>
      <c r="E314" t="s">
        <v>2547</v>
      </c>
      <c r="F314" t="str">
        <f t="shared" si="4"/>
        <v xml:space="preserve">psar_{'P' [('delta'-0.3 1)]}_[7 35]_6 </v>
      </c>
      <c r="G314" t="s">
        <v>2540</v>
      </c>
      <c r="H314">
        <v>135</v>
      </c>
      <c r="I314" t="s">
        <v>5</v>
      </c>
      <c r="J314">
        <v>23</v>
      </c>
      <c r="K314" t="s">
        <v>6</v>
      </c>
      <c r="L314">
        <v>-1.5499999999998999</v>
      </c>
      <c r="M314" t="s">
        <v>7</v>
      </c>
      <c r="N314">
        <v>-1.1481481481480701E-2</v>
      </c>
      <c r="O314" t="s">
        <v>8</v>
      </c>
      <c r="P314">
        <v>6.8526086956521697</v>
      </c>
      <c r="Q314" t="s">
        <v>9</v>
      </c>
      <c r="R314">
        <v>-1.4210714285714201</v>
      </c>
      <c r="S314" t="s">
        <v>10</v>
      </c>
      <c r="T314">
        <v>0.89454301671206404</v>
      </c>
      <c r="U314" t="s">
        <v>11</v>
      </c>
      <c r="V314" t="s">
        <v>2647</v>
      </c>
      <c r="W314" t="s">
        <v>2071</v>
      </c>
      <c r="X314">
        <v>0</v>
      </c>
      <c r="Y314" t="s">
        <v>14</v>
      </c>
      <c r="Z314" t="s">
        <v>15</v>
      </c>
      <c r="AA314" t="s">
        <v>2647</v>
      </c>
      <c r="AB314" t="s">
        <v>2071</v>
      </c>
      <c r="AC314">
        <v>0</v>
      </c>
      <c r="AD314" t="s">
        <v>18</v>
      </c>
    </row>
    <row r="315" spans="1:30" x14ac:dyDescent="0.3">
      <c r="A315" t="s">
        <v>2728</v>
      </c>
      <c r="B315" t="s">
        <v>1</v>
      </c>
      <c r="C315">
        <v>-0.1</v>
      </c>
      <c r="D315" t="s">
        <v>27</v>
      </c>
      <c r="E315" t="s">
        <v>2552</v>
      </c>
      <c r="F315" t="str">
        <f t="shared" si="4"/>
        <v xml:space="preserve">psar_{'P' [('delta'-0.1 1)]}_[21 49]_2 </v>
      </c>
      <c r="G315" t="s">
        <v>2540</v>
      </c>
      <c r="H315">
        <v>140</v>
      </c>
      <c r="I315" t="s">
        <v>5</v>
      </c>
      <c r="J315">
        <v>24</v>
      </c>
      <c r="K315" t="s">
        <v>6</v>
      </c>
      <c r="L315">
        <v>-1.3874821757004601</v>
      </c>
      <c r="M315" t="s">
        <v>7</v>
      </c>
      <c r="N315">
        <v>-9.9105869692890092E-3</v>
      </c>
      <c r="O315" t="s">
        <v>8</v>
      </c>
      <c r="P315">
        <v>2.6462500000000002</v>
      </c>
      <c r="Q315" t="s">
        <v>9</v>
      </c>
      <c r="R315">
        <v>-0.55946105323879702</v>
      </c>
      <c r="S315" t="s">
        <v>10</v>
      </c>
      <c r="T315">
        <v>0.28860449877244299</v>
      </c>
      <c r="U315" t="s">
        <v>11</v>
      </c>
      <c r="V315" t="s">
        <v>2751</v>
      </c>
      <c r="W315" t="s">
        <v>2640</v>
      </c>
      <c r="X315">
        <v>0</v>
      </c>
      <c r="Y315" t="s">
        <v>14</v>
      </c>
      <c r="Z315" t="s">
        <v>15</v>
      </c>
      <c r="AA315" t="s">
        <v>2751</v>
      </c>
      <c r="AB315" t="s">
        <v>2640</v>
      </c>
      <c r="AC315">
        <v>0</v>
      </c>
      <c r="AD315" t="s">
        <v>18</v>
      </c>
    </row>
    <row r="316" spans="1:30" x14ac:dyDescent="0.3">
      <c r="A316" t="s">
        <v>2777</v>
      </c>
      <c r="B316" t="s">
        <v>1</v>
      </c>
      <c r="C316">
        <v>-0.4</v>
      </c>
      <c r="D316" t="s">
        <v>27</v>
      </c>
      <c r="E316" t="s">
        <v>2550</v>
      </c>
      <c r="F316" t="str">
        <f t="shared" si="4"/>
        <v xml:space="preserve">rsi_{'P' [('delta'-0.4 1)]}_[21 49]_1 </v>
      </c>
      <c r="G316" t="s">
        <v>2540</v>
      </c>
      <c r="H316">
        <v>128</v>
      </c>
      <c r="I316" t="s">
        <v>5</v>
      </c>
      <c r="J316">
        <v>41</v>
      </c>
      <c r="K316" t="s">
        <v>6</v>
      </c>
      <c r="L316">
        <v>0.42000000000002602</v>
      </c>
      <c r="M316" t="s">
        <v>7</v>
      </c>
      <c r="N316">
        <v>3.2812500000001998E-3</v>
      </c>
      <c r="O316" t="s">
        <v>8</v>
      </c>
      <c r="P316">
        <v>5.2436585365853601</v>
      </c>
      <c r="Q316" t="s">
        <v>9</v>
      </c>
      <c r="R316">
        <v>-2.4663218390804502</v>
      </c>
      <c r="S316" t="s">
        <v>10</v>
      </c>
      <c r="T316">
        <v>0.87645285959361496</v>
      </c>
      <c r="U316" t="s">
        <v>11</v>
      </c>
      <c r="V316" t="s">
        <v>2730</v>
      </c>
      <c r="W316" t="s">
        <v>2554</v>
      </c>
      <c r="X316">
        <v>0</v>
      </c>
      <c r="Y316" t="s">
        <v>14</v>
      </c>
      <c r="Z316" t="s">
        <v>15</v>
      </c>
      <c r="AA316" t="s">
        <v>2779</v>
      </c>
      <c r="AB316" t="s">
        <v>2554</v>
      </c>
      <c r="AC316">
        <v>0</v>
      </c>
      <c r="AD316" t="s">
        <v>18</v>
      </c>
    </row>
    <row r="317" spans="1:30" x14ac:dyDescent="0.3">
      <c r="A317" t="s">
        <v>2728</v>
      </c>
      <c r="B317" t="s">
        <v>1</v>
      </c>
      <c r="C317">
        <v>-0.2</v>
      </c>
      <c r="D317" t="s">
        <v>27</v>
      </c>
      <c r="E317" t="s">
        <v>2552</v>
      </c>
      <c r="F317" t="str">
        <f t="shared" si="4"/>
        <v xml:space="preserve">psar_{'P' [('delta'-0.2 1)]}_[21 49]_2 </v>
      </c>
      <c r="G317" t="s">
        <v>2540</v>
      </c>
      <c r="H317">
        <v>140</v>
      </c>
      <c r="I317" t="s">
        <v>5</v>
      </c>
      <c r="J317">
        <v>24</v>
      </c>
      <c r="K317" t="s">
        <v>6</v>
      </c>
      <c r="L317">
        <v>0.52306969290194305</v>
      </c>
      <c r="M317" t="s">
        <v>7</v>
      </c>
      <c r="N317">
        <v>3.7362120921567402E-3</v>
      </c>
      <c r="O317" t="s">
        <v>8</v>
      </c>
      <c r="P317">
        <v>5.6587500000000004</v>
      </c>
      <c r="Q317" t="s">
        <v>9</v>
      </c>
      <c r="R317">
        <v>-1.1662666405784301</v>
      </c>
      <c r="S317" t="s">
        <v>10</v>
      </c>
      <c r="T317">
        <v>0.597575670852181</v>
      </c>
      <c r="U317" t="s">
        <v>11</v>
      </c>
      <c r="V317" t="s">
        <v>2744</v>
      </c>
      <c r="W317" t="s">
        <v>2582</v>
      </c>
      <c r="X317">
        <v>0</v>
      </c>
      <c r="Y317" t="s">
        <v>14</v>
      </c>
      <c r="Z317" t="s">
        <v>15</v>
      </c>
      <c r="AA317" t="s">
        <v>2744</v>
      </c>
      <c r="AB317" t="s">
        <v>2582</v>
      </c>
      <c r="AC317">
        <v>0</v>
      </c>
      <c r="AD317" t="s">
        <v>18</v>
      </c>
    </row>
    <row r="318" spans="1:30" x14ac:dyDescent="0.3">
      <c r="A318" t="s">
        <v>2728</v>
      </c>
      <c r="B318" t="s">
        <v>1</v>
      </c>
      <c r="C318">
        <v>-0.1</v>
      </c>
      <c r="D318" t="s">
        <v>2174</v>
      </c>
      <c r="E318" t="s">
        <v>2569</v>
      </c>
      <c r="F318" t="str">
        <f t="shared" si="4"/>
        <v xml:space="preserve">psar_{'P' [('delta'-0.1 1)]}_[42 70]_6 </v>
      </c>
      <c r="G318" t="s">
        <v>2540</v>
      </c>
      <c r="H318">
        <v>139</v>
      </c>
      <c r="I318" t="s">
        <v>5</v>
      </c>
      <c r="J318">
        <v>11</v>
      </c>
      <c r="K318" t="s">
        <v>6</v>
      </c>
      <c r="L318">
        <v>0.799394873616187</v>
      </c>
      <c r="M318" t="s">
        <v>7</v>
      </c>
      <c r="N318">
        <v>5.7510422562315599E-3</v>
      </c>
      <c r="O318" t="s">
        <v>8</v>
      </c>
      <c r="P318">
        <v>8.6839445027463302</v>
      </c>
      <c r="Q318" t="s">
        <v>9</v>
      </c>
      <c r="R318">
        <v>-0.74003120825463597</v>
      </c>
      <c r="S318" t="s">
        <v>10</v>
      </c>
      <c r="T318">
        <v>0.45788470146958699</v>
      </c>
      <c r="U318" t="s">
        <v>11</v>
      </c>
      <c r="V318" t="s">
        <v>812</v>
      </c>
      <c r="W318" t="s">
        <v>2071</v>
      </c>
      <c r="X318">
        <v>0</v>
      </c>
      <c r="Y318" t="s">
        <v>14</v>
      </c>
      <c r="Z318" t="s">
        <v>15</v>
      </c>
      <c r="AA318" t="s">
        <v>812</v>
      </c>
      <c r="AB318" t="s">
        <v>2071</v>
      </c>
      <c r="AC318">
        <v>0</v>
      </c>
      <c r="AD318" t="s">
        <v>18</v>
      </c>
    </row>
    <row r="319" spans="1:30" x14ac:dyDescent="0.3">
      <c r="A319" t="s">
        <v>2752</v>
      </c>
      <c r="B319" t="s">
        <v>1</v>
      </c>
      <c r="C319">
        <v>-0.3</v>
      </c>
      <c r="D319" t="s">
        <v>27</v>
      </c>
      <c r="E319" t="s">
        <v>2552</v>
      </c>
      <c r="F319" t="str">
        <f t="shared" si="4"/>
        <v xml:space="preserve">psar_no_highvol_{'P' [('delta'-0.3 1)]}_[21 49]_2 </v>
      </c>
      <c r="G319" t="s">
        <v>2540</v>
      </c>
      <c r="H319">
        <v>130</v>
      </c>
      <c r="I319" t="s">
        <v>5</v>
      </c>
      <c r="J319">
        <v>25</v>
      </c>
      <c r="K319" t="s">
        <v>6</v>
      </c>
      <c r="L319">
        <v>1.3500000000000201</v>
      </c>
      <c r="M319" t="s">
        <v>7</v>
      </c>
      <c r="N319">
        <v>1.0384615384615501E-2</v>
      </c>
      <c r="O319" t="s">
        <v>8</v>
      </c>
      <c r="P319">
        <v>7.1604000000000001</v>
      </c>
      <c r="Q319" t="s">
        <v>9</v>
      </c>
      <c r="R319">
        <v>-1.6919999999999999</v>
      </c>
      <c r="S319" t="s">
        <v>10</v>
      </c>
      <c r="T319">
        <v>0.738909377652609</v>
      </c>
      <c r="U319" t="s">
        <v>11</v>
      </c>
      <c r="V319" t="s">
        <v>2739</v>
      </c>
      <c r="W319" t="s">
        <v>2582</v>
      </c>
      <c r="X319">
        <v>0</v>
      </c>
      <c r="Y319" t="s">
        <v>14</v>
      </c>
      <c r="Z319" t="s">
        <v>15</v>
      </c>
      <c r="AA319" t="s">
        <v>2739</v>
      </c>
      <c r="AB319" t="s">
        <v>2582</v>
      </c>
      <c r="AC319">
        <v>0</v>
      </c>
      <c r="AD319" t="s">
        <v>18</v>
      </c>
    </row>
    <row r="320" spans="1:30" x14ac:dyDescent="0.3">
      <c r="A320" t="s">
        <v>2623</v>
      </c>
      <c r="B320" t="s">
        <v>1</v>
      </c>
      <c r="C320">
        <v>-0.4</v>
      </c>
      <c r="D320" t="s">
        <v>2174</v>
      </c>
      <c r="E320" t="s">
        <v>2569</v>
      </c>
      <c r="F320" t="str">
        <f t="shared" si="4"/>
        <v xml:space="preserve">bbands_{'P' [('delta'-0.4 1)]}_[42 70]_6 </v>
      </c>
      <c r="G320" t="s">
        <v>2540</v>
      </c>
      <c r="H320">
        <v>167</v>
      </c>
      <c r="I320" t="s">
        <v>5</v>
      </c>
      <c r="J320">
        <v>30</v>
      </c>
      <c r="K320" t="s">
        <v>6</v>
      </c>
      <c r="L320">
        <v>1.5135892048375299</v>
      </c>
      <c r="M320" t="s">
        <v>7</v>
      </c>
      <c r="N320">
        <v>9.0634084122007894E-3</v>
      </c>
      <c r="O320" t="s">
        <v>8</v>
      </c>
      <c r="P320">
        <v>14.127000000000001</v>
      </c>
      <c r="Q320" t="s">
        <v>9</v>
      </c>
      <c r="R320">
        <v>-3.08245555324936</v>
      </c>
      <c r="S320" t="s">
        <v>10</v>
      </c>
      <c r="T320">
        <v>2.1264159497636101</v>
      </c>
      <c r="U320" t="s">
        <v>11</v>
      </c>
      <c r="V320" t="s">
        <v>2636</v>
      </c>
      <c r="W320" t="s">
        <v>691</v>
      </c>
      <c r="X320">
        <v>0</v>
      </c>
      <c r="Y320" t="s">
        <v>14</v>
      </c>
      <c r="Z320" t="s">
        <v>15</v>
      </c>
      <c r="AA320" t="s">
        <v>2639</v>
      </c>
      <c r="AB320" t="s">
        <v>2640</v>
      </c>
      <c r="AC320">
        <v>0</v>
      </c>
      <c r="AD320" t="s">
        <v>18</v>
      </c>
    </row>
    <row r="321" spans="1:30" x14ac:dyDescent="0.3">
      <c r="A321" t="s">
        <v>2752</v>
      </c>
      <c r="B321" t="s">
        <v>1</v>
      </c>
      <c r="C321">
        <v>-0.2</v>
      </c>
      <c r="D321" t="s">
        <v>27</v>
      </c>
      <c r="E321" t="s">
        <v>2552</v>
      </c>
      <c r="F321" t="str">
        <f t="shared" si="4"/>
        <v xml:space="preserve">psar_no_highvol_{'P' [('delta'-0.2 1)]}_[21 49]_2 </v>
      </c>
      <c r="G321" t="s">
        <v>2540</v>
      </c>
      <c r="H321">
        <v>130</v>
      </c>
      <c r="I321" t="s">
        <v>5</v>
      </c>
      <c r="J321">
        <v>22</v>
      </c>
      <c r="K321" t="s">
        <v>6</v>
      </c>
      <c r="L321">
        <v>3.55</v>
      </c>
      <c r="M321" t="s">
        <v>7</v>
      </c>
      <c r="N321">
        <v>2.73076923076923E-2</v>
      </c>
      <c r="O321" t="s">
        <v>8</v>
      </c>
      <c r="P321">
        <v>5.4995454545454496</v>
      </c>
      <c r="Q321" t="s">
        <v>9</v>
      </c>
      <c r="R321">
        <v>-1.0874074074074001</v>
      </c>
      <c r="S321" t="s">
        <v>10</v>
      </c>
      <c r="T321">
        <v>0.51229698890935504</v>
      </c>
      <c r="U321" t="s">
        <v>11</v>
      </c>
      <c r="V321" t="s">
        <v>2744</v>
      </c>
      <c r="W321" t="s">
        <v>2582</v>
      </c>
      <c r="X321">
        <v>0</v>
      </c>
      <c r="Y321" t="s">
        <v>14</v>
      </c>
      <c r="Z321" t="s">
        <v>15</v>
      </c>
      <c r="AA321" t="s">
        <v>2744</v>
      </c>
      <c r="AB321" t="s">
        <v>2582</v>
      </c>
      <c r="AC321">
        <v>0</v>
      </c>
      <c r="AD321" t="s">
        <v>18</v>
      </c>
    </row>
    <row r="322" spans="1:30" x14ac:dyDescent="0.3">
      <c r="A322" t="s">
        <v>2858</v>
      </c>
      <c r="B322" t="s">
        <v>1</v>
      </c>
      <c r="C322">
        <v>-0.4</v>
      </c>
      <c r="D322" t="s">
        <v>2</v>
      </c>
      <c r="E322" t="s">
        <v>2547</v>
      </c>
      <c r="F322" t="str">
        <f t="shared" si="4"/>
        <v xml:space="preserve">stoch_no_highvol_{'P' [('delta'-0.4 1)]}_[7 35]_6 </v>
      </c>
      <c r="G322" t="s">
        <v>2540</v>
      </c>
      <c r="H322">
        <v>334</v>
      </c>
      <c r="I322" t="s">
        <v>5</v>
      </c>
      <c r="J322">
        <v>67</v>
      </c>
      <c r="K322" t="s">
        <v>6</v>
      </c>
      <c r="L322">
        <v>3.7200000000000499</v>
      </c>
      <c r="M322" t="s">
        <v>7</v>
      </c>
      <c r="N322">
        <v>1.1137724550898301E-2</v>
      </c>
      <c r="O322" t="s">
        <v>8</v>
      </c>
      <c r="P322">
        <v>7.30253731343283</v>
      </c>
      <c r="Q322" t="s">
        <v>9</v>
      </c>
      <c r="R322">
        <v>-1.8185393258426901</v>
      </c>
      <c r="S322" t="s">
        <v>10</v>
      </c>
      <c r="T322">
        <v>2.2185693888118698</v>
      </c>
      <c r="U322" t="s">
        <v>11</v>
      </c>
      <c r="V322" t="s">
        <v>2747</v>
      </c>
      <c r="W322" t="s">
        <v>2587</v>
      </c>
      <c r="X322">
        <v>0</v>
      </c>
      <c r="Y322" t="s">
        <v>14</v>
      </c>
      <c r="Z322" t="s">
        <v>15</v>
      </c>
      <c r="AA322" t="s">
        <v>2862</v>
      </c>
      <c r="AB322" t="s">
        <v>2655</v>
      </c>
      <c r="AC322">
        <v>0</v>
      </c>
      <c r="AD322" t="s">
        <v>18</v>
      </c>
    </row>
    <row r="323" spans="1:30" x14ac:dyDescent="0.3">
      <c r="A323" t="s">
        <v>2728</v>
      </c>
      <c r="B323" t="s">
        <v>1</v>
      </c>
      <c r="C323">
        <v>-0.1</v>
      </c>
      <c r="D323" t="s">
        <v>2</v>
      </c>
      <c r="E323" t="s">
        <v>2545</v>
      </c>
      <c r="F323" t="str">
        <f t="shared" ref="F323:F386" si="5">_xlfn.CONCAT(A323:E323)</f>
        <v xml:space="preserve">psar_{'P' [('delta'-0.1 1)]}_[7 35]_4 </v>
      </c>
      <c r="G323" t="s">
        <v>2540</v>
      </c>
      <c r="H323">
        <v>135</v>
      </c>
      <c r="I323" t="s">
        <v>5</v>
      </c>
      <c r="J323">
        <v>14</v>
      </c>
      <c r="K323" t="s">
        <v>6</v>
      </c>
      <c r="L323">
        <v>3.9507757405785902</v>
      </c>
      <c r="M323" t="s">
        <v>7</v>
      </c>
      <c r="N323">
        <v>2.9265005485767302E-2</v>
      </c>
      <c r="O323" t="s">
        <v>8</v>
      </c>
      <c r="P323">
        <v>3.8121428571428502</v>
      </c>
      <c r="Q323" t="s">
        <v>9</v>
      </c>
      <c r="R323">
        <v>-0.40842334098695299</v>
      </c>
      <c r="S323" t="s">
        <v>10</v>
      </c>
      <c r="T323">
        <v>0.34885614169436502</v>
      </c>
      <c r="U323" t="s">
        <v>11</v>
      </c>
      <c r="V323" t="s">
        <v>2673</v>
      </c>
      <c r="W323" t="s">
        <v>2071</v>
      </c>
      <c r="X323">
        <v>0</v>
      </c>
      <c r="Y323" t="s">
        <v>14</v>
      </c>
      <c r="Z323" t="s">
        <v>15</v>
      </c>
      <c r="AA323" t="s">
        <v>2673</v>
      </c>
      <c r="AB323" t="s">
        <v>2071</v>
      </c>
      <c r="AC323">
        <v>0</v>
      </c>
      <c r="AD323" t="s">
        <v>18</v>
      </c>
    </row>
    <row r="324" spans="1:30" x14ac:dyDescent="0.3">
      <c r="A324" t="s">
        <v>2752</v>
      </c>
      <c r="B324" t="s">
        <v>1</v>
      </c>
      <c r="C324">
        <v>-0.1</v>
      </c>
      <c r="D324" t="s">
        <v>27</v>
      </c>
      <c r="E324" t="s">
        <v>2552</v>
      </c>
      <c r="F324" t="str">
        <f t="shared" si="5"/>
        <v xml:space="preserve">psar_no_highvol_{'P' [('delta'-0.1 1)]}_[21 49]_2 </v>
      </c>
      <c r="G324" t="s">
        <v>2540</v>
      </c>
      <c r="H324">
        <v>130</v>
      </c>
      <c r="I324" t="s">
        <v>5</v>
      </c>
      <c r="J324">
        <v>23</v>
      </c>
      <c r="K324" t="s">
        <v>6</v>
      </c>
      <c r="L324">
        <v>4.0907757405785796</v>
      </c>
      <c r="M324" t="s">
        <v>7</v>
      </c>
      <c r="N324">
        <v>3.1467505696758297E-2</v>
      </c>
      <c r="O324" t="s">
        <v>8</v>
      </c>
      <c r="P324">
        <v>2.5234782608695601</v>
      </c>
      <c r="Q324" t="s">
        <v>9</v>
      </c>
      <c r="R324">
        <v>-0.50419835756468501</v>
      </c>
      <c r="S324" t="s">
        <v>10</v>
      </c>
      <c r="T324">
        <v>0.24250631046136101</v>
      </c>
      <c r="U324" t="s">
        <v>11</v>
      </c>
      <c r="V324" t="s">
        <v>106</v>
      </c>
      <c r="W324" t="s">
        <v>2773</v>
      </c>
      <c r="X324">
        <v>0</v>
      </c>
      <c r="Y324" t="s">
        <v>14</v>
      </c>
      <c r="Z324" t="s">
        <v>15</v>
      </c>
      <c r="AA324" t="s">
        <v>106</v>
      </c>
      <c r="AB324" t="s">
        <v>2773</v>
      </c>
      <c r="AC324">
        <v>0</v>
      </c>
      <c r="AD324" t="s">
        <v>18</v>
      </c>
    </row>
    <row r="325" spans="1:30" x14ac:dyDescent="0.3">
      <c r="A325" t="s">
        <v>2683</v>
      </c>
      <c r="B325" t="s">
        <v>1</v>
      </c>
      <c r="C325">
        <v>-0.2</v>
      </c>
      <c r="D325" t="s">
        <v>2174</v>
      </c>
      <c r="E325" t="s">
        <v>2569</v>
      </c>
      <c r="F325" t="str">
        <f t="shared" si="5"/>
        <v xml:space="preserve">bbands_no_highvol_{'P' [('delta'-0.2 1)]}_[42 70]_6 </v>
      </c>
      <c r="G325" t="s">
        <v>2540</v>
      </c>
      <c r="H325">
        <v>157</v>
      </c>
      <c r="I325" t="s">
        <v>5</v>
      </c>
      <c r="J325">
        <v>13</v>
      </c>
      <c r="K325" t="s">
        <v>6</v>
      </c>
      <c r="L325">
        <v>4.4824887749319</v>
      </c>
      <c r="M325" t="s">
        <v>7</v>
      </c>
      <c r="N325">
        <v>2.8550883916763699E-2</v>
      </c>
      <c r="O325" t="s">
        <v>8</v>
      </c>
      <c r="P325">
        <v>15.0038461538461</v>
      </c>
      <c r="Q325" t="s">
        <v>9</v>
      </c>
      <c r="R325">
        <v>-1.32338549461852</v>
      </c>
      <c r="S325" t="s">
        <v>10</v>
      </c>
      <c r="T325">
        <v>1.0065644698009899</v>
      </c>
      <c r="U325" t="s">
        <v>11</v>
      </c>
      <c r="V325" t="s">
        <v>2665</v>
      </c>
      <c r="W325" t="s">
        <v>2666</v>
      </c>
      <c r="X325">
        <v>0</v>
      </c>
      <c r="Y325" t="s">
        <v>14</v>
      </c>
      <c r="Z325" t="s">
        <v>15</v>
      </c>
      <c r="AA325" t="s">
        <v>2714</v>
      </c>
      <c r="AB325" t="s">
        <v>2644</v>
      </c>
      <c r="AC325">
        <v>0</v>
      </c>
      <c r="AD325" t="s">
        <v>18</v>
      </c>
    </row>
    <row r="326" spans="1:30" x14ac:dyDescent="0.3">
      <c r="A326" t="s">
        <v>2752</v>
      </c>
      <c r="B326" t="s">
        <v>1</v>
      </c>
      <c r="C326">
        <v>-0.1</v>
      </c>
      <c r="D326" t="s">
        <v>2</v>
      </c>
      <c r="E326" t="s">
        <v>2547</v>
      </c>
      <c r="F326" t="str">
        <f t="shared" si="5"/>
        <v xml:space="preserve">psar_no_highvol_{'P' [('delta'-0.1 1)]}_[7 35]_6 </v>
      </c>
      <c r="G326" t="s">
        <v>2540</v>
      </c>
      <c r="H326">
        <v>125</v>
      </c>
      <c r="I326" t="s">
        <v>5</v>
      </c>
      <c r="J326">
        <v>10</v>
      </c>
      <c r="K326" t="s">
        <v>6</v>
      </c>
      <c r="L326">
        <v>5.0107757405785804</v>
      </c>
      <c r="M326" t="s">
        <v>7</v>
      </c>
      <c r="N326">
        <v>4.0086205924628603E-2</v>
      </c>
      <c r="O326" t="s">
        <v>8</v>
      </c>
      <c r="P326">
        <v>4.9279999999999999</v>
      </c>
      <c r="Q326" t="s">
        <v>9</v>
      </c>
      <c r="R326">
        <v>-0.38494977616888099</v>
      </c>
      <c r="S326" t="s">
        <v>10</v>
      </c>
      <c r="T326">
        <v>0.34983027408772199</v>
      </c>
      <c r="U326" t="s">
        <v>11</v>
      </c>
      <c r="V326" t="s">
        <v>2772</v>
      </c>
      <c r="W326" t="s">
        <v>2666</v>
      </c>
      <c r="X326">
        <v>0</v>
      </c>
      <c r="Y326" t="s">
        <v>14</v>
      </c>
      <c r="Z326" t="s">
        <v>15</v>
      </c>
      <c r="AA326" t="s">
        <v>2772</v>
      </c>
      <c r="AB326" t="s">
        <v>2666</v>
      </c>
      <c r="AC326">
        <v>0</v>
      </c>
      <c r="AD326" t="s">
        <v>18</v>
      </c>
    </row>
    <row r="327" spans="1:30" x14ac:dyDescent="0.3">
      <c r="A327" t="s">
        <v>2728</v>
      </c>
      <c r="B327" t="s">
        <v>1</v>
      </c>
      <c r="C327">
        <v>-0.2</v>
      </c>
      <c r="D327" t="s">
        <v>27</v>
      </c>
      <c r="E327" t="s">
        <v>2550</v>
      </c>
      <c r="F327" t="str">
        <f t="shared" si="5"/>
        <v xml:space="preserve">psar_{'P' [('delta'-0.2 1)]}_[21 49]_1 </v>
      </c>
      <c r="G327" t="s">
        <v>2540</v>
      </c>
      <c r="H327">
        <v>140</v>
      </c>
      <c r="I327" t="s">
        <v>5</v>
      </c>
      <c r="J327">
        <v>38</v>
      </c>
      <c r="K327" t="s">
        <v>6</v>
      </c>
      <c r="L327">
        <v>6.2530696929019403</v>
      </c>
      <c r="M327" t="s">
        <v>7</v>
      </c>
      <c r="N327">
        <v>4.4664783520728099E-2</v>
      </c>
      <c r="O327" t="s">
        <v>8</v>
      </c>
      <c r="P327">
        <v>3.3023684210526301</v>
      </c>
      <c r="Q327" t="s">
        <v>9</v>
      </c>
      <c r="R327">
        <v>-1.1689895128146801</v>
      </c>
      <c r="S327" t="s">
        <v>10</v>
      </c>
      <c r="T327">
        <v>0.50878813189870298</v>
      </c>
      <c r="U327" t="s">
        <v>11</v>
      </c>
      <c r="V327" t="s">
        <v>2743</v>
      </c>
      <c r="W327" t="s">
        <v>2046</v>
      </c>
      <c r="X327">
        <v>0</v>
      </c>
      <c r="Y327" t="s">
        <v>14</v>
      </c>
      <c r="Z327" t="s">
        <v>15</v>
      </c>
      <c r="AA327" t="s">
        <v>2743</v>
      </c>
      <c r="AB327" t="s">
        <v>2046</v>
      </c>
      <c r="AC327">
        <v>0</v>
      </c>
      <c r="AD327" t="s">
        <v>18</v>
      </c>
    </row>
    <row r="328" spans="1:30" x14ac:dyDescent="0.3">
      <c r="A328" t="s">
        <v>2728</v>
      </c>
      <c r="B328" t="s">
        <v>1</v>
      </c>
      <c r="C328">
        <v>-0.1</v>
      </c>
      <c r="D328" t="s">
        <v>27</v>
      </c>
      <c r="E328" t="s">
        <v>2550</v>
      </c>
      <c r="F328" t="str">
        <f t="shared" si="5"/>
        <v xml:space="preserve">psar_{'P' [('delta'-0.1 1)]}_[21 49]_1 </v>
      </c>
      <c r="G328" t="s">
        <v>2540</v>
      </c>
      <c r="H328">
        <v>140</v>
      </c>
      <c r="I328" t="s">
        <v>5</v>
      </c>
      <c r="J328">
        <v>39</v>
      </c>
      <c r="K328" t="s">
        <v>6</v>
      </c>
      <c r="L328">
        <v>7.3525178242995297</v>
      </c>
      <c r="M328" t="s">
        <v>7</v>
      </c>
      <c r="N328">
        <v>5.2517984459282303E-2</v>
      </c>
      <c r="O328" t="s">
        <v>8</v>
      </c>
      <c r="P328">
        <v>1.66282051282051</v>
      </c>
      <c r="Q328" t="s">
        <v>9</v>
      </c>
      <c r="R328">
        <v>-0.56928200173960797</v>
      </c>
      <c r="S328" t="s">
        <v>10</v>
      </c>
      <c r="T328">
        <v>0.257497421627011</v>
      </c>
      <c r="U328" t="s">
        <v>11</v>
      </c>
      <c r="V328" t="s">
        <v>2750</v>
      </c>
      <c r="W328" t="s">
        <v>2749</v>
      </c>
      <c r="X328">
        <v>0</v>
      </c>
      <c r="Y328" t="s">
        <v>14</v>
      </c>
      <c r="Z328" t="s">
        <v>15</v>
      </c>
      <c r="AA328" t="s">
        <v>2750</v>
      </c>
      <c r="AB328" t="s">
        <v>2749</v>
      </c>
      <c r="AC328">
        <v>0</v>
      </c>
      <c r="AD328" t="s">
        <v>18</v>
      </c>
    </row>
    <row r="329" spans="1:30" x14ac:dyDescent="0.3">
      <c r="A329" t="s">
        <v>2728</v>
      </c>
      <c r="B329" t="s">
        <v>1</v>
      </c>
      <c r="C329">
        <v>-0.2</v>
      </c>
      <c r="D329" t="s">
        <v>2</v>
      </c>
      <c r="E329" t="s">
        <v>2545</v>
      </c>
      <c r="F329" t="str">
        <f t="shared" si="5"/>
        <v xml:space="preserve">psar_{'P' [('delta'-0.2 1)]}_[7 35]_4 </v>
      </c>
      <c r="G329" t="s">
        <v>2540</v>
      </c>
      <c r="H329">
        <v>135</v>
      </c>
      <c r="I329" t="s">
        <v>5</v>
      </c>
      <c r="J329">
        <v>18</v>
      </c>
      <c r="K329" t="s">
        <v>6</v>
      </c>
      <c r="L329">
        <v>7.8200000000000696</v>
      </c>
      <c r="M329" t="s">
        <v>7</v>
      </c>
      <c r="N329">
        <v>5.7925925925926401E-2</v>
      </c>
      <c r="O329" t="s">
        <v>8</v>
      </c>
      <c r="P329">
        <v>6.1883333333333299</v>
      </c>
      <c r="Q329" t="s">
        <v>9</v>
      </c>
      <c r="R329">
        <v>-0.885213675213674</v>
      </c>
      <c r="S329" t="s">
        <v>10</v>
      </c>
      <c r="T329">
        <v>0.62900447896335998</v>
      </c>
      <c r="U329" t="s">
        <v>11</v>
      </c>
      <c r="V329" t="s">
        <v>2661</v>
      </c>
      <c r="W329" t="s">
        <v>2071</v>
      </c>
      <c r="X329">
        <v>0</v>
      </c>
      <c r="Y329" t="s">
        <v>14</v>
      </c>
      <c r="Z329" t="s">
        <v>15</v>
      </c>
      <c r="AA329" t="s">
        <v>2661</v>
      </c>
      <c r="AB329" t="s">
        <v>2071</v>
      </c>
      <c r="AC329">
        <v>0</v>
      </c>
      <c r="AD329" t="s">
        <v>18</v>
      </c>
    </row>
    <row r="330" spans="1:30" x14ac:dyDescent="0.3">
      <c r="A330" t="s">
        <v>2728</v>
      </c>
      <c r="B330" t="s">
        <v>1</v>
      </c>
      <c r="C330">
        <v>-0.1</v>
      </c>
      <c r="D330" t="s">
        <v>27</v>
      </c>
      <c r="E330" t="s">
        <v>2555</v>
      </c>
      <c r="F330" t="str">
        <f t="shared" si="5"/>
        <v xml:space="preserve">psar_{'P' [('delta'-0.1 1)]}_[21 49]_4 </v>
      </c>
      <c r="G330" t="s">
        <v>2540</v>
      </c>
      <c r="H330">
        <v>140</v>
      </c>
      <c r="I330" t="s">
        <v>5</v>
      </c>
      <c r="J330">
        <v>16</v>
      </c>
      <c r="K330" t="s">
        <v>6</v>
      </c>
      <c r="L330">
        <v>10.162517824299499</v>
      </c>
      <c r="M330" t="s">
        <v>7</v>
      </c>
      <c r="N330">
        <v>7.2589413030710898E-2</v>
      </c>
      <c r="O330" t="s">
        <v>8</v>
      </c>
      <c r="P330">
        <v>4.9524999999999899</v>
      </c>
      <c r="Q330" t="s">
        <v>9</v>
      </c>
      <c r="R330">
        <v>-0.55707646915887499</v>
      </c>
      <c r="S330" t="s">
        <v>10</v>
      </c>
      <c r="T330">
        <v>0.39002509504185101</v>
      </c>
      <c r="U330" t="s">
        <v>11</v>
      </c>
      <c r="V330" t="s">
        <v>2673</v>
      </c>
      <c r="W330" t="s">
        <v>2071</v>
      </c>
      <c r="X330">
        <v>0</v>
      </c>
      <c r="Y330" t="s">
        <v>14</v>
      </c>
      <c r="Z330" t="s">
        <v>15</v>
      </c>
      <c r="AA330" t="s">
        <v>2673</v>
      </c>
      <c r="AB330" t="s">
        <v>2071</v>
      </c>
      <c r="AC330">
        <v>0</v>
      </c>
      <c r="AD330" t="s">
        <v>18</v>
      </c>
    </row>
    <row r="331" spans="1:30" x14ac:dyDescent="0.3">
      <c r="A331" t="s">
        <v>2728</v>
      </c>
      <c r="B331" t="s">
        <v>1</v>
      </c>
      <c r="C331">
        <v>-0.4</v>
      </c>
      <c r="D331" t="s">
        <v>2</v>
      </c>
      <c r="E331" t="s">
        <v>2539</v>
      </c>
      <c r="F331" t="str">
        <f t="shared" si="5"/>
        <v xml:space="preserve">psar_{'P' [('delta'-0.4 1)]}_[7 35]_1 </v>
      </c>
      <c r="G331" t="s">
        <v>2540</v>
      </c>
      <c r="H331">
        <v>135</v>
      </c>
      <c r="I331" t="s">
        <v>5</v>
      </c>
      <c r="J331">
        <v>46</v>
      </c>
      <c r="K331" t="s">
        <v>6</v>
      </c>
      <c r="L331">
        <v>10.5999999999999</v>
      </c>
      <c r="M331" t="s">
        <v>7</v>
      </c>
      <c r="N331">
        <v>7.8518518518518501E-2</v>
      </c>
      <c r="O331" t="s">
        <v>8</v>
      </c>
      <c r="P331">
        <v>4.09108695652173</v>
      </c>
      <c r="Q331" t="s">
        <v>9</v>
      </c>
      <c r="R331">
        <v>-1.99539325842696</v>
      </c>
      <c r="S331" t="s">
        <v>10</v>
      </c>
      <c r="T331">
        <v>0.70539802986512401</v>
      </c>
      <c r="U331" t="s">
        <v>11</v>
      </c>
      <c r="V331" t="s">
        <v>2371</v>
      </c>
      <c r="W331" t="s">
        <v>2046</v>
      </c>
      <c r="X331">
        <v>0</v>
      </c>
      <c r="Y331" t="s">
        <v>14</v>
      </c>
      <c r="Z331" t="s">
        <v>15</v>
      </c>
      <c r="AA331" t="s">
        <v>2371</v>
      </c>
      <c r="AB331" t="s">
        <v>2046</v>
      </c>
      <c r="AC331">
        <v>0</v>
      </c>
      <c r="AD331" t="s">
        <v>18</v>
      </c>
    </row>
    <row r="332" spans="1:30" x14ac:dyDescent="0.3">
      <c r="A332" t="s">
        <v>2752</v>
      </c>
      <c r="B332" t="s">
        <v>1</v>
      </c>
      <c r="C332">
        <v>-0.4</v>
      </c>
      <c r="D332" t="s">
        <v>2174</v>
      </c>
      <c r="E332" t="s">
        <v>2565</v>
      </c>
      <c r="F332" t="str">
        <f t="shared" si="5"/>
        <v xml:space="preserve">psar_no_highvol_{'P' [('delta'-0.4 1)]}_[42 70]_4 </v>
      </c>
      <c r="G332" t="s">
        <v>2540</v>
      </c>
      <c r="H332">
        <v>130</v>
      </c>
      <c r="I332" t="s">
        <v>5</v>
      </c>
      <c r="J332">
        <v>27</v>
      </c>
      <c r="K332" t="s">
        <v>6</v>
      </c>
      <c r="L332">
        <v>10.6584220541517</v>
      </c>
      <c r="M332" t="s">
        <v>7</v>
      </c>
      <c r="N332">
        <v>8.1987861955013799E-2</v>
      </c>
      <c r="O332" t="s">
        <v>8</v>
      </c>
      <c r="P332">
        <v>11.7107407407407</v>
      </c>
      <c r="Q332" t="s">
        <v>9</v>
      </c>
      <c r="R332">
        <v>-2.9663259994742499</v>
      </c>
      <c r="S332" t="s">
        <v>10</v>
      </c>
      <c r="T332">
        <v>1.4190258294988201</v>
      </c>
      <c r="U332" t="s">
        <v>11</v>
      </c>
      <c r="V332" t="s">
        <v>2736</v>
      </c>
      <c r="W332" t="s">
        <v>2734</v>
      </c>
      <c r="X332">
        <v>0</v>
      </c>
      <c r="Y332" t="s">
        <v>14</v>
      </c>
      <c r="Z332" t="s">
        <v>15</v>
      </c>
      <c r="AA332" t="s">
        <v>2735</v>
      </c>
      <c r="AB332" t="s">
        <v>2564</v>
      </c>
      <c r="AC332">
        <v>0</v>
      </c>
      <c r="AD332" t="s">
        <v>18</v>
      </c>
    </row>
    <row r="333" spans="1:30" x14ac:dyDescent="0.3">
      <c r="A333" t="s">
        <v>2728</v>
      </c>
      <c r="B333" t="s">
        <v>1</v>
      </c>
      <c r="C333">
        <v>-0.3</v>
      </c>
      <c r="D333" t="s">
        <v>2</v>
      </c>
      <c r="E333" t="s">
        <v>2545</v>
      </c>
      <c r="F333" t="str">
        <f t="shared" si="5"/>
        <v xml:space="preserve">psar_{'P' [('delta'-0.3 1)]}_[7 35]_4 </v>
      </c>
      <c r="G333" t="s">
        <v>2540</v>
      </c>
      <c r="H333">
        <v>135</v>
      </c>
      <c r="I333" t="s">
        <v>5</v>
      </c>
      <c r="J333">
        <v>24</v>
      </c>
      <c r="K333" t="s">
        <v>6</v>
      </c>
      <c r="L333">
        <v>10.83</v>
      </c>
      <c r="M333" t="s">
        <v>7</v>
      </c>
      <c r="N333">
        <v>8.0222222222222805E-2</v>
      </c>
      <c r="O333" t="s">
        <v>8</v>
      </c>
      <c r="P333">
        <v>7.0741666666666703</v>
      </c>
      <c r="Q333" t="s">
        <v>9</v>
      </c>
      <c r="R333">
        <v>-1.4319819819819799</v>
      </c>
      <c r="S333" t="s">
        <v>10</v>
      </c>
      <c r="T333">
        <v>0.86273965486265503</v>
      </c>
      <c r="U333" t="s">
        <v>11</v>
      </c>
      <c r="V333" t="s">
        <v>2647</v>
      </c>
      <c r="W333" t="s">
        <v>2071</v>
      </c>
      <c r="X333">
        <v>0</v>
      </c>
      <c r="Y333" t="s">
        <v>14</v>
      </c>
      <c r="Z333" t="s">
        <v>15</v>
      </c>
      <c r="AA333" t="s">
        <v>2647</v>
      </c>
      <c r="AB333" t="s">
        <v>2071</v>
      </c>
      <c r="AC333">
        <v>0</v>
      </c>
      <c r="AD333" t="s">
        <v>18</v>
      </c>
    </row>
    <row r="334" spans="1:30" x14ac:dyDescent="0.3">
      <c r="A334" t="s">
        <v>2728</v>
      </c>
      <c r="B334" t="s">
        <v>1</v>
      </c>
      <c r="C334">
        <v>-0.1</v>
      </c>
      <c r="D334" t="s">
        <v>2</v>
      </c>
      <c r="E334" t="s">
        <v>2539</v>
      </c>
      <c r="F334" t="str">
        <f t="shared" si="5"/>
        <v xml:space="preserve">psar_{'P' [('delta'-0.1 1)]}_[7 35]_1 </v>
      </c>
      <c r="G334" t="s">
        <v>2540</v>
      </c>
      <c r="H334">
        <v>135</v>
      </c>
      <c r="I334" t="s">
        <v>5</v>
      </c>
      <c r="J334">
        <v>33</v>
      </c>
      <c r="K334" t="s">
        <v>6</v>
      </c>
      <c r="L334">
        <v>10.950775740578599</v>
      </c>
      <c r="M334" t="s">
        <v>7</v>
      </c>
      <c r="N334">
        <v>8.1116857337619197E-2</v>
      </c>
      <c r="O334" t="s">
        <v>8</v>
      </c>
      <c r="P334">
        <v>1.54909090909091</v>
      </c>
      <c r="Q334" t="s">
        <v>9</v>
      </c>
      <c r="R334">
        <v>-0.39381592411197403</v>
      </c>
      <c r="S334" t="s">
        <v>10</v>
      </c>
      <c r="T334">
        <v>0.25802407790756399</v>
      </c>
      <c r="U334" t="s">
        <v>11</v>
      </c>
      <c r="V334" t="s">
        <v>2748</v>
      </c>
      <c r="W334" t="s">
        <v>2749</v>
      </c>
      <c r="X334">
        <v>0</v>
      </c>
      <c r="Y334" t="s">
        <v>14</v>
      </c>
      <c r="Z334" t="s">
        <v>15</v>
      </c>
      <c r="AA334" t="s">
        <v>2748</v>
      </c>
      <c r="AB334" t="s">
        <v>2749</v>
      </c>
      <c r="AC334">
        <v>0</v>
      </c>
      <c r="AD334" t="s">
        <v>18</v>
      </c>
    </row>
    <row r="335" spans="1:30" x14ac:dyDescent="0.3">
      <c r="A335" t="s">
        <v>2752</v>
      </c>
      <c r="B335" t="s">
        <v>1</v>
      </c>
      <c r="C335">
        <v>-0.3</v>
      </c>
      <c r="D335" t="s">
        <v>2174</v>
      </c>
      <c r="E335" t="s">
        <v>2562</v>
      </c>
      <c r="F335" t="str">
        <f t="shared" si="5"/>
        <v xml:space="preserve">psar_no_highvol_{'P' [('delta'-0.3 1)]}_[42 70]_2 </v>
      </c>
      <c r="G335" t="s">
        <v>2540</v>
      </c>
      <c r="H335">
        <v>130</v>
      </c>
      <c r="I335" t="s">
        <v>5</v>
      </c>
      <c r="J335">
        <v>26</v>
      </c>
      <c r="K335" t="s">
        <v>6</v>
      </c>
      <c r="L335">
        <v>11.08</v>
      </c>
      <c r="M335" t="s">
        <v>7</v>
      </c>
      <c r="N335">
        <v>8.5230769230769304E-2</v>
      </c>
      <c r="O335" t="s">
        <v>8</v>
      </c>
      <c r="P335">
        <v>8.7196153846153805</v>
      </c>
      <c r="Q335" t="s">
        <v>9</v>
      </c>
      <c r="R335">
        <v>-2.0733653846153799</v>
      </c>
      <c r="S335" t="s">
        <v>10</v>
      </c>
      <c r="T335">
        <v>0.81704301294040504</v>
      </c>
      <c r="U335" t="s">
        <v>11</v>
      </c>
      <c r="V335" t="s">
        <v>2765</v>
      </c>
      <c r="W335" t="s">
        <v>2666</v>
      </c>
      <c r="X335">
        <v>0</v>
      </c>
      <c r="Y335" t="s">
        <v>14</v>
      </c>
      <c r="Z335" t="s">
        <v>15</v>
      </c>
      <c r="AA335" t="s">
        <v>2741</v>
      </c>
      <c r="AB335" t="s">
        <v>2564</v>
      </c>
      <c r="AC335">
        <v>0</v>
      </c>
      <c r="AD335" t="s">
        <v>18</v>
      </c>
    </row>
    <row r="336" spans="1:30" x14ac:dyDescent="0.3">
      <c r="A336" t="s">
        <v>2752</v>
      </c>
      <c r="B336" t="s">
        <v>1</v>
      </c>
      <c r="C336">
        <v>-0.1</v>
      </c>
      <c r="D336" t="s">
        <v>2</v>
      </c>
      <c r="E336" t="s">
        <v>2545</v>
      </c>
      <c r="F336" t="str">
        <f t="shared" si="5"/>
        <v xml:space="preserve">psar_no_highvol_{'P' [('delta'-0.1 1)]}_[7 35]_4 </v>
      </c>
      <c r="G336" t="s">
        <v>2540</v>
      </c>
      <c r="H336">
        <v>125</v>
      </c>
      <c r="I336" t="s">
        <v>5</v>
      </c>
      <c r="J336">
        <v>14</v>
      </c>
      <c r="K336" t="s">
        <v>6</v>
      </c>
      <c r="L336">
        <v>11.2907757405785</v>
      </c>
      <c r="M336" t="s">
        <v>7</v>
      </c>
      <c r="N336">
        <v>9.03262059246287E-2</v>
      </c>
      <c r="O336" t="s">
        <v>8</v>
      </c>
      <c r="P336">
        <v>3.8121428571428502</v>
      </c>
      <c r="Q336" t="s">
        <v>9</v>
      </c>
      <c r="R336">
        <v>-0.379092110445238</v>
      </c>
      <c r="S336" t="s">
        <v>10</v>
      </c>
      <c r="T336">
        <v>0.30502781496384401</v>
      </c>
      <c r="U336" t="s">
        <v>11</v>
      </c>
      <c r="V336" t="s">
        <v>2772</v>
      </c>
      <c r="W336" t="s">
        <v>2666</v>
      </c>
      <c r="X336">
        <v>0</v>
      </c>
      <c r="Y336" t="s">
        <v>14</v>
      </c>
      <c r="Z336" t="s">
        <v>15</v>
      </c>
      <c r="AA336" t="s">
        <v>2772</v>
      </c>
      <c r="AB336" t="s">
        <v>2666</v>
      </c>
      <c r="AC336">
        <v>0</v>
      </c>
      <c r="AD336" t="s">
        <v>18</v>
      </c>
    </row>
    <row r="337" spans="1:30" x14ac:dyDescent="0.3">
      <c r="A337" t="s">
        <v>2752</v>
      </c>
      <c r="B337" t="s">
        <v>1</v>
      </c>
      <c r="C337">
        <v>-0.2</v>
      </c>
      <c r="D337" t="s">
        <v>2</v>
      </c>
      <c r="E337" t="s">
        <v>2547</v>
      </c>
      <c r="F337" t="str">
        <f t="shared" si="5"/>
        <v xml:space="preserve">psar_no_highvol_{'P' [('delta'-0.2 1)]}_[7 35]_6 </v>
      </c>
      <c r="G337" t="s">
        <v>2540</v>
      </c>
      <c r="H337">
        <v>125</v>
      </c>
      <c r="I337" t="s">
        <v>5</v>
      </c>
      <c r="J337">
        <v>14</v>
      </c>
      <c r="K337" t="s">
        <v>6</v>
      </c>
      <c r="L337">
        <v>11.61</v>
      </c>
      <c r="M337" t="s">
        <v>7</v>
      </c>
      <c r="N337">
        <v>9.2880000000000199E-2</v>
      </c>
      <c r="O337" t="s">
        <v>8</v>
      </c>
      <c r="P337">
        <v>7.2621428571428597</v>
      </c>
      <c r="Q337" t="s">
        <v>9</v>
      </c>
      <c r="R337">
        <v>-0.81135135135135095</v>
      </c>
      <c r="S337" t="s">
        <v>10</v>
      </c>
      <c r="T337">
        <v>0.62159633107693402</v>
      </c>
      <c r="U337" t="s">
        <v>11</v>
      </c>
      <c r="V337" t="s">
        <v>2158</v>
      </c>
      <c r="W337" t="s">
        <v>2757</v>
      </c>
      <c r="X337">
        <v>0</v>
      </c>
      <c r="Y337" t="s">
        <v>14</v>
      </c>
      <c r="Z337" t="s">
        <v>15</v>
      </c>
      <c r="AA337" t="s">
        <v>2158</v>
      </c>
      <c r="AB337" t="s">
        <v>2757</v>
      </c>
      <c r="AC337">
        <v>0</v>
      </c>
      <c r="AD337" t="s">
        <v>18</v>
      </c>
    </row>
    <row r="338" spans="1:30" x14ac:dyDescent="0.3">
      <c r="A338" t="s">
        <v>2752</v>
      </c>
      <c r="B338" t="s">
        <v>1</v>
      </c>
      <c r="C338">
        <v>-0.2</v>
      </c>
      <c r="D338" t="s">
        <v>27</v>
      </c>
      <c r="E338" t="s">
        <v>2550</v>
      </c>
      <c r="F338" t="str">
        <f t="shared" si="5"/>
        <v xml:space="preserve">psar_no_highvol_{'P' [('delta'-0.2 1)]}_[21 49]_1 </v>
      </c>
      <c r="G338" t="s">
        <v>2540</v>
      </c>
      <c r="H338">
        <v>130</v>
      </c>
      <c r="I338" t="s">
        <v>5</v>
      </c>
      <c r="J338">
        <v>36</v>
      </c>
      <c r="K338" t="s">
        <v>6</v>
      </c>
      <c r="L338">
        <v>11.63</v>
      </c>
      <c r="M338" t="s">
        <v>7</v>
      </c>
      <c r="N338">
        <v>8.9461538461538398E-2</v>
      </c>
      <c r="O338" t="s">
        <v>8</v>
      </c>
      <c r="P338">
        <v>3.13944444444444</v>
      </c>
      <c r="Q338" t="s">
        <v>9</v>
      </c>
      <c r="R338">
        <v>-1.07861702127659</v>
      </c>
      <c r="S338" t="s">
        <v>10</v>
      </c>
      <c r="T338">
        <v>0.42117408071092499</v>
      </c>
      <c r="U338" t="s">
        <v>11</v>
      </c>
      <c r="V338" t="s">
        <v>156</v>
      </c>
      <c r="W338" t="s">
        <v>2564</v>
      </c>
      <c r="X338">
        <v>0</v>
      </c>
      <c r="Y338" t="s">
        <v>14</v>
      </c>
      <c r="Z338" t="s">
        <v>15</v>
      </c>
      <c r="AA338" t="s">
        <v>156</v>
      </c>
      <c r="AB338" t="s">
        <v>2564</v>
      </c>
      <c r="AC338">
        <v>0</v>
      </c>
      <c r="AD338" t="s">
        <v>18</v>
      </c>
    </row>
    <row r="339" spans="1:30" x14ac:dyDescent="0.3">
      <c r="A339" t="s">
        <v>2728</v>
      </c>
      <c r="B339" t="s">
        <v>1</v>
      </c>
      <c r="C339">
        <v>-0.1</v>
      </c>
      <c r="D339" t="s">
        <v>27</v>
      </c>
      <c r="E339" t="s">
        <v>2558</v>
      </c>
      <c r="F339" t="str">
        <f t="shared" si="5"/>
        <v xml:space="preserve">psar_{'P' [('delta'-0.1 1)]}_[21 49]_6 </v>
      </c>
      <c r="G339" t="s">
        <v>2540</v>
      </c>
      <c r="H339">
        <v>140</v>
      </c>
      <c r="I339" t="s">
        <v>5</v>
      </c>
      <c r="J339">
        <v>12</v>
      </c>
      <c r="K339" t="s">
        <v>6</v>
      </c>
      <c r="L339">
        <v>12.992517824299499</v>
      </c>
      <c r="M339" t="s">
        <v>7</v>
      </c>
      <c r="N339">
        <v>9.2803698744996596E-2</v>
      </c>
      <c r="O339" t="s">
        <v>8</v>
      </c>
      <c r="P339">
        <v>7.0591666666666599</v>
      </c>
      <c r="Q339" t="s">
        <v>9</v>
      </c>
      <c r="R339">
        <v>-0.56029282949765902</v>
      </c>
      <c r="S339" t="s">
        <v>10</v>
      </c>
      <c r="T339">
        <v>0.44951821965898298</v>
      </c>
      <c r="U339" t="s">
        <v>11</v>
      </c>
      <c r="V339" t="s">
        <v>2673</v>
      </c>
      <c r="W339" t="s">
        <v>2071</v>
      </c>
      <c r="X339">
        <v>0</v>
      </c>
      <c r="Y339" t="s">
        <v>14</v>
      </c>
      <c r="Z339" t="s">
        <v>15</v>
      </c>
      <c r="AA339" t="s">
        <v>2673</v>
      </c>
      <c r="AB339" t="s">
        <v>2071</v>
      </c>
      <c r="AC339">
        <v>0</v>
      </c>
      <c r="AD339" t="s">
        <v>18</v>
      </c>
    </row>
    <row r="340" spans="1:30" x14ac:dyDescent="0.3">
      <c r="A340" t="s">
        <v>2728</v>
      </c>
      <c r="B340" t="s">
        <v>1</v>
      </c>
      <c r="C340">
        <v>-0.4</v>
      </c>
      <c r="D340" t="s">
        <v>2</v>
      </c>
      <c r="E340" t="s">
        <v>2547</v>
      </c>
      <c r="F340" t="str">
        <f t="shared" si="5"/>
        <v xml:space="preserve">psar_{'P' [('delta'-0.4 1)]}_[7 35]_6 </v>
      </c>
      <c r="G340" t="s">
        <v>2540</v>
      </c>
      <c r="H340">
        <v>135</v>
      </c>
      <c r="I340" t="s">
        <v>5</v>
      </c>
      <c r="J340">
        <v>31</v>
      </c>
      <c r="K340" t="s">
        <v>6</v>
      </c>
      <c r="L340">
        <v>13.09</v>
      </c>
      <c r="M340" t="s">
        <v>7</v>
      </c>
      <c r="N340">
        <v>9.6962962962963598E-2</v>
      </c>
      <c r="O340" t="s">
        <v>8</v>
      </c>
      <c r="P340">
        <v>7.12290322580645</v>
      </c>
      <c r="Q340" t="s">
        <v>9</v>
      </c>
      <c r="R340">
        <v>-1.99730769230769</v>
      </c>
      <c r="S340" t="s">
        <v>10</v>
      </c>
      <c r="T340">
        <v>1.11502579466822</v>
      </c>
      <c r="U340" t="s">
        <v>11</v>
      </c>
      <c r="V340" t="s">
        <v>2729</v>
      </c>
      <c r="W340" t="s">
        <v>2071</v>
      </c>
      <c r="X340">
        <v>0</v>
      </c>
      <c r="Y340" t="s">
        <v>14</v>
      </c>
      <c r="Z340" t="s">
        <v>15</v>
      </c>
      <c r="AA340" t="s">
        <v>2729</v>
      </c>
      <c r="AB340" t="s">
        <v>2071</v>
      </c>
      <c r="AC340">
        <v>0</v>
      </c>
      <c r="AD340" t="s">
        <v>18</v>
      </c>
    </row>
    <row r="341" spans="1:30" x14ac:dyDescent="0.3">
      <c r="A341" t="s">
        <v>2752</v>
      </c>
      <c r="B341" t="s">
        <v>1</v>
      </c>
      <c r="C341">
        <v>-0.1</v>
      </c>
      <c r="D341" t="s">
        <v>27</v>
      </c>
      <c r="E341" t="s">
        <v>2550</v>
      </c>
      <c r="F341" t="str">
        <f t="shared" si="5"/>
        <v xml:space="preserve">psar_no_highvol_{'P' [('delta'-0.1 1)]}_[21 49]_1 </v>
      </c>
      <c r="G341" t="s">
        <v>2540</v>
      </c>
      <c r="H341">
        <v>130</v>
      </c>
      <c r="I341" t="s">
        <v>5</v>
      </c>
      <c r="J341">
        <v>37</v>
      </c>
      <c r="K341" t="s">
        <v>6</v>
      </c>
      <c r="L341">
        <v>14.820775740578499</v>
      </c>
      <c r="M341" t="s">
        <v>7</v>
      </c>
      <c r="N341">
        <v>0.114005967235219</v>
      </c>
      <c r="O341" t="s">
        <v>8</v>
      </c>
      <c r="P341">
        <v>1.6786486486486401</v>
      </c>
      <c r="Q341" t="s">
        <v>9</v>
      </c>
      <c r="R341">
        <v>-0.50848628235936899</v>
      </c>
      <c r="S341" t="s">
        <v>10</v>
      </c>
      <c r="T341">
        <v>0.22310024239168999</v>
      </c>
      <c r="U341" t="s">
        <v>11</v>
      </c>
      <c r="V341" t="s">
        <v>2771</v>
      </c>
      <c r="W341" t="s">
        <v>2767</v>
      </c>
      <c r="X341">
        <v>0</v>
      </c>
      <c r="Y341" t="s">
        <v>14</v>
      </c>
      <c r="Z341" t="s">
        <v>15</v>
      </c>
      <c r="AA341" t="s">
        <v>2771</v>
      </c>
      <c r="AB341" t="s">
        <v>2767</v>
      </c>
      <c r="AC341">
        <v>0</v>
      </c>
      <c r="AD341" t="s">
        <v>18</v>
      </c>
    </row>
    <row r="342" spans="1:30" x14ac:dyDescent="0.3">
      <c r="A342" t="s">
        <v>2752</v>
      </c>
      <c r="B342" t="s">
        <v>1</v>
      </c>
      <c r="C342">
        <v>-0.1</v>
      </c>
      <c r="D342" t="s">
        <v>2</v>
      </c>
      <c r="E342" t="s">
        <v>2539</v>
      </c>
      <c r="F342" t="str">
        <f t="shared" si="5"/>
        <v xml:space="preserve">psar_no_highvol_{'P' [('delta'-0.1 1)]}_[7 35]_1 </v>
      </c>
      <c r="G342" t="s">
        <v>2540</v>
      </c>
      <c r="H342">
        <v>125</v>
      </c>
      <c r="I342" t="s">
        <v>5</v>
      </c>
      <c r="J342">
        <v>31</v>
      </c>
      <c r="K342" t="s">
        <v>6</v>
      </c>
      <c r="L342">
        <v>15.220775740578601</v>
      </c>
      <c r="M342" t="s">
        <v>7</v>
      </c>
      <c r="N342">
        <v>0.121766205924628</v>
      </c>
      <c r="O342" t="s">
        <v>8</v>
      </c>
      <c r="P342">
        <v>1.58322580645161</v>
      </c>
      <c r="Q342" t="s">
        <v>9</v>
      </c>
      <c r="R342">
        <v>-0.3602045133981</v>
      </c>
      <c r="S342" t="s">
        <v>10</v>
      </c>
      <c r="T342">
        <v>0.23027028041234601</v>
      </c>
      <c r="U342" t="s">
        <v>11</v>
      </c>
      <c r="V342" t="s">
        <v>2771</v>
      </c>
      <c r="W342" t="s">
        <v>2767</v>
      </c>
      <c r="X342">
        <v>0</v>
      </c>
      <c r="Y342" t="s">
        <v>14</v>
      </c>
      <c r="Z342" t="s">
        <v>15</v>
      </c>
      <c r="AA342" t="s">
        <v>2771</v>
      </c>
      <c r="AB342" t="s">
        <v>2767</v>
      </c>
      <c r="AC342">
        <v>0</v>
      </c>
      <c r="AD342" t="s">
        <v>18</v>
      </c>
    </row>
    <row r="343" spans="1:30" x14ac:dyDescent="0.3">
      <c r="A343" t="s">
        <v>2752</v>
      </c>
      <c r="B343" t="s">
        <v>1</v>
      </c>
      <c r="C343">
        <v>-0.1</v>
      </c>
      <c r="D343" t="s">
        <v>2174</v>
      </c>
      <c r="E343" t="s">
        <v>2569</v>
      </c>
      <c r="F343" t="str">
        <f t="shared" si="5"/>
        <v xml:space="preserve">psar_no_highvol_{'P' [('delta'-0.1 1)]}_[42 70]_6 </v>
      </c>
      <c r="G343" t="s">
        <v>2540</v>
      </c>
      <c r="H343">
        <v>130</v>
      </c>
      <c r="I343" t="s">
        <v>5</v>
      </c>
      <c r="J343">
        <v>11</v>
      </c>
      <c r="K343" t="s">
        <v>6</v>
      </c>
      <c r="L343">
        <v>15.859254609319599</v>
      </c>
      <c r="M343" t="s">
        <v>7</v>
      </c>
      <c r="N343">
        <v>0.121994266225536</v>
      </c>
      <c r="O343" t="s">
        <v>8</v>
      </c>
      <c r="P343">
        <v>8.6839445027463302</v>
      </c>
      <c r="Q343" t="s">
        <v>9</v>
      </c>
      <c r="R343">
        <v>-0.66944651194025095</v>
      </c>
      <c r="S343" t="s">
        <v>10</v>
      </c>
      <c r="T343">
        <v>0.40788630001514697</v>
      </c>
      <c r="U343" t="s">
        <v>11</v>
      </c>
      <c r="V343" t="s">
        <v>661</v>
      </c>
      <c r="W343" t="s">
        <v>2757</v>
      </c>
      <c r="X343">
        <v>0</v>
      </c>
      <c r="Y343" t="s">
        <v>14</v>
      </c>
      <c r="Z343" t="s">
        <v>15</v>
      </c>
      <c r="AA343" t="s">
        <v>661</v>
      </c>
      <c r="AB343" t="s">
        <v>2757</v>
      </c>
      <c r="AC343">
        <v>0</v>
      </c>
      <c r="AD343" t="s">
        <v>18</v>
      </c>
    </row>
    <row r="344" spans="1:30" x14ac:dyDescent="0.3">
      <c r="A344" t="s">
        <v>2728</v>
      </c>
      <c r="B344" t="s">
        <v>1</v>
      </c>
      <c r="C344">
        <v>-0.3</v>
      </c>
      <c r="D344" t="s">
        <v>2</v>
      </c>
      <c r="E344" t="s">
        <v>2543</v>
      </c>
      <c r="F344" t="str">
        <f t="shared" si="5"/>
        <v xml:space="preserve">psar_{'P' [('delta'-0.3 1)]}_[7 35]_2 </v>
      </c>
      <c r="G344" t="s">
        <v>2540</v>
      </c>
      <c r="H344">
        <v>135</v>
      </c>
      <c r="I344" t="s">
        <v>5</v>
      </c>
      <c r="J344">
        <v>31</v>
      </c>
      <c r="K344" t="s">
        <v>6</v>
      </c>
      <c r="L344">
        <v>17</v>
      </c>
      <c r="M344" t="s">
        <v>7</v>
      </c>
      <c r="N344">
        <v>0.125925925925926</v>
      </c>
      <c r="O344" t="s">
        <v>8</v>
      </c>
      <c r="P344">
        <v>5.3470967741935498</v>
      </c>
      <c r="Q344" t="s">
        <v>9</v>
      </c>
      <c r="R344">
        <v>-1.43038461538461</v>
      </c>
      <c r="S344" t="s">
        <v>10</v>
      </c>
      <c r="T344">
        <v>0.70108590690024997</v>
      </c>
      <c r="U344" t="s">
        <v>11</v>
      </c>
      <c r="V344" t="s">
        <v>2737</v>
      </c>
      <c r="W344" t="s">
        <v>2666</v>
      </c>
      <c r="X344">
        <v>0</v>
      </c>
      <c r="Y344" t="s">
        <v>14</v>
      </c>
      <c r="Z344" t="s">
        <v>15</v>
      </c>
      <c r="AA344" t="s">
        <v>2737</v>
      </c>
      <c r="AB344" t="s">
        <v>2666</v>
      </c>
      <c r="AC344">
        <v>0</v>
      </c>
      <c r="AD344" t="s">
        <v>18</v>
      </c>
    </row>
    <row r="345" spans="1:30" x14ac:dyDescent="0.3">
      <c r="A345" t="s">
        <v>2728</v>
      </c>
      <c r="B345" t="s">
        <v>1</v>
      </c>
      <c r="C345">
        <v>-0.3</v>
      </c>
      <c r="D345" t="s">
        <v>27</v>
      </c>
      <c r="E345" t="s">
        <v>2550</v>
      </c>
      <c r="F345" t="str">
        <f t="shared" si="5"/>
        <v xml:space="preserve">psar_{'P' [('delta'-0.3 1)]}_[21 49]_1 </v>
      </c>
      <c r="G345" t="s">
        <v>2540</v>
      </c>
      <c r="H345">
        <v>140</v>
      </c>
      <c r="I345" t="s">
        <v>5</v>
      </c>
      <c r="J345">
        <v>41</v>
      </c>
      <c r="K345" t="s">
        <v>6</v>
      </c>
      <c r="L345">
        <v>17.349999999999898</v>
      </c>
      <c r="M345" t="s">
        <v>7</v>
      </c>
      <c r="N345">
        <v>0.123928571428571</v>
      </c>
      <c r="O345" t="s">
        <v>8</v>
      </c>
      <c r="P345">
        <v>4.7221951219512199</v>
      </c>
      <c r="Q345" t="s">
        <v>9</v>
      </c>
      <c r="R345">
        <v>-1.78040404040404</v>
      </c>
      <c r="S345" t="s">
        <v>10</v>
      </c>
      <c r="T345">
        <v>0.72870753969716195</v>
      </c>
      <c r="U345" t="s">
        <v>11</v>
      </c>
      <c r="V345" t="s">
        <v>2738</v>
      </c>
      <c r="W345" t="s">
        <v>2554</v>
      </c>
      <c r="X345">
        <v>0</v>
      </c>
      <c r="Y345" t="s">
        <v>14</v>
      </c>
      <c r="Z345" t="s">
        <v>15</v>
      </c>
      <c r="AA345" t="s">
        <v>2738</v>
      </c>
      <c r="AB345" t="s">
        <v>2554</v>
      </c>
      <c r="AC345">
        <v>0</v>
      </c>
      <c r="AD345" t="s">
        <v>18</v>
      </c>
    </row>
    <row r="346" spans="1:30" x14ac:dyDescent="0.3">
      <c r="A346" t="s">
        <v>2728</v>
      </c>
      <c r="B346" t="s">
        <v>1</v>
      </c>
      <c r="C346">
        <v>-0.2</v>
      </c>
      <c r="D346" t="s">
        <v>2</v>
      </c>
      <c r="E346" t="s">
        <v>2543</v>
      </c>
      <c r="F346" t="str">
        <f t="shared" si="5"/>
        <v xml:space="preserve">psar_{'P' [('delta'-0.2 1)]}_[7 35]_2 </v>
      </c>
      <c r="G346" t="s">
        <v>2540</v>
      </c>
      <c r="H346">
        <v>135</v>
      </c>
      <c r="I346" t="s">
        <v>5</v>
      </c>
      <c r="J346">
        <v>25</v>
      </c>
      <c r="K346" t="s">
        <v>6</v>
      </c>
      <c r="L346">
        <v>17.48</v>
      </c>
      <c r="M346" t="s">
        <v>7</v>
      </c>
      <c r="N346">
        <v>0.129481481481481</v>
      </c>
      <c r="O346" t="s">
        <v>8</v>
      </c>
      <c r="P346">
        <v>4.5339999999999998</v>
      </c>
      <c r="Q346" t="s">
        <v>9</v>
      </c>
      <c r="R346">
        <v>-0.87154545454545396</v>
      </c>
      <c r="S346" t="s">
        <v>10</v>
      </c>
      <c r="T346">
        <v>0.50339817626182704</v>
      </c>
      <c r="U346" t="s">
        <v>11</v>
      </c>
      <c r="V346" t="s">
        <v>2743</v>
      </c>
      <c r="W346" t="s">
        <v>2046</v>
      </c>
      <c r="X346">
        <v>0</v>
      </c>
      <c r="Y346" t="s">
        <v>14</v>
      </c>
      <c r="Z346" t="s">
        <v>15</v>
      </c>
      <c r="AA346" t="s">
        <v>2743</v>
      </c>
      <c r="AB346" t="s">
        <v>2046</v>
      </c>
      <c r="AC346">
        <v>0</v>
      </c>
      <c r="AD346" t="s">
        <v>18</v>
      </c>
    </row>
    <row r="347" spans="1:30" x14ac:dyDescent="0.3">
      <c r="A347" t="s">
        <v>2728</v>
      </c>
      <c r="B347" t="s">
        <v>1</v>
      </c>
      <c r="C347">
        <v>-0.1</v>
      </c>
      <c r="D347" t="s">
        <v>2</v>
      </c>
      <c r="E347" t="s">
        <v>2543</v>
      </c>
      <c r="F347" t="str">
        <f t="shared" si="5"/>
        <v xml:space="preserve">psar_{'P' [('delta'-0.1 1)]}_[7 35]_2 </v>
      </c>
      <c r="G347" t="s">
        <v>2540</v>
      </c>
      <c r="H347">
        <v>135</v>
      </c>
      <c r="I347" t="s">
        <v>5</v>
      </c>
      <c r="J347">
        <v>25</v>
      </c>
      <c r="K347" t="s">
        <v>6</v>
      </c>
      <c r="L347">
        <v>18.730775740578501</v>
      </c>
      <c r="M347" t="s">
        <v>7</v>
      </c>
      <c r="N347">
        <v>0.13874648696724801</v>
      </c>
      <c r="O347" t="s">
        <v>8</v>
      </c>
      <c r="P347">
        <v>2.5015999999999998</v>
      </c>
      <c r="Q347" t="s">
        <v>9</v>
      </c>
      <c r="R347">
        <v>-0.39826567508564897</v>
      </c>
      <c r="S347" t="s">
        <v>10</v>
      </c>
      <c r="T347">
        <v>0.29029186182293398</v>
      </c>
      <c r="U347" t="s">
        <v>11</v>
      </c>
      <c r="V347" t="s">
        <v>2748</v>
      </c>
      <c r="W347" t="s">
        <v>2749</v>
      </c>
      <c r="X347">
        <v>0</v>
      </c>
      <c r="Y347" t="s">
        <v>14</v>
      </c>
      <c r="Z347" t="s">
        <v>15</v>
      </c>
      <c r="AA347" t="s">
        <v>2748</v>
      </c>
      <c r="AB347" t="s">
        <v>2749</v>
      </c>
      <c r="AC347">
        <v>0</v>
      </c>
      <c r="AD347" t="s">
        <v>18</v>
      </c>
    </row>
    <row r="348" spans="1:30" x14ac:dyDescent="0.3">
      <c r="A348" t="s">
        <v>2752</v>
      </c>
      <c r="B348" t="s">
        <v>1</v>
      </c>
      <c r="C348">
        <v>-0.2</v>
      </c>
      <c r="D348" t="s">
        <v>2</v>
      </c>
      <c r="E348" t="s">
        <v>2543</v>
      </c>
      <c r="F348" t="str">
        <f t="shared" si="5"/>
        <v xml:space="preserve">psar_no_highvol_{'P' [('delta'-0.2 1)]}_[7 35]_2 </v>
      </c>
      <c r="G348" t="s">
        <v>2540</v>
      </c>
      <c r="H348">
        <v>125</v>
      </c>
      <c r="I348" t="s">
        <v>5</v>
      </c>
      <c r="J348">
        <v>23</v>
      </c>
      <c r="K348" t="s">
        <v>6</v>
      </c>
      <c r="L348">
        <v>19.010000000000002</v>
      </c>
      <c r="M348" t="s">
        <v>7</v>
      </c>
      <c r="N348">
        <v>0.15207999999999999</v>
      </c>
      <c r="O348" t="s">
        <v>8</v>
      </c>
      <c r="P348">
        <v>4.4065217391304303</v>
      </c>
      <c r="Q348" t="s">
        <v>9</v>
      </c>
      <c r="R348">
        <v>-0.80725490196078398</v>
      </c>
      <c r="S348" t="s">
        <v>10</v>
      </c>
      <c r="T348">
        <v>0.43302747972410199</v>
      </c>
      <c r="U348" t="s">
        <v>11</v>
      </c>
      <c r="V348" t="s">
        <v>2768</v>
      </c>
      <c r="W348" t="s">
        <v>2644</v>
      </c>
      <c r="X348">
        <v>0</v>
      </c>
      <c r="Y348" t="s">
        <v>14</v>
      </c>
      <c r="Z348" t="s">
        <v>15</v>
      </c>
      <c r="AA348" t="s">
        <v>2768</v>
      </c>
      <c r="AB348" t="s">
        <v>2644</v>
      </c>
      <c r="AC348">
        <v>0</v>
      </c>
      <c r="AD348" t="s">
        <v>18</v>
      </c>
    </row>
    <row r="349" spans="1:30" x14ac:dyDescent="0.3">
      <c r="A349" t="s">
        <v>2752</v>
      </c>
      <c r="B349" t="s">
        <v>1</v>
      </c>
      <c r="C349">
        <v>-0.1</v>
      </c>
      <c r="D349" t="s">
        <v>2</v>
      </c>
      <c r="E349" t="s">
        <v>2543</v>
      </c>
      <c r="F349" t="str">
        <f t="shared" si="5"/>
        <v xml:space="preserve">psar_no_highvol_{'P' [('delta'-0.1 1)]}_[7 35]_2 </v>
      </c>
      <c r="G349" t="s">
        <v>2540</v>
      </c>
      <c r="H349">
        <v>125</v>
      </c>
      <c r="I349" t="s">
        <v>5</v>
      </c>
      <c r="J349">
        <v>23</v>
      </c>
      <c r="K349" t="s">
        <v>6</v>
      </c>
      <c r="L349">
        <v>19.0407757405785</v>
      </c>
      <c r="M349" t="s">
        <v>7</v>
      </c>
      <c r="N349">
        <v>0.15232620592462801</v>
      </c>
      <c r="O349" t="s">
        <v>8</v>
      </c>
      <c r="P349">
        <v>2.4582608695652102</v>
      </c>
      <c r="Q349" t="s">
        <v>9</v>
      </c>
      <c r="R349">
        <v>-0.367639453523739</v>
      </c>
      <c r="S349" t="s">
        <v>10</v>
      </c>
      <c r="T349">
        <v>0.25391556547460498</v>
      </c>
      <c r="U349" t="s">
        <v>11</v>
      </c>
      <c r="V349" t="s">
        <v>2218</v>
      </c>
      <c r="W349" t="s">
        <v>2762</v>
      </c>
      <c r="X349">
        <v>0</v>
      </c>
      <c r="Y349" t="s">
        <v>14</v>
      </c>
      <c r="Z349" t="s">
        <v>15</v>
      </c>
      <c r="AA349" t="s">
        <v>2218</v>
      </c>
      <c r="AB349" t="s">
        <v>2762</v>
      </c>
      <c r="AC349">
        <v>0</v>
      </c>
      <c r="AD349" t="s">
        <v>18</v>
      </c>
    </row>
    <row r="350" spans="1:30" x14ac:dyDescent="0.3">
      <c r="A350" t="s">
        <v>2752</v>
      </c>
      <c r="B350" t="s">
        <v>1</v>
      </c>
      <c r="C350">
        <v>-0.3</v>
      </c>
      <c r="D350" t="s">
        <v>2</v>
      </c>
      <c r="E350" t="s">
        <v>2547</v>
      </c>
      <c r="F350" t="str">
        <f t="shared" si="5"/>
        <v xml:space="preserve">psar_no_highvol_{'P' [('delta'-0.3 1)]}_[7 35]_6 </v>
      </c>
      <c r="G350" t="s">
        <v>2540</v>
      </c>
      <c r="H350">
        <v>125</v>
      </c>
      <c r="I350" t="s">
        <v>5</v>
      </c>
      <c r="J350">
        <v>22</v>
      </c>
      <c r="K350" t="s">
        <v>6</v>
      </c>
      <c r="L350">
        <v>19.649999999999999</v>
      </c>
      <c r="M350" t="s">
        <v>7</v>
      </c>
      <c r="N350">
        <v>0.15720000000000001</v>
      </c>
      <c r="O350" t="s">
        <v>8</v>
      </c>
      <c r="P350">
        <v>6.9954545454545496</v>
      </c>
      <c r="Q350" t="s">
        <v>9</v>
      </c>
      <c r="R350">
        <v>-1.3033980582524201</v>
      </c>
      <c r="S350" t="s">
        <v>10</v>
      </c>
      <c r="T350">
        <v>0.78107921748659004</v>
      </c>
      <c r="U350" t="s">
        <v>11</v>
      </c>
      <c r="V350" t="s">
        <v>2763</v>
      </c>
      <c r="W350" t="s">
        <v>2757</v>
      </c>
      <c r="X350">
        <v>0</v>
      </c>
      <c r="Y350" t="s">
        <v>14</v>
      </c>
      <c r="Z350" t="s">
        <v>15</v>
      </c>
      <c r="AA350" t="s">
        <v>2763</v>
      </c>
      <c r="AB350" t="s">
        <v>2757</v>
      </c>
      <c r="AC350">
        <v>0</v>
      </c>
      <c r="AD350" t="s">
        <v>18</v>
      </c>
    </row>
    <row r="351" spans="1:30" x14ac:dyDescent="0.3">
      <c r="A351" t="s">
        <v>2728</v>
      </c>
      <c r="B351" t="s">
        <v>1</v>
      </c>
      <c r="C351">
        <v>-0.4</v>
      </c>
      <c r="D351" t="s">
        <v>27</v>
      </c>
      <c r="E351" t="s">
        <v>2550</v>
      </c>
      <c r="F351" t="str">
        <f t="shared" si="5"/>
        <v xml:space="preserve">psar_{'P' [('delta'-0.4 1)]}_[21 49]_1 </v>
      </c>
      <c r="G351" t="s">
        <v>2540</v>
      </c>
      <c r="H351">
        <v>140</v>
      </c>
      <c r="I351" t="s">
        <v>5</v>
      </c>
      <c r="J351">
        <v>44</v>
      </c>
      <c r="K351" t="s">
        <v>6</v>
      </c>
      <c r="L351">
        <v>19.939999999999898</v>
      </c>
      <c r="M351" t="s">
        <v>7</v>
      </c>
      <c r="N351">
        <v>0.14242857142857099</v>
      </c>
      <c r="O351" t="s">
        <v>8</v>
      </c>
      <c r="P351">
        <v>6.0493181818181796</v>
      </c>
      <c r="Q351" t="s">
        <v>9</v>
      </c>
      <c r="R351">
        <v>-2.5648958333333298</v>
      </c>
      <c r="S351" t="s">
        <v>10</v>
      </c>
      <c r="T351">
        <v>0.96305325392309504</v>
      </c>
      <c r="U351" t="s">
        <v>11</v>
      </c>
      <c r="V351" t="s">
        <v>2730</v>
      </c>
      <c r="W351" t="s">
        <v>2554</v>
      </c>
      <c r="X351">
        <v>0</v>
      </c>
      <c r="Y351" t="s">
        <v>14</v>
      </c>
      <c r="Z351" t="s">
        <v>15</v>
      </c>
      <c r="AA351" t="s">
        <v>2730</v>
      </c>
      <c r="AB351" t="s">
        <v>2554</v>
      </c>
      <c r="AC351">
        <v>0</v>
      </c>
      <c r="AD351" t="s">
        <v>18</v>
      </c>
    </row>
    <row r="352" spans="1:30" x14ac:dyDescent="0.3">
      <c r="A352" t="s">
        <v>2728</v>
      </c>
      <c r="B352" t="s">
        <v>1</v>
      </c>
      <c r="C352">
        <v>-0.2</v>
      </c>
      <c r="D352" t="s">
        <v>2</v>
      </c>
      <c r="E352" t="s">
        <v>2539</v>
      </c>
      <c r="F352" t="str">
        <f t="shared" si="5"/>
        <v xml:space="preserve">psar_{'P' [('delta'-0.2 1)]}_[7 35]_1 </v>
      </c>
      <c r="G352" t="s">
        <v>2540</v>
      </c>
      <c r="H352">
        <v>135</v>
      </c>
      <c r="I352" t="s">
        <v>5</v>
      </c>
      <c r="J352">
        <v>38</v>
      </c>
      <c r="K352" t="s">
        <v>6</v>
      </c>
      <c r="L352">
        <v>20.21</v>
      </c>
      <c r="M352" t="s">
        <v>7</v>
      </c>
      <c r="N352">
        <v>0.14970370370370301</v>
      </c>
      <c r="O352" t="s">
        <v>8</v>
      </c>
      <c r="P352">
        <v>2.7268421052631502</v>
      </c>
      <c r="Q352" t="s">
        <v>9</v>
      </c>
      <c r="R352">
        <v>-0.85989690721649403</v>
      </c>
      <c r="S352" t="s">
        <v>10</v>
      </c>
      <c r="T352">
        <v>0.43102258321555598</v>
      </c>
      <c r="U352" t="s">
        <v>11</v>
      </c>
      <c r="V352" t="s">
        <v>2743</v>
      </c>
      <c r="W352" t="s">
        <v>2046</v>
      </c>
      <c r="X352">
        <v>0</v>
      </c>
      <c r="Y352" t="s">
        <v>14</v>
      </c>
      <c r="Z352" t="s">
        <v>15</v>
      </c>
      <c r="AA352" t="s">
        <v>2743</v>
      </c>
      <c r="AB352" t="s">
        <v>2046</v>
      </c>
      <c r="AC352">
        <v>0</v>
      </c>
      <c r="AD352" t="s">
        <v>18</v>
      </c>
    </row>
    <row r="353" spans="1:30" x14ac:dyDescent="0.3">
      <c r="A353" t="s">
        <v>2752</v>
      </c>
      <c r="B353" t="s">
        <v>1</v>
      </c>
      <c r="C353">
        <v>-0.2</v>
      </c>
      <c r="D353" t="s">
        <v>2</v>
      </c>
      <c r="E353" t="s">
        <v>2545</v>
      </c>
      <c r="F353" t="str">
        <f t="shared" si="5"/>
        <v xml:space="preserve">psar_no_highvol_{'P' [('delta'-0.2 1)]}_[7 35]_4 </v>
      </c>
      <c r="G353" t="s">
        <v>2540</v>
      </c>
      <c r="H353">
        <v>125</v>
      </c>
      <c r="I353" t="s">
        <v>5</v>
      </c>
      <c r="J353">
        <v>17</v>
      </c>
      <c r="K353" t="s">
        <v>6</v>
      </c>
      <c r="L353">
        <v>21.67</v>
      </c>
      <c r="M353" t="s">
        <v>7</v>
      </c>
      <c r="N353">
        <v>0.17335999999999999</v>
      </c>
      <c r="O353" t="s">
        <v>8</v>
      </c>
      <c r="P353">
        <v>6.44764705882353</v>
      </c>
      <c r="Q353" t="s">
        <v>9</v>
      </c>
      <c r="R353">
        <v>-0.81425925925925902</v>
      </c>
      <c r="S353" t="s">
        <v>10</v>
      </c>
      <c r="T353">
        <v>0.54404598769731305</v>
      </c>
      <c r="U353" t="s">
        <v>11</v>
      </c>
      <c r="V353" t="s">
        <v>2675</v>
      </c>
      <c r="W353" t="s">
        <v>2666</v>
      </c>
      <c r="X353">
        <v>0</v>
      </c>
      <c r="Y353" t="s">
        <v>14</v>
      </c>
      <c r="Z353" t="s">
        <v>15</v>
      </c>
      <c r="AA353" t="s">
        <v>2675</v>
      </c>
      <c r="AB353" t="s">
        <v>2666</v>
      </c>
      <c r="AC353">
        <v>0</v>
      </c>
      <c r="AD353" t="s">
        <v>18</v>
      </c>
    </row>
    <row r="354" spans="1:30" x14ac:dyDescent="0.3">
      <c r="A354" t="s">
        <v>2752</v>
      </c>
      <c r="B354" t="s">
        <v>1</v>
      </c>
      <c r="C354">
        <v>-0.1</v>
      </c>
      <c r="D354" t="s">
        <v>27</v>
      </c>
      <c r="E354" t="s">
        <v>2555</v>
      </c>
      <c r="F354" t="str">
        <f t="shared" si="5"/>
        <v xml:space="preserve">psar_no_highvol_{'P' [('delta'-0.1 1)]}_[21 49]_4 </v>
      </c>
      <c r="G354" t="s">
        <v>2540</v>
      </c>
      <c r="H354">
        <v>130</v>
      </c>
      <c r="I354" t="s">
        <v>5</v>
      </c>
      <c r="J354">
        <v>16</v>
      </c>
      <c r="K354" t="s">
        <v>6</v>
      </c>
      <c r="L354">
        <v>21.980775740578501</v>
      </c>
      <c r="M354" t="s">
        <v>7</v>
      </c>
      <c r="N354">
        <v>0.16908289031214199</v>
      </c>
      <c r="O354" t="s">
        <v>8</v>
      </c>
      <c r="P354">
        <v>4.9524999999999899</v>
      </c>
      <c r="Q354" t="s">
        <v>9</v>
      </c>
      <c r="R354">
        <v>-0.50227389701246805</v>
      </c>
      <c r="S354" t="s">
        <v>10</v>
      </c>
      <c r="T354">
        <v>0.34079152021334802</v>
      </c>
      <c r="U354" t="s">
        <v>11</v>
      </c>
      <c r="V354" t="s">
        <v>106</v>
      </c>
      <c r="W354" t="s">
        <v>2773</v>
      </c>
      <c r="X354">
        <v>0</v>
      </c>
      <c r="Y354" t="s">
        <v>14</v>
      </c>
      <c r="Z354" t="s">
        <v>15</v>
      </c>
      <c r="AA354" t="s">
        <v>106</v>
      </c>
      <c r="AB354" t="s">
        <v>2773</v>
      </c>
      <c r="AC354">
        <v>0</v>
      </c>
      <c r="AD354" t="s">
        <v>18</v>
      </c>
    </row>
    <row r="355" spans="1:30" x14ac:dyDescent="0.3">
      <c r="A355" t="s">
        <v>2752</v>
      </c>
      <c r="B355" t="s">
        <v>1</v>
      </c>
      <c r="C355">
        <v>-0.3</v>
      </c>
      <c r="D355" t="s">
        <v>2</v>
      </c>
      <c r="E355" t="s">
        <v>2543</v>
      </c>
      <c r="F355" t="str">
        <f t="shared" si="5"/>
        <v xml:space="preserve">psar_no_highvol_{'P' [('delta'-0.3 1)]}_[7 35]_2 </v>
      </c>
      <c r="G355" t="s">
        <v>2540</v>
      </c>
      <c r="H355">
        <v>125</v>
      </c>
      <c r="I355" t="s">
        <v>5</v>
      </c>
      <c r="J355">
        <v>29</v>
      </c>
      <c r="K355" t="s">
        <v>6</v>
      </c>
      <c r="L355">
        <v>22.3</v>
      </c>
      <c r="M355" t="s">
        <v>7</v>
      </c>
      <c r="N355">
        <v>0.1784</v>
      </c>
      <c r="O355" t="s">
        <v>8</v>
      </c>
      <c r="P355">
        <v>5.1731034482758602</v>
      </c>
      <c r="Q355" t="s">
        <v>9</v>
      </c>
      <c r="R355">
        <v>-1.3304166666666599</v>
      </c>
      <c r="S355" t="s">
        <v>10</v>
      </c>
      <c r="T355">
        <v>0.60390263134344202</v>
      </c>
      <c r="U355" t="s">
        <v>11</v>
      </c>
      <c r="V355" t="s">
        <v>2737</v>
      </c>
      <c r="W355" t="s">
        <v>2666</v>
      </c>
      <c r="X355">
        <v>0</v>
      </c>
      <c r="Y355" t="s">
        <v>14</v>
      </c>
      <c r="Z355" t="s">
        <v>15</v>
      </c>
      <c r="AA355" t="s">
        <v>2737</v>
      </c>
      <c r="AB355" t="s">
        <v>2666</v>
      </c>
      <c r="AC355">
        <v>0</v>
      </c>
      <c r="AD355" t="s">
        <v>18</v>
      </c>
    </row>
    <row r="356" spans="1:30" x14ac:dyDescent="0.3">
      <c r="A356" t="s">
        <v>2752</v>
      </c>
      <c r="B356" t="s">
        <v>1</v>
      </c>
      <c r="C356">
        <v>-0.2</v>
      </c>
      <c r="D356" t="s">
        <v>2</v>
      </c>
      <c r="E356" t="s">
        <v>2539</v>
      </c>
      <c r="F356" t="str">
        <f t="shared" si="5"/>
        <v xml:space="preserve">psar_no_highvol_{'P' [('delta'-0.2 1)]}_[7 35]_1 </v>
      </c>
      <c r="G356" t="s">
        <v>2540</v>
      </c>
      <c r="H356">
        <v>125</v>
      </c>
      <c r="I356" t="s">
        <v>5</v>
      </c>
      <c r="J356">
        <v>36</v>
      </c>
      <c r="K356" t="s">
        <v>6</v>
      </c>
      <c r="L356">
        <v>22.57</v>
      </c>
      <c r="M356" t="s">
        <v>7</v>
      </c>
      <c r="N356">
        <v>0.18056</v>
      </c>
      <c r="O356" t="s">
        <v>8</v>
      </c>
      <c r="P356">
        <v>2.5680555555555502</v>
      </c>
      <c r="Q356" t="s">
        <v>9</v>
      </c>
      <c r="R356">
        <v>-0.78516853932584196</v>
      </c>
      <c r="S356" t="s">
        <v>10</v>
      </c>
      <c r="T356">
        <v>0.35579579260198702</v>
      </c>
      <c r="U356" t="s">
        <v>11</v>
      </c>
      <c r="V356" t="s">
        <v>2766</v>
      </c>
      <c r="W356" t="s">
        <v>2767</v>
      </c>
      <c r="X356">
        <v>0</v>
      </c>
      <c r="Y356" t="s">
        <v>14</v>
      </c>
      <c r="Z356" t="s">
        <v>15</v>
      </c>
      <c r="AA356" t="s">
        <v>2766</v>
      </c>
      <c r="AB356" t="s">
        <v>2767</v>
      </c>
      <c r="AC356">
        <v>0</v>
      </c>
      <c r="AD356" t="s">
        <v>18</v>
      </c>
    </row>
    <row r="357" spans="1:30" x14ac:dyDescent="0.3">
      <c r="A357" t="s">
        <v>2752</v>
      </c>
      <c r="B357" t="s">
        <v>1</v>
      </c>
      <c r="C357">
        <v>-0.1</v>
      </c>
      <c r="D357" t="s">
        <v>27</v>
      </c>
      <c r="E357" t="s">
        <v>2558</v>
      </c>
      <c r="F357" t="str">
        <f t="shared" si="5"/>
        <v xml:space="preserve">psar_no_highvol_{'P' [('delta'-0.1 1)]}_[21 49]_6 </v>
      </c>
      <c r="G357" t="s">
        <v>2540</v>
      </c>
      <c r="H357">
        <v>130</v>
      </c>
      <c r="I357" t="s">
        <v>5</v>
      </c>
      <c r="J357">
        <v>12</v>
      </c>
      <c r="K357" t="s">
        <v>6</v>
      </c>
      <c r="L357">
        <v>24.810775740578499</v>
      </c>
      <c r="M357" t="s">
        <v>7</v>
      </c>
      <c r="N357">
        <v>0.19085212108137301</v>
      </c>
      <c r="O357" t="s">
        <v>8</v>
      </c>
      <c r="P357">
        <v>7.0591666666666599</v>
      </c>
      <c r="Q357" t="s">
        <v>9</v>
      </c>
      <c r="R357">
        <v>-0.50762054457136696</v>
      </c>
      <c r="S357" t="s">
        <v>10</v>
      </c>
      <c r="T357">
        <v>0.40157584438911498</v>
      </c>
      <c r="U357" t="s">
        <v>11</v>
      </c>
      <c r="V357" t="s">
        <v>2774</v>
      </c>
      <c r="W357" t="s">
        <v>2775</v>
      </c>
      <c r="X357">
        <v>0</v>
      </c>
      <c r="Y357" t="s">
        <v>14</v>
      </c>
      <c r="Z357" t="s">
        <v>15</v>
      </c>
      <c r="AA357" t="s">
        <v>2774</v>
      </c>
      <c r="AB357" t="s">
        <v>2775</v>
      </c>
      <c r="AC357">
        <v>0</v>
      </c>
      <c r="AD357" t="s">
        <v>18</v>
      </c>
    </row>
    <row r="358" spans="1:30" x14ac:dyDescent="0.3">
      <c r="A358" t="s">
        <v>2728</v>
      </c>
      <c r="B358" t="s">
        <v>1</v>
      </c>
      <c r="C358">
        <v>-0.3</v>
      </c>
      <c r="D358" t="s">
        <v>2</v>
      </c>
      <c r="E358" t="s">
        <v>2539</v>
      </c>
      <c r="F358" t="str">
        <f t="shared" si="5"/>
        <v xml:space="preserve">psar_{'P' [('delta'-0.3 1)]}_[7 35]_1 </v>
      </c>
      <c r="G358" t="s">
        <v>2540</v>
      </c>
      <c r="H358">
        <v>135</v>
      </c>
      <c r="I358" t="s">
        <v>5</v>
      </c>
      <c r="J358">
        <v>42</v>
      </c>
      <c r="K358" t="s">
        <v>6</v>
      </c>
      <c r="L358">
        <v>25.13</v>
      </c>
      <c r="M358" t="s">
        <v>7</v>
      </c>
      <c r="N358">
        <v>0.18614814814814801</v>
      </c>
      <c r="O358" t="s">
        <v>8</v>
      </c>
      <c r="P358">
        <v>3.6933333333333298</v>
      </c>
      <c r="Q358" t="s">
        <v>9</v>
      </c>
      <c r="R358">
        <v>-1.39774193548387</v>
      </c>
      <c r="S358" t="s">
        <v>10</v>
      </c>
      <c r="T358">
        <v>0.59609211088143899</v>
      </c>
      <c r="U358" t="s">
        <v>11</v>
      </c>
      <c r="V358" t="s">
        <v>2653</v>
      </c>
      <c r="W358" t="s">
        <v>2046</v>
      </c>
      <c r="X358">
        <v>0</v>
      </c>
      <c r="Y358" t="s">
        <v>14</v>
      </c>
      <c r="Z358" t="s">
        <v>15</v>
      </c>
      <c r="AA358" t="s">
        <v>2653</v>
      </c>
      <c r="AB358" t="s">
        <v>2046</v>
      </c>
      <c r="AC358">
        <v>0</v>
      </c>
      <c r="AD358" t="s">
        <v>18</v>
      </c>
    </row>
    <row r="359" spans="1:30" x14ac:dyDescent="0.3">
      <c r="A359" t="s">
        <v>2752</v>
      </c>
      <c r="B359" t="s">
        <v>1</v>
      </c>
      <c r="C359">
        <v>-0.4</v>
      </c>
      <c r="D359" t="s">
        <v>2</v>
      </c>
      <c r="E359" t="s">
        <v>2539</v>
      </c>
      <c r="F359" t="str">
        <f t="shared" si="5"/>
        <v xml:space="preserve">psar_no_highvol_{'P' [('delta'-0.4 1)]}_[7 35]_1 </v>
      </c>
      <c r="G359" t="s">
        <v>2540</v>
      </c>
      <c r="H359">
        <v>125</v>
      </c>
      <c r="I359" t="s">
        <v>5</v>
      </c>
      <c r="J359">
        <v>44</v>
      </c>
      <c r="K359" t="s">
        <v>6</v>
      </c>
      <c r="L359">
        <v>25.309999999999899</v>
      </c>
      <c r="M359" t="s">
        <v>7</v>
      </c>
      <c r="N359">
        <v>0.20247999999999899</v>
      </c>
      <c r="O359" t="s">
        <v>8</v>
      </c>
      <c r="P359">
        <v>3.8986363636363599</v>
      </c>
      <c r="Q359" t="s">
        <v>9</v>
      </c>
      <c r="R359">
        <v>-1.8053086419752999</v>
      </c>
      <c r="S359" t="s">
        <v>10</v>
      </c>
      <c r="T359">
        <v>0.57992616257600205</v>
      </c>
      <c r="U359" t="s">
        <v>11</v>
      </c>
      <c r="V359" t="s">
        <v>2753</v>
      </c>
      <c r="W359" t="s">
        <v>2754</v>
      </c>
      <c r="X359">
        <v>0</v>
      </c>
      <c r="Y359" t="s">
        <v>14</v>
      </c>
      <c r="Z359" t="s">
        <v>15</v>
      </c>
      <c r="AA359" t="s">
        <v>2753</v>
      </c>
      <c r="AB359" t="s">
        <v>2754</v>
      </c>
      <c r="AC359">
        <v>0</v>
      </c>
      <c r="AD359" t="s">
        <v>18</v>
      </c>
    </row>
    <row r="360" spans="1:30" x14ac:dyDescent="0.3">
      <c r="A360" t="s">
        <v>2728</v>
      </c>
      <c r="B360" t="s">
        <v>1</v>
      </c>
      <c r="C360">
        <v>-0.4</v>
      </c>
      <c r="D360" t="s">
        <v>2</v>
      </c>
      <c r="E360" t="s">
        <v>2545</v>
      </c>
      <c r="F360" t="str">
        <f t="shared" si="5"/>
        <v xml:space="preserve">psar_{'P' [('delta'-0.4 1)]}_[7 35]_4 </v>
      </c>
      <c r="G360" t="s">
        <v>2540</v>
      </c>
      <c r="H360">
        <v>135</v>
      </c>
      <c r="I360" t="s">
        <v>5</v>
      </c>
      <c r="J360">
        <v>31</v>
      </c>
      <c r="K360" t="s">
        <v>6</v>
      </c>
      <c r="L360">
        <v>25.5</v>
      </c>
      <c r="M360" t="s">
        <v>7</v>
      </c>
      <c r="N360">
        <v>0.18888888888888899</v>
      </c>
      <c r="O360" t="s">
        <v>8</v>
      </c>
      <c r="P360">
        <v>7.5232258064516104</v>
      </c>
      <c r="Q360" t="s">
        <v>9</v>
      </c>
      <c r="R360">
        <v>-1.99730769230769</v>
      </c>
      <c r="S360" t="s">
        <v>10</v>
      </c>
      <c r="T360">
        <v>1.0803662648754899</v>
      </c>
      <c r="U360" t="s">
        <v>11</v>
      </c>
      <c r="V360" t="s">
        <v>2729</v>
      </c>
      <c r="W360" t="s">
        <v>2071</v>
      </c>
      <c r="X360">
        <v>0</v>
      </c>
      <c r="Y360" t="s">
        <v>14</v>
      </c>
      <c r="Z360" t="s">
        <v>15</v>
      </c>
      <c r="AA360" t="s">
        <v>2729</v>
      </c>
      <c r="AB360" t="s">
        <v>2071</v>
      </c>
      <c r="AC360">
        <v>0</v>
      </c>
      <c r="AD360" t="s">
        <v>18</v>
      </c>
    </row>
    <row r="361" spans="1:30" x14ac:dyDescent="0.3">
      <c r="A361" t="s">
        <v>2752</v>
      </c>
      <c r="B361" t="s">
        <v>1</v>
      </c>
      <c r="C361">
        <v>-0.4</v>
      </c>
      <c r="D361" t="s">
        <v>2</v>
      </c>
      <c r="E361" t="s">
        <v>2543</v>
      </c>
      <c r="F361" t="str">
        <f t="shared" si="5"/>
        <v xml:space="preserve">psar_no_highvol_{'P' [('delta'-0.4 1)]}_[7 35]_2 </v>
      </c>
      <c r="G361" t="s">
        <v>2540</v>
      </c>
      <c r="H361">
        <v>125</v>
      </c>
      <c r="I361" t="s">
        <v>5</v>
      </c>
      <c r="J361">
        <v>33</v>
      </c>
      <c r="K361" t="s">
        <v>6</v>
      </c>
      <c r="L361">
        <v>25.81</v>
      </c>
      <c r="M361" t="s">
        <v>7</v>
      </c>
      <c r="N361">
        <v>0.20648</v>
      </c>
      <c r="O361" t="s">
        <v>8</v>
      </c>
      <c r="P361">
        <v>5.9290909090909096</v>
      </c>
      <c r="Q361" t="s">
        <v>9</v>
      </c>
      <c r="R361">
        <v>-1.84619565217391</v>
      </c>
      <c r="S361" t="s">
        <v>10</v>
      </c>
      <c r="T361">
        <v>0.77128086811230001</v>
      </c>
      <c r="U361" t="s">
        <v>11</v>
      </c>
      <c r="V361" t="s">
        <v>2755</v>
      </c>
      <c r="W361" t="s">
        <v>2666</v>
      </c>
      <c r="X361">
        <v>0</v>
      </c>
      <c r="Y361" t="s">
        <v>14</v>
      </c>
      <c r="Z361" t="s">
        <v>15</v>
      </c>
      <c r="AA361" t="s">
        <v>2755</v>
      </c>
      <c r="AB361" t="s">
        <v>2666</v>
      </c>
      <c r="AC361">
        <v>0</v>
      </c>
      <c r="AD361" t="s">
        <v>18</v>
      </c>
    </row>
    <row r="362" spans="1:30" x14ac:dyDescent="0.3">
      <c r="A362" t="s">
        <v>2728</v>
      </c>
      <c r="B362" t="s">
        <v>1</v>
      </c>
      <c r="C362">
        <v>-0.4</v>
      </c>
      <c r="D362" t="s">
        <v>27</v>
      </c>
      <c r="E362" t="s">
        <v>2552</v>
      </c>
      <c r="F362" t="str">
        <f t="shared" si="5"/>
        <v xml:space="preserve">psar_{'P' [('delta'-0.4 1)]}_[21 49]_2 </v>
      </c>
      <c r="G362" t="s">
        <v>2540</v>
      </c>
      <c r="H362">
        <v>140</v>
      </c>
      <c r="I362" t="s">
        <v>5</v>
      </c>
      <c r="J362">
        <v>33</v>
      </c>
      <c r="K362" t="s">
        <v>6</v>
      </c>
      <c r="L362">
        <v>25.87</v>
      </c>
      <c r="M362" t="s">
        <v>7</v>
      </c>
      <c r="N362">
        <v>0.184785714285714</v>
      </c>
      <c r="O362" t="s">
        <v>8</v>
      </c>
      <c r="P362">
        <v>9.1766666666666605</v>
      </c>
      <c r="Q362" t="s">
        <v>9</v>
      </c>
      <c r="R362">
        <v>-2.5884112149532701</v>
      </c>
      <c r="S362" t="s">
        <v>10</v>
      </c>
      <c r="T362">
        <v>1.1829894261384899</v>
      </c>
      <c r="U362" t="s">
        <v>11</v>
      </c>
      <c r="V362" t="s">
        <v>2729</v>
      </c>
      <c r="W362" t="s">
        <v>2071</v>
      </c>
      <c r="X362">
        <v>0</v>
      </c>
      <c r="Y362" t="s">
        <v>14</v>
      </c>
      <c r="Z362" t="s">
        <v>15</v>
      </c>
      <c r="AA362" t="s">
        <v>2729</v>
      </c>
      <c r="AB362" t="s">
        <v>2071</v>
      </c>
      <c r="AC362">
        <v>0</v>
      </c>
      <c r="AD362" t="s">
        <v>18</v>
      </c>
    </row>
    <row r="363" spans="1:30" x14ac:dyDescent="0.3">
      <c r="A363" t="s">
        <v>2752</v>
      </c>
      <c r="B363" t="s">
        <v>1</v>
      </c>
      <c r="C363">
        <v>-0.3</v>
      </c>
      <c r="D363" t="s">
        <v>27</v>
      </c>
      <c r="E363" t="s">
        <v>2550</v>
      </c>
      <c r="F363" t="str">
        <f t="shared" si="5"/>
        <v xml:space="preserve">psar_no_highvol_{'P' [('delta'-0.3 1)]}_[21 49]_1 </v>
      </c>
      <c r="G363" t="s">
        <v>2540</v>
      </c>
      <c r="H363">
        <v>130</v>
      </c>
      <c r="I363" t="s">
        <v>5</v>
      </c>
      <c r="J363">
        <v>39</v>
      </c>
      <c r="K363" t="s">
        <v>6</v>
      </c>
      <c r="L363">
        <v>26.39</v>
      </c>
      <c r="M363" t="s">
        <v>7</v>
      </c>
      <c r="N363">
        <v>0.20300000000000001</v>
      </c>
      <c r="O363" t="s">
        <v>8</v>
      </c>
      <c r="P363">
        <v>4.5461538461538398</v>
      </c>
      <c r="Q363" t="s">
        <v>9</v>
      </c>
      <c r="R363">
        <v>-1.6583516483516401</v>
      </c>
      <c r="S363" t="s">
        <v>10</v>
      </c>
      <c r="T363">
        <v>0.60389742555777903</v>
      </c>
      <c r="U363" t="s">
        <v>11</v>
      </c>
      <c r="V363" t="s">
        <v>2764</v>
      </c>
      <c r="W363" t="s">
        <v>2564</v>
      </c>
      <c r="X363">
        <v>0</v>
      </c>
      <c r="Y363" t="s">
        <v>14</v>
      </c>
      <c r="Z363" t="s">
        <v>15</v>
      </c>
      <c r="AA363" t="s">
        <v>2764</v>
      </c>
      <c r="AB363" t="s">
        <v>2564</v>
      </c>
      <c r="AC363">
        <v>0</v>
      </c>
      <c r="AD363" t="s">
        <v>18</v>
      </c>
    </row>
    <row r="364" spans="1:30" x14ac:dyDescent="0.3">
      <c r="A364" t="s">
        <v>2752</v>
      </c>
      <c r="B364" t="s">
        <v>1</v>
      </c>
      <c r="C364">
        <v>-0.3</v>
      </c>
      <c r="D364" t="s">
        <v>2</v>
      </c>
      <c r="E364" t="s">
        <v>2539</v>
      </c>
      <c r="F364" t="str">
        <f t="shared" si="5"/>
        <v xml:space="preserve">psar_no_highvol_{'P' [('delta'-0.3 1)]}_[7 35]_1 </v>
      </c>
      <c r="G364" t="s">
        <v>2540</v>
      </c>
      <c r="H364">
        <v>125</v>
      </c>
      <c r="I364" t="s">
        <v>5</v>
      </c>
      <c r="J364">
        <v>40</v>
      </c>
      <c r="K364" t="s">
        <v>6</v>
      </c>
      <c r="L364">
        <v>31.18</v>
      </c>
      <c r="M364" t="s">
        <v>7</v>
      </c>
      <c r="N364">
        <v>0.24944</v>
      </c>
      <c r="O364" t="s">
        <v>8</v>
      </c>
      <c r="P364">
        <v>3.50325</v>
      </c>
      <c r="Q364" t="s">
        <v>9</v>
      </c>
      <c r="R364">
        <v>-1.28176470588235</v>
      </c>
      <c r="S364" t="s">
        <v>10</v>
      </c>
      <c r="T364">
        <v>0.49093922226118297</v>
      </c>
      <c r="U364" t="s">
        <v>11</v>
      </c>
      <c r="V364" t="s">
        <v>2761</v>
      </c>
      <c r="W364" t="s">
        <v>2762</v>
      </c>
      <c r="X364">
        <v>0</v>
      </c>
      <c r="Y364" t="s">
        <v>14</v>
      </c>
      <c r="Z364" t="s">
        <v>15</v>
      </c>
      <c r="AA364" t="s">
        <v>2761</v>
      </c>
      <c r="AB364" t="s">
        <v>2762</v>
      </c>
      <c r="AC364">
        <v>0</v>
      </c>
      <c r="AD364" t="s">
        <v>18</v>
      </c>
    </row>
    <row r="365" spans="1:30" x14ac:dyDescent="0.3">
      <c r="A365" t="s">
        <v>2752</v>
      </c>
      <c r="B365" t="s">
        <v>1</v>
      </c>
      <c r="C365">
        <v>-0.3</v>
      </c>
      <c r="D365" t="s">
        <v>2</v>
      </c>
      <c r="E365" t="s">
        <v>2545</v>
      </c>
      <c r="F365" t="str">
        <f t="shared" si="5"/>
        <v xml:space="preserve">psar_no_highvol_{'P' [('delta'-0.3 1)]}_[7 35]_4 </v>
      </c>
      <c r="G365" t="s">
        <v>2540</v>
      </c>
      <c r="H365">
        <v>125</v>
      </c>
      <c r="I365" t="s">
        <v>5</v>
      </c>
      <c r="J365">
        <v>23</v>
      </c>
      <c r="K365" t="s">
        <v>6</v>
      </c>
      <c r="L365">
        <v>32.03</v>
      </c>
      <c r="M365" t="s">
        <v>7</v>
      </c>
      <c r="N365">
        <v>0.25624000000000002</v>
      </c>
      <c r="O365" t="s">
        <v>8</v>
      </c>
      <c r="P365">
        <v>7.2204347826086996</v>
      </c>
      <c r="Q365" t="s">
        <v>9</v>
      </c>
      <c r="R365">
        <v>-1.3141176470588201</v>
      </c>
      <c r="S365" t="s">
        <v>10</v>
      </c>
      <c r="T365">
        <v>0.74722694547931101</v>
      </c>
      <c r="U365" t="s">
        <v>11</v>
      </c>
      <c r="V365" t="s">
        <v>2737</v>
      </c>
      <c r="W365" t="s">
        <v>2666</v>
      </c>
      <c r="X365">
        <v>0</v>
      </c>
      <c r="Y365" t="s">
        <v>14</v>
      </c>
      <c r="Z365" t="s">
        <v>15</v>
      </c>
      <c r="AA365" t="s">
        <v>2737</v>
      </c>
      <c r="AB365" t="s">
        <v>2666</v>
      </c>
      <c r="AC365">
        <v>0</v>
      </c>
      <c r="AD365" t="s">
        <v>18</v>
      </c>
    </row>
    <row r="366" spans="1:30" x14ac:dyDescent="0.3">
      <c r="A366" t="s">
        <v>2858</v>
      </c>
      <c r="B366" t="s">
        <v>1</v>
      </c>
      <c r="C366">
        <v>-0.3</v>
      </c>
      <c r="D366" t="s">
        <v>2174</v>
      </c>
      <c r="E366" t="s">
        <v>2569</v>
      </c>
      <c r="F366" t="str">
        <f t="shared" si="5"/>
        <v xml:space="preserve">stoch_no_highvol_{'P' [('delta'-0.3 1)]}_[42 70]_6 </v>
      </c>
      <c r="G366" t="s">
        <v>2540</v>
      </c>
      <c r="H366">
        <v>331</v>
      </c>
      <c r="I366" t="s">
        <v>5</v>
      </c>
      <c r="J366">
        <v>46</v>
      </c>
      <c r="K366" t="s">
        <v>6</v>
      </c>
      <c r="L366">
        <v>34.286374352241097</v>
      </c>
      <c r="M366" t="s">
        <v>7</v>
      </c>
      <c r="N366">
        <v>0.103584212544535</v>
      </c>
      <c r="O366" t="s">
        <v>8</v>
      </c>
      <c r="P366">
        <v>13.8328260869565</v>
      </c>
      <c r="Q366" t="s">
        <v>9</v>
      </c>
      <c r="R366">
        <v>-2.1123635987640599</v>
      </c>
      <c r="S366" t="s">
        <v>10</v>
      </c>
      <c r="T366">
        <v>2.4766913723321902</v>
      </c>
      <c r="U366" t="s">
        <v>11</v>
      </c>
      <c r="V366" t="s">
        <v>2782</v>
      </c>
      <c r="W366" t="s">
        <v>2568</v>
      </c>
      <c r="X366">
        <v>0</v>
      </c>
      <c r="Y366" t="s">
        <v>14</v>
      </c>
      <c r="Z366" t="s">
        <v>15</v>
      </c>
      <c r="AA366" t="s">
        <v>2885</v>
      </c>
      <c r="AB366" t="s">
        <v>2695</v>
      </c>
      <c r="AC366">
        <v>0</v>
      </c>
      <c r="AD366" t="s">
        <v>18</v>
      </c>
    </row>
    <row r="367" spans="1:30" x14ac:dyDescent="0.3">
      <c r="A367" t="s">
        <v>2728</v>
      </c>
      <c r="B367" t="s">
        <v>1</v>
      </c>
      <c r="C367">
        <v>-0.2</v>
      </c>
      <c r="D367" t="s">
        <v>27</v>
      </c>
      <c r="E367" t="s">
        <v>2555</v>
      </c>
      <c r="F367" t="str">
        <f t="shared" si="5"/>
        <v xml:space="preserve">psar_{'P' [('delta'-0.2 1)]}_[21 49]_4 </v>
      </c>
      <c r="G367" t="s">
        <v>2540</v>
      </c>
      <c r="H367">
        <v>140</v>
      </c>
      <c r="I367" t="s">
        <v>5</v>
      </c>
      <c r="J367">
        <v>19</v>
      </c>
      <c r="K367" t="s">
        <v>6</v>
      </c>
      <c r="L367">
        <v>35.2330696929019</v>
      </c>
      <c r="M367" t="s">
        <v>7</v>
      </c>
      <c r="N367">
        <v>0.25166478352072802</v>
      </c>
      <c r="O367" t="s">
        <v>8</v>
      </c>
      <c r="P367">
        <v>9.2836842105263102</v>
      </c>
      <c r="Q367" t="s">
        <v>9</v>
      </c>
      <c r="R367">
        <v>-1.1665862008851</v>
      </c>
      <c r="S367" t="s">
        <v>10</v>
      </c>
      <c r="T367">
        <v>0.77528537245296003</v>
      </c>
      <c r="U367" t="s">
        <v>11</v>
      </c>
      <c r="V367" t="s">
        <v>2661</v>
      </c>
      <c r="W367" t="s">
        <v>2071</v>
      </c>
      <c r="X367">
        <v>0</v>
      </c>
      <c r="Y367" t="s">
        <v>14</v>
      </c>
      <c r="Z367" t="s">
        <v>15</v>
      </c>
      <c r="AA367" t="s">
        <v>2661</v>
      </c>
      <c r="AB367" t="s">
        <v>2071</v>
      </c>
      <c r="AC367">
        <v>0</v>
      </c>
      <c r="AD367" t="s">
        <v>18</v>
      </c>
    </row>
    <row r="368" spans="1:30" x14ac:dyDescent="0.3">
      <c r="A368" t="s">
        <v>2728</v>
      </c>
      <c r="B368" t="s">
        <v>1</v>
      </c>
      <c r="C368">
        <v>-0.3</v>
      </c>
      <c r="D368" t="s">
        <v>27</v>
      </c>
      <c r="E368" t="s">
        <v>2555</v>
      </c>
      <c r="F368" t="str">
        <f t="shared" si="5"/>
        <v xml:space="preserve">psar_{'P' [('delta'-0.3 1)]}_[21 49]_4 </v>
      </c>
      <c r="G368" t="s">
        <v>2540</v>
      </c>
      <c r="H368">
        <v>140</v>
      </c>
      <c r="I368" t="s">
        <v>5</v>
      </c>
      <c r="J368">
        <v>21</v>
      </c>
      <c r="K368" t="s">
        <v>6</v>
      </c>
      <c r="L368">
        <v>37.659999999999997</v>
      </c>
      <c r="M368" t="s">
        <v>7</v>
      </c>
      <c r="N368">
        <v>0.26900000000000002</v>
      </c>
      <c r="O368" t="s">
        <v>8</v>
      </c>
      <c r="P368">
        <v>11.995238095237999</v>
      </c>
      <c r="Q368" t="s">
        <v>9</v>
      </c>
      <c r="R368">
        <v>-1.80033613445378</v>
      </c>
      <c r="S368" t="s">
        <v>10</v>
      </c>
      <c r="T368">
        <v>1.0768263302904899</v>
      </c>
      <c r="U368" t="s">
        <v>11</v>
      </c>
      <c r="V368" t="s">
        <v>2647</v>
      </c>
      <c r="W368" t="s">
        <v>2071</v>
      </c>
      <c r="X368">
        <v>0</v>
      </c>
      <c r="Y368" t="s">
        <v>14</v>
      </c>
      <c r="Z368" t="s">
        <v>15</v>
      </c>
      <c r="AA368" t="s">
        <v>2647</v>
      </c>
      <c r="AB368" t="s">
        <v>2071</v>
      </c>
      <c r="AC368">
        <v>0</v>
      </c>
      <c r="AD368" t="s">
        <v>18</v>
      </c>
    </row>
    <row r="369" spans="1:30" x14ac:dyDescent="0.3">
      <c r="A369" t="s">
        <v>2752</v>
      </c>
      <c r="B369" t="s">
        <v>1</v>
      </c>
      <c r="C369">
        <v>-0.4</v>
      </c>
      <c r="D369" t="s">
        <v>27</v>
      </c>
      <c r="E369" t="s">
        <v>2550</v>
      </c>
      <c r="F369" t="str">
        <f t="shared" si="5"/>
        <v xml:space="preserve">psar_no_highvol_{'P' [('delta'-0.4 1)]}_[21 49]_1 </v>
      </c>
      <c r="G369" t="s">
        <v>2540</v>
      </c>
      <c r="H369">
        <v>130</v>
      </c>
      <c r="I369" t="s">
        <v>5</v>
      </c>
      <c r="J369">
        <v>42</v>
      </c>
      <c r="K369" t="s">
        <v>6</v>
      </c>
      <c r="L369">
        <v>42.22</v>
      </c>
      <c r="M369" t="s">
        <v>7</v>
      </c>
      <c r="N369">
        <v>0.32476923076922998</v>
      </c>
      <c r="O369" t="s">
        <v>8</v>
      </c>
      <c r="P369">
        <v>5.8945238095238102</v>
      </c>
      <c r="Q369" t="s">
        <v>9</v>
      </c>
      <c r="R369">
        <v>-2.3335227272727201</v>
      </c>
      <c r="S369" t="s">
        <v>10</v>
      </c>
      <c r="T369">
        <v>0.81190187295190697</v>
      </c>
      <c r="U369" t="s">
        <v>11</v>
      </c>
      <c r="V369" t="s">
        <v>2759</v>
      </c>
      <c r="W369" t="s">
        <v>2564</v>
      </c>
      <c r="X369">
        <v>0</v>
      </c>
      <c r="Y369" t="s">
        <v>14</v>
      </c>
      <c r="Z369" t="s">
        <v>15</v>
      </c>
      <c r="AA369" t="s">
        <v>2759</v>
      </c>
      <c r="AB369" t="s">
        <v>2564</v>
      </c>
      <c r="AC369">
        <v>0</v>
      </c>
      <c r="AD369" t="s">
        <v>18</v>
      </c>
    </row>
    <row r="370" spans="1:30" x14ac:dyDescent="0.3">
      <c r="A370" t="s">
        <v>2858</v>
      </c>
      <c r="B370" t="s">
        <v>1</v>
      </c>
      <c r="C370">
        <v>-0.4</v>
      </c>
      <c r="D370" t="s">
        <v>2174</v>
      </c>
      <c r="E370" t="s">
        <v>2569</v>
      </c>
      <c r="F370" t="str">
        <f t="shared" si="5"/>
        <v xml:space="preserve">stoch_no_highvol_{'P' [('delta'-0.4 1)]}_[42 70]_6 </v>
      </c>
      <c r="G370" t="s">
        <v>2540</v>
      </c>
      <c r="H370">
        <v>331</v>
      </c>
      <c r="I370" t="s">
        <v>5</v>
      </c>
      <c r="J370">
        <v>56</v>
      </c>
      <c r="K370" t="s">
        <v>6</v>
      </c>
      <c r="L370">
        <v>42.441249265798497</v>
      </c>
      <c r="M370" t="s">
        <v>7</v>
      </c>
      <c r="N370">
        <v>0.128221296875524</v>
      </c>
      <c r="O370" t="s">
        <v>8</v>
      </c>
      <c r="P370">
        <v>15.1401587960599</v>
      </c>
      <c r="Q370" t="s">
        <v>9</v>
      </c>
      <c r="R370">
        <v>-2.9287550665947601</v>
      </c>
      <c r="S370" t="s">
        <v>10</v>
      </c>
      <c r="T370">
        <v>3.1861221126048598</v>
      </c>
      <c r="U370" t="s">
        <v>11</v>
      </c>
      <c r="V370" t="s">
        <v>2872</v>
      </c>
      <c r="W370" t="s">
        <v>2734</v>
      </c>
      <c r="X370">
        <v>0</v>
      </c>
      <c r="Y370" t="s">
        <v>14</v>
      </c>
      <c r="Z370" t="s">
        <v>15</v>
      </c>
      <c r="AA370" t="s">
        <v>2871</v>
      </c>
      <c r="AB370" t="s">
        <v>2695</v>
      </c>
      <c r="AC370">
        <v>0</v>
      </c>
      <c r="AD370" t="s">
        <v>18</v>
      </c>
    </row>
    <row r="371" spans="1:30" x14ac:dyDescent="0.3">
      <c r="A371" t="s">
        <v>2728</v>
      </c>
      <c r="B371" t="s">
        <v>1</v>
      </c>
      <c r="C371">
        <v>-0.2</v>
      </c>
      <c r="D371" t="s">
        <v>27</v>
      </c>
      <c r="E371" t="s">
        <v>2558</v>
      </c>
      <c r="F371" t="str">
        <f t="shared" si="5"/>
        <v xml:space="preserve">psar_{'P' [('delta'-0.2 1)]}_[21 49]_6 </v>
      </c>
      <c r="G371" t="s">
        <v>2540</v>
      </c>
      <c r="H371">
        <v>140</v>
      </c>
      <c r="I371" t="s">
        <v>5</v>
      </c>
      <c r="J371">
        <v>16</v>
      </c>
      <c r="K371" t="s">
        <v>6</v>
      </c>
      <c r="L371">
        <v>42.763069692901901</v>
      </c>
      <c r="M371" t="s">
        <v>7</v>
      </c>
      <c r="N371">
        <v>0.30545049780644201</v>
      </c>
      <c r="O371" t="s">
        <v>8</v>
      </c>
      <c r="P371">
        <v>11.7775</v>
      </c>
      <c r="Q371" t="s">
        <v>9</v>
      </c>
      <c r="R371">
        <v>-1.1748139540895</v>
      </c>
      <c r="S371" t="s">
        <v>10</v>
      </c>
      <c r="T371">
        <v>0.94664238530329103</v>
      </c>
      <c r="U371" t="s">
        <v>11</v>
      </c>
      <c r="V371" t="s">
        <v>2661</v>
      </c>
      <c r="W371" t="s">
        <v>2071</v>
      </c>
      <c r="X371">
        <v>0</v>
      </c>
      <c r="Y371" t="s">
        <v>14</v>
      </c>
      <c r="Z371" t="s">
        <v>15</v>
      </c>
      <c r="AA371" t="s">
        <v>2661</v>
      </c>
      <c r="AB371" t="s">
        <v>2071</v>
      </c>
      <c r="AC371">
        <v>0</v>
      </c>
      <c r="AD371" t="s">
        <v>18</v>
      </c>
    </row>
    <row r="372" spans="1:30" x14ac:dyDescent="0.3">
      <c r="A372" t="s">
        <v>2752</v>
      </c>
      <c r="B372" t="s">
        <v>1</v>
      </c>
      <c r="C372">
        <v>-0.4</v>
      </c>
      <c r="D372" t="s">
        <v>2</v>
      </c>
      <c r="E372" t="s">
        <v>2547</v>
      </c>
      <c r="F372" t="str">
        <f t="shared" si="5"/>
        <v xml:space="preserve">psar_no_highvol_{'P' [('delta'-0.4 1)]}_[7 35]_6 </v>
      </c>
      <c r="G372" t="s">
        <v>2540</v>
      </c>
      <c r="H372">
        <v>125</v>
      </c>
      <c r="I372" t="s">
        <v>5</v>
      </c>
      <c r="J372">
        <v>30</v>
      </c>
      <c r="K372" t="s">
        <v>6</v>
      </c>
      <c r="L372">
        <v>43.34</v>
      </c>
      <c r="M372" t="s">
        <v>7</v>
      </c>
      <c r="N372">
        <v>0.34671999999999997</v>
      </c>
      <c r="O372" t="s">
        <v>8</v>
      </c>
      <c r="P372">
        <v>7.181</v>
      </c>
      <c r="Q372" t="s">
        <v>9</v>
      </c>
      <c r="R372">
        <v>-1.8114736842105199</v>
      </c>
      <c r="S372" t="s">
        <v>10</v>
      </c>
      <c r="T372">
        <v>0.98241613320339705</v>
      </c>
      <c r="U372" t="s">
        <v>11</v>
      </c>
      <c r="V372" t="s">
        <v>2758</v>
      </c>
      <c r="W372" t="s">
        <v>2734</v>
      </c>
      <c r="X372">
        <v>0</v>
      </c>
      <c r="Y372" t="s">
        <v>14</v>
      </c>
      <c r="Z372" t="s">
        <v>15</v>
      </c>
      <c r="AA372" t="s">
        <v>2758</v>
      </c>
      <c r="AB372" t="s">
        <v>2734</v>
      </c>
      <c r="AC372">
        <v>0</v>
      </c>
      <c r="AD372" t="s">
        <v>18</v>
      </c>
    </row>
    <row r="373" spans="1:30" x14ac:dyDescent="0.3">
      <c r="A373" t="s">
        <v>2752</v>
      </c>
      <c r="B373" t="s">
        <v>1</v>
      </c>
      <c r="C373">
        <v>-0.4</v>
      </c>
      <c r="D373" t="s">
        <v>2174</v>
      </c>
      <c r="E373" t="s">
        <v>2562</v>
      </c>
      <c r="F373" t="str">
        <f t="shared" si="5"/>
        <v xml:space="preserve">psar_no_highvol_{'P' [('delta'-0.4 1)]}_[42 70]_2 </v>
      </c>
      <c r="G373" t="s">
        <v>2540</v>
      </c>
      <c r="H373">
        <v>130</v>
      </c>
      <c r="I373" t="s">
        <v>5</v>
      </c>
      <c r="J373">
        <v>31</v>
      </c>
      <c r="K373" t="s">
        <v>6</v>
      </c>
      <c r="L373">
        <v>43.768422054151699</v>
      </c>
      <c r="M373" t="s">
        <v>7</v>
      </c>
      <c r="N373">
        <v>0.336680169647321</v>
      </c>
      <c r="O373" t="s">
        <v>8</v>
      </c>
      <c r="P373">
        <v>10.8522580645161</v>
      </c>
      <c r="Q373" t="s">
        <v>9</v>
      </c>
      <c r="R373">
        <v>-2.9560765449075501</v>
      </c>
      <c r="S373" t="s">
        <v>10</v>
      </c>
      <c r="T373">
        <v>1.1558487497345999</v>
      </c>
      <c r="U373" t="s">
        <v>11</v>
      </c>
      <c r="V373" t="s">
        <v>2760</v>
      </c>
      <c r="W373" t="s">
        <v>2666</v>
      </c>
      <c r="X373">
        <v>0</v>
      </c>
      <c r="Y373" t="s">
        <v>14</v>
      </c>
      <c r="Z373" t="s">
        <v>15</v>
      </c>
      <c r="AA373" t="s">
        <v>2735</v>
      </c>
      <c r="AB373" t="s">
        <v>2564</v>
      </c>
      <c r="AC373">
        <v>0</v>
      </c>
      <c r="AD373" t="s">
        <v>18</v>
      </c>
    </row>
    <row r="374" spans="1:30" x14ac:dyDescent="0.3">
      <c r="A374" t="s">
        <v>2728</v>
      </c>
      <c r="B374" t="s">
        <v>1</v>
      </c>
      <c r="C374">
        <v>-0.4</v>
      </c>
      <c r="D374" t="s">
        <v>27</v>
      </c>
      <c r="E374" t="s">
        <v>2558</v>
      </c>
      <c r="F374" t="str">
        <f t="shared" si="5"/>
        <v xml:space="preserve">psar_{'P' [('delta'-0.4 1)]}_[21 49]_6 </v>
      </c>
      <c r="G374" t="s">
        <v>2540</v>
      </c>
      <c r="H374">
        <v>140</v>
      </c>
      <c r="I374" t="s">
        <v>5</v>
      </c>
      <c r="J374">
        <v>31</v>
      </c>
      <c r="K374" t="s">
        <v>6</v>
      </c>
      <c r="L374">
        <v>49.970000000000098</v>
      </c>
      <c r="M374" t="s">
        <v>7</v>
      </c>
      <c r="N374">
        <v>0.35692857142857198</v>
      </c>
      <c r="O374" t="s">
        <v>8</v>
      </c>
      <c r="P374">
        <v>10.6638709677419</v>
      </c>
      <c r="Q374" t="s">
        <v>9</v>
      </c>
      <c r="R374">
        <v>-2.5744036697247701</v>
      </c>
      <c r="S374" t="s">
        <v>10</v>
      </c>
      <c r="T374">
        <v>1.6245756118653201</v>
      </c>
      <c r="U374" t="s">
        <v>11</v>
      </c>
      <c r="V374" t="s">
        <v>2729</v>
      </c>
      <c r="W374" t="s">
        <v>2071</v>
      </c>
      <c r="X374">
        <v>0</v>
      </c>
      <c r="Y374" t="s">
        <v>14</v>
      </c>
      <c r="Z374" t="s">
        <v>15</v>
      </c>
      <c r="AA374" t="s">
        <v>2733</v>
      </c>
      <c r="AB374" t="s">
        <v>2734</v>
      </c>
      <c r="AC374">
        <v>0</v>
      </c>
      <c r="AD374" t="s">
        <v>18</v>
      </c>
    </row>
    <row r="375" spans="1:30" x14ac:dyDescent="0.3">
      <c r="A375" t="s">
        <v>2728</v>
      </c>
      <c r="B375" t="s">
        <v>1</v>
      </c>
      <c r="C375">
        <v>-0.3</v>
      </c>
      <c r="D375" t="s">
        <v>27</v>
      </c>
      <c r="E375" t="s">
        <v>2558</v>
      </c>
      <c r="F375" t="str">
        <f t="shared" si="5"/>
        <v xml:space="preserve">psar_{'P' [('delta'-0.3 1)]}_[21 49]_6 </v>
      </c>
      <c r="G375" t="s">
        <v>2540</v>
      </c>
      <c r="H375">
        <v>140</v>
      </c>
      <c r="I375" t="s">
        <v>5</v>
      </c>
      <c r="J375">
        <v>21</v>
      </c>
      <c r="K375" t="s">
        <v>6</v>
      </c>
      <c r="L375">
        <v>51.36</v>
      </c>
      <c r="M375" t="s">
        <v>7</v>
      </c>
      <c r="N375">
        <v>0.36685714285714299</v>
      </c>
      <c r="O375" t="s">
        <v>8</v>
      </c>
      <c r="P375">
        <v>12.647619047618999</v>
      </c>
      <c r="Q375" t="s">
        <v>9</v>
      </c>
      <c r="R375">
        <v>-1.80033613445378</v>
      </c>
      <c r="S375" t="s">
        <v>10</v>
      </c>
      <c r="T375">
        <v>1.21454076549752</v>
      </c>
      <c r="U375" t="s">
        <v>11</v>
      </c>
      <c r="V375" t="s">
        <v>2647</v>
      </c>
      <c r="W375" t="s">
        <v>2071</v>
      </c>
      <c r="X375">
        <v>0</v>
      </c>
      <c r="Y375" t="s">
        <v>14</v>
      </c>
      <c r="Z375" t="s">
        <v>15</v>
      </c>
      <c r="AA375" t="s">
        <v>2647</v>
      </c>
      <c r="AB375" t="s">
        <v>2071</v>
      </c>
      <c r="AC375">
        <v>0</v>
      </c>
      <c r="AD375" t="s">
        <v>18</v>
      </c>
    </row>
    <row r="376" spans="1:30" x14ac:dyDescent="0.3">
      <c r="A376" t="s">
        <v>2752</v>
      </c>
      <c r="B376" t="s">
        <v>1</v>
      </c>
      <c r="C376">
        <v>-0.4</v>
      </c>
      <c r="D376" t="s">
        <v>2</v>
      </c>
      <c r="E376" t="s">
        <v>2545</v>
      </c>
      <c r="F376" t="str">
        <f t="shared" si="5"/>
        <v xml:space="preserve">psar_no_highvol_{'P' [('delta'-0.4 1)]}_[7 35]_4 </v>
      </c>
      <c r="G376" t="s">
        <v>2540</v>
      </c>
      <c r="H376">
        <v>125</v>
      </c>
      <c r="I376" t="s">
        <v>5</v>
      </c>
      <c r="J376">
        <v>30</v>
      </c>
      <c r="K376" t="s">
        <v>6</v>
      </c>
      <c r="L376">
        <v>55.75</v>
      </c>
      <c r="M376" t="s">
        <v>7</v>
      </c>
      <c r="N376">
        <v>0.44600000000000001</v>
      </c>
      <c r="O376" t="s">
        <v>8</v>
      </c>
      <c r="P376">
        <v>7.5946666666666598</v>
      </c>
      <c r="Q376" t="s">
        <v>9</v>
      </c>
      <c r="R376">
        <v>-1.8114736842105199</v>
      </c>
      <c r="S376" t="s">
        <v>10</v>
      </c>
      <c r="T376">
        <v>0.94653614407188502</v>
      </c>
      <c r="U376" t="s">
        <v>11</v>
      </c>
      <c r="V376" t="s">
        <v>2756</v>
      </c>
      <c r="W376" t="s">
        <v>2757</v>
      </c>
      <c r="X376">
        <v>0</v>
      </c>
      <c r="Y376" t="s">
        <v>14</v>
      </c>
      <c r="Z376" t="s">
        <v>15</v>
      </c>
      <c r="AA376" t="s">
        <v>2756</v>
      </c>
      <c r="AB376" t="s">
        <v>2757</v>
      </c>
      <c r="AC376">
        <v>0</v>
      </c>
      <c r="AD376" t="s">
        <v>18</v>
      </c>
    </row>
    <row r="377" spans="1:30" x14ac:dyDescent="0.3">
      <c r="A377" t="s">
        <v>2752</v>
      </c>
      <c r="B377" t="s">
        <v>1</v>
      </c>
      <c r="C377">
        <v>-0.2</v>
      </c>
      <c r="D377" t="s">
        <v>27</v>
      </c>
      <c r="E377" t="s">
        <v>2555</v>
      </c>
      <c r="F377" t="str">
        <f t="shared" si="5"/>
        <v xml:space="preserve">psar_no_highvol_{'P' [('delta'-0.2 1)]}_[21 49]_4 </v>
      </c>
      <c r="G377" t="s">
        <v>2540</v>
      </c>
      <c r="H377">
        <v>130</v>
      </c>
      <c r="I377" t="s">
        <v>5</v>
      </c>
      <c r="J377">
        <v>19</v>
      </c>
      <c r="K377" t="s">
        <v>6</v>
      </c>
      <c r="L377">
        <v>56.35</v>
      </c>
      <c r="M377" t="s">
        <v>7</v>
      </c>
      <c r="N377">
        <v>0.43346153846153801</v>
      </c>
      <c r="O377" t="s">
        <v>8</v>
      </c>
      <c r="P377">
        <v>9.2836842105263102</v>
      </c>
      <c r="Q377" t="s">
        <v>9</v>
      </c>
      <c r="R377">
        <v>-1.0814414414414399</v>
      </c>
      <c r="S377" t="s">
        <v>10</v>
      </c>
      <c r="T377">
        <v>0.67910092627401497</v>
      </c>
      <c r="U377" t="s">
        <v>11</v>
      </c>
      <c r="V377" t="s">
        <v>222</v>
      </c>
      <c r="W377" t="s">
        <v>2769</v>
      </c>
      <c r="X377">
        <v>0</v>
      </c>
      <c r="Y377" t="s">
        <v>14</v>
      </c>
      <c r="Z377" t="s">
        <v>15</v>
      </c>
      <c r="AA377" t="s">
        <v>222</v>
      </c>
      <c r="AB377" t="s">
        <v>2769</v>
      </c>
      <c r="AC377">
        <v>0</v>
      </c>
      <c r="AD377" t="s">
        <v>18</v>
      </c>
    </row>
    <row r="378" spans="1:30" x14ac:dyDescent="0.3">
      <c r="A378" t="s">
        <v>2752</v>
      </c>
      <c r="B378" t="s">
        <v>1</v>
      </c>
      <c r="C378">
        <v>-0.4</v>
      </c>
      <c r="D378" t="s">
        <v>27</v>
      </c>
      <c r="E378" t="s">
        <v>2552</v>
      </c>
      <c r="F378" t="str">
        <f t="shared" si="5"/>
        <v xml:space="preserve">psar_no_highvol_{'P' [('delta'-0.4 1)]}_[21 49]_2 </v>
      </c>
      <c r="G378" t="s">
        <v>2540</v>
      </c>
      <c r="H378">
        <v>130</v>
      </c>
      <c r="I378" t="s">
        <v>5</v>
      </c>
      <c r="J378">
        <v>32</v>
      </c>
      <c r="K378" t="s">
        <v>6</v>
      </c>
      <c r="L378">
        <v>60.92</v>
      </c>
      <c r="M378" t="s">
        <v>7</v>
      </c>
      <c r="N378">
        <v>0.46861538461538399</v>
      </c>
      <c r="O378" t="s">
        <v>8</v>
      </c>
      <c r="P378">
        <v>9.1478125000000006</v>
      </c>
      <c r="Q378" t="s">
        <v>9</v>
      </c>
      <c r="R378">
        <v>-2.3654081632652999</v>
      </c>
      <c r="S378" t="s">
        <v>10</v>
      </c>
      <c r="T378">
        <v>1.02429617550886</v>
      </c>
      <c r="U378" t="s">
        <v>11</v>
      </c>
      <c r="V378" t="s">
        <v>2463</v>
      </c>
      <c r="W378" t="s">
        <v>2582</v>
      </c>
      <c r="X378">
        <v>0</v>
      </c>
      <c r="Y378" t="s">
        <v>14</v>
      </c>
      <c r="Z378" t="s">
        <v>15</v>
      </c>
      <c r="AA378" t="s">
        <v>2463</v>
      </c>
      <c r="AB378" t="s">
        <v>2582</v>
      </c>
      <c r="AC378">
        <v>0</v>
      </c>
      <c r="AD378" t="s">
        <v>18</v>
      </c>
    </row>
    <row r="379" spans="1:30" x14ac:dyDescent="0.3">
      <c r="A379" t="s">
        <v>2752</v>
      </c>
      <c r="B379" t="s">
        <v>1</v>
      </c>
      <c r="C379">
        <v>-0.3</v>
      </c>
      <c r="D379" t="s">
        <v>27</v>
      </c>
      <c r="E379" t="s">
        <v>2555</v>
      </c>
      <c r="F379" t="str">
        <f t="shared" si="5"/>
        <v xml:space="preserve">psar_no_highvol_{'P' [('delta'-0.3 1)]}_[21 49]_4 </v>
      </c>
      <c r="G379" t="s">
        <v>2540</v>
      </c>
      <c r="H379">
        <v>130</v>
      </c>
      <c r="I379" t="s">
        <v>5</v>
      </c>
      <c r="J379">
        <v>20</v>
      </c>
      <c r="K379" t="s">
        <v>6</v>
      </c>
      <c r="L379">
        <v>62.57</v>
      </c>
      <c r="M379" t="s">
        <v>7</v>
      </c>
      <c r="N379">
        <v>0.48130769230769199</v>
      </c>
      <c r="O379" t="s">
        <v>8</v>
      </c>
      <c r="P379">
        <v>12.3795</v>
      </c>
      <c r="Q379" t="s">
        <v>9</v>
      </c>
      <c r="R379">
        <v>-1.6819999999999999</v>
      </c>
      <c r="S379" t="s">
        <v>10</v>
      </c>
      <c r="T379">
        <v>0.94532363177851697</v>
      </c>
      <c r="U379" t="s">
        <v>11</v>
      </c>
      <c r="V379" t="s">
        <v>1323</v>
      </c>
      <c r="W379" t="s">
        <v>2732</v>
      </c>
      <c r="X379">
        <v>0</v>
      </c>
      <c r="Y379" t="s">
        <v>14</v>
      </c>
      <c r="Z379" t="s">
        <v>15</v>
      </c>
      <c r="AA379" t="s">
        <v>1323</v>
      </c>
      <c r="AB379" t="s">
        <v>2732</v>
      </c>
      <c r="AC379">
        <v>0</v>
      </c>
      <c r="AD379" t="s">
        <v>18</v>
      </c>
    </row>
    <row r="380" spans="1:30" x14ac:dyDescent="0.3">
      <c r="A380" t="s">
        <v>2752</v>
      </c>
      <c r="B380" t="s">
        <v>1</v>
      </c>
      <c r="C380">
        <v>-0.2</v>
      </c>
      <c r="D380" t="s">
        <v>27</v>
      </c>
      <c r="E380" t="s">
        <v>2558</v>
      </c>
      <c r="F380" t="str">
        <f t="shared" si="5"/>
        <v xml:space="preserve">psar_no_highvol_{'P' [('delta'-0.2 1)]}_[21 49]_6 </v>
      </c>
      <c r="G380" t="s">
        <v>2540</v>
      </c>
      <c r="H380">
        <v>130</v>
      </c>
      <c r="I380" t="s">
        <v>5</v>
      </c>
      <c r="J380">
        <v>16</v>
      </c>
      <c r="K380" t="s">
        <v>6</v>
      </c>
      <c r="L380">
        <v>63.88</v>
      </c>
      <c r="M380" t="s">
        <v>7</v>
      </c>
      <c r="N380">
        <v>0.49138461538461498</v>
      </c>
      <c r="O380" t="s">
        <v>8</v>
      </c>
      <c r="P380">
        <v>11.7775</v>
      </c>
      <c r="Q380" t="s">
        <v>9</v>
      </c>
      <c r="R380">
        <v>-1.09263157894736</v>
      </c>
      <c r="S380" t="s">
        <v>10</v>
      </c>
      <c r="T380">
        <v>0.85465371126016798</v>
      </c>
      <c r="U380" t="s">
        <v>11</v>
      </c>
      <c r="V380" t="s">
        <v>2158</v>
      </c>
      <c r="W380" t="s">
        <v>2757</v>
      </c>
      <c r="X380">
        <v>0</v>
      </c>
      <c r="Y380" t="s">
        <v>14</v>
      </c>
      <c r="Z380" t="s">
        <v>15</v>
      </c>
      <c r="AA380" t="s">
        <v>2158</v>
      </c>
      <c r="AB380" t="s">
        <v>2757</v>
      </c>
      <c r="AC380">
        <v>0</v>
      </c>
      <c r="AD380" t="s">
        <v>18</v>
      </c>
    </row>
    <row r="381" spans="1:30" x14ac:dyDescent="0.3">
      <c r="A381" t="s">
        <v>2752</v>
      </c>
      <c r="B381" t="s">
        <v>1</v>
      </c>
      <c r="C381">
        <v>-0.3</v>
      </c>
      <c r="D381" t="s">
        <v>27</v>
      </c>
      <c r="E381" t="s">
        <v>2558</v>
      </c>
      <c r="F381" t="str">
        <f t="shared" si="5"/>
        <v xml:space="preserve">psar_no_highvol_{'P' [('delta'-0.3 1)]}_[21 49]_6 </v>
      </c>
      <c r="G381" t="s">
        <v>2540</v>
      </c>
      <c r="H381">
        <v>130</v>
      </c>
      <c r="I381" t="s">
        <v>5</v>
      </c>
      <c r="J381">
        <v>20</v>
      </c>
      <c r="K381" t="s">
        <v>6</v>
      </c>
      <c r="L381">
        <v>76.27</v>
      </c>
      <c r="M381" t="s">
        <v>7</v>
      </c>
      <c r="N381">
        <v>0.58669230769230796</v>
      </c>
      <c r="O381" t="s">
        <v>8</v>
      </c>
      <c r="P381">
        <v>13.064500000000001</v>
      </c>
      <c r="Q381" t="s">
        <v>9</v>
      </c>
      <c r="R381">
        <v>-1.6819999999999999</v>
      </c>
      <c r="S381" t="s">
        <v>10</v>
      </c>
      <c r="T381">
        <v>1.08942851188724</v>
      </c>
      <c r="U381" t="s">
        <v>11</v>
      </c>
      <c r="V381" t="s">
        <v>2763</v>
      </c>
      <c r="W381" t="s">
        <v>2757</v>
      </c>
      <c r="X381">
        <v>0</v>
      </c>
      <c r="Y381" t="s">
        <v>14</v>
      </c>
      <c r="Z381" t="s">
        <v>15</v>
      </c>
      <c r="AA381" t="s">
        <v>2763</v>
      </c>
      <c r="AB381" t="s">
        <v>2757</v>
      </c>
      <c r="AC381">
        <v>0</v>
      </c>
      <c r="AD381" t="s">
        <v>18</v>
      </c>
    </row>
    <row r="382" spans="1:30" x14ac:dyDescent="0.3">
      <c r="A382" t="s">
        <v>2858</v>
      </c>
      <c r="B382" t="s">
        <v>1</v>
      </c>
      <c r="C382">
        <v>-0.4</v>
      </c>
      <c r="D382" t="s">
        <v>2174</v>
      </c>
      <c r="E382" t="s">
        <v>2565</v>
      </c>
      <c r="F382" t="str">
        <f t="shared" si="5"/>
        <v xml:space="preserve">stoch_no_highvol_{'P' [('delta'-0.4 1)]}_[42 70]_4 </v>
      </c>
      <c r="G382" t="s">
        <v>2540</v>
      </c>
      <c r="H382">
        <v>331</v>
      </c>
      <c r="I382" t="s">
        <v>5</v>
      </c>
      <c r="J382">
        <v>57</v>
      </c>
      <c r="K382" t="s">
        <v>6</v>
      </c>
      <c r="L382">
        <v>77.3098487450237</v>
      </c>
      <c r="M382" t="s">
        <v>7</v>
      </c>
      <c r="N382">
        <v>0.23356449771910401</v>
      </c>
      <c r="O382" t="s">
        <v>8</v>
      </c>
      <c r="P382">
        <v>15.4248682817295</v>
      </c>
      <c r="Q382" t="s">
        <v>9</v>
      </c>
      <c r="R382">
        <v>-2.9266702310713799</v>
      </c>
      <c r="S382" t="s">
        <v>10</v>
      </c>
      <c r="T382">
        <v>2.92954132300093</v>
      </c>
      <c r="U382" t="s">
        <v>11</v>
      </c>
      <c r="V382" t="s">
        <v>2645</v>
      </c>
      <c r="W382" t="s">
        <v>2870</v>
      </c>
      <c r="X382">
        <v>0</v>
      </c>
      <c r="Y382" t="s">
        <v>14</v>
      </c>
      <c r="Z382" t="s">
        <v>15</v>
      </c>
      <c r="AA382" t="s">
        <v>2871</v>
      </c>
      <c r="AB382" t="s">
        <v>2695</v>
      </c>
      <c r="AC382">
        <v>0</v>
      </c>
      <c r="AD382" t="s">
        <v>18</v>
      </c>
    </row>
    <row r="383" spans="1:30" x14ac:dyDescent="0.3">
      <c r="A383" t="s">
        <v>2752</v>
      </c>
      <c r="B383" t="s">
        <v>1</v>
      </c>
      <c r="C383">
        <v>-0.4</v>
      </c>
      <c r="D383" t="s">
        <v>27</v>
      </c>
      <c r="E383" t="s">
        <v>2558</v>
      </c>
      <c r="F383" t="str">
        <f t="shared" si="5"/>
        <v xml:space="preserve">psar_no_highvol_{'P' [('delta'-0.4 1)]}_[21 49]_6 </v>
      </c>
      <c r="G383" t="s">
        <v>2540</v>
      </c>
      <c r="H383">
        <v>130</v>
      </c>
      <c r="I383" t="s">
        <v>5</v>
      </c>
      <c r="J383">
        <v>30</v>
      </c>
      <c r="K383" t="s">
        <v>6</v>
      </c>
      <c r="L383">
        <v>87.210000000000093</v>
      </c>
      <c r="M383" t="s">
        <v>7</v>
      </c>
      <c r="N383">
        <v>0.67084615384615398</v>
      </c>
      <c r="O383" t="s">
        <v>8</v>
      </c>
      <c r="P383">
        <v>10.755666666666601</v>
      </c>
      <c r="Q383" t="s">
        <v>9</v>
      </c>
      <c r="R383">
        <v>-2.3546</v>
      </c>
      <c r="S383" t="s">
        <v>10</v>
      </c>
      <c r="T383">
        <v>1.47897996381983</v>
      </c>
      <c r="U383" t="s">
        <v>11</v>
      </c>
      <c r="V383" t="s">
        <v>2758</v>
      </c>
      <c r="W383" t="s">
        <v>2734</v>
      </c>
      <c r="X383">
        <v>0</v>
      </c>
      <c r="Y383" t="s">
        <v>14</v>
      </c>
      <c r="Z383" t="s">
        <v>15</v>
      </c>
      <c r="AA383" t="s">
        <v>2733</v>
      </c>
      <c r="AB383" t="s">
        <v>2734</v>
      </c>
      <c r="AC383">
        <v>0</v>
      </c>
      <c r="AD383" t="s">
        <v>18</v>
      </c>
    </row>
    <row r="384" spans="1:30" x14ac:dyDescent="0.3">
      <c r="A384" t="s">
        <v>2728</v>
      </c>
      <c r="B384" t="s">
        <v>1</v>
      </c>
      <c r="C384">
        <v>-0.4</v>
      </c>
      <c r="D384" t="s">
        <v>27</v>
      </c>
      <c r="E384" t="s">
        <v>2555</v>
      </c>
      <c r="F384" t="str">
        <f t="shared" si="5"/>
        <v xml:space="preserve">psar_{'P' [('delta'-0.4 1)]}_[21 49]_4 </v>
      </c>
      <c r="G384" t="s">
        <v>2540</v>
      </c>
      <c r="H384">
        <v>140</v>
      </c>
      <c r="I384" t="s">
        <v>5</v>
      </c>
      <c r="J384">
        <v>31</v>
      </c>
      <c r="K384" t="s">
        <v>6</v>
      </c>
      <c r="L384">
        <v>89.300000000000097</v>
      </c>
      <c r="M384" t="s">
        <v>7</v>
      </c>
      <c r="N384">
        <v>0.63785714285714301</v>
      </c>
      <c r="O384" t="s">
        <v>8</v>
      </c>
      <c r="P384">
        <v>11.932580645161201</v>
      </c>
      <c r="Q384" t="s">
        <v>9</v>
      </c>
      <c r="R384">
        <v>-2.5744036697247701</v>
      </c>
      <c r="S384" t="s">
        <v>10</v>
      </c>
      <c r="T384">
        <v>1.48726109767648</v>
      </c>
      <c r="U384" t="s">
        <v>11</v>
      </c>
      <c r="V384" t="s">
        <v>2729</v>
      </c>
      <c r="W384" t="s">
        <v>2071</v>
      </c>
      <c r="X384">
        <v>0</v>
      </c>
      <c r="Y384" t="s">
        <v>14</v>
      </c>
      <c r="Z384" t="s">
        <v>15</v>
      </c>
      <c r="AA384" t="s">
        <v>2731</v>
      </c>
      <c r="AB384" t="s">
        <v>2732</v>
      </c>
      <c r="AC384">
        <v>0</v>
      </c>
      <c r="AD384" t="s">
        <v>18</v>
      </c>
    </row>
    <row r="385" spans="1:30" x14ac:dyDescent="0.3">
      <c r="A385" t="s">
        <v>2752</v>
      </c>
      <c r="B385" t="s">
        <v>1</v>
      </c>
      <c r="C385">
        <v>-0.4</v>
      </c>
      <c r="D385" t="s">
        <v>27</v>
      </c>
      <c r="E385" t="s">
        <v>2555</v>
      </c>
      <c r="F385" t="str">
        <f t="shared" si="5"/>
        <v xml:space="preserve">psar_no_highvol_{'P' [('delta'-0.4 1)]}_[21 49]_4 </v>
      </c>
      <c r="G385" t="s">
        <v>2540</v>
      </c>
      <c r="H385">
        <v>130</v>
      </c>
      <c r="I385" t="s">
        <v>5</v>
      </c>
      <c r="J385">
        <v>30</v>
      </c>
      <c r="K385" t="s">
        <v>6</v>
      </c>
      <c r="L385">
        <v>126.54</v>
      </c>
      <c r="M385" t="s">
        <v>7</v>
      </c>
      <c r="N385">
        <v>0.97338461538461496</v>
      </c>
      <c r="O385" t="s">
        <v>8</v>
      </c>
      <c r="P385">
        <v>12.066666666666601</v>
      </c>
      <c r="Q385" t="s">
        <v>9</v>
      </c>
      <c r="R385">
        <v>-2.3546</v>
      </c>
      <c r="S385" t="s">
        <v>10</v>
      </c>
      <c r="T385">
        <v>1.3365091211069899</v>
      </c>
      <c r="U385" t="s">
        <v>11</v>
      </c>
      <c r="V385" t="s">
        <v>2476</v>
      </c>
      <c r="W385" t="s">
        <v>2732</v>
      </c>
      <c r="X385">
        <v>0</v>
      </c>
      <c r="Y385" t="s">
        <v>14</v>
      </c>
      <c r="Z385" t="s">
        <v>15</v>
      </c>
      <c r="AA385" t="s">
        <v>2731</v>
      </c>
      <c r="AB385" t="s">
        <v>2732</v>
      </c>
      <c r="AC385">
        <v>0</v>
      </c>
      <c r="AD385" t="s">
        <v>18</v>
      </c>
    </row>
    <row r="386" spans="1:30" x14ac:dyDescent="0.3">
      <c r="A386" t="s">
        <v>2628</v>
      </c>
      <c r="F386" t="str">
        <f t="shared" si="5"/>
        <v>2021-01-08   2021-02-01</v>
      </c>
    </row>
    <row r="387" spans="1:30" x14ac:dyDescent="0.3">
      <c r="A387" t="s">
        <v>85</v>
      </c>
      <c r="B387" t="s">
        <v>86</v>
      </c>
      <c r="C387" t="s">
        <v>87</v>
      </c>
      <c r="D387" t="s">
        <v>88</v>
      </c>
      <c r="E387" t="s">
        <v>15</v>
      </c>
      <c r="F387" t="str">
        <f t="shared" ref="F387:F407" si="6">_xlfn.CONCAT(A387:E387)</f>
        <v>Name drawdown_date dtype datetime64[ns]) 'net_liq_mdd'</v>
      </c>
      <c r="G387" t="s">
        <v>2629</v>
      </c>
      <c r="H387" t="s">
        <v>2046</v>
      </c>
      <c r="I387">
        <v>0</v>
      </c>
      <c r="J387" t="s">
        <v>18</v>
      </c>
    </row>
    <row r="388" spans="1:30" x14ac:dyDescent="0.3">
      <c r="A388" t="s">
        <v>2628</v>
      </c>
      <c r="F388" t="str">
        <f t="shared" si="6"/>
        <v>2021-01-08   2021-02-01</v>
      </c>
    </row>
    <row r="389" spans="1:30" x14ac:dyDescent="0.3">
      <c r="A389" t="s">
        <v>85</v>
      </c>
      <c r="B389" t="s">
        <v>86</v>
      </c>
      <c r="C389" t="s">
        <v>87</v>
      </c>
      <c r="D389" t="s">
        <v>88</v>
      </c>
      <c r="E389" t="s">
        <v>15</v>
      </c>
      <c r="F389" t="str">
        <f t="shared" si="6"/>
        <v>Name drawdown_date dtype datetime64[ns]) 'net_liq_mdd'</v>
      </c>
      <c r="G389" t="s">
        <v>2629</v>
      </c>
      <c r="H389" t="s">
        <v>2046</v>
      </c>
      <c r="I389">
        <v>0</v>
      </c>
      <c r="J389" t="s">
        <v>18</v>
      </c>
    </row>
    <row r="390" spans="1:30" x14ac:dyDescent="0.3">
      <c r="A390" t="s">
        <v>2628</v>
      </c>
      <c r="F390" t="str">
        <f t="shared" si="6"/>
        <v>2021-01-08   2021-02-01</v>
      </c>
    </row>
    <row r="391" spans="1:30" x14ac:dyDescent="0.3">
      <c r="A391" t="s">
        <v>85</v>
      </c>
      <c r="B391" t="s">
        <v>86</v>
      </c>
      <c r="C391" t="s">
        <v>87</v>
      </c>
      <c r="D391" t="s">
        <v>88</v>
      </c>
      <c r="E391" t="s">
        <v>15</v>
      </c>
      <c r="F391" t="str">
        <f t="shared" si="6"/>
        <v>Name drawdown_date dtype datetime64[ns]) 'net_liq_mdd'</v>
      </c>
      <c r="G391" t="s">
        <v>2629</v>
      </c>
      <c r="H391" t="s">
        <v>2046</v>
      </c>
      <c r="I391">
        <v>0</v>
      </c>
      <c r="J391" t="s">
        <v>18</v>
      </c>
    </row>
    <row r="392" spans="1:30" x14ac:dyDescent="0.3">
      <c r="A392" t="s">
        <v>2641</v>
      </c>
      <c r="F392" t="str">
        <f t="shared" si="6"/>
        <v>2021-01-08   2021-01-19</v>
      </c>
    </row>
    <row r="393" spans="1:30" x14ac:dyDescent="0.3">
      <c r="A393" t="s">
        <v>85</v>
      </c>
      <c r="B393" t="s">
        <v>86</v>
      </c>
      <c r="C393" t="s">
        <v>87</v>
      </c>
      <c r="D393" t="s">
        <v>88</v>
      </c>
      <c r="E393" t="s">
        <v>15</v>
      </c>
      <c r="F393" t="str">
        <f t="shared" si="6"/>
        <v>Name drawdown_date dtype datetime64[ns]) 'net_liq_mdd'</v>
      </c>
      <c r="G393" t="s">
        <v>2642</v>
      </c>
      <c r="H393" t="s">
        <v>2046</v>
      </c>
      <c r="I393">
        <v>0</v>
      </c>
      <c r="J393" t="s">
        <v>18</v>
      </c>
    </row>
    <row r="394" spans="1:30" x14ac:dyDescent="0.3">
      <c r="A394" t="s">
        <v>2641</v>
      </c>
      <c r="F394" t="str">
        <f t="shared" si="6"/>
        <v>2021-01-08   2021-01-19</v>
      </c>
    </row>
    <row r="395" spans="1:30" x14ac:dyDescent="0.3">
      <c r="A395" t="s">
        <v>85</v>
      </c>
      <c r="B395" t="s">
        <v>86</v>
      </c>
      <c r="C395" t="s">
        <v>87</v>
      </c>
      <c r="D395" t="s">
        <v>88</v>
      </c>
      <c r="E395" t="s">
        <v>15</v>
      </c>
      <c r="F395" t="str">
        <f t="shared" si="6"/>
        <v>Name drawdown_date dtype datetime64[ns]) 'net_liq_mdd'</v>
      </c>
      <c r="G395" t="s">
        <v>2642</v>
      </c>
      <c r="H395" t="s">
        <v>2046</v>
      </c>
      <c r="I395">
        <v>0</v>
      </c>
      <c r="J395" t="s">
        <v>18</v>
      </c>
    </row>
    <row r="396" spans="1:30" x14ac:dyDescent="0.3">
      <c r="A396" t="s">
        <v>2641</v>
      </c>
      <c r="F396" t="str">
        <f t="shared" si="6"/>
        <v>2021-01-08   2021-01-19</v>
      </c>
    </row>
    <row r="397" spans="1:30" x14ac:dyDescent="0.3">
      <c r="A397" t="s">
        <v>85</v>
      </c>
      <c r="B397" t="s">
        <v>86</v>
      </c>
      <c r="C397" t="s">
        <v>87</v>
      </c>
      <c r="D397" t="s">
        <v>88</v>
      </c>
      <c r="E397" t="s">
        <v>15</v>
      </c>
      <c r="F397" t="str">
        <f t="shared" si="6"/>
        <v>Name drawdown_date dtype datetime64[ns]) 'net_liq_mdd'</v>
      </c>
      <c r="G397" t="s">
        <v>2101</v>
      </c>
      <c r="H397" t="s">
        <v>2046</v>
      </c>
      <c r="I397">
        <v>0</v>
      </c>
      <c r="J397" t="s">
        <v>18</v>
      </c>
    </row>
    <row r="398" spans="1:30" x14ac:dyDescent="0.3">
      <c r="A398" t="s">
        <v>2641</v>
      </c>
      <c r="F398" t="str">
        <f t="shared" si="6"/>
        <v>2021-01-08   2021-01-19</v>
      </c>
    </row>
    <row r="399" spans="1:30" x14ac:dyDescent="0.3">
      <c r="A399" t="s">
        <v>85</v>
      </c>
      <c r="B399" t="s">
        <v>86</v>
      </c>
      <c r="C399" t="s">
        <v>87</v>
      </c>
      <c r="D399" t="s">
        <v>88</v>
      </c>
      <c r="E399" t="s">
        <v>15</v>
      </c>
      <c r="F399" t="str">
        <f t="shared" si="6"/>
        <v>Name drawdown_date dtype datetime64[ns]) 'net_liq_mdd'</v>
      </c>
      <c r="G399" t="s">
        <v>2654</v>
      </c>
      <c r="H399" t="s">
        <v>2655</v>
      </c>
      <c r="I399">
        <v>0</v>
      </c>
      <c r="J399" t="s">
        <v>18</v>
      </c>
    </row>
    <row r="400" spans="1:30" x14ac:dyDescent="0.3">
      <c r="A400" t="s">
        <v>2641</v>
      </c>
      <c r="F400" t="str">
        <f t="shared" si="6"/>
        <v>2021-01-08   2021-01-19</v>
      </c>
    </row>
    <row r="401" spans="1:10" x14ac:dyDescent="0.3">
      <c r="A401" t="s">
        <v>85</v>
      </c>
      <c r="B401" t="s">
        <v>86</v>
      </c>
      <c r="C401" t="s">
        <v>87</v>
      </c>
      <c r="D401" t="s">
        <v>88</v>
      </c>
      <c r="E401" t="s">
        <v>15</v>
      </c>
      <c r="F401" t="str">
        <f t="shared" si="6"/>
        <v>Name drawdown_date dtype datetime64[ns]) 'net_liq_mdd'</v>
      </c>
      <c r="G401" t="s">
        <v>2670</v>
      </c>
      <c r="H401" t="s">
        <v>2046</v>
      </c>
      <c r="I401">
        <v>0</v>
      </c>
      <c r="J401" t="s">
        <v>18</v>
      </c>
    </row>
    <row r="402" spans="1:10" x14ac:dyDescent="0.3">
      <c r="A402" t="s">
        <v>2641</v>
      </c>
      <c r="F402" t="str">
        <f t="shared" si="6"/>
        <v>2021-01-08   2021-01-19</v>
      </c>
    </row>
    <row r="403" spans="1:10" x14ac:dyDescent="0.3">
      <c r="A403" t="s">
        <v>85</v>
      </c>
      <c r="B403" t="s">
        <v>86</v>
      </c>
      <c r="C403" t="s">
        <v>87</v>
      </c>
      <c r="D403" t="s">
        <v>88</v>
      </c>
      <c r="E403" t="s">
        <v>15</v>
      </c>
      <c r="F403" t="str">
        <f t="shared" si="6"/>
        <v>Name drawdown_date dtype datetime64[ns]) 'net_liq_mdd'</v>
      </c>
      <c r="G403" t="s">
        <v>2671</v>
      </c>
      <c r="H403" t="s">
        <v>2655</v>
      </c>
      <c r="I403">
        <v>0</v>
      </c>
      <c r="J403" t="s">
        <v>18</v>
      </c>
    </row>
    <row r="404" spans="1:10" x14ac:dyDescent="0.3">
      <c r="A404" t="s">
        <v>2641</v>
      </c>
      <c r="F404" t="str">
        <f t="shared" si="6"/>
        <v>2021-01-08   2021-01-19</v>
      </c>
    </row>
    <row r="405" spans="1:10" x14ac:dyDescent="0.3">
      <c r="A405" t="s">
        <v>85</v>
      </c>
      <c r="B405" t="s">
        <v>86</v>
      </c>
      <c r="C405" t="s">
        <v>87</v>
      </c>
      <c r="D405" t="s">
        <v>88</v>
      </c>
      <c r="E405" t="s">
        <v>15</v>
      </c>
      <c r="F405" t="str">
        <f t="shared" si="6"/>
        <v>Name drawdown_date dtype datetime64[ns]) 'net_liq_mdd'</v>
      </c>
      <c r="G405" t="s">
        <v>2671</v>
      </c>
      <c r="H405" t="s">
        <v>2655</v>
      </c>
      <c r="I405">
        <v>0</v>
      </c>
      <c r="J405" t="s">
        <v>18</v>
      </c>
    </row>
    <row r="406" spans="1:10" x14ac:dyDescent="0.3">
      <c r="A406" t="s">
        <v>2641</v>
      </c>
      <c r="F406" t="str">
        <f t="shared" si="6"/>
        <v>2021-01-08   2021-01-19</v>
      </c>
    </row>
    <row r="407" spans="1:10" x14ac:dyDescent="0.3">
      <c r="A407" t="s">
        <v>85</v>
      </c>
      <c r="B407" t="s">
        <v>86</v>
      </c>
      <c r="C407" t="s">
        <v>87</v>
      </c>
      <c r="D407" t="s">
        <v>88</v>
      </c>
      <c r="E407" t="s">
        <v>15</v>
      </c>
      <c r="F407" t="str">
        <f t="shared" si="6"/>
        <v>Name drawdown_date dtype datetime64[ns]) 'net_liq_mdd'</v>
      </c>
      <c r="G407" t="s">
        <v>2847</v>
      </c>
      <c r="H407" t="s">
        <v>2046</v>
      </c>
      <c r="I407">
        <v>0</v>
      </c>
      <c r="J407" t="s">
        <v>18</v>
      </c>
    </row>
  </sheetData>
  <autoFilter ref="A1:AD407" xr:uid="{8B5E649F-6EF9-4E58-8C93-813882607743}">
    <sortState xmlns:xlrd2="http://schemas.microsoft.com/office/spreadsheetml/2017/richdata2" ref="A2:AD407">
      <sortCondition ref="L1:L407"/>
    </sortState>
  </autoFilter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6D00-4F4A-4F61-B953-35024D94B971}">
  <dimension ref="A1:AG403"/>
  <sheetViews>
    <sheetView workbookViewId="0">
      <selection activeCell="G17" sqref="G17"/>
    </sheetView>
  </sheetViews>
  <sheetFormatPr defaultRowHeight="16.5" x14ac:dyDescent="0.3"/>
  <cols>
    <col min="9" max="9" width="51" bestFit="1" customWidth="1"/>
  </cols>
  <sheetData>
    <row r="1" spans="1:33" x14ac:dyDescent="0.3">
      <c r="A1">
        <v>1</v>
      </c>
    </row>
    <row r="2" spans="1:33" x14ac:dyDescent="0.3">
      <c r="A2" t="s">
        <v>2538</v>
      </c>
      <c r="B2" t="s">
        <v>587</v>
      </c>
      <c r="C2">
        <v>0</v>
      </c>
      <c r="D2" t="s">
        <v>588</v>
      </c>
      <c r="E2" t="s">
        <v>589</v>
      </c>
      <c r="F2">
        <v>-2.5</v>
      </c>
      <c r="G2" t="s">
        <v>590</v>
      </c>
      <c r="H2" t="s">
        <v>2543</v>
      </c>
      <c r="I2" t="str">
        <f>_xlfn.CONCAT(A2:H2)</f>
        <v xml:space="preserve">alltime_{'P' [('number'0 1) ('number'-2.5 -1)]}_[7 35]_2 </v>
      </c>
      <c r="J2" t="s">
        <v>2540</v>
      </c>
      <c r="K2">
        <v>3073</v>
      </c>
      <c r="L2" t="s">
        <v>5</v>
      </c>
      <c r="M2">
        <v>1058</v>
      </c>
      <c r="N2" t="s">
        <v>6</v>
      </c>
      <c r="O2">
        <v>236.54999999999899</v>
      </c>
      <c r="P2" t="s">
        <v>7</v>
      </c>
      <c r="Q2">
        <v>7.6976895541815499E-2</v>
      </c>
      <c r="R2" t="s">
        <v>8</v>
      </c>
      <c r="S2">
        <v>1.4948582230623799</v>
      </c>
      <c r="T2" t="s">
        <v>9</v>
      </c>
      <c r="U2">
        <v>-0.66749875930520897</v>
      </c>
      <c r="V2" t="s">
        <v>10</v>
      </c>
      <c r="W2">
        <v>2.8882256396424002</v>
      </c>
      <c r="X2" t="s">
        <v>11</v>
      </c>
      <c r="Y2" t="s">
        <v>2906</v>
      </c>
      <c r="Z2" t="s">
        <v>2631</v>
      </c>
      <c r="AA2">
        <v>0</v>
      </c>
      <c r="AB2" t="s">
        <v>14</v>
      </c>
      <c r="AC2" t="s">
        <v>15</v>
      </c>
      <c r="AD2" t="s">
        <v>2908</v>
      </c>
      <c r="AE2" t="s">
        <v>1350</v>
      </c>
      <c r="AF2">
        <v>0</v>
      </c>
      <c r="AG2" t="s">
        <v>18</v>
      </c>
    </row>
    <row r="3" spans="1:33" x14ac:dyDescent="0.3">
      <c r="A3" t="s">
        <v>2538</v>
      </c>
      <c r="B3" t="s">
        <v>587</v>
      </c>
      <c r="C3">
        <v>0</v>
      </c>
      <c r="D3" t="s">
        <v>588</v>
      </c>
      <c r="E3" t="s">
        <v>589</v>
      </c>
      <c r="F3">
        <v>-2.5</v>
      </c>
      <c r="G3" t="s">
        <v>590</v>
      </c>
      <c r="H3" t="s">
        <v>2539</v>
      </c>
      <c r="I3" t="str">
        <f t="shared" ref="I3:I66" si="0">_xlfn.CONCAT(A3:H3)</f>
        <v xml:space="preserve">alltime_{'P' [('number'0 1) ('number'-2.5 -1)]}_[7 35]_1 </v>
      </c>
      <c r="J3" t="s">
        <v>2540</v>
      </c>
      <c r="K3">
        <v>3073</v>
      </c>
      <c r="L3" t="s">
        <v>5</v>
      </c>
      <c r="M3">
        <v>1200</v>
      </c>
      <c r="N3" t="s">
        <v>6</v>
      </c>
      <c r="O3">
        <v>206.01999999999899</v>
      </c>
      <c r="P3" t="s">
        <v>7</v>
      </c>
      <c r="Q3">
        <v>6.7041978522616105E-2</v>
      </c>
      <c r="R3" t="s">
        <v>8</v>
      </c>
      <c r="S3">
        <v>1.20559999999999</v>
      </c>
      <c r="T3" t="s">
        <v>9</v>
      </c>
      <c r="U3">
        <v>-0.66241324079017305</v>
      </c>
      <c r="V3" t="s">
        <v>10</v>
      </c>
      <c r="W3">
        <v>2.3976689042616299</v>
      </c>
      <c r="X3" t="s">
        <v>11</v>
      </c>
      <c r="Y3" t="s">
        <v>2906</v>
      </c>
      <c r="Z3" t="s">
        <v>2631</v>
      </c>
      <c r="AA3">
        <v>0</v>
      </c>
      <c r="AB3" t="s">
        <v>14</v>
      </c>
      <c r="AC3" t="s">
        <v>15</v>
      </c>
      <c r="AD3" t="s">
        <v>2907</v>
      </c>
      <c r="AE3" t="s">
        <v>2904</v>
      </c>
      <c r="AF3">
        <v>0</v>
      </c>
      <c r="AG3" t="s">
        <v>18</v>
      </c>
    </row>
    <row r="4" spans="1:33" x14ac:dyDescent="0.3">
      <c r="A4" t="s">
        <v>2538</v>
      </c>
      <c r="B4" t="s">
        <v>587</v>
      </c>
      <c r="C4">
        <v>0</v>
      </c>
      <c r="D4" t="s">
        <v>588</v>
      </c>
      <c r="E4" t="s">
        <v>589</v>
      </c>
      <c r="F4">
        <v>-2.5</v>
      </c>
      <c r="G4" t="s">
        <v>599</v>
      </c>
      <c r="H4" t="s">
        <v>2550</v>
      </c>
      <c r="I4" t="str">
        <f t="shared" si="0"/>
        <v xml:space="preserve">alltime_{'P' [('number'0 1) ('number'-2.5 -1)]}_[21 49]_1 </v>
      </c>
      <c r="J4" t="s">
        <v>2540</v>
      </c>
      <c r="K4">
        <v>3050</v>
      </c>
      <c r="L4" t="s">
        <v>5</v>
      </c>
      <c r="M4">
        <v>1163</v>
      </c>
      <c r="N4" t="s">
        <v>6</v>
      </c>
      <c r="O4">
        <v>175.353498503564</v>
      </c>
      <c r="P4" t="s">
        <v>7</v>
      </c>
      <c r="Q4">
        <v>5.7492950329037402E-2</v>
      </c>
      <c r="R4" t="s">
        <v>8</v>
      </c>
      <c r="S4">
        <v>1.2192061547969699</v>
      </c>
      <c r="T4" t="s">
        <v>9</v>
      </c>
      <c r="U4">
        <v>-0.65849669291219304</v>
      </c>
      <c r="V4" t="s">
        <v>10</v>
      </c>
      <c r="W4">
        <v>2.1052163442301199</v>
      </c>
      <c r="X4" t="s">
        <v>11</v>
      </c>
      <c r="Y4" t="s">
        <v>2906</v>
      </c>
      <c r="Z4" t="s">
        <v>2631</v>
      </c>
      <c r="AA4">
        <v>0</v>
      </c>
      <c r="AB4" t="s">
        <v>14</v>
      </c>
      <c r="AC4" t="s">
        <v>15</v>
      </c>
      <c r="AD4" t="s">
        <v>2912</v>
      </c>
      <c r="AE4" t="s">
        <v>2695</v>
      </c>
      <c r="AF4">
        <v>0</v>
      </c>
      <c r="AG4" t="s">
        <v>18</v>
      </c>
    </row>
    <row r="5" spans="1:33" x14ac:dyDescent="0.3">
      <c r="A5" t="s">
        <v>2538</v>
      </c>
      <c r="B5" t="s">
        <v>587</v>
      </c>
      <c r="C5">
        <v>0</v>
      </c>
      <c r="D5" t="s">
        <v>588</v>
      </c>
      <c r="E5" t="s">
        <v>589</v>
      </c>
      <c r="F5">
        <v>-2.5</v>
      </c>
      <c r="G5" t="s">
        <v>590</v>
      </c>
      <c r="H5" t="s">
        <v>2902</v>
      </c>
      <c r="I5" t="str">
        <f t="shared" si="0"/>
        <v xml:space="preserve">alltime_{'P' [('number'0 1) ('number'-2.5 -1)]}_[7 35]_0.5 </v>
      </c>
      <c r="J5" t="s">
        <v>2540</v>
      </c>
      <c r="K5">
        <v>3073</v>
      </c>
      <c r="L5" t="s">
        <v>5</v>
      </c>
      <c r="M5">
        <v>1516</v>
      </c>
      <c r="N5" t="s">
        <v>6</v>
      </c>
      <c r="O5">
        <v>175.05999999999901</v>
      </c>
      <c r="P5" t="s">
        <v>7</v>
      </c>
      <c r="Q5">
        <v>5.6967133094695602E-2</v>
      </c>
      <c r="R5" t="s">
        <v>8</v>
      </c>
      <c r="S5">
        <v>0.77022427440633101</v>
      </c>
      <c r="T5" t="s">
        <v>9</v>
      </c>
      <c r="U5">
        <v>-0.63750802825947295</v>
      </c>
      <c r="V5" t="s">
        <v>10</v>
      </c>
      <c r="W5">
        <v>1.69153299381714</v>
      </c>
      <c r="X5" t="s">
        <v>11</v>
      </c>
      <c r="Y5" t="s">
        <v>2903</v>
      </c>
      <c r="Z5" t="s">
        <v>2904</v>
      </c>
      <c r="AA5">
        <v>0</v>
      </c>
      <c r="AB5" t="s">
        <v>14</v>
      </c>
      <c r="AC5" t="s">
        <v>15</v>
      </c>
      <c r="AD5" t="s">
        <v>2905</v>
      </c>
      <c r="AE5" t="s">
        <v>1431</v>
      </c>
      <c r="AF5">
        <v>0</v>
      </c>
      <c r="AG5" t="s">
        <v>18</v>
      </c>
    </row>
    <row r="6" spans="1:33" x14ac:dyDescent="0.3">
      <c r="A6" t="s">
        <v>2538</v>
      </c>
      <c r="B6" t="s">
        <v>587</v>
      </c>
      <c r="C6">
        <v>0</v>
      </c>
      <c r="D6" t="s">
        <v>588</v>
      </c>
      <c r="E6" t="s">
        <v>589</v>
      </c>
      <c r="F6">
        <v>-2.5</v>
      </c>
      <c r="G6" t="s">
        <v>590</v>
      </c>
      <c r="H6" t="s">
        <v>2909</v>
      </c>
      <c r="I6" t="str">
        <f t="shared" si="0"/>
        <v xml:space="preserve">alltime_{'P' [('number'0 1) ('number'-2.5 -1)]}_[7 35]_3 </v>
      </c>
      <c r="J6" t="s">
        <v>2540</v>
      </c>
      <c r="K6">
        <v>3073</v>
      </c>
      <c r="L6" t="s">
        <v>5</v>
      </c>
      <c r="M6">
        <v>1046</v>
      </c>
      <c r="N6" t="s">
        <v>6</v>
      </c>
      <c r="O6">
        <v>151.70999999999799</v>
      </c>
      <c r="P6" t="s">
        <v>7</v>
      </c>
      <c r="Q6">
        <v>4.9368695086234503E-2</v>
      </c>
      <c r="R6" t="s">
        <v>8</v>
      </c>
      <c r="S6">
        <v>1.4445506692160599</v>
      </c>
      <c r="T6" t="s">
        <v>9</v>
      </c>
      <c r="U6">
        <v>-0.67059200789343598</v>
      </c>
      <c r="V6" t="s">
        <v>10</v>
      </c>
      <c r="W6">
        <v>2.9144093216020499</v>
      </c>
      <c r="X6" t="s">
        <v>11</v>
      </c>
      <c r="Y6" t="s">
        <v>2906</v>
      </c>
      <c r="Z6" t="s">
        <v>2631</v>
      </c>
      <c r="AA6">
        <v>0</v>
      </c>
      <c r="AB6" t="s">
        <v>14</v>
      </c>
      <c r="AC6" t="s">
        <v>15</v>
      </c>
      <c r="AD6" t="s">
        <v>2908</v>
      </c>
      <c r="AE6" t="s">
        <v>1350</v>
      </c>
      <c r="AF6">
        <v>0</v>
      </c>
      <c r="AG6" t="s">
        <v>18</v>
      </c>
    </row>
    <row r="7" spans="1:33" x14ac:dyDescent="0.3">
      <c r="A7" t="s">
        <v>2538</v>
      </c>
      <c r="B7" t="s">
        <v>587</v>
      </c>
      <c r="C7">
        <v>-2.5</v>
      </c>
      <c r="D7" t="s">
        <v>588</v>
      </c>
      <c r="E7" t="s">
        <v>589</v>
      </c>
      <c r="F7">
        <v>-5</v>
      </c>
      <c r="G7" t="s">
        <v>599</v>
      </c>
      <c r="H7" t="s">
        <v>2552</v>
      </c>
      <c r="I7" t="str">
        <f t="shared" si="0"/>
        <v xml:space="preserve">alltime_{'P' [('number'-2.5 1) ('number'-5 -1)]}_[21 49]_2 </v>
      </c>
      <c r="J7" t="s">
        <v>2540</v>
      </c>
      <c r="K7">
        <v>3050</v>
      </c>
      <c r="L7" t="s">
        <v>5</v>
      </c>
      <c r="M7">
        <v>804</v>
      </c>
      <c r="N7" t="s">
        <v>6</v>
      </c>
      <c r="O7">
        <v>147.016482645688</v>
      </c>
      <c r="P7" t="s">
        <v>7</v>
      </c>
      <c r="Q7">
        <v>4.8202125457602801E-2</v>
      </c>
      <c r="R7" t="s">
        <v>8</v>
      </c>
      <c r="S7">
        <v>1.6809056736149499</v>
      </c>
      <c r="T7" t="s">
        <v>9</v>
      </c>
      <c r="U7">
        <v>-0.53625631297450405</v>
      </c>
      <c r="V7" t="s">
        <v>10</v>
      </c>
      <c r="W7">
        <v>2.4374966444176098</v>
      </c>
      <c r="X7" t="s">
        <v>11</v>
      </c>
      <c r="Y7" t="s">
        <v>2903</v>
      </c>
      <c r="Z7" t="s">
        <v>2904</v>
      </c>
      <c r="AA7">
        <v>0</v>
      </c>
      <c r="AB7" t="s">
        <v>14</v>
      </c>
      <c r="AC7" t="s">
        <v>15</v>
      </c>
      <c r="AD7" t="s">
        <v>2940</v>
      </c>
      <c r="AE7" t="s">
        <v>1240</v>
      </c>
      <c r="AF7">
        <v>0</v>
      </c>
      <c r="AG7" t="s">
        <v>18</v>
      </c>
    </row>
    <row r="8" spans="1:33" x14ac:dyDescent="0.3">
      <c r="A8" t="s">
        <v>2538</v>
      </c>
      <c r="B8" t="s">
        <v>587</v>
      </c>
      <c r="C8">
        <v>-2.5</v>
      </c>
      <c r="D8" t="s">
        <v>588</v>
      </c>
      <c r="E8" t="s">
        <v>589</v>
      </c>
      <c r="F8">
        <v>-5</v>
      </c>
      <c r="G8" t="s">
        <v>590</v>
      </c>
      <c r="H8" t="s">
        <v>2543</v>
      </c>
      <c r="I8" t="str">
        <f t="shared" si="0"/>
        <v xml:space="preserve">alltime_{'P' [('number'-2.5 1) ('number'-5 -1)]}_[7 35]_2 </v>
      </c>
      <c r="J8" t="s">
        <v>2540</v>
      </c>
      <c r="K8">
        <v>3073</v>
      </c>
      <c r="L8" t="s">
        <v>5</v>
      </c>
      <c r="M8">
        <v>813</v>
      </c>
      <c r="N8" t="s">
        <v>6</v>
      </c>
      <c r="O8">
        <v>125.129999999999</v>
      </c>
      <c r="P8" t="s">
        <v>7</v>
      </c>
      <c r="Q8">
        <v>4.0719166937845698E-2</v>
      </c>
      <c r="R8" t="s">
        <v>8</v>
      </c>
      <c r="S8">
        <v>1.5780565805658</v>
      </c>
      <c r="T8" t="s">
        <v>9</v>
      </c>
      <c r="U8">
        <v>-0.51231415929203605</v>
      </c>
      <c r="V8" t="s">
        <v>10</v>
      </c>
      <c r="W8">
        <v>2.48079105873488</v>
      </c>
      <c r="X8" t="s">
        <v>11</v>
      </c>
      <c r="Y8" t="s">
        <v>2906</v>
      </c>
      <c r="Z8" t="s">
        <v>2631</v>
      </c>
      <c r="AA8">
        <v>0</v>
      </c>
      <c r="AB8" t="s">
        <v>14</v>
      </c>
      <c r="AC8" t="s">
        <v>15</v>
      </c>
      <c r="AD8" t="s">
        <v>2933</v>
      </c>
      <c r="AE8" t="s">
        <v>2863</v>
      </c>
      <c r="AF8">
        <v>0</v>
      </c>
      <c r="AG8" t="s">
        <v>18</v>
      </c>
    </row>
    <row r="9" spans="1:33" x14ac:dyDescent="0.3">
      <c r="A9" t="s">
        <v>2538</v>
      </c>
      <c r="B9" t="s">
        <v>587</v>
      </c>
      <c r="C9">
        <v>0</v>
      </c>
      <c r="D9" t="s">
        <v>588</v>
      </c>
      <c r="E9" t="s">
        <v>589</v>
      </c>
      <c r="F9">
        <v>-2.5</v>
      </c>
      <c r="G9" t="s">
        <v>599</v>
      </c>
      <c r="H9" t="s">
        <v>2552</v>
      </c>
      <c r="I9" t="str">
        <f t="shared" si="0"/>
        <v xml:space="preserve">alltime_{'P' [('number'0 1) ('number'-2.5 -1)]}_[21 49]_2 </v>
      </c>
      <c r="J9" t="s">
        <v>2540</v>
      </c>
      <c r="K9">
        <v>3050</v>
      </c>
      <c r="L9" t="s">
        <v>5</v>
      </c>
      <c r="M9">
        <v>955</v>
      </c>
      <c r="N9" t="s">
        <v>6</v>
      </c>
      <c r="O9">
        <v>122.66187576009401</v>
      </c>
      <c r="P9" t="s">
        <v>7</v>
      </c>
      <c r="Q9">
        <v>4.0217008445932498E-2</v>
      </c>
      <c r="R9" t="s">
        <v>8</v>
      </c>
      <c r="S9">
        <v>1.6135217768291401</v>
      </c>
      <c r="T9" t="s">
        <v>9</v>
      </c>
      <c r="U9">
        <v>-0.67696965208197302</v>
      </c>
      <c r="V9" t="s">
        <v>10</v>
      </c>
      <c r="W9">
        <v>2.6117124052776002</v>
      </c>
      <c r="X9" t="s">
        <v>11</v>
      </c>
      <c r="Y9" t="s">
        <v>2913</v>
      </c>
      <c r="Z9" t="s">
        <v>2914</v>
      </c>
      <c r="AA9">
        <v>0</v>
      </c>
      <c r="AB9" t="s">
        <v>14</v>
      </c>
      <c r="AC9" t="s">
        <v>15</v>
      </c>
      <c r="AD9" t="s">
        <v>2915</v>
      </c>
      <c r="AE9" t="s">
        <v>1240</v>
      </c>
      <c r="AF9">
        <v>0</v>
      </c>
      <c r="AG9" t="s">
        <v>18</v>
      </c>
    </row>
    <row r="10" spans="1:33" x14ac:dyDescent="0.3">
      <c r="A10" t="s">
        <v>2538</v>
      </c>
      <c r="B10" t="s">
        <v>587</v>
      </c>
      <c r="C10">
        <v>0</v>
      </c>
      <c r="D10" t="s">
        <v>588</v>
      </c>
      <c r="E10" t="s">
        <v>589</v>
      </c>
      <c r="F10">
        <v>-2.5</v>
      </c>
      <c r="G10" t="s">
        <v>599</v>
      </c>
      <c r="H10" t="s">
        <v>2910</v>
      </c>
      <c r="I10" t="str">
        <f t="shared" si="0"/>
        <v xml:space="preserve">alltime_{'P' [('number'0 1) ('number'-2.5 -1)]}_[21 49]_0.5 </v>
      </c>
      <c r="J10" t="s">
        <v>2540</v>
      </c>
      <c r="K10">
        <v>3050</v>
      </c>
      <c r="L10" t="s">
        <v>5</v>
      </c>
      <c r="M10">
        <v>1519</v>
      </c>
      <c r="N10" t="s">
        <v>6</v>
      </c>
      <c r="O10">
        <v>120.582166767903</v>
      </c>
      <c r="P10" t="s">
        <v>7</v>
      </c>
      <c r="Q10">
        <v>3.9535136645214103E-2</v>
      </c>
      <c r="R10" t="s">
        <v>8</v>
      </c>
      <c r="S10">
        <v>0.72595485601923304</v>
      </c>
      <c r="T10" t="s">
        <v>9</v>
      </c>
      <c r="U10">
        <v>-0.64150441510471101</v>
      </c>
      <c r="V10" t="s">
        <v>10</v>
      </c>
      <c r="W10">
        <v>1.5112747841163301</v>
      </c>
      <c r="X10" t="s">
        <v>11</v>
      </c>
      <c r="Y10" t="s">
        <v>2911</v>
      </c>
      <c r="Z10" t="s">
        <v>53</v>
      </c>
      <c r="AA10">
        <v>0</v>
      </c>
      <c r="AB10" t="s">
        <v>14</v>
      </c>
      <c r="AC10" t="s">
        <v>15</v>
      </c>
      <c r="AD10" t="s">
        <v>2104</v>
      </c>
      <c r="AE10" t="s">
        <v>2052</v>
      </c>
      <c r="AF10">
        <v>0</v>
      </c>
      <c r="AG10" t="s">
        <v>18</v>
      </c>
    </row>
    <row r="11" spans="1:33" x14ac:dyDescent="0.3">
      <c r="A11" t="s">
        <v>2538</v>
      </c>
      <c r="B11" t="s">
        <v>587</v>
      </c>
      <c r="C11">
        <v>0</v>
      </c>
      <c r="D11" t="s">
        <v>588</v>
      </c>
      <c r="E11" t="s">
        <v>589</v>
      </c>
      <c r="F11">
        <v>-2.5</v>
      </c>
      <c r="G11" t="s">
        <v>1998</v>
      </c>
      <c r="H11" t="s">
        <v>2918</v>
      </c>
      <c r="I11" t="str">
        <f t="shared" si="0"/>
        <v xml:space="preserve">alltime_{'P' [('number'0 1) ('number'-2.5 -1)]}_[42 70]_0.5 </v>
      </c>
      <c r="J11" t="s">
        <v>2540</v>
      </c>
      <c r="K11">
        <v>3062</v>
      </c>
      <c r="L11" t="s">
        <v>5</v>
      </c>
      <c r="M11">
        <v>1544</v>
      </c>
      <c r="N11" t="s">
        <v>6</v>
      </c>
      <c r="O11">
        <v>120.47961676164201</v>
      </c>
      <c r="P11" t="s">
        <v>7</v>
      </c>
      <c r="Q11">
        <v>3.9346706976369099E-2</v>
      </c>
      <c r="R11" t="s">
        <v>8</v>
      </c>
      <c r="S11">
        <v>0.81032726762441198</v>
      </c>
      <c r="T11" t="s">
        <v>9</v>
      </c>
      <c r="U11">
        <v>-0.74483905431518405</v>
      </c>
      <c r="V11" t="s">
        <v>10</v>
      </c>
      <c r="W11">
        <v>1.37157156811203</v>
      </c>
      <c r="X11" t="s">
        <v>11</v>
      </c>
      <c r="Y11" t="s">
        <v>2919</v>
      </c>
      <c r="Z11" t="s">
        <v>2920</v>
      </c>
      <c r="AA11">
        <v>0</v>
      </c>
      <c r="AB11" t="s">
        <v>14</v>
      </c>
      <c r="AC11" t="s">
        <v>15</v>
      </c>
      <c r="AD11" t="s">
        <v>2921</v>
      </c>
      <c r="AE11" t="s">
        <v>2922</v>
      </c>
      <c r="AF11">
        <v>0</v>
      </c>
      <c r="AG11" t="s">
        <v>18</v>
      </c>
    </row>
    <row r="12" spans="1:33" x14ac:dyDescent="0.3">
      <c r="A12" t="s">
        <v>2538</v>
      </c>
      <c r="B12" t="s">
        <v>587</v>
      </c>
      <c r="C12">
        <v>-2.5</v>
      </c>
      <c r="D12" t="s">
        <v>588</v>
      </c>
      <c r="E12" t="s">
        <v>589</v>
      </c>
      <c r="F12">
        <v>-5</v>
      </c>
      <c r="G12" t="s">
        <v>590</v>
      </c>
      <c r="H12" t="s">
        <v>2909</v>
      </c>
      <c r="I12" t="str">
        <f t="shared" si="0"/>
        <v xml:space="preserve">alltime_{'P' [('number'-2.5 1) ('number'-5 -1)]}_[7 35]_3 </v>
      </c>
      <c r="J12" t="s">
        <v>2540</v>
      </c>
      <c r="K12">
        <v>3073</v>
      </c>
      <c r="L12" t="s">
        <v>5</v>
      </c>
      <c r="M12">
        <v>767</v>
      </c>
      <c r="N12" t="s">
        <v>6</v>
      </c>
      <c r="O12">
        <v>84.270000000000195</v>
      </c>
      <c r="P12" t="s">
        <v>7</v>
      </c>
      <c r="Q12">
        <v>2.74227139602994E-2</v>
      </c>
      <c r="R12" t="s">
        <v>8</v>
      </c>
      <c r="S12">
        <v>1.66616688396349</v>
      </c>
      <c r="T12" t="s">
        <v>9</v>
      </c>
      <c r="U12">
        <v>-0.51764093668690403</v>
      </c>
      <c r="V12" t="s">
        <v>10</v>
      </c>
      <c r="W12">
        <v>2.6568062133638501</v>
      </c>
      <c r="X12" t="s">
        <v>11</v>
      </c>
      <c r="Y12" t="s">
        <v>2054</v>
      </c>
      <c r="Z12" t="s">
        <v>91</v>
      </c>
      <c r="AA12">
        <v>0</v>
      </c>
      <c r="AB12" t="s">
        <v>14</v>
      </c>
      <c r="AC12" t="s">
        <v>15</v>
      </c>
      <c r="AD12" t="s">
        <v>2934</v>
      </c>
      <c r="AE12" t="s">
        <v>2693</v>
      </c>
      <c r="AF12">
        <v>0</v>
      </c>
      <c r="AG12" t="s">
        <v>18</v>
      </c>
    </row>
    <row r="13" spans="1:33" x14ac:dyDescent="0.3">
      <c r="A13" t="s">
        <v>2538</v>
      </c>
      <c r="B13" t="s">
        <v>587</v>
      </c>
      <c r="C13">
        <v>-2.5</v>
      </c>
      <c r="D13" t="s">
        <v>588</v>
      </c>
      <c r="E13" t="s">
        <v>589</v>
      </c>
      <c r="F13">
        <v>-5</v>
      </c>
      <c r="G13" t="s">
        <v>599</v>
      </c>
      <c r="H13" t="s">
        <v>2550</v>
      </c>
      <c r="I13" t="str">
        <f t="shared" si="0"/>
        <v xml:space="preserve">alltime_{'P' [('number'-2.5 1) ('number'-5 -1)]}_[21 49]_1 </v>
      </c>
      <c r="J13" t="s">
        <v>2540</v>
      </c>
      <c r="K13">
        <v>3050</v>
      </c>
      <c r="L13" t="s">
        <v>5</v>
      </c>
      <c r="M13">
        <v>1062</v>
      </c>
      <c r="N13" t="s">
        <v>6</v>
      </c>
      <c r="O13">
        <v>78.848321059262005</v>
      </c>
      <c r="P13" t="s">
        <v>7</v>
      </c>
      <c r="Q13">
        <v>2.5851908544020301E-2</v>
      </c>
      <c r="R13" t="s">
        <v>8</v>
      </c>
      <c r="S13">
        <v>1.0502165725046999</v>
      </c>
      <c r="T13" t="s">
        <v>9</v>
      </c>
      <c r="U13">
        <v>-0.52136905379312803</v>
      </c>
      <c r="V13" t="s">
        <v>10</v>
      </c>
      <c r="W13">
        <v>1.8398326549769799</v>
      </c>
      <c r="X13" t="s">
        <v>11</v>
      </c>
      <c r="Y13" t="s">
        <v>2938</v>
      </c>
      <c r="Z13" t="s">
        <v>660</v>
      </c>
      <c r="AA13">
        <v>0</v>
      </c>
      <c r="AB13" t="s">
        <v>14</v>
      </c>
      <c r="AC13" t="s">
        <v>15</v>
      </c>
      <c r="AD13" t="s">
        <v>2939</v>
      </c>
      <c r="AE13" t="s">
        <v>2863</v>
      </c>
      <c r="AF13">
        <v>0</v>
      </c>
      <c r="AG13" t="s">
        <v>18</v>
      </c>
    </row>
    <row r="14" spans="1:33" x14ac:dyDescent="0.3">
      <c r="A14" t="s">
        <v>2538</v>
      </c>
      <c r="B14" t="s">
        <v>587</v>
      </c>
      <c r="C14">
        <v>-5</v>
      </c>
      <c r="D14" t="s">
        <v>588</v>
      </c>
      <c r="E14" t="s">
        <v>589</v>
      </c>
      <c r="F14">
        <v>-7.5</v>
      </c>
      <c r="G14" t="s">
        <v>1998</v>
      </c>
      <c r="H14" t="s">
        <v>2918</v>
      </c>
      <c r="I14" t="str">
        <f t="shared" si="0"/>
        <v xml:space="preserve">alltime_{'P' [('number'-5 1) ('number'-7.5 -1)]}_[42 70]_0.5 </v>
      </c>
      <c r="J14" t="s">
        <v>2540</v>
      </c>
      <c r="K14">
        <v>3062</v>
      </c>
      <c r="L14" t="s">
        <v>5</v>
      </c>
      <c r="M14">
        <v>1487</v>
      </c>
      <c r="N14" t="s">
        <v>6</v>
      </c>
      <c r="O14">
        <v>73.294018000822604</v>
      </c>
      <c r="P14" t="s">
        <v>7</v>
      </c>
      <c r="Q14">
        <v>2.3936648595957701E-2</v>
      </c>
      <c r="R14" t="s">
        <v>8</v>
      </c>
      <c r="S14">
        <v>0.60289751573205197</v>
      </c>
      <c r="T14" t="s">
        <v>9</v>
      </c>
      <c r="U14">
        <v>-0.52267592882078495</v>
      </c>
      <c r="V14" t="s">
        <v>10</v>
      </c>
      <c r="W14">
        <v>1.0315212770844899</v>
      </c>
      <c r="X14" t="s">
        <v>11</v>
      </c>
      <c r="Y14" t="s">
        <v>2954</v>
      </c>
      <c r="Z14" t="s">
        <v>2922</v>
      </c>
      <c r="AA14">
        <v>0</v>
      </c>
      <c r="AB14" t="s">
        <v>14</v>
      </c>
      <c r="AC14" t="s">
        <v>15</v>
      </c>
      <c r="AD14" t="s">
        <v>2955</v>
      </c>
      <c r="AE14" t="s">
        <v>2956</v>
      </c>
      <c r="AF14">
        <v>0</v>
      </c>
      <c r="AG14" t="s">
        <v>18</v>
      </c>
    </row>
    <row r="15" spans="1:33" x14ac:dyDescent="0.3">
      <c r="A15" t="s">
        <v>2538</v>
      </c>
      <c r="B15" t="s">
        <v>587</v>
      </c>
      <c r="C15">
        <v>-2.5</v>
      </c>
      <c r="D15" t="s">
        <v>588</v>
      </c>
      <c r="E15" t="s">
        <v>589</v>
      </c>
      <c r="F15">
        <v>-5</v>
      </c>
      <c r="G15" t="s">
        <v>590</v>
      </c>
      <c r="H15" t="s">
        <v>2902</v>
      </c>
      <c r="I15" t="str">
        <f t="shared" si="0"/>
        <v xml:space="preserve">alltime_{'P' [('number'-2.5 1) ('number'-5 -1)]}_[7 35]_0.5 </v>
      </c>
      <c r="J15" t="s">
        <v>2540</v>
      </c>
      <c r="K15">
        <v>3073</v>
      </c>
      <c r="L15" t="s">
        <v>5</v>
      </c>
      <c r="M15">
        <v>1393</v>
      </c>
      <c r="N15" t="s">
        <v>6</v>
      </c>
      <c r="O15">
        <v>72.079999999999799</v>
      </c>
      <c r="P15" t="s">
        <v>7</v>
      </c>
      <c r="Q15">
        <v>2.3455906280507501E-2</v>
      </c>
      <c r="R15" t="s">
        <v>8</v>
      </c>
      <c r="S15">
        <v>0.63428571428571301</v>
      </c>
      <c r="T15" t="s">
        <v>9</v>
      </c>
      <c r="U15">
        <v>-0.48302380952381002</v>
      </c>
      <c r="V15" t="s">
        <v>10</v>
      </c>
      <c r="W15">
        <v>1.2833654948892399</v>
      </c>
      <c r="X15" t="s">
        <v>11</v>
      </c>
      <c r="Y15" t="s">
        <v>2931</v>
      </c>
      <c r="Z15" t="s">
        <v>2863</v>
      </c>
      <c r="AA15">
        <v>0</v>
      </c>
      <c r="AB15" t="s">
        <v>14</v>
      </c>
      <c r="AC15" t="s">
        <v>15</v>
      </c>
      <c r="AD15" t="s">
        <v>852</v>
      </c>
      <c r="AE15" t="s">
        <v>2418</v>
      </c>
      <c r="AF15">
        <v>0</v>
      </c>
      <c r="AG15" t="s">
        <v>18</v>
      </c>
    </row>
    <row r="16" spans="1:33" x14ac:dyDescent="0.3">
      <c r="A16" t="s">
        <v>2538</v>
      </c>
      <c r="B16" t="s">
        <v>587</v>
      </c>
      <c r="C16">
        <v>0</v>
      </c>
      <c r="D16" t="s">
        <v>588</v>
      </c>
      <c r="E16" t="s">
        <v>589</v>
      </c>
      <c r="F16">
        <v>-2.5</v>
      </c>
      <c r="G16" t="s">
        <v>1998</v>
      </c>
      <c r="H16" t="s">
        <v>2559</v>
      </c>
      <c r="I16" t="str">
        <f t="shared" si="0"/>
        <v xml:space="preserve">alltime_{'P' [('number'0 1) ('number'-2.5 -1)]}_[42 70]_1 </v>
      </c>
      <c r="J16" t="s">
        <v>2540</v>
      </c>
      <c r="K16">
        <v>3062</v>
      </c>
      <c r="L16" t="s">
        <v>5</v>
      </c>
      <c r="M16">
        <v>1144</v>
      </c>
      <c r="N16" t="s">
        <v>6</v>
      </c>
      <c r="O16">
        <v>57.125121289027597</v>
      </c>
      <c r="P16" t="s">
        <v>7</v>
      </c>
      <c r="Q16">
        <v>1.8656146730577201E-2</v>
      </c>
      <c r="R16" t="s">
        <v>8</v>
      </c>
      <c r="S16">
        <v>1.3002485981788301</v>
      </c>
      <c r="T16" t="s">
        <v>9</v>
      </c>
      <c r="U16">
        <v>-0.74575561784543998</v>
      </c>
      <c r="V16" t="s">
        <v>10</v>
      </c>
      <c r="W16">
        <v>1.7737908057516001</v>
      </c>
      <c r="X16" t="s">
        <v>11</v>
      </c>
      <c r="Y16" t="s">
        <v>2919</v>
      </c>
      <c r="Z16" t="s">
        <v>2920</v>
      </c>
      <c r="AA16">
        <v>0</v>
      </c>
      <c r="AB16" t="s">
        <v>14</v>
      </c>
      <c r="AC16" t="s">
        <v>15</v>
      </c>
      <c r="AD16" t="s">
        <v>2923</v>
      </c>
      <c r="AE16" t="s">
        <v>2924</v>
      </c>
      <c r="AF16">
        <v>0</v>
      </c>
      <c r="AG16" t="s">
        <v>18</v>
      </c>
    </row>
    <row r="17" spans="1:33" x14ac:dyDescent="0.3">
      <c r="A17" t="s">
        <v>2538</v>
      </c>
      <c r="B17" t="s">
        <v>587</v>
      </c>
      <c r="C17">
        <v>-2.5</v>
      </c>
      <c r="D17" t="s">
        <v>588</v>
      </c>
      <c r="E17" t="s">
        <v>589</v>
      </c>
      <c r="F17">
        <v>-5</v>
      </c>
      <c r="G17" t="s">
        <v>1998</v>
      </c>
      <c r="H17" t="s">
        <v>2918</v>
      </c>
      <c r="I17" t="str">
        <f t="shared" si="0"/>
        <v xml:space="preserve">alltime_{'P' [('number'-2.5 1) ('number'-5 -1)]}_[42 70]_0.5 </v>
      </c>
      <c r="J17" t="s">
        <v>2540</v>
      </c>
      <c r="K17">
        <v>3062</v>
      </c>
      <c r="L17" t="s">
        <v>5</v>
      </c>
      <c r="M17">
        <v>1516</v>
      </c>
      <c r="N17" t="s">
        <v>6</v>
      </c>
      <c r="O17">
        <v>55.370657511014997</v>
      </c>
      <c r="P17" t="s">
        <v>7</v>
      </c>
      <c r="Q17">
        <v>1.8083167051278499E-2</v>
      </c>
      <c r="R17" t="s">
        <v>8</v>
      </c>
      <c r="S17">
        <v>0.67764733976038705</v>
      </c>
      <c r="T17" t="s">
        <v>9</v>
      </c>
      <c r="U17">
        <v>-0.62868221834782201</v>
      </c>
      <c r="V17" t="s">
        <v>10</v>
      </c>
      <c r="W17">
        <v>1.18282272432228</v>
      </c>
      <c r="X17" t="s">
        <v>11</v>
      </c>
      <c r="Y17" t="s">
        <v>2942</v>
      </c>
      <c r="Z17" t="s">
        <v>91</v>
      </c>
      <c r="AA17">
        <v>0</v>
      </c>
      <c r="AB17" t="s">
        <v>14</v>
      </c>
      <c r="AC17" t="s">
        <v>15</v>
      </c>
      <c r="AD17" t="s">
        <v>2476</v>
      </c>
      <c r="AE17" t="s">
        <v>91</v>
      </c>
      <c r="AF17">
        <v>0</v>
      </c>
      <c r="AG17" t="s">
        <v>18</v>
      </c>
    </row>
    <row r="18" spans="1:33" x14ac:dyDescent="0.3">
      <c r="A18" t="s">
        <v>2538</v>
      </c>
      <c r="B18" t="s">
        <v>587</v>
      </c>
      <c r="C18">
        <v>-2.5</v>
      </c>
      <c r="D18" t="s">
        <v>588</v>
      </c>
      <c r="E18" t="s">
        <v>589</v>
      </c>
      <c r="F18">
        <v>-5</v>
      </c>
      <c r="G18" t="s">
        <v>590</v>
      </c>
      <c r="H18" t="s">
        <v>2539</v>
      </c>
      <c r="I18" t="str">
        <f t="shared" si="0"/>
        <v xml:space="preserve">alltime_{'P' [('number'-2.5 1) ('number'-5 -1)]}_[7 35]_1 </v>
      </c>
      <c r="J18" t="s">
        <v>2540</v>
      </c>
      <c r="K18">
        <v>3073</v>
      </c>
      <c r="L18" t="s">
        <v>5</v>
      </c>
      <c r="M18">
        <v>1051</v>
      </c>
      <c r="N18" t="s">
        <v>6</v>
      </c>
      <c r="O18">
        <v>54.919999999999703</v>
      </c>
      <c r="P18" t="s">
        <v>7</v>
      </c>
      <c r="Q18">
        <v>1.78717865278228E-2</v>
      </c>
      <c r="R18" t="s">
        <v>8</v>
      </c>
      <c r="S18">
        <v>1.0143006660323499</v>
      </c>
      <c r="T18" t="s">
        <v>9</v>
      </c>
      <c r="U18">
        <v>-0.50005440158259196</v>
      </c>
      <c r="V18" t="s">
        <v>10</v>
      </c>
      <c r="W18">
        <v>1.8621058289480199</v>
      </c>
      <c r="X18" t="s">
        <v>11</v>
      </c>
      <c r="Y18" t="s">
        <v>2906</v>
      </c>
      <c r="Z18" t="s">
        <v>2631</v>
      </c>
      <c r="AA18">
        <v>0</v>
      </c>
      <c r="AB18" t="s">
        <v>14</v>
      </c>
      <c r="AC18" t="s">
        <v>15</v>
      </c>
      <c r="AD18" t="s">
        <v>2932</v>
      </c>
      <c r="AE18" t="s">
        <v>2863</v>
      </c>
      <c r="AF18">
        <v>0</v>
      </c>
      <c r="AG18" t="s">
        <v>18</v>
      </c>
    </row>
    <row r="19" spans="1:33" x14ac:dyDescent="0.3">
      <c r="A19" t="s">
        <v>2538</v>
      </c>
      <c r="B19" t="s">
        <v>587</v>
      </c>
      <c r="C19">
        <v>-5</v>
      </c>
      <c r="D19" t="s">
        <v>588</v>
      </c>
      <c r="E19" t="s">
        <v>589</v>
      </c>
      <c r="F19">
        <v>-7.5</v>
      </c>
      <c r="G19" t="s">
        <v>599</v>
      </c>
      <c r="H19" t="s">
        <v>2550</v>
      </c>
      <c r="I19" t="str">
        <f t="shared" si="0"/>
        <v xml:space="preserve">alltime_{'P' [('number'-5 1) ('number'-7.5 -1)]}_[21 49]_1 </v>
      </c>
      <c r="J19" t="s">
        <v>2540</v>
      </c>
      <c r="K19">
        <v>3050</v>
      </c>
      <c r="L19" t="s">
        <v>5</v>
      </c>
      <c r="M19">
        <v>1008</v>
      </c>
      <c r="N19" t="s">
        <v>6</v>
      </c>
      <c r="O19">
        <v>52.835111477889001</v>
      </c>
      <c r="P19" t="s">
        <v>7</v>
      </c>
      <c r="Q19">
        <v>1.7322987369799599E-2</v>
      </c>
      <c r="R19" t="s">
        <v>8</v>
      </c>
      <c r="S19">
        <v>0.89112019638453999</v>
      </c>
      <c r="T19" t="s">
        <v>9</v>
      </c>
      <c r="U19">
        <v>-0.41401275537596699</v>
      </c>
      <c r="V19" t="s">
        <v>10</v>
      </c>
      <c r="W19">
        <v>1.4975335155704601</v>
      </c>
      <c r="X19" t="s">
        <v>11</v>
      </c>
      <c r="Y19" t="s">
        <v>2938</v>
      </c>
      <c r="Z19" t="s">
        <v>660</v>
      </c>
      <c r="AA19">
        <v>0</v>
      </c>
      <c r="AB19" t="s">
        <v>14</v>
      </c>
      <c r="AC19" t="s">
        <v>15</v>
      </c>
      <c r="AD19" t="s">
        <v>2952</v>
      </c>
      <c r="AE19" t="s">
        <v>2863</v>
      </c>
      <c r="AF19">
        <v>0</v>
      </c>
      <c r="AG19" t="s">
        <v>18</v>
      </c>
    </row>
    <row r="20" spans="1:33" x14ac:dyDescent="0.3">
      <c r="A20" t="s">
        <v>2538</v>
      </c>
      <c r="B20" t="s">
        <v>587</v>
      </c>
      <c r="C20">
        <v>-2.5</v>
      </c>
      <c r="D20" t="s">
        <v>588</v>
      </c>
      <c r="E20" t="s">
        <v>589</v>
      </c>
      <c r="F20">
        <v>-5</v>
      </c>
      <c r="G20" t="s">
        <v>599</v>
      </c>
      <c r="H20" t="s">
        <v>2910</v>
      </c>
      <c r="I20" t="str">
        <f t="shared" si="0"/>
        <v xml:space="preserve">alltime_{'P' [('number'-2.5 1) ('number'-5 -1)]}_[21 49]_0.5 </v>
      </c>
      <c r="J20" t="s">
        <v>2540</v>
      </c>
      <c r="K20">
        <v>3050</v>
      </c>
      <c r="L20" t="s">
        <v>5</v>
      </c>
      <c r="M20">
        <v>1440</v>
      </c>
      <c r="N20" t="s">
        <v>6</v>
      </c>
      <c r="O20">
        <v>50.260842044383203</v>
      </c>
      <c r="P20" t="s">
        <v>7</v>
      </c>
      <c r="Q20">
        <v>1.64789646047158E-2</v>
      </c>
      <c r="R20" t="s">
        <v>8</v>
      </c>
      <c r="S20">
        <v>0.60946527777777604</v>
      </c>
      <c r="T20" t="s">
        <v>9</v>
      </c>
      <c r="U20">
        <v>-0.51389388692895399</v>
      </c>
      <c r="V20" t="s">
        <v>10</v>
      </c>
      <c r="W20">
        <v>1.27075961813813</v>
      </c>
      <c r="X20" t="s">
        <v>11</v>
      </c>
      <c r="Y20" t="s">
        <v>2935</v>
      </c>
      <c r="Z20" t="s">
        <v>2936</v>
      </c>
      <c r="AA20">
        <v>0</v>
      </c>
      <c r="AB20" t="s">
        <v>14</v>
      </c>
      <c r="AC20" t="s">
        <v>15</v>
      </c>
      <c r="AD20" t="s">
        <v>2937</v>
      </c>
      <c r="AE20" t="s">
        <v>2052</v>
      </c>
      <c r="AF20">
        <v>0</v>
      </c>
      <c r="AG20" t="s">
        <v>18</v>
      </c>
    </row>
    <row r="21" spans="1:33" x14ac:dyDescent="0.3">
      <c r="A21" t="s">
        <v>2538</v>
      </c>
      <c r="B21" t="s">
        <v>587</v>
      </c>
      <c r="C21">
        <v>-5</v>
      </c>
      <c r="D21" t="s">
        <v>588</v>
      </c>
      <c r="E21" t="s">
        <v>589</v>
      </c>
      <c r="F21">
        <v>-7.5</v>
      </c>
      <c r="G21" t="s">
        <v>590</v>
      </c>
      <c r="H21" t="s">
        <v>2539</v>
      </c>
      <c r="I21" t="str">
        <f t="shared" si="0"/>
        <v xml:space="preserve">alltime_{'P' [('number'-5 1) ('number'-7.5 -1)]}_[7 35]_1 </v>
      </c>
      <c r="J21" t="s">
        <v>2540</v>
      </c>
      <c r="K21">
        <v>3073</v>
      </c>
      <c r="L21" t="s">
        <v>5</v>
      </c>
      <c r="M21">
        <v>974</v>
      </c>
      <c r="N21" t="s">
        <v>6</v>
      </c>
      <c r="O21">
        <v>45.235192943331498</v>
      </c>
      <c r="P21" t="s">
        <v>7</v>
      </c>
      <c r="Q21">
        <v>1.4720205969193399E-2</v>
      </c>
      <c r="R21" t="s">
        <v>8</v>
      </c>
      <c r="S21">
        <v>0.82406492753702199</v>
      </c>
      <c r="T21" t="s">
        <v>9</v>
      </c>
      <c r="U21">
        <v>-0.360840422333361</v>
      </c>
      <c r="V21" t="s">
        <v>10</v>
      </c>
      <c r="W21">
        <v>1.4283507315202699</v>
      </c>
      <c r="X21" t="s">
        <v>11</v>
      </c>
      <c r="Y21" t="s">
        <v>690</v>
      </c>
      <c r="Z21" t="s">
        <v>2711</v>
      </c>
      <c r="AA21">
        <v>0</v>
      </c>
      <c r="AB21" t="s">
        <v>14</v>
      </c>
      <c r="AC21" t="s">
        <v>15</v>
      </c>
      <c r="AD21" t="s">
        <v>2946</v>
      </c>
      <c r="AE21" t="s">
        <v>2863</v>
      </c>
      <c r="AF21">
        <v>0</v>
      </c>
      <c r="AG21" t="s">
        <v>18</v>
      </c>
    </row>
    <row r="22" spans="1:33" x14ac:dyDescent="0.3">
      <c r="A22" t="s">
        <v>2538</v>
      </c>
      <c r="B22" t="s">
        <v>587</v>
      </c>
      <c r="C22">
        <v>-2.5</v>
      </c>
      <c r="D22" t="s">
        <v>588</v>
      </c>
      <c r="E22" t="s">
        <v>589</v>
      </c>
      <c r="F22">
        <v>-5</v>
      </c>
      <c r="G22" t="s">
        <v>599</v>
      </c>
      <c r="H22" t="s">
        <v>2916</v>
      </c>
      <c r="I22" t="str">
        <f t="shared" si="0"/>
        <v xml:space="preserve">alltime_{'P' [('number'-2.5 1) ('number'-5 -1)]}_[21 49]_3 </v>
      </c>
      <c r="J22" t="s">
        <v>2540</v>
      </c>
      <c r="K22">
        <v>3050</v>
      </c>
      <c r="L22" t="s">
        <v>5</v>
      </c>
      <c r="M22">
        <v>745</v>
      </c>
      <c r="N22" t="s">
        <v>6</v>
      </c>
      <c r="O22">
        <v>33.198321059262</v>
      </c>
      <c r="P22" t="s">
        <v>7</v>
      </c>
      <c r="Q22">
        <v>1.08846954292662E-2</v>
      </c>
      <c r="R22" t="s">
        <v>8</v>
      </c>
      <c r="S22">
        <v>1.73245637583892</v>
      </c>
      <c r="T22" t="s">
        <v>9</v>
      </c>
      <c r="U22">
        <v>-0.54554519693741199</v>
      </c>
      <c r="V22" t="s">
        <v>10</v>
      </c>
      <c r="W22">
        <v>2.5533243233145599</v>
      </c>
      <c r="X22" t="s">
        <v>11</v>
      </c>
      <c r="Y22" t="s">
        <v>2054</v>
      </c>
      <c r="Z22" t="s">
        <v>91</v>
      </c>
      <c r="AA22">
        <v>0</v>
      </c>
      <c r="AB22" t="s">
        <v>14</v>
      </c>
      <c r="AC22" t="s">
        <v>15</v>
      </c>
      <c r="AD22" t="s">
        <v>2941</v>
      </c>
      <c r="AE22" t="s">
        <v>2693</v>
      </c>
      <c r="AF22">
        <v>0</v>
      </c>
      <c r="AG22" t="s">
        <v>18</v>
      </c>
    </row>
    <row r="23" spans="1:33" s="13" customFormat="1" x14ac:dyDescent="0.3">
      <c r="A23" s="13" t="s">
        <v>2752</v>
      </c>
      <c r="B23" s="13" t="s">
        <v>587</v>
      </c>
      <c r="C23" s="13">
        <v>-2.5</v>
      </c>
      <c r="D23" s="13" t="s">
        <v>588</v>
      </c>
      <c r="E23" s="13" t="s">
        <v>589</v>
      </c>
      <c r="F23" s="13">
        <v>-5</v>
      </c>
      <c r="G23" s="13" t="s">
        <v>599</v>
      </c>
      <c r="H23" s="13" t="s">
        <v>2552</v>
      </c>
      <c r="I23" s="13" t="str">
        <f t="shared" si="0"/>
        <v xml:space="preserve">psar_no_highvol_{'P' [('number'-2.5 1) ('number'-5 -1)]}_[21 49]_2 </v>
      </c>
      <c r="J23" s="13" t="s">
        <v>2540</v>
      </c>
      <c r="K23" s="13">
        <v>130</v>
      </c>
      <c r="L23" s="13" t="s">
        <v>5</v>
      </c>
      <c r="M23" s="13">
        <v>42</v>
      </c>
      <c r="N23" s="13" t="s">
        <v>6</v>
      </c>
      <c r="O23" s="13">
        <v>28.82</v>
      </c>
      <c r="P23" s="13" t="s">
        <v>7</v>
      </c>
      <c r="Q23" s="13">
        <v>0.22169230769230699</v>
      </c>
      <c r="R23" s="13" t="s">
        <v>8</v>
      </c>
      <c r="S23" s="13">
        <v>1.83</v>
      </c>
      <c r="T23" s="13" t="s">
        <v>9</v>
      </c>
      <c r="U23" s="13">
        <v>-0.54590909090909101</v>
      </c>
      <c r="V23" s="13" t="s">
        <v>10</v>
      </c>
      <c r="W23" s="13">
        <v>0.21337666990738199</v>
      </c>
      <c r="X23" s="13" t="s">
        <v>11</v>
      </c>
      <c r="Y23" s="13" t="s">
        <v>3051</v>
      </c>
      <c r="Z23" s="13" t="s">
        <v>2695</v>
      </c>
      <c r="AA23" s="13">
        <v>0</v>
      </c>
      <c r="AB23" s="13" t="s">
        <v>14</v>
      </c>
      <c r="AC23" s="13" t="s">
        <v>15</v>
      </c>
      <c r="AD23" s="13" t="s">
        <v>3051</v>
      </c>
      <c r="AE23" s="13" t="s">
        <v>2695</v>
      </c>
      <c r="AF23" s="13">
        <v>0</v>
      </c>
      <c r="AG23" s="13" t="s">
        <v>18</v>
      </c>
    </row>
    <row r="24" spans="1:33" s="13" customFormat="1" x14ac:dyDescent="0.3">
      <c r="A24" s="13" t="s">
        <v>2538</v>
      </c>
      <c r="B24" s="13" t="s">
        <v>587</v>
      </c>
      <c r="C24" s="13">
        <v>-5</v>
      </c>
      <c r="D24" s="13" t="s">
        <v>588</v>
      </c>
      <c r="E24" s="13" t="s">
        <v>589</v>
      </c>
      <c r="F24" s="13">
        <v>-7.5</v>
      </c>
      <c r="G24" s="13" t="s">
        <v>599</v>
      </c>
      <c r="H24" s="13" t="s">
        <v>2910</v>
      </c>
      <c r="I24" s="13" t="str">
        <f t="shared" si="0"/>
        <v xml:space="preserve">alltime_{'P' [('number'-5 1) ('number'-7.5 -1)]}_[21 49]_0.5 </v>
      </c>
      <c r="J24" s="13" t="s">
        <v>2540</v>
      </c>
      <c r="K24" s="13">
        <v>3050</v>
      </c>
      <c r="L24" s="13" t="s">
        <v>5</v>
      </c>
      <c r="M24" s="13">
        <v>1375</v>
      </c>
      <c r="N24" s="13" t="s">
        <v>6</v>
      </c>
      <c r="O24" s="13">
        <v>27.076864429890399</v>
      </c>
      <c r="P24" s="13" t="s">
        <v>7</v>
      </c>
      <c r="Q24" s="13">
        <v>8.8776604688165402E-3</v>
      </c>
      <c r="R24" s="13" t="s">
        <v>8</v>
      </c>
      <c r="S24" s="13">
        <v>0.51924429884190304</v>
      </c>
      <c r="T24" s="13" t="s">
        <v>9</v>
      </c>
      <c r="U24" s="13">
        <v>-0.41008002774789598</v>
      </c>
      <c r="V24" s="13" t="s">
        <v>10</v>
      </c>
      <c r="W24" s="13">
        <v>1.0320886362014201</v>
      </c>
      <c r="X24" s="13" t="s">
        <v>11</v>
      </c>
      <c r="Y24" s="13" t="s">
        <v>2950</v>
      </c>
      <c r="Z24" s="13" t="s">
        <v>50</v>
      </c>
      <c r="AA24" s="13">
        <v>0</v>
      </c>
      <c r="AB24" s="13" t="s">
        <v>14</v>
      </c>
      <c r="AC24" s="13" t="s">
        <v>15</v>
      </c>
      <c r="AD24" s="13" t="s">
        <v>2951</v>
      </c>
      <c r="AE24" s="13" t="s">
        <v>2052</v>
      </c>
      <c r="AF24" s="13">
        <v>0</v>
      </c>
      <c r="AG24" s="13" t="s">
        <v>18</v>
      </c>
    </row>
    <row r="25" spans="1:33" s="13" customFormat="1" x14ac:dyDescent="0.3">
      <c r="A25" s="13" t="s">
        <v>2858</v>
      </c>
      <c r="B25" s="13" t="s">
        <v>587</v>
      </c>
      <c r="C25" s="13">
        <v>-2.5</v>
      </c>
      <c r="D25" s="13" t="s">
        <v>588</v>
      </c>
      <c r="E25" s="13" t="s">
        <v>589</v>
      </c>
      <c r="F25" s="13">
        <v>-5</v>
      </c>
      <c r="G25" s="13" t="s">
        <v>590</v>
      </c>
      <c r="H25" s="13" t="s">
        <v>2909</v>
      </c>
      <c r="I25" s="13" t="str">
        <f t="shared" si="0"/>
        <v xml:space="preserve">stoch_no_highvol_{'P' [('number'-2.5 1) ('number'-5 -1)]}_[7 35]_3 </v>
      </c>
      <c r="J25" s="13" t="s">
        <v>2540</v>
      </c>
      <c r="K25" s="13">
        <v>334</v>
      </c>
      <c r="L25" s="13" t="s">
        <v>5</v>
      </c>
      <c r="M25" s="13">
        <v>85</v>
      </c>
      <c r="N25" s="13" t="s">
        <v>6</v>
      </c>
      <c r="O25" s="13">
        <v>26.98</v>
      </c>
      <c r="P25" s="13" t="s">
        <v>7</v>
      </c>
      <c r="Q25" s="13">
        <v>8.07784431137724E-2</v>
      </c>
      <c r="R25" s="13" t="s">
        <v>8</v>
      </c>
      <c r="S25" s="13">
        <v>1.71929411764705</v>
      </c>
      <c r="T25" s="13" t="s">
        <v>9</v>
      </c>
      <c r="U25" s="13">
        <v>-0.47855421686746902</v>
      </c>
      <c r="V25" s="13" t="s">
        <v>10</v>
      </c>
      <c r="W25" s="13">
        <v>0.43228656587247299</v>
      </c>
      <c r="X25" s="13" t="s">
        <v>11</v>
      </c>
      <c r="Y25" s="13" t="s">
        <v>3043</v>
      </c>
      <c r="Z25" s="13" t="s">
        <v>2693</v>
      </c>
      <c r="AA25" s="13">
        <v>0</v>
      </c>
      <c r="AB25" s="13" t="s">
        <v>14</v>
      </c>
      <c r="AC25" s="13" t="s">
        <v>15</v>
      </c>
      <c r="AD25" s="13" t="s">
        <v>2801</v>
      </c>
      <c r="AE25" s="13" t="s">
        <v>2754</v>
      </c>
      <c r="AF25" s="13">
        <v>0</v>
      </c>
      <c r="AG25" s="13" t="s">
        <v>18</v>
      </c>
    </row>
    <row r="26" spans="1:33" s="13" customFormat="1" x14ac:dyDescent="0.3">
      <c r="A26" s="13" t="s">
        <v>2752</v>
      </c>
      <c r="B26" s="13" t="s">
        <v>587</v>
      </c>
      <c r="C26" s="13">
        <v>0</v>
      </c>
      <c r="D26" s="13" t="s">
        <v>588</v>
      </c>
      <c r="E26" s="13" t="s">
        <v>589</v>
      </c>
      <c r="F26" s="13">
        <v>-2.5</v>
      </c>
      <c r="G26" s="13" t="s">
        <v>590</v>
      </c>
      <c r="H26" s="13" t="s">
        <v>2543</v>
      </c>
      <c r="I26" s="13" t="str">
        <f t="shared" si="0"/>
        <v xml:space="preserve">psar_no_highvol_{'P' [('number'0 1) ('number'-2.5 -1)]}_[7 35]_2 </v>
      </c>
      <c r="J26" s="13" t="s">
        <v>2540</v>
      </c>
      <c r="K26" s="13">
        <v>125</v>
      </c>
      <c r="L26" s="13" t="s">
        <v>5</v>
      </c>
      <c r="M26" s="13">
        <v>52</v>
      </c>
      <c r="N26" s="13" t="s">
        <v>6</v>
      </c>
      <c r="O26" s="13">
        <v>25.799999999999901</v>
      </c>
      <c r="P26" s="13" t="s">
        <v>7</v>
      </c>
      <c r="Q26" s="13">
        <v>0.206399999999999</v>
      </c>
      <c r="R26" s="13" t="s">
        <v>8</v>
      </c>
      <c r="S26" s="13">
        <v>1.4486538461538401</v>
      </c>
      <c r="T26" s="13" t="s">
        <v>9</v>
      </c>
      <c r="U26" s="13">
        <v>-0.67849315068493099</v>
      </c>
      <c r="V26" s="13" t="s">
        <v>10</v>
      </c>
      <c r="W26" s="13">
        <v>0.205796464292229</v>
      </c>
      <c r="X26" s="13" t="s">
        <v>11</v>
      </c>
      <c r="Y26" s="13" t="s">
        <v>3043</v>
      </c>
      <c r="Z26" s="13" t="s">
        <v>2693</v>
      </c>
      <c r="AA26" s="13">
        <v>0</v>
      </c>
      <c r="AB26" s="13" t="s">
        <v>14</v>
      </c>
      <c r="AC26" s="13" t="s">
        <v>15</v>
      </c>
      <c r="AD26" s="13" t="s">
        <v>3043</v>
      </c>
      <c r="AE26" s="13" t="s">
        <v>2693</v>
      </c>
      <c r="AF26" s="13">
        <v>0</v>
      </c>
      <c r="AG26" s="13" t="s">
        <v>18</v>
      </c>
    </row>
    <row r="27" spans="1:33" s="13" customFormat="1" x14ac:dyDescent="0.3">
      <c r="A27" s="13" t="s">
        <v>2752</v>
      </c>
      <c r="B27" s="13" t="s">
        <v>587</v>
      </c>
      <c r="C27" s="13">
        <v>-5</v>
      </c>
      <c r="D27" s="13" t="s">
        <v>588</v>
      </c>
      <c r="E27" s="13" t="s">
        <v>589</v>
      </c>
      <c r="F27" s="13">
        <v>-7.5</v>
      </c>
      <c r="G27" s="13" t="s">
        <v>599</v>
      </c>
      <c r="H27" s="13" t="s">
        <v>2916</v>
      </c>
      <c r="I27" s="13" t="str">
        <f t="shared" si="0"/>
        <v xml:space="preserve">psar_no_highvol_{'P' [('number'-5 1) ('number'-7.5 -1)]}_[21 49]_3 </v>
      </c>
      <c r="J27" s="13" t="s">
        <v>2540</v>
      </c>
      <c r="K27" s="13">
        <v>130</v>
      </c>
      <c r="L27" s="13" t="s">
        <v>5</v>
      </c>
      <c r="M27" s="13">
        <v>35</v>
      </c>
      <c r="N27" s="13" t="s">
        <v>6</v>
      </c>
      <c r="O27" s="13">
        <v>25.76</v>
      </c>
      <c r="P27" s="13" t="s">
        <v>7</v>
      </c>
      <c r="Q27" s="13">
        <v>0.19815384615384601</v>
      </c>
      <c r="R27" s="13" t="s">
        <v>8</v>
      </c>
      <c r="S27" s="13">
        <v>1.8691428571428499</v>
      </c>
      <c r="T27" s="13" t="s">
        <v>9</v>
      </c>
      <c r="U27" s="13">
        <v>-0.417473684210526</v>
      </c>
      <c r="V27" s="13" t="s">
        <v>10</v>
      </c>
      <c r="W27" s="13">
        <v>0.19676483207401299</v>
      </c>
      <c r="X27" s="13" t="s">
        <v>11</v>
      </c>
      <c r="Y27" s="13" t="s">
        <v>3067</v>
      </c>
      <c r="Z27" s="13" t="s">
        <v>3068</v>
      </c>
      <c r="AA27" s="13">
        <v>0</v>
      </c>
      <c r="AB27" s="13" t="s">
        <v>14</v>
      </c>
      <c r="AC27" s="13" t="s">
        <v>15</v>
      </c>
      <c r="AD27" s="13" t="s">
        <v>3067</v>
      </c>
      <c r="AE27" s="13" t="s">
        <v>3068</v>
      </c>
      <c r="AF27" s="13">
        <v>0</v>
      </c>
      <c r="AG27" s="13" t="s">
        <v>18</v>
      </c>
    </row>
    <row r="28" spans="1:33" s="13" customFormat="1" x14ac:dyDescent="0.3">
      <c r="A28" s="13" t="s">
        <v>2728</v>
      </c>
      <c r="B28" s="13" t="s">
        <v>587</v>
      </c>
      <c r="C28" s="13">
        <v>-5</v>
      </c>
      <c r="D28" s="13" t="s">
        <v>588</v>
      </c>
      <c r="E28" s="13" t="s">
        <v>589</v>
      </c>
      <c r="F28" s="13">
        <v>-7.5</v>
      </c>
      <c r="G28" s="13" t="s">
        <v>599</v>
      </c>
      <c r="H28" s="13" t="s">
        <v>2552</v>
      </c>
      <c r="I28" s="13" t="str">
        <f t="shared" si="0"/>
        <v xml:space="preserve">psar_{'P' [('number'-5 1) ('number'-7.5 -1)]}_[21 49]_2 </v>
      </c>
      <c r="J28" s="13" t="s">
        <v>2540</v>
      </c>
      <c r="K28" s="13">
        <v>140</v>
      </c>
      <c r="L28" s="13" t="s">
        <v>5</v>
      </c>
      <c r="M28" s="13">
        <v>42</v>
      </c>
      <c r="N28" s="13" t="s">
        <v>6</v>
      </c>
      <c r="O28" s="13">
        <v>25.52</v>
      </c>
      <c r="P28" s="13" t="s">
        <v>7</v>
      </c>
      <c r="Q28" s="13">
        <v>0.182285714285714</v>
      </c>
      <c r="R28" s="13" t="s">
        <v>8</v>
      </c>
      <c r="S28" s="13">
        <v>1.5857142857142801</v>
      </c>
      <c r="T28" s="13" t="s">
        <v>9</v>
      </c>
      <c r="U28" s="13">
        <v>-0.41918367346938701</v>
      </c>
      <c r="V28" s="13" t="s">
        <v>10</v>
      </c>
      <c r="W28" s="13">
        <v>0.19289236468545601</v>
      </c>
      <c r="X28" s="13" t="s">
        <v>11</v>
      </c>
      <c r="Y28" s="13" t="s">
        <v>671</v>
      </c>
      <c r="Z28" s="13" t="s">
        <v>3066</v>
      </c>
      <c r="AA28" s="13">
        <v>0</v>
      </c>
      <c r="AB28" s="13" t="s">
        <v>14</v>
      </c>
      <c r="AC28" s="13" t="s">
        <v>15</v>
      </c>
      <c r="AD28" s="13" t="s">
        <v>671</v>
      </c>
      <c r="AE28" s="13" t="s">
        <v>3066</v>
      </c>
      <c r="AF28" s="13">
        <v>0</v>
      </c>
      <c r="AG28" s="13" t="s">
        <v>18</v>
      </c>
    </row>
    <row r="29" spans="1:33" s="13" customFormat="1" x14ac:dyDescent="0.3">
      <c r="A29" s="13" t="s">
        <v>2728</v>
      </c>
      <c r="B29" s="13" t="s">
        <v>587</v>
      </c>
      <c r="C29" s="13">
        <v>0</v>
      </c>
      <c r="D29" s="13" t="s">
        <v>588</v>
      </c>
      <c r="E29" s="13" t="s">
        <v>589</v>
      </c>
      <c r="F29" s="13">
        <v>-2.5</v>
      </c>
      <c r="G29" s="13" t="s">
        <v>590</v>
      </c>
      <c r="H29" s="13" t="s">
        <v>2543</v>
      </c>
      <c r="I29" s="13" t="str">
        <f t="shared" si="0"/>
        <v xml:space="preserve">psar_{'P' [('number'0 1) ('number'-2.5 -1)]}_[7 35]_2 </v>
      </c>
      <c r="J29" s="13" t="s">
        <v>2540</v>
      </c>
      <c r="K29" s="13">
        <v>135</v>
      </c>
      <c r="L29" s="13" t="s">
        <v>5</v>
      </c>
      <c r="M29" s="13">
        <v>55</v>
      </c>
      <c r="N29" s="13" t="s">
        <v>6</v>
      </c>
      <c r="O29" s="13">
        <v>25.4499999999999</v>
      </c>
      <c r="P29" s="13" t="s">
        <v>7</v>
      </c>
      <c r="Q29" s="13">
        <v>0.188518518518518</v>
      </c>
      <c r="R29" s="13" t="s">
        <v>8</v>
      </c>
      <c r="S29" s="13">
        <v>1.45818181818181</v>
      </c>
      <c r="T29" s="13" t="s">
        <v>9</v>
      </c>
      <c r="U29" s="13">
        <v>-0.68437499999999996</v>
      </c>
      <c r="V29" s="13" t="s">
        <v>10</v>
      </c>
      <c r="W29" s="13">
        <v>0.23286077539724501</v>
      </c>
      <c r="X29" s="13" t="s">
        <v>11</v>
      </c>
      <c r="Y29" s="13" t="s">
        <v>3043</v>
      </c>
      <c r="Z29" s="13" t="s">
        <v>2693</v>
      </c>
      <c r="AA29" s="13">
        <v>0</v>
      </c>
      <c r="AB29" s="13" t="s">
        <v>14</v>
      </c>
      <c r="AC29" s="13" t="s">
        <v>15</v>
      </c>
      <c r="AD29" s="13" t="s">
        <v>3043</v>
      </c>
      <c r="AE29" s="13" t="s">
        <v>2693</v>
      </c>
      <c r="AF29" s="13">
        <v>0</v>
      </c>
      <c r="AG29" s="13" t="s">
        <v>18</v>
      </c>
    </row>
    <row r="30" spans="1:33" s="13" customFormat="1" x14ac:dyDescent="0.3">
      <c r="A30" s="13" t="s">
        <v>2811</v>
      </c>
      <c r="B30" s="13" t="s">
        <v>587</v>
      </c>
      <c r="C30" s="13">
        <v>-5</v>
      </c>
      <c r="D30" s="13" t="s">
        <v>588</v>
      </c>
      <c r="E30" s="13" t="s">
        <v>589</v>
      </c>
      <c r="F30" s="13">
        <v>-7.5</v>
      </c>
      <c r="G30" s="13" t="s">
        <v>590</v>
      </c>
      <c r="H30" s="13" t="s">
        <v>2539</v>
      </c>
      <c r="I30" s="13" t="str">
        <f t="shared" si="0"/>
        <v xml:space="preserve">stoch_{'P' [('number'-5 1) ('number'-7.5 -1)]}_[7 35]_1 </v>
      </c>
      <c r="J30" s="13" t="s">
        <v>2540</v>
      </c>
      <c r="K30" s="13">
        <v>375</v>
      </c>
      <c r="L30" s="13" t="s">
        <v>5</v>
      </c>
      <c r="M30" s="13">
        <v>117</v>
      </c>
      <c r="N30" s="13" t="s">
        <v>6</v>
      </c>
      <c r="O30" s="13">
        <v>25.309999999999899</v>
      </c>
      <c r="P30" s="13" t="s">
        <v>7</v>
      </c>
      <c r="Q30" s="13">
        <v>6.74933333333331E-2</v>
      </c>
      <c r="R30" s="13" t="s">
        <v>8</v>
      </c>
      <c r="S30" s="13">
        <v>0.97222222222222099</v>
      </c>
      <c r="T30" s="13" t="s">
        <v>9</v>
      </c>
      <c r="U30" s="13">
        <v>-0.342790697674418</v>
      </c>
      <c r="V30" s="13" t="s">
        <v>10</v>
      </c>
      <c r="W30" s="13">
        <v>0.40834914301418002</v>
      </c>
      <c r="X30" s="13" t="s">
        <v>11</v>
      </c>
      <c r="Y30" s="13" t="s">
        <v>2931</v>
      </c>
      <c r="Z30" s="13" t="s">
        <v>2863</v>
      </c>
      <c r="AA30" s="13">
        <v>0</v>
      </c>
      <c r="AB30" s="13" t="s">
        <v>14</v>
      </c>
      <c r="AC30" s="13" t="s">
        <v>15</v>
      </c>
      <c r="AD30" s="13" t="s">
        <v>3157</v>
      </c>
      <c r="AE30" s="13" t="s">
        <v>2418</v>
      </c>
      <c r="AF30" s="13">
        <v>0</v>
      </c>
      <c r="AG30" s="13" t="s">
        <v>18</v>
      </c>
    </row>
    <row r="31" spans="1:33" s="13" customFormat="1" x14ac:dyDescent="0.3">
      <c r="A31" s="13" t="s">
        <v>2728</v>
      </c>
      <c r="B31" s="13" t="s">
        <v>587</v>
      </c>
      <c r="C31" s="13">
        <v>-2.5</v>
      </c>
      <c r="D31" s="13" t="s">
        <v>588</v>
      </c>
      <c r="E31" s="13" t="s">
        <v>589</v>
      </c>
      <c r="F31" s="13">
        <v>-5</v>
      </c>
      <c r="G31" s="13" t="s">
        <v>599</v>
      </c>
      <c r="H31" s="13" t="s">
        <v>2552</v>
      </c>
      <c r="I31" s="13" t="str">
        <f t="shared" si="0"/>
        <v xml:space="preserve">psar_{'P' [('number'-2.5 1) ('number'-5 -1)]}_[21 49]_2 </v>
      </c>
      <c r="J31" s="13" t="s">
        <v>2540</v>
      </c>
      <c r="K31" s="13">
        <v>140</v>
      </c>
      <c r="L31" s="13" t="s">
        <v>5</v>
      </c>
      <c r="M31" s="13">
        <v>43</v>
      </c>
      <c r="N31" s="13" t="s">
        <v>6</v>
      </c>
      <c r="O31" s="13">
        <v>24.749999999999901</v>
      </c>
      <c r="P31" s="13" t="s">
        <v>7</v>
      </c>
      <c r="Q31" s="13">
        <v>0.17678571428571399</v>
      </c>
      <c r="R31" s="13" t="s">
        <v>8</v>
      </c>
      <c r="S31" s="13">
        <v>1.8269767441860401</v>
      </c>
      <c r="T31" s="13" t="s">
        <v>9</v>
      </c>
      <c r="U31" s="13">
        <v>-0.55474226804123705</v>
      </c>
      <c r="V31" s="13" t="s">
        <v>10</v>
      </c>
      <c r="W31" s="13">
        <v>0.23339359401244</v>
      </c>
      <c r="X31" s="13" t="s">
        <v>11</v>
      </c>
      <c r="Y31" s="13" t="s">
        <v>3051</v>
      </c>
      <c r="Z31" s="13" t="s">
        <v>2695</v>
      </c>
      <c r="AA31" s="13">
        <v>0</v>
      </c>
      <c r="AB31" s="13" t="s">
        <v>14</v>
      </c>
      <c r="AC31" s="13" t="s">
        <v>15</v>
      </c>
      <c r="AD31" s="13" t="s">
        <v>3051</v>
      </c>
      <c r="AE31" s="13" t="s">
        <v>2695</v>
      </c>
      <c r="AF31" s="13">
        <v>0</v>
      </c>
      <c r="AG31" s="13" t="s">
        <v>18</v>
      </c>
    </row>
    <row r="32" spans="1:33" s="13" customFormat="1" x14ac:dyDescent="0.3">
      <c r="A32" s="13" t="s">
        <v>2752</v>
      </c>
      <c r="B32" s="13" t="s">
        <v>587</v>
      </c>
      <c r="C32" s="13">
        <v>0</v>
      </c>
      <c r="D32" s="13" t="s">
        <v>588</v>
      </c>
      <c r="E32" s="13" t="s">
        <v>589</v>
      </c>
      <c r="F32" s="13">
        <v>-2.5</v>
      </c>
      <c r="G32" s="13" t="s">
        <v>590</v>
      </c>
      <c r="H32" s="13" t="s">
        <v>2909</v>
      </c>
      <c r="I32" s="13" t="str">
        <f t="shared" si="0"/>
        <v xml:space="preserve">psar_no_highvol_{'P' [('number'0 1) ('number'-2.5 -1)]}_[7 35]_3 </v>
      </c>
      <c r="J32" s="13" t="s">
        <v>2540</v>
      </c>
      <c r="K32" s="13">
        <v>125</v>
      </c>
      <c r="L32" s="13" t="s">
        <v>5</v>
      </c>
      <c r="M32" s="13">
        <v>52</v>
      </c>
      <c r="N32" s="13" t="s">
        <v>6</v>
      </c>
      <c r="O32" s="13">
        <v>24.349999999999898</v>
      </c>
      <c r="P32" s="13" t="s">
        <v>7</v>
      </c>
      <c r="Q32" s="13">
        <v>0.194799999999999</v>
      </c>
      <c r="R32" s="13" t="s">
        <v>8</v>
      </c>
      <c r="S32" s="13">
        <v>1.4207692307692299</v>
      </c>
      <c r="T32" s="13" t="s">
        <v>9</v>
      </c>
      <c r="U32" s="13">
        <v>-0.67849315068493099</v>
      </c>
      <c r="V32" s="13" t="s">
        <v>10</v>
      </c>
      <c r="W32" s="13">
        <v>0.21350687815654401</v>
      </c>
      <c r="X32" s="13" t="s">
        <v>11</v>
      </c>
      <c r="Y32" s="13" t="s">
        <v>3044</v>
      </c>
      <c r="Z32" s="13" t="s">
        <v>284</v>
      </c>
      <c r="AA32" s="13">
        <v>0</v>
      </c>
      <c r="AB32" s="13" t="s">
        <v>14</v>
      </c>
      <c r="AC32" s="13" t="s">
        <v>15</v>
      </c>
      <c r="AD32" s="13" t="s">
        <v>3044</v>
      </c>
      <c r="AE32" s="13" t="s">
        <v>284</v>
      </c>
      <c r="AF32" s="13">
        <v>0</v>
      </c>
      <c r="AG32" s="13" t="s">
        <v>18</v>
      </c>
    </row>
    <row r="33" spans="1:33" s="13" customFormat="1" x14ac:dyDescent="0.3">
      <c r="A33" s="13" t="s">
        <v>2752</v>
      </c>
      <c r="B33" s="13" t="s">
        <v>587</v>
      </c>
      <c r="C33" s="13">
        <v>-5</v>
      </c>
      <c r="D33" s="13" t="s">
        <v>588</v>
      </c>
      <c r="E33" s="13" t="s">
        <v>589</v>
      </c>
      <c r="F33" s="13">
        <v>-7.5</v>
      </c>
      <c r="G33" s="13" t="s">
        <v>599</v>
      </c>
      <c r="H33" s="13" t="s">
        <v>2552</v>
      </c>
      <c r="I33" s="13" t="str">
        <f t="shared" si="0"/>
        <v xml:space="preserve">psar_no_highvol_{'P' [('number'-5 1) ('number'-7.5 -1)]}_[21 49]_2 </v>
      </c>
      <c r="J33" s="13" t="s">
        <v>2540</v>
      </c>
      <c r="K33" s="13">
        <v>130</v>
      </c>
      <c r="L33" s="13" t="s">
        <v>5</v>
      </c>
      <c r="M33" s="13">
        <v>39</v>
      </c>
      <c r="N33" s="13" t="s">
        <v>6</v>
      </c>
      <c r="O33" s="13">
        <v>24.25</v>
      </c>
      <c r="P33" s="13" t="s">
        <v>7</v>
      </c>
      <c r="Q33" s="13">
        <v>0.18653846153846099</v>
      </c>
      <c r="R33" s="13" t="s">
        <v>8</v>
      </c>
      <c r="S33" s="13">
        <v>1.58717948717948</v>
      </c>
      <c r="T33" s="13" t="s">
        <v>9</v>
      </c>
      <c r="U33" s="13">
        <v>-0.41373626373626299</v>
      </c>
      <c r="V33" s="13" t="s">
        <v>10</v>
      </c>
      <c r="W33" s="13">
        <v>0.17451430871169099</v>
      </c>
      <c r="X33" s="13" t="s">
        <v>11</v>
      </c>
      <c r="Y33" s="13" t="s">
        <v>671</v>
      </c>
      <c r="Z33" s="13" t="s">
        <v>3066</v>
      </c>
      <c r="AA33" s="13">
        <v>0</v>
      </c>
      <c r="AB33" s="13" t="s">
        <v>14</v>
      </c>
      <c r="AC33" s="13" t="s">
        <v>15</v>
      </c>
      <c r="AD33" s="13" t="s">
        <v>671</v>
      </c>
      <c r="AE33" s="13" t="s">
        <v>3066</v>
      </c>
      <c r="AF33" s="13">
        <v>0</v>
      </c>
      <c r="AG33" s="13" t="s">
        <v>18</v>
      </c>
    </row>
    <row r="34" spans="1:33" s="13" customFormat="1" x14ac:dyDescent="0.3">
      <c r="A34" s="13" t="s">
        <v>2728</v>
      </c>
      <c r="B34" s="13" t="s">
        <v>587</v>
      </c>
      <c r="C34" s="13">
        <v>0</v>
      </c>
      <c r="D34" s="13" t="s">
        <v>588</v>
      </c>
      <c r="E34" s="13" t="s">
        <v>589</v>
      </c>
      <c r="F34" s="13">
        <v>-2.5</v>
      </c>
      <c r="G34" s="13" t="s">
        <v>590</v>
      </c>
      <c r="H34" s="13" t="s">
        <v>2909</v>
      </c>
      <c r="I34" s="13" t="str">
        <f t="shared" si="0"/>
        <v xml:space="preserve">psar_{'P' [('number'0 1) ('number'-2.5 -1)]}_[7 35]_3 </v>
      </c>
      <c r="J34" s="13" t="s">
        <v>2540</v>
      </c>
      <c r="K34" s="13">
        <v>135</v>
      </c>
      <c r="L34" s="13" t="s">
        <v>5</v>
      </c>
      <c r="M34" s="13">
        <v>55</v>
      </c>
      <c r="N34" s="13" t="s">
        <v>6</v>
      </c>
      <c r="O34" s="13">
        <v>23.999999999999901</v>
      </c>
      <c r="P34" s="13" t="s">
        <v>7</v>
      </c>
      <c r="Q34" s="13">
        <v>0.17777777777777701</v>
      </c>
      <c r="R34" s="13" t="s">
        <v>8</v>
      </c>
      <c r="S34" s="13">
        <v>1.4318181818181801</v>
      </c>
      <c r="T34" s="13" t="s">
        <v>9</v>
      </c>
      <c r="U34" s="13">
        <v>-0.68437499999999996</v>
      </c>
      <c r="V34" s="13" t="s">
        <v>10</v>
      </c>
      <c r="W34" s="13">
        <v>0.24019908064373</v>
      </c>
      <c r="X34" s="13" t="s">
        <v>11</v>
      </c>
      <c r="Y34" s="13" t="s">
        <v>3044</v>
      </c>
      <c r="Z34" s="13" t="s">
        <v>284</v>
      </c>
      <c r="AA34" s="13">
        <v>0</v>
      </c>
      <c r="AB34" s="13" t="s">
        <v>14</v>
      </c>
      <c r="AC34" s="13" t="s">
        <v>15</v>
      </c>
      <c r="AD34" s="13" t="s">
        <v>3044</v>
      </c>
      <c r="AE34" s="13" t="s">
        <v>284</v>
      </c>
      <c r="AF34" s="13">
        <v>0</v>
      </c>
      <c r="AG34" s="13" t="s">
        <v>18</v>
      </c>
    </row>
    <row r="35" spans="1:33" s="13" customFormat="1" x14ac:dyDescent="0.3">
      <c r="A35" s="13" t="s">
        <v>2728</v>
      </c>
      <c r="B35" s="13" t="s">
        <v>587</v>
      </c>
      <c r="C35" s="13">
        <v>0</v>
      </c>
      <c r="D35" s="13" t="s">
        <v>588</v>
      </c>
      <c r="E35" s="13" t="s">
        <v>589</v>
      </c>
      <c r="F35" s="13">
        <v>-2.5</v>
      </c>
      <c r="G35" s="13" t="s">
        <v>590</v>
      </c>
      <c r="H35" s="13" t="s">
        <v>2539</v>
      </c>
      <c r="I35" s="13" t="str">
        <f t="shared" si="0"/>
        <v xml:space="preserve">psar_{'P' [('number'0 1) ('number'-2.5 -1)]}_[7 35]_1 </v>
      </c>
      <c r="J35" s="13" t="s">
        <v>2540</v>
      </c>
      <c r="K35" s="13">
        <v>135</v>
      </c>
      <c r="L35" s="13" t="s">
        <v>5</v>
      </c>
      <c r="M35" s="13">
        <v>60</v>
      </c>
      <c r="N35" s="13" t="s">
        <v>6</v>
      </c>
      <c r="O35" s="13">
        <v>23.82</v>
      </c>
      <c r="P35" s="13" t="s">
        <v>7</v>
      </c>
      <c r="Q35" s="13">
        <v>0.17644444444444399</v>
      </c>
      <c r="R35" s="13" t="s">
        <v>8</v>
      </c>
      <c r="S35" s="13">
        <v>1.2491666666666601</v>
      </c>
      <c r="T35" s="13" t="s">
        <v>9</v>
      </c>
      <c r="U35" s="13">
        <v>-0.68173333333333297</v>
      </c>
      <c r="V35" s="13" t="s">
        <v>10</v>
      </c>
      <c r="W35" s="13">
        <v>0.20772060894135499</v>
      </c>
      <c r="X35" s="13" t="s">
        <v>11</v>
      </c>
      <c r="Y35" s="13" t="s">
        <v>3042</v>
      </c>
      <c r="Z35" s="13" t="s">
        <v>2711</v>
      </c>
      <c r="AA35" s="13">
        <v>0</v>
      </c>
      <c r="AB35" s="13" t="s">
        <v>14</v>
      </c>
      <c r="AC35" s="13" t="s">
        <v>15</v>
      </c>
      <c r="AD35" s="13" t="s">
        <v>2294</v>
      </c>
      <c r="AE35" s="13" t="s">
        <v>1237</v>
      </c>
      <c r="AF35" s="13">
        <v>0</v>
      </c>
      <c r="AG35" s="13" t="s">
        <v>18</v>
      </c>
    </row>
    <row r="36" spans="1:33" s="13" customFormat="1" x14ac:dyDescent="0.3">
      <c r="A36" s="13" t="s">
        <v>2728</v>
      </c>
      <c r="B36" s="13" t="s">
        <v>587</v>
      </c>
      <c r="C36" s="13">
        <v>-5</v>
      </c>
      <c r="D36" s="13" t="s">
        <v>588</v>
      </c>
      <c r="E36" s="13" t="s">
        <v>589</v>
      </c>
      <c r="F36" s="13">
        <v>-7.5</v>
      </c>
      <c r="G36" s="13" t="s">
        <v>599</v>
      </c>
      <c r="H36" s="13" t="s">
        <v>2916</v>
      </c>
      <c r="I36" s="13" t="str">
        <f t="shared" si="0"/>
        <v xml:space="preserve">psar_{'P' [('number'-5 1) ('number'-7.5 -1)]}_[21 49]_3 </v>
      </c>
      <c r="J36" s="13" t="s">
        <v>2540</v>
      </c>
      <c r="K36" s="13">
        <v>140</v>
      </c>
      <c r="L36" s="13" t="s">
        <v>5</v>
      </c>
      <c r="M36" s="13">
        <v>36</v>
      </c>
      <c r="N36" s="13" t="s">
        <v>6</v>
      </c>
      <c r="O36" s="13">
        <v>23.19</v>
      </c>
      <c r="P36" s="13" t="s">
        <v>7</v>
      </c>
      <c r="Q36" s="13">
        <v>0.16564285714285701</v>
      </c>
      <c r="R36" s="13" t="s">
        <v>8</v>
      </c>
      <c r="S36" s="13">
        <v>1.8686111111111099</v>
      </c>
      <c r="T36" s="13" t="s">
        <v>9</v>
      </c>
      <c r="U36" s="13">
        <v>-0.42384615384615298</v>
      </c>
      <c r="V36" s="13" t="s">
        <v>10</v>
      </c>
      <c r="W36" s="13">
        <v>0.217238210529165</v>
      </c>
      <c r="X36" s="13" t="s">
        <v>11</v>
      </c>
      <c r="Y36" s="13" t="s">
        <v>3067</v>
      </c>
      <c r="Z36" s="13" t="s">
        <v>3068</v>
      </c>
      <c r="AA36" s="13">
        <v>0</v>
      </c>
      <c r="AB36" s="13" t="s">
        <v>14</v>
      </c>
      <c r="AC36" s="13" t="s">
        <v>15</v>
      </c>
      <c r="AD36" s="13" t="s">
        <v>3067</v>
      </c>
      <c r="AE36" s="13" t="s">
        <v>3068</v>
      </c>
      <c r="AF36" s="13">
        <v>0</v>
      </c>
      <c r="AG36" s="13" t="s">
        <v>18</v>
      </c>
    </row>
    <row r="37" spans="1:33" x14ac:dyDescent="0.3">
      <c r="A37" t="s">
        <v>2858</v>
      </c>
      <c r="B37" t="s">
        <v>587</v>
      </c>
      <c r="C37">
        <v>-2.5</v>
      </c>
      <c r="D37" t="s">
        <v>588</v>
      </c>
      <c r="E37" t="s">
        <v>589</v>
      </c>
      <c r="F37">
        <v>-5</v>
      </c>
      <c r="G37" t="s">
        <v>590</v>
      </c>
      <c r="H37" t="s">
        <v>2543</v>
      </c>
      <c r="I37" t="str">
        <f t="shared" si="0"/>
        <v xml:space="preserve">stoch_no_highvol_{'P' [('number'-2.5 1) ('number'-5 -1)]}_[7 35]_2 </v>
      </c>
      <c r="J37" t="s">
        <v>2540</v>
      </c>
      <c r="K37">
        <v>334</v>
      </c>
      <c r="L37" t="s">
        <v>5</v>
      </c>
      <c r="M37">
        <v>88</v>
      </c>
      <c r="N37" t="s">
        <v>6</v>
      </c>
      <c r="O37">
        <v>22.42</v>
      </c>
      <c r="P37" t="s">
        <v>7</v>
      </c>
      <c r="Q37">
        <v>6.7125748502994007E-2</v>
      </c>
      <c r="R37" t="s">
        <v>8</v>
      </c>
      <c r="S37">
        <v>1.5968181818181799</v>
      </c>
      <c r="T37" t="s">
        <v>9</v>
      </c>
      <c r="U37">
        <v>-0.48008130081300798</v>
      </c>
      <c r="V37" t="s">
        <v>10</v>
      </c>
      <c r="W37">
        <v>0.41315574455073301</v>
      </c>
      <c r="X37" t="s">
        <v>11</v>
      </c>
      <c r="Y37" t="s">
        <v>2989</v>
      </c>
      <c r="Z37" t="s">
        <v>2990</v>
      </c>
      <c r="AA37">
        <v>0</v>
      </c>
      <c r="AB37" t="s">
        <v>14</v>
      </c>
      <c r="AC37" t="s">
        <v>15</v>
      </c>
      <c r="AD37" t="s">
        <v>2801</v>
      </c>
      <c r="AE37" t="s">
        <v>2754</v>
      </c>
      <c r="AF37">
        <v>0</v>
      </c>
      <c r="AG37" t="s">
        <v>18</v>
      </c>
    </row>
    <row r="38" spans="1:33" x14ac:dyDescent="0.3">
      <c r="A38" t="s">
        <v>2752</v>
      </c>
      <c r="B38" t="s">
        <v>587</v>
      </c>
      <c r="C38">
        <v>0</v>
      </c>
      <c r="D38" t="s">
        <v>588</v>
      </c>
      <c r="E38" t="s">
        <v>589</v>
      </c>
      <c r="F38">
        <v>-2.5</v>
      </c>
      <c r="G38" t="s">
        <v>590</v>
      </c>
      <c r="H38" t="s">
        <v>2539</v>
      </c>
      <c r="I38" t="str">
        <f t="shared" si="0"/>
        <v xml:space="preserve">psar_no_highvol_{'P' [('number'0 1) ('number'-2.5 -1)]}_[7 35]_1 </v>
      </c>
      <c r="J38" t="s">
        <v>2540</v>
      </c>
      <c r="K38">
        <v>125</v>
      </c>
      <c r="L38" t="s">
        <v>5</v>
      </c>
      <c r="M38">
        <v>56</v>
      </c>
      <c r="N38" t="s">
        <v>6</v>
      </c>
      <c r="O38">
        <v>22.3799999999999</v>
      </c>
      <c r="P38" t="s">
        <v>7</v>
      </c>
      <c r="Q38">
        <v>0.17903999999999901</v>
      </c>
      <c r="R38" t="s">
        <v>8</v>
      </c>
      <c r="S38">
        <v>1.23464285714285</v>
      </c>
      <c r="T38" t="s">
        <v>9</v>
      </c>
      <c r="U38">
        <v>-0.67768115942028995</v>
      </c>
      <c r="V38" t="s">
        <v>10</v>
      </c>
      <c r="W38">
        <v>0.18300622362369301</v>
      </c>
      <c r="X38" t="s">
        <v>11</v>
      </c>
      <c r="Y38" t="s">
        <v>3042</v>
      </c>
      <c r="Z38" t="s">
        <v>2711</v>
      </c>
      <c r="AA38">
        <v>0</v>
      </c>
      <c r="AB38" t="s">
        <v>14</v>
      </c>
      <c r="AC38" t="s">
        <v>15</v>
      </c>
      <c r="AD38" t="s">
        <v>2294</v>
      </c>
      <c r="AE38" t="s">
        <v>1237</v>
      </c>
      <c r="AF38">
        <v>0</v>
      </c>
      <c r="AG38" t="s">
        <v>18</v>
      </c>
    </row>
    <row r="39" spans="1:33" x14ac:dyDescent="0.3">
      <c r="A39" t="s">
        <v>2752</v>
      </c>
      <c r="B39" t="s">
        <v>587</v>
      </c>
      <c r="C39">
        <v>-2.5</v>
      </c>
      <c r="D39" t="s">
        <v>588</v>
      </c>
      <c r="E39" t="s">
        <v>589</v>
      </c>
      <c r="F39">
        <v>-5</v>
      </c>
      <c r="G39" t="s">
        <v>599</v>
      </c>
      <c r="H39" t="s">
        <v>2916</v>
      </c>
      <c r="I39" t="str">
        <f t="shared" si="0"/>
        <v xml:space="preserve">psar_no_highvol_{'P' [('number'-2.5 1) ('number'-5 -1)]}_[21 49]_3 </v>
      </c>
      <c r="J39" t="s">
        <v>2540</v>
      </c>
      <c r="K39">
        <v>130</v>
      </c>
      <c r="L39" t="s">
        <v>5</v>
      </c>
      <c r="M39">
        <v>38</v>
      </c>
      <c r="N39" t="s">
        <v>6</v>
      </c>
      <c r="O39">
        <v>21.07</v>
      </c>
      <c r="P39" t="s">
        <v>7</v>
      </c>
      <c r="Q39">
        <v>0.16207692307692301</v>
      </c>
      <c r="R39" t="s">
        <v>8</v>
      </c>
      <c r="S39">
        <v>1.9228947368421001</v>
      </c>
      <c r="T39" t="s">
        <v>9</v>
      </c>
      <c r="U39">
        <v>-0.56521739130434701</v>
      </c>
      <c r="V39" t="s">
        <v>10</v>
      </c>
      <c r="W39">
        <v>0.237945940159349</v>
      </c>
      <c r="X39" t="s">
        <v>11</v>
      </c>
      <c r="Y39" t="s">
        <v>3052</v>
      </c>
      <c r="Z39" t="s">
        <v>284</v>
      </c>
      <c r="AA39">
        <v>0</v>
      </c>
      <c r="AB39" t="s">
        <v>14</v>
      </c>
      <c r="AC39" t="s">
        <v>15</v>
      </c>
      <c r="AD39" t="s">
        <v>3052</v>
      </c>
      <c r="AE39" t="s">
        <v>284</v>
      </c>
      <c r="AF39">
        <v>0</v>
      </c>
      <c r="AG39" t="s">
        <v>18</v>
      </c>
    </row>
    <row r="40" spans="1:33" x14ac:dyDescent="0.3">
      <c r="A40" t="s">
        <v>2858</v>
      </c>
      <c r="B40" t="s">
        <v>587</v>
      </c>
      <c r="C40">
        <v>0</v>
      </c>
      <c r="D40" t="s">
        <v>588</v>
      </c>
      <c r="E40" t="s">
        <v>589</v>
      </c>
      <c r="F40">
        <v>-2.5</v>
      </c>
      <c r="G40" t="s">
        <v>590</v>
      </c>
      <c r="H40" t="s">
        <v>2543</v>
      </c>
      <c r="I40" t="str">
        <f t="shared" si="0"/>
        <v xml:space="preserve">stoch_no_highvol_{'P' [('number'0 1) ('number'-2.5 -1)]}_[7 35]_2 </v>
      </c>
      <c r="J40" t="s">
        <v>2540</v>
      </c>
      <c r="K40">
        <v>334</v>
      </c>
      <c r="L40" t="s">
        <v>5</v>
      </c>
      <c r="M40">
        <v>112</v>
      </c>
      <c r="N40" t="s">
        <v>6</v>
      </c>
      <c r="O40">
        <v>20.189999999999799</v>
      </c>
      <c r="P40" t="s">
        <v>7</v>
      </c>
      <c r="Q40">
        <v>6.0449101796406599E-2</v>
      </c>
      <c r="R40" t="s">
        <v>8</v>
      </c>
      <c r="S40">
        <v>1.4721428571428501</v>
      </c>
      <c r="T40" t="s">
        <v>9</v>
      </c>
      <c r="U40">
        <v>-0.65175675675675704</v>
      </c>
      <c r="V40" t="s">
        <v>10</v>
      </c>
      <c r="W40">
        <v>0.470304560688869</v>
      </c>
      <c r="X40" t="s">
        <v>11</v>
      </c>
      <c r="Y40" t="s">
        <v>1391</v>
      </c>
      <c r="Z40" t="s">
        <v>3147</v>
      </c>
      <c r="AA40">
        <v>0</v>
      </c>
      <c r="AB40" t="s">
        <v>14</v>
      </c>
      <c r="AC40" t="s">
        <v>15</v>
      </c>
      <c r="AD40" t="s">
        <v>3146</v>
      </c>
      <c r="AE40" t="s">
        <v>1431</v>
      </c>
      <c r="AF40">
        <v>0</v>
      </c>
      <c r="AG40" t="s">
        <v>18</v>
      </c>
    </row>
    <row r="41" spans="1:33" x14ac:dyDescent="0.3">
      <c r="A41" t="s">
        <v>2811</v>
      </c>
      <c r="B41" t="s">
        <v>587</v>
      </c>
      <c r="C41">
        <v>0</v>
      </c>
      <c r="D41" t="s">
        <v>588</v>
      </c>
      <c r="E41" t="s">
        <v>589</v>
      </c>
      <c r="F41">
        <v>-2.5</v>
      </c>
      <c r="G41" t="s">
        <v>590</v>
      </c>
      <c r="H41" t="s">
        <v>2543</v>
      </c>
      <c r="I41" t="str">
        <f t="shared" si="0"/>
        <v xml:space="preserve">stoch_{'P' [('number'0 1) ('number'-2.5 -1)]}_[7 35]_2 </v>
      </c>
      <c r="J41" t="s">
        <v>2540</v>
      </c>
      <c r="K41">
        <v>375</v>
      </c>
      <c r="L41" t="s">
        <v>5</v>
      </c>
      <c r="M41">
        <v>126</v>
      </c>
      <c r="N41" t="s">
        <v>6</v>
      </c>
      <c r="O41">
        <v>20.069999999999698</v>
      </c>
      <c r="P41" t="s">
        <v>7</v>
      </c>
      <c r="Q41">
        <v>5.3519999999999297E-2</v>
      </c>
      <c r="R41" t="s">
        <v>8</v>
      </c>
      <c r="S41">
        <v>1.45730158730158</v>
      </c>
      <c r="T41" t="s">
        <v>9</v>
      </c>
      <c r="U41">
        <v>-0.65682730923694799</v>
      </c>
      <c r="V41" t="s">
        <v>10</v>
      </c>
      <c r="W41">
        <v>0.53320460420494797</v>
      </c>
      <c r="X41" t="s">
        <v>11</v>
      </c>
      <c r="Y41" t="s">
        <v>1391</v>
      </c>
      <c r="Z41" t="s">
        <v>3147</v>
      </c>
      <c r="AA41">
        <v>0</v>
      </c>
      <c r="AB41" t="s">
        <v>14</v>
      </c>
      <c r="AC41" t="s">
        <v>15</v>
      </c>
      <c r="AD41" t="s">
        <v>3146</v>
      </c>
      <c r="AE41" t="s">
        <v>1431</v>
      </c>
      <c r="AF41">
        <v>0</v>
      </c>
      <c r="AG41" t="s">
        <v>18</v>
      </c>
    </row>
    <row r="42" spans="1:33" x14ac:dyDescent="0.3">
      <c r="A42" t="s">
        <v>2538</v>
      </c>
      <c r="B42" t="s">
        <v>587</v>
      </c>
      <c r="C42">
        <v>-5</v>
      </c>
      <c r="D42" t="s">
        <v>588</v>
      </c>
      <c r="E42" t="s">
        <v>589</v>
      </c>
      <c r="F42">
        <v>-7.5</v>
      </c>
      <c r="G42" t="s">
        <v>590</v>
      </c>
      <c r="H42" t="s">
        <v>2902</v>
      </c>
      <c r="I42" t="str">
        <f t="shared" si="0"/>
        <v xml:space="preserve">alltime_{'P' [('number'-5 1) ('number'-7.5 -1)]}_[7 35]_0.5 </v>
      </c>
      <c r="J42" t="s">
        <v>2540</v>
      </c>
      <c r="K42">
        <v>3073</v>
      </c>
      <c r="L42" t="s">
        <v>5</v>
      </c>
      <c r="M42">
        <v>1303</v>
      </c>
      <c r="N42" t="s">
        <v>6</v>
      </c>
      <c r="O42">
        <v>20.0251929433316</v>
      </c>
      <c r="P42" t="s">
        <v>7</v>
      </c>
      <c r="Q42">
        <v>6.5164962392878596E-3</v>
      </c>
      <c r="R42" t="s">
        <v>8</v>
      </c>
      <c r="S42">
        <v>0.497259585127443</v>
      </c>
      <c r="T42" t="s">
        <v>9</v>
      </c>
      <c r="U42">
        <v>-0.35474804885747202</v>
      </c>
      <c r="V42" t="s">
        <v>10</v>
      </c>
      <c r="W42">
        <v>0.981372013751732</v>
      </c>
      <c r="X42" t="s">
        <v>11</v>
      </c>
      <c r="Y42" t="s">
        <v>775</v>
      </c>
      <c r="Z42" t="s">
        <v>2863</v>
      </c>
      <c r="AA42">
        <v>0</v>
      </c>
      <c r="AB42" t="s">
        <v>14</v>
      </c>
      <c r="AC42" t="s">
        <v>15</v>
      </c>
      <c r="AD42" t="s">
        <v>2662</v>
      </c>
      <c r="AE42" t="s">
        <v>2418</v>
      </c>
      <c r="AF42">
        <v>0</v>
      </c>
      <c r="AG42" t="s">
        <v>18</v>
      </c>
    </row>
    <row r="43" spans="1:33" x14ac:dyDescent="0.3">
      <c r="A43" t="s">
        <v>2777</v>
      </c>
      <c r="B43" t="s">
        <v>587</v>
      </c>
      <c r="C43">
        <v>-2.5</v>
      </c>
      <c r="D43" t="s">
        <v>588</v>
      </c>
      <c r="E43" t="s">
        <v>589</v>
      </c>
      <c r="F43">
        <v>-5</v>
      </c>
      <c r="G43" t="s">
        <v>1998</v>
      </c>
      <c r="H43" t="s">
        <v>2559</v>
      </c>
      <c r="I43" t="str">
        <f t="shared" si="0"/>
        <v xml:space="preserve">rsi_{'P' [('number'-2.5 1) ('number'-5 -1)]}_[42 70]_1 </v>
      </c>
      <c r="J43" t="s">
        <v>2540</v>
      </c>
      <c r="K43">
        <v>127</v>
      </c>
      <c r="L43" t="s">
        <v>5</v>
      </c>
      <c r="M43">
        <v>53</v>
      </c>
      <c r="N43" t="s">
        <v>6</v>
      </c>
      <c r="O43">
        <v>18.9742653203791</v>
      </c>
      <c r="P43" t="s">
        <v>7</v>
      </c>
      <c r="Q43">
        <v>0.14940366393999299</v>
      </c>
      <c r="R43" t="s">
        <v>8</v>
      </c>
      <c r="S43">
        <v>1.08584905660377</v>
      </c>
      <c r="T43" t="s">
        <v>9</v>
      </c>
      <c r="U43">
        <v>-0.52129371188676699</v>
      </c>
      <c r="V43" t="s">
        <v>10</v>
      </c>
      <c r="W43">
        <v>0.17504737962876901</v>
      </c>
      <c r="X43" t="s">
        <v>11</v>
      </c>
      <c r="Y43" t="s">
        <v>3114</v>
      </c>
      <c r="Z43" t="s">
        <v>3115</v>
      </c>
      <c r="AA43">
        <v>0</v>
      </c>
      <c r="AB43" t="s">
        <v>14</v>
      </c>
      <c r="AC43" t="s">
        <v>15</v>
      </c>
      <c r="AD43" t="s">
        <v>3116</v>
      </c>
      <c r="AE43" t="s">
        <v>3110</v>
      </c>
      <c r="AF43">
        <v>0</v>
      </c>
      <c r="AG43" t="s">
        <v>18</v>
      </c>
    </row>
    <row r="44" spans="1:33" x14ac:dyDescent="0.3">
      <c r="A44" t="s">
        <v>2752</v>
      </c>
      <c r="B44" t="s">
        <v>587</v>
      </c>
      <c r="C44">
        <v>-7.5</v>
      </c>
      <c r="D44" t="s">
        <v>588</v>
      </c>
      <c r="E44" t="s">
        <v>589</v>
      </c>
      <c r="F44">
        <v>-10</v>
      </c>
      <c r="G44" t="s">
        <v>599</v>
      </c>
      <c r="H44" t="s">
        <v>2916</v>
      </c>
      <c r="I44" t="str">
        <f t="shared" si="0"/>
        <v xml:space="preserve">psar_no_highvol_{'P' [('number'-7.5 1) ('number'-10 -1)]}_[21 49]_3 </v>
      </c>
      <c r="J44" t="s">
        <v>2540</v>
      </c>
      <c r="K44">
        <v>130</v>
      </c>
      <c r="L44" t="s">
        <v>5</v>
      </c>
      <c r="M44">
        <v>29</v>
      </c>
      <c r="N44" t="s">
        <v>6</v>
      </c>
      <c r="O44">
        <v>18.809999999999999</v>
      </c>
      <c r="P44" t="s">
        <v>7</v>
      </c>
      <c r="Q44">
        <v>0.14469230769230701</v>
      </c>
      <c r="R44" t="s">
        <v>8</v>
      </c>
      <c r="S44">
        <v>1.79689655172413</v>
      </c>
      <c r="T44" t="s">
        <v>9</v>
      </c>
      <c r="U44">
        <v>-0.329702970297029</v>
      </c>
      <c r="V44" t="s">
        <v>10</v>
      </c>
      <c r="W44">
        <v>0.16687760502222801</v>
      </c>
      <c r="X44" t="s">
        <v>11</v>
      </c>
      <c r="Y44" t="s">
        <v>3089</v>
      </c>
      <c r="Z44" t="s">
        <v>2870</v>
      </c>
      <c r="AA44">
        <v>0</v>
      </c>
      <c r="AB44" t="s">
        <v>14</v>
      </c>
      <c r="AC44" t="s">
        <v>15</v>
      </c>
      <c r="AD44" t="s">
        <v>3075</v>
      </c>
      <c r="AE44" t="s">
        <v>3076</v>
      </c>
      <c r="AF44">
        <v>0</v>
      </c>
      <c r="AG44" t="s">
        <v>18</v>
      </c>
    </row>
    <row r="45" spans="1:33" x14ac:dyDescent="0.3">
      <c r="A45" t="s">
        <v>2728</v>
      </c>
      <c r="B45" t="s">
        <v>587</v>
      </c>
      <c r="C45">
        <v>-2.5</v>
      </c>
      <c r="D45" t="s">
        <v>588</v>
      </c>
      <c r="E45" t="s">
        <v>589</v>
      </c>
      <c r="F45">
        <v>-5</v>
      </c>
      <c r="G45" t="s">
        <v>599</v>
      </c>
      <c r="H45" t="s">
        <v>2916</v>
      </c>
      <c r="I45" t="str">
        <f t="shared" si="0"/>
        <v xml:space="preserve">psar_{'P' [('number'-2.5 1) ('number'-5 -1)]}_[21 49]_3 </v>
      </c>
      <c r="J45" t="s">
        <v>2540</v>
      </c>
      <c r="K45">
        <v>140</v>
      </c>
      <c r="L45" t="s">
        <v>5</v>
      </c>
      <c r="M45">
        <v>39</v>
      </c>
      <c r="N45" t="s">
        <v>6</v>
      </c>
      <c r="O45">
        <v>17</v>
      </c>
      <c r="P45" t="s">
        <v>7</v>
      </c>
      <c r="Q45">
        <v>0.121428571428571</v>
      </c>
      <c r="R45" t="s">
        <v>8</v>
      </c>
      <c r="S45">
        <v>1.9171794871794801</v>
      </c>
      <c r="T45" t="s">
        <v>9</v>
      </c>
      <c r="U45">
        <v>-0.57198019801980104</v>
      </c>
      <c r="V45" t="s">
        <v>10</v>
      </c>
      <c r="W45">
        <v>0.257176041149834</v>
      </c>
      <c r="X45" t="s">
        <v>11</v>
      </c>
      <c r="Y45" t="s">
        <v>3052</v>
      </c>
      <c r="Z45" t="s">
        <v>284</v>
      </c>
      <c r="AA45">
        <v>0</v>
      </c>
      <c r="AB45" t="s">
        <v>14</v>
      </c>
      <c r="AC45" t="s">
        <v>15</v>
      </c>
      <c r="AD45" t="s">
        <v>3052</v>
      </c>
      <c r="AE45" t="s">
        <v>284</v>
      </c>
      <c r="AF45">
        <v>0</v>
      </c>
      <c r="AG45" t="s">
        <v>18</v>
      </c>
    </row>
    <row r="46" spans="1:33" x14ac:dyDescent="0.3">
      <c r="A46" t="s">
        <v>2777</v>
      </c>
      <c r="B46" t="s">
        <v>587</v>
      </c>
      <c r="C46">
        <v>-2.5</v>
      </c>
      <c r="D46" t="s">
        <v>588</v>
      </c>
      <c r="E46" t="s">
        <v>589</v>
      </c>
      <c r="F46">
        <v>-5</v>
      </c>
      <c r="G46" t="s">
        <v>599</v>
      </c>
      <c r="H46" t="s">
        <v>2916</v>
      </c>
      <c r="I46" t="str">
        <f t="shared" si="0"/>
        <v xml:space="preserve">rsi_{'P' [('number'-2.5 1) ('number'-5 -1)]}_[21 49]_3 </v>
      </c>
      <c r="J46" t="s">
        <v>2540</v>
      </c>
      <c r="K46">
        <v>128</v>
      </c>
      <c r="L46" t="s">
        <v>5</v>
      </c>
      <c r="M46">
        <v>37</v>
      </c>
      <c r="N46" t="s">
        <v>6</v>
      </c>
      <c r="O46">
        <v>16.229999999999901</v>
      </c>
      <c r="P46" t="s">
        <v>7</v>
      </c>
      <c r="Q46">
        <v>0.126796874999999</v>
      </c>
      <c r="R46" t="s">
        <v>8</v>
      </c>
      <c r="S46">
        <v>1.6937837837837799</v>
      </c>
      <c r="T46" t="s">
        <v>9</v>
      </c>
      <c r="U46">
        <v>-0.51032967032967003</v>
      </c>
      <c r="V46" t="s">
        <v>10</v>
      </c>
      <c r="W46">
        <v>0.20473519467144399</v>
      </c>
      <c r="X46" t="s">
        <v>11</v>
      </c>
      <c r="Y46" t="s">
        <v>696</v>
      </c>
      <c r="Z46" t="s">
        <v>2930</v>
      </c>
      <c r="AA46">
        <v>0</v>
      </c>
      <c r="AB46" t="s">
        <v>14</v>
      </c>
      <c r="AC46" t="s">
        <v>15</v>
      </c>
      <c r="AD46" t="s">
        <v>3111</v>
      </c>
      <c r="AE46" t="s">
        <v>1240</v>
      </c>
      <c r="AF46">
        <v>0</v>
      </c>
      <c r="AG46" t="s">
        <v>18</v>
      </c>
    </row>
    <row r="47" spans="1:33" x14ac:dyDescent="0.3">
      <c r="A47" t="s">
        <v>2752</v>
      </c>
      <c r="B47" t="s">
        <v>587</v>
      </c>
      <c r="C47">
        <v>0</v>
      </c>
      <c r="D47" t="s">
        <v>588</v>
      </c>
      <c r="E47" t="s">
        <v>589</v>
      </c>
      <c r="F47">
        <v>-2.5</v>
      </c>
      <c r="G47" t="s">
        <v>599</v>
      </c>
      <c r="H47" t="s">
        <v>2550</v>
      </c>
      <c r="I47" t="str">
        <f t="shared" si="0"/>
        <v xml:space="preserve">psar_no_highvol_{'P' [('number'0 1) ('number'-2.5 -1)]}_[21 49]_1 </v>
      </c>
      <c r="J47" t="s">
        <v>2540</v>
      </c>
      <c r="K47">
        <v>130</v>
      </c>
      <c r="L47" t="s">
        <v>5</v>
      </c>
      <c r="M47">
        <v>55</v>
      </c>
      <c r="N47" t="s">
        <v>6</v>
      </c>
      <c r="O47">
        <v>16.099999999999898</v>
      </c>
      <c r="P47" t="s">
        <v>7</v>
      </c>
      <c r="Q47">
        <v>0.123846153846153</v>
      </c>
      <c r="R47" t="s">
        <v>8</v>
      </c>
      <c r="S47">
        <v>1.2370909090908999</v>
      </c>
      <c r="T47" t="s">
        <v>9</v>
      </c>
      <c r="U47">
        <v>-0.692533333333333</v>
      </c>
      <c r="V47" t="s">
        <v>10</v>
      </c>
      <c r="W47">
        <v>0.18795911622165901</v>
      </c>
      <c r="X47" t="s">
        <v>11</v>
      </c>
      <c r="Y47" t="s">
        <v>2938</v>
      </c>
      <c r="Z47" t="s">
        <v>660</v>
      </c>
      <c r="AA47">
        <v>0</v>
      </c>
      <c r="AB47" t="s">
        <v>14</v>
      </c>
      <c r="AC47" t="s">
        <v>15</v>
      </c>
      <c r="AD47" t="s">
        <v>2938</v>
      </c>
      <c r="AE47" t="s">
        <v>660</v>
      </c>
      <c r="AF47">
        <v>0</v>
      </c>
      <c r="AG47" t="s">
        <v>18</v>
      </c>
    </row>
    <row r="48" spans="1:33" x14ac:dyDescent="0.3">
      <c r="A48" t="s">
        <v>2728</v>
      </c>
      <c r="B48" t="s">
        <v>587</v>
      </c>
      <c r="C48">
        <v>-2.5</v>
      </c>
      <c r="D48" t="s">
        <v>588</v>
      </c>
      <c r="E48" t="s">
        <v>589</v>
      </c>
      <c r="F48">
        <v>-5</v>
      </c>
      <c r="G48" t="s">
        <v>599</v>
      </c>
      <c r="H48" t="s">
        <v>2550</v>
      </c>
      <c r="I48" t="str">
        <f t="shared" si="0"/>
        <v xml:space="preserve">psar_{'P' [('number'-2.5 1) ('number'-5 -1)]}_[21 49]_1 </v>
      </c>
      <c r="J48" t="s">
        <v>2540</v>
      </c>
      <c r="K48">
        <v>140</v>
      </c>
      <c r="L48" t="s">
        <v>5</v>
      </c>
      <c r="M48">
        <v>57</v>
      </c>
      <c r="N48" t="s">
        <v>6</v>
      </c>
      <c r="O48">
        <v>15.819999999999901</v>
      </c>
      <c r="P48" t="s">
        <v>7</v>
      </c>
      <c r="Q48">
        <v>0.112999999999999</v>
      </c>
      <c r="R48" t="s">
        <v>8</v>
      </c>
      <c r="S48">
        <v>1.07578947368421</v>
      </c>
      <c r="T48" t="s">
        <v>9</v>
      </c>
      <c r="U48">
        <v>-0.54819277108433695</v>
      </c>
      <c r="V48" t="s">
        <v>10</v>
      </c>
      <c r="W48">
        <v>0.185284414577016</v>
      </c>
      <c r="X48" t="s">
        <v>11</v>
      </c>
      <c r="Y48" t="s">
        <v>3051</v>
      </c>
      <c r="Z48" t="s">
        <v>2695</v>
      </c>
      <c r="AA48">
        <v>0</v>
      </c>
      <c r="AB48" t="s">
        <v>14</v>
      </c>
      <c r="AC48" t="s">
        <v>15</v>
      </c>
      <c r="AD48" t="s">
        <v>3051</v>
      </c>
      <c r="AE48" t="s">
        <v>2695</v>
      </c>
      <c r="AF48">
        <v>0</v>
      </c>
      <c r="AG48" t="s">
        <v>18</v>
      </c>
    </row>
    <row r="49" spans="1:33" x14ac:dyDescent="0.3">
      <c r="A49" t="s">
        <v>2728</v>
      </c>
      <c r="B49" t="s">
        <v>587</v>
      </c>
      <c r="C49">
        <v>-7.5</v>
      </c>
      <c r="D49" t="s">
        <v>588</v>
      </c>
      <c r="E49" t="s">
        <v>589</v>
      </c>
      <c r="F49">
        <v>-10</v>
      </c>
      <c r="G49" t="s">
        <v>599</v>
      </c>
      <c r="H49" t="s">
        <v>2916</v>
      </c>
      <c r="I49" t="str">
        <f t="shared" si="0"/>
        <v xml:space="preserve">psar_{'P' [('number'-7.5 1) ('number'-10 -1)]}_[21 49]_3 </v>
      </c>
      <c r="J49" t="s">
        <v>2540</v>
      </c>
      <c r="K49">
        <v>140</v>
      </c>
      <c r="L49" t="s">
        <v>5</v>
      </c>
      <c r="M49">
        <v>30</v>
      </c>
      <c r="N49" t="s">
        <v>6</v>
      </c>
      <c r="O49">
        <v>15.7099999999999</v>
      </c>
      <c r="P49" t="s">
        <v>7</v>
      </c>
      <c r="Q49">
        <v>0.112214285714285</v>
      </c>
      <c r="R49" t="s">
        <v>8</v>
      </c>
      <c r="S49">
        <v>1.79666666666666</v>
      </c>
      <c r="T49" t="s">
        <v>9</v>
      </c>
      <c r="U49">
        <v>-0.34718181818181798</v>
      </c>
      <c r="V49" t="s">
        <v>10</v>
      </c>
      <c r="W49">
        <v>0.183671667449127</v>
      </c>
      <c r="X49" t="s">
        <v>11</v>
      </c>
      <c r="Y49" t="s">
        <v>3074</v>
      </c>
      <c r="Z49" t="s">
        <v>129</v>
      </c>
      <c r="AA49">
        <v>0</v>
      </c>
      <c r="AB49" t="s">
        <v>14</v>
      </c>
      <c r="AC49" t="s">
        <v>15</v>
      </c>
      <c r="AD49" t="s">
        <v>3075</v>
      </c>
      <c r="AE49" t="s">
        <v>3076</v>
      </c>
      <c r="AF49">
        <v>0</v>
      </c>
      <c r="AG49" t="s">
        <v>18</v>
      </c>
    </row>
    <row r="50" spans="1:33" x14ac:dyDescent="0.3">
      <c r="A50" t="s">
        <v>2752</v>
      </c>
      <c r="B50" t="s">
        <v>587</v>
      </c>
      <c r="C50">
        <v>-2.5</v>
      </c>
      <c r="D50" t="s">
        <v>588</v>
      </c>
      <c r="E50" t="s">
        <v>589</v>
      </c>
      <c r="F50">
        <v>-5</v>
      </c>
      <c r="G50" t="s">
        <v>599</v>
      </c>
      <c r="H50" t="s">
        <v>2550</v>
      </c>
      <c r="I50" t="str">
        <f t="shared" si="0"/>
        <v xml:space="preserve">psar_no_highvol_{'P' [('number'-2.5 1) ('number'-5 -1)]}_[21 49]_1 </v>
      </c>
      <c r="J50" t="s">
        <v>2540</v>
      </c>
      <c r="K50">
        <v>130</v>
      </c>
      <c r="L50" t="s">
        <v>5</v>
      </c>
      <c r="M50">
        <v>53</v>
      </c>
      <c r="N50" t="s">
        <v>6</v>
      </c>
      <c r="O50">
        <v>15.6299999999999</v>
      </c>
      <c r="P50" t="s">
        <v>7</v>
      </c>
      <c r="Q50">
        <v>0.120230769230769</v>
      </c>
      <c r="R50" t="s">
        <v>8</v>
      </c>
      <c r="S50">
        <v>1.0845283018867899</v>
      </c>
      <c r="T50" t="s">
        <v>9</v>
      </c>
      <c r="U50">
        <v>-0.54350649350649305</v>
      </c>
      <c r="V50" t="s">
        <v>10</v>
      </c>
      <c r="W50">
        <v>0.16869699915567499</v>
      </c>
      <c r="X50" t="s">
        <v>11</v>
      </c>
      <c r="Y50" t="s">
        <v>3051</v>
      </c>
      <c r="Z50" t="s">
        <v>2695</v>
      </c>
      <c r="AA50">
        <v>0</v>
      </c>
      <c r="AB50" t="s">
        <v>14</v>
      </c>
      <c r="AC50" t="s">
        <v>15</v>
      </c>
      <c r="AD50" t="s">
        <v>3051</v>
      </c>
      <c r="AE50" t="s">
        <v>2695</v>
      </c>
      <c r="AF50">
        <v>0</v>
      </c>
      <c r="AG50" t="s">
        <v>18</v>
      </c>
    </row>
    <row r="51" spans="1:33" x14ac:dyDescent="0.3">
      <c r="A51" t="s">
        <v>2777</v>
      </c>
      <c r="B51" t="s">
        <v>587</v>
      </c>
      <c r="C51">
        <v>-2.5</v>
      </c>
      <c r="D51" t="s">
        <v>588</v>
      </c>
      <c r="E51" t="s">
        <v>589</v>
      </c>
      <c r="F51">
        <v>-5</v>
      </c>
      <c r="G51" t="s">
        <v>599</v>
      </c>
      <c r="H51" t="s">
        <v>2552</v>
      </c>
      <c r="I51" t="str">
        <f t="shared" si="0"/>
        <v xml:space="preserve">rsi_{'P' [('number'-2.5 1) ('number'-5 -1)]}_[21 49]_2 </v>
      </c>
      <c r="J51" t="s">
        <v>2540</v>
      </c>
      <c r="K51">
        <v>128</v>
      </c>
      <c r="L51" t="s">
        <v>5</v>
      </c>
      <c r="M51">
        <v>39</v>
      </c>
      <c r="N51" t="s">
        <v>6</v>
      </c>
      <c r="O51">
        <v>15.3699999999999</v>
      </c>
      <c r="P51" t="s">
        <v>7</v>
      </c>
      <c r="Q51">
        <v>0.12007812499999899</v>
      </c>
      <c r="R51" t="s">
        <v>8</v>
      </c>
      <c r="S51">
        <v>1.5589743589743501</v>
      </c>
      <c r="T51" t="s">
        <v>9</v>
      </c>
      <c r="U51">
        <v>-0.51044943820224697</v>
      </c>
      <c r="V51" t="s">
        <v>10</v>
      </c>
      <c r="W51">
        <v>0.19614099941321</v>
      </c>
      <c r="X51" t="s">
        <v>11</v>
      </c>
      <c r="Y51" t="s">
        <v>3103</v>
      </c>
      <c r="Z51" t="s">
        <v>2249</v>
      </c>
      <c r="AA51">
        <v>0</v>
      </c>
      <c r="AB51" t="s">
        <v>14</v>
      </c>
      <c r="AC51" t="s">
        <v>15</v>
      </c>
      <c r="AD51" t="s">
        <v>3111</v>
      </c>
      <c r="AE51" t="s">
        <v>1240</v>
      </c>
      <c r="AF51">
        <v>0</v>
      </c>
      <c r="AG51" t="s">
        <v>18</v>
      </c>
    </row>
    <row r="52" spans="1:33" x14ac:dyDescent="0.3">
      <c r="A52" t="s">
        <v>2858</v>
      </c>
      <c r="B52" t="s">
        <v>587</v>
      </c>
      <c r="C52">
        <v>0</v>
      </c>
      <c r="D52" t="s">
        <v>588</v>
      </c>
      <c r="E52" t="s">
        <v>589</v>
      </c>
      <c r="F52">
        <v>-2.5</v>
      </c>
      <c r="G52" t="s">
        <v>599</v>
      </c>
      <c r="H52" t="s">
        <v>2552</v>
      </c>
      <c r="I52" t="str">
        <f t="shared" si="0"/>
        <v xml:space="preserve">stoch_no_highvol_{'P' [('number'0 1) ('number'-2.5 -1)]}_[21 49]_2 </v>
      </c>
      <c r="J52" t="s">
        <v>2540</v>
      </c>
      <c r="K52">
        <v>335</v>
      </c>
      <c r="L52" t="s">
        <v>5</v>
      </c>
      <c r="M52">
        <v>102</v>
      </c>
      <c r="N52" t="s">
        <v>6</v>
      </c>
      <c r="O52">
        <v>14.6399999999998</v>
      </c>
      <c r="P52" t="s">
        <v>7</v>
      </c>
      <c r="Q52">
        <v>4.3701492537313098E-2</v>
      </c>
      <c r="R52" t="s">
        <v>8</v>
      </c>
      <c r="S52">
        <v>1.6071568627450901</v>
      </c>
      <c r="T52" t="s">
        <v>9</v>
      </c>
      <c r="U52">
        <v>-0.64072961373390602</v>
      </c>
      <c r="V52" t="s">
        <v>10</v>
      </c>
      <c r="W52">
        <v>0.46374088528898999</v>
      </c>
      <c r="X52" t="s">
        <v>11</v>
      </c>
      <c r="Y52" t="s">
        <v>1391</v>
      </c>
      <c r="Z52" t="s">
        <v>3147</v>
      </c>
      <c r="AA52">
        <v>0</v>
      </c>
      <c r="AB52" t="s">
        <v>14</v>
      </c>
      <c r="AC52" t="s">
        <v>15</v>
      </c>
      <c r="AD52" t="s">
        <v>3170</v>
      </c>
      <c r="AE52" t="s">
        <v>2754</v>
      </c>
      <c r="AF52">
        <v>0</v>
      </c>
      <c r="AG52" t="s">
        <v>18</v>
      </c>
    </row>
    <row r="53" spans="1:33" x14ac:dyDescent="0.3">
      <c r="A53" t="s">
        <v>2728</v>
      </c>
      <c r="B53" t="s">
        <v>587</v>
      </c>
      <c r="C53">
        <v>0</v>
      </c>
      <c r="D53" t="s">
        <v>588</v>
      </c>
      <c r="E53" t="s">
        <v>589</v>
      </c>
      <c r="F53">
        <v>-2.5</v>
      </c>
      <c r="G53" t="s">
        <v>599</v>
      </c>
      <c r="H53" t="s">
        <v>2550</v>
      </c>
      <c r="I53" t="str">
        <f t="shared" si="0"/>
        <v xml:space="preserve">psar_{'P' [('number'0 1) ('number'-2.5 -1)]}_[21 49]_1 </v>
      </c>
      <c r="J53" t="s">
        <v>2540</v>
      </c>
      <c r="K53">
        <v>140</v>
      </c>
      <c r="L53" t="s">
        <v>5</v>
      </c>
      <c r="M53">
        <v>58</v>
      </c>
      <c r="N53" t="s">
        <v>6</v>
      </c>
      <c r="O53">
        <v>14.61</v>
      </c>
      <c r="P53" t="s">
        <v>7</v>
      </c>
      <c r="Q53">
        <v>0.104357142857142</v>
      </c>
      <c r="R53" t="s">
        <v>8</v>
      </c>
      <c r="S53">
        <v>1.2420689655172401</v>
      </c>
      <c r="T53" t="s">
        <v>9</v>
      </c>
      <c r="U53">
        <v>-0.70036585365853599</v>
      </c>
      <c r="V53" t="s">
        <v>10</v>
      </c>
      <c r="W53">
        <v>0.208419197474217</v>
      </c>
      <c r="X53" t="s">
        <v>11</v>
      </c>
      <c r="Y53" t="s">
        <v>2938</v>
      </c>
      <c r="Z53" t="s">
        <v>660</v>
      </c>
      <c r="AA53">
        <v>0</v>
      </c>
      <c r="AB53" t="s">
        <v>14</v>
      </c>
      <c r="AC53" t="s">
        <v>15</v>
      </c>
      <c r="AD53" t="s">
        <v>2938</v>
      </c>
      <c r="AE53" t="s">
        <v>660</v>
      </c>
      <c r="AF53">
        <v>0</v>
      </c>
      <c r="AG53" t="s">
        <v>18</v>
      </c>
    </row>
    <row r="54" spans="1:33" x14ac:dyDescent="0.3">
      <c r="A54" t="s">
        <v>2777</v>
      </c>
      <c r="B54" t="s">
        <v>587</v>
      </c>
      <c r="C54">
        <v>-7.5</v>
      </c>
      <c r="D54" t="s">
        <v>588</v>
      </c>
      <c r="E54" t="s">
        <v>589</v>
      </c>
      <c r="F54">
        <v>-10</v>
      </c>
      <c r="G54" t="s">
        <v>599</v>
      </c>
      <c r="H54" t="s">
        <v>2916</v>
      </c>
      <c r="I54" t="str">
        <f t="shared" si="0"/>
        <v xml:space="preserve">rsi_{'P' [('number'-7.5 1) ('number'-10 -1)]}_[21 49]_3 </v>
      </c>
      <c r="J54" t="s">
        <v>2540</v>
      </c>
      <c r="K54">
        <v>128</v>
      </c>
      <c r="L54" t="s">
        <v>5</v>
      </c>
      <c r="M54">
        <v>26</v>
      </c>
      <c r="N54" t="s">
        <v>6</v>
      </c>
      <c r="O54">
        <v>14.309999999999899</v>
      </c>
      <c r="P54" t="s">
        <v>7</v>
      </c>
      <c r="Q54">
        <v>0.111796874999999</v>
      </c>
      <c r="R54" t="s">
        <v>8</v>
      </c>
      <c r="S54">
        <v>1.75461538461538</v>
      </c>
      <c r="T54" t="s">
        <v>9</v>
      </c>
      <c r="U54">
        <v>-0.30696078431372498</v>
      </c>
      <c r="V54" t="s">
        <v>10</v>
      </c>
      <c r="W54">
        <v>0.186336138333801</v>
      </c>
      <c r="X54" t="s">
        <v>11</v>
      </c>
      <c r="Y54" t="s">
        <v>3051</v>
      </c>
      <c r="Z54" t="s">
        <v>2695</v>
      </c>
      <c r="AA54">
        <v>0</v>
      </c>
      <c r="AB54" t="s">
        <v>14</v>
      </c>
      <c r="AC54" t="s">
        <v>15</v>
      </c>
      <c r="AD54" t="s">
        <v>3143</v>
      </c>
      <c r="AE54" t="s">
        <v>3136</v>
      </c>
      <c r="AF54">
        <v>0</v>
      </c>
      <c r="AG54" t="s">
        <v>18</v>
      </c>
    </row>
    <row r="55" spans="1:33" x14ac:dyDescent="0.3">
      <c r="A55" t="s">
        <v>2728</v>
      </c>
      <c r="B55" t="s">
        <v>587</v>
      </c>
      <c r="C55">
        <v>-2.5</v>
      </c>
      <c r="D55" t="s">
        <v>588</v>
      </c>
      <c r="E55" t="s">
        <v>589</v>
      </c>
      <c r="F55">
        <v>-5</v>
      </c>
      <c r="G55" t="s">
        <v>1998</v>
      </c>
      <c r="H55" t="s">
        <v>2918</v>
      </c>
      <c r="I55" t="str">
        <f t="shared" si="0"/>
        <v xml:space="preserve">psar_{'P' [('number'-2.5 1) ('number'-5 -1)]}_[42 70]_0.5 </v>
      </c>
      <c r="J55" t="s">
        <v>2540</v>
      </c>
      <c r="K55">
        <v>139</v>
      </c>
      <c r="L55" t="s">
        <v>5</v>
      </c>
      <c r="M55">
        <v>73</v>
      </c>
      <c r="N55" t="s">
        <v>6</v>
      </c>
      <c r="O55">
        <v>14.2396373381518</v>
      </c>
      <c r="P55" t="s">
        <v>7</v>
      </c>
      <c r="Q55">
        <v>0.102443434087423</v>
      </c>
      <c r="R55" t="s">
        <v>8</v>
      </c>
      <c r="S55">
        <v>0.707801529472744</v>
      </c>
      <c r="T55" t="s">
        <v>9</v>
      </c>
      <c r="U55">
        <v>-0.567119307778158</v>
      </c>
      <c r="V55" t="s">
        <v>10</v>
      </c>
      <c r="W55">
        <v>0.14756279060473099</v>
      </c>
      <c r="X55" t="s">
        <v>11</v>
      </c>
      <c r="Y55" t="s">
        <v>3053</v>
      </c>
      <c r="Z55" t="s">
        <v>2834</v>
      </c>
      <c r="AA55">
        <v>0</v>
      </c>
      <c r="AB55" t="s">
        <v>14</v>
      </c>
      <c r="AC55" t="s">
        <v>15</v>
      </c>
      <c r="AD55" t="s">
        <v>3053</v>
      </c>
      <c r="AE55" t="s">
        <v>2834</v>
      </c>
      <c r="AF55">
        <v>0</v>
      </c>
      <c r="AG55" t="s">
        <v>18</v>
      </c>
    </row>
    <row r="56" spans="1:33" x14ac:dyDescent="0.3">
      <c r="A56" t="s">
        <v>2728</v>
      </c>
      <c r="B56" t="s">
        <v>587</v>
      </c>
      <c r="C56">
        <v>0</v>
      </c>
      <c r="D56" t="s">
        <v>588</v>
      </c>
      <c r="E56" t="s">
        <v>589</v>
      </c>
      <c r="F56">
        <v>-2.5</v>
      </c>
      <c r="G56" t="s">
        <v>590</v>
      </c>
      <c r="H56" t="s">
        <v>2902</v>
      </c>
      <c r="I56" t="str">
        <f t="shared" si="0"/>
        <v xml:space="preserve">psar_{'P' [('number'0 1) ('number'-2.5 -1)]}_[7 35]_0.5 </v>
      </c>
      <c r="J56" t="s">
        <v>2540</v>
      </c>
      <c r="K56">
        <v>135</v>
      </c>
      <c r="L56" t="s">
        <v>5</v>
      </c>
      <c r="M56">
        <v>71</v>
      </c>
      <c r="N56" t="s">
        <v>6</v>
      </c>
      <c r="O56">
        <v>14.1999999999999</v>
      </c>
      <c r="P56" t="s">
        <v>7</v>
      </c>
      <c r="Q56">
        <v>0.10518518518518399</v>
      </c>
      <c r="R56" t="s">
        <v>8</v>
      </c>
      <c r="S56">
        <v>0.79901408450704203</v>
      </c>
      <c r="T56" t="s">
        <v>9</v>
      </c>
      <c r="U56">
        <v>-0.66453125000000002</v>
      </c>
      <c r="V56" t="s">
        <v>10</v>
      </c>
      <c r="W56">
        <v>0.16356673219797199</v>
      </c>
      <c r="X56" t="s">
        <v>11</v>
      </c>
      <c r="Y56" t="s">
        <v>3040</v>
      </c>
      <c r="Z56" t="s">
        <v>1431</v>
      </c>
      <c r="AA56">
        <v>0</v>
      </c>
      <c r="AB56" t="s">
        <v>14</v>
      </c>
      <c r="AC56" t="s">
        <v>15</v>
      </c>
      <c r="AD56" t="s">
        <v>3041</v>
      </c>
      <c r="AE56" t="s">
        <v>2264</v>
      </c>
      <c r="AF56">
        <v>0</v>
      </c>
      <c r="AG56" t="s">
        <v>18</v>
      </c>
    </row>
    <row r="57" spans="1:33" x14ac:dyDescent="0.3">
      <c r="A57" t="s">
        <v>2811</v>
      </c>
      <c r="B57" t="s">
        <v>587</v>
      </c>
      <c r="C57">
        <v>0</v>
      </c>
      <c r="D57" t="s">
        <v>588</v>
      </c>
      <c r="E57" t="s">
        <v>589</v>
      </c>
      <c r="F57">
        <v>-2.5</v>
      </c>
      <c r="G57" t="s">
        <v>590</v>
      </c>
      <c r="H57" t="s">
        <v>2539</v>
      </c>
      <c r="I57" t="str">
        <f t="shared" si="0"/>
        <v xml:space="preserve">stoch_{'P' [('number'0 1) ('number'-2.5 -1)]}_[7 35]_1 </v>
      </c>
      <c r="J57" t="s">
        <v>2540</v>
      </c>
      <c r="K57">
        <v>375</v>
      </c>
      <c r="L57" t="s">
        <v>5</v>
      </c>
      <c r="M57">
        <v>142</v>
      </c>
      <c r="N57" t="s">
        <v>6</v>
      </c>
      <c r="O57">
        <v>13.8099999999998</v>
      </c>
      <c r="P57" t="s">
        <v>7</v>
      </c>
      <c r="Q57">
        <v>3.68266666666663E-2</v>
      </c>
      <c r="R57" t="s">
        <v>8</v>
      </c>
      <c r="S57">
        <v>1.15070422535211</v>
      </c>
      <c r="T57" t="s">
        <v>9</v>
      </c>
      <c r="U57">
        <v>-0.64201716738197501</v>
      </c>
      <c r="V57" t="s">
        <v>10</v>
      </c>
      <c r="W57">
        <v>0.46696192680491699</v>
      </c>
      <c r="X57" t="s">
        <v>11</v>
      </c>
      <c r="Y57" t="s">
        <v>2978</v>
      </c>
      <c r="Z57" t="s">
        <v>1431</v>
      </c>
      <c r="AA57">
        <v>0</v>
      </c>
      <c r="AB57" t="s">
        <v>14</v>
      </c>
      <c r="AC57" t="s">
        <v>15</v>
      </c>
      <c r="AD57" t="s">
        <v>3146</v>
      </c>
      <c r="AE57" t="s">
        <v>1431</v>
      </c>
      <c r="AF57">
        <v>0</v>
      </c>
      <c r="AG57" t="s">
        <v>18</v>
      </c>
    </row>
    <row r="58" spans="1:33" x14ac:dyDescent="0.3">
      <c r="A58" t="s">
        <v>2858</v>
      </c>
      <c r="B58" t="s">
        <v>587</v>
      </c>
      <c r="C58">
        <v>-2.5</v>
      </c>
      <c r="D58" t="s">
        <v>588</v>
      </c>
      <c r="E58" t="s">
        <v>589</v>
      </c>
      <c r="F58">
        <v>-5</v>
      </c>
      <c r="G58" t="s">
        <v>599</v>
      </c>
      <c r="H58" t="s">
        <v>2916</v>
      </c>
      <c r="I58" t="str">
        <f t="shared" si="0"/>
        <v xml:space="preserve">stoch_no_highvol_{'P' [('number'-2.5 1) ('number'-5 -1)]}_[21 49]_3 </v>
      </c>
      <c r="J58" t="s">
        <v>2540</v>
      </c>
      <c r="K58">
        <v>335</v>
      </c>
      <c r="L58" t="s">
        <v>5</v>
      </c>
      <c r="M58">
        <v>83</v>
      </c>
      <c r="N58" t="s">
        <v>6</v>
      </c>
      <c r="O58">
        <v>13.7</v>
      </c>
      <c r="P58" t="s">
        <v>7</v>
      </c>
      <c r="Q58">
        <v>4.08955223880599E-2</v>
      </c>
      <c r="R58" t="s">
        <v>8</v>
      </c>
      <c r="S58">
        <v>1.7365060240963801</v>
      </c>
      <c r="T58" t="s">
        <v>9</v>
      </c>
      <c r="U58">
        <v>-0.51757936507936397</v>
      </c>
      <c r="V58" t="s">
        <v>10</v>
      </c>
      <c r="W58">
        <v>0.43529134463341201</v>
      </c>
      <c r="X58" t="s">
        <v>11</v>
      </c>
      <c r="Y58" t="s">
        <v>3043</v>
      </c>
      <c r="Z58" t="s">
        <v>2693</v>
      </c>
      <c r="AA58">
        <v>0</v>
      </c>
      <c r="AB58" t="s">
        <v>14</v>
      </c>
      <c r="AC58" t="s">
        <v>15</v>
      </c>
      <c r="AD58" t="s">
        <v>3155</v>
      </c>
      <c r="AE58" t="s">
        <v>2693</v>
      </c>
      <c r="AF58">
        <v>0</v>
      </c>
      <c r="AG58" t="s">
        <v>18</v>
      </c>
    </row>
    <row r="59" spans="1:33" x14ac:dyDescent="0.3">
      <c r="A59" t="s">
        <v>2811</v>
      </c>
      <c r="B59" t="s">
        <v>587</v>
      </c>
      <c r="C59">
        <v>0</v>
      </c>
      <c r="D59" t="s">
        <v>588</v>
      </c>
      <c r="E59" t="s">
        <v>589</v>
      </c>
      <c r="F59">
        <v>-2.5</v>
      </c>
      <c r="G59" t="s">
        <v>599</v>
      </c>
      <c r="H59" t="s">
        <v>2552</v>
      </c>
      <c r="I59" t="str">
        <f t="shared" si="0"/>
        <v xml:space="preserve">stoch_{'P' [('number'0 1) ('number'-2.5 -1)]}_[21 49]_2 </v>
      </c>
      <c r="J59" t="s">
        <v>2540</v>
      </c>
      <c r="K59">
        <v>376</v>
      </c>
      <c r="L59" t="s">
        <v>5</v>
      </c>
      <c r="M59">
        <v>117</v>
      </c>
      <c r="N59" t="s">
        <v>6</v>
      </c>
      <c r="O59">
        <v>13.520438400054701</v>
      </c>
      <c r="P59" t="s">
        <v>7</v>
      </c>
      <c r="Q59">
        <v>3.5958612766102897E-2</v>
      </c>
      <c r="R59" t="s">
        <v>8</v>
      </c>
      <c r="S59">
        <v>1.5833452463761299</v>
      </c>
      <c r="T59" t="s">
        <v>9</v>
      </c>
      <c r="U59">
        <v>-0.66305388195348802</v>
      </c>
      <c r="V59" t="s">
        <v>10</v>
      </c>
      <c r="W59">
        <v>0.51689739011487701</v>
      </c>
      <c r="X59" t="s">
        <v>11</v>
      </c>
      <c r="Y59" t="s">
        <v>2911</v>
      </c>
      <c r="Z59" t="s">
        <v>53</v>
      </c>
      <c r="AA59">
        <v>0</v>
      </c>
      <c r="AB59" t="s">
        <v>14</v>
      </c>
      <c r="AC59" t="s">
        <v>15</v>
      </c>
      <c r="AD59" t="s">
        <v>2911</v>
      </c>
      <c r="AE59" t="s">
        <v>53</v>
      </c>
      <c r="AF59">
        <v>0</v>
      </c>
      <c r="AG59" t="s">
        <v>18</v>
      </c>
    </row>
    <row r="60" spans="1:33" x14ac:dyDescent="0.3">
      <c r="A60" t="s">
        <v>2752</v>
      </c>
      <c r="B60" t="s">
        <v>587</v>
      </c>
      <c r="C60">
        <v>-2.5</v>
      </c>
      <c r="D60" t="s">
        <v>588</v>
      </c>
      <c r="E60" t="s">
        <v>589</v>
      </c>
      <c r="F60">
        <v>-5</v>
      </c>
      <c r="G60" t="s">
        <v>1998</v>
      </c>
      <c r="H60" t="s">
        <v>2918</v>
      </c>
      <c r="I60" t="str">
        <f t="shared" si="0"/>
        <v xml:space="preserve">psar_no_highvol_{'P' [('number'-2.5 1) ('number'-5 -1)]}_[42 70]_0.5 </v>
      </c>
      <c r="J60" t="s">
        <v>2540</v>
      </c>
      <c r="K60">
        <v>130</v>
      </c>
      <c r="L60" t="s">
        <v>5</v>
      </c>
      <c r="M60">
        <v>68</v>
      </c>
      <c r="N60" t="s">
        <v>6</v>
      </c>
      <c r="O60">
        <v>13.135202776367199</v>
      </c>
      <c r="P60" t="s">
        <v>7</v>
      </c>
      <c r="Q60">
        <v>0.10104002135667001</v>
      </c>
      <c r="R60" t="s">
        <v>8</v>
      </c>
      <c r="S60">
        <v>0.690139877228092</v>
      </c>
      <c r="T60" t="s">
        <v>9</v>
      </c>
      <c r="U60">
        <v>-0.54506949798617899</v>
      </c>
      <c r="V60" t="s">
        <v>10</v>
      </c>
      <c r="W60">
        <v>0.129308289512334</v>
      </c>
      <c r="X60" t="s">
        <v>11</v>
      </c>
      <c r="Y60" t="s">
        <v>3078</v>
      </c>
      <c r="Z60" t="s">
        <v>715</v>
      </c>
      <c r="AA60">
        <v>0</v>
      </c>
      <c r="AB60" t="s">
        <v>14</v>
      </c>
      <c r="AC60" t="s">
        <v>15</v>
      </c>
      <c r="AD60" t="s">
        <v>3079</v>
      </c>
      <c r="AE60" t="s">
        <v>3080</v>
      </c>
      <c r="AF60">
        <v>0</v>
      </c>
      <c r="AG60" t="s">
        <v>18</v>
      </c>
    </row>
    <row r="61" spans="1:33" x14ac:dyDescent="0.3">
      <c r="A61" t="s">
        <v>2811</v>
      </c>
      <c r="B61" t="s">
        <v>587</v>
      </c>
      <c r="C61">
        <v>-5</v>
      </c>
      <c r="D61" t="s">
        <v>588</v>
      </c>
      <c r="E61" t="s">
        <v>589</v>
      </c>
      <c r="F61">
        <v>-7.5</v>
      </c>
      <c r="G61" t="s">
        <v>599</v>
      </c>
      <c r="H61" t="s">
        <v>2550</v>
      </c>
      <c r="I61" t="str">
        <f t="shared" si="0"/>
        <v xml:space="preserve">stoch_{'P' [('number'-5 1) ('number'-7.5 -1)]}_[21 49]_1 </v>
      </c>
      <c r="J61" t="s">
        <v>2540</v>
      </c>
      <c r="K61">
        <v>376</v>
      </c>
      <c r="L61" t="s">
        <v>5</v>
      </c>
      <c r="M61">
        <v>120</v>
      </c>
      <c r="N61" t="s">
        <v>6</v>
      </c>
      <c r="O61">
        <v>12.819999999999901</v>
      </c>
      <c r="P61" t="s">
        <v>7</v>
      </c>
      <c r="Q61">
        <v>3.4095744680850797E-2</v>
      </c>
      <c r="R61" t="s">
        <v>8</v>
      </c>
      <c r="S61">
        <v>0.95574999999999899</v>
      </c>
      <c r="T61" t="s">
        <v>9</v>
      </c>
      <c r="U61">
        <v>-0.39792968750000002</v>
      </c>
      <c r="V61" t="s">
        <v>10</v>
      </c>
      <c r="W61">
        <v>0.33913221898519402</v>
      </c>
      <c r="X61" t="s">
        <v>11</v>
      </c>
      <c r="Y61" t="s">
        <v>2931</v>
      </c>
      <c r="Z61" t="s">
        <v>2863</v>
      </c>
      <c r="AA61">
        <v>0</v>
      </c>
      <c r="AB61" t="s">
        <v>14</v>
      </c>
      <c r="AC61" t="s">
        <v>15</v>
      </c>
      <c r="AD61" t="s">
        <v>3160</v>
      </c>
      <c r="AE61" t="s">
        <v>2863</v>
      </c>
      <c r="AF61">
        <v>0</v>
      </c>
      <c r="AG61" t="s">
        <v>18</v>
      </c>
    </row>
    <row r="62" spans="1:33" x14ac:dyDescent="0.3">
      <c r="A62" t="s">
        <v>2777</v>
      </c>
      <c r="B62" t="s">
        <v>587</v>
      </c>
      <c r="C62">
        <v>0</v>
      </c>
      <c r="D62" t="s">
        <v>588</v>
      </c>
      <c r="E62" t="s">
        <v>589</v>
      </c>
      <c r="F62">
        <v>-2.5</v>
      </c>
      <c r="G62" t="s">
        <v>590</v>
      </c>
      <c r="H62" t="s">
        <v>2539</v>
      </c>
      <c r="I62" t="str">
        <f t="shared" si="0"/>
        <v xml:space="preserve">rsi_{'P' [('number'0 1) ('number'-2.5 -1)]}_[7 35]_1 </v>
      </c>
      <c r="J62" t="s">
        <v>2540</v>
      </c>
      <c r="K62">
        <v>136</v>
      </c>
      <c r="L62" t="s">
        <v>5</v>
      </c>
      <c r="M62">
        <v>56</v>
      </c>
      <c r="N62" t="s">
        <v>6</v>
      </c>
      <c r="O62">
        <v>12.7</v>
      </c>
      <c r="P62" t="s">
        <v>7</v>
      </c>
      <c r="Q62">
        <v>9.3382352941176694E-2</v>
      </c>
      <c r="R62" t="s">
        <v>8</v>
      </c>
      <c r="S62">
        <v>1.16625</v>
      </c>
      <c r="T62" t="s">
        <v>9</v>
      </c>
      <c r="U62">
        <v>-0.65762499999999902</v>
      </c>
      <c r="V62" t="s">
        <v>10</v>
      </c>
      <c r="W62">
        <v>0.18406141187052399</v>
      </c>
      <c r="X62" t="s">
        <v>11</v>
      </c>
      <c r="Y62" t="s">
        <v>3094</v>
      </c>
      <c r="Z62" t="s">
        <v>2754</v>
      </c>
      <c r="AA62">
        <v>0</v>
      </c>
      <c r="AB62" t="s">
        <v>14</v>
      </c>
      <c r="AC62" t="s">
        <v>15</v>
      </c>
      <c r="AD62" t="s">
        <v>3095</v>
      </c>
      <c r="AE62" t="s">
        <v>2749</v>
      </c>
      <c r="AF62">
        <v>0</v>
      </c>
      <c r="AG62" t="s">
        <v>18</v>
      </c>
    </row>
    <row r="63" spans="1:33" x14ac:dyDescent="0.3">
      <c r="A63" t="s">
        <v>2752</v>
      </c>
      <c r="B63" t="s">
        <v>587</v>
      </c>
      <c r="C63">
        <v>-2.5</v>
      </c>
      <c r="D63" t="s">
        <v>588</v>
      </c>
      <c r="E63" t="s">
        <v>589</v>
      </c>
      <c r="F63">
        <v>-5</v>
      </c>
      <c r="G63" t="s">
        <v>590</v>
      </c>
      <c r="H63" t="s">
        <v>2543</v>
      </c>
      <c r="I63" t="str">
        <f t="shared" si="0"/>
        <v xml:space="preserve">psar_no_highvol_{'P' [('number'-2.5 1) ('number'-5 -1)]}_[7 35]_2 </v>
      </c>
      <c r="J63" t="s">
        <v>2540</v>
      </c>
      <c r="K63">
        <v>125</v>
      </c>
      <c r="L63" t="s">
        <v>5</v>
      </c>
      <c r="M63">
        <v>36</v>
      </c>
      <c r="N63" t="s">
        <v>6</v>
      </c>
      <c r="O63">
        <v>12.6199999999999</v>
      </c>
      <c r="P63" t="s">
        <v>7</v>
      </c>
      <c r="Q63">
        <v>0.10095999999999899</v>
      </c>
      <c r="R63" t="s">
        <v>8</v>
      </c>
      <c r="S63">
        <v>1.58777777777777</v>
      </c>
      <c r="T63" t="s">
        <v>9</v>
      </c>
      <c r="U63">
        <v>-0.50044943820224697</v>
      </c>
      <c r="V63" t="s">
        <v>10</v>
      </c>
      <c r="W63">
        <v>0.18794674985260401</v>
      </c>
      <c r="X63" t="s">
        <v>11</v>
      </c>
      <c r="Y63" t="s">
        <v>2206</v>
      </c>
      <c r="Z63" t="s">
        <v>2693</v>
      </c>
      <c r="AA63">
        <v>0</v>
      </c>
      <c r="AB63" t="s">
        <v>14</v>
      </c>
      <c r="AC63" t="s">
        <v>15</v>
      </c>
      <c r="AD63" t="s">
        <v>168</v>
      </c>
      <c r="AE63" t="s">
        <v>3047</v>
      </c>
      <c r="AF63">
        <v>0</v>
      </c>
      <c r="AG63" t="s">
        <v>18</v>
      </c>
    </row>
    <row r="64" spans="1:33" x14ac:dyDescent="0.3">
      <c r="A64" t="s">
        <v>2752</v>
      </c>
      <c r="B64" t="s">
        <v>587</v>
      </c>
      <c r="C64">
        <v>-7.5</v>
      </c>
      <c r="D64" t="s">
        <v>588</v>
      </c>
      <c r="E64" t="s">
        <v>589</v>
      </c>
      <c r="F64">
        <v>-10</v>
      </c>
      <c r="G64" t="s">
        <v>1998</v>
      </c>
      <c r="H64" t="s">
        <v>2918</v>
      </c>
      <c r="I64" t="str">
        <f t="shared" si="0"/>
        <v xml:space="preserve">psar_no_highvol_{'P' [('number'-7.5 1) ('number'-10 -1)]}_[42 70]_0.5 </v>
      </c>
      <c r="J64" t="s">
        <v>2540</v>
      </c>
      <c r="K64">
        <v>130</v>
      </c>
      <c r="L64" t="s">
        <v>5</v>
      </c>
      <c r="M64">
        <v>70</v>
      </c>
      <c r="N64" t="s">
        <v>6</v>
      </c>
      <c r="O64">
        <v>12.430772462955799</v>
      </c>
      <c r="P64" t="s">
        <v>7</v>
      </c>
      <c r="Q64">
        <v>9.5621326638121507E-2</v>
      </c>
      <c r="R64" t="s">
        <v>8</v>
      </c>
      <c r="S64">
        <v>0.50827039015780795</v>
      </c>
      <c r="T64" t="s">
        <v>9</v>
      </c>
      <c r="U64">
        <v>-0.38580258080151197</v>
      </c>
      <c r="V64" t="s">
        <v>10</v>
      </c>
      <c r="W64">
        <v>0.104871742679082</v>
      </c>
      <c r="X64" t="s">
        <v>11</v>
      </c>
      <c r="Y64" t="s">
        <v>3093</v>
      </c>
      <c r="Z64" t="s">
        <v>704</v>
      </c>
      <c r="AA64">
        <v>0</v>
      </c>
      <c r="AB64" t="s">
        <v>14</v>
      </c>
      <c r="AC64" t="s">
        <v>15</v>
      </c>
      <c r="AD64" t="s">
        <v>3093</v>
      </c>
      <c r="AE64" t="s">
        <v>704</v>
      </c>
      <c r="AF64">
        <v>0</v>
      </c>
      <c r="AG64" t="s">
        <v>18</v>
      </c>
    </row>
    <row r="65" spans="1:33" x14ac:dyDescent="0.3">
      <c r="A65" t="s">
        <v>2777</v>
      </c>
      <c r="B65" t="s">
        <v>587</v>
      </c>
      <c r="C65">
        <v>0</v>
      </c>
      <c r="D65" t="s">
        <v>588</v>
      </c>
      <c r="E65" t="s">
        <v>589</v>
      </c>
      <c r="F65">
        <v>-2.5</v>
      </c>
      <c r="G65" t="s">
        <v>590</v>
      </c>
      <c r="H65" t="s">
        <v>2543</v>
      </c>
      <c r="I65" t="str">
        <f t="shared" si="0"/>
        <v xml:space="preserve">rsi_{'P' [('number'0 1) ('number'-2.5 -1)]}_[7 35]_2 </v>
      </c>
      <c r="J65" t="s">
        <v>2540</v>
      </c>
      <c r="K65">
        <v>136</v>
      </c>
      <c r="L65" t="s">
        <v>5</v>
      </c>
      <c r="M65">
        <v>49</v>
      </c>
      <c r="N65" t="s">
        <v>6</v>
      </c>
      <c r="O65">
        <v>12.2799999999999</v>
      </c>
      <c r="P65" t="s">
        <v>7</v>
      </c>
      <c r="Q65">
        <v>9.0294117647058705E-2</v>
      </c>
      <c r="R65" t="s">
        <v>8</v>
      </c>
      <c r="S65">
        <v>1.42244897959183</v>
      </c>
      <c r="T65" t="s">
        <v>9</v>
      </c>
      <c r="U65">
        <v>-0.66</v>
      </c>
      <c r="V65" t="s">
        <v>10</v>
      </c>
      <c r="W65">
        <v>0.20064111775259699</v>
      </c>
      <c r="X65" t="s">
        <v>11</v>
      </c>
      <c r="Y65" t="s">
        <v>3096</v>
      </c>
      <c r="Z65" t="s">
        <v>1253</v>
      </c>
      <c r="AA65">
        <v>0</v>
      </c>
      <c r="AB65" t="s">
        <v>14</v>
      </c>
      <c r="AC65" t="s">
        <v>15</v>
      </c>
      <c r="AD65" t="s">
        <v>3097</v>
      </c>
      <c r="AE65" t="s">
        <v>2249</v>
      </c>
      <c r="AF65">
        <v>0</v>
      </c>
      <c r="AG65" t="s">
        <v>18</v>
      </c>
    </row>
    <row r="66" spans="1:33" x14ac:dyDescent="0.3">
      <c r="A66" t="s">
        <v>2538</v>
      </c>
      <c r="B66" t="s">
        <v>587</v>
      </c>
      <c r="C66">
        <v>-2.5</v>
      </c>
      <c r="D66" t="s">
        <v>588</v>
      </c>
      <c r="E66" t="s">
        <v>589</v>
      </c>
      <c r="F66">
        <v>-5</v>
      </c>
      <c r="G66" t="s">
        <v>1998</v>
      </c>
      <c r="H66" t="s">
        <v>2559</v>
      </c>
      <c r="I66" t="str">
        <f t="shared" si="0"/>
        <v xml:space="preserve">alltime_{'P' [('number'-2.5 1) ('number'-5 -1)]}_[42 70]_1 </v>
      </c>
      <c r="J66" t="s">
        <v>2540</v>
      </c>
      <c r="K66">
        <v>3062</v>
      </c>
      <c r="L66" t="s">
        <v>5</v>
      </c>
      <c r="M66">
        <v>1096</v>
      </c>
      <c r="N66" t="s">
        <v>6</v>
      </c>
      <c r="O66">
        <v>12.045692902794899</v>
      </c>
      <c r="P66" t="s">
        <v>7</v>
      </c>
      <c r="Q66">
        <v>3.9339297527089803E-3</v>
      </c>
      <c r="R66" t="s">
        <v>8</v>
      </c>
      <c r="S66">
        <v>1.12638541868466</v>
      </c>
      <c r="T66" t="s">
        <v>9</v>
      </c>
      <c r="U66">
        <v>-0.62180708340569502</v>
      </c>
      <c r="V66" t="s">
        <v>10</v>
      </c>
      <c r="W66">
        <v>1.5857748193854899</v>
      </c>
      <c r="X66" t="s">
        <v>11</v>
      </c>
      <c r="Y66" t="s">
        <v>2942</v>
      </c>
      <c r="Z66" t="s">
        <v>91</v>
      </c>
      <c r="AA66">
        <v>0</v>
      </c>
      <c r="AB66" t="s">
        <v>14</v>
      </c>
      <c r="AC66" t="s">
        <v>15</v>
      </c>
      <c r="AD66" t="s">
        <v>2943</v>
      </c>
      <c r="AE66" t="s">
        <v>2258</v>
      </c>
      <c r="AF66">
        <v>0</v>
      </c>
      <c r="AG66" t="s">
        <v>18</v>
      </c>
    </row>
    <row r="67" spans="1:33" x14ac:dyDescent="0.3">
      <c r="A67" t="s">
        <v>2728</v>
      </c>
      <c r="B67" t="s">
        <v>587</v>
      </c>
      <c r="C67">
        <v>-2.5</v>
      </c>
      <c r="D67" t="s">
        <v>588</v>
      </c>
      <c r="E67" t="s">
        <v>589</v>
      </c>
      <c r="F67">
        <v>-5</v>
      </c>
      <c r="G67" t="s">
        <v>590</v>
      </c>
      <c r="H67" t="s">
        <v>2543</v>
      </c>
      <c r="I67" t="str">
        <f t="shared" ref="I67:I130" si="1">_xlfn.CONCAT(A67:H67)</f>
        <v xml:space="preserve">psar_{'P' [('number'-2.5 1) ('number'-5 -1)]}_[7 35]_2 </v>
      </c>
      <c r="J67" t="s">
        <v>2540</v>
      </c>
      <c r="K67">
        <v>135</v>
      </c>
      <c r="L67" t="s">
        <v>5</v>
      </c>
      <c r="M67">
        <v>38</v>
      </c>
      <c r="N67" t="s">
        <v>6</v>
      </c>
      <c r="O67">
        <v>11.9499999999999</v>
      </c>
      <c r="P67" t="s">
        <v>7</v>
      </c>
      <c r="Q67">
        <v>8.8518518518518094E-2</v>
      </c>
      <c r="R67" t="s">
        <v>8</v>
      </c>
      <c r="S67">
        <v>1.61105263157894</v>
      </c>
      <c r="T67" t="s">
        <v>9</v>
      </c>
      <c r="U67">
        <v>-0.50793814432989703</v>
      </c>
      <c r="V67" t="s">
        <v>10</v>
      </c>
      <c r="W67">
        <v>0.20967652952417101</v>
      </c>
      <c r="X67" t="s">
        <v>11</v>
      </c>
      <c r="Y67" t="s">
        <v>2992</v>
      </c>
      <c r="Z67" t="s">
        <v>2071</v>
      </c>
      <c r="AA67">
        <v>0</v>
      </c>
      <c r="AB67" t="s">
        <v>14</v>
      </c>
      <c r="AC67" t="s">
        <v>15</v>
      </c>
      <c r="AD67" t="s">
        <v>168</v>
      </c>
      <c r="AE67" t="s">
        <v>3047</v>
      </c>
      <c r="AF67">
        <v>0</v>
      </c>
      <c r="AG67" t="s">
        <v>18</v>
      </c>
    </row>
    <row r="68" spans="1:33" x14ac:dyDescent="0.3">
      <c r="A68" t="s">
        <v>2752</v>
      </c>
      <c r="B68" t="s">
        <v>587</v>
      </c>
      <c r="C68">
        <v>-2.5</v>
      </c>
      <c r="D68" t="s">
        <v>588</v>
      </c>
      <c r="E68" t="s">
        <v>589</v>
      </c>
      <c r="F68">
        <v>-5</v>
      </c>
      <c r="G68" t="s">
        <v>590</v>
      </c>
      <c r="H68" t="s">
        <v>2909</v>
      </c>
      <c r="I68" t="str">
        <f t="shared" si="1"/>
        <v xml:space="preserve">psar_no_highvol_{'P' [('number'-2.5 1) ('number'-5 -1)]}_[7 35]_3 </v>
      </c>
      <c r="J68" t="s">
        <v>2540</v>
      </c>
      <c r="K68">
        <v>125</v>
      </c>
      <c r="L68" t="s">
        <v>5</v>
      </c>
      <c r="M68">
        <v>35</v>
      </c>
      <c r="N68" t="s">
        <v>6</v>
      </c>
      <c r="O68">
        <v>11.889999999999899</v>
      </c>
      <c r="P68" t="s">
        <v>7</v>
      </c>
      <c r="Q68">
        <v>9.5119999999999594E-2</v>
      </c>
      <c r="R68" t="s">
        <v>8</v>
      </c>
      <c r="S68">
        <v>1.6228571428571399</v>
      </c>
      <c r="T68" t="s">
        <v>9</v>
      </c>
      <c r="U68">
        <v>-0.499</v>
      </c>
      <c r="V68" t="s">
        <v>10</v>
      </c>
      <c r="W68">
        <v>0.194036841530246</v>
      </c>
      <c r="X68" t="s">
        <v>11</v>
      </c>
      <c r="Y68" t="s">
        <v>2206</v>
      </c>
      <c r="Z68" t="s">
        <v>2693</v>
      </c>
      <c r="AA68">
        <v>0</v>
      </c>
      <c r="AB68" t="s">
        <v>14</v>
      </c>
      <c r="AC68" t="s">
        <v>15</v>
      </c>
      <c r="AD68" t="s">
        <v>168</v>
      </c>
      <c r="AE68" t="s">
        <v>3047</v>
      </c>
      <c r="AF68">
        <v>0</v>
      </c>
      <c r="AG68" t="s">
        <v>18</v>
      </c>
    </row>
    <row r="69" spans="1:33" x14ac:dyDescent="0.3">
      <c r="A69" t="s">
        <v>2858</v>
      </c>
      <c r="B69" t="s">
        <v>587</v>
      </c>
      <c r="C69">
        <v>-2.5</v>
      </c>
      <c r="D69" t="s">
        <v>588</v>
      </c>
      <c r="E69" t="s">
        <v>589</v>
      </c>
      <c r="F69">
        <v>-5</v>
      </c>
      <c r="G69" t="s">
        <v>599</v>
      </c>
      <c r="H69" t="s">
        <v>2552</v>
      </c>
      <c r="I69" t="str">
        <f t="shared" si="1"/>
        <v xml:space="preserve">stoch_no_highvol_{'P' [('number'-2.5 1) ('number'-5 -1)]}_[21 49]_2 </v>
      </c>
      <c r="J69" t="s">
        <v>2540</v>
      </c>
      <c r="K69">
        <v>335</v>
      </c>
      <c r="L69" t="s">
        <v>5</v>
      </c>
      <c r="M69">
        <v>86</v>
      </c>
      <c r="N69" t="s">
        <v>6</v>
      </c>
      <c r="O69">
        <v>11.76</v>
      </c>
      <c r="P69" t="s">
        <v>7</v>
      </c>
      <c r="Q69">
        <v>3.51044776119405E-2</v>
      </c>
      <c r="R69" t="s">
        <v>8</v>
      </c>
      <c r="S69">
        <v>1.63651162790697</v>
      </c>
      <c r="T69" t="s">
        <v>9</v>
      </c>
      <c r="U69">
        <v>-0.51799196787148505</v>
      </c>
      <c r="V69" t="s">
        <v>10</v>
      </c>
      <c r="W69">
        <v>0.41483181626945997</v>
      </c>
      <c r="X69" t="s">
        <v>11</v>
      </c>
      <c r="Y69" t="s">
        <v>3043</v>
      </c>
      <c r="Z69" t="s">
        <v>2693</v>
      </c>
      <c r="AA69">
        <v>0</v>
      </c>
      <c r="AB69" t="s">
        <v>14</v>
      </c>
      <c r="AC69" t="s">
        <v>15</v>
      </c>
      <c r="AD69" t="s">
        <v>3154</v>
      </c>
      <c r="AE69" t="s">
        <v>2754</v>
      </c>
      <c r="AF69">
        <v>0</v>
      </c>
      <c r="AG69" t="s">
        <v>18</v>
      </c>
    </row>
    <row r="70" spans="1:33" x14ac:dyDescent="0.3">
      <c r="A70" t="s">
        <v>2858</v>
      </c>
      <c r="B70" t="s">
        <v>587</v>
      </c>
      <c r="C70">
        <v>0</v>
      </c>
      <c r="D70" t="s">
        <v>588</v>
      </c>
      <c r="E70" t="s">
        <v>589</v>
      </c>
      <c r="F70">
        <v>-2.5</v>
      </c>
      <c r="G70" t="s">
        <v>590</v>
      </c>
      <c r="H70" t="s">
        <v>2909</v>
      </c>
      <c r="I70" t="str">
        <f t="shared" si="1"/>
        <v xml:space="preserve">stoch_no_highvol_{'P' [('number'0 1) ('number'-2.5 -1)]}_[7 35]_3 </v>
      </c>
      <c r="J70" t="s">
        <v>2540</v>
      </c>
      <c r="K70">
        <v>334</v>
      </c>
      <c r="L70" t="s">
        <v>5</v>
      </c>
      <c r="M70">
        <v>111</v>
      </c>
      <c r="N70" t="s">
        <v>6</v>
      </c>
      <c r="O70">
        <v>11.439999999999801</v>
      </c>
      <c r="P70" t="s">
        <v>7</v>
      </c>
      <c r="Q70">
        <v>3.4251497005987397E-2</v>
      </c>
      <c r="R70" t="s">
        <v>8</v>
      </c>
      <c r="S70">
        <v>1.4081081081080999</v>
      </c>
      <c r="T70" t="s">
        <v>9</v>
      </c>
      <c r="U70">
        <v>-0.64959641255605405</v>
      </c>
      <c r="V70" t="s">
        <v>10</v>
      </c>
      <c r="W70">
        <v>0.47240270834147802</v>
      </c>
      <c r="X70" t="s">
        <v>11</v>
      </c>
      <c r="Y70" t="s">
        <v>1391</v>
      </c>
      <c r="Z70" t="s">
        <v>3147</v>
      </c>
      <c r="AA70">
        <v>0</v>
      </c>
      <c r="AB70" t="s">
        <v>14</v>
      </c>
      <c r="AC70" t="s">
        <v>15</v>
      </c>
      <c r="AD70" t="s">
        <v>3146</v>
      </c>
      <c r="AE70" t="s">
        <v>1431</v>
      </c>
      <c r="AF70">
        <v>0</v>
      </c>
      <c r="AG70" t="s">
        <v>18</v>
      </c>
    </row>
    <row r="71" spans="1:33" x14ac:dyDescent="0.3">
      <c r="A71" t="s">
        <v>2752</v>
      </c>
      <c r="B71" t="s">
        <v>587</v>
      </c>
      <c r="C71">
        <v>0</v>
      </c>
      <c r="D71" t="s">
        <v>588</v>
      </c>
      <c r="E71" t="s">
        <v>589</v>
      </c>
      <c r="F71">
        <v>-2.5</v>
      </c>
      <c r="G71" t="s">
        <v>590</v>
      </c>
      <c r="H71" t="s">
        <v>2902</v>
      </c>
      <c r="I71" t="str">
        <f t="shared" si="1"/>
        <v xml:space="preserve">psar_no_highvol_{'P' [('number'0 1) ('number'-2.5 -1)]}_[7 35]_0.5 </v>
      </c>
      <c r="J71" t="s">
        <v>2540</v>
      </c>
      <c r="K71">
        <v>125</v>
      </c>
      <c r="L71" t="s">
        <v>5</v>
      </c>
      <c r="M71">
        <v>65</v>
      </c>
      <c r="N71" t="s">
        <v>6</v>
      </c>
      <c r="O71">
        <v>11.3499999999999</v>
      </c>
      <c r="P71" t="s">
        <v>7</v>
      </c>
      <c r="Q71">
        <v>9.07999999999997E-2</v>
      </c>
      <c r="R71" t="s">
        <v>8</v>
      </c>
      <c r="S71">
        <v>0.79169230769230703</v>
      </c>
      <c r="T71" t="s">
        <v>9</v>
      </c>
      <c r="U71">
        <v>-0.66849999999999998</v>
      </c>
      <c r="V71" t="s">
        <v>10</v>
      </c>
      <c r="W71">
        <v>0.14743301232922801</v>
      </c>
      <c r="X71" t="s">
        <v>11</v>
      </c>
      <c r="Y71" t="s">
        <v>3040</v>
      </c>
      <c r="Z71" t="s">
        <v>1431</v>
      </c>
      <c r="AA71">
        <v>0</v>
      </c>
      <c r="AB71" t="s">
        <v>14</v>
      </c>
      <c r="AC71" t="s">
        <v>15</v>
      </c>
      <c r="AD71" t="s">
        <v>3041</v>
      </c>
      <c r="AE71" t="s">
        <v>2264</v>
      </c>
      <c r="AF71">
        <v>0</v>
      </c>
      <c r="AG71" t="s">
        <v>18</v>
      </c>
    </row>
    <row r="72" spans="1:33" x14ac:dyDescent="0.3">
      <c r="A72" t="s">
        <v>2811</v>
      </c>
      <c r="B72" t="s">
        <v>587</v>
      </c>
      <c r="C72">
        <v>-2.5</v>
      </c>
      <c r="D72" t="s">
        <v>588</v>
      </c>
      <c r="E72" t="s">
        <v>589</v>
      </c>
      <c r="F72">
        <v>-5</v>
      </c>
      <c r="G72" t="s">
        <v>590</v>
      </c>
      <c r="H72" t="s">
        <v>2909</v>
      </c>
      <c r="I72" t="str">
        <f t="shared" si="1"/>
        <v xml:space="preserve">stoch_{'P' [('number'-2.5 1) ('number'-5 -1)]}_[7 35]_3 </v>
      </c>
      <c r="J72" t="s">
        <v>2540</v>
      </c>
      <c r="K72">
        <v>375</v>
      </c>
      <c r="L72" t="s">
        <v>5</v>
      </c>
      <c r="M72">
        <v>93</v>
      </c>
      <c r="N72" t="s">
        <v>6</v>
      </c>
      <c r="O72">
        <v>11.29</v>
      </c>
      <c r="P72" t="s">
        <v>7</v>
      </c>
      <c r="Q72">
        <v>3.0106666666666601E-2</v>
      </c>
      <c r="R72" t="s">
        <v>8</v>
      </c>
      <c r="S72">
        <v>1.70376344086021</v>
      </c>
      <c r="T72" t="s">
        <v>9</v>
      </c>
      <c r="U72">
        <v>-0.52184397163120499</v>
      </c>
      <c r="V72" t="s">
        <v>10</v>
      </c>
      <c r="W72">
        <v>0.51670936445390803</v>
      </c>
      <c r="X72" t="s">
        <v>11</v>
      </c>
      <c r="Y72" t="s">
        <v>2906</v>
      </c>
      <c r="Z72" t="s">
        <v>2631</v>
      </c>
      <c r="AA72">
        <v>0</v>
      </c>
      <c r="AB72" t="s">
        <v>14</v>
      </c>
      <c r="AC72" t="s">
        <v>15</v>
      </c>
      <c r="AD72" t="s">
        <v>3151</v>
      </c>
      <c r="AE72" t="s">
        <v>2631</v>
      </c>
      <c r="AF72">
        <v>0</v>
      </c>
      <c r="AG72" t="s">
        <v>18</v>
      </c>
    </row>
    <row r="73" spans="1:33" x14ac:dyDescent="0.3">
      <c r="A73" t="s">
        <v>2728</v>
      </c>
      <c r="B73" t="s">
        <v>587</v>
      </c>
      <c r="C73">
        <v>-7.5</v>
      </c>
      <c r="D73" t="s">
        <v>588</v>
      </c>
      <c r="E73" t="s">
        <v>589</v>
      </c>
      <c r="F73">
        <v>-10</v>
      </c>
      <c r="G73" t="s">
        <v>1998</v>
      </c>
      <c r="H73" t="s">
        <v>2918</v>
      </c>
      <c r="I73" t="str">
        <f t="shared" si="1"/>
        <v xml:space="preserve">psar_{'P' [('number'-7.5 1) ('number'-10 -1)]}_[42 70]_0.5 </v>
      </c>
      <c r="J73" t="s">
        <v>2540</v>
      </c>
      <c r="K73">
        <v>139</v>
      </c>
      <c r="L73" t="s">
        <v>5</v>
      </c>
      <c r="M73">
        <v>74</v>
      </c>
      <c r="N73" t="s">
        <v>6</v>
      </c>
      <c r="O73">
        <v>11.0607724629558</v>
      </c>
      <c r="P73" t="s">
        <v>7</v>
      </c>
      <c r="Q73">
        <v>7.9573902611192807E-2</v>
      </c>
      <c r="R73" t="s">
        <v>8</v>
      </c>
      <c r="S73">
        <v>0.51201253123035895</v>
      </c>
      <c r="T73" t="s">
        <v>9</v>
      </c>
      <c r="U73">
        <v>-0.412740843816781</v>
      </c>
      <c r="V73" t="s">
        <v>10</v>
      </c>
      <c r="W73">
        <v>0.11581634992393899</v>
      </c>
      <c r="X73" t="s">
        <v>11</v>
      </c>
      <c r="Y73" t="s">
        <v>3074</v>
      </c>
      <c r="Z73" t="s">
        <v>129</v>
      </c>
      <c r="AA73">
        <v>0</v>
      </c>
      <c r="AB73" t="s">
        <v>14</v>
      </c>
      <c r="AC73" t="s">
        <v>15</v>
      </c>
      <c r="AD73" t="s">
        <v>3074</v>
      </c>
      <c r="AE73" t="s">
        <v>129</v>
      </c>
      <c r="AF73">
        <v>0</v>
      </c>
      <c r="AG73" t="s">
        <v>18</v>
      </c>
    </row>
    <row r="74" spans="1:33" x14ac:dyDescent="0.3">
      <c r="A74" t="s">
        <v>2858</v>
      </c>
      <c r="B74" t="s">
        <v>587</v>
      </c>
      <c r="C74">
        <v>-5</v>
      </c>
      <c r="D74" t="s">
        <v>588</v>
      </c>
      <c r="E74" t="s">
        <v>589</v>
      </c>
      <c r="F74">
        <v>-7.5</v>
      </c>
      <c r="G74" t="s">
        <v>1998</v>
      </c>
      <c r="H74" t="s">
        <v>2926</v>
      </c>
      <c r="I74" t="str">
        <f t="shared" si="1"/>
        <v xml:space="preserve">stoch_no_highvol_{'P' [('number'-5 1) ('number'-7.5 -1)]}_[42 70]_3 </v>
      </c>
      <c r="J74" t="s">
        <v>2540</v>
      </c>
      <c r="K74">
        <v>331</v>
      </c>
      <c r="L74" t="s">
        <v>5</v>
      </c>
      <c r="M74">
        <v>72</v>
      </c>
      <c r="N74" t="s">
        <v>6</v>
      </c>
      <c r="O74">
        <v>10.996864866947501</v>
      </c>
      <c r="P74" t="s">
        <v>7</v>
      </c>
      <c r="Q74">
        <v>3.3223156697726797E-2</v>
      </c>
      <c r="R74" t="s">
        <v>8</v>
      </c>
      <c r="S74">
        <v>1.8955633817642299</v>
      </c>
      <c r="T74" t="s">
        <v>9</v>
      </c>
      <c r="U74">
        <v>-0.48449304486516198</v>
      </c>
      <c r="V74" t="s">
        <v>10</v>
      </c>
      <c r="W74">
        <v>0.409476497442263</v>
      </c>
      <c r="X74" t="s">
        <v>11</v>
      </c>
      <c r="Y74" t="s">
        <v>3183</v>
      </c>
      <c r="Z74" t="s">
        <v>2655</v>
      </c>
      <c r="AA74">
        <v>0</v>
      </c>
      <c r="AB74" t="s">
        <v>14</v>
      </c>
      <c r="AC74" t="s">
        <v>15</v>
      </c>
      <c r="AD74" t="s">
        <v>3184</v>
      </c>
      <c r="AE74" t="s">
        <v>2693</v>
      </c>
      <c r="AF74">
        <v>0</v>
      </c>
      <c r="AG74" t="s">
        <v>18</v>
      </c>
    </row>
    <row r="75" spans="1:33" x14ac:dyDescent="0.3">
      <c r="A75" t="s">
        <v>2811</v>
      </c>
      <c r="B75" t="s">
        <v>587</v>
      </c>
      <c r="C75">
        <v>0</v>
      </c>
      <c r="D75" t="s">
        <v>588</v>
      </c>
      <c r="E75" t="s">
        <v>589</v>
      </c>
      <c r="F75">
        <v>-2.5</v>
      </c>
      <c r="G75" t="s">
        <v>590</v>
      </c>
      <c r="H75" t="s">
        <v>2902</v>
      </c>
      <c r="I75" t="str">
        <f t="shared" si="1"/>
        <v xml:space="preserve">stoch_{'P' [('number'0 1) ('number'-2.5 -1)]}_[7 35]_0.5 </v>
      </c>
      <c r="J75" t="s">
        <v>2540</v>
      </c>
      <c r="K75">
        <v>375</v>
      </c>
      <c r="L75" t="s">
        <v>5</v>
      </c>
      <c r="M75">
        <v>179</v>
      </c>
      <c r="N75" t="s">
        <v>6</v>
      </c>
      <c r="O75">
        <v>10.8999999999998</v>
      </c>
      <c r="P75" t="s">
        <v>7</v>
      </c>
      <c r="Q75">
        <v>2.9066666666666199E-2</v>
      </c>
      <c r="R75" t="s">
        <v>8</v>
      </c>
      <c r="S75">
        <v>0.76519553072625701</v>
      </c>
      <c r="T75" t="s">
        <v>9</v>
      </c>
      <c r="U75">
        <v>-0.64321428571428596</v>
      </c>
      <c r="V75" t="s">
        <v>10</v>
      </c>
      <c r="W75">
        <v>0.40148091397436297</v>
      </c>
      <c r="X75" t="s">
        <v>11</v>
      </c>
      <c r="Y75" t="s">
        <v>2978</v>
      </c>
      <c r="Z75" t="s">
        <v>1431</v>
      </c>
      <c r="AA75">
        <v>0</v>
      </c>
      <c r="AB75" t="s">
        <v>14</v>
      </c>
      <c r="AC75" t="s">
        <v>15</v>
      </c>
      <c r="AD75" t="s">
        <v>3146</v>
      </c>
      <c r="AE75" t="s">
        <v>1431</v>
      </c>
      <c r="AF75">
        <v>0</v>
      </c>
      <c r="AG75" t="s">
        <v>18</v>
      </c>
    </row>
    <row r="76" spans="1:33" x14ac:dyDescent="0.3">
      <c r="A76" t="s">
        <v>2777</v>
      </c>
      <c r="B76" t="s">
        <v>587</v>
      </c>
      <c r="C76">
        <v>-2.5</v>
      </c>
      <c r="D76" t="s">
        <v>588</v>
      </c>
      <c r="E76" t="s">
        <v>589</v>
      </c>
      <c r="F76">
        <v>-5</v>
      </c>
      <c r="G76" t="s">
        <v>1998</v>
      </c>
      <c r="H76" t="s">
        <v>2926</v>
      </c>
      <c r="I76" t="str">
        <f t="shared" si="1"/>
        <v xml:space="preserve">rsi_{'P' [('number'-2.5 1) ('number'-5 -1)]}_[42 70]_3 </v>
      </c>
      <c r="J76" t="s">
        <v>2540</v>
      </c>
      <c r="K76">
        <v>127</v>
      </c>
      <c r="L76" t="s">
        <v>5</v>
      </c>
      <c r="M76">
        <v>34</v>
      </c>
      <c r="N76" t="s">
        <v>6</v>
      </c>
      <c r="O76">
        <v>10.7812255221793</v>
      </c>
      <c r="P76" t="s">
        <v>7</v>
      </c>
      <c r="Q76">
        <v>8.4891539544719202E-2</v>
      </c>
      <c r="R76" t="s">
        <v>8</v>
      </c>
      <c r="S76">
        <v>1.7619694177</v>
      </c>
      <c r="T76" t="s">
        <v>9</v>
      </c>
      <c r="U76">
        <v>-0.528233706232481</v>
      </c>
      <c r="V76" t="s">
        <v>10</v>
      </c>
      <c r="W76">
        <v>0.25052306376975197</v>
      </c>
      <c r="X76" t="s">
        <v>11</v>
      </c>
      <c r="Y76" t="s">
        <v>3119</v>
      </c>
      <c r="Z76" t="s">
        <v>3120</v>
      </c>
      <c r="AA76">
        <v>0</v>
      </c>
      <c r="AB76" t="s">
        <v>14</v>
      </c>
      <c r="AC76" t="s">
        <v>15</v>
      </c>
      <c r="AD76" t="s">
        <v>3118</v>
      </c>
      <c r="AE76" t="s">
        <v>3117</v>
      </c>
      <c r="AF76">
        <v>0</v>
      </c>
      <c r="AG76" t="s">
        <v>18</v>
      </c>
    </row>
    <row r="77" spans="1:33" x14ac:dyDescent="0.3">
      <c r="A77" t="s">
        <v>2777</v>
      </c>
      <c r="B77" t="s">
        <v>587</v>
      </c>
      <c r="C77">
        <v>-2.5</v>
      </c>
      <c r="D77" t="s">
        <v>588</v>
      </c>
      <c r="E77" t="s">
        <v>589</v>
      </c>
      <c r="F77">
        <v>-5</v>
      </c>
      <c r="G77" t="s">
        <v>599</v>
      </c>
      <c r="H77" t="s">
        <v>2550</v>
      </c>
      <c r="I77" t="str">
        <f t="shared" si="1"/>
        <v xml:space="preserve">rsi_{'P' [('number'-2.5 1) ('number'-5 -1)]}_[21 49]_1 </v>
      </c>
      <c r="J77" t="s">
        <v>2540</v>
      </c>
      <c r="K77">
        <v>128</v>
      </c>
      <c r="L77" t="s">
        <v>5</v>
      </c>
      <c r="M77">
        <v>51</v>
      </c>
      <c r="N77" t="s">
        <v>6</v>
      </c>
      <c r="O77">
        <v>10.68</v>
      </c>
      <c r="P77" t="s">
        <v>7</v>
      </c>
      <c r="Q77">
        <v>8.3437499999999998E-2</v>
      </c>
      <c r="R77" t="s">
        <v>8</v>
      </c>
      <c r="S77">
        <v>0.96450980392156804</v>
      </c>
      <c r="T77" t="s">
        <v>9</v>
      </c>
      <c r="U77">
        <v>-0.50012987012986998</v>
      </c>
      <c r="V77" t="s">
        <v>10</v>
      </c>
      <c r="W77">
        <v>0.14690608694805399</v>
      </c>
      <c r="X77" t="s">
        <v>11</v>
      </c>
      <c r="Y77" t="s">
        <v>3108</v>
      </c>
      <c r="Z77" t="s">
        <v>2691</v>
      </c>
      <c r="AA77">
        <v>0</v>
      </c>
      <c r="AB77" t="s">
        <v>14</v>
      </c>
      <c r="AC77" t="s">
        <v>15</v>
      </c>
      <c r="AD77" t="s">
        <v>3109</v>
      </c>
      <c r="AE77" t="s">
        <v>3110</v>
      </c>
      <c r="AF77">
        <v>0</v>
      </c>
      <c r="AG77" t="s">
        <v>18</v>
      </c>
    </row>
    <row r="78" spans="1:33" x14ac:dyDescent="0.3">
      <c r="A78" t="s">
        <v>2752</v>
      </c>
      <c r="B78" t="s">
        <v>587</v>
      </c>
      <c r="C78">
        <v>-7.5</v>
      </c>
      <c r="D78" t="s">
        <v>588</v>
      </c>
      <c r="E78" t="s">
        <v>589</v>
      </c>
      <c r="F78">
        <v>-10</v>
      </c>
      <c r="G78" t="s">
        <v>599</v>
      </c>
      <c r="H78" t="s">
        <v>2552</v>
      </c>
      <c r="I78" t="str">
        <f t="shared" si="1"/>
        <v xml:space="preserve">psar_no_highvol_{'P' [('number'-7.5 1) ('number'-10 -1)]}_[21 49]_2 </v>
      </c>
      <c r="J78" t="s">
        <v>2540</v>
      </c>
      <c r="K78">
        <v>130</v>
      </c>
      <c r="L78" t="s">
        <v>5</v>
      </c>
      <c r="M78">
        <v>32</v>
      </c>
      <c r="N78" t="s">
        <v>6</v>
      </c>
      <c r="O78">
        <v>10.54</v>
      </c>
      <c r="P78" t="s">
        <v>7</v>
      </c>
      <c r="Q78">
        <v>8.1076923076923005E-2</v>
      </c>
      <c r="R78" t="s">
        <v>8</v>
      </c>
      <c r="S78">
        <v>1.3425</v>
      </c>
      <c r="T78" t="s">
        <v>9</v>
      </c>
      <c r="U78">
        <v>-0.33081632653061199</v>
      </c>
      <c r="V78" t="s">
        <v>10</v>
      </c>
      <c r="W78">
        <v>0.14236917572213201</v>
      </c>
      <c r="X78" t="s">
        <v>11</v>
      </c>
      <c r="Y78" t="s">
        <v>3092</v>
      </c>
      <c r="Z78" t="s">
        <v>2695</v>
      </c>
      <c r="AA78">
        <v>0</v>
      </c>
      <c r="AB78" t="s">
        <v>14</v>
      </c>
      <c r="AC78" t="s">
        <v>15</v>
      </c>
      <c r="AD78" t="s">
        <v>3092</v>
      </c>
      <c r="AE78" t="s">
        <v>2695</v>
      </c>
      <c r="AF78">
        <v>0</v>
      </c>
      <c r="AG78" t="s">
        <v>18</v>
      </c>
    </row>
    <row r="79" spans="1:33" x14ac:dyDescent="0.3">
      <c r="A79" t="s">
        <v>2777</v>
      </c>
      <c r="B79" t="s">
        <v>587</v>
      </c>
      <c r="C79">
        <v>0</v>
      </c>
      <c r="D79" t="s">
        <v>588</v>
      </c>
      <c r="E79" t="s">
        <v>589</v>
      </c>
      <c r="F79">
        <v>-2.5</v>
      </c>
      <c r="G79" t="s">
        <v>590</v>
      </c>
      <c r="H79" t="s">
        <v>2909</v>
      </c>
      <c r="I79" t="str">
        <f t="shared" si="1"/>
        <v xml:space="preserve">rsi_{'P' [('number'0 1) ('number'-2.5 -1)]}_[7 35]_3 </v>
      </c>
      <c r="J79" t="s">
        <v>2540</v>
      </c>
      <c r="K79">
        <v>136</v>
      </c>
      <c r="L79" t="s">
        <v>5</v>
      </c>
      <c r="M79">
        <v>49</v>
      </c>
      <c r="N79" t="s">
        <v>6</v>
      </c>
      <c r="O79">
        <v>10.2799999999999</v>
      </c>
      <c r="P79" t="s">
        <v>7</v>
      </c>
      <c r="Q79">
        <v>7.5588235294117401E-2</v>
      </c>
      <c r="R79" t="s">
        <v>8</v>
      </c>
      <c r="S79">
        <v>1.38163265306122</v>
      </c>
      <c r="T79" t="s">
        <v>9</v>
      </c>
      <c r="U79">
        <v>-0.66</v>
      </c>
      <c r="V79" t="s">
        <v>10</v>
      </c>
      <c r="W79">
        <v>0.20407399697575701</v>
      </c>
      <c r="X79" t="s">
        <v>11</v>
      </c>
      <c r="Y79" t="s">
        <v>3017</v>
      </c>
      <c r="Z79" t="s">
        <v>284</v>
      </c>
      <c r="AA79">
        <v>0</v>
      </c>
      <c r="AB79" t="s">
        <v>14</v>
      </c>
      <c r="AC79" t="s">
        <v>15</v>
      </c>
      <c r="AD79" t="s">
        <v>3097</v>
      </c>
      <c r="AE79" t="s">
        <v>2249</v>
      </c>
      <c r="AF79">
        <v>0</v>
      </c>
      <c r="AG79" t="s">
        <v>18</v>
      </c>
    </row>
    <row r="80" spans="1:33" x14ac:dyDescent="0.3">
      <c r="A80" t="s">
        <v>2728</v>
      </c>
      <c r="B80" t="s">
        <v>587</v>
      </c>
      <c r="C80">
        <v>-2.5</v>
      </c>
      <c r="D80" t="s">
        <v>588</v>
      </c>
      <c r="E80" t="s">
        <v>589</v>
      </c>
      <c r="F80">
        <v>-5</v>
      </c>
      <c r="G80" t="s">
        <v>590</v>
      </c>
      <c r="H80" t="s">
        <v>2909</v>
      </c>
      <c r="I80" t="str">
        <f t="shared" si="1"/>
        <v xml:space="preserve">psar_{'P' [('number'-2.5 1) ('number'-5 -1)]}_[7 35]_3 </v>
      </c>
      <c r="J80" t="s">
        <v>2540</v>
      </c>
      <c r="K80">
        <v>135</v>
      </c>
      <c r="L80" t="s">
        <v>5</v>
      </c>
      <c r="M80">
        <v>37</v>
      </c>
      <c r="N80" t="s">
        <v>6</v>
      </c>
      <c r="O80">
        <v>10.249999999999901</v>
      </c>
      <c r="P80" t="s">
        <v>7</v>
      </c>
      <c r="Q80">
        <v>7.5925925925925494E-2</v>
      </c>
      <c r="R80" t="s">
        <v>8</v>
      </c>
      <c r="S80">
        <v>1.61864864864864</v>
      </c>
      <c r="T80" t="s">
        <v>9</v>
      </c>
      <c r="U80">
        <v>-0.50653061224489804</v>
      </c>
      <c r="V80" t="s">
        <v>10</v>
      </c>
      <c r="W80">
        <v>0.21601334951811199</v>
      </c>
      <c r="X80" t="s">
        <v>11</v>
      </c>
      <c r="Y80" t="s">
        <v>2992</v>
      </c>
      <c r="Z80" t="s">
        <v>2071</v>
      </c>
      <c r="AA80">
        <v>0</v>
      </c>
      <c r="AB80" t="s">
        <v>14</v>
      </c>
      <c r="AC80" t="s">
        <v>15</v>
      </c>
      <c r="AD80" t="s">
        <v>168</v>
      </c>
      <c r="AE80" t="s">
        <v>3047</v>
      </c>
      <c r="AF80">
        <v>0</v>
      </c>
      <c r="AG80" t="s">
        <v>18</v>
      </c>
    </row>
    <row r="81" spans="1:33" x14ac:dyDescent="0.3">
      <c r="A81" t="s">
        <v>2728</v>
      </c>
      <c r="B81" t="s">
        <v>587</v>
      </c>
      <c r="C81">
        <v>-5</v>
      </c>
      <c r="D81" t="s">
        <v>588</v>
      </c>
      <c r="E81" t="s">
        <v>589</v>
      </c>
      <c r="F81">
        <v>-7.5</v>
      </c>
      <c r="G81" t="s">
        <v>599</v>
      </c>
      <c r="H81" t="s">
        <v>2550</v>
      </c>
      <c r="I81" t="str">
        <f t="shared" si="1"/>
        <v xml:space="preserve">psar_{'P' [('number'-5 1) ('number'-7.5 -1)]}_[21 49]_1 </v>
      </c>
      <c r="J81" t="s">
        <v>2540</v>
      </c>
      <c r="K81">
        <v>140</v>
      </c>
      <c r="L81" t="s">
        <v>5</v>
      </c>
      <c r="M81">
        <v>49</v>
      </c>
      <c r="N81" t="s">
        <v>6</v>
      </c>
      <c r="O81">
        <v>10.15</v>
      </c>
      <c r="P81" t="s">
        <v>7</v>
      </c>
      <c r="Q81">
        <v>7.2499999999999995E-2</v>
      </c>
      <c r="R81" t="s">
        <v>8</v>
      </c>
      <c r="S81">
        <v>0.98551020408163204</v>
      </c>
      <c r="T81" t="s">
        <v>9</v>
      </c>
      <c r="U81">
        <v>-0.41912087912087898</v>
      </c>
      <c r="V81" t="s">
        <v>10</v>
      </c>
      <c r="W81">
        <v>0.15318231810327301</v>
      </c>
      <c r="X81" t="s">
        <v>11</v>
      </c>
      <c r="Y81" t="s">
        <v>3061</v>
      </c>
      <c r="Z81" t="s">
        <v>2711</v>
      </c>
      <c r="AA81">
        <v>0</v>
      </c>
      <c r="AB81" t="s">
        <v>14</v>
      </c>
      <c r="AC81" t="s">
        <v>15</v>
      </c>
      <c r="AD81" t="s">
        <v>3061</v>
      </c>
      <c r="AE81" t="s">
        <v>2711</v>
      </c>
      <c r="AF81">
        <v>0</v>
      </c>
      <c r="AG81" t="s">
        <v>18</v>
      </c>
    </row>
    <row r="82" spans="1:33" x14ac:dyDescent="0.3">
      <c r="A82" t="s">
        <v>2811</v>
      </c>
      <c r="B82" t="s">
        <v>587</v>
      </c>
      <c r="C82">
        <v>0</v>
      </c>
      <c r="D82" t="s">
        <v>588</v>
      </c>
      <c r="E82" t="s">
        <v>589</v>
      </c>
      <c r="F82">
        <v>-2.5</v>
      </c>
      <c r="G82" t="s">
        <v>590</v>
      </c>
      <c r="H82" t="s">
        <v>2909</v>
      </c>
      <c r="I82" t="str">
        <f t="shared" si="1"/>
        <v xml:space="preserve">stoch_{'P' [('number'0 1) ('number'-2.5 -1)]}_[7 35]_3 </v>
      </c>
      <c r="J82" t="s">
        <v>2540</v>
      </c>
      <c r="K82">
        <v>375</v>
      </c>
      <c r="L82" t="s">
        <v>5</v>
      </c>
      <c r="M82">
        <v>125</v>
      </c>
      <c r="N82" t="s">
        <v>6</v>
      </c>
      <c r="O82">
        <v>10.029999999999699</v>
      </c>
      <c r="P82" t="s">
        <v>7</v>
      </c>
      <c r="Q82">
        <v>2.67466666666661E-2</v>
      </c>
      <c r="R82" t="s">
        <v>8</v>
      </c>
      <c r="S82">
        <v>1.39</v>
      </c>
      <c r="T82" t="s">
        <v>9</v>
      </c>
      <c r="U82">
        <v>-0.65488000000000102</v>
      </c>
      <c r="V82" t="s">
        <v>10</v>
      </c>
      <c r="W82">
        <v>0.53440632434672997</v>
      </c>
      <c r="X82" t="s">
        <v>11</v>
      </c>
      <c r="Y82" t="s">
        <v>1391</v>
      </c>
      <c r="Z82" t="s">
        <v>3147</v>
      </c>
      <c r="AA82">
        <v>0</v>
      </c>
      <c r="AB82" t="s">
        <v>14</v>
      </c>
      <c r="AC82" t="s">
        <v>15</v>
      </c>
      <c r="AD82" t="s">
        <v>3146</v>
      </c>
      <c r="AE82" t="s">
        <v>1431</v>
      </c>
      <c r="AF82">
        <v>0</v>
      </c>
      <c r="AG82" t="s">
        <v>18</v>
      </c>
    </row>
    <row r="83" spans="1:33" x14ac:dyDescent="0.3">
      <c r="A83" t="s">
        <v>2811</v>
      </c>
      <c r="B83" t="s">
        <v>587</v>
      </c>
      <c r="C83">
        <v>-2.5</v>
      </c>
      <c r="D83" t="s">
        <v>588</v>
      </c>
      <c r="E83" t="s">
        <v>589</v>
      </c>
      <c r="F83">
        <v>-5</v>
      </c>
      <c r="G83" t="s">
        <v>590</v>
      </c>
      <c r="H83" t="s">
        <v>2543</v>
      </c>
      <c r="I83" t="str">
        <f t="shared" si="1"/>
        <v xml:space="preserve">stoch_{'P' [('number'-2.5 1) ('number'-5 -1)]}_[7 35]_2 </v>
      </c>
      <c r="J83" t="s">
        <v>2540</v>
      </c>
      <c r="K83">
        <v>375</v>
      </c>
      <c r="L83" t="s">
        <v>5</v>
      </c>
      <c r="M83">
        <v>97</v>
      </c>
      <c r="N83" t="s">
        <v>6</v>
      </c>
      <c r="O83">
        <v>10</v>
      </c>
      <c r="P83" t="s">
        <v>7</v>
      </c>
      <c r="Q83">
        <v>2.6666666666666599E-2</v>
      </c>
      <c r="R83" t="s">
        <v>8</v>
      </c>
      <c r="S83">
        <v>1.6020618556701001</v>
      </c>
      <c r="T83" t="s">
        <v>9</v>
      </c>
      <c r="U83">
        <v>-0.52302158273381305</v>
      </c>
      <c r="V83" t="s">
        <v>10</v>
      </c>
      <c r="W83">
        <v>0.49771081606057999</v>
      </c>
      <c r="X83" t="s">
        <v>11</v>
      </c>
      <c r="Y83" t="s">
        <v>2906</v>
      </c>
      <c r="Z83" t="s">
        <v>2631</v>
      </c>
      <c r="AA83">
        <v>0</v>
      </c>
      <c r="AB83" t="s">
        <v>14</v>
      </c>
      <c r="AC83" t="s">
        <v>15</v>
      </c>
      <c r="AD83" t="s">
        <v>3151</v>
      </c>
      <c r="AE83" t="s">
        <v>2631</v>
      </c>
      <c r="AF83">
        <v>0</v>
      </c>
      <c r="AG83" t="s">
        <v>18</v>
      </c>
    </row>
    <row r="84" spans="1:33" x14ac:dyDescent="0.3">
      <c r="A84" t="s">
        <v>2777</v>
      </c>
      <c r="B84" t="s">
        <v>587</v>
      </c>
      <c r="C84">
        <v>-2.5</v>
      </c>
      <c r="D84" t="s">
        <v>588</v>
      </c>
      <c r="E84" t="s">
        <v>589</v>
      </c>
      <c r="F84">
        <v>-5</v>
      </c>
      <c r="G84" t="s">
        <v>1998</v>
      </c>
      <c r="H84" t="s">
        <v>2918</v>
      </c>
      <c r="I84" t="str">
        <f t="shared" si="1"/>
        <v xml:space="preserve">rsi_{'P' [('number'-2.5 1) ('number'-5 -1)]}_[42 70]_0.5 </v>
      </c>
      <c r="J84" t="s">
        <v>2540</v>
      </c>
      <c r="K84">
        <v>127</v>
      </c>
      <c r="L84" t="s">
        <v>5</v>
      </c>
      <c r="M84">
        <v>67</v>
      </c>
      <c r="N84" t="s">
        <v>6</v>
      </c>
      <c r="O84">
        <v>9.8919128847677307</v>
      </c>
      <c r="P84" t="s">
        <v>7</v>
      </c>
      <c r="Q84">
        <v>7.7889077832816705E-2</v>
      </c>
      <c r="R84" t="s">
        <v>8</v>
      </c>
      <c r="S84">
        <v>0.62641791044776096</v>
      </c>
      <c r="T84" t="s">
        <v>9</v>
      </c>
      <c r="U84">
        <v>-0.53463478525387098</v>
      </c>
      <c r="V84" t="s">
        <v>10</v>
      </c>
      <c r="W84">
        <v>0.13336508375210401</v>
      </c>
      <c r="X84" t="s">
        <v>11</v>
      </c>
      <c r="Y84" t="s">
        <v>3112</v>
      </c>
      <c r="Z84" t="s">
        <v>1343</v>
      </c>
      <c r="AA84">
        <v>0</v>
      </c>
      <c r="AB84" t="s">
        <v>14</v>
      </c>
      <c r="AC84" t="s">
        <v>15</v>
      </c>
      <c r="AD84" t="s">
        <v>3113</v>
      </c>
      <c r="AE84" t="s">
        <v>2258</v>
      </c>
      <c r="AF84">
        <v>0</v>
      </c>
      <c r="AG84" t="s">
        <v>18</v>
      </c>
    </row>
    <row r="85" spans="1:33" x14ac:dyDescent="0.3">
      <c r="A85" t="s">
        <v>2752</v>
      </c>
      <c r="B85" t="s">
        <v>587</v>
      </c>
      <c r="C85">
        <v>-5</v>
      </c>
      <c r="D85" t="s">
        <v>588</v>
      </c>
      <c r="E85" t="s">
        <v>589</v>
      </c>
      <c r="F85">
        <v>-7.5</v>
      </c>
      <c r="G85" t="s">
        <v>590</v>
      </c>
      <c r="H85" t="s">
        <v>2909</v>
      </c>
      <c r="I85" t="str">
        <f t="shared" si="1"/>
        <v xml:space="preserve">psar_no_highvol_{'P' [('number'-5 1) ('number'-7.5 -1)]}_[7 35]_3 </v>
      </c>
      <c r="J85" t="s">
        <v>2540</v>
      </c>
      <c r="K85">
        <v>125</v>
      </c>
      <c r="L85" t="s">
        <v>5</v>
      </c>
      <c r="M85">
        <v>26</v>
      </c>
      <c r="N85" t="s">
        <v>6</v>
      </c>
      <c r="O85">
        <v>9.02</v>
      </c>
      <c r="P85" t="s">
        <v>7</v>
      </c>
      <c r="Q85">
        <v>7.2160000000000002E-2</v>
      </c>
      <c r="R85" t="s">
        <v>8</v>
      </c>
      <c r="S85">
        <v>1.67384615384615</v>
      </c>
      <c r="T85" t="s">
        <v>9</v>
      </c>
      <c r="U85">
        <v>-0.34848484848484801</v>
      </c>
      <c r="V85" t="s">
        <v>10</v>
      </c>
      <c r="W85">
        <v>0.159802922252264</v>
      </c>
      <c r="X85" t="s">
        <v>11</v>
      </c>
      <c r="Y85" t="s">
        <v>684</v>
      </c>
      <c r="Z85" t="s">
        <v>3047</v>
      </c>
      <c r="AA85">
        <v>0</v>
      </c>
      <c r="AB85" t="s">
        <v>14</v>
      </c>
      <c r="AC85" t="s">
        <v>15</v>
      </c>
      <c r="AD85" t="s">
        <v>3063</v>
      </c>
      <c r="AE85" t="s">
        <v>3047</v>
      </c>
      <c r="AF85">
        <v>0</v>
      </c>
      <c r="AG85" t="s">
        <v>18</v>
      </c>
    </row>
    <row r="86" spans="1:33" x14ac:dyDescent="0.3">
      <c r="A86" t="s">
        <v>2752</v>
      </c>
      <c r="B86" t="s">
        <v>587</v>
      </c>
      <c r="C86">
        <v>-5</v>
      </c>
      <c r="D86" t="s">
        <v>588</v>
      </c>
      <c r="E86" t="s">
        <v>589</v>
      </c>
      <c r="F86">
        <v>-7.5</v>
      </c>
      <c r="G86" t="s">
        <v>599</v>
      </c>
      <c r="H86" t="s">
        <v>2550</v>
      </c>
      <c r="I86" t="str">
        <f t="shared" si="1"/>
        <v xml:space="preserve">psar_no_highvol_{'P' [('number'-5 1) ('number'-7.5 -1)]}_[21 49]_1 </v>
      </c>
      <c r="J86" t="s">
        <v>2540</v>
      </c>
      <c r="K86">
        <v>130</v>
      </c>
      <c r="L86" t="s">
        <v>5</v>
      </c>
      <c r="M86">
        <v>45</v>
      </c>
      <c r="N86" t="s">
        <v>6</v>
      </c>
      <c r="O86">
        <v>8.4600000000000009</v>
      </c>
      <c r="P86" t="s">
        <v>7</v>
      </c>
      <c r="Q86">
        <v>6.5076923076923004E-2</v>
      </c>
      <c r="R86" t="s">
        <v>8</v>
      </c>
      <c r="S86">
        <v>0.96977777777777696</v>
      </c>
      <c r="T86" t="s">
        <v>9</v>
      </c>
      <c r="U86">
        <v>-0.41388235294117598</v>
      </c>
      <c r="V86" t="s">
        <v>10</v>
      </c>
      <c r="W86">
        <v>0.134595070812837</v>
      </c>
      <c r="X86" t="s">
        <v>11</v>
      </c>
      <c r="Y86" t="s">
        <v>3061</v>
      </c>
      <c r="Z86" t="s">
        <v>2711</v>
      </c>
      <c r="AA86">
        <v>0</v>
      </c>
      <c r="AB86" t="s">
        <v>14</v>
      </c>
      <c r="AC86" t="s">
        <v>15</v>
      </c>
      <c r="AD86" t="s">
        <v>3061</v>
      </c>
      <c r="AE86" t="s">
        <v>2711</v>
      </c>
      <c r="AF86">
        <v>0</v>
      </c>
      <c r="AG86" t="s">
        <v>18</v>
      </c>
    </row>
    <row r="87" spans="1:33" x14ac:dyDescent="0.3">
      <c r="A87" t="s">
        <v>2777</v>
      </c>
      <c r="B87" t="s">
        <v>587</v>
      </c>
      <c r="C87">
        <v>-5</v>
      </c>
      <c r="D87" t="s">
        <v>588</v>
      </c>
      <c r="E87" t="s">
        <v>589</v>
      </c>
      <c r="F87">
        <v>-7.5</v>
      </c>
      <c r="G87" t="s">
        <v>599</v>
      </c>
      <c r="H87" t="s">
        <v>2916</v>
      </c>
      <c r="I87" t="str">
        <f t="shared" si="1"/>
        <v xml:space="preserve">rsi_{'P' [('number'-5 1) ('number'-7.5 -1)]}_[21 49]_3 </v>
      </c>
      <c r="J87" t="s">
        <v>2540</v>
      </c>
      <c r="K87">
        <v>128</v>
      </c>
      <c r="L87" t="s">
        <v>5</v>
      </c>
      <c r="M87">
        <v>29</v>
      </c>
      <c r="N87" t="s">
        <v>6</v>
      </c>
      <c r="O87">
        <v>8.2899999999999903</v>
      </c>
      <c r="P87" t="s">
        <v>7</v>
      </c>
      <c r="Q87">
        <v>6.4765624999999896E-2</v>
      </c>
      <c r="R87" t="s">
        <v>8</v>
      </c>
      <c r="S87">
        <v>1.8124137931034401</v>
      </c>
      <c r="T87" t="s">
        <v>9</v>
      </c>
      <c r="U87">
        <v>-0.447171717171717</v>
      </c>
      <c r="V87" t="s">
        <v>10</v>
      </c>
      <c r="W87">
        <v>0.19501153463137499</v>
      </c>
      <c r="X87" t="s">
        <v>11</v>
      </c>
      <c r="Y87" t="s">
        <v>2938</v>
      </c>
      <c r="Z87" t="s">
        <v>660</v>
      </c>
      <c r="AA87">
        <v>0</v>
      </c>
      <c r="AB87" t="s">
        <v>14</v>
      </c>
      <c r="AC87" t="s">
        <v>15</v>
      </c>
      <c r="AD87" t="s">
        <v>2938</v>
      </c>
      <c r="AE87" t="s">
        <v>660</v>
      </c>
      <c r="AF87">
        <v>0</v>
      </c>
      <c r="AG87" t="s">
        <v>18</v>
      </c>
    </row>
    <row r="88" spans="1:33" x14ac:dyDescent="0.3">
      <c r="A88" t="s">
        <v>2728</v>
      </c>
      <c r="B88" t="s">
        <v>587</v>
      </c>
      <c r="C88">
        <v>-5</v>
      </c>
      <c r="D88" t="s">
        <v>588</v>
      </c>
      <c r="E88" t="s">
        <v>589</v>
      </c>
      <c r="F88">
        <v>-7.5</v>
      </c>
      <c r="G88" t="s">
        <v>599</v>
      </c>
      <c r="H88" t="s">
        <v>2910</v>
      </c>
      <c r="I88" t="str">
        <f t="shared" si="1"/>
        <v xml:space="preserve">psar_{'P' [('number'-5 1) ('number'-7.5 -1)]}_[21 49]_0.5 </v>
      </c>
      <c r="J88" t="s">
        <v>2540</v>
      </c>
      <c r="K88">
        <v>140</v>
      </c>
      <c r="L88" t="s">
        <v>5</v>
      </c>
      <c r="M88">
        <v>71</v>
      </c>
      <c r="N88" t="s">
        <v>6</v>
      </c>
      <c r="O88">
        <v>8.18</v>
      </c>
      <c r="P88" t="s">
        <v>7</v>
      </c>
      <c r="Q88">
        <v>5.8428571428571399E-2</v>
      </c>
      <c r="R88" t="s">
        <v>8</v>
      </c>
      <c r="S88">
        <v>0.52028169014084502</v>
      </c>
      <c r="T88" t="s">
        <v>9</v>
      </c>
      <c r="U88">
        <v>-0.41681159420289798</v>
      </c>
      <c r="V88" t="s">
        <v>10</v>
      </c>
      <c r="W88">
        <v>0.117470801302242</v>
      </c>
      <c r="X88" t="s">
        <v>11</v>
      </c>
      <c r="Y88" t="s">
        <v>3064</v>
      </c>
      <c r="Z88" t="s">
        <v>3065</v>
      </c>
      <c r="AA88">
        <v>0</v>
      </c>
      <c r="AB88" t="s">
        <v>14</v>
      </c>
      <c r="AC88" t="s">
        <v>15</v>
      </c>
      <c r="AD88" t="s">
        <v>3064</v>
      </c>
      <c r="AE88" t="s">
        <v>3065</v>
      </c>
      <c r="AF88">
        <v>0</v>
      </c>
      <c r="AG88" t="s">
        <v>18</v>
      </c>
    </row>
    <row r="89" spans="1:33" x14ac:dyDescent="0.3">
      <c r="A89" t="s">
        <v>2858</v>
      </c>
      <c r="B89" t="s">
        <v>587</v>
      </c>
      <c r="C89">
        <v>-5</v>
      </c>
      <c r="D89" t="s">
        <v>588</v>
      </c>
      <c r="E89" t="s">
        <v>589</v>
      </c>
      <c r="F89">
        <v>-7.5</v>
      </c>
      <c r="G89" t="s">
        <v>590</v>
      </c>
      <c r="H89" t="s">
        <v>2909</v>
      </c>
      <c r="I89" t="str">
        <f t="shared" si="1"/>
        <v xml:space="preserve">stoch_no_highvol_{'P' [('number'-5 1) ('number'-7.5 -1)]}_[7 35]_3 </v>
      </c>
      <c r="J89" t="s">
        <v>2540</v>
      </c>
      <c r="K89">
        <v>334</v>
      </c>
      <c r="L89" t="s">
        <v>5</v>
      </c>
      <c r="M89">
        <v>63</v>
      </c>
      <c r="N89" t="s">
        <v>6</v>
      </c>
      <c r="O89">
        <v>8.0199999999998699</v>
      </c>
      <c r="P89" t="s">
        <v>7</v>
      </c>
      <c r="Q89">
        <v>2.40119760479038E-2</v>
      </c>
      <c r="R89" t="s">
        <v>8</v>
      </c>
      <c r="S89">
        <v>1.61349206349206</v>
      </c>
      <c r="T89" t="s">
        <v>9</v>
      </c>
      <c r="U89">
        <v>-0.34549815498155001</v>
      </c>
      <c r="V89" t="s">
        <v>10</v>
      </c>
      <c r="W89">
        <v>0.36828125466608802</v>
      </c>
      <c r="X89" t="s">
        <v>11</v>
      </c>
      <c r="Y89" t="s">
        <v>1391</v>
      </c>
      <c r="Z89" t="s">
        <v>3147</v>
      </c>
      <c r="AA89">
        <v>0</v>
      </c>
      <c r="AB89" t="s">
        <v>14</v>
      </c>
      <c r="AC89" t="s">
        <v>15</v>
      </c>
      <c r="AD89" t="s">
        <v>3158</v>
      </c>
      <c r="AE89" t="s">
        <v>2988</v>
      </c>
      <c r="AF89">
        <v>0</v>
      </c>
      <c r="AG89" t="s">
        <v>18</v>
      </c>
    </row>
    <row r="90" spans="1:33" x14ac:dyDescent="0.3">
      <c r="A90" t="s">
        <v>2728</v>
      </c>
      <c r="B90" t="s">
        <v>587</v>
      </c>
      <c r="C90">
        <v>-2.5</v>
      </c>
      <c r="D90" t="s">
        <v>588</v>
      </c>
      <c r="E90" t="s">
        <v>589</v>
      </c>
      <c r="F90">
        <v>-5</v>
      </c>
      <c r="G90" t="s">
        <v>599</v>
      </c>
      <c r="H90" t="s">
        <v>2910</v>
      </c>
      <c r="I90" t="str">
        <f t="shared" si="1"/>
        <v xml:space="preserve">psar_{'P' [('number'-2.5 1) ('number'-5 -1)]}_[21 49]_0.5 </v>
      </c>
      <c r="J90" t="s">
        <v>2540</v>
      </c>
      <c r="K90">
        <v>140</v>
      </c>
      <c r="L90" t="s">
        <v>5</v>
      </c>
      <c r="M90">
        <v>72</v>
      </c>
      <c r="N90" t="s">
        <v>6</v>
      </c>
      <c r="O90">
        <v>7.8999999999999897</v>
      </c>
      <c r="P90" t="s">
        <v>7</v>
      </c>
      <c r="Q90">
        <v>5.6428571428571397E-2</v>
      </c>
      <c r="R90" t="s">
        <v>8</v>
      </c>
      <c r="S90">
        <v>0.612916666666666</v>
      </c>
      <c r="T90" t="s">
        <v>9</v>
      </c>
      <c r="U90">
        <v>-0.53279411764705797</v>
      </c>
      <c r="V90" t="s">
        <v>10</v>
      </c>
      <c r="W90">
        <v>0.13009875096600901</v>
      </c>
      <c r="X90" t="s">
        <v>11</v>
      </c>
      <c r="Y90" t="s">
        <v>3048</v>
      </c>
      <c r="Z90" t="s">
        <v>2698</v>
      </c>
      <c r="AA90">
        <v>0</v>
      </c>
      <c r="AB90" t="s">
        <v>14</v>
      </c>
      <c r="AC90" t="s">
        <v>15</v>
      </c>
      <c r="AD90" t="s">
        <v>3049</v>
      </c>
      <c r="AE90" t="s">
        <v>3050</v>
      </c>
      <c r="AF90">
        <v>0</v>
      </c>
      <c r="AG90" t="s">
        <v>18</v>
      </c>
    </row>
    <row r="91" spans="1:33" x14ac:dyDescent="0.3">
      <c r="A91" t="s">
        <v>2858</v>
      </c>
      <c r="B91" t="s">
        <v>587</v>
      </c>
      <c r="C91">
        <v>0</v>
      </c>
      <c r="D91" t="s">
        <v>588</v>
      </c>
      <c r="E91" t="s">
        <v>589</v>
      </c>
      <c r="F91">
        <v>-2.5</v>
      </c>
      <c r="G91" t="s">
        <v>590</v>
      </c>
      <c r="H91" t="s">
        <v>2539</v>
      </c>
      <c r="I91" t="str">
        <f t="shared" si="1"/>
        <v xml:space="preserve">stoch_no_highvol_{'P' [('number'0 1) ('number'-2.5 -1)]}_[7 35]_1 </v>
      </c>
      <c r="J91" t="s">
        <v>2540</v>
      </c>
      <c r="K91">
        <v>334</v>
      </c>
      <c r="L91" t="s">
        <v>5</v>
      </c>
      <c r="M91">
        <v>124</v>
      </c>
      <c r="N91" t="s">
        <v>6</v>
      </c>
      <c r="O91">
        <v>7.7599999999998897</v>
      </c>
      <c r="P91" t="s">
        <v>7</v>
      </c>
      <c r="Q91">
        <v>2.3233532934131398E-2</v>
      </c>
      <c r="R91" t="s">
        <v>8</v>
      </c>
      <c r="S91">
        <v>1.1483064516129</v>
      </c>
      <c r="T91" t="s">
        <v>9</v>
      </c>
      <c r="U91">
        <v>-0.64109523809523805</v>
      </c>
      <c r="V91" t="s">
        <v>10</v>
      </c>
      <c r="W91">
        <v>0.41973455387317998</v>
      </c>
      <c r="X91" t="s">
        <v>11</v>
      </c>
      <c r="Y91" t="s">
        <v>2978</v>
      </c>
      <c r="Z91" t="s">
        <v>1431</v>
      </c>
      <c r="AA91">
        <v>0</v>
      </c>
      <c r="AB91" t="s">
        <v>14</v>
      </c>
      <c r="AC91" t="s">
        <v>15</v>
      </c>
      <c r="AD91" t="s">
        <v>3146</v>
      </c>
      <c r="AE91" t="s">
        <v>1431</v>
      </c>
      <c r="AF91">
        <v>0</v>
      </c>
      <c r="AG91" t="s">
        <v>18</v>
      </c>
    </row>
    <row r="92" spans="1:33" x14ac:dyDescent="0.3">
      <c r="A92" t="s">
        <v>2728</v>
      </c>
      <c r="B92" t="s">
        <v>587</v>
      </c>
      <c r="C92">
        <v>-2.5</v>
      </c>
      <c r="D92" t="s">
        <v>588</v>
      </c>
      <c r="E92" t="s">
        <v>589</v>
      </c>
      <c r="F92">
        <v>-5</v>
      </c>
      <c r="G92" t="s">
        <v>590</v>
      </c>
      <c r="H92" t="s">
        <v>2902</v>
      </c>
      <c r="I92" t="str">
        <f t="shared" si="1"/>
        <v xml:space="preserve">psar_{'P' [('number'-2.5 1) ('number'-5 -1)]}_[7 35]_0.5 </v>
      </c>
      <c r="J92" t="s">
        <v>2540</v>
      </c>
      <c r="K92">
        <v>135</v>
      </c>
      <c r="L92" t="s">
        <v>5</v>
      </c>
      <c r="M92">
        <v>63</v>
      </c>
      <c r="N92" t="s">
        <v>6</v>
      </c>
      <c r="O92">
        <v>7.6199999999999504</v>
      </c>
      <c r="P92" t="s">
        <v>7</v>
      </c>
      <c r="Q92">
        <v>5.6444444444444103E-2</v>
      </c>
      <c r="R92" t="s">
        <v>8</v>
      </c>
      <c r="S92">
        <v>0.67619047619047601</v>
      </c>
      <c r="T92" t="s">
        <v>9</v>
      </c>
      <c r="U92">
        <v>-0.48583333333333301</v>
      </c>
      <c r="V92" t="s">
        <v>10</v>
      </c>
      <c r="W92">
        <v>0.13039506084692101</v>
      </c>
      <c r="X92" t="s">
        <v>11</v>
      </c>
      <c r="Y92" t="s">
        <v>3045</v>
      </c>
      <c r="Z92" t="s">
        <v>3046</v>
      </c>
      <c r="AA92">
        <v>0</v>
      </c>
      <c r="AB92" t="s">
        <v>14</v>
      </c>
      <c r="AC92" t="s">
        <v>15</v>
      </c>
      <c r="AD92" t="s">
        <v>3045</v>
      </c>
      <c r="AE92" t="s">
        <v>3046</v>
      </c>
      <c r="AF92">
        <v>0</v>
      </c>
      <c r="AG92" t="s">
        <v>18</v>
      </c>
    </row>
    <row r="93" spans="1:33" x14ac:dyDescent="0.3">
      <c r="A93" t="s">
        <v>2811</v>
      </c>
      <c r="B93" t="s">
        <v>587</v>
      </c>
      <c r="C93">
        <v>-5</v>
      </c>
      <c r="D93" t="s">
        <v>588</v>
      </c>
      <c r="E93" t="s">
        <v>589</v>
      </c>
      <c r="F93">
        <v>-7.5</v>
      </c>
      <c r="G93" t="s">
        <v>1998</v>
      </c>
      <c r="H93" t="s">
        <v>2559</v>
      </c>
      <c r="I93" t="str">
        <f t="shared" si="1"/>
        <v xml:space="preserve">stoch_{'P' [('number'-5 1) ('number'-7.5 -1)]}_[42 70]_1 </v>
      </c>
      <c r="J93" t="s">
        <v>2540</v>
      </c>
      <c r="K93">
        <v>370</v>
      </c>
      <c r="L93" t="s">
        <v>5</v>
      </c>
      <c r="M93">
        <v>131</v>
      </c>
      <c r="N93" t="s">
        <v>6</v>
      </c>
      <c r="O93">
        <v>7.3297538969058902</v>
      </c>
      <c r="P93" t="s">
        <v>7</v>
      </c>
      <c r="Q93">
        <v>1.9810145667313199E-2</v>
      </c>
      <c r="R93" t="s">
        <v>8</v>
      </c>
      <c r="S93">
        <v>0.99093620957144102</v>
      </c>
      <c r="T93" t="s">
        <v>9</v>
      </c>
      <c r="U93">
        <v>-0.51248070944331703</v>
      </c>
      <c r="V93" t="s">
        <v>10</v>
      </c>
      <c r="W93">
        <v>0.32269380424862698</v>
      </c>
      <c r="X93" t="s">
        <v>11</v>
      </c>
      <c r="Y93" t="s">
        <v>3004</v>
      </c>
      <c r="Z93" t="s">
        <v>2198</v>
      </c>
      <c r="AA93">
        <v>0</v>
      </c>
      <c r="AB93" t="s">
        <v>14</v>
      </c>
      <c r="AC93" t="s">
        <v>15</v>
      </c>
      <c r="AD93" t="s">
        <v>3163</v>
      </c>
      <c r="AE93" t="s">
        <v>3162</v>
      </c>
      <c r="AF93">
        <v>0</v>
      </c>
      <c r="AG93" t="s">
        <v>18</v>
      </c>
    </row>
    <row r="94" spans="1:33" x14ac:dyDescent="0.3">
      <c r="A94" t="s">
        <v>2777</v>
      </c>
      <c r="B94" t="s">
        <v>587</v>
      </c>
      <c r="C94">
        <v>-2.5</v>
      </c>
      <c r="D94" t="s">
        <v>588</v>
      </c>
      <c r="E94" t="s">
        <v>589</v>
      </c>
      <c r="F94">
        <v>-5</v>
      </c>
      <c r="G94" t="s">
        <v>1998</v>
      </c>
      <c r="H94" t="s">
        <v>2562</v>
      </c>
      <c r="I94" t="str">
        <f t="shared" si="1"/>
        <v xml:space="preserve">rsi_{'P' [('number'-2.5 1) ('number'-5 -1)]}_[42 70]_2 </v>
      </c>
      <c r="J94" t="s">
        <v>2540</v>
      </c>
      <c r="K94">
        <v>127</v>
      </c>
      <c r="L94" t="s">
        <v>5</v>
      </c>
      <c r="M94">
        <v>36</v>
      </c>
      <c r="N94" t="s">
        <v>6</v>
      </c>
      <c r="O94">
        <v>7.2153421631952401</v>
      </c>
      <c r="P94" t="s">
        <v>7</v>
      </c>
      <c r="Q94">
        <v>5.6813717820434997E-2</v>
      </c>
      <c r="R94" t="s">
        <v>8</v>
      </c>
      <c r="S94">
        <v>1.54586324563377</v>
      </c>
      <c r="T94" t="s">
        <v>9</v>
      </c>
      <c r="U94">
        <v>-0.53226082065517299</v>
      </c>
      <c r="V94" t="s">
        <v>10</v>
      </c>
      <c r="W94">
        <v>0.219077697014012</v>
      </c>
      <c r="X94" t="s">
        <v>11</v>
      </c>
      <c r="Y94" t="s">
        <v>2193</v>
      </c>
      <c r="Z94" t="s">
        <v>3117</v>
      </c>
      <c r="AA94">
        <v>0</v>
      </c>
      <c r="AB94" t="s">
        <v>14</v>
      </c>
      <c r="AC94" t="s">
        <v>15</v>
      </c>
      <c r="AD94" t="s">
        <v>3118</v>
      </c>
      <c r="AE94" t="s">
        <v>3117</v>
      </c>
      <c r="AF94">
        <v>0</v>
      </c>
      <c r="AG94" t="s">
        <v>18</v>
      </c>
    </row>
    <row r="95" spans="1:33" x14ac:dyDescent="0.3">
      <c r="A95" t="s">
        <v>2728</v>
      </c>
      <c r="B95" t="s">
        <v>587</v>
      </c>
      <c r="C95">
        <v>-7.5</v>
      </c>
      <c r="D95" t="s">
        <v>588</v>
      </c>
      <c r="E95" t="s">
        <v>589</v>
      </c>
      <c r="F95">
        <v>-10</v>
      </c>
      <c r="G95" t="s">
        <v>599</v>
      </c>
      <c r="H95" t="s">
        <v>2552</v>
      </c>
      <c r="I95" t="str">
        <f t="shared" si="1"/>
        <v xml:space="preserve">psar_{'P' [('number'-7.5 1) ('number'-10 -1)]}_[21 49]_2 </v>
      </c>
      <c r="J95" t="s">
        <v>2540</v>
      </c>
      <c r="K95">
        <v>140</v>
      </c>
      <c r="L95" t="s">
        <v>5</v>
      </c>
      <c r="M95">
        <v>33</v>
      </c>
      <c r="N95" t="s">
        <v>6</v>
      </c>
      <c r="O95">
        <v>7.1399999999999899</v>
      </c>
      <c r="P95" t="s">
        <v>7</v>
      </c>
      <c r="Q95">
        <v>5.09999999999999E-2</v>
      </c>
      <c r="R95" t="s">
        <v>8</v>
      </c>
      <c r="S95">
        <v>1.34696969696969</v>
      </c>
      <c r="T95" t="s">
        <v>9</v>
      </c>
      <c r="U95">
        <v>-0.34869158878504602</v>
      </c>
      <c r="V95" t="s">
        <v>10</v>
      </c>
      <c r="W95">
        <v>0.158514504411636</v>
      </c>
      <c r="X95" t="s">
        <v>11</v>
      </c>
      <c r="Y95" t="s">
        <v>3074</v>
      </c>
      <c r="Z95" t="s">
        <v>129</v>
      </c>
      <c r="AA95">
        <v>0</v>
      </c>
      <c r="AB95" t="s">
        <v>14</v>
      </c>
      <c r="AC95" t="s">
        <v>15</v>
      </c>
      <c r="AD95" t="s">
        <v>3074</v>
      </c>
      <c r="AE95" t="s">
        <v>129</v>
      </c>
      <c r="AF95">
        <v>0</v>
      </c>
      <c r="AG95" t="s">
        <v>18</v>
      </c>
    </row>
    <row r="96" spans="1:33" x14ac:dyDescent="0.3">
      <c r="A96" t="s">
        <v>2777</v>
      </c>
      <c r="B96" t="s">
        <v>587</v>
      </c>
      <c r="C96">
        <v>-7.5</v>
      </c>
      <c r="D96" t="s">
        <v>588</v>
      </c>
      <c r="E96" t="s">
        <v>589</v>
      </c>
      <c r="F96">
        <v>-10</v>
      </c>
      <c r="G96" t="s">
        <v>599</v>
      </c>
      <c r="H96" t="s">
        <v>2552</v>
      </c>
      <c r="I96" t="str">
        <f t="shared" si="1"/>
        <v xml:space="preserve">rsi_{'P' [('number'-7.5 1) ('number'-10 -1)]}_[21 49]_2 </v>
      </c>
      <c r="J96" t="s">
        <v>2540</v>
      </c>
      <c r="K96">
        <v>128</v>
      </c>
      <c r="L96" t="s">
        <v>5</v>
      </c>
      <c r="M96">
        <v>30</v>
      </c>
      <c r="N96" t="s">
        <v>6</v>
      </c>
      <c r="O96">
        <v>7.1000000000000103</v>
      </c>
      <c r="P96" t="s">
        <v>7</v>
      </c>
      <c r="Q96">
        <v>5.5468749999999997E-2</v>
      </c>
      <c r="R96" t="s">
        <v>8</v>
      </c>
      <c r="S96">
        <v>1.2513333333333301</v>
      </c>
      <c r="T96" t="s">
        <v>9</v>
      </c>
      <c r="U96">
        <v>-0.31061224489795902</v>
      </c>
      <c r="V96" t="s">
        <v>10</v>
      </c>
      <c r="W96">
        <v>0.157063227322668</v>
      </c>
      <c r="X96" t="s">
        <v>11</v>
      </c>
      <c r="Y96" t="s">
        <v>3051</v>
      </c>
      <c r="Z96" t="s">
        <v>2695</v>
      </c>
      <c r="AA96">
        <v>0</v>
      </c>
      <c r="AB96" t="s">
        <v>14</v>
      </c>
      <c r="AC96" t="s">
        <v>15</v>
      </c>
      <c r="AD96" t="s">
        <v>3143</v>
      </c>
      <c r="AE96" t="s">
        <v>3136</v>
      </c>
      <c r="AF96">
        <v>0</v>
      </c>
      <c r="AG96" t="s">
        <v>18</v>
      </c>
    </row>
    <row r="97" spans="1:33" x14ac:dyDescent="0.3">
      <c r="A97" t="s">
        <v>2777</v>
      </c>
      <c r="B97" t="s">
        <v>587</v>
      </c>
      <c r="C97">
        <v>-5</v>
      </c>
      <c r="D97" t="s">
        <v>588</v>
      </c>
      <c r="E97" t="s">
        <v>589</v>
      </c>
      <c r="F97">
        <v>-7.5</v>
      </c>
      <c r="G97" t="s">
        <v>599</v>
      </c>
      <c r="H97" t="s">
        <v>2550</v>
      </c>
      <c r="I97" t="str">
        <f t="shared" si="1"/>
        <v xml:space="preserve">rsi_{'P' [('number'-5 1) ('number'-7.5 -1)]}_[21 49]_1 </v>
      </c>
      <c r="J97" t="s">
        <v>2540</v>
      </c>
      <c r="K97">
        <v>128</v>
      </c>
      <c r="L97" t="s">
        <v>5</v>
      </c>
      <c r="M97">
        <v>46</v>
      </c>
      <c r="N97" t="s">
        <v>6</v>
      </c>
      <c r="O97">
        <v>7.0199999999999898</v>
      </c>
      <c r="P97" t="s">
        <v>7</v>
      </c>
      <c r="Q97">
        <v>5.48437499999999E-2</v>
      </c>
      <c r="R97" t="s">
        <v>8</v>
      </c>
      <c r="S97">
        <v>0.88934782608695695</v>
      </c>
      <c r="T97" t="s">
        <v>9</v>
      </c>
      <c r="U97">
        <v>-0.41329268292682902</v>
      </c>
      <c r="V97" t="s">
        <v>10</v>
      </c>
      <c r="W97">
        <v>0.125721000131604</v>
      </c>
      <c r="X97" t="s">
        <v>11</v>
      </c>
      <c r="Y97" t="s">
        <v>3123</v>
      </c>
      <c r="Z97" t="s">
        <v>2638</v>
      </c>
      <c r="AA97">
        <v>0</v>
      </c>
      <c r="AB97" t="s">
        <v>14</v>
      </c>
      <c r="AC97" t="s">
        <v>15</v>
      </c>
      <c r="AD97" t="s">
        <v>3124</v>
      </c>
      <c r="AE97" t="s">
        <v>3125</v>
      </c>
      <c r="AF97">
        <v>0</v>
      </c>
      <c r="AG97" t="s">
        <v>18</v>
      </c>
    </row>
    <row r="98" spans="1:33" x14ac:dyDescent="0.3">
      <c r="A98" t="s">
        <v>2728</v>
      </c>
      <c r="B98" t="s">
        <v>587</v>
      </c>
      <c r="C98">
        <v>-2.5</v>
      </c>
      <c r="D98" t="s">
        <v>588</v>
      </c>
      <c r="E98" t="s">
        <v>589</v>
      </c>
      <c r="F98">
        <v>-5</v>
      </c>
      <c r="G98" t="s">
        <v>1998</v>
      </c>
      <c r="H98" t="s">
        <v>2559</v>
      </c>
      <c r="I98" t="str">
        <f t="shared" si="1"/>
        <v xml:space="preserve">psar_{'P' [('number'-2.5 1) ('number'-5 -1)]}_[42 70]_1 </v>
      </c>
      <c r="J98" t="s">
        <v>2540</v>
      </c>
      <c r="K98">
        <v>139</v>
      </c>
      <c r="L98" t="s">
        <v>5</v>
      </c>
      <c r="M98">
        <v>52</v>
      </c>
      <c r="N98" t="s">
        <v>6</v>
      </c>
      <c r="O98">
        <v>6.9403833785021698</v>
      </c>
      <c r="P98" t="s">
        <v>7</v>
      </c>
      <c r="Q98">
        <v>4.99308156726775E-2</v>
      </c>
      <c r="R98" t="s">
        <v>8</v>
      </c>
      <c r="S98">
        <v>1.1134212549278599</v>
      </c>
      <c r="T98" t="s">
        <v>9</v>
      </c>
      <c r="U98">
        <v>-0.585718642272954</v>
      </c>
      <c r="V98" t="s">
        <v>10</v>
      </c>
      <c r="W98">
        <v>0.18828522406583101</v>
      </c>
      <c r="X98" t="s">
        <v>11</v>
      </c>
      <c r="Y98" t="s">
        <v>3054</v>
      </c>
      <c r="Z98" t="s">
        <v>3055</v>
      </c>
      <c r="AA98">
        <v>0</v>
      </c>
      <c r="AB98" t="s">
        <v>14</v>
      </c>
      <c r="AC98" t="s">
        <v>15</v>
      </c>
      <c r="AD98" t="s">
        <v>3056</v>
      </c>
      <c r="AE98" t="s">
        <v>3055</v>
      </c>
      <c r="AF98">
        <v>0</v>
      </c>
      <c r="AG98" t="s">
        <v>18</v>
      </c>
    </row>
    <row r="99" spans="1:33" x14ac:dyDescent="0.3">
      <c r="A99" t="s">
        <v>2752</v>
      </c>
      <c r="B99" t="s">
        <v>587</v>
      </c>
      <c r="C99">
        <v>-7.5</v>
      </c>
      <c r="D99" t="s">
        <v>588</v>
      </c>
      <c r="E99" t="s">
        <v>589</v>
      </c>
      <c r="F99">
        <v>-10</v>
      </c>
      <c r="G99" t="s">
        <v>1998</v>
      </c>
      <c r="H99" t="s">
        <v>2559</v>
      </c>
      <c r="I99" t="str">
        <f t="shared" si="1"/>
        <v xml:space="preserve">psar_no_highvol_{'P' [('number'-7.5 1) ('number'-10 -1)]}_[42 70]_1 </v>
      </c>
      <c r="J99" t="s">
        <v>2540</v>
      </c>
      <c r="K99">
        <v>130</v>
      </c>
      <c r="L99" t="s">
        <v>5</v>
      </c>
      <c r="M99">
        <v>48</v>
      </c>
      <c r="N99" t="s">
        <v>6</v>
      </c>
      <c r="O99">
        <v>6.8335633684302204</v>
      </c>
      <c r="P99" t="s">
        <v>7</v>
      </c>
      <c r="Q99">
        <v>5.2565872064847897E-2</v>
      </c>
      <c r="R99" t="s">
        <v>8</v>
      </c>
      <c r="S99">
        <v>0.79524412951085399</v>
      </c>
      <c r="T99" t="s">
        <v>9</v>
      </c>
      <c r="U99">
        <v>-0.38217262009866698</v>
      </c>
      <c r="V99" t="s">
        <v>10</v>
      </c>
      <c r="W99">
        <v>0.123600224273949</v>
      </c>
      <c r="X99" t="s">
        <v>11</v>
      </c>
      <c r="Y99" t="s">
        <v>3093</v>
      </c>
      <c r="Z99" t="s">
        <v>704</v>
      </c>
      <c r="AA99">
        <v>0</v>
      </c>
      <c r="AB99" t="s">
        <v>14</v>
      </c>
      <c r="AC99" t="s">
        <v>15</v>
      </c>
      <c r="AD99" t="s">
        <v>3093</v>
      </c>
      <c r="AE99" t="s">
        <v>704</v>
      </c>
      <c r="AF99">
        <v>0</v>
      </c>
      <c r="AG99" t="s">
        <v>18</v>
      </c>
    </row>
    <row r="100" spans="1:33" x14ac:dyDescent="0.3">
      <c r="A100" t="s">
        <v>2752</v>
      </c>
      <c r="B100" t="s">
        <v>587</v>
      </c>
      <c r="C100">
        <v>-2.5</v>
      </c>
      <c r="D100" t="s">
        <v>588</v>
      </c>
      <c r="E100" t="s">
        <v>589</v>
      </c>
      <c r="F100">
        <v>-5</v>
      </c>
      <c r="G100" t="s">
        <v>590</v>
      </c>
      <c r="H100" t="s">
        <v>2902</v>
      </c>
      <c r="I100" t="str">
        <f t="shared" si="1"/>
        <v xml:space="preserve">psar_no_highvol_{'P' [('number'-2.5 1) ('number'-5 -1)]}_[7 35]_0.5 </v>
      </c>
      <c r="J100" t="s">
        <v>2540</v>
      </c>
      <c r="K100">
        <v>125</v>
      </c>
      <c r="L100" t="s">
        <v>5</v>
      </c>
      <c r="M100">
        <v>58</v>
      </c>
      <c r="N100" t="s">
        <v>6</v>
      </c>
      <c r="O100">
        <v>6.8199999999999497</v>
      </c>
      <c r="P100" t="s">
        <v>7</v>
      </c>
      <c r="Q100">
        <v>5.4559999999999602E-2</v>
      </c>
      <c r="R100" t="s">
        <v>8</v>
      </c>
      <c r="S100">
        <v>0.67017241379310299</v>
      </c>
      <c r="T100" t="s">
        <v>9</v>
      </c>
      <c r="U100">
        <v>-0.47835820895522402</v>
      </c>
      <c r="V100" t="s">
        <v>10</v>
      </c>
      <c r="W100">
        <v>0.116185943658298</v>
      </c>
      <c r="X100" t="s">
        <v>11</v>
      </c>
      <c r="Y100" t="s">
        <v>3045</v>
      </c>
      <c r="Z100" t="s">
        <v>3046</v>
      </c>
      <c r="AA100">
        <v>0</v>
      </c>
      <c r="AB100" t="s">
        <v>14</v>
      </c>
      <c r="AC100" t="s">
        <v>15</v>
      </c>
      <c r="AD100" t="s">
        <v>3045</v>
      </c>
      <c r="AE100" t="s">
        <v>3046</v>
      </c>
      <c r="AF100">
        <v>0</v>
      </c>
      <c r="AG100" t="s">
        <v>18</v>
      </c>
    </row>
    <row r="101" spans="1:33" x14ac:dyDescent="0.3">
      <c r="A101" t="s">
        <v>2811</v>
      </c>
      <c r="B101" t="s">
        <v>587</v>
      </c>
      <c r="C101">
        <v>-2.5</v>
      </c>
      <c r="D101" t="s">
        <v>588</v>
      </c>
      <c r="E101" t="s">
        <v>589</v>
      </c>
      <c r="F101">
        <v>-5</v>
      </c>
      <c r="G101" t="s">
        <v>599</v>
      </c>
      <c r="H101" t="s">
        <v>2552</v>
      </c>
      <c r="I101" t="str">
        <f t="shared" si="1"/>
        <v xml:space="preserve">stoch_{'P' [('number'-2.5 1) ('number'-5 -1)]}_[21 49]_2 </v>
      </c>
      <c r="J101" t="s">
        <v>2540</v>
      </c>
      <c r="K101">
        <v>376</v>
      </c>
      <c r="L101" t="s">
        <v>5</v>
      </c>
      <c r="M101">
        <v>96</v>
      </c>
      <c r="N101" t="s">
        <v>6</v>
      </c>
      <c r="O101">
        <v>6.7900000000000498</v>
      </c>
      <c r="P101" t="s">
        <v>7</v>
      </c>
      <c r="Q101">
        <v>1.8058510638298001E-2</v>
      </c>
      <c r="R101" t="s">
        <v>8</v>
      </c>
      <c r="S101">
        <v>1.6276041666666601</v>
      </c>
      <c r="T101" t="s">
        <v>9</v>
      </c>
      <c r="U101">
        <v>-0.53378571428571397</v>
      </c>
      <c r="V101" t="s">
        <v>10</v>
      </c>
      <c r="W101">
        <v>0.452221416341127</v>
      </c>
      <c r="X101" t="s">
        <v>11</v>
      </c>
      <c r="Y101" t="s">
        <v>3043</v>
      </c>
      <c r="Z101" t="s">
        <v>2693</v>
      </c>
      <c r="AA101">
        <v>0</v>
      </c>
      <c r="AB101" t="s">
        <v>14</v>
      </c>
      <c r="AC101" t="s">
        <v>15</v>
      </c>
      <c r="AD101" t="s">
        <v>3154</v>
      </c>
      <c r="AE101" t="s">
        <v>2754</v>
      </c>
      <c r="AF101">
        <v>0</v>
      </c>
      <c r="AG101" t="s">
        <v>18</v>
      </c>
    </row>
    <row r="102" spans="1:33" x14ac:dyDescent="0.3">
      <c r="A102" t="s">
        <v>2777</v>
      </c>
      <c r="B102" t="s">
        <v>587</v>
      </c>
      <c r="C102">
        <v>0</v>
      </c>
      <c r="D102" t="s">
        <v>588</v>
      </c>
      <c r="E102" t="s">
        <v>589</v>
      </c>
      <c r="F102">
        <v>-2.5</v>
      </c>
      <c r="G102" t="s">
        <v>599</v>
      </c>
      <c r="H102" t="s">
        <v>2550</v>
      </c>
      <c r="I102" t="str">
        <f t="shared" si="1"/>
        <v xml:space="preserve">rsi_{'P' [('number'0 1) ('number'-2.5 -1)]}_[21 49]_1 </v>
      </c>
      <c r="J102" t="s">
        <v>2540</v>
      </c>
      <c r="K102">
        <v>128</v>
      </c>
      <c r="L102" t="s">
        <v>5</v>
      </c>
      <c r="M102">
        <v>51</v>
      </c>
      <c r="N102" t="s">
        <v>6</v>
      </c>
      <c r="O102">
        <v>6.6300000000000097</v>
      </c>
      <c r="P102" t="s">
        <v>7</v>
      </c>
      <c r="Q102">
        <v>5.1796874999999999E-2</v>
      </c>
      <c r="R102" t="s">
        <v>8</v>
      </c>
      <c r="S102">
        <v>1.15392156862745</v>
      </c>
      <c r="T102" t="s">
        <v>9</v>
      </c>
      <c r="U102">
        <v>-0.678181818181818</v>
      </c>
      <c r="V102" t="s">
        <v>10</v>
      </c>
      <c r="W102">
        <v>0.18910358520409601</v>
      </c>
      <c r="X102" t="s">
        <v>11</v>
      </c>
      <c r="Y102" t="s">
        <v>3098</v>
      </c>
      <c r="Z102" t="s">
        <v>2914</v>
      </c>
      <c r="AA102">
        <v>0</v>
      </c>
      <c r="AB102" t="s">
        <v>14</v>
      </c>
      <c r="AC102" t="s">
        <v>15</v>
      </c>
      <c r="AD102" t="s">
        <v>3098</v>
      </c>
      <c r="AE102" t="s">
        <v>2914</v>
      </c>
      <c r="AF102">
        <v>0</v>
      </c>
      <c r="AG102" t="s">
        <v>18</v>
      </c>
    </row>
    <row r="103" spans="1:33" x14ac:dyDescent="0.3">
      <c r="A103" t="s">
        <v>2752</v>
      </c>
      <c r="B103" t="s">
        <v>587</v>
      </c>
      <c r="C103">
        <v>-2.5</v>
      </c>
      <c r="D103" t="s">
        <v>588</v>
      </c>
      <c r="E103" t="s">
        <v>589</v>
      </c>
      <c r="F103">
        <v>-5</v>
      </c>
      <c r="G103" t="s">
        <v>590</v>
      </c>
      <c r="H103" t="s">
        <v>2539</v>
      </c>
      <c r="I103" t="str">
        <f t="shared" si="1"/>
        <v xml:space="preserve">psar_no_highvol_{'P' [('number'-2.5 1) ('number'-5 -1)]}_[7 35]_1 </v>
      </c>
      <c r="J103" t="s">
        <v>2540</v>
      </c>
      <c r="K103">
        <v>125</v>
      </c>
      <c r="L103" t="s">
        <v>5</v>
      </c>
      <c r="M103">
        <v>48</v>
      </c>
      <c r="N103" t="s">
        <v>6</v>
      </c>
      <c r="O103">
        <v>6.5899999999999599</v>
      </c>
      <c r="P103" t="s">
        <v>7</v>
      </c>
      <c r="Q103">
        <v>5.2719999999999601E-2</v>
      </c>
      <c r="R103" t="s">
        <v>8</v>
      </c>
      <c r="S103">
        <v>0.92770833333333302</v>
      </c>
      <c r="T103" t="s">
        <v>9</v>
      </c>
      <c r="U103">
        <v>-0.49272727272727301</v>
      </c>
      <c r="V103" t="s">
        <v>10</v>
      </c>
      <c r="W103">
        <v>0.14268108860467599</v>
      </c>
      <c r="X103" t="s">
        <v>11</v>
      </c>
      <c r="Y103" t="s">
        <v>2931</v>
      </c>
      <c r="Z103" t="s">
        <v>2863</v>
      </c>
      <c r="AA103">
        <v>0</v>
      </c>
      <c r="AB103" t="s">
        <v>14</v>
      </c>
      <c r="AC103" t="s">
        <v>15</v>
      </c>
      <c r="AD103" t="s">
        <v>2931</v>
      </c>
      <c r="AE103" t="s">
        <v>2863</v>
      </c>
      <c r="AF103">
        <v>0</v>
      </c>
      <c r="AG103" t="s">
        <v>18</v>
      </c>
    </row>
    <row r="104" spans="1:33" x14ac:dyDescent="0.3">
      <c r="A104" t="s">
        <v>2777</v>
      </c>
      <c r="B104" t="s">
        <v>587</v>
      </c>
      <c r="C104">
        <v>-7.5</v>
      </c>
      <c r="D104" t="s">
        <v>588</v>
      </c>
      <c r="E104" t="s">
        <v>589</v>
      </c>
      <c r="F104">
        <v>-10</v>
      </c>
      <c r="G104" t="s">
        <v>599</v>
      </c>
      <c r="H104" t="s">
        <v>2550</v>
      </c>
      <c r="I104" t="str">
        <f t="shared" si="1"/>
        <v xml:space="preserve">rsi_{'P' [('number'-7.5 1) ('number'-10 -1)]}_[21 49]_1 </v>
      </c>
      <c r="J104" t="s">
        <v>2540</v>
      </c>
      <c r="K104">
        <v>128</v>
      </c>
      <c r="L104" t="s">
        <v>5</v>
      </c>
      <c r="M104">
        <v>44</v>
      </c>
      <c r="N104" t="s">
        <v>6</v>
      </c>
      <c r="O104">
        <v>6.4099999999999904</v>
      </c>
      <c r="P104" t="s">
        <v>7</v>
      </c>
      <c r="Q104">
        <v>5.0078124999999897E-2</v>
      </c>
      <c r="R104" t="s">
        <v>8</v>
      </c>
      <c r="S104">
        <v>0.72090909090908994</v>
      </c>
      <c r="T104" t="s">
        <v>9</v>
      </c>
      <c r="U104">
        <v>-0.30130952380952303</v>
      </c>
      <c r="V104" t="s">
        <v>10</v>
      </c>
      <c r="W104">
        <v>0.10052682162183001</v>
      </c>
      <c r="X104" t="s">
        <v>11</v>
      </c>
      <c r="Y104" t="s">
        <v>3141</v>
      </c>
      <c r="Z104" t="s">
        <v>3110</v>
      </c>
      <c r="AA104">
        <v>0</v>
      </c>
      <c r="AB104" t="s">
        <v>14</v>
      </c>
      <c r="AC104" t="s">
        <v>15</v>
      </c>
      <c r="AD104" t="s">
        <v>3142</v>
      </c>
      <c r="AE104" t="s">
        <v>2878</v>
      </c>
      <c r="AF104">
        <v>0</v>
      </c>
      <c r="AG104" t="s">
        <v>18</v>
      </c>
    </row>
    <row r="105" spans="1:33" x14ac:dyDescent="0.3">
      <c r="A105" t="s">
        <v>2752</v>
      </c>
      <c r="B105" t="s">
        <v>587</v>
      </c>
      <c r="C105">
        <v>-2.5</v>
      </c>
      <c r="D105" t="s">
        <v>588</v>
      </c>
      <c r="E105" t="s">
        <v>589</v>
      </c>
      <c r="F105">
        <v>-5</v>
      </c>
      <c r="G105" t="s">
        <v>1998</v>
      </c>
      <c r="H105" t="s">
        <v>2559</v>
      </c>
      <c r="I105" t="str">
        <f t="shared" si="1"/>
        <v xml:space="preserve">psar_no_highvol_{'P' [('number'-2.5 1) ('number'-5 -1)]}_[42 70]_1 </v>
      </c>
      <c r="J105" t="s">
        <v>2540</v>
      </c>
      <c r="K105">
        <v>130</v>
      </c>
      <c r="L105" t="s">
        <v>5</v>
      </c>
      <c r="M105">
        <v>48</v>
      </c>
      <c r="N105" t="s">
        <v>6</v>
      </c>
      <c r="O105">
        <v>6.3859488167175504</v>
      </c>
      <c r="P105" t="s">
        <v>7</v>
      </c>
      <c r="Q105">
        <v>4.9122683205519602E-2</v>
      </c>
      <c r="R105" t="s">
        <v>8</v>
      </c>
      <c r="S105">
        <v>1.1074563595051901</v>
      </c>
      <c r="T105" t="s">
        <v>9</v>
      </c>
      <c r="U105">
        <v>-0.57038971267721505</v>
      </c>
      <c r="V105" t="s">
        <v>10</v>
      </c>
      <c r="W105">
        <v>0.171196110451974</v>
      </c>
      <c r="X105" t="s">
        <v>11</v>
      </c>
      <c r="Y105" t="s">
        <v>3054</v>
      </c>
      <c r="Z105" t="s">
        <v>3055</v>
      </c>
      <c r="AA105">
        <v>0</v>
      </c>
      <c r="AB105" t="s">
        <v>14</v>
      </c>
      <c r="AC105" t="s">
        <v>15</v>
      </c>
      <c r="AD105" t="s">
        <v>3056</v>
      </c>
      <c r="AE105" t="s">
        <v>3055</v>
      </c>
      <c r="AF105">
        <v>0</v>
      </c>
      <c r="AG105" t="s">
        <v>18</v>
      </c>
    </row>
    <row r="106" spans="1:33" x14ac:dyDescent="0.3">
      <c r="A106" t="s">
        <v>2538</v>
      </c>
      <c r="B106" t="s">
        <v>587</v>
      </c>
      <c r="C106">
        <v>-7.5</v>
      </c>
      <c r="D106" t="s">
        <v>588</v>
      </c>
      <c r="E106" t="s">
        <v>589</v>
      </c>
      <c r="F106">
        <v>-10</v>
      </c>
      <c r="G106" t="s">
        <v>599</v>
      </c>
      <c r="H106" t="s">
        <v>2910</v>
      </c>
      <c r="I106" t="str">
        <f t="shared" si="1"/>
        <v xml:space="preserve">alltime_{'P' [('number'-7.5 1) ('number'-10 -1)]}_[21 49]_0.5 </v>
      </c>
      <c r="J106" t="s">
        <v>2540</v>
      </c>
      <c r="K106">
        <v>3050</v>
      </c>
      <c r="L106" t="s">
        <v>5</v>
      </c>
      <c r="M106">
        <v>1324</v>
      </c>
      <c r="N106" t="s">
        <v>6</v>
      </c>
      <c r="O106">
        <v>6.2660352256008398</v>
      </c>
      <c r="P106" t="s">
        <v>7</v>
      </c>
      <c r="Q106">
        <v>2.05443777888552E-3</v>
      </c>
      <c r="R106" t="s">
        <v>8</v>
      </c>
      <c r="S106">
        <v>0.43125377643504498</v>
      </c>
      <c r="T106" t="s">
        <v>9</v>
      </c>
      <c r="U106">
        <v>-0.32718074436523698</v>
      </c>
      <c r="V106" t="s">
        <v>10</v>
      </c>
      <c r="W106">
        <v>0.83462735938088894</v>
      </c>
      <c r="X106" t="s">
        <v>11</v>
      </c>
      <c r="Y106" t="s">
        <v>2962</v>
      </c>
      <c r="Z106" t="s">
        <v>2963</v>
      </c>
      <c r="AA106">
        <v>0</v>
      </c>
      <c r="AB106" t="s">
        <v>14</v>
      </c>
      <c r="AC106" t="s">
        <v>15</v>
      </c>
      <c r="AD106" t="s">
        <v>2968</v>
      </c>
      <c r="AE106" t="s">
        <v>2052</v>
      </c>
      <c r="AF106">
        <v>0</v>
      </c>
      <c r="AG106" t="s">
        <v>18</v>
      </c>
    </row>
    <row r="107" spans="1:33" x14ac:dyDescent="0.3">
      <c r="A107" t="s">
        <v>2728</v>
      </c>
      <c r="B107" t="s">
        <v>587</v>
      </c>
      <c r="C107">
        <v>0</v>
      </c>
      <c r="D107" t="s">
        <v>588</v>
      </c>
      <c r="E107" t="s">
        <v>589</v>
      </c>
      <c r="F107">
        <v>-2.5</v>
      </c>
      <c r="G107" t="s">
        <v>599</v>
      </c>
      <c r="H107" t="s">
        <v>2910</v>
      </c>
      <c r="I107" t="str">
        <f t="shared" si="1"/>
        <v xml:space="preserve">psar_{'P' [('number'0 1) ('number'-2.5 -1)]}_[21 49]_0.5 </v>
      </c>
      <c r="J107" t="s">
        <v>2540</v>
      </c>
      <c r="K107">
        <v>140</v>
      </c>
      <c r="L107" t="s">
        <v>5</v>
      </c>
      <c r="M107">
        <v>75</v>
      </c>
      <c r="N107" t="s">
        <v>6</v>
      </c>
      <c r="O107">
        <v>6.1599999999999904</v>
      </c>
      <c r="P107" t="s">
        <v>7</v>
      </c>
      <c r="Q107">
        <v>4.39999999999999E-2</v>
      </c>
      <c r="R107" t="s">
        <v>8</v>
      </c>
      <c r="S107">
        <v>0.68573333333333297</v>
      </c>
      <c r="T107" t="s">
        <v>9</v>
      </c>
      <c r="U107">
        <v>-0.69646153846153802</v>
      </c>
      <c r="V107" t="s">
        <v>10</v>
      </c>
      <c r="W107">
        <v>0.164480966228712</v>
      </c>
      <c r="X107" t="s">
        <v>11</v>
      </c>
      <c r="Y107" t="s">
        <v>2938</v>
      </c>
      <c r="Z107" t="s">
        <v>660</v>
      </c>
      <c r="AA107">
        <v>0</v>
      </c>
      <c r="AB107" t="s">
        <v>14</v>
      </c>
      <c r="AC107" t="s">
        <v>15</v>
      </c>
      <c r="AD107" t="s">
        <v>2938</v>
      </c>
      <c r="AE107" t="s">
        <v>660</v>
      </c>
      <c r="AF107">
        <v>0</v>
      </c>
      <c r="AG107" t="s">
        <v>18</v>
      </c>
    </row>
    <row r="108" spans="1:33" x14ac:dyDescent="0.3">
      <c r="A108" t="s">
        <v>2752</v>
      </c>
      <c r="B108" t="s">
        <v>587</v>
      </c>
      <c r="C108">
        <v>-5</v>
      </c>
      <c r="D108" t="s">
        <v>588</v>
      </c>
      <c r="E108" t="s">
        <v>589</v>
      </c>
      <c r="F108">
        <v>-7.5</v>
      </c>
      <c r="G108" t="s">
        <v>590</v>
      </c>
      <c r="H108" t="s">
        <v>2543</v>
      </c>
      <c r="I108" t="str">
        <f t="shared" si="1"/>
        <v xml:space="preserve">psar_no_highvol_{'P' [('number'-5 1) ('number'-7.5 -1)]}_[7 35]_2 </v>
      </c>
      <c r="J108" t="s">
        <v>2540</v>
      </c>
      <c r="K108">
        <v>125</v>
      </c>
      <c r="L108" t="s">
        <v>5</v>
      </c>
      <c r="M108">
        <v>31</v>
      </c>
      <c r="N108" t="s">
        <v>6</v>
      </c>
      <c r="O108">
        <v>5.95</v>
      </c>
      <c r="P108" t="s">
        <v>7</v>
      </c>
      <c r="Q108">
        <v>4.7600000000000003E-2</v>
      </c>
      <c r="R108" t="s">
        <v>8</v>
      </c>
      <c r="S108">
        <v>1.25935483870967</v>
      </c>
      <c r="T108" t="s">
        <v>9</v>
      </c>
      <c r="U108">
        <v>-0.352021276595744</v>
      </c>
      <c r="V108" t="s">
        <v>10</v>
      </c>
      <c r="W108">
        <v>0.14112203005719701</v>
      </c>
      <c r="X108" t="s">
        <v>11</v>
      </c>
      <c r="Y108" t="s">
        <v>775</v>
      </c>
      <c r="Z108" t="s">
        <v>2863</v>
      </c>
      <c r="AA108">
        <v>0</v>
      </c>
      <c r="AB108" t="s">
        <v>14</v>
      </c>
      <c r="AC108" t="s">
        <v>15</v>
      </c>
      <c r="AD108" t="s">
        <v>775</v>
      </c>
      <c r="AE108" t="s">
        <v>2863</v>
      </c>
      <c r="AF108">
        <v>0</v>
      </c>
      <c r="AG108" t="s">
        <v>18</v>
      </c>
    </row>
    <row r="109" spans="1:33" x14ac:dyDescent="0.3">
      <c r="A109" t="s">
        <v>2752</v>
      </c>
      <c r="B109" t="s">
        <v>587</v>
      </c>
      <c r="C109">
        <v>-2.5</v>
      </c>
      <c r="D109" t="s">
        <v>588</v>
      </c>
      <c r="E109" t="s">
        <v>589</v>
      </c>
      <c r="F109">
        <v>-5</v>
      </c>
      <c r="G109" t="s">
        <v>599</v>
      </c>
      <c r="H109" t="s">
        <v>2910</v>
      </c>
      <c r="I109" t="str">
        <f t="shared" si="1"/>
        <v xml:space="preserve">psar_no_highvol_{'P' [('number'-2.5 1) ('number'-5 -1)]}_[21 49]_0.5 </v>
      </c>
      <c r="J109" t="s">
        <v>2540</v>
      </c>
      <c r="K109">
        <v>130</v>
      </c>
      <c r="L109" t="s">
        <v>5</v>
      </c>
      <c r="M109">
        <v>66</v>
      </c>
      <c r="N109" t="s">
        <v>6</v>
      </c>
      <c r="O109">
        <v>5.7799999999999896</v>
      </c>
      <c r="P109" t="s">
        <v>7</v>
      </c>
      <c r="Q109">
        <v>4.44615384615384E-2</v>
      </c>
      <c r="R109" t="s">
        <v>8</v>
      </c>
      <c r="S109">
        <v>0.60363636363636297</v>
      </c>
      <c r="T109" t="s">
        <v>9</v>
      </c>
      <c r="U109">
        <v>-0.53218750000000004</v>
      </c>
      <c r="V109" t="s">
        <v>10</v>
      </c>
      <c r="W109">
        <v>0.115122338697074</v>
      </c>
      <c r="X109" t="s">
        <v>11</v>
      </c>
      <c r="Y109" t="s">
        <v>3048</v>
      </c>
      <c r="Z109" t="s">
        <v>2698</v>
      </c>
      <c r="AA109">
        <v>0</v>
      </c>
      <c r="AB109" t="s">
        <v>14</v>
      </c>
      <c r="AC109" t="s">
        <v>15</v>
      </c>
      <c r="AD109" t="s">
        <v>3049</v>
      </c>
      <c r="AE109" t="s">
        <v>3050</v>
      </c>
      <c r="AF109">
        <v>0</v>
      </c>
      <c r="AG109" t="s">
        <v>18</v>
      </c>
    </row>
    <row r="110" spans="1:33" x14ac:dyDescent="0.3">
      <c r="A110" t="s">
        <v>2777</v>
      </c>
      <c r="B110" t="s">
        <v>587</v>
      </c>
      <c r="C110">
        <v>-2.5</v>
      </c>
      <c r="D110" t="s">
        <v>588</v>
      </c>
      <c r="E110" t="s">
        <v>589</v>
      </c>
      <c r="F110">
        <v>-5</v>
      </c>
      <c r="G110" t="s">
        <v>590</v>
      </c>
      <c r="H110" t="s">
        <v>2909</v>
      </c>
      <c r="I110" t="str">
        <f t="shared" si="1"/>
        <v xml:space="preserve">rsi_{'P' [('number'-2.5 1) ('number'-5 -1)]}_[7 35]_3 </v>
      </c>
      <c r="J110" t="s">
        <v>2540</v>
      </c>
      <c r="K110">
        <v>136</v>
      </c>
      <c r="L110" t="s">
        <v>5</v>
      </c>
      <c r="M110">
        <v>33</v>
      </c>
      <c r="N110" t="s">
        <v>6</v>
      </c>
      <c r="O110">
        <v>5.7699999999999703</v>
      </c>
      <c r="P110" t="s">
        <v>7</v>
      </c>
      <c r="Q110">
        <v>4.2426470588235003E-2</v>
      </c>
      <c r="R110" t="s">
        <v>8</v>
      </c>
      <c r="S110">
        <v>1.70242424242424</v>
      </c>
      <c r="T110" t="s">
        <v>9</v>
      </c>
      <c r="U110">
        <v>-0.48941747572815503</v>
      </c>
      <c r="V110" t="s">
        <v>10</v>
      </c>
      <c r="W110">
        <v>0.172847905506408</v>
      </c>
      <c r="X110" t="s">
        <v>11</v>
      </c>
      <c r="Y110" t="s">
        <v>3104</v>
      </c>
      <c r="Z110" t="s">
        <v>3039</v>
      </c>
      <c r="AA110">
        <v>0</v>
      </c>
      <c r="AB110" t="s">
        <v>14</v>
      </c>
      <c r="AC110" t="s">
        <v>15</v>
      </c>
      <c r="AD110" t="s">
        <v>3102</v>
      </c>
      <c r="AE110" t="s">
        <v>3101</v>
      </c>
      <c r="AF110">
        <v>0</v>
      </c>
      <c r="AG110" t="s">
        <v>18</v>
      </c>
    </row>
    <row r="111" spans="1:33" x14ac:dyDescent="0.3">
      <c r="A111" t="s">
        <v>2752</v>
      </c>
      <c r="B111" t="s">
        <v>587</v>
      </c>
      <c r="C111">
        <v>-7.5</v>
      </c>
      <c r="D111" t="s">
        <v>588</v>
      </c>
      <c r="E111" t="s">
        <v>589</v>
      </c>
      <c r="F111">
        <v>-10</v>
      </c>
      <c r="G111" t="s">
        <v>1998</v>
      </c>
      <c r="H111" t="s">
        <v>2562</v>
      </c>
      <c r="I111" t="str">
        <f t="shared" si="1"/>
        <v xml:space="preserve">psar_no_highvol_{'P' [('number'-7.5 1) ('number'-10 -1)]}_[42 70]_2 </v>
      </c>
      <c r="J111" t="s">
        <v>2540</v>
      </c>
      <c r="K111">
        <v>130</v>
      </c>
      <c r="L111" t="s">
        <v>5</v>
      </c>
      <c r="M111">
        <v>32</v>
      </c>
      <c r="N111" t="s">
        <v>6</v>
      </c>
      <c r="O111">
        <v>5.6635633684302302</v>
      </c>
      <c r="P111" t="s">
        <v>7</v>
      </c>
      <c r="Q111">
        <v>4.3565872064847903E-2</v>
      </c>
      <c r="R111" t="s">
        <v>8</v>
      </c>
      <c r="S111">
        <v>1.36919975967178</v>
      </c>
      <c r="T111" t="s">
        <v>9</v>
      </c>
      <c r="U111">
        <v>-0.38929417286802898</v>
      </c>
      <c r="V111" t="s">
        <v>10</v>
      </c>
      <c r="W111">
        <v>0.163261328975011</v>
      </c>
      <c r="X111" t="s">
        <v>11</v>
      </c>
      <c r="Y111" t="s">
        <v>1428</v>
      </c>
      <c r="Z111" t="s">
        <v>3076</v>
      </c>
      <c r="AA111">
        <v>0</v>
      </c>
      <c r="AB111" t="s">
        <v>14</v>
      </c>
      <c r="AC111" t="s">
        <v>15</v>
      </c>
      <c r="AD111" t="s">
        <v>1428</v>
      </c>
      <c r="AE111" t="s">
        <v>3076</v>
      </c>
      <c r="AF111">
        <v>0</v>
      </c>
      <c r="AG111" t="s">
        <v>18</v>
      </c>
    </row>
    <row r="112" spans="1:33" x14ac:dyDescent="0.3">
      <c r="A112" t="s">
        <v>2728</v>
      </c>
      <c r="B112" t="s">
        <v>587</v>
      </c>
      <c r="C112">
        <v>-2.5</v>
      </c>
      <c r="D112" t="s">
        <v>588</v>
      </c>
      <c r="E112" t="s">
        <v>589</v>
      </c>
      <c r="F112">
        <v>-5</v>
      </c>
      <c r="G112" t="s">
        <v>590</v>
      </c>
      <c r="H112" t="s">
        <v>2539</v>
      </c>
      <c r="I112" t="str">
        <f t="shared" si="1"/>
        <v xml:space="preserve">psar_{'P' [('number'-2.5 1) ('number'-5 -1)]}_[7 35]_1 </v>
      </c>
      <c r="J112" t="s">
        <v>2540</v>
      </c>
      <c r="K112">
        <v>135</v>
      </c>
      <c r="L112" t="s">
        <v>5</v>
      </c>
      <c r="M112">
        <v>51</v>
      </c>
      <c r="N112" t="s">
        <v>6</v>
      </c>
      <c r="O112">
        <v>5.5799999999999601</v>
      </c>
      <c r="P112" t="s">
        <v>7</v>
      </c>
      <c r="Q112">
        <v>4.1333333333333E-2</v>
      </c>
      <c r="R112" t="s">
        <v>8</v>
      </c>
      <c r="S112">
        <v>0.93294117647058805</v>
      </c>
      <c r="T112" t="s">
        <v>9</v>
      </c>
      <c r="U112">
        <v>-0.5</v>
      </c>
      <c r="V112" t="s">
        <v>10</v>
      </c>
      <c r="W112">
        <v>0.159448082475489</v>
      </c>
      <c r="X112" t="s">
        <v>11</v>
      </c>
      <c r="Y112" t="s">
        <v>2931</v>
      </c>
      <c r="Z112" t="s">
        <v>2863</v>
      </c>
      <c r="AA112">
        <v>0</v>
      </c>
      <c r="AB112" t="s">
        <v>14</v>
      </c>
      <c r="AC112" t="s">
        <v>15</v>
      </c>
      <c r="AD112" t="s">
        <v>2931</v>
      </c>
      <c r="AE112" t="s">
        <v>2863</v>
      </c>
      <c r="AF112">
        <v>0</v>
      </c>
      <c r="AG112" t="s">
        <v>18</v>
      </c>
    </row>
    <row r="113" spans="1:33" x14ac:dyDescent="0.3">
      <c r="A113" t="s">
        <v>2752</v>
      </c>
      <c r="B113" t="s">
        <v>587</v>
      </c>
      <c r="C113">
        <v>-2.5</v>
      </c>
      <c r="D113" t="s">
        <v>588</v>
      </c>
      <c r="E113" t="s">
        <v>589</v>
      </c>
      <c r="F113">
        <v>-5</v>
      </c>
      <c r="G113" t="s">
        <v>1998</v>
      </c>
      <c r="H113" t="s">
        <v>2562</v>
      </c>
      <c r="I113" t="str">
        <f t="shared" si="1"/>
        <v xml:space="preserve">psar_no_highvol_{'P' [('number'-2.5 1) ('number'-5 -1)]}_[42 70]_2 </v>
      </c>
      <c r="J113" t="s">
        <v>2540</v>
      </c>
      <c r="K113">
        <v>130</v>
      </c>
      <c r="L113" t="s">
        <v>5</v>
      </c>
      <c r="M113">
        <v>34</v>
      </c>
      <c r="N113" t="s">
        <v>6</v>
      </c>
      <c r="O113">
        <v>5.5755422772594896</v>
      </c>
      <c r="P113" t="s">
        <v>7</v>
      </c>
      <c r="Q113">
        <v>4.2888786748149901E-2</v>
      </c>
      <c r="R113" t="s">
        <v>8</v>
      </c>
      <c r="S113">
        <v>1.75263358622893</v>
      </c>
      <c r="T113" t="s">
        <v>9</v>
      </c>
      <c r="U113">
        <v>-0.56264582973462796</v>
      </c>
      <c r="V113" t="s">
        <v>10</v>
      </c>
      <c r="W113">
        <v>0.20890970602870701</v>
      </c>
      <c r="X113" t="s">
        <v>11</v>
      </c>
      <c r="Y113" t="s">
        <v>3054</v>
      </c>
      <c r="Z113" t="s">
        <v>3055</v>
      </c>
      <c r="AA113">
        <v>0</v>
      </c>
      <c r="AB113" t="s">
        <v>14</v>
      </c>
      <c r="AC113" t="s">
        <v>15</v>
      </c>
      <c r="AD113" t="s">
        <v>3057</v>
      </c>
      <c r="AE113" t="s">
        <v>3058</v>
      </c>
      <c r="AF113">
        <v>0</v>
      </c>
      <c r="AG113" t="s">
        <v>18</v>
      </c>
    </row>
    <row r="114" spans="1:33" x14ac:dyDescent="0.3">
      <c r="A114" t="s">
        <v>2752</v>
      </c>
      <c r="B114" t="s">
        <v>587</v>
      </c>
      <c r="C114">
        <v>0</v>
      </c>
      <c r="D114" t="s">
        <v>588</v>
      </c>
      <c r="E114" t="s">
        <v>589</v>
      </c>
      <c r="F114">
        <v>-2.5</v>
      </c>
      <c r="G114" t="s">
        <v>1998</v>
      </c>
      <c r="H114" t="s">
        <v>2918</v>
      </c>
      <c r="I114" t="str">
        <f t="shared" si="1"/>
        <v xml:space="preserve">psar_no_highvol_{'P' [('number'0 1) ('number'-2.5 -1)]}_[42 70]_0.5 </v>
      </c>
      <c r="J114" t="s">
        <v>2540</v>
      </c>
      <c r="K114">
        <v>130</v>
      </c>
      <c r="L114" t="s">
        <v>5</v>
      </c>
      <c r="M114">
        <v>69</v>
      </c>
      <c r="N114" t="s">
        <v>6</v>
      </c>
      <c r="O114">
        <v>5.5310951854171098</v>
      </c>
      <c r="P114" t="s">
        <v>7</v>
      </c>
      <c r="Q114">
        <v>4.2546886041670097E-2</v>
      </c>
      <c r="R114" t="s">
        <v>8</v>
      </c>
      <c r="S114">
        <v>0.80049798250993098</v>
      </c>
      <c r="T114" t="s">
        <v>9</v>
      </c>
      <c r="U114">
        <v>-0.81480763291423097</v>
      </c>
      <c r="V114" t="s">
        <v>10</v>
      </c>
      <c r="W114">
        <v>0.18003427771443101</v>
      </c>
      <c r="X114" t="s">
        <v>11</v>
      </c>
      <c r="Y114" t="s">
        <v>2954</v>
      </c>
      <c r="Z114" t="s">
        <v>2922</v>
      </c>
      <c r="AA114">
        <v>0</v>
      </c>
      <c r="AB114" t="s">
        <v>14</v>
      </c>
      <c r="AC114" t="s">
        <v>15</v>
      </c>
      <c r="AD114" t="s">
        <v>2954</v>
      </c>
      <c r="AE114" t="s">
        <v>2922</v>
      </c>
      <c r="AF114">
        <v>0</v>
      </c>
      <c r="AG114" t="s">
        <v>18</v>
      </c>
    </row>
    <row r="115" spans="1:33" x14ac:dyDescent="0.3">
      <c r="A115" t="s">
        <v>2752</v>
      </c>
      <c r="B115" t="s">
        <v>587</v>
      </c>
      <c r="C115">
        <v>-5</v>
      </c>
      <c r="D115" t="s">
        <v>588</v>
      </c>
      <c r="E115" t="s">
        <v>589</v>
      </c>
      <c r="F115">
        <v>-7.5</v>
      </c>
      <c r="G115" t="s">
        <v>599</v>
      </c>
      <c r="H115" t="s">
        <v>2910</v>
      </c>
      <c r="I115" t="str">
        <f t="shared" si="1"/>
        <v xml:space="preserve">psar_no_highvol_{'P' [('number'-5 1) ('number'-7.5 -1)]}_[21 49]_0.5 </v>
      </c>
      <c r="J115" t="s">
        <v>2540</v>
      </c>
      <c r="K115">
        <v>130</v>
      </c>
      <c r="L115" t="s">
        <v>5</v>
      </c>
      <c r="M115">
        <v>66</v>
      </c>
      <c r="N115" t="s">
        <v>6</v>
      </c>
      <c r="O115">
        <v>5.43</v>
      </c>
      <c r="P115" t="s">
        <v>7</v>
      </c>
      <c r="Q115">
        <v>4.1769230769230697E-2</v>
      </c>
      <c r="R115" t="s">
        <v>8</v>
      </c>
      <c r="S115">
        <v>0.48166666666666602</v>
      </c>
      <c r="T115" t="s">
        <v>9</v>
      </c>
      <c r="U115">
        <v>-0.41187499999999899</v>
      </c>
      <c r="V115" t="s">
        <v>10</v>
      </c>
      <c r="W115">
        <v>9.6978222479442697E-2</v>
      </c>
      <c r="X115" t="s">
        <v>11</v>
      </c>
      <c r="Y115" t="s">
        <v>3083</v>
      </c>
      <c r="Z115" t="s">
        <v>2698</v>
      </c>
      <c r="AA115">
        <v>0</v>
      </c>
      <c r="AB115" t="s">
        <v>14</v>
      </c>
      <c r="AC115" t="s">
        <v>15</v>
      </c>
      <c r="AD115" t="s">
        <v>3083</v>
      </c>
      <c r="AE115" t="s">
        <v>2698</v>
      </c>
      <c r="AF115">
        <v>0</v>
      </c>
      <c r="AG115" t="s">
        <v>18</v>
      </c>
    </row>
    <row r="116" spans="1:33" x14ac:dyDescent="0.3">
      <c r="A116" t="s">
        <v>2728</v>
      </c>
      <c r="B116" t="s">
        <v>587</v>
      </c>
      <c r="C116">
        <v>-5</v>
      </c>
      <c r="D116" t="s">
        <v>588</v>
      </c>
      <c r="E116" t="s">
        <v>589</v>
      </c>
      <c r="F116">
        <v>-7.5</v>
      </c>
      <c r="G116" t="s">
        <v>590</v>
      </c>
      <c r="H116" t="s">
        <v>2909</v>
      </c>
      <c r="I116" t="str">
        <f t="shared" si="1"/>
        <v xml:space="preserve">psar_{'P' [('number'-5 1) ('number'-7.5 -1)]}_[7 35]_3 </v>
      </c>
      <c r="J116" t="s">
        <v>2540</v>
      </c>
      <c r="K116">
        <v>135</v>
      </c>
      <c r="L116" t="s">
        <v>5</v>
      </c>
      <c r="M116">
        <v>27</v>
      </c>
      <c r="N116" t="s">
        <v>6</v>
      </c>
      <c r="O116">
        <v>5.37</v>
      </c>
      <c r="P116" t="s">
        <v>7</v>
      </c>
      <c r="Q116">
        <v>3.9777777777777801E-2</v>
      </c>
      <c r="R116" t="s">
        <v>8</v>
      </c>
      <c r="S116">
        <v>1.64888888888888</v>
      </c>
      <c r="T116" t="s">
        <v>9</v>
      </c>
      <c r="U116">
        <v>-0.36249999999999999</v>
      </c>
      <c r="V116" t="s">
        <v>10</v>
      </c>
      <c r="W116">
        <v>0.17639360003112101</v>
      </c>
      <c r="X116" t="s">
        <v>11</v>
      </c>
      <c r="Y116" t="s">
        <v>3062</v>
      </c>
      <c r="Z116" t="s">
        <v>2587</v>
      </c>
      <c r="AA116">
        <v>0</v>
      </c>
      <c r="AB116" t="s">
        <v>14</v>
      </c>
      <c r="AC116" t="s">
        <v>15</v>
      </c>
      <c r="AD116" t="s">
        <v>3063</v>
      </c>
      <c r="AE116" t="s">
        <v>3047</v>
      </c>
      <c r="AF116">
        <v>0</v>
      </c>
      <c r="AG116" t="s">
        <v>18</v>
      </c>
    </row>
    <row r="117" spans="1:33" x14ac:dyDescent="0.3">
      <c r="A117" t="s">
        <v>2728</v>
      </c>
      <c r="B117" t="s">
        <v>587</v>
      </c>
      <c r="C117">
        <v>-2.5</v>
      </c>
      <c r="D117" t="s">
        <v>588</v>
      </c>
      <c r="E117" t="s">
        <v>589</v>
      </c>
      <c r="F117">
        <v>-5</v>
      </c>
      <c r="G117" t="s">
        <v>1998</v>
      </c>
      <c r="H117" t="s">
        <v>2562</v>
      </c>
      <c r="I117" t="str">
        <f t="shared" si="1"/>
        <v xml:space="preserve">psar_{'P' [('number'-2.5 1) ('number'-5 -1)]}_[42 70]_2 </v>
      </c>
      <c r="J117" t="s">
        <v>2540</v>
      </c>
      <c r="K117">
        <v>139</v>
      </c>
      <c r="L117" t="s">
        <v>5</v>
      </c>
      <c r="M117">
        <v>36</v>
      </c>
      <c r="N117" t="s">
        <v>6</v>
      </c>
      <c r="O117">
        <v>5.2199768390441097</v>
      </c>
      <c r="P117" t="s">
        <v>7</v>
      </c>
      <c r="Q117">
        <v>3.7553790208950402E-2</v>
      </c>
      <c r="R117" t="s">
        <v>8</v>
      </c>
      <c r="S117">
        <v>1.7897094981051</v>
      </c>
      <c r="T117" t="s">
        <v>9</v>
      </c>
      <c r="U117">
        <v>-0.57485014653145305</v>
      </c>
      <c r="V117" t="s">
        <v>10</v>
      </c>
      <c r="W117">
        <v>0.22643627668045899</v>
      </c>
      <c r="X117" t="s">
        <v>11</v>
      </c>
      <c r="Y117" t="s">
        <v>3054</v>
      </c>
      <c r="Z117" t="s">
        <v>3055</v>
      </c>
      <c r="AA117">
        <v>0</v>
      </c>
      <c r="AB117" t="s">
        <v>14</v>
      </c>
      <c r="AC117" t="s">
        <v>15</v>
      </c>
      <c r="AD117" t="s">
        <v>3057</v>
      </c>
      <c r="AE117" t="s">
        <v>3058</v>
      </c>
      <c r="AF117">
        <v>0</v>
      </c>
      <c r="AG117" t="s">
        <v>18</v>
      </c>
    </row>
    <row r="118" spans="1:33" x14ac:dyDescent="0.3">
      <c r="A118" t="s">
        <v>2752</v>
      </c>
      <c r="B118" t="s">
        <v>587</v>
      </c>
      <c r="C118">
        <v>0</v>
      </c>
      <c r="D118" t="s">
        <v>588</v>
      </c>
      <c r="E118" t="s">
        <v>589</v>
      </c>
      <c r="F118">
        <v>-2.5</v>
      </c>
      <c r="G118" t="s">
        <v>599</v>
      </c>
      <c r="H118" t="s">
        <v>2552</v>
      </c>
      <c r="I118" t="str">
        <f t="shared" si="1"/>
        <v xml:space="preserve">psar_no_highvol_{'P' [('number'0 1) ('number'-2.5 -1)]}_[21 49]_2 </v>
      </c>
      <c r="J118" t="s">
        <v>2540</v>
      </c>
      <c r="K118">
        <v>130</v>
      </c>
      <c r="L118" t="s">
        <v>5</v>
      </c>
      <c r="M118">
        <v>42</v>
      </c>
      <c r="N118" t="s">
        <v>6</v>
      </c>
      <c r="O118">
        <v>5.1299999999999599</v>
      </c>
      <c r="P118" t="s">
        <v>7</v>
      </c>
      <c r="Q118">
        <v>3.9461538461538201E-2</v>
      </c>
      <c r="R118" t="s">
        <v>8</v>
      </c>
      <c r="S118">
        <v>1.6538095238095201</v>
      </c>
      <c r="T118" t="s">
        <v>9</v>
      </c>
      <c r="U118">
        <v>-0.73102272727272699</v>
      </c>
      <c r="V118" t="s">
        <v>10</v>
      </c>
      <c r="W118">
        <v>0.246787128490776</v>
      </c>
      <c r="X118" t="s">
        <v>11</v>
      </c>
      <c r="Y118" t="s">
        <v>669</v>
      </c>
      <c r="Z118" t="s">
        <v>1369</v>
      </c>
      <c r="AA118">
        <v>0</v>
      </c>
      <c r="AB118" t="s">
        <v>14</v>
      </c>
      <c r="AC118" t="s">
        <v>15</v>
      </c>
      <c r="AD118" t="s">
        <v>669</v>
      </c>
      <c r="AE118" t="s">
        <v>1369</v>
      </c>
      <c r="AF118">
        <v>0</v>
      </c>
      <c r="AG118" t="s">
        <v>18</v>
      </c>
    </row>
    <row r="119" spans="1:33" x14ac:dyDescent="0.3">
      <c r="A119" t="s">
        <v>2811</v>
      </c>
      <c r="B119" t="s">
        <v>587</v>
      </c>
      <c r="C119">
        <v>-5</v>
      </c>
      <c r="D119" t="s">
        <v>588</v>
      </c>
      <c r="E119" t="s">
        <v>589</v>
      </c>
      <c r="F119">
        <v>-7.5</v>
      </c>
      <c r="G119" t="s">
        <v>1998</v>
      </c>
      <c r="H119" t="s">
        <v>2918</v>
      </c>
      <c r="I119" t="str">
        <f t="shared" si="1"/>
        <v xml:space="preserve">stoch_{'P' [('number'-5 1) ('number'-7.5 -1)]}_[42 70]_0.5 </v>
      </c>
      <c r="J119" t="s">
        <v>2540</v>
      </c>
      <c r="K119">
        <v>370</v>
      </c>
      <c r="L119" t="s">
        <v>5</v>
      </c>
      <c r="M119">
        <v>178</v>
      </c>
      <c r="N119" t="s">
        <v>6</v>
      </c>
      <c r="O119">
        <v>4.9380786189701897</v>
      </c>
      <c r="P119" t="s">
        <v>7</v>
      </c>
      <c r="Q119">
        <v>1.33461584296491E-2</v>
      </c>
      <c r="R119" t="s">
        <v>8</v>
      </c>
      <c r="S119">
        <v>0.60151237325144802</v>
      </c>
      <c r="T119" t="s">
        <v>9</v>
      </c>
      <c r="U119">
        <v>-0.53193293656139295</v>
      </c>
      <c r="V119" t="s">
        <v>10</v>
      </c>
      <c r="W119">
        <v>0.26327153726730801</v>
      </c>
      <c r="X119" t="s">
        <v>11</v>
      </c>
      <c r="Y119" t="s">
        <v>3004</v>
      </c>
      <c r="Z119" t="s">
        <v>2198</v>
      </c>
      <c r="AA119">
        <v>0</v>
      </c>
      <c r="AB119" t="s">
        <v>14</v>
      </c>
      <c r="AC119" t="s">
        <v>15</v>
      </c>
      <c r="AD119" t="s">
        <v>3161</v>
      </c>
      <c r="AE119" t="s">
        <v>3162</v>
      </c>
      <c r="AF119">
        <v>0</v>
      </c>
      <c r="AG119" t="s">
        <v>18</v>
      </c>
    </row>
    <row r="120" spans="1:33" x14ac:dyDescent="0.3">
      <c r="A120" t="s">
        <v>2858</v>
      </c>
      <c r="B120" t="s">
        <v>587</v>
      </c>
      <c r="C120">
        <v>0</v>
      </c>
      <c r="D120" t="s">
        <v>588</v>
      </c>
      <c r="E120" t="s">
        <v>589</v>
      </c>
      <c r="F120">
        <v>-2.5</v>
      </c>
      <c r="G120" t="s">
        <v>599</v>
      </c>
      <c r="H120" t="s">
        <v>2916</v>
      </c>
      <c r="I120" t="str">
        <f t="shared" si="1"/>
        <v xml:space="preserve">stoch_no_highvol_{'P' [('number'0 1) ('number'-2.5 -1)]}_[21 49]_3 </v>
      </c>
      <c r="J120" t="s">
        <v>2540</v>
      </c>
      <c r="K120">
        <v>335</v>
      </c>
      <c r="L120" t="s">
        <v>5</v>
      </c>
      <c r="M120">
        <v>101</v>
      </c>
      <c r="N120" t="s">
        <v>6</v>
      </c>
      <c r="O120">
        <v>4.9299999999998603</v>
      </c>
      <c r="P120" t="s">
        <v>7</v>
      </c>
      <c r="Q120">
        <v>1.47164179104473E-2</v>
      </c>
      <c r="R120" t="s">
        <v>8</v>
      </c>
      <c r="S120">
        <v>1.52861386138613</v>
      </c>
      <c r="T120" t="s">
        <v>9</v>
      </c>
      <c r="U120">
        <v>-0.63871794871794896</v>
      </c>
      <c r="V120" t="s">
        <v>10</v>
      </c>
      <c r="W120">
        <v>0.48534387345722801</v>
      </c>
      <c r="X120" t="s">
        <v>11</v>
      </c>
      <c r="Y120" t="s">
        <v>1391</v>
      </c>
      <c r="Z120" t="s">
        <v>3147</v>
      </c>
      <c r="AA120">
        <v>0</v>
      </c>
      <c r="AB120" t="s">
        <v>14</v>
      </c>
      <c r="AC120" t="s">
        <v>15</v>
      </c>
      <c r="AD120" t="s">
        <v>3170</v>
      </c>
      <c r="AE120" t="s">
        <v>2754</v>
      </c>
      <c r="AF120">
        <v>0</v>
      </c>
      <c r="AG120" t="s">
        <v>18</v>
      </c>
    </row>
    <row r="121" spans="1:33" x14ac:dyDescent="0.3">
      <c r="A121" t="s">
        <v>2728</v>
      </c>
      <c r="B121" t="s">
        <v>587</v>
      </c>
      <c r="C121">
        <v>-7.5</v>
      </c>
      <c r="D121" t="s">
        <v>588</v>
      </c>
      <c r="E121" t="s">
        <v>589</v>
      </c>
      <c r="F121">
        <v>-10</v>
      </c>
      <c r="G121" t="s">
        <v>1998</v>
      </c>
      <c r="H121" t="s">
        <v>2926</v>
      </c>
      <c r="I121" t="str">
        <f t="shared" si="1"/>
        <v xml:space="preserve">psar_{'P' [('number'-7.5 1) ('number'-10 -1)]}_[42 70]_3 </v>
      </c>
      <c r="J121" t="s">
        <v>2540</v>
      </c>
      <c r="K121">
        <v>139</v>
      </c>
      <c r="L121" t="s">
        <v>5</v>
      </c>
      <c r="M121">
        <v>26</v>
      </c>
      <c r="N121" t="s">
        <v>6</v>
      </c>
      <c r="O121">
        <v>4.58738521920389</v>
      </c>
      <c r="P121" t="s">
        <v>7</v>
      </c>
      <c r="Q121">
        <v>3.3002771361179101E-2</v>
      </c>
      <c r="R121" t="s">
        <v>8</v>
      </c>
      <c r="S121">
        <v>1.98055355036527</v>
      </c>
      <c r="T121" t="s">
        <v>9</v>
      </c>
      <c r="U121">
        <v>-0.41510625743622298</v>
      </c>
      <c r="V121" t="s">
        <v>10</v>
      </c>
      <c r="W121">
        <v>0.21547335080559599</v>
      </c>
      <c r="X121" t="s">
        <v>11</v>
      </c>
      <c r="Y121" t="s">
        <v>3077</v>
      </c>
      <c r="Z121" t="s">
        <v>2666</v>
      </c>
      <c r="AA121">
        <v>0</v>
      </c>
      <c r="AB121" t="s">
        <v>14</v>
      </c>
      <c r="AC121" t="s">
        <v>15</v>
      </c>
      <c r="AD121" t="s">
        <v>3077</v>
      </c>
      <c r="AE121" t="s">
        <v>2666</v>
      </c>
      <c r="AF121">
        <v>0</v>
      </c>
      <c r="AG121" t="s">
        <v>18</v>
      </c>
    </row>
    <row r="122" spans="1:33" x14ac:dyDescent="0.3">
      <c r="A122" t="s">
        <v>2728</v>
      </c>
      <c r="B122" t="s">
        <v>587</v>
      </c>
      <c r="C122">
        <v>-7.5</v>
      </c>
      <c r="D122" t="s">
        <v>588</v>
      </c>
      <c r="E122" t="s">
        <v>589</v>
      </c>
      <c r="F122">
        <v>-10</v>
      </c>
      <c r="G122" t="s">
        <v>1998</v>
      </c>
      <c r="H122" t="s">
        <v>2559</v>
      </c>
      <c r="I122" t="str">
        <f t="shared" si="1"/>
        <v xml:space="preserve">psar_{'P' [('number'-7.5 1) ('number'-10 -1)]}_[42 70]_1 </v>
      </c>
      <c r="J122" t="s">
        <v>2540</v>
      </c>
      <c r="K122">
        <v>139</v>
      </c>
      <c r="L122" t="s">
        <v>5</v>
      </c>
      <c r="M122">
        <v>51</v>
      </c>
      <c r="N122" t="s">
        <v>6</v>
      </c>
      <c r="O122">
        <v>4.4735633684302201</v>
      </c>
      <c r="P122" t="s">
        <v>7</v>
      </c>
      <c r="Q122">
        <v>3.21839091253973E-2</v>
      </c>
      <c r="R122" t="s">
        <v>8</v>
      </c>
      <c r="S122">
        <v>0.788072906206294</v>
      </c>
      <c r="T122" t="s">
        <v>9</v>
      </c>
      <c r="U122">
        <v>-0.40588812327375801</v>
      </c>
      <c r="V122" t="s">
        <v>10</v>
      </c>
      <c r="W122">
        <v>0.13526759676331901</v>
      </c>
      <c r="X122" t="s">
        <v>11</v>
      </c>
      <c r="Y122" t="s">
        <v>3074</v>
      </c>
      <c r="Z122" t="s">
        <v>129</v>
      </c>
      <c r="AA122">
        <v>0</v>
      </c>
      <c r="AB122" t="s">
        <v>14</v>
      </c>
      <c r="AC122" t="s">
        <v>15</v>
      </c>
      <c r="AD122" t="s">
        <v>3074</v>
      </c>
      <c r="AE122" t="s">
        <v>129</v>
      </c>
      <c r="AF122">
        <v>0</v>
      </c>
      <c r="AG122" t="s">
        <v>18</v>
      </c>
    </row>
    <row r="123" spans="1:33" x14ac:dyDescent="0.3">
      <c r="A123" t="s">
        <v>2811</v>
      </c>
      <c r="B123" t="s">
        <v>587</v>
      </c>
      <c r="C123">
        <v>-2.5</v>
      </c>
      <c r="D123" t="s">
        <v>588</v>
      </c>
      <c r="E123" t="s">
        <v>589</v>
      </c>
      <c r="F123">
        <v>-5</v>
      </c>
      <c r="G123" t="s">
        <v>590</v>
      </c>
      <c r="H123" t="s">
        <v>2902</v>
      </c>
      <c r="I123" t="str">
        <f t="shared" si="1"/>
        <v xml:space="preserve">stoch_{'P' [('number'-2.5 1) ('number'-5 -1)]}_[7 35]_0.5 </v>
      </c>
      <c r="J123" t="s">
        <v>2540</v>
      </c>
      <c r="K123">
        <v>375</v>
      </c>
      <c r="L123" t="s">
        <v>5</v>
      </c>
      <c r="M123">
        <v>168</v>
      </c>
      <c r="N123" t="s">
        <v>6</v>
      </c>
      <c r="O123">
        <v>4.4099999999999797</v>
      </c>
      <c r="P123" t="s">
        <v>7</v>
      </c>
      <c r="Q123">
        <v>1.1759999999999901E-2</v>
      </c>
      <c r="R123" t="s">
        <v>8</v>
      </c>
      <c r="S123">
        <v>0.63095238095238004</v>
      </c>
      <c r="T123" t="s">
        <v>9</v>
      </c>
      <c r="U123">
        <v>-0.49077294685990303</v>
      </c>
      <c r="V123" t="s">
        <v>10</v>
      </c>
      <c r="W123">
        <v>0.30472197498964299</v>
      </c>
      <c r="X123" t="s">
        <v>11</v>
      </c>
      <c r="Y123" t="s">
        <v>3149</v>
      </c>
      <c r="Z123" t="s">
        <v>3065</v>
      </c>
      <c r="AA123">
        <v>0</v>
      </c>
      <c r="AB123" t="s">
        <v>14</v>
      </c>
      <c r="AC123" t="s">
        <v>15</v>
      </c>
      <c r="AD123" t="s">
        <v>3150</v>
      </c>
      <c r="AE123" t="s">
        <v>2418</v>
      </c>
      <c r="AF123">
        <v>0</v>
      </c>
      <c r="AG123" t="s">
        <v>18</v>
      </c>
    </row>
    <row r="124" spans="1:33" x14ac:dyDescent="0.3">
      <c r="A124" t="s">
        <v>2858</v>
      </c>
      <c r="B124" t="s">
        <v>587</v>
      </c>
      <c r="C124">
        <v>0</v>
      </c>
      <c r="D124" t="s">
        <v>588</v>
      </c>
      <c r="E124" t="s">
        <v>589</v>
      </c>
      <c r="F124">
        <v>-2.5</v>
      </c>
      <c r="G124" t="s">
        <v>590</v>
      </c>
      <c r="H124" t="s">
        <v>2902</v>
      </c>
      <c r="I124" t="str">
        <f t="shared" si="1"/>
        <v xml:space="preserve">stoch_no_highvol_{'P' [('number'0 1) ('number'-2.5 -1)]}_[7 35]_0.5 </v>
      </c>
      <c r="J124" t="s">
        <v>2540</v>
      </c>
      <c r="K124">
        <v>334</v>
      </c>
      <c r="L124" t="s">
        <v>5</v>
      </c>
      <c r="M124">
        <v>157</v>
      </c>
      <c r="N124" t="s">
        <v>6</v>
      </c>
      <c r="O124">
        <v>4.2299999999998903</v>
      </c>
      <c r="P124" t="s">
        <v>7</v>
      </c>
      <c r="Q124">
        <v>1.2664670658682301E-2</v>
      </c>
      <c r="R124" t="s">
        <v>8</v>
      </c>
      <c r="S124">
        <v>0.74936305732483999</v>
      </c>
      <c r="T124" t="s">
        <v>9</v>
      </c>
      <c r="U124">
        <v>-0.64079096045197803</v>
      </c>
      <c r="V124" t="s">
        <v>10</v>
      </c>
      <c r="W124">
        <v>0.35482166679259602</v>
      </c>
      <c r="X124" t="s">
        <v>11</v>
      </c>
      <c r="Y124" t="s">
        <v>2978</v>
      </c>
      <c r="Z124" t="s">
        <v>1431</v>
      </c>
      <c r="AA124">
        <v>0</v>
      </c>
      <c r="AB124" t="s">
        <v>14</v>
      </c>
      <c r="AC124" t="s">
        <v>15</v>
      </c>
      <c r="AD124" t="s">
        <v>3146</v>
      </c>
      <c r="AE124" t="s">
        <v>1431</v>
      </c>
      <c r="AF124">
        <v>0</v>
      </c>
      <c r="AG124" t="s">
        <v>18</v>
      </c>
    </row>
    <row r="125" spans="1:33" x14ac:dyDescent="0.3">
      <c r="A125" t="s">
        <v>2752</v>
      </c>
      <c r="B125" t="s">
        <v>587</v>
      </c>
      <c r="C125">
        <v>-7.5</v>
      </c>
      <c r="D125" t="s">
        <v>588</v>
      </c>
      <c r="E125" t="s">
        <v>589</v>
      </c>
      <c r="F125">
        <v>-10</v>
      </c>
      <c r="G125" t="s">
        <v>1998</v>
      </c>
      <c r="H125" t="s">
        <v>2926</v>
      </c>
      <c r="I125" t="str">
        <f t="shared" si="1"/>
        <v xml:space="preserve">psar_no_highvol_{'P' [('number'-7.5 1) ('number'-10 -1)]}_[42 70]_3 </v>
      </c>
      <c r="J125" t="s">
        <v>2540</v>
      </c>
      <c r="K125">
        <v>130</v>
      </c>
      <c r="L125" t="s">
        <v>5</v>
      </c>
      <c r="M125">
        <v>25</v>
      </c>
      <c r="N125" t="s">
        <v>6</v>
      </c>
      <c r="O125">
        <v>4.16738521920389</v>
      </c>
      <c r="P125" t="s">
        <v>7</v>
      </c>
      <c r="Q125">
        <v>3.2056809378491501E-2</v>
      </c>
      <c r="R125" t="s">
        <v>8</v>
      </c>
      <c r="S125">
        <v>1.8489756923798799</v>
      </c>
      <c r="T125" t="s">
        <v>9</v>
      </c>
      <c r="U125">
        <v>-0.40054292466945901</v>
      </c>
      <c r="V125" t="s">
        <v>10</v>
      </c>
      <c r="W125">
        <v>0.194382254942539</v>
      </c>
      <c r="X125" t="s">
        <v>11</v>
      </c>
      <c r="Y125" t="s">
        <v>3077</v>
      </c>
      <c r="Z125" t="s">
        <v>2666</v>
      </c>
      <c r="AA125">
        <v>0</v>
      </c>
      <c r="AB125" t="s">
        <v>14</v>
      </c>
      <c r="AC125" t="s">
        <v>15</v>
      </c>
      <c r="AD125" t="s">
        <v>3077</v>
      </c>
      <c r="AE125" t="s">
        <v>2666</v>
      </c>
      <c r="AF125">
        <v>0</v>
      </c>
      <c r="AG125" t="s">
        <v>18</v>
      </c>
    </row>
    <row r="126" spans="1:33" x14ac:dyDescent="0.3">
      <c r="A126" t="s">
        <v>2811</v>
      </c>
      <c r="B126" t="s">
        <v>587</v>
      </c>
      <c r="C126">
        <v>0</v>
      </c>
      <c r="D126" t="s">
        <v>588</v>
      </c>
      <c r="E126" t="s">
        <v>589</v>
      </c>
      <c r="F126">
        <v>-2.5</v>
      </c>
      <c r="G126" t="s">
        <v>599</v>
      </c>
      <c r="H126" t="s">
        <v>2550</v>
      </c>
      <c r="I126" t="str">
        <f t="shared" si="1"/>
        <v xml:space="preserve">stoch_{'P' [('number'0 1) ('number'-2.5 -1)]}_[21 49]_1 </v>
      </c>
      <c r="J126" t="s">
        <v>2540</v>
      </c>
      <c r="K126">
        <v>376</v>
      </c>
      <c r="L126" t="s">
        <v>5</v>
      </c>
      <c r="M126">
        <v>134</v>
      </c>
      <c r="N126" t="s">
        <v>6</v>
      </c>
      <c r="O126">
        <v>4.1404384000547498</v>
      </c>
      <c r="P126" t="s">
        <v>7</v>
      </c>
      <c r="Q126">
        <v>1.10118042554647E-2</v>
      </c>
      <c r="R126" t="s">
        <v>8</v>
      </c>
      <c r="S126">
        <v>1.20971189422394</v>
      </c>
      <c r="T126" t="s">
        <v>9</v>
      </c>
      <c r="U126">
        <v>-0.65273122076840295</v>
      </c>
      <c r="V126" t="s">
        <v>10</v>
      </c>
      <c r="W126">
        <v>0.44987369152427897</v>
      </c>
      <c r="X126" t="s">
        <v>11</v>
      </c>
      <c r="Y126" t="s">
        <v>2911</v>
      </c>
      <c r="Z126" t="s">
        <v>53</v>
      </c>
      <c r="AA126">
        <v>0</v>
      </c>
      <c r="AB126" t="s">
        <v>14</v>
      </c>
      <c r="AC126" t="s">
        <v>15</v>
      </c>
      <c r="AD126" t="s">
        <v>2911</v>
      </c>
      <c r="AE126" t="s">
        <v>53</v>
      </c>
      <c r="AF126">
        <v>0</v>
      </c>
      <c r="AG126" t="s">
        <v>18</v>
      </c>
    </row>
    <row r="127" spans="1:33" x14ac:dyDescent="0.3">
      <c r="A127" t="s">
        <v>2858</v>
      </c>
      <c r="B127" t="s">
        <v>587</v>
      </c>
      <c r="C127">
        <v>-5</v>
      </c>
      <c r="D127" t="s">
        <v>588</v>
      </c>
      <c r="E127" t="s">
        <v>589</v>
      </c>
      <c r="F127">
        <v>-7.5</v>
      </c>
      <c r="G127" t="s">
        <v>1998</v>
      </c>
      <c r="H127" t="s">
        <v>2562</v>
      </c>
      <c r="I127" t="str">
        <f t="shared" si="1"/>
        <v xml:space="preserve">stoch_no_highvol_{'P' [('number'-5 1) ('number'-7.5 -1)]}_[42 70]_2 </v>
      </c>
      <c r="J127" t="s">
        <v>2540</v>
      </c>
      <c r="K127">
        <v>331</v>
      </c>
      <c r="L127" t="s">
        <v>5</v>
      </c>
      <c r="M127">
        <v>81</v>
      </c>
      <c r="N127" t="s">
        <v>6</v>
      </c>
      <c r="O127">
        <v>4.0227072745436896</v>
      </c>
      <c r="P127" t="s">
        <v>7</v>
      </c>
      <c r="Q127">
        <v>1.21531941829114E-2</v>
      </c>
      <c r="R127" t="s">
        <v>8</v>
      </c>
      <c r="S127">
        <v>1.5171800180978401</v>
      </c>
      <c r="T127" t="s">
        <v>9</v>
      </c>
      <c r="U127">
        <v>-0.47547549676552497</v>
      </c>
      <c r="V127" t="s">
        <v>10</v>
      </c>
      <c r="W127">
        <v>0.36509559640070399</v>
      </c>
      <c r="X127" t="s">
        <v>11</v>
      </c>
      <c r="Y127" t="s">
        <v>3183</v>
      </c>
      <c r="Z127" t="s">
        <v>2655</v>
      </c>
      <c r="AA127">
        <v>0</v>
      </c>
      <c r="AB127" t="s">
        <v>14</v>
      </c>
      <c r="AC127" t="s">
        <v>15</v>
      </c>
      <c r="AD127" t="s">
        <v>3184</v>
      </c>
      <c r="AE127" t="s">
        <v>2693</v>
      </c>
      <c r="AF127">
        <v>0</v>
      </c>
      <c r="AG127" t="s">
        <v>18</v>
      </c>
    </row>
    <row r="128" spans="1:33" x14ac:dyDescent="0.3">
      <c r="A128" t="s">
        <v>2752</v>
      </c>
      <c r="B128" t="s">
        <v>587</v>
      </c>
      <c r="C128">
        <v>0</v>
      </c>
      <c r="D128" t="s">
        <v>588</v>
      </c>
      <c r="E128" t="s">
        <v>589</v>
      </c>
      <c r="F128">
        <v>-2.5</v>
      </c>
      <c r="G128" t="s">
        <v>599</v>
      </c>
      <c r="H128" t="s">
        <v>2910</v>
      </c>
      <c r="I128" t="str">
        <f t="shared" si="1"/>
        <v xml:space="preserve">psar_no_highvol_{'P' [('number'0 1) ('number'-2.5 -1)]}_[21 49]_0.5 </v>
      </c>
      <c r="J128" t="s">
        <v>2540</v>
      </c>
      <c r="K128">
        <v>130</v>
      </c>
      <c r="L128" t="s">
        <v>5</v>
      </c>
      <c r="M128">
        <v>69</v>
      </c>
      <c r="N128" t="s">
        <v>6</v>
      </c>
      <c r="O128">
        <v>3.9999999999999898</v>
      </c>
      <c r="P128" t="s">
        <v>7</v>
      </c>
      <c r="Q128">
        <v>3.0769230769230702E-2</v>
      </c>
      <c r="R128" t="s">
        <v>8</v>
      </c>
      <c r="S128">
        <v>0.67072463768115897</v>
      </c>
      <c r="T128" t="s">
        <v>9</v>
      </c>
      <c r="U128">
        <v>-0.69311475409835999</v>
      </c>
      <c r="V128" t="s">
        <v>10</v>
      </c>
      <c r="W128">
        <v>0.14721718447597501</v>
      </c>
      <c r="X128" t="s">
        <v>11</v>
      </c>
      <c r="Y128" t="s">
        <v>2938</v>
      </c>
      <c r="Z128" t="s">
        <v>660</v>
      </c>
      <c r="AA128">
        <v>0</v>
      </c>
      <c r="AB128" t="s">
        <v>14</v>
      </c>
      <c r="AC128" t="s">
        <v>15</v>
      </c>
      <c r="AD128" t="s">
        <v>2938</v>
      </c>
      <c r="AE128" t="s">
        <v>660</v>
      </c>
      <c r="AF128">
        <v>0</v>
      </c>
      <c r="AG128" t="s">
        <v>18</v>
      </c>
    </row>
    <row r="129" spans="1:33" x14ac:dyDescent="0.3">
      <c r="A129" t="s">
        <v>2858</v>
      </c>
      <c r="B129" t="s">
        <v>587</v>
      </c>
      <c r="C129">
        <v>-7.5</v>
      </c>
      <c r="D129" t="s">
        <v>588</v>
      </c>
      <c r="E129" t="s">
        <v>589</v>
      </c>
      <c r="F129">
        <v>-10</v>
      </c>
      <c r="G129" t="s">
        <v>1998</v>
      </c>
      <c r="H129" t="s">
        <v>2926</v>
      </c>
      <c r="I129" t="str">
        <f t="shared" si="1"/>
        <v xml:space="preserve">stoch_no_highvol_{'P' [('number'-7.5 1) ('number'-10 -1)]}_[42 70]_3 </v>
      </c>
      <c r="J129" t="s">
        <v>2540</v>
      </c>
      <c r="K129">
        <v>331</v>
      </c>
      <c r="L129" t="s">
        <v>5</v>
      </c>
      <c r="M129">
        <v>59</v>
      </c>
      <c r="N129" t="s">
        <v>6</v>
      </c>
      <c r="O129">
        <v>3.8685070878520098</v>
      </c>
      <c r="P129" t="s">
        <v>7</v>
      </c>
      <c r="Q129">
        <v>1.1687332591697901E-2</v>
      </c>
      <c r="R129" t="s">
        <v>8</v>
      </c>
      <c r="S129">
        <v>1.9173710817088001</v>
      </c>
      <c r="T129" t="s">
        <v>9</v>
      </c>
      <c r="U129">
        <v>-0.40167789240061602</v>
      </c>
      <c r="V129" t="s">
        <v>10</v>
      </c>
      <c r="W129">
        <v>0.36282102584103998</v>
      </c>
      <c r="X129" t="s">
        <v>11</v>
      </c>
      <c r="Y129" t="s">
        <v>3052</v>
      </c>
      <c r="Z129" t="s">
        <v>284</v>
      </c>
      <c r="AA129">
        <v>0</v>
      </c>
      <c r="AB129" t="s">
        <v>14</v>
      </c>
      <c r="AC129" t="s">
        <v>15</v>
      </c>
      <c r="AD129" t="s">
        <v>3188</v>
      </c>
      <c r="AE129" t="s">
        <v>3189</v>
      </c>
      <c r="AF129">
        <v>0</v>
      </c>
      <c r="AG129" t="s">
        <v>18</v>
      </c>
    </row>
    <row r="130" spans="1:33" x14ac:dyDescent="0.3">
      <c r="A130" t="s">
        <v>2858</v>
      </c>
      <c r="B130" t="s">
        <v>587</v>
      </c>
      <c r="C130">
        <v>-5</v>
      </c>
      <c r="D130" t="s">
        <v>588</v>
      </c>
      <c r="E130" t="s">
        <v>589</v>
      </c>
      <c r="F130">
        <v>-7.5</v>
      </c>
      <c r="G130" t="s">
        <v>1998</v>
      </c>
      <c r="H130" t="s">
        <v>2559</v>
      </c>
      <c r="I130" t="str">
        <f t="shared" si="1"/>
        <v xml:space="preserve">stoch_no_highvol_{'P' [('number'-5 1) ('number'-7.5 -1)]}_[42 70]_1 </v>
      </c>
      <c r="J130" t="s">
        <v>2540</v>
      </c>
      <c r="K130">
        <v>331</v>
      </c>
      <c r="L130" t="s">
        <v>5</v>
      </c>
      <c r="M130">
        <v>113</v>
      </c>
      <c r="N130" t="s">
        <v>6</v>
      </c>
      <c r="O130">
        <v>3.8675349595367599</v>
      </c>
      <c r="P130" t="s">
        <v>7</v>
      </c>
      <c r="Q130">
        <v>1.16843956481473E-2</v>
      </c>
      <c r="R130" t="s">
        <v>8</v>
      </c>
      <c r="S130">
        <v>0.95050860700968698</v>
      </c>
      <c r="T130" t="s">
        <v>9</v>
      </c>
      <c r="U130">
        <v>-0.47495384235118199</v>
      </c>
      <c r="V130" t="s">
        <v>10</v>
      </c>
      <c r="W130">
        <v>0.28912491249504901</v>
      </c>
      <c r="X130" t="s">
        <v>11</v>
      </c>
      <c r="Y130" t="s">
        <v>3182</v>
      </c>
      <c r="Z130" t="s">
        <v>3023</v>
      </c>
      <c r="AA130">
        <v>0</v>
      </c>
      <c r="AB130" t="s">
        <v>14</v>
      </c>
      <c r="AC130" t="s">
        <v>15</v>
      </c>
      <c r="AD130" t="s">
        <v>3163</v>
      </c>
      <c r="AE130" t="s">
        <v>3162</v>
      </c>
      <c r="AF130">
        <v>0</v>
      </c>
      <c r="AG130" t="s">
        <v>18</v>
      </c>
    </row>
    <row r="131" spans="1:33" x14ac:dyDescent="0.3">
      <c r="A131" t="s">
        <v>2811</v>
      </c>
      <c r="B131" t="s">
        <v>587</v>
      </c>
      <c r="C131">
        <v>-2.5</v>
      </c>
      <c r="D131" t="s">
        <v>588</v>
      </c>
      <c r="E131" t="s">
        <v>589</v>
      </c>
      <c r="F131">
        <v>-5</v>
      </c>
      <c r="G131" t="s">
        <v>599</v>
      </c>
      <c r="H131" t="s">
        <v>2916</v>
      </c>
      <c r="I131" t="str">
        <f t="shared" ref="I131:I194" si="2">_xlfn.CONCAT(A131:H131)</f>
        <v xml:space="preserve">stoch_{'P' [('number'-2.5 1) ('number'-5 -1)]}_[21 49]_3 </v>
      </c>
      <c r="J131" t="s">
        <v>2540</v>
      </c>
      <c r="K131">
        <v>376</v>
      </c>
      <c r="L131" t="s">
        <v>5</v>
      </c>
      <c r="M131">
        <v>91</v>
      </c>
      <c r="N131" t="s">
        <v>6</v>
      </c>
      <c r="O131">
        <v>3.4300000000000499</v>
      </c>
      <c r="P131" t="s">
        <v>7</v>
      </c>
      <c r="Q131">
        <v>9.1223404255320502E-3</v>
      </c>
      <c r="R131" t="s">
        <v>8</v>
      </c>
      <c r="S131">
        <v>1.71142857142857</v>
      </c>
      <c r="T131" t="s">
        <v>9</v>
      </c>
      <c r="U131">
        <v>-0.53442105263157802</v>
      </c>
      <c r="V131" t="s">
        <v>10</v>
      </c>
      <c r="W131">
        <v>0.476186375122504</v>
      </c>
      <c r="X131" t="s">
        <v>11</v>
      </c>
      <c r="Y131" t="s">
        <v>3043</v>
      </c>
      <c r="Z131" t="s">
        <v>2693</v>
      </c>
      <c r="AA131">
        <v>0</v>
      </c>
      <c r="AB131" t="s">
        <v>14</v>
      </c>
      <c r="AC131" t="s">
        <v>15</v>
      </c>
      <c r="AD131" t="s">
        <v>3155</v>
      </c>
      <c r="AE131" t="s">
        <v>2693</v>
      </c>
      <c r="AF131">
        <v>0</v>
      </c>
      <c r="AG131" t="s">
        <v>18</v>
      </c>
    </row>
    <row r="132" spans="1:33" x14ac:dyDescent="0.3">
      <c r="A132" t="s">
        <v>2728</v>
      </c>
      <c r="B132" t="s">
        <v>587</v>
      </c>
      <c r="C132">
        <v>0</v>
      </c>
      <c r="D132" t="s">
        <v>588</v>
      </c>
      <c r="E132" t="s">
        <v>589</v>
      </c>
      <c r="F132">
        <v>-2.5</v>
      </c>
      <c r="G132" t="s">
        <v>1998</v>
      </c>
      <c r="H132" t="s">
        <v>2918</v>
      </c>
      <c r="I132" t="str">
        <f t="shared" si="2"/>
        <v xml:space="preserve">psar_{'P' [('number'0 1) ('number'-2.5 -1)]}_[42 70]_0.5 </v>
      </c>
      <c r="J132" t="s">
        <v>2540</v>
      </c>
      <c r="K132">
        <v>139</v>
      </c>
      <c r="L132" t="s">
        <v>5</v>
      </c>
      <c r="M132">
        <v>73</v>
      </c>
      <c r="N132" t="s">
        <v>6</v>
      </c>
      <c r="O132">
        <v>3.4041522439918999</v>
      </c>
      <c r="P132" t="s">
        <v>7</v>
      </c>
      <c r="Q132">
        <v>2.44903039136108E-2</v>
      </c>
      <c r="R132" t="s">
        <v>8</v>
      </c>
      <c r="S132">
        <v>0.799690655503562</v>
      </c>
      <c r="T132" t="s">
        <v>9</v>
      </c>
      <c r="U132">
        <v>-0.83292826678436505</v>
      </c>
      <c r="V132" t="s">
        <v>10</v>
      </c>
      <c r="W132">
        <v>0.19702739408485601</v>
      </c>
      <c r="X132" t="s">
        <v>11</v>
      </c>
      <c r="Y132" t="s">
        <v>2954</v>
      </c>
      <c r="Z132" t="s">
        <v>2922</v>
      </c>
      <c r="AA132">
        <v>0</v>
      </c>
      <c r="AB132" t="s">
        <v>14</v>
      </c>
      <c r="AC132" t="s">
        <v>15</v>
      </c>
      <c r="AD132" t="s">
        <v>2954</v>
      </c>
      <c r="AE132" t="s">
        <v>2922</v>
      </c>
      <c r="AF132">
        <v>0</v>
      </c>
      <c r="AG132" t="s">
        <v>18</v>
      </c>
    </row>
    <row r="133" spans="1:33" x14ac:dyDescent="0.3">
      <c r="A133" t="s">
        <v>2623</v>
      </c>
      <c r="B133" t="s">
        <v>587</v>
      </c>
      <c r="C133">
        <v>0</v>
      </c>
      <c r="D133" t="s">
        <v>588</v>
      </c>
      <c r="E133" t="s">
        <v>589</v>
      </c>
      <c r="F133">
        <v>-2.5</v>
      </c>
      <c r="G133" t="s">
        <v>599</v>
      </c>
      <c r="H133" t="s">
        <v>2550</v>
      </c>
      <c r="I133" t="str">
        <f t="shared" si="2"/>
        <v xml:space="preserve">bbands_{'P' [('number'0 1) ('number'-2.5 -1)]}_[21 49]_1 </v>
      </c>
      <c r="J133" t="s">
        <v>2540</v>
      </c>
      <c r="K133">
        <v>178</v>
      </c>
      <c r="L133" t="s">
        <v>5</v>
      </c>
      <c r="M133">
        <v>62</v>
      </c>
      <c r="N133" t="s">
        <v>6</v>
      </c>
      <c r="O133">
        <v>3.2899999999999698</v>
      </c>
      <c r="P133" t="s">
        <v>7</v>
      </c>
      <c r="Q133">
        <v>1.84831460674156E-2</v>
      </c>
      <c r="R133" t="s">
        <v>8</v>
      </c>
      <c r="S133">
        <v>1.23806451612903</v>
      </c>
      <c r="T133" t="s">
        <v>9</v>
      </c>
      <c r="U133">
        <v>-0.63336206896551706</v>
      </c>
      <c r="V133" t="s">
        <v>10</v>
      </c>
      <c r="W133">
        <v>0.213948882083415</v>
      </c>
      <c r="X133" t="s">
        <v>11</v>
      </c>
      <c r="Y133" t="s">
        <v>2978</v>
      </c>
      <c r="Z133" t="s">
        <v>1431</v>
      </c>
      <c r="AA133">
        <v>0</v>
      </c>
      <c r="AB133" t="s">
        <v>14</v>
      </c>
      <c r="AC133" t="s">
        <v>15</v>
      </c>
      <c r="AD133" t="s">
        <v>2979</v>
      </c>
      <c r="AE133" t="s">
        <v>1431</v>
      </c>
      <c r="AF133">
        <v>0</v>
      </c>
      <c r="AG133" t="s">
        <v>18</v>
      </c>
    </row>
    <row r="134" spans="1:33" x14ac:dyDescent="0.3">
      <c r="A134" t="s">
        <v>2752</v>
      </c>
      <c r="B134" t="s">
        <v>587</v>
      </c>
      <c r="C134">
        <v>-7.5</v>
      </c>
      <c r="D134" t="s">
        <v>588</v>
      </c>
      <c r="E134" t="s">
        <v>589</v>
      </c>
      <c r="F134">
        <v>-10</v>
      </c>
      <c r="G134" t="s">
        <v>599</v>
      </c>
      <c r="H134" t="s">
        <v>2550</v>
      </c>
      <c r="I134" t="str">
        <f t="shared" si="2"/>
        <v xml:space="preserve">psar_no_highvol_{'P' [('number'-7.5 1) ('number'-10 -1)]}_[21 49]_1 </v>
      </c>
      <c r="J134" t="s">
        <v>2540</v>
      </c>
      <c r="K134">
        <v>130</v>
      </c>
      <c r="L134" t="s">
        <v>5</v>
      </c>
      <c r="M134">
        <v>44</v>
      </c>
      <c r="N134" t="s">
        <v>6</v>
      </c>
      <c r="O134">
        <v>3.2299999999999902</v>
      </c>
      <c r="P134" t="s">
        <v>7</v>
      </c>
      <c r="Q134">
        <v>2.4846153846153799E-2</v>
      </c>
      <c r="R134" t="s">
        <v>8</v>
      </c>
      <c r="S134">
        <v>0.71795454545454496</v>
      </c>
      <c r="T134" t="s">
        <v>9</v>
      </c>
      <c r="U134">
        <v>-0.32976744186046503</v>
      </c>
      <c r="V134" t="s">
        <v>10</v>
      </c>
      <c r="W134">
        <v>0.106217349603037</v>
      </c>
      <c r="X134" t="s">
        <v>11</v>
      </c>
      <c r="Y134" t="s">
        <v>3090</v>
      </c>
      <c r="Z134" t="s">
        <v>3091</v>
      </c>
      <c r="AA134">
        <v>0</v>
      </c>
      <c r="AB134" t="s">
        <v>14</v>
      </c>
      <c r="AC134" t="s">
        <v>15</v>
      </c>
      <c r="AD134" t="s">
        <v>3090</v>
      </c>
      <c r="AE134" t="s">
        <v>3091</v>
      </c>
      <c r="AF134">
        <v>0</v>
      </c>
      <c r="AG134" t="s">
        <v>18</v>
      </c>
    </row>
    <row r="135" spans="1:33" x14ac:dyDescent="0.3">
      <c r="A135" t="s">
        <v>2752</v>
      </c>
      <c r="B135" t="s">
        <v>587</v>
      </c>
      <c r="C135">
        <v>0</v>
      </c>
      <c r="D135" t="s">
        <v>588</v>
      </c>
      <c r="E135" t="s">
        <v>589</v>
      </c>
      <c r="F135">
        <v>-2.5</v>
      </c>
      <c r="G135" t="s">
        <v>599</v>
      </c>
      <c r="H135" t="s">
        <v>2916</v>
      </c>
      <c r="I135" t="str">
        <f t="shared" si="2"/>
        <v xml:space="preserve">psar_no_highvol_{'P' [('number'0 1) ('number'-2.5 -1)]}_[21 49]_3 </v>
      </c>
      <c r="J135" t="s">
        <v>2540</v>
      </c>
      <c r="K135">
        <v>130</v>
      </c>
      <c r="L135" t="s">
        <v>5</v>
      </c>
      <c r="M135">
        <v>41</v>
      </c>
      <c r="N135" t="s">
        <v>6</v>
      </c>
      <c r="O135">
        <v>3.1299999999999701</v>
      </c>
      <c r="P135" t="s">
        <v>7</v>
      </c>
      <c r="Q135">
        <v>2.4076923076922802E-2</v>
      </c>
      <c r="R135" t="s">
        <v>8</v>
      </c>
      <c r="S135">
        <v>1.6834146341463401</v>
      </c>
      <c r="T135" t="s">
        <v>9</v>
      </c>
      <c r="U135">
        <v>-0.74033707865168497</v>
      </c>
      <c r="V135" t="s">
        <v>10</v>
      </c>
      <c r="W135">
        <v>0.256875354984477</v>
      </c>
      <c r="X135" t="s">
        <v>11</v>
      </c>
      <c r="Y135" t="s">
        <v>669</v>
      </c>
      <c r="Z135" t="s">
        <v>1369</v>
      </c>
      <c r="AA135">
        <v>0</v>
      </c>
      <c r="AB135" t="s">
        <v>14</v>
      </c>
      <c r="AC135" t="s">
        <v>15</v>
      </c>
      <c r="AD135" t="s">
        <v>669</v>
      </c>
      <c r="AE135" t="s">
        <v>1369</v>
      </c>
      <c r="AF135">
        <v>0</v>
      </c>
      <c r="AG135" t="s">
        <v>18</v>
      </c>
    </row>
    <row r="136" spans="1:33" x14ac:dyDescent="0.3">
      <c r="A136" t="s">
        <v>2777</v>
      </c>
      <c r="B136" t="s">
        <v>587</v>
      </c>
      <c r="C136">
        <v>-5</v>
      </c>
      <c r="D136" t="s">
        <v>588</v>
      </c>
      <c r="E136" t="s">
        <v>589</v>
      </c>
      <c r="F136">
        <v>-7.5</v>
      </c>
      <c r="G136" t="s">
        <v>1998</v>
      </c>
      <c r="H136" t="s">
        <v>2559</v>
      </c>
      <c r="I136" t="str">
        <f t="shared" si="2"/>
        <v xml:space="preserve">rsi_{'P' [('number'-5 1) ('number'-7.5 -1)]}_[42 70]_1 </v>
      </c>
      <c r="J136" t="s">
        <v>2540</v>
      </c>
      <c r="K136">
        <v>127</v>
      </c>
      <c r="L136" t="s">
        <v>5</v>
      </c>
      <c r="M136">
        <v>44</v>
      </c>
      <c r="N136" t="s">
        <v>6</v>
      </c>
      <c r="O136">
        <v>3.07555922760455</v>
      </c>
      <c r="P136" t="s">
        <v>7</v>
      </c>
      <c r="Q136">
        <v>2.42170017921618E-2</v>
      </c>
      <c r="R136" t="s">
        <v>8</v>
      </c>
      <c r="S136">
        <v>0.98792712420159501</v>
      </c>
      <c r="T136" t="s">
        <v>9</v>
      </c>
      <c r="U136">
        <v>-0.48666547273813998</v>
      </c>
      <c r="V136" t="s">
        <v>10</v>
      </c>
      <c r="W136">
        <v>0.14062059433573701</v>
      </c>
      <c r="X136" t="s">
        <v>11</v>
      </c>
      <c r="Y136" t="s">
        <v>3126</v>
      </c>
      <c r="Z136" t="s">
        <v>730</v>
      </c>
      <c r="AA136">
        <v>0</v>
      </c>
      <c r="AB136" t="s">
        <v>14</v>
      </c>
      <c r="AC136" t="s">
        <v>15</v>
      </c>
      <c r="AD136" t="s">
        <v>3126</v>
      </c>
      <c r="AE136" t="s">
        <v>730</v>
      </c>
      <c r="AF136">
        <v>0</v>
      </c>
      <c r="AG136" t="s">
        <v>18</v>
      </c>
    </row>
    <row r="137" spans="1:33" x14ac:dyDescent="0.3">
      <c r="A137" t="s">
        <v>2777</v>
      </c>
      <c r="B137" t="s">
        <v>587</v>
      </c>
      <c r="C137">
        <v>-5</v>
      </c>
      <c r="D137" t="s">
        <v>588</v>
      </c>
      <c r="E137" t="s">
        <v>589</v>
      </c>
      <c r="F137">
        <v>-7.5</v>
      </c>
      <c r="G137" t="s">
        <v>599</v>
      </c>
      <c r="H137" t="s">
        <v>2552</v>
      </c>
      <c r="I137" t="str">
        <f t="shared" si="2"/>
        <v xml:space="preserve">rsi_{'P' [('number'-5 1) ('number'-7.5 -1)]}_[21 49]_2 </v>
      </c>
      <c r="J137" t="s">
        <v>2540</v>
      </c>
      <c r="K137">
        <v>128</v>
      </c>
      <c r="L137" t="s">
        <v>5</v>
      </c>
      <c r="M137">
        <v>32</v>
      </c>
      <c r="N137" t="s">
        <v>6</v>
      </c>
      <c r="O137">
        <v>3.0499999999999901</v>
      </c>
      <c r="P137" t="s">
        <v>7</v>
      </c>
      <c r="Q137">
        <v>2.3828124999999901E-2</v>
      </c>
      <c r="R137" t="s">
        <v>8</v>
      </c>
      <c r="S137">
        <v>1.4378124999999999</v>
      </c>
      <c r="T137" t="s">
        <v>9</v>
      </c>
      <c r="U137">
        <v>-0.44750000000000001</v>
      </c>
      <c r="V137" t="s">
        <v>10</v>
      </c>
      <c r="W137">
        <v>0.179664303459181</v>
      </c>
      <c r="X137" t="s">
        <v>11</v>
      </c>
      <c r="Y137" t="s">
        <v>2938</v>
      </c>
      <c r="Z137" t="s">
        <v>660</v>
      </c>
      <c r="AA137">
        <v>0</v>
      </c>
      <c r="AB137" t="s">
        <v>14</v>
      </c>
      <c r="AC137" t="s">
        <v>15</v>
      </c>
      <c r="AD137" t="s">
        <v>2938</v>
      </c>
      <c r="AE137" t="s">
        <v>660</v>
      </c>
      <c r="AF137">
        <v>0</v>
      </c>
      <c r="AG137" t="s">
        <v>18</v>
      </c>
    </row>
    <row r="138" spans="1:33" x14ac:dyDescent="0.3">
      <c r="A138" t="s">
        <v>2623</v>
      </c>
      <c r="B138" t="s">
        <v>587</v>
      </c>
      <c r="C138">
        <v>-7.5</v>
      </c>
      <c r="D138" t="s">
        <v>588</v>
      </c>
      <c r="E138" t="s">
        <v>589</v>
      </c>
      <c r="F138">
        <v>-10</v>
      </c>
      <c r="G138" t="s">
        <v>1998</v>
      </c>
      <c r="H138" t="s">
        <v>2918</v>
      </c>
      <c r="I138" t="str">
        <f t="shared" si="2"/>
        <v xml:space="preserve">bbands_{'P' [('number'-7.5 1) ('number'-10 -1)]}_[42 70]_0.5 </v>
      </c>
      <c r="J138" t="s">
        <v>2540</v>
      </c>
      <c r="K138">
        <v>167</v>
      </c>
      <c r="L138" t="s">
        <v>5</v>
      </c>
      <c r="M138">
        <v>78</v>
      </c>
      <c r="N138" t="s">
        <v>6</v>
      </c>
      <c r="O138">
        <v>2.99248585565002</v>
      </c>
      <c r="P138" t="s">
        <v>7</v>
      </c>
      <c r="Q138">
        <v>1.7919076979940201E-2</v>
      </c>
      <c r="R138" t="s">
        <v>8</v>
      </c>
      <c r="S138">
        <v>0.54245930697623401</v>
      </c>
      <c r="T138" t="s">
        <v>9</v>
      </c>
      <c r="U138">
        <v>-0.44179033807299101</v>
      </c>
      <c r="V138" t="s">
        <v>10</v>
      </c>
      <c r="W138">
        <v>0.13518620336618001</v>
      </c>
      <c r="X138" t="s">
        <v>11</v>
      </c>
      <c r="Y138" t="s">
        <v>3011</v>
      </c>
      <c r="Z138" t="s">
        <v>595</v>
      </c>
      <c r="AA138">
        <v>0</v>
      </c>
      <c r="AB138" t="s">
        <v>14</v>
      </c>
      <c r="AC138" t="s">
        <v>15</v>
      </c>
      <c r="AD138" t="s">
        <v>3011</v>
      </c>
      <c r="AE138" t="s">
        <v>595</v>
      </c>
      <c r="AF138">
        <v>0</v>
      </c>
      <c r="AG138" t="s">
        <v>18</v>
      </c>
    </row>
    <row r="139" spans="1:33" x14ac:dyDescent="0.3">
      <c r="A139" t="s">
        <v>2777</v>
      </c>
      <c r="B139" t="s">
        <v>587</v>
      </c>
      <c r="C139">
        <v>0</v>
      </c>
      <c r="D139" t="s">
        <v>588</v>
      </c>
      <c r="E139" t="s">
        <v>589</v>
      </c>
      <c r="F139">
        <v>-2.5</v>
      </c>
      <c r="G139" t="s">
        <v>1998</v>
      </c>
      <c r="H139" t="s">
        <v>2559</v>
      </c>
      <c r="I139" t="str">
        <f t="shared" si="2"/>
        <v xml:space="preserve">rsi_{'P' [('number'0 1) ('number'-2.5 -1)]}_[42 70]_1 </v>
      </c>
      <c r="J139" t="s">
        <v>2540</v>
      </c>
      <c r="K139">
        <v>127</v>
      </c>
      <c r="L139" t="s">
        <v>5</v>
      </c>
      <c r="M139">
        <v>50</v>
      </c>
      <c r="N139" t="s">
        <v>6</v>
      </c>
      <c r="O139">
        <v>2.8978767373290899</v>
      </c>
      <c r="P139" t="s">
        <v>7</v>
      </c>
      <c r="Q139">
        <v>2.2817927065583402E-2</v>
      </c>
      <c r="R139" t="s">
        <v>8</v>
      </c>
      <c r="S139">
        <v>1.25322695159561</v>
      </c>
      <c r="T139" t="s">
        <v>9</v>
      </c>
      <c r="U139">
        <v>-0.77614897197989297</v>
      </c>
      <c r="V139" t="s">
        <v>10</v>
      </c>
      <c r="W139">
        <v>0.21875292046495901</v>
      </c>
      <c r="X139" t="s">
        <v>11</v>
      </c>
      <c r="Y139" t="s">
        <v>3099</v>
      </c>
      <c r="Z139" t="s">
        <v>2071</v>
      </c>
      <c r="AA139">
        <v>0</v>
      </c>
      <c r="AB139" t="s">
        <v>14</v>
      </c>
      <c r="AC139" t="s">
        <v>15</v>
      </c>
      <c r="AD139" t="s">
        <v>3099</v>
      </c>
      <c r="AE139" t="s">
        <v>2071</v>
      </c>
      <c r="AF139">
        <v>0</v>
      </c>
      <c r="AG139" t="s">
        <v>18</v>
      </c>
    </row>
    <row r="140" spans="1:33" x14ac:dyDescent="0.3">
      <c r="A140" t="s">
        <v>2777</v>
      </c>
      <c r="B140" t="s">
        <v>587</v>
      </c>
      <c r="C140">
        <v>-7.5</v>
      </c>
      <c r="D140" t="s">
        <v>588</v>
      </c>
      <c r="E140" t="s">
        <v>589</v>
      </c>
      <c r="F140">
        <v>-10</v>
      </c>
      <c r="G140" t="s">
        <v>599</v>
      </c>
      <c r="H140" t="s">
        <v>2910</v>
      </c>
      <c r="I140" t="str">
        <f t="shared" si="2"/>
        <v xml:space="preserve">rsi_{'P' [('number'-7.5 1) ('number'-10 -1)]}_[21 49]_0.5 </v>
      </c>
      <c r="J140" t="s">
        <v>2540</v>
      </c>
      <c r="K140">
        <v>128</v>
      </c>
      <c r="L140" t="s">
        <v>5</v>
      </c>
      <c r="M140">
        <v>59</v>
      </c>
      <c r="N140" t="s">
        <v>6</v>
      </c>
      <c r="O140">
        <v>2.7899999999999898</v>
      </c>
      <c r="P140" t="s">
        <v>7</v>
      </c>
      <c r="Q140">
        <v>2.17968749999999E-2</v>
      </c>
      <c r="R140" t="s">
        <v>8</v>
      </c>
      <c r="S140">
        <v>0.39474576271186401</v>
      </c>
      <c r="T140" t="s">
        <v>9</v>
      </c>
      <c r="U140">
        <v>-0.29710144927536197</v>
      </c>
      <c r="V140" t="s">
        <v>10</v>
      </c>
      <c r="W140">
        <v>7.0912138697755894E-2</v>
      </c>
      <c r="X140" t="s">
        <v>11</v>
      </c>
      <c r="Y140" t="s">
        <v>3138</v>
      </c>
      <c r="Z140" t="s">
        <v>3132</v>
      </c>
      <c r="AA140">
        <v>0</v>
      </c>
      <c r="AB140" t="s">
        <v>14</v>
      </c>
      <c r="AC140" t="s">
        <v>15</v>
      </c>
      <c r="AD140" t="s">
        <v>3139</v>
      </c>
      <c r="AE140" t="s">
        <v>3140</v>
      </c>
      <c r="AF140">
        <v>0</v>
      </c>
      <c r="AG140" t="s">
        <v>18</v>
      </c>
    </row>
    <row r="141" spans="1:33" x14ac:dyDescent="0.3">
      <c r="A141" t="s">
        <v>2811</v>
      </c>
      <c r="B141" t="s">
        <v>587</v>
      </c>
      <c r="C141">
        <v>0</v>
      </c>
      <c r="D141" t="s">
        <v>588</v>
      </c>
      <c r="E141" t="s">
        <v>589</v>
      </c>
      <c r="F141">
        <v>-2.5</v>
      </c>
      <c r="G141" t="s">
        <v>599</v>
      </c>
      <c r="H141" t="s">
        <v>2910</v>
      </c>
      <c r="I141" t="str">
        <f t="shared" si="2"/>
        <v xml:space="preserve">stoch_{'P' [('number'0 1) ('number'-2.5 -1)]}_[21 49]_0.5 </v>
      </c>
      <c r="J141" t="s">
        <v>2540</v>
      </c>
      <c r="K141">
        <v>376</v>
      </c>
      <c r="L141" t="s">
        <v>5</v>
      </c>
      <c r="M141">
        <v>183</v>
      </c>
      <c r="N141" t="s">
        <v>6</v>
      </c>
      <c r="O141">
        <v>2.7404384000547499</v>
      </c>
      <c r="P141" t="s">
        <v>7</v>
      </c>
      <c r="Q141">
        <v>7.2884000001456097E-3</v>
      </c>
      <c r="R141" t="s">
        <v>8</v>
      </c>
      <c r="S141">
        <v>0.71902400997818705</v>
      </c>
      <c r="T141" t="s">
        <v>9</v>
      </c>
      <c r="U141">
        <v>-0.66756971723291902</v>
      </c>
      <c r="V141" t="s">
        <v>10</v>
      </c>
      <c r="W141">
        <v>0.36266910257420498</v>
      </c>
      <c r="X141" t="s">
        <v>11</v>
      </c>
      <c r="Y141" t="s">
        <v>2911</v>
      </c>
      <c r="Z141" t="s">
        <v>53</v>
      </c>
      <c r="AA141">
        <v>0</v>
      </c>
      <c r="AB141" t="s">
        <v>14</v>
      </c>
      <c r="AC141" t="s">
        <v>15</v>
      </c>
      <c r="AD141" t="s">
        <v>2911</v>
      </c>
      <c r="AE141" t="s">
        <v>53</v>
      </c>
      <c r="AF141">
        <v>0</v>
      </c>
      <c r="AG141" t="s">
        <v>18</v>
      </c>
    </row>
    <row r="142" spans="1:33" x14ac:dyDescent="0.3">
      <c r="A142" t="s">
        <v>2728</v>
      </c>
      <c r="B142" t="s">
        <v>587</v>
      </c>
      <c r="C142">
        <v>-7.5</v>
      </c>
      <c r="D142" t="s">
        <v>588</v>
      </c>
      <c r="E142" t="s">
        <v>589</v>
      </c>
      <c r="F142">
        <v>-10</v>
      </c>
      <c r="G142" t="s">
        <v>1998</v>
      </c>
      <c r="H142" t="s">
        <v>2562</v>
      </c>
      <c r="I142" t="str">
        <f t="shared" si="2"/>
        <v xml:space="preserve">psar_{'P' [('number'-7.5 1) ('number'-10 -1)]}_[42 70]_2 </v>
      </c>
      <c r="J142" t="s">
        <v>2540</v>
      </c>
      <c r="K142">
        <v>139</v>
      </c>
      <c r="L142" t="s">
        <v>5</v>
      </c>
      <c r="M142">
        <v>34</v>
      </c>
      <c r="N142" t="s">
        <v>6</v>
      </c>
      <c r="O142">
        <v>2.69356336843023</v>
      </c>
      <c r="P142" t="s">
        <v>7</v>
      </c>
      <c r="Q142">
        <v>1.9378153729713798E-2</v>
      </c>
      <c r="R142" t="s">
        <v>8</v>
      </c>
      <c r="S142">
        <v>1.33865859733815</v>
      </c>
      <c r="T142" t="s">
        <v>9</v>
      </c>
      <c r="U142">
        <v>-0.407817418486351</v>
      </c>
      <c r="V142" t="s">
        <v>10</v>
      </c>
      <c r="W142">
        <v>0.17481372372166401</v>
      </c>
      <c r="X142" t="s">
        <v>11</v>
      </c>
      <c r="Y142" t="s">
        <v>1428</v>
      </c>
      <c r="Z142" t="s">
        <v>3076</v>
      </c>
      <c r="AA142">
        <v>0</v>
      </c>
      <c r="AB142" t="s">
        <v>14</v>
      </c>
      <c r="AC142" t="s">
        <v>15</v>
      </c>
      <c r="AD142" t="s">
        <v>1428</v>
      </c>
      <c r="AE142" t="s">
        <v>3076</v>
      </c>
      <c r="AF142">
        <v>0</v>
      </c>
      <c r="AG142" t="s">
        <v>18</v>
      </c>
    </row>
    <row r="143" spans="1:33" x14ac:dyDescent="0.3">
      <c r="A143" t="s">
        <v>2811</v>
      </c>
      <c r="B143" t="s">
        <v>587</v>
      </c>
      <c r="C143">
        <v>0</v>
      </c>
      <c r="D143" t="s">
        <v>588</v>
      </c>
      <c r="E143" t="s">
        <v>589</v>
      </c>
      <c r="F143">
        <v>-2.5</v>
      </c>
      <c r="G143" t="s">
        <v>599</v>
      </c>
      <c r="H143" t="s">
        <v>2916</v>
      </c>
      <c r="I143" t="str">
        <f t="shared" si="2"/>
        <v xml:space="preserve">stoch_{'P' [('number'0 1) ('number'-2.5 -1)]}_[21 49]_3 </v>
      </c>
      <c r="J143" t="s">
        <v>2540</v>
      </c>
      <c r="K143">
        <v>376</v>
      </c>
      <c r="L143" t="s">
        <v>5</v>
      </c>
      <c r="M143">
        <v>116</v>
      </c>
      <c r="N143" t="s">
        <v>6</v>
      </c>
      <c r="O143">
        <v>2.1904384000546799</v>
      </c>
      <c r="P143" t="s">
        <v>7</v>
      </c>
      <c r="Q143">
        <v>5.8256340426986299E-3</v>
      </c>
      <c r="R143" t="s">
        <v>8</v>
      </c>
      <c r="S143">
        <v>1.50078787781041</v>
      </c>
      <c r="T143" t="s">
        <v>9</v>
      </c>
      <c r="U143">
        <v>-0.661157520869052</v>
      </c>
      <c r="V143" t="s">
        <v>10</v>
      </c>
      <c r="W143">
        <v>0.54008995816219196</v>
      </c>
      <c r="X143" t="s">
        <v>11</v>
      </c>
      <c r="Y143" t="s">
        <v>2911</v>
      </c>
      <c r="Z143" t="s">
        <v>53</v>
      </c>
      <c r="AA143">
        <v>0</v>
      </c>
      <c r="AB143" t="s">
        <v>14</v>
      </c>
      <c r="AC143" t="s">
        <v>15</v>
      </c>
      <c r="AD143" t="s">
        <v>2911</v>
      </c>
      <c r="AE143" t="s">
        <v>53</v>
      </c>
      <c r="AF143">
        <v>0</v>
      </c>
      <c r="AG143" t="s">
        <v>18</v>
      </c>
    </row>
    <row r="144" spans="1:33" x14ac:dyDescent="0.3">
      <c r="A144" t="s">
        <v>2752</v>
      </c>
      <c r="B144" t="s">
        <v>587</v>
      </c>
      <c r="C144">
        <v>-5</v>
      </c>
      <c r="D144" t="s">
        <v>588</v>
      </c>
      <c r="E144" t="s">
        <v>589</v>
      </c>
      <c r="F144">
        <v>-7.5</v>
      </c>
      <c r="G144" t="s">
        <v>1998</v>
      </c>
      <c r="H144" t="s">
        <v>2562</v>
      </c>
      <c r="I144" t="str">
        <f t="shared" si="2"/>
        <v xml:space="preserve">psar_no_highvol_{'P' [('number'-5 1) ('number'-7.5 -1)]}_[42 70]_2 </v>
      </c>
      <c r="J144" t="s">
        <v>2540</v>
      </c>
      <c r="K144">
        <v>130</v>
      </c>
      <c r="L144" t="s">
        <v>5</v>
      </c>
      <c r="M144">
        <v>34</v>
      </c>
      <c r="N144" t="s">
        <v>6</v>
      </c>
      <c r="O144">
        <v>2.15188640833972</v>
      </c>
      <c r="P144" t="s">
        <v>7</v>
      </c>
      <c r="Q144">
        <v>1.6552972371843999E-2</v>
      </c>
      <c r="R144" t="s">
        <v>8</v>
      </c>
      <c r="S144">
        <v>1.5099865787248401</v>
      </c>
      <c r="T144" t="s">
        <v>9</v>
      </c>
      <c r="U144">
        <v>-0.51237142987817597</v>
      </c>
      <c r="V144" t="s">
        <v>10</v>
      </c>
      <c r="W144">
        <v>0.189747267003298</v>
      </c>
      <c r="X144" t="s">
        <v>11</v>
      </c>
      <c r="Y144" t="s">
        <v>2992</v>
      </c>
      <c r="Z144" t="s">
        <v>3086</v>
      </c>
      <c r="AA144">
        <v>0</v>
      </c>
      <c r="AB144" t="s">
        <v>14</v>
      </c>
      <c r="AC144" t="s">
        <v>15</v>
      </c>
      <c r="AD144" t="s">
        <v>2992</v>
      </c>
      <c r="AE144" t="s">
        <v>3086</v>
      </c>
      <c r="AF144">
        <v>0</v>
      </c>
      <c r="AG144" t="s">
        <v>18</v>
      </c>
    </row>
    <row r="145" spans="1:33" x14ac:dyDescent="0.3">
      <c r="A145" t="s">
        <v>2623</v>
      </c>
      <c r="B145" t="s">
        <v>587</v>
      </c>
      <c r="C145">
        <v>-7.5</v>
      </c>
      <c r="D145" t="s">
        <v>588</v>
      </c>
      <c r="E145" t="s">
        <v>589</v>
      </c>
      <c r="F145">
        <v>-10</v>
      </c>
      <c r="G145" t="s">
        <v>1998</v>
      </c>
      <c r="H145" t="s">
        <v>2562</v>
      </c>
      <c r="I145" t="str">
        <f t="shared" si="2"/>
        <v xml:space="preserve">bbands_{'P' [('number'-7.5 1) ('number'-10 -1)]}_[42 70]_2 </v>
      </c>
      <c r="J145" t="s">
        <v>2540</v>
      </c>
      <c r="K145">
        <v>167</v>
      </c>
      <c r="L145" t="s">
        <v>5</v>
      </c>
      <c r="M145">
        <v>39</v>
      </c>
      <c r="N145" t="s">
        <v>6</v>
      </c>
      <c r="O145">
        <v>2.0534814025934001</v>
      </c>
      <c r="P145" t="s">
        <v>7</v>
      </c>
      <c r="Q145">
        <v>1.2296295823912499E-2</v>
      </c>
      <c r="R145" t="s">
        <v>8</v>
      </c>
      <c r="S145">
        <v>1.61108551429087</v>
      </c>
      <c r="T145" t="s">
        <v>9</v>
      </c>
      <c r="U145">
        <v>-0.47483479417773899</v>
      </c>
      <c r="V145" t="s">
        <v>10</v>
      </c>
      <c r="W145">
        <v>0.30015901606746498</v>
      </c>
      <c r="X145" t="s">
        <v>11</v>
      </c>
      <c r="Y145" t="s">
        <v>2913</v>
      </c>
      <c r="Z145" t="s">
        <v>2914</v>
      </c>
      <c r="AA145">
        <v>0</v>
      </c>
      <c r="AB145" t="s">
        <v>14</v>
      </c>
      <c r="AC145" t="s">
        <v>15</v>
      </c>
      <c r="AD145" t="s">
        <v>2913</v>
      </c>
      <c r="AE145" t="s">
        <v>2914</v>
      </c>
      <c r="AF145">
        <v>0</v>
      </c>
      <c r="AG145" t="s">
        <v>18</v>
      </c>
    </row>
    <row r="146" spans="1:33" x14ac:dyDescent="0.3">
      <c r="A146" t="s">
        <v>2811</v>
      </c>
      <c r="B146" t="s">
        <v>587</v>
      </c>
      <c r="C146">
        <v>-5</v>
      </c>
      <c r="D146" t="s">
        <v>588</v>
      </c>
      <c r="E146" t="s">
        <v>589</v>
      </c>
      <c r="F146">
        <v>-7.5</v>
      </c>
      <c r="G146" t="s">
        <v>599</v>
      </c>
      <c r="H146" t="s">
        <v>2910</v>
      </c>
      <c r="I146" t="str">
        <f t="shared" si="2"/>
        <v xml:space="preserve">stoch_{'P' [('number'-5 1) ('number'-7.5 -1)]}_[21 49]_0.5 </v>
      </c>
      <c r="J146" t="s">
        <v>2540</v>
      </c>
      <c r="K146">
        <v>376</v>
      </c>
      <c r="L146" t="s">
        <v>5</v>
      </c>
      <c r="M146">
        <v>161</v>
      </c>
      <c r="N146" t="s">
        <v>6</v>
      </c>
      <c r="O146">
        <v>2.02999999999999</v>
      </c>
      <c r="P146" t="s">
        <v>7</v>
      </c>
      <c r="Q146">
        <v>5.3989361702127597E-3</v>
      </c>
      <c r="R146" t="s">
        <v>8</v>
      </c>
      <c r="S146">
        <v>0.55086956521739106</v>
      </c>
      <c r="T146" t="s">
        <v>9</v>
      </c>
      <c r="U146">
        <v>-0.40306976744186002</v>
      </c>
      <c r="V146" t="s">
        <v>10</v>
      </c>
      <c r="W146">
        <v>0.25338892755124398</v>
      </c>
      <c r="X146" t="s">
        <v>11</v>
      </c>
      <c r="Y146" t="s">
        <v>2991</v>
      </c>
      <c r="Z146" t="s">
        <v>2169</v>
      </c>
      <c r="AA146">
        <v>0</v>
      </c>
      <c r="AB146" t="s">
        <v>14</v>
      </c>
      <c r="AC146" t="s">
        <v>15</v>
      </c>
      <c r="AD146" t="s">
        <v>3159</v>
      </c>
      <c r="AE146" t="s">
        <v>2418</v>
      </c>
      <c r="AF146">
        <v>0</v>
      </c>
      <c r="AG146" t="s">
        <v>18</v>
      </c>
    </row>
    <row r="147" spans="1:33" x14ac:dyDescent="0.3">
      <c r="A147" t="s">
        <v>2777</v>
      </c>
      <c r="B147" t="s">
        <v>587</v>
      </c>
      <c r="C147">
        <v>-2.5</v>
      </c>
      <c r="D147" t="s">
        <v>588</v>
      </c>
      <c r="E147" t="s">
        <v>589</v>
      </c>
      <c r="F147">
        <v>-5</v>
      </c>
      <c r="G147" t="s">
        <v>590</v>
      </c>
      <c r="H147" t="s">
        <v>2543</v>
      </c>
      <c r="I147" t="str">
        <f t="shared" si="2"/>
        <v xml:space="preserve">rsi_{'P' [('number'-2.5 1) ('number'-5 -1)]}_[7 35]_2 </v>
      </c>
      <c r="J147" t="s">
        <v>2540</v>
      </c>
      <c r="K147">
        <v>136</v>
      </c>
      <c r="L147" t="s">
        <v>5</v>
      </c>
      <c r="M147">
        <v>34</v>
      </c>
      <c r="N147" t="s">
        <v>6</v>
      </c>
      <c r="O147">
        <v>1.8899999999999699</v>
      </c>
      <c r="P147" t="s">
        <v>7</v>
      </c>
      <c r="Q147">
        <v>1.38970588235292E-2</v>
      </c>
      <c r="R147" t="s">
        <v>8</v>
      </c>
      <c r="S147">
        <v>1.52764705882352</v>
      </c>
      <c r="T147" t="s">
        <v>9</v>
      </c>
      <c r="U147">
        <v>-0.49068627450980301</v>
      </c>
      <c r="V147" t="s">
        <v>10</v>
      </c>
      <c r="W147">
        <v>0.16594814586883899</v>
      </c>
      <c r="X147" t="s">
        <v>11</v>
      </c>
      <c r="Y147" t="s">
        <v>3103</v>
      </c>
      <c r="Z147" t="s">
        <v>2249</v>
      </c>
      <c r="AA147">
        <v>0</v>
      </c>
      <c r="AB147" t="s">
        <v>14</v>
      </c>
      <c r="AC147" t="s">
        <v>15</v>
      </c>
      <c r="AD147" t="s">
        <v>3102</v>
      </c>
      <c r="AE147" t="s">
        <v>3101</v>
      </c>
      <c r="AF147">
        <v>0</v>
      </c>
      <c r="AG147" t="s">
        <v>18</v>
      </c>
    </row>
    <row r="148" spans="1:33" x14ac:dyDescent="0.3">
      <c r="A148" t="s">
        <v>2728</v>
      </c>
      <c r="B148" t="s">
        <v>587</v>
      </c>
      <c r="C148">
        <v>-5</v>
      </c>
      <c r="D148" t="s">
        <v>588</v>
      </c>
      <c r="E148" t="s">
        <v>589</v>
      </c>
      <c r="F148">
        <v>-7.5</v>
      </c>
      <c r="G148" t="s">
        <v>590</v>
      </c>
      <c r="H148" t="s">
        <v>2543</v>
      </c>
      <c r="I148" t="str">
        <f t="shared" si="2"/>
        <v xml:space="preserve">psar_{'P' [('number'-5 1) ('number'-7.5 -1)]}_[7 35]_2 </v>
      </c>
      <c r="J148" t="s">
        <v>2540</v>
      </c>
      <c r="K148">
        <v>135</v>
      </c>
      <c r="L148" t="s">
        <v>5</v>
      </c>
      <c r="M148">
        <v>32</v>
      </c>
      <c r="N148" t="s">
        <v>6</v>
      </c>
      <c r="O148">
        <v>1.85</v>
      </c>
      <c r="P148" t="s">
        <v>7</v>
      </c>
      <c r="Q148">
        <v>1.3703703703703701E-2</v>
      </c>
      <c r="R148" t="s">
        <v>8</v>
      </c>
      <c r="S148">
        <v>1.2371875000000001</v>
      </c>
      <c r="T148" t="s">
        <v>9</v>
      </c>
      <c r="U148">
        <v>-0.36640776699029098</v>
      </c>
      <c r="V148" t="s">
        <v>10</v>
      </c>
      <c r="W148">
        <v>0.15779965843322</v>
      </c>
      <c r="X148" t="s">
        <v>11</v>
      </c>
      <c r="Y148" t="s">
        <v>3062</v>
      </c>
      <c r="Z148" t="s">
        <v>2587</v>
      </c>
      <c r="AA148">
        <v>0</v>
      </c>
      <c r="AB148" t="s">
        <v>14</v>
      </c>
      <c r="AC148" t="s">
        <v>15</v>
      </c>
      <c r="AD148" t="s">
        <v>3062</v>
      </c>
      <c r="AE148" t="s">
        <v>2587</v>
      </c>
      <c r="AF148">
        <v>0</v>
      </c>
      <c r="AG148" t="s">
        <v>18</v>
      </c>
    </row>
    <row r="149" spans="1:33" x14ac:dyDescent="0.3">
      <c r="A149" t="s">
        <v>2728</v>
      </c>
      <c r="B149" t="s">
        <v>587</v>
      </c>
      <c r="C149">
        <v>-7.5</v>
      </c>
      <c r="D149" t="s">
        <v>588</v>
      </c>
      <c r="E149" t="s">
        <v>589</v>
      </c>
      <c r="F149">
        <v>-10</v>
      </c>
      <c r="G149" t="s">
        <v>599</v>
      </c>
      <c r="H149" t="s">
        <v>2550</v>
      </c>
      <c r="I149" t="str">
        <f t="shared" si="2"/>
        <v xml:space="preserve">psar_{'P' [('number'-7.5 1) ('number'-10 -1)]}_[21 49]_1 </v>
      </c>
      <c r="J149" t="s">
        <v>2540</v>
      </c>
      <c r="K149">
        <v>140</v>
      </c>
      <c r="L149" t="s">
        <v>5</v>
      </c>
      <c r="M149">
        <v>47</v>
      </c>
      <c r="N149" t="s">
        <v>6</v>
      </c>
      <c r="O149">
        <v>1.8299999999999901</v>
      </c>
      <c r="P149" t="s">
        <v>7</v>
      </c>
      <c r="Q149">
        <v>1.30714285714285E-2</v>
      </c>
      <c r="R149" t="s">
        <v>8</v>
      </c>
      <c r="S149">
        <v>0.72914893617021204</v>
      </c>
      <c r="T149" t="s">
        <v>9</v>
      </c>
      <c r="U149">
        <v>-0.34881720430107499</v>
      </c>
      <c r="V149" t="s">
        <v>10</v>
      </c>
      <c r="W149">
        <v>0.119640378817488</v>
      </c>
      <c r="X149" t="s">
        <v>11</v>
      </c>
      <c r="Y149" t="s">
        <v>3074</v>
      </c>
      <c r="Z149" t="s">
        <v>129</v>
      </c>
      <c r="AA149">
        <v>0</v>
      </c>
      <c r="AB149" t="s">
        <v>14</v>
      </c>
      <c r="AC149" t="s">
        <v>15</v>
      </c>
      <c r="AD149" t="s">
        <v>3074</v>
      </c>
      <c r="AE149" t="s">
        <v>129</v>
      </c>
      <c r="AF149">
        <v>0</v>
      </c>
      <c r="AG149" t="s">
        <v>18</v>
      </c>
    </row>
    <row r="150" spans="1:33" x14ac:dyDescent="0.3">
      <c r="A150" t="s">
        <v>2858</v>
      </c>
      <c r="B150" t="s">
        <v>587</v>
      </c>
      <c r="C150">
        <v>-5</v>
      </c>
      <c r="D150" t="s">
        <v>588</v>
      </c>
      <c r="E150" t="s">
        <v>589</v>
      </c>
      <c r="F150">
        <v>-7.5</v>
      </c>
      <c r="G150" t="s">
        <v>590</v>
      </c>
      <c r="H150" t="s">
        <v>2539</v>
      </c>
      <c r="I150" t="str">
        <f t="shared" si="2"/>
        <v xml:space="preserve">stoch_no_highvol_{'P' [('number'-5 1) ('number'-7.5 -1)]}_[7 35]_1 </v>
      </c>
      <c r="J150" t="s">
        <v>2540</v>
      </c>
      <c r="K150">
        <v>334</v>
      </c>
      <c r="L150" t="s">
        <v>5</v>
      </c>
      <c r="M150">
        <v>99</v>
      </c>
      <c r="N150" t="s">
        <v>6</v>
      </c>
      <c r="O150">
        <v>1.69999999999992</v>
      </c>
      <c r="P150" t="s">
        <v>7</v>
      </c>
      <c r="Q150">
        <v>5.0898203592812004E-3</v>
      </c>
      <c r="R150" t="s">
        <v>8</v>
      </c>
      <c r="S150">
        <v>0.80121212121212004</v>
      </c>
      <c r="T150" t="s">
        <v>9</v>
      </c>
      <c r="U150">
        <v>-0.33029787234042501</v>
      </c>
      <c r="V150" t="s">
        <v>10</v>
      </c>
      <c r="W150">
        <v>0.260011235974901</v>
      </c>
      <c r="X150" t="s">
        <v>11</v>
      </c>
      <c r="Y150" t="s">
        <v>2931</v>
      </c>
      <c r="Z150" t="s">
        <v>2863</v>
      </c>
      <c r="AA150">
        <v>0</v>
      </c>
      <c r="AB150" t="s">
        <v>14</v>
      </c>
      <c r="AC150" t="s">
        <v>15</v>
      </c>
      <c r="AD150" t="s">
        <v>3157</v>
      </c>
      <c r="AE150" t="s">
        <v>2418</v>
      </c>
      <c r="AF150">
        <v>0</v>
      </c>
      <c r="AG150" t="s">
        <v>18</v>
      </c>
    </row>
    <row r="151" spans="1:33" x14ac:dyDescent="0.3">
      <c r="A151" t="s">
        <v>2538</v>
      </c>
      <c r="B151" t="s">
        <v>587</v>
      </c>
      <c r="C151">
        <v>-7.5</v>
      </c>
      <c r="D151" t="s">
        <v>588</v>
      </c>
      <c r="E151" t="s">
        <v>589</v>
      </c>
      <c r="F151">
        <v>-10</v>
      </c>
      <c r="G151" t="s">
        <v>599</v>
      </c>
      <c r="H151" t="s">
        <v>2916</v>
      </c>
      <c r="I151" t="str">
        <f t="shared" si="2"/>
        <v xml:space="preserve">alltime_{'P' [('number'-7.5 1) ('number'-10 -1)]}_[21 49]_3 </v>
      </c>
      <c r="J151" t="s">
        <v>2540</v>
      </c>
      <c r="K151">
        <v>3050</v>
      </c>
      <c r="L151" t="s">
        <v>5</v>
      </c>
      <c r="M151">
        <v>489</v>
      </c>
      <c r="N151" t="s">
        <v>6</v>
      </c>
      <c r="O151">
        <v>1.5660352256000201</v>
      </c>
      <c r="P151" t="s">
        <v>7</v>
      </c>
      <c r="Q151">
        <v>5.1345417232787603E-4</v>
      </c>
      <c r="R151" t="s">
        <v>8</v>
      </c>
      <c r="S151">
        <v>1.8021881390593</v>
      </c>
      <c r="T151" t="s">
        <v>9</v>
      </c>
      <c r="U151">
        <v>-0.34350018148160799</v>
      </c>
      <c r="V151" t="s">
        <v>10</v>
      </c>
      <c r="W151">
        <v>2.0054534013882699</v>
      </c>
      <c r="X151" t="s">
        <v>11</v>
      </c>
      <c r="Y151" t="s">
        <v>2796</v>
      </c>
      <c r="Z151" t="s">
        <v>2971</v>
      </c>
      <c r="AA151">
        <v>0</v>
      </c>
      <c r="AB151" t="s">
        <v>14</v>
      </c>
      <c r="AC151" t="s">
        <v>15</v>
      </c>
      <c r="AD151" t="s">
        <v>2972</v>
      </c>
      <c r="AE151" t="s">
        <v>2695</v>
      </c>
      <c r="AF151">
        <v>0</v>
      </c>
      <c r="AG151" t="s">
        <v>18</v>
      </c>
    </row>
    <row r="152" spans="1:33" x14ac:dyDescent="0.3">
      <c r="A152" t="s">
        <v>2858</v>
      </c>
      <c r="B152" t="s">
        <v>587</v>
      </c>
      <c r="C152">
        <v>-2.5</v>
      </c>
      <c r="D152" t="s">
        <v>588</v>
      </c>
      <c r="E152" t="s">
        <v>589</v>
      </c>
      <c r="F152">
        <v>-5</v>
      </c>
      <c r="G152" t="s">
        <v>590</v>
      </c>
      <c r="H152" t="s">
        <v>2902</v>
      </c>
      <c r="I152" t="str">
        <f t="shared" si="2"/>
        <v xml:space="preserve">stoch_no_highvol_{'P' [('number'-2.5 1) ('number'-5 -1)]}_[7 35]_0.5 </v>
      </c>
      <c r="J152" t="s">
        <v>2540</v>
      </c>
      <c r="K152">
        <v>334</v>
      </c>
      <c r="L152" t="s">
        <v>5</v>
      </c>
      <c r="M152">
        <v>149</v>
      </c>
      <c r="N152" t="s">
        <v>6</v>
      </c>
      <c r="O152">
        <v>1.52999999999999</v>
      </c>
      <c r="P152" t="s">
        <v>7</v>
      </c>
      <c r="Q152">
        <v>4.5808383233532602E-3</v>
      </c>
      <c r="R152" t="s">
        <v>8</v>
      </c>
      <c r="S152">
        <v>0.597248322147651</v>
      </c>
      <c r="T152" t="s">
        <v>9</v>
      </c>
      <c r="U152">
        <v>-0.47275675675675599</v>
      </c>
      <c r="V152" t="s">
        <v>10</v>
      </c>
      <c r="W152">
        <v>0.25615541022631499</v>
      </c>
      <c r="X152" t="s">
        <v>11</v>
      </c>
      <c r="Y152" t="s">
        <v>3174</v>
      </c>
      <c r="Z152" t="s">
        <v>2990</v>
      </c>
      <c r="AA152">
        <v>0</v>
      </c>
      <c r="AB152" t="s">
        <v>14</v>
      </c>
      <c r="AC152" t="s">
        <v>15</v>
      </c>
      <c r="AD152" t="s">
        <v>3150</v>
      </c>
      <c r="AE152" t="s">
        <v>2418</v>
      </c>
      <c r="AF152">
        <v>0</v>
      </c>
      <c r="AG152" t="s">
        <v>18</v>
      </c>
    </row>
    <row r="153" spans="1:33" x14ac:dyDescent="0.3">
      <c r="A153" t="s">
        <v>2858</v>
      </c>
      <c r="B153" t="s">
        <v>587</v>
      </c>
      <c r="C153">
        <v>0</v>
      </c>
      <c r="D153" t="s">
        <v>588</v>
      </c>
      <c r="E153" t="s">
        <v>589</v>
      </c>
      <c r="F153">
        <v>-2.5</v>
      </c>
      <c r="G153" t="s">
        <v>599</v>
      </c>
      <c r="H153" t="s">
        <v>2910</v>
      </c>
      <c r="I153" t="str">
        <f t="shared" si="2"/>
        <v xml:space="preserve">stoch_no_highvol_{'P' [('number'0 1) ('number'-2.5 -1)]}_[21 49]_0.5 </v>
      </c>
      <c r="J153" t="s">
        <v>2540</v>
      </c>
      <c r="K153">
        <v>335</v>
      </c>
      <c r="L153" t="s">
        <v>5</v>
      </c>
      <c r="M153">
        <v>160</v>
      </c>
      <c r="N153" t="s">
        <v>6</v>
      </c>
      <c r="O153">
        <v>1.42999999999991</v>
      </c>
      <c r="P153" t="s">
        <v>7</v>
      </c>
      <c r="Q153">
        <v>4.26865671641765E-3</v>
      </c>
      <c r="R153" t="s">
        <v>8</v>
      </c>
      <c r="S153">
        <v>0.70525000000000004</v>
      </c>
      <c r="T153" t="s">
        <v>9</v>
      </c>
      <c r="U153">
        <v>-0.63662857142857099</v>
      </c>
      <c r="V153" t="s">
        <v>10</v>
      </c>
      <c r="W153">
        <v>0.32088495307336001</v>
      </c>
      <c r="X153" t="s">
        <v>11</v>
      </c>
      <c r="Y153" t="s">
        <v>2978</v>
      </c>
      <c r="Z153" t="s">
        <v>1431</v>
      </c>
      <c r="AA153">
        <v>0</v>
      </c>
      <c r="AB153" t="s">
        <v>14</v>
      </c>
      <c r="AC153" t="s">
        <v>15</v>
      </c>
      <c r="AD153" t="s">
        <v>3169</v>
      </c>
      <c r="AE153" t="s">
        <v>1431</v>
      </c>
      <c r="AF153">
        <v>0</v>
      </c>
      <c r="AG153" t="s">
        <v>18</v>
      </c>
    </row>
    <row r="154" spans="1:33" x14ac:dyDescent="0.3">
      <c r="A154" t="s">
        <v>2858</v>
      </c>
      <c r="B154" t="s">
        <v>587</v>
      </c>
      <c r="C154">
        <v>0</v>
      </c>
      <c r="D154" t="s">
        <v>588</v>
      </c>
      <c r="E154" t="s">
        <v>589</v>
      </c>
      <c r="F154">
        <v>-2.5</v>
      </c>
      <c r="G154" t="s">
        <v>599</v>
      </c>
      <c r="H154" t="s">
        <v>2550</v>
      </c>
      <c r="I154" t="str">
        <f t="shared" si="2"/>
        <v xml:space="preserve">stoch_no_highvol_{'P' [('number'0 1) ('number'-2.5 -1)]}_[21 49]_1 </v>
      </c>
      <c r="J154" t="s">
        <v>2540</v>
      </c>
      <c r="K154">
        <v>335</v>
      </c>
      <c r="L154" t="s">
        <v>5</v>
      </c>
      <c r="M154">
        <v>117</v>
      </c>
      <c r="N154" t="s">
        <v>6</v>
      </c>
      <c r="O154">
        <v>1.38999999999991</v>
      </c>
      <c r="P154" t="s">
        <v>7</v>
      </c>
      <c r="Q154">
        <v>4.1492537313430299E-3</v>
      </c>
      <c r="R154" t="s">
        <v>8</v>
      </c>
      <c r="S154">
        <v>1.1858974358974299</v>
      </c>
      <c r="T154" t="s">
        <v>9</v>
      </c>
      <c r="U154">
        <v>-0.63009174311926597</v>
      </c>
      <c r="V154" t="s">
        <v>10</v>
      </c>
      <c r="W154">
        <v>0.40834500512677901</v>
      </c>
      <c r="X154" t="s">
        <v>11</v>
      </c>
      <c r="Y154" t="s">
        <v>2978</v>
      </c>
      <c r="Z154" t="s">
        <v>1431</v>
      </c>
      <c r="AA154">
        <v>0</v>
      </c>
      <c r="AB154" t="s">
        <v>14</v>
      </c>
      <c r="AC154" t="s">
        <v>15</v>
      </c>
      <c r="AD154" t="s">
        <v>3169</v>
      </c>
      <c r="AE154" t="s">
        <v>1431</v>
      </c>
      <c r="AF154">
        <v>0</v>
      </c>
      <c r="AG154" t="s">
        <v>18</v>
      </c>
    </row>
    <row r="155" spans="1:33" x14ac:dyDescent="0.3">
      <c r="A155" t="s">
        <v>2538</v>
      </c>
      <c r="B155" t="s">
        <v>587</v>
      </c>
      <c r="C155">
        <v>-5</v>
      </c>
      <c r="D155" t="s">
        <v>588</v>
      </c>
      <c r="E155" t="s">
        <v>589</v>
      </c>
      <c r="F155">
        <v>-7.5</v>
      </c>
      <c r="G155" t="s">
        <v>590</v>
      </c>
      <c r="H155" t="s">
        <v>2543</v>
      </c>
      <c r="I155" t="str">
        <f t="shared" si="2"/>
        <v xml:space="preserve">alltime_{'P' [('number'-5 1) ('number'-7.5 -1)]}_[7 35]_2 </v>
      </c>
      <c r="J155" t="s">
        <v>2540</v>
      </c>
      <c r="K155">
        <v>3073</v>
      </c>
      <c r="L155" t="s">
        <v>5</v>
      </c>
      <c r="M155">
        <v>689</v>
      </c>
      <c r="N155" t="s">
        <v>6</v>
      </c>
      <c r="O155">
        <v>1.3551929433312699</v>
      </c>
      <c r="P155" t="s">
        <v>7</v>
      </c>
      <c r="Q155">
        <v>4.4099998155915202E-4</v>
      </c>
      <c r="R155" t="s">
        <v>8</v>
      </c>
      <c r="S155">
        <v>1.3289829309449299</v>
      </c>
      <c r="T155" t="s">
        <v>9</v>
      </c>
      <c r="U155">
        <v>-0.38352099265005202</v>
      </c>
      <c r="V155" t="s">
        <v>10</v>
      </c>
      <c r="W155">
        <v>1.96265455834907</v>
      </c>
      <c r="X155" t="s">
        <v>11</v>
      </c>
      <c r="Y155" t="s">
        <v>2906</v>
      </c>
      <c r="Z155" t="s">
        <v>2947</v>
      </c>
    </row>
    <row r="156" spans="1:33" x14ac:dyDescent="0.3">
      <c r="A156" t="s">
        <v>2752</v>
      </c>
      <c r="B156" t="s">
        <v>587</v>
      </c>
      <c r="C156">
        <v>-7.5</v>
      </c>
      <c r="D156" t="s">
        <v>588</v>
      </c>
      <c r="E156" t="s">
        <v>589</v>
      </c>
      <c r="F156">
        <v>-10</v>
      </c>
      <c r="G156" t="s">
        <v>590</v>
      </c>
      <c r="H156" t="s">
        <v>2902</v>
      </c>
      <c r="I156" t="str">
        <f t="shared" si="2"/>
        <v xml:space="preserve">psar_no_highvol_{'P' [('number'-7.5 1) ('number'-10 -1)]}_[7 35]_0.5 </v>
      </c>
      <c r="J156" t="s">
        <v>2540</v>
      </c>
      <c r="K156">
        <v>125</v>
      </c>
      <c r="L156" t="s">
        <v>5</v>
      </c>
      <c r="M156">
        <v>46</v>
      </c>
      <c r="N156" t="s">
        <v>6</v>
      </c>
      <c r="O156">
        <v>1.3499999999999901</v>
      </c>
      <c r="P156" t="s">
        <v>7</v>
      </c>
      <c r="Q156">
        <v>1.07999999999999E-2</v>
      </c>
      <c r="R156" t="s">
        <v>8</v>
      </c>
      <c r="S156">
        <v>0.425869565217391</v>
      </c>
      <c r="T156" t="s">
        <v>9</v>
      </c>
      <c r="U156">
        <v>-0.230886075949367</v>
      </c>
      <c r="V156" t="s">
        <v>10</v>
      </c>
      <c r="W156">
        <v>7.7026043606325006E-2</v>
      </c>
      <c r="X156" t="s">
        <v>11</v>
      </c>
      <c r="Y156" t="s">
        <v>3087</v>
      </c>
      <c r="Z156" t="s">
        <v>2698</v>
      </c>
      <c r="AA156">
        <v>0</v>
      </c>
      <c r="AB156" t="s">
        <v>14</v>
      </c>
      <c r="AC156" t="s">
        <v>15</v>
      </c>
      <c r="AD156" t="s">
        <v>3087</v>
      </c>
      <c r="AE156" t="s">
        <v>2698</v>
      </c>
      <c r="AF156">
        <v>0</v>
      </c>
      <c r="AG156" t="s">
        <v>18</v>
      </c>
    </row>
    <row r="157" spans="1:33" x14ac:dyDescent="0.3">
      <c r="A157" t="s">
        <v>2623</v>
      </c>
      <c r="B157" t="s">
        <v>587</v>
      </c>
      <c r="C157">
        <v>-7.5</v>
      </c>
      <c r="D157" t="s">
        <v>588</v>
      </c>
      <c r="E157" t="s">
        <v>589</v>
      </c>
      <c r="F157">
        <v>-10</v>
      </c>
      <c r="G157" t="s">
        <v>599</v>
      </c>
      <c r="H157" t="s">
        <v>2552</v>
      </c>
      <c r="I157" t="str">
        <f t="shared" si="2"/>
        <v xml:space="preserve">bbands_{'P' [('number'-7.5 1) ('number'-10 -1)]}_[21 49]_2 </v>
      </c>
      <c r="J157" t="s">
        <v>2540</v>
      </c>
      <c r="K157">
        <v>178</v>
      </c>
      <c r="L157" t="s">
        <v>5</v>
      </c>
      <c r="M157">
        <v>30</v>
      </c>
      <c r="N157" t="s">
        <v>6</v>
      </c>
      <c r="O157">
        <v>1.3099999999999801</v>
      </c>
      <c r="P157" t="s">
        <v>7</v>
      </c>
      <c r="Q157">
        <v>7.3595505617976903E-3</v>
      </c>
      <c r="R157" t="s">
        <v>8</v>
      </c>
      <c r="S157">
        <v>1.71599999999999</v>
      </c>
      <c r="T157" t="s">
        <v>9</v>
      </c>
      <c r="U157">
        <v>-0.33898648648648599</v>
      </c>
      <c r="V157" t="s">
        <v>10</v>
      </c>
      <c r="W157">
        <v>0.24786547150812699</v>
      </c>
      <c r="X157" t="s">
        <v>11</v>
      </c>
      <c r="Y157" t="s">
        <v>2938</v>
      </c>
      <c r="Z157" t="s">
        <v>660</v>
      </c>
      <c r="AA157">
        <v>0</v>
      </c>
      <c r="AB157" t="s">
        <v>14</v>
      </c>
      <c r="AC157" t="s">
        <v>15</v>
      </c>
      <c r="AD157" t="s">
        <v>3009</v>
      </c>
      <c r="AE157" t="s">
        <v>660</v>
      </c>
      <c r="AF157">
        <v>0</v>
      </c>
      <c r="AG157" t="s">
        <v>18</v>
      </c>
    </row>
    <row r="158" spans="1:33" x14ac:dyDescent="0.3">
      <c r="A158" t="s">
        <v>2777</v>
      </c>
      <c r="B158" t="s">
        <v>587</v>
      </c>
      <c r="C158">
        <v>0</v>
      </c>
      <c r="D158" t="s">
        <v>588</v>
      </c>
      <c r="E158" t="s">
        <v>589</v>
      </c>
      <c r="F158">
        <v>-2.5</v>
      </c>
      <c r="G158" t="s">
        <v>599</v>
      </c>
      <c r="H158" t="s">
        <v>2552</v>
      </c>
      <c r="I158" t="str">
        <f t="shared" si="2"/>
        <v xml:space="preserve">rsi_{'P' [('number'0 1) ('number'-2.5 -1)]}_[21 49]_2 </v>
      </c>
      <c r="J158" t="s">
        <v>2540</v>
      </c>
      <c r="K158">
        <v>128</v>
      </c>
      <c r="L158" t="s">
        <v>5</v>
      </c>
      <c r="M158">
        <v>40</v>
      </c>
      <c r="N158" t="s">
        <v>6</v>
      </c>
      <c r="O158">
        <v>1.22999999999998</v>
      </c>
      <c r="P158" t="s">
        <v>7</v>
      </c>
      <c r="Q158">
        <v>9.6093749999998698E-3</v>
      </c>
      <c r="R158" t="s">
        <v>8</v>
      </c>
      <c r="S158">
        <v>1.5369999999999999</v>
      </c>
      <c r="T158" t="s">
        <v>9</v>
      </c>
      <c r="U158">
        <v>-0.68465909090909105</v>
      </c>
      <c r="V158" t="s">
        <v>10</v>
      </c>
      <c r="W158">
        <v>0.229150711225204</v>
      </c>
      <c r="X158" t="s">
        <v>11</v>
      </c>
      <c r="Y158" t="s">
        <v>3098</v>
      </c>
      <c r="Z158" t="s">
        <v>2914</v>
      </c>
      <c r="AA158">
        <v>0</v>
      </c>
      <c r="AB158" t="s">
        <v>14</v>
      </c>
      <c r="AC158" t="s">
        <v>15</v>
      </c>
      <c r="AD158" t="s">
        <v>3098</v>
      </c>
      <c r="AE158" t="s">
        <v>2914</v>
      </c>
      <c r="AF158">
        <v>0</v>
      </c>
      <c r="AG158" t="s">
        <v>18</v>
      </c>
    </row>
    <row r="159" spans="1:33" x14ac:dyDescent="0.3">
      <c r="A159" t="s">
        <v>2777</v>
      </c>
      <c r="B159" t="s">
        <v>587</v>
      </c>
      <c r="C159">
        <v>-7.5</v>
      </c>
      <c r="D159" t="s">
        <v>588</v>
      </c>
      <c r="E159" t="s">
        <v>589</v>
      </c>
      <c r="F159">
        <v>-10</v>
      </c>
      <c r="G159" t="s">
        <v>1998</v>
      </c>
      <c r="H159" t="s">
        <v>2559</v>
      </c>
      <c r="I159" t="str">
        <f t="shared" si="2"/>
        <v xml:space="preserve">rsi_{'P' [('number'-7.5 1) ('number'-10 -1)]}_[42 70]_1 </v>
      </c>
      <c r="J159" t="s">
        <v>2540</v>
      </c>
      <c r="K159">
        <v>127</v>
      </c>
      <c r="L159" t="s">
        <v>5</v>
      </c>
      <c r="M159">
        <v>47</v>
      </c>
      <c r="N159" t="s">
        <v>6</v>
      </c>
      <c r="O159">
        <v>1.18516130841511</v>
      </c>
      <c r="P159" t="s">
        <v>7</v>
      </c>
      <c r="Q159">
        <v>9.3319788064182008E-3</v>
      </c>
      <c r="R159" t="s">
        <v>8</v>
      </c>
      <c r="S159">
        <v>0.80531914893616996</v>
      </c>
      <c r="T159" t="s">
        <v>9</v>
      </c>
      <c r="U159">
        <v>-0.45831048364481097</v>
      </c>
      <c r="V159" t="s">
        <v>10</v>
      </c>
      <c r="W159">
        <v>0.13717277872133299</v>
      </c>
      <c r="X159" t="s">
        <v>11</v>
      </c>
      <c r="Y159" t="s">
        <v>3144</v>
      </c>
      <c r="Z159" t="s">
        <v>2071</v>
      </c>
      <c r="AA159">
        <v>0</v>
      </c>
      <c r="AB159" t="s">
        <v>14</v>
      </c>
      <c r="AC159" t="s">
        <v>15</v>
      </c>
      <c r="AD159" t="s">
        <v>3144</v>
      </c>
      <c r="AE159" t="s">
        <v>2071</v>
      </c>
      <c r="AF159">
        <v>0</v>
      </c>
      <c r="AG159" t="s">
        <v>18</v>
      </c>
    </row>
    <row r="160" spans="1:33" x14ac:dyDescent="0.3">
      <c r="A160" t="s">
        <v>2752</v>
      </c>
      <c r="B160" t="s">
        <v>587</v>
      </c>
      <c r="C160">
        <v>-5</v>
      </c>
      <c r="D160" t="s">
        <v>588</v>
      </c>
      <c r="E160" t="s">
        <v>589</v>
      </c>
      <c r="F160">
        <v>-7.5</v>
      </c>
      <c r="G160" t="s">
        <v>1998</v>
      </c>
      <c r="H160" t="s">
        <v>2559</v>
      </c>
      <c r="I160" t="str">
        <f t="shared" si="2"/>
        <v xml:space="preserve">psar_no_highvol_{'P' [('number'-5 1) ('number'-7.5 -1)]}_[42 70]_1 </v>
      </c>
      <c r="J160" t="s">
        <v>2540</v>
      </c>
      <c r="K160">
        <v>130</v>
      </c>
      <c r="L160" t="s">
        <v>5</v>
      </c>
      <c r="M160">
        <v>46</v>
      </c>
      <c r="N160" t="s">
        <v>6</v>
      </c>
      <c r="O160">
        <v>1.1382751230264301</v>
      </c>
      <c r="P160" t="s">
        <v>7</v>
      </c>
      <c r="Q160">
        <v>8.7559624848186999E-3</v>
      </c>
      <c r="R160" t="s">
        <v>8</v>
      </c>
      <c r="S160">
        <v>0.95382461720285605</v>
      </c>
      <c r="T160" t="s">
        <v>9</v>
      </c>
      <c r="U160">
        <v>-0.50878163414648803</v>
      </c>
      <c r="V160" t="s">
        <v>10</v>
      </c>
      <c r="W160">
        <v>0.13948742639653</v>
      </c>
      <c r="X160" t="s">
        <v>11</v>
      </c>
      <c r="Y160" t="s">
        <v>3085</v>
      </c>
      <c r="Z160" t="s">
        <v>3046</v>
      </c>
      <c r="AA160">
        <v>0</v>
      </c>
      <c r="AB160" t="s">
        <v>14</v>
      </c>
      <c r="AC160" t="s">
        <v>15</v>
      </c>
      <c r="AD160" t="s">
        <v>3085</v>
      </c>
      <c r="AE160" t="s">
        <v>3046</v>
      </c>
      <c r="AF160">
        <v>0</v>
      </c>
      <c r="AG160" t="s">
        <v>18</v>
      </c>
    </row>
    <row r="161" spans="1:33" x14ac:dyDescent="0.3">
      <c r="A161" t="s">
        <v>2752</v>
      </c>
      <c r="B161" t="s">
        <v>587</v>
      </c>
      <c r="C161">
        <v>-7.5</v>
      </c>
      <c r="D161" t="s">
        <v>588</v>
      </c>
      <c r="E161" t="s">
        <v>589</v>
      </c>
      <c r="F161">
        <v>-10</v>
      </c>
      <c r="G161" t="s">
        <v>599</v>
      </c>
      <c r="H161" t="s">
        <v>2910</v>
      </c>
      <c r="I161" t="str">
        <f t="shared" si="2"/>
        <v xml:space="preserve">psar_no_highvol_{'P' [('number'-7.5 1) ('number'-10 -1)]}_[21 49]_0.5 </v>
      </c>
      <c r="J161" t="s">
        <v>2540</v>
      </c>
      <c r="K161">
        <v>130</v>
      </c>
      <c r="L161" t="s">
        <v>5</v>
      </c>
      <c r="M161">
        <v>60</v>
      </c>
      <c r="N161" t="s">
        <v>6</v>
      </c>
      <c r="O161">
        <v>1.0599999999999901</v>
      </c>
      <c r="P161" t="s">
        <v>7</v>
      </c>
      <c r="Q161">
        <v>8.15384615384614E-3</v>
      </c>
      <c r="R161" t="s">
        <v>8</v>
      </c>
      <c r="S161">
        <v>0.40133333333333299</v>
      </c>
      <c r="T161" t="s">
        <v>9</v>
      </c>
      <c r="U161">
        <v>-0.32885714285714202</v>
      </c>
      <c r="V161" t="s">
        <v>10</v>
      </c>
      <c r="W161">
        <v>8.0707258584313296E-2</v>
      </c>
      <c r="X161" t="s">
        <v>11</v>
      </c>
      <c r="Y161" t="s">
        <v>3090</v>
      </c>
      <c r="Z161" t="s">
        <v>3091</v>
      </c>
      <c r="AA161">
        <v>0</v>
      </c>
      <c r="AB161" t="s">
        <v>14</v>
      </c>
      <c r="AC161" t="s">
        <v>15</v>
      </c>
      <c r="AD161" t="s">
        <v>3090</v>
      </c>
      <c r="AE161" t="s">
        <v>3091</v>
      </c>
      <c r="AF161">
        <v>0</v>
      </c>
      <c r="AG161" t="s">
        <v>18</v>
      </c>
    </row>
    <row r="162" spans="1:33" x14ac:dyDescent="0.3">
      <c r="A162" t="s">
        <v>2752</v>
      </c>
      <c r="B162" t="s">
        <v>587</v>
      </c>
      <c r="C162">
        <v>-7.5</v>
      </c>
      <c r="D162" t="s">
        <v>588</v>
      </c>
      <c r="E162" t="s">
        <v>589</v>
      </c>
      <c r="F162">
        <v>-10</v>
      </c>
      <c r="G162" t="s">
        <v>590</v>
      </c>
      <c r="H162" t="s">
        <v>2539</v>
      </c>
      <c r="I162" t="str">
        <f t="shared" si="2"/>
        <v xml:space="preserve">psar_no_highvol_{'P' [('number'-7.5 1) ('number'-10 -1)]}_[7 35]_1 </v>
      </c>
      <c r="J162" t="s">
        <v>2540</v>
      </c>
      <c r="K162">
        <v>125</v>
      </c>
      <c r="L162" t="s">
        <v>5</v>
      </c>
      <c r="M162">
        <v>37</v>
      </c>
      <c r="N162" t="s">
        <v>6</v>
      </c>
      <c r="O162">
        <v>1.0499999999999901</v>
      </c>
      <c r="P162" t="s">
        <v>7</v>
      </c>
      <c r="Q162">
        <v>8.39999999999997E-3</v>
      </c>
      <c r="R162" t="s">
        <v>8</v>
      </c>
      <c r="S162">
        <v>0.60324324324324297</v>
      </c>
      <c r="T162" t="s">
        <v>9</v>
      </c>
      <c r="U162">
        <v>-0.24170454545454501</v>
      </c>
      <c r="V162" t="s">
        <v>10</v>
      </c>
      <c r="W162">
        <v>8.67311170883312E-2</v>
      </c>
      <c r="X162" t="s">
        <v>11</v>
      </c>
      <c r="Y162" t="s">
        <v>3072</v>
      </c>
      <c r="Z162" t="s">
        <v>3073</v>
      </c>
      <c r="AA162">
        <v>0</v>
      </c>
      <c r="AB162" t="s">
        <v>14</v>
      </c>
      <c r="AC162" t="s">
        <v>15</v>
      </c>
      <c r="AD162" t="s">
        <v>3072</v>
      </c>
      <c r="AE162" t="s">
        <v>3073</v>
      </c>
      <c r="AF162">
        <v>0</v>
      </c>
      <c r="AG162" t="s">
        <v>18</v>
      </c>
    </row>
    <row r="163" spans="1:33" x14ac:dyDescent="0.3">
      <c r="A163" t="s">
        <v>2623</v>
      </c>
      <c r="B163" t="s">
        <v>587</v>
      </c>
      <c r="C163">
        <v>-7.5</v>
      </c>
      <c r="D163" t="s">
        <v>588</v>
      </c>
      <c r="E163" t="s">
        <v>589</v>
      </c>
      <c r="F163">
        <v>-10</v>
      </c>
      <c r="G163" t="s">
        <v>1998</v>
      </c>
      <c r="H163" t="s">
        <v>2559</v>
      </c>
      <c r="I163" t="str">
        <f t="shared" si="2"/>
        <v xml:space="preserve">bbands_{'P' [('number'-7.5 1) ('number'-10 -1)]}_[42 70]_1 </v>
      </c>
      <c r="J163" t="s">
        <v>2540</v>
      </c>
      <c r="K163">
        <v>167</v>
      </c>
      <c r="L163" t="s">
        <v>5</v>
      </c>
      <c r="M163">
        <v>56</v>
      </c>
      <c r="N163" t="s">
        <v>6</v>
      </c>
      <c r="O163">
        <v>1.02248585565002</v>
      </c>
      <c r="P163" t="s">
        <v>7</v>
      </c>
      <c r="Q163">
        <v>6.1226697943115504E-3</v>
      </c>
      <c r="R163" t="s">
        <v>8</v>
      </c>
      <c r="S163">
        <v>0.88842546328832595</v>
      </c>
      <c r="T163" t="s">
        <v>9</v>
      </c>
      <c r="U163">
        <v>-0.439003063860326</v>
      </c>
      <c r="V163" t="s">
        <v>10</v>
      </c>
      <c r="W163">
        <v>0.16193123383550101</v>
      </c>
      <c r="X163" t="s">
        <v>11</v>
      </c>
      <c r="Y163" t="s">
        <v>3011</v>
      </c>
      <c r="Z163" t="s">
        <v>595</v>
      </c>
      <c r="AA163">
        <v>0</v>
      </c>
      <c r="AB163" t="s">
        <v>14</v>
      </c>
      <c r="AC163" t="s">
        <v>15</v>
      </c>
      <c r="AD163" t="s">
        <v>3011</v>
      </c>
      <c r="AE163" t="s">
        <v>595</v>
      </c>
      <c r="AF163">
        <v>0</v>
      </c>
      <c r="AG163" t="s">
        <v>18</v>
      </c>
    </row>
    <row r="164" spans="1:33" x14ac:dyDescent="0.3">
      <c r="A164" t="s">
        <v>2623</v>
      </c>
      <c r="B164" t="s">
        <v>587</v>
      </c>
      <c r="C164">
        <v>-7.5</v>
      </c>
      <c r="D164" t="s">
        <v>588</v>
      </c>
      <c r="E164" t="s">
        <v>589</v>
      </c>
      <c r="F164">
        <v>-10</v>
      </c>
      <c r="G164" t="s">
        <v>590</v>
      </c>
      <c r="H164" t="s">
        <v>2543</v>
      </c>
      <c r="I164" t="str">
        <f t="shared" si="2"/>
        <v xml:space="preserve">bbands_{'P' [('number'-7.5 1) ('number'-10 -1)]}_[7 35]_2 </v>
      </c>
      <c r="J164" t="s">
        <v>2540</v>
      </c>
      <c r="K164">
        <v>169</v>
      </c>
      <c r="L164" t="s">
        <v>5</v>
      </c>
      <c r="M164">
        <v>22</v>
      </c>
      <c r="N164" t="s">
        <v>6</v>
      </c>
      <c r="O164">
        <v>0.99999999999999001</v>
      </c>
      <c r="P164" t="s">
        <v>7</v>
      </c>
      <c r="Q164">
        <v>5.9171597633135503E-3</v>
      </c>
      <c r="R164" t="s">
        <v>8</v>
      </c>
      <c r="S164">
        <v>1.70090909090909</v>
      </c>
      <c r="T164" t="s">
        <v>9</v>
      </c>
      <c r="U164">
        <v>-0.24775510204081599</v>
      </c>
      <c r="V164" t="s">
        <v>10</v>
      </c>
      <c r="W164">
        <v>0.208631365339113</v>
      </c>
      <c r="X164" t="s">
        <v>11</v>
      </c>
      <c r="Y164" t="s">
        <v>2998</v>
      </c>
      <c r="Z164" t="s">
        <v>2999</v>
      </c>
      <c r="AA164">
        <v>0</v>
      </c>
      <c r="AB164" t="s">
        <v>14</v>
      </c>
      <c r="AC164" t="s">
        <v>15</v>
      </c>
      <c r="AD164" t="s">
        <v>219</v>
      </c>
      <c r="AE164" t="s">
        <v>2999</v>
      </c>
      <c r="AF164">
        <v>0</v>
      </c>
      <c r="AG164" t="s">
        <v>18</v>
      </c>
    </row>
    <row r="165" spans="1:33" x14ac:dyDescent="0.3">
      <c r="A165" t="s">
        <v>2728</v>
      </c>
      <c r="B165" t="s">
        <v>587</v>
      </c>
      <c r="C165">
        <v>-5</v>
      </c>
      <c r="D165" t="s">
        <v>588</v>
      </c>
      <c r="E165" t="s">
        <v>589</v>
      </c>
      <c r="F165">
        <v>-7.5</v>
      </c>
      <c r="G165" t="s">
        <v>1998</v>
      </c>
      <c r="H165" t="s">
        <v>2559</v>
      </c>
      <c r="I165" t="str">
        <f t="shared" si="2"/>
        <v xml:space="preserve">psar_{'P' [('number'-5 1) ('number'-7.5 -1)]}_[42 70]_1 </v>
      </c>
      <c r="J165" t="s">
        <v>2540</v>
      </c>
      <c r="K165">
        <v>139</v>
      </c>
      <c r="L165" t="s">
        <v>5</v>
      </c>
      <c r="M165">
        <v>50</v>
      </c>
      <c r="N165" t="s">
        <v>6</v>
      </c>
      <c r="O165">
        <v>0.74023447393926101</v>
      </c>
      <c r="P165" t="s">
        <v>7</v>
      </c>
      <c r="Q165">
        <v>5.3254278700666296E-3</v>
      </c>
      <c r="R165" t="s">
        <v>8</v>
      </c>
      <c r="S165">
        <v>0.96302995659093504</v>
      </c>
      <c r="T165" t="s">
        <v>9</v>
      </c>
      <c r="U165">
        <v>-0.53271082422030902</v>
      </c>
      <c r="V165" t="s">
        <v>10</v>
      </c>
      <c r="W165">
        <v>0.156492159119548</v>
      </c>
      <c r="X165" t="s">
        <v>11</v>
      </c>
      <c r="Y165" t="s">
        <v>3069</v>
      </c>
      <c r="Z165" t="s">
        <v>3070</v>
      </c>
      <c r="AA165">
        <v>0</v>
      </c>
      <c r="AB165" t="s">
        <v>14</v>
      </c>
      <c r="AC165" t="s">
        <v>15</v>
      </c>
      <c r="AD165" t="s">
        <v>3069</v>
      </c>
      <c r="AE165" t="s">
        <v>3070</v>
      </c>
      <c r="AF165">
        <v>0</v>
      </c>
      <c r="AG165" t="s">
        <v>18</v>
      </c>
    </row>
    <row r="166" spans="1:33" x14ac:dyDescent="0.3">
      <c r="A166" t="s">
        <v>2752</v>
      </c>
      <c r="B166" t="s">
        <v>587</v>
      </c>
      <c r="C166">
        <v>-7.5</v>
      </c>
      <c r="D166" t="s">
        <v>588</v>
      </c>
      <c r="E166" t="s">
        <v>589</v>
      </c>
      <c r="F166">
        <v>-10</v>
      </c>
      <c r="G166" t="s">
        <v>590</v>
      </c>
      <c r="H166" t="s">
        <v>2909</v>
      </c>
      <c r="I166" t="str">
        <f t="shared" si="2"/>
        <v xml:space="preserve">psar_no_highvol_{'P' [('number'-7.5 1) ('number'-10 -1)]}_[7 35]_3 </v>
      </c>
      <c r="J166" t="s">
        <v>2540</v>
      </c>
      <c r="K166">
        <v>125</v>
      </c>
      <c r="L166" t="s">
        <v>5</v>
      </c>
      <c r="M166">
        <v>20</v>
      </c>
      <c r="N166" t="s">
        <v>6</v>
      </c>
      <c r="O166">
        <v>0.68000000000002103</v>
      </c>
      <c r="P166" t="s">
        <v>7</v>
      </c>
      <c r="Q166">
        <v>5.4400000000001704E-3</v>
      </c>
      <c r="R166" t="s">
        <v>8</v>
      </c>
      <c r="S166">
        <v>1.3280000000000001</v>
      </c>
      <c r="T166" t="s">
        <v>9</v>
      </c>
      <c r="U166">
        <v>-0.24647619047618999</v>
      </c>
      <c r="V166" t="s">
        <v>10</v>
      </c>
      <c r="W166">
        <v>0.12566662658501199</v>
      </c>
      <c r="X166" t="s">
        <v>11</v>
      </c>
      <c r="Y166" t="s">
        <v>3089</v>
      </c>
      <c r="Z166" t="s">
        <v>2870</v>
      </c>
      <c r="AA166">
        <v>0</v>
      </c>
      <c r="AB166" t="s">
        <v>14</v>
      </c>
      <c r="AC166" t="s">
        <v>15</v>
      </c>
      <c r="AD166" t="s">
        <v>3089</v>
      </c>
      <c r="AE166" t="s">
        <v>2870</v>
      </c>
      <c r="AF166">
        <v>0</v>
      </c>
      <c r="AG166" t="s">
        <v>18</v>
      </c>
    </row>
    <row r="167" spans="1:33" x14ac:dyDescent="0.3">
      <c r="A167" t="s">
        <v>2623</v>
      </c>
      <c r="B167" t="s">
        <v>587</v>
      </c>
      <c r="C167">
        <v>-2.5</v>
      </c>
      <c r="D167" t="s">
        <v>588</v>
      </c>
      <c r="E167" t="s">
        <v>589</v>
      </c>
      <c r="F167">
        <v>-5</v>
      </c>
      <c r="G167" t="s">
        <v>1998</v>
      </c>
      <c r="H167" t="s">
        <v>2562</v>
      </c>
      <c r="I167" t="str">
        <f t="shared" si="2"/>
        <v xml:space="preserve">bbands_{'P' [('number'-2.5 1) ('number'-5 -1)]}_[42 70]_2 </v>
      </c>
      <c r="J167" t="s">
        <v>2540</v>
      </c>
      <c r="K167">
        <v>167</v>
      </c>
      <c r="L167" t="s">
        <v>5</v>
      </c>
      <c r="M167">
        <v>49</v>
      </c>
      <c r="N167" t="s">
        <v>6</v>
      </c>
      <c r="O167">
        <v>0.65420763730659204</v>
      </c>
      <c r="P167" t="s">
        <v>7</v>
      </c>
      <c r="Q167">
        <v>3.9174110018358804E-3</v>
      </c>
      <c r="R167" t="s">
        <v>8</v>
      </c>
      <c r="S167">
        <v>1.7203628821222099</v>
      </c>
      <c r="T167" t="s">
        <v>9</v>
      </c>
      <c r="U167">
        <v>-0.70884384395493205</v>
      </c>
      <c r="V167" t="s">
        <v>10</v>
      </c>
      <c r="W167">
        <v>0.29650678325430702</v>
      </c>
      <c r="X167" t="s">
        <v>11</v>
      </c>
      <c r="Y167" t="s">
        <v>2996</v>
      </c>
      <c r="Z167" t="s">
        <v>77</v>
      </c>
      <c r="AA167">
        <v>0</v>
      </c>
      <c r="AB167" t="s">
        <v>14</v>
      </c>
      <c r="AC167" t="s">
        <v>15</v>
      </c>
      <c r="AD167" t="s">
        <v>2997</v>
      </c>
      <c r="AE167" t="s">
        <v>77</v>
      </c>
      <c r="AF167">
        <v>0</v>
      </c>
      <c r="AG167" t="s">
        <v>18</v>
      </c>
    </row>
    <row r="168" spans="1:33" x14ac:dyDescent="0.3">
      <c r="A168" t="s">
        <v>2728</v>
      </c>
      <c r="B168" t="s">
        <v>587</v>
      </c>
      <c r="C168">
        <v>-7.5</v>
      </c>
      <c r="D168" t="s">
        <v>588</v>
      </c>
      <c r="E168" t="s">
        <v>589</v>
      </c>
      <c r="F168">
        <v>-10</v>
      </c>
      <c r="G168" t="s">
        <v>590</v>
      </c>
      <c r="H168" t="s">
        <v>2539</v>
      </c>
      <c r="I168" t="str">
        <f t="shared" si="2"/>
        <v xml:space="preserve">psar_{'P' [('number'-7.5 1) ('number'-10 -1)]}_[7 35]_1 </v>
      </c>
      <c r="J168" t="s">
        <v>2540</v>
      </c>
      <c r="K168">
        <v>135</v>
      </c>
      <c r="L168" t="s">
        <v>5</v>
      </c>
      <c r="M168">
        <v>40</v>
      </c>
      <c r="N168" t="s">
        <v>6</v>
      </c>
      <c r="O168">
        <v>0.62999999999999701</v>
      </c>
      <c r="P168" t="s">
        <v>7</v>
      </c>
      <c r="Q168">
        <v>4.6666666666666402E-3</v>
      </c>
      <c r="R168" t="s">
        <v>8</v>
      </c>
      <c r="S168">
        <v>0.62074999999999902</v>
      </c>
      <c r="T168" t="s">
        <v>9</v>
      </c>
      <c r="U168">
        <v>-0.25473684210526298</v>
      </c>
      <c r="V168" t="s">
        <v>10</v>
      </c>
      <c r="W168">
        <v>9.9319996179817502E-2</v>
      </c>
      <c r="X168" t="s">
        <v>11</v>
      </c>
      <c r="Y168" t="s">
        <v>3072</v>
      </c>
      <c r="Z168" t="s">
        <v>3073</v>
      </c>
      <c r="AA168">
        <v>0</v>
      </c>
      <c r="AB168" t="s">
        <v>14</v>
      </c>
      <c r="AC168" t="s">
        <v>15</v>
      </c>
      <c r="AD168" t="s">
        <v>3072</v>
      </c>
      <c r="AE168" t="s">
        <v>3073</v>
      </c>
      <c r="AF168">
        <v>0</v>
      </c>
      <c r="AG168" t="s">
        <v>18</v>
      </c>
    </row>
    <row r="169" spans="1:33" x14ac:dyDescent="0.3">
      <c r="A169" t="s">
        <v>2728</v>
      </c>
      <c r="B169" t="s">
        <v>587</v>
      </c>
      <c r="C169">
        <v>-7.5</v>
      </c>
      <c r="D169" t="s">
        <v>588</v>
      </c>
      <c r="E169" t="s">
        <v>589</v>
      </c>
      <c r="F169">
        <v>-10</v>
      </c>
      <c r="G169" t="s">
        <v>590</v>
      </c>
      <c r="H169" t="s">
        <v>2902</v>
      </c>
      <c r="I169" t="str">
        <f t="shared" si="2"/>
        <v xml:space="preserve">psar_{'P' [('number'-7.5 1) ('number'-10 -1)]}_[7 35]_0.5 </v>
      </c>
      <c r="J169" t="s">
        <v>2540</v>
      </c>
      <c r="K169">
        <v>135</v>
      </c>
      <c r="L169" t="s">
        <v>5</v>
      </c>
      <c r="M169">
        <v>50</v>
      </c>
      <c r="N169" t="s">
        <v>6</v>
      </c>
      <c r="O169">
        <v>0.56999999999999396</v>
      </c>
      <c r="P169" t="s">
        <v>7</v>
      </c>
      <c r="Q169">
        <v>4.2222222222221802E-3</v>
      </c>
      <c r="R169" t="s">
        <v>8</v>
      </c>
      <c r="S169">
        <v>0.42459999999999998</v>
      </c>
      <c r="T169" t="s">
        <v>9</v>
      </c>
      <c r="U169">
        <v>-0.24305882352941099</v>
      </c>
      <c r="V169" t="s">
        <v>10</v>
      </c>
      <c r="W169">
        <v>8.6223281150252601E-2</v>
      </c>
      <c r="X169" t="s">
        <v>11</v>
      </c>
      <c r="Y169" t="s">
        <v>3071</v>
      </c>
      <c r="Z169" t="s">
        <v>691</v>
      </c>
      <c r="AA169">
        <v>0</v>
      </c>
      <c r="AB169" t="s">
        <v>14</v>
      </c>
      <c r="AC169" t="s">
        <v>15</v>
      </c>
      <c r="AD169" t="s">
        <v>3071</v>
      </c>
      <c r="AE169" t="s">
        <v>691</v>
      </c>
      <c r="AF169">
        <v>0</v>
      </c>
      <c r="AG169" t="s">
        <v>18</v>
      </c>
    </row>
    <row r="170" spans="1:33" x14ac:dyDescent="0.3">
      <c r="A170" t="s">
        <v>2811</v>
      </c>
      <c r="B170" t="s">
        <v>587</v>
      </c>
      <c r="C170">
        <v>-5</v>
      </c>
      <c r="D170" t="s">
        <v>588</v>
      </c>
      <c r="E170" t="s">
        <v>589</v>
      </c>
      <c r="F170">
        <v>-7.5</v>
      </c>
      <c r="G170" t="s">
        <v>590</v>
      </c>
      <c r="H170" t="s">
        <v>2902</v>
      </c>
      <c r="I170" t="str">
        <f t="shared" si="2"/>
        <v xml:space="preserve">stoch_{'P' [('number'-5 1) ('number'-7.5 -1)]}_[7 35]_0.5 </v>
      </c>
      <c r="J170" t="s">
        <v>2540</v>
      </c>
      <c r="K170">
        <v>375</v>
      </c>
      <c r="L170" t="s">
        <v>5</v>
      </c>
      <c r="M170">
        <v>153</v>
      </c>
      <c r="N170" t="s">
        <v>6</v>
      </c>
      <c r="O170">
        <v>0.54000000000000403</v>
      </c>
      <c r="P170" t="s">
        <v>7</v>
      </c>
      <c r="Q170">
        <v>1.4400000000000101E-3</v>
      </c>
      <c r="R170" t="s">
        <v>8</v>
      </c>
      <c r="S170">
        <v>0.50372549019607804</v>
      </c>
      <c r="T170" t="s">
        <v>9</v>
      </c>
      <c r="U170">
        <v>-0.34472972972972898</v>
      </c>
      <c r="V170" t="s">
        <v>10</v>
      </c>
      <c r="W170">
        <v>0.246033995335422</v>
      </c>
      <c r="X170" t="s">
        <v>11</v>
      </c>
      <c r="Y170" t="s">
        <v>3100</v>
      </c>
      <c r="Z170" t="s">
        <v>3156</v>
      </c>
      <c r="AA170">
        <v>0</v>
      </c>
      <c r="AB170" t="s">
        <v>14</v>
      </c>
      <c r="AC170" t="s">
        <v>15</v>
      </c>
      <c r="AD170" t="s">
        <v>3157</v>
      </c>
      <c r="AE170" t="s">
        <v>2418</v>
      </c>
      <c r="AF170">
        <v>0</v>
      </c>
      <c r="AG170" t="s">
        <v>18</v>
      </c>
    </row>
    <row r="171" spans="1:33" x14ac:dyDescent="0.3">
      <c r="A171" t="s">
        <v>2777</v>
      </c>
      <c r="B171" t="s">
        <v>587</v>
      </c>
      <c r="C171">
        <v>-5</v>
      </c>
      <c r="D171" t="s">
        <v>588</v>
      </c>
      <c r="E171" t="s">
        <v>589</v>
      </c>
      <c r="F171">
        <v>-7.5</v>
      </c>
      <c r="G171" t="s">
        <v>1998</v>
      </c>
      <c r="H171" t="s">
        <v>2918</v>
      </c>
      <c r="I171" t="str">
        <f t="shared" si="2"/>
        <v xml:space="preserve">rsi_{'P' [('number'-5 1) ('number'-7.5 -1)]}_[42 70]_0.5 </v>
      </c>
      <c r="J171" t="s">
        <v>2540</v>
      </c>
      <c r="K171">
        <v>127</v>
      </c>
      <c r="L171" t="s">
        <v>5</v>
      </c>
      <c r="M171">
        <v>57</v>
      </c>
      <c r="N171" t="s">
        <v>6</v>
      </c>
      <c r="O171">
        <v>0.34780976812310199</v>
      </c>
      <c r="P171" t="s">
        <v>7</v>
      </c>
      <c r="Q171">
        <v>2.7386595915204902E-3</v>
      </c>
      <c r="R171" t="s">
        <v>8</v>
      </c>
      <c r="S171">
        <v>0.61159726325243302</v>
      </c>
      <c r="T171" t="s">
        <v>9</v>
      </c>
      <c r="U171">
        <v>-0.493046203389509</v>
      </c>
      <c r="V171" t="s">
        <v>10</v>
      </c>
      <c r="W171">
        <v>0.115545081213692</v>
      </c>
      <c r="X171" t="s">
        <v>11</v>
      </c>
      <c r="Y171" t="s">
        <v>3126</v>
      </c>
      <c r="Z171" t="s">
        <v>730</v>
      </c>
      <c r="AA171">
        <v>0</v>
      </c>
      <c r="AB171" t="s">
        <v>14</v>
      </c>
      <c r="AC171" t="s">
        <v>15</v>
      </c>
      <c r="AD171" t="s">
        <v>3126</v>
      </c>
      <c r="AE171" t="s">
        <v>730</v>
      </c>
      <c r="AF171">
        <v>0</v>
      </c>
      <c r="AG171" t="s">
        <v>18</v>
      </c>
    </row>
    <row r="172" spans="1:33" x14ac:dyDescent="0.3">
      <c r="A172" t="s">
        <v>2777</v>
      </c>
      <c r="B172" t="s">
        <v>587</v>
      </c>
      <c r="C172">
        <v>-5</v>
      </c>
      <c r="D172" t="s">
        <v>588</v>
      </c>
      <c r="E172" t="s">
        <v>589</v>
      </c>
      <c r="F172">
        <v>-7.5</v>
      </c>
      <c r="G172" t="s">
        <v>1998</v>
      </c>
      <c r="H172" t="s">
        <v>2562</v>
      </c>
      <c r="I172" t="str">
        <f t="shared" si="2"/>
        <v xml:space="preserve">rsi_{'P' [('number'-5 1) ('number'-7.5 -1)]}_[42 70]_2 </v>
      </c>
      <c r="J172" t="s">
        <v>2540</v>
      </c>
      <c r="K172">
        <v>127</v>
      </c>
      <c r="L172" t="s">
        <v>5</v>
      </c>
      <c r="M172">
        <v>30</v>
      </c>
      <c r="N172" t="s">
        <v>6</v>
      </c>
      <c r="O172">
        <v>0.34142105343637702</v>
      </c>
      <c r="P172" t="s">
        <v>7</v>
      </c>
      <c r="Q172">
        <v>2.6883547514675301E-3</v>
      </c>
      <c r="R172" t="s">
        <v>8</v>
      </c>
      <c r="S172">
        <v>1.5978218430233999</v>
      </c>
      <c r="T172" t="s">
        <v>9</v>
      </c>
      <c r="U172">
        <v>-0.49065189935325298</v>
      </c>
      <c r="V172" t="s">
        <v>10</v>
      </c>
      <c r="W172">
        <v>0.184220193069775</v>
      </c>
      <c r="X172" t="s">
        <v>11</v>
      </c>
      <c r="Y172" t="s">
        <v>3126</v>
      </c>
      <c r="Z172" t="s">
        <v>730</v>
      </c>
      <c r="AA172">
        <v>0</v>
      </c>
      <c r="AB172" t="s">
        <v>14</v>
      </c>
      <c r="AC172" t="s">
        <v>15</v>
      </c>
      <c r="AD172" t="s">
        <v>3127</v>
      </c>
      <c r="AE172" t="s">
        <v>2695</v>
      </c>
      <c r="AF172">
        <v>0</v>
      </c>
      <c r="AG172" t="s">
        <v>18</v>
      </c>
    </row>
    <row r="173" spans="1:33" x14ac:dyDescent="0.3">
      <c r="A173" t="s">
        <v>2777</v>
      </c>
      <c r="B173" t="s">
        <v>587</v>
      </c>
      <c r="C173">
        <v>0</v>
      </c>
      <c r="D173" t="s">
        <v>588</v>
      </c>
      <c r="E173" t="s">
        <v>589</v>
      </c>
      <c r="F173">
        <v>-2.5</v>
      </c>
      <c r="G173" t="s">
        <v>1998</v>
      </c>
      <c r="H173" t="s">
        <v>2918</v>
      </c>
      <c r="I173" t="str">
        <f t="shared" si="2"/>
        <v xml:space="preserve">rsi_{'P' [('number'0 1) ('number'-2.5 -1)]}_[42 70]_0.5 </v>
      </c>
      <c r="J173" t="s">
        <v>2540</v>
      </c>
      <c r="K173">
        <v>127</v>
      </c>
      <c r="L173" t="s">
        <v>5</v>
      </c>
      <c r="M173">
        <v>66</v>
      </c>
      <c r="N173" t="s">
        <v>6</v>
      </c>
      <c r="O173">
        <v>0.34138264133192697</v>
      </c>
      <c r="P173" t="s">
        <v>7</v>
      </c>
      <c r="Q173">
        <v>2.6880522939521801E-3</v>
      </c>
      <c r="R173" t="s">
        <v>8</v>
      </c>
      <c r="S173">
        <v>0.76219474975429802</v>
      </c>
      <c r="T173" t="s">
        <v>9</v>
      </c>
      <c r="U173">
        <v>-0.81907329249920902</v>
      </c>
      <c r="V173" t="s">
        <v>10</v>
      </c>
      <c r="W173">
        <v>0.180934698310902</v>
      </c>
      <c r="X173" t="s">
        <v>11</v>
      </c>
      <c r="Y173" t="s">
        <v>3099</v>
      </c>
      <c r="Z173" t="s">
        <v>2071</v>
      </c>
      <c r="AA173">
        <v>0</v>
      </c>
      <c r="AB173" t="s">
        <v>14</v>
      </c>
      <c r="AC173" t="s">
        <v>15</v>
      </c>
      <c r="AD173" t="s">
        <v>3099</v>
      </c>
      <c r="AE173" t="s">
        <v>2071</v>
      </c>
      <c r="AF173">
        <v>0</v>
      </c>
      <c r="AG173" t="s">
        <v>18</v>
      </c>
    </row>
    <row r="174" spans="1:33" x14ac:dyDescent="0.3">
      <c r="A174" t="s">
        <v>2752</v>
      </c>
      <c r="B174" t="s">
        <v>587</v>
      </c>
      <c r="C174">
        <v>-5</v>
      </c>
      <c r="D174" t="s">
        <v>588</v>
      </c>
      <c r="E174" t="s">
        <v>589</v>
      </c>
      <c r="F174">
        <v>-7.5</v>
      </c>
      <c r="G174" t="s">
        <v>590</v>
      </c>
      <c r="H174" t="s">
        <v>2539</v>
      </c>
      <c r="I174" t="str">
        <f t="shared" si="2"/>
        <v xml:space="preserve">psar_no_highvol_{'P' [('number'-5 1) ('number'-7.5 -1)]}_[7 35]_1 </v>
      </c>
      <c r="J174" t="s">
        <v>2540</v>
      </c>
      <c r="K174">
        <v>125</v>
      </c>
      <c r="L174" t="s">
        <v>5</v>
      </c>
      <c r="M174">
        <v>39</v>
      </c>
      <c r="N174" t="s">
        <v>6</v>
      </c>
      <c r="O174">
        <v>0.27000000000000302</v>
      </c>
      <c r="P174" t="s">
        <v>7</v>
      </c>
      <c r="Q174">
        <v>2.16000000000003E-3</v>
      </c>
      <c r="R174" t="s">
        <v>8</v>
      </c>
      <c r="S174">
        <v>0.77897435897435796</v>
      </c>
      <c r="T174" t="s">
        <v>9</v>
      </c>
      <c r="U174">
        <v>-0.350116279069767</v>
      </c>
      <c r="V174" t="s">
        <v>10</v>
      </c>
      <c r="W174">
        <v>0.110701450045285</v>
      </c>
      <c r="X174" t="s">
        <v>11</v>
      </c>
      <c r="Y174" t="s">
        <v>3061</v>
      </c>
      <c r="Z174" t="s">
        <v>2711</v>
      </c>
      <c r="AA174">
        <v>0</v>
      </c>
      <c r="AB174" t="s">
        <v>14</v>
      </c>
      <c r="AC174" t="s">
        <v>15</v>
      </c>
      <c r="AD174" t="s">
        <v>3061</v>
      </c>
      <c r="AE174" t="s">
        <v>2711</v>
      </c>
      <c r="AF174">
        <v>0</v>
      </c>
      <c r="AG174" t="s">
        <v>18</v>
      </c>
    </row>
    <row r="175" spans="1:33" x14ac:dyDescent="0.3">
      <c r="A175" t="s">
        <v>2858</v>
      </c>
      <c r="B175" t="s">
        <v>587</v>
      </c>
      <c r="C175">
        <v>-5</v>
      </c>
      <c r="D175" t="s">
        <v>588</v>
      </c>
      <c r="E175" t="s">
        <v>589</v>
      </c>
      <c r="F175">
        <v>-7.5</v>
      </c>
      <c r="G175" t="s">
        <v>1998</v>
      </c>
      <c r="H175" t="s">
        <v>2918</v>
      </c>
      <c r="I175" t="str">
        <f t="shared" si="2"/>
        <v xml:space="preserve">stoch_no_highvol_{'P' [('number'-5 1) ('number'-7.5 -1)]}_[42 70]_0.5 </v>
      </c>
      <c r="J175" t="s">
        <v>2540</v>
      </c>
      <c r="K175">
        <v>331</v>
      </c>
      <c r="L175" t="s">
        <v>5</v>
      </c>
      <c r="M175">
        <v>156</v>
      </c>
      <c r="N175" t="s">
        <v>6</v>
      </c>
      <c r="O175">
        <v>7.5859681601071899E-2</v>
      </c>
      <c r="P175" t="s">
        <v>7</v>
      </c>
      <c r="Q175">
        <v>2.2918332809991501E-4</v>
      </c>
      <c r="R175" t="s">
        <v>8</v>
      </c>
      <c r="S175">
        <v>0.54560276651919004</v>
      </c>
      <c r="T175" t="s">
        <v>9</v>
      </c>
      <c r="U175">
        <v>-0.48593241083081401</v>
      </c>
      <c r="V175" t="s">
        <v>10</v>
      </c>
      <c r="W175">
        <v>0.22892316828876799</v>
      </c>
      <c r="X175" t="s">
        <v>11</v>
      </c>
      <c r="Y175" t="s">
        <v>3180</v>
      </c>
      <c r="Z175" t="s">
        <v>3181</v>
      </c>
      <c r="AA175">
        <v>0</v>
      </c>
      <c r="AB175" t="s">
        <v>14</v>
      </c>
      <c r="AC175" t="s">
        <v>15</v>
      </c>
      <c r="AD175" t="s">
        <v>3161</v>
      </c>
      <c r="AE175" t="s">
        <v>3162</v>
      </c>
      <c r="AF175">
        <v>0</v>
      </c>
      <c r="AG175" t="s">
        <v>18</v>
      </c>
    </row>
    <row r="176" spans="1:33" x14ac:dyDescent="0.3">
      <c r="A176" t="s">
        <v>2623</v>
      </c>
      <c r="B176" t="s">
        <v>587</v>
      </c>
      <c r="C176">
        <v>-2.5</v>
      </c>
      <c r="D176" t="s">
        <v>588</v>
      </c>
      <c r="E176" t="s">
        <v>589</v>
      </c>
      <c r="F176">
        <v>-5</v>
      </c>
      <c r="G176" t="s">
        <v>1998</v>
      </c>
      <c r="H176" t="s">
        <v>2559</v>
      </c>
      <c r="I176" t="str">
        <f t="shared" si="2"/>
        <v xml:space="preserve">bbands_{'P' [('number'-2.5 1) ('number'-5 -1)]}_[42 70]_1 </v>
      </c>
      <c r="J176" t="s">
        <v>2540</v>
      </c>
      <c r="K176">
        <v>167</v>
      </c>
      <c r="L176" t="s">
        <v>5</v>
      </c>
      <c r="M176">
        <v>60</v>
      </c>
      <c r="N176" t="s">
        <v>6</v>
      </c>
      <c r="O176">
        <v>-2.11339944734532E-2</v>
      </c>
      <c r="P176" t="s">
        <v>7</v>
      </c>
      <c r="Q176">
        <v>-1.2655086511049801E-4</v>
      </c>
      <c r="R176" t="s">
        <v>8</v>
      </c>
      <c r="S176">
        <v>1.10883912761111</v>
      </c>
      <c r="T176" t="s">
        <v>9</v>
      </c>
      <c r="U176">
        <v>-0.62197646402935003</v>
      </c>
      <c r="V176" t="s">
        <v>10</v>
      </c>
      <c r="W176">
        <v>0.208593200752937</v>
      </c>
      <c r="X176" t="s">
        <v>11</v>
      </c>
      <c r="Y176" t="s">
        <v>2996</v>
      </c>
      <c r="Z176" t="s">
        <v>77</v>
      </c>
      <c r="AA176">
        <v>0</v>
      </c>
      <c r="AB176" t="s">
        <v>14</v>
      </c>
      <c r="AC176" t="s">
        <v>15</v>
      </c>
      <c r="AD176" t="s">
        <v>2996</v>
      </c>
      <c r="AE176" t="s">
        <v>77</v>
      </c>
      <c r="AF176">
        <v>0</v>
      </c>
      <c r="AG176" t="s">
        <v>18</v>
      </c>
    </row>
    <row r="177" spans="1:33" x14ac:dyDescent="0.3">
      <c r="A177" t="s">
        <v>2811</v>
      </c>
      <c r="B177" t="s">
        <v>587</v>
      </c>
      <c r="C177">
        <v>-5</v>
      </c>
      <c r="D177" t="s">
        <v>588</v>
      </c>
      <c r="E177" t="s">
        <v>589</v>
      </c>
      <c r="F177">
        <v>-7.5</v>
      </c>
      <c r="G177" t="s">
        <v>590</v>
      </c>
      <c r="H177" t="s">
        <v>2909</v>
      </c>
      <c r="I177" t="str">
        <f t="shared" si="2"/>
        <v xml:space="preserve">stoch_{'P' [('number'-5 1) ('number'-7.5 -1)]}_[7 35]_3 </v>
      </c>
      <c r="J177" t="s">
        <v>2540</v>
      </c>
      <c r="K177">
        <v>375</v>
      </c>
      <c r="L177" t="s">
        <v>5</v>
      </c>
      <c r="M177">
        <v>69</v>
      </c>
      <c r="N177" t="s">
        <v>6</v>
      </c>
      <c r="O177">
        <v>-4.0000000000133103E-2</v>
      </c>
      <c r="P177" t="s">
        <v>7</v>
      </c>
      <c r="Q177">
        <v>-1.06666666667021E-4</v>
      </c>
      <c r="R177" t="s">
        <v>8</v>
      </c>
      <c r="S177">
        <v>1.7863768115942</v>
      </c>
      <c r="T177" t="s">
        <v>9</v>
      </c>
      <c r="U177">
        <v>-0.40294117647058803</v>
      </c>
      <c r="V177" t="s">
        <v>10</v>
      </c>
      <c r="W177">
        <v>0.43310572930914598</v>
      </c>
      <c r="X177" t="s">
        <v>11</v>
      </c>
      <c r="Y177" t="s">
        <v>2906</v>
      </c>
      <c r="Z177" t="s">
        <v>2947</v>
      </c>
    </row>
    <row r="178" spans="1:33" x14ac:dyDescent="0.3">
      <c r="A178" t="s">
        <v>2728</v>
      </c>
      <c r="B178" t="s">
        <v>587</v>
      </c>
      <c r="C178">
        <v>-5</v>
      </c>
      <c r="D178" t="s">
        <v>588</v>
      </c>
      <c r="E178" t="s">
        <v>589</v>
      </c>
      <c r="F178">
        <v>-7.5</v>
      </c>
      <c r="G178" t="s">
        <v>1998</v>
      </c>
      <c r="H178" t="s">
        <v>2562</v>
      </c>
      <c r="I178" t="str">
        <f t="shared" si="2"/>
        <v xml:space="preserve">psar_{'P' [('number'-5 1) ('number'-7.5 -1)]}_[42 70]_2 </v>
      </c>
      <c r="J178" t="s">
        <v>2540</v>
      </c>
      <c r="K178">
        <v>139</v>
      </c>
      <c r="L178" t="s">
        <v>5</v>
      </c>
      <c r="M178">
        <v>36</v>
      </c>
      <c r="N178" t="s">
        <v>6</v>
      </c>
      <c r="O178">
        <v>-0.15615424074744499</v>
      </c>
      <c r="P178" t="s">
        <v>7</v>
      </c>
      <c r="Q178">
        <v>-1.12341180393845E-3</v>
      </c>
      <c r="R178" t="s">
        <v>8</v>
      </c>
      <c r="S178">
        <v>1.51082065768457</v>
      </c>
      <c r="T178" t="s">
        <v>9</v>
      </c>
      <c r="U178">
        <v>-0.52956988269312699</v>
      </c>
      <c r="V178" t="s">
        <v>10</v>
      </c>
      <c r="W178">
        <v>0.206511338867331</v>
      </c>
      <c r="X178" t="s">
        <v>11</v>
      </c>
      <c r="Y178" t="s">
        <v>3069</v>
      </c>
      <c r="Z178" t="s">
        <v>3070</v>
      </c>
      <c r="AA178">
        <v>0</v>
      </c>
      <c r="AB178" t="s">
        <v>14</v>
      </c>
      <c r="AC178" t="s">
        <v>15</v>
      </c>
      <c r="AD178" t="s">
        <v>3069</v>
      </c>
      <c r="AE178" t="s">
        <v>3070</v>
      </c>
      <c r="AF178">
        <v>0</v>
      </c>
      <c r="AG178" t="s">
        <v>18</v>
      </c>
    </row>
    <row r="179" spans="1:33" x14ac:dyDescent="0.3">
      <c r="A179" t="s">
        <v>2728</v>
      </c>
      <c r="B179" t="s">
        <v>587</v>
      </c>
      <c r="C179">
        <v>0</v>
      </c>
      <c r="D179" t="s">
        <v>588</v>
      </c>
      <c r="E179" t="s">
        <v>589</v>
      </c>
      <c r="F179">
        <v>-2.5</v>
      </c>
      <c r="G179" t="s">
        <v>599</v>
      </c>
      <c r="H179" t="s">
        <v>2552</v>
      </c>
      <c r="I179" t="str">
        <f t="shared" si="2"/>
        <v xml:space="preserve">psar_{'P' [('number'0 1) ('number'-2.5 -1)]}_[21 49]_2 </v>
      </c>
      <c r="J179" t="s">
        <v>2540</v>
      </c>
      <c r="K179">
        <v>140</v>
      </c>
      <c r="L179" t="s">
        <v>5</v>
      </c>
      <c r="M179">
        <v>43</v>
      </c>
      <c r="N179" t="s">
        <v>6</v>
      </c>
      <c r="O179">
        <v>-0.20000000000000501</v>
      </c>
      <c r="P179" t="s">
        <v>7</v>
      </c>
      <c r="Q179">
        <v>-1.42857142857147E-3</v>
      </c>
      <c r="R179" t="s">
        <v>8</v>
      </c>
      <c r="S179">
        <v>1.6525581395348801</v>
      </c>
      <c r="T179" t="s">
        <v>9</v>
      </c>
      <c r="U179">
        <v>-0.73463917525773204</v>
      </c>
      <c r="V179" t="s">
        <v>10</v>
      </c>
      <c r="W179">
        <v>0.26803572056840502</v>
      </c>
      <c r="X179" t="s">
        <v>11</v>
      </c>
      <c r="Y179" t="s">
        <v>669</v>
      </c>
      <c r="Z179" t="s">
        <v>1369</v>
      </c>
      <c r="AA179">
        <v>0</v>
      </c>
      <c r="AB179" t="s">
        <v>14</v>
      </c>
      <c r="AC179" t="s">
        <v>15</v>
      </c>
      <c r="AD179" t="s">
        <v>669</v>
      </c>
      <c r="AE179" t="s">
        <v>1369</v>
      </c>
      <c r="AF179">
        <v>0</v>
      </c>
      <c r="AG179" t="s">
        <v>18</v>
      </c>
    </row>
    <row r="180" spans="1:33" x14ac:dyDescent="0.3">
      <c r="A180" t="s">
        <v>2777</v>
      </c>
      <c r="B180" t="s">
        <v>587</v>
      </c>
      <c r="C180">
        <v>-2.5</v>
      </c>
      <c r="D180" t="s">
        <v>588</v>
      </c>
      <c r="E180" t="s">
        <v>589</v>
      </c>
      <c r="F180">
        <v>-5</v>
      </c>
      <c r="G180" t="s">
        <v>599</v>
      </c>
      <c r="H180" t="s">
        <v>2910</v>
      </c>
      <c r="I180" t="str">
        <f t="shared" si="2"/>
        <v xml:space="preserve">rsi_{'P' [('number'-2.5 1) ('number'-5 -1)]}_[21 49]_0.5 </v>
      </c>
      <c r="J180" t="s">
        <v>2540</v>
      </c>
      <c r="K180">
        <v>128</v>
      </c>
      <c r="L180" t="s">
        <v>5</v>
      </c>
      <c r="M180">
        <v>61</v>
      </c>
      <c r="N180" t="s">
        <v>6</v>
      </c>
      <c r="O180">
        <v>-0.39999999999999297</v>
      </c>
      <c r="P180" t="s">
        <v>7</v>
      </c>
      <c r="Q180">
        <v>-3.1249999999999499E-3</v>
      </c>
      <c r="R180" t="s">
        <v>8</v>
      </c>
      <c r="S180">
        <v>0.53540983606557302</v>
      </c>
      <c r="T180" t="s">
        <v>9</v>
      </c>
      <c r="U180">
        <v>-0.49343283582089498</v>
      </c>
      <c r="V180" t="s">
        <v>10</v>
      </c>
      <c r="W180">
        <v>0.111181321878074</v>
      </c>
      <c r="X180" t="s">
        <v>11</v>
      </c>
      <c r="Y180" t="s">
        <v>3105</v>
      </c>
      <c r="Z180" t="s">
        <v>2071</v>
      </c>
      <c r="AA180">
        <v>0</v>
      </c>
      <c r="AB180" t="s">
        <v>14</v>
      </c>
      <c r="AC180" t="s">
        <v>15</v>
      </c>
      <c r="AD180" t="s">
        <v>3106</v>
      </c>
      <c r="AE180" t="s">
        <v>3107</v>
      </c>
      <c r="AF180">
        <v>0</v>
      </c>
      <c r="AG180" t="s">
        <v>18</v>
      </c>
    </row>
    <row r="181" spans="1:33" x14ac:dyDescent="0.3">
      <c r="A181" t="s">
        <v>2623</v>
      </c>
      <c r="B181" t="s">
        <v>587</v>
      </c>
      <c r="C181">
        <v>-2.5</v>
      </c>
      <c r="D181" t="s">
        <v>588</v>
      </c>
      <c r="E181" t="s">
        <v>589</v>
      </c>
      <c r="F181">
        <v>-5</v>
      </c>
      <c r="G181" t="s">
        <v>1998</v>
      </c>
      <c r="H181" t="s">
        <v>2918</v>
      </c>
      <c r="I181" t="str">
        <f t="shared" si="2"/>
        <v xml:space="preserve">bbands_{'P' [('number'-2.5 1) ('number'-5 -1)]}_[42 70]_0.5 </v>
      </c>
      <c r="J181" t="s">
        <v>2540</v>
      </c>
      <c r="K181">
        <v>167</v>
      </c>
      <c r="L181" t="s">
        <v>5</v>
      </c>
      <c r="M181">
        <v>82</v>
      </c>
      <c r="N181" t="s">
        <v>6</v>
      </c>
      <c r="O181">
        <v>-0.42742471845624902</v>
      </c>
      <c r="P181" t="s">
        <v>7</v>
      </c>
      <c r="Q181">
        <v>-2.5594294518338201E-3</v>
      </c>
      <c r="R181" t="s">
        <v>8</v>
      </c>
      <c r="S181">
        <v>0.65365033751681301</v>
      </c>
      <c r="T181" t="s">
        <v>9</v>
      </c>
      <c r="U181">
        <v>-0.63560885170394099</v>
      </c>
      <c r="V181" t="s">
        <v>10</v>
      </c>
      <c r="W181">
        <v>0.17058923977909299</v>
      </c>
      <c r="X181" t="s">
        <v>11</v>
      </c>
      <c r="Y181" t="s">
        <v>2996</v>
      </c>
      <c r="Z181" t="s">
        <v>77</v>
      </c>
      <c r="AA181">
        <v>0</v>
      </c>
      <c r="AB181" t="s">
        <v>14</v>
      </c>
      <c r="AC181" t="s">
        <v>15</v>
      </c>
      <c r="AD181" t="s">
        <v>2996</v>
      </c>
      <c r="AE181" t="s">
        <v>77</v>
      </c>
      <c r="AF181">
        <v>0</v>
      </c>
      <c r="AG181" t="s">
        <v>18</v>
      </c>
    </row>
    <row r="182" spans="1:33" x14ac:dyDescent="0.3">
      <c r="A182" t="s">
        <v>2683</v>
      </c>
      <c r="B182" t="s">
        <v>587</v>
      </c>
      <c r="C182">
        <v>0</v>
      </c>
      <c r="D182" t="s">
        <v>588</v>
      </c>
      <c r="E182" t="s">
        <v>589</v>
      </c>
      <c r="F182">
        <v>-2.5</v>
      </c>
      <c r="G182" t="s">
        <v>599</v>
      </c>
      <c r="H182" t="s">
        <v>2550</v>
      </c>
      <c r="I182" t="str">
        <f t="shared" si="2"/>
        <v xml:space="preserve">bbands_no_highvol_{'P' [('number'0 1) ('number'-2.5 -1)]}_[21 49]_1 </v>
      </c>
      <c r="J182" t="s">
        <v>2540</v>
      </c>
      <c r="K182">
        <v>165</v>
      </c>
      <c r="L182" t="s">
        <v>5</v>
      </c>
      <c r="M182">
        <v>55</v>
      </c>
      <c r="N182" t="s">
        <v>6</v>
      </c>
      <c r="O182">
        <v>-0.54000000000001203</v>
      </c>
      <c r="P182" t="s">
        <v>7</v>
      </c>
      <c r="Q182">
        <v>-3.2727272727273498E-3</v>
      </c>
      <c r="R182" t="s">
        <v>8</v>
      </c>
      <c r="S182">
        <v>1.2443636363636299</v>
      </c>
      <c r="T182" t="s">
        <v>9</v>
      </c>
      <c r="U182">
        <v>-0.62709090909090903</v>
      </c>
      <c r="V182" t="s">
        <v>10</v>
      </c>
      <c r="W182">
        <v>0.20649201606467399</v>
      </c>
      <c r="X182" t="s">
        <v>11</v>
      </c>
      <c r="Y182" t="s">
        <v>2978</v>
      </c>
      <c r="Z182" t="s">
        <v>1431</v>
      </c>
      <c r="AA182">
        <v>0</v>
      </c>
      <c r="AB182" t="s">
        <v>14</v>
      </c>
      <c r="AC182" t="s">
        <v>15</v>
      </c>
      <c r="AD182" t="s">
        <v>2979</v>
      </c>
      <c r="AE182" t="s">
        <v>1431</v>
      </c>
      <c r="AF182">
        <v>0</v>
      </c>
      <c r="AG182" t="s">
        <v>18</v>
      </c>
    </row>
    <row r="183" spans="1:33" x14ac:dyDescent="0.3">
      <c r="A183" t="s">
        <v>2623</v>
      </c>
      <c r="B183" t="s">
        <v>587</v>
      </c>
      <c r="C183">
        <v>-2.5</v>
      </c>
      <c r="D183" t="s">
        <v>588</v>
      </c>
      <c r="E183" t="s">
        <v>589</v>
      </c>
      <c r="F183">
        <v>-5</v>
      </c>
      <c r="G183" t="s">
        <v>599</v>
      </c>
      <c r="H183" t="s">
        <v>2550</v>
      </c>
      <c r="I183" t="str">
        <f t="shared" si="2"/>
        <v xml:space="preserve">bbands_{'P' [('number'-2.5 1) ('number'-5 -1)]}_[21 49]_1 </v>
      </c>
      <c r="J183" t="s">
        <v>2540</v>
      </c>
      <c r="K183">
        <v>178</v>
      </c>
      <c r="L183" t="s">
        <v>5</v>
      </c>
      <c r="M183">
        <v>59</v>
      </c>
      <c r="N183" t="s">
        <v>6</v>
      </c>
      <c r="O183">
        <v>-0.65999999999997305</v>
      </c>
      <c r="P183" t="s">
        <v>7</v>
      </c>
      <c r="Q183">
        <v>-3.7078651685391699E-3</v>
      </c>
      <c r="R183" t="s">
        <v>8</v>
      </c>
      <c r="S183">
        <v>1.05</v>
      </c>
      <c r="T183" t="s">
        <v>9</v>
      </c>
      <c r="U183">
        <v>-0.52613445378151202</v>
      </c>
      <c r="V183" t="s">
        <v>10</v>
      </c>
      <c r="W183">
        <v>0.18346334762557201</v>
      </c>
      <c r="X183" t="s">
        <v>11</v>
      </c>
      <c r="Y183" t="s">
        <v>219</v>
      </c>
      <c r="Z183" t="s">
        <v>2988</v>
      </c>
      <c r="AA183">
        <v>0</v>
      </c>
      <c r="AB183" t="s">
        <v>14</v>
      </c>
      <c r="AC183" t="s">
        <v>15</v>
      </c>
      <c r="AD183" t="s">
        <v>2987</v>
      </c>
      <c r="AE183" t="s">
        <v>2418</v>
      </c>
      <c r="AF183">
        <v>0</v>
      </c>
      <c r="AG183" t="s">
        <v>18</v>
      </c>
    </row>
    <row r="184" spans="1:33" x14ac:dyDescent="0.3">
      <c r="A184" t="s">
        <v>2777</v>
      </c>
      <c r="B184" t="s">
        <v>587</v>
      </c>
      <c r="C184">
        <v>0</v>
      </c>
      <c r="D184" t="s">
        <v>588</v>
      </c>
      <c r="E184" t="s">
        <v>589</v>
      </c>
      <c r="F184">
        <v>-2.5</v>
      </c>
      <c r="G184" t="s">
        <v>590</v>
      </c>
      <c r="H184" t="s">
        <v>2902</v>
      </c>
      <c r="I184" t="str">
        <f t="shared" si="2"/>
        <v xml:space="preserve">rsi_{'P' [('number'0 1) ('number'-2.5 -1)]}_[7 35]_0.5 </v>
      </c>
      <c r="J184" t="s">
        <v>2540</v>
      </c>
      <c r="K184">
        <v>136</v>
      </c>
      <c r="L184" t="s">
        <v>5</v>
      </c>
      <c r="M184">
        <v>64</v>
      </c>
      <c r="N184" t="s">
        <v>6</v>
      </c>
      <c r="O184">
        <v>-0.69000000000000705</v>
      </c>
      <c r="P184" t="s">
        <v>7</v>
      </c>
      <c r="Q184">
        <v>-5.0735294117647501E-3</v>
      </c>
      <c r="R184" t="s">
        <v>8</v>
      </c>
      <c r="S184">
        <v>0.717656249999999</v>
      </c>
      <c r="T184" t="s">
        <v>9</v>
      </c>
      <c r="U184">
        <v>-0.64749999999999897</v>
      </c>
      <c r="V184" t="s">
        <v>10</v>
      </c>
      <c r="W184">
        <v>0.13720070386078001</v>
      </c>
      <c r="X184" t="s">
        <v>11</v>
      </c>
      <c r="Y184" t="s">
        <v>3040</v>
      </c>
      <c r="Z184" t="s">
        <v>1431</v>
      </c>
      <c r="AA184">
        <v>0</v>
      </c>
      <c r="AB184" t="s">
        <v>14</v>
      </c>
      <c r="AC184" t="s">
        <v>15</v>
      </c>
      <c r="AD184" t="s">
        <v>728</v>
      </c>
      <c r="AE184" t="s">
        <v>2264</v>
      </c>
      <c r="AF184">
        <v>0</v>
      </c>
      <c r="AG184" t="s">
        <v>18</v>
      </c>
    </row>
    <row r="185" spans="1:33" x14ac:dyDescent="0.3">
      <c r="A185" t="s">
        <v>2728</v>
      </c>
      <c r="B185" t="s">
        <v>587</v>
      </c>
      <c r="C185">
        <v>-7.5</v>
      </c>
      <c r="D185" t="s">
        <v>588</v>
      </c>
      <c r="E185" t="s">
        <v>589</v>
      </c>
      <c r="F185">
        <v>-10</v>
      </c>
      <c r="G185" t="s">
        <v>599</v>
      </c>
      <c r="H185" t="s">
        <v>2910</v>
      </c>
      <c r="I185" t="str">
        <f t="shared" si="2"/>
        <v xml:space="preserve">psar_{'P' [('number'-7.5 1) ('number'-10 -1)]}_[21 49]_0.5 </v>
      </c>
      <c r="J185" t="s">
        <v>2540</v>
      </c>
      <c r="K185">
        <v>140</v>
      </c>
      <c r="L185" t="s">
        <v>5</v>
      </c>
      <c r="M185">
        <v>64</v>
      </c>
      <c r="N185" t="s">
        <v>6</v>
      </c>
      <c r="O185">
        <v>-0.73</v>
      </c>
      <c r="P185" t="s">
        <v>7</v>
      </c>
      <c r="Q185">
        <v>-5.2142857142857199E-3</v>
      </c>
      <c r="R185" t="s">
        <v>8</v>
      </c>
      <c r="S185">
        <v>0.40406249999999899</v>
      </c>
      <c r="T185" t="s">
        <v>9</v>
      </c>
      <c r="U185">
        <v>-0.349868421052631</v>
      </c>
      <c r="V185" t="s">
        <v>10</v>
      </c>
      <c r="W185">
        <v>9.2225837050033302E-2</v>
      </c>
      <c r="X185" t="s">
        <v>11</v>
      </c>
      <c r="Y185" t="s">
        <v>3074</v>
      </c>
      <c r="Z185" t="s">
        <v>129</v>
      </c>
      <c r="AA185">
        <v>0</v>
      </c>
      <c r="AB185" t="s">
        <v>14</v>
      </c>
      <c r="AC185" t="s">
        <v>15</v>
      </c>
      <c r="AD185" t="s">
        <v>3074</v>
      </c>
      <c r="AE185" t="s">
        <v>129</v>
      </c>
      <c r="AF185">
        <v>0</v>
      </c>
      <c r="AG185" t="s">
        <v>18</v>
      </c>
    </row>
    <row r="186" spans="1:33" x14ac:dyDescent="0.3">
      <c r="A186" t="s">
        <v>2683</v>
      </c>
      <c r="B186" t="s">
        <v>587</v>
      </c>
      <c r="C186">
        <v>-7.5</v>
      </c>
      <c r="D186" t="s">
        <v>588</v>
      </c>
      <c r="E186" t="s">
        <v>589</v>
      </c>
      <c r="F186">
        <v>-10</v>
      </c>
      <c r="G186" t="s">
        <v>1998</v>
      </c>
      <c r="H186" t="s">
        <v>2918</v>
      </c>
      <c r="I186" t="str">
        <f t="shared" si="2"/>
        <v xml:space="preserve">bbands_no_highvol_{'P' [('number'-7.5 1) ('number'-10 -1)]}_[42 70]_0.5 </v>
      </c>
      <c r="J186" t="s">
        <v>2540</v>
      </c>
      <c r="K186">
        <v>157</v>
      </c>
      <c r="L186" t="s">
        <v>5</v>
      </c>
      <c r="M186">
        <v>71</v>
      </c>
      <c r="N186" t="s">
        <v>6</v>
      </c>
      <c r="O186">
        <v>-0.75223827773687202</v>
      </c>
      <c r="P186" t="s">
        <v>7</v>
      </c>
      <c r="Q186">
        <v>-4.7913266097889904E-3</v>
      </c>
      <c r="R186" t="s">
        <v>8</v>
      </c>
      <c r="S186">
        <v>0.46609607733929098</v>
      </c>
      <c r="T186" t="s">
        <v>9</v>
      </c>
      <c r="U186">
        <v>-0.39354720661426101</v>
      </c>
      <c r="V186" t="s">
        <v>10</v>
      </c>
      <c r="W186">
        <v>0.103442028220789</v>
      </c>
      <c r="X186" t="s">
        <v>11</v>
      </c>
      <c r="Y186" t="s">
        <v>3036</v>
      </c>
      <c r="Z186" t="s">
        <v>2086</v>
      </c>
      <c r="AA186">
        <v>0</v>
      </c>
      <c r="AB186" t="s">
        <v>14</v>
      </c>
      <c r="AC186" t="s">
        <v>15</v>
      </c>
      <c r="AD186" t="s">
        <v>3037</v>
      </c>
      <c r="AE186" t="s">
        <v>2086</v>
      </c>
      <c r="AF186">
        <v>0</v>
      </c>
      <c r="AG186" t="s">
        <v>18</v>
      </c>
    </row>
    <row r="187" spans="1:33" x14ac:dyDescent="0.3">
      <c r="A187" t="s">
        <v>2683</v>
      </c>
      <c r="B187" t="s">
        <v>587</v>
      </c>
      <c r="C187">
        <v>-2.5</v>
      </c>
      <c r="D187" t="s">
        <v>588</v>
      </c>
      <c r="E187" t="s">
        <v>589</v>
      </c>
      <c r="F187">
        <v>-5</v>
      </c>
      <c r="G187" t="s">
        <v>1998</v>
      </c>
      <c r="H187" t="s">
        <v>2562</v>
      </c>
      <c r="I187" t="str">
        <f t="shared" si="2"/>
        <v xml:space="preserve">bbands_no_highvol_{'P' [('number'-2.5 1) ('number'-5 -1)]}_[42 70]_2 </v>
      </c>
      <c r="J187" t="s">
        <v>2540</v>
      </c>
      <c r="K187">
        <v>157</v>
      </c>
      <c r="L187" t="s">
        <v>5</v>
      </c>
      <c r="M187">
        <v>42</v>
      </c>
      <c r="N187" t="s">
        <v>6</v>
      </c>
      <c r="O187">
        <v>-0.76394351666010396</v>
      </c>
      <c r="P187" t="s">
        <v>7</v>
      </c>
      <c r="Q187">
        <v>-4.8658822717204103E-3</v>
      </c>
      <c r="R187" t="s">
        <v>8</v>
      </c>
      <c r="S187">
        <v>1.7434644908958701</v>
      </c>
      <c r="T187" t="s">
        <v>9</v>
      </c>
      <c r="U187">
        <v>-0.64338654029814402</v>
      </c>
      <c r="V187" t="s">
        <v>10</v>
      </c>
      <c r="W187">
        <v>0.24971933263899199</v>
      </c>
      <c r="X187" t="s">
        <v>11</v>
      </c>
      <c r="Y187" t="s">
        <v>2983</v>
      </c>
      <c r="Z187" t="s">
        <v>2924</v>
      </c>
      <c r="AA187">
        <v>0</v>
      </c>
      <c r="AB187" t="s">
        <v>14</v>
      </c>
      <c r="AC187" t="s">
        <v>15</v>
      </c>
      <c r="AD187" t="s">
        <v>2431</v>
      </c>
      <c r="AE187" t="s">
        <v>284</v>
      </c>
      <c r="AF187">
        <v>0</v>
      </c>
      <c r="AG187" t="s">
        <v>18</v>
      </c>
    </row>
    <row r="188" spans="1:33" x14ac:dyDescent="0.3">
      <c r="A188" t="s">
        <v>2777</v>
      </c>
      <c r="B188" t="s">
        <v>587</v>
      </c>
      <c r="C188">
        <v>-5</v>
      </c>
      <c r="D188" t="s">
        <v>588</v>
      </c>
      <c r="E188" t="s">
        <v>589</v>
      </c>
      <c r="F188">
        <v>-7.5</v>
      </c>
      <c r="G188" t="s">
        <v>590</v>
      </c>
      <c r="H188" t="s">
        <v>2909</v>
      </c>
      <c r="I188" t="str">
        <f t="shared" si="2"/>
        <v xml:space="preserve">rsi_{'P' [('number'-5 1) ('number'-7.5 -1)]}_[7 35]_3 </v>
      </c>
      <c r="J188" t="s">
        <v>2540</v>
      </c>
      <c r="K188">
        <v>136</v>
      </c>
      <c r="L188" t="s">
        <v>5</v>
      </c>
      <c r="M188">
        <v>24</v>
      </c>
      <c r="N188" t="s">
        <v>6</v>
      </c>
      <c r="O188">
        <v>-0.77000000000003499</v>
      </c>
      <c r="P188" t="s">
        <v>7</v>
      </c>
      <c r="Q188">
        <v>-5.6617647058826099E-3</v>
      </c>
      <c r="R188" t="s">
        <v>8</v>
      </c>
      <c r="S188">
        <v>1.5741666666666601</v>
      </c>
      <c r="T188" t="s">
        <v>9</v>
      </c>
      <c r="U188">
        <v>-0.34419642857142801</v>
      </c>
      <c r="V188" t="s">
        <v>10</v>
      </c>
      <c r="W188">
        <v>0.141852587938844</v>
      </c>
      <c r="X188" t="s">
        <v>11</v>
      </c>
      <c r="Y188" t="s">
        <v>2989</v>
      </c>
      <c r="Z188" t="s">
        <v>2990</v>
      </c>
      <c r="AA188">
        <v>0</v>
      </c>
      <c r="AB188" t="s">
        <v>14</v>
      </c>
      <c r="AC188" t="s">
        <v>15</v>
      </c>
      <c r="AD188" t="s">
        <v>3122</v>
      </c>
      <c r="AE188" t="s">
        <v>2249</v>
      </c>
      <c r="AF188">
        <v>0</v>
      </c>
      <c r="AG188" t="s">
        <v>18</v>
      </c>
    </row>
    <row r="189" spans="1:33" x14ac:dyDescent="0.3">
      <c r="A189" t="s">
        <v>2728</v>
      </c>
      <c r="B189" t="s">
        <v>587</v>
      </c>
      <c r="C189">
        <v>-5</v>
      </c>
      <c r="D189" t="s">
        <v>588</v>
      </c>
      <c r="E189" t="s">
        <v>589</v>
      </c>
      <c r="F189">
        <v>-7.5</v>
      </c>
      <c r="G189" t="s">
        <v>1998</v>
      </c>
      <c r="H189" t="s">
        <v>2918</v>
      </c>
      <c r="I189" t="str">
        <f t="shared" si="2"/>
        <v xml:space="preserve">psar_{'P' [('number'-5 1) ('number'-7.5 -1)]}_[42 70]_0.5 </v>
      </c>
      <c r="J189" t="s">
        <v>2540</v>
      </c>
      <c r="K189">
        <v>139</v>
      </c>
      <c r="L189" t="s">
        <v>5</v>
      </c>
      <c r="M189">
        <v>68</v>
      </c>
      <c r="N189" t="s">
        <v>6</v>
      </c>
      <c r="O189">
        <v>-0.82976552606073894</v>
      </c>
      <c r="P189" t="s">
        <v>7</v>
      </c>
      <c r="Q189">
        <v>-5.9695361587103497E-3</v>
      </c>
      <c r="R189" t="s">
        <v>8</v>
      </c>
      <c r="S189">
        <v>0.55437980299462197</v>
      </c>
      <c r="T189" t="s">
        <v>9</v>
      </c>
      <c r="U189">
        <v>-0.54264214267176103</v>
      </c>
      <c r="V189" t="s">
        <v>10</v>
      </c>
      <c r="W189">
        <v>0.12817288428881199</v>
      </c>
      <c r="X189" t="s">
        <v>11</v>
      </c>
      <c r="Y189" t="s">
        <v>3069</v>
      </c>
      <c r="Z189" t="s">
        <v>3070</v>
      </c>
      <c r="AA189">
        <v>0</v>
      </c>
      <c r="AB189" t="s">
        <v>14</v>
      </c>
      <c r="AC189" t="s">
        <v>15</v>
      </c>
      <c r="AD189" t="s">
        <v>3069</v>
      </c>
      <c r="AE189" t="s">
        <v>3070</v>
      </c>
      <c r="AF189">
        <v>0</v>
      </c>
      <c r="AG189" t="s">
        <v>18</v>
      </c>
    </row>
    <row r="190" spans="1:33" x14ac:dyDescent="0.3">
      <c r="A190" t="s">
        <v>2811</v>
      </c>
      <c r="B190" t="s">
        <v>587</v>
      </c>
      <c r="C190">
        <v>-2.5</v>
      </c>
      <c r="D190" t="s">
        <v>588</v>
      </c>
      <c r="E190" t="s">
        <v>589</v>
      </c>
      <c r="F190">
        <v>-5</v>
      </c>
      <c r="G190" t="s">
        <v>599</v>
      </c>
      <c r="H190" t="s">
        <v>2550</v>
      </c>
      <c r="I190" t="str">
        <f t="shared" si="2"/>
        <v xml:space="preserve">stoch_{'P' [('number'-2.5 1) ('number'-5 -1)]}_[21 49]_1 </v>
      </c>
      <c r="J190" t="s">
        <v>2540</v>
      </c>
      <c r="K190">
        <v>376</v>
      </c>
      <c r="L190" t="s">
        <v>5</v>
      </c>
      <c r="M190">
        <v>124</v>
      </c>
      <c r="N190" t="s">
        <v>6</v>
      </c>
      <c r="O190">
        <v>-0.91999999999997395</v>
      </c>
      <c r="P190" t="s">
        <v>7</v>
      </c>
      <c r="Q190">
        <v>-2.44680851063822E-3</v>
      </c>
      <c r="R190" t="s">
        <v>8</v>
      </c>
      <c r="S190">
        <v>1.0481451612903201</v>
      </c>
      <c r="T190" t="s">
        <v>9</v>
      </c>
      <c r="U190">
        <v>-0.51940476190476104</v>
      </c>
      <c r="V190" t="s">
        <v>10</v>
      </c>
      <c r="W190">
        <v>0.37575224241059602</v>
      </c>
      <c r="X190" t="s">
        <v>11</v>
      </c>
      <c r="Y190" t="s">
        <v>734</v>
      </c>
      <c r="Z190" t="s">
        <v>3152</v>
      </c>
      <c r="AA190">
        <v>0</v>
      </c>
      <c r="AB190" t="s">
        <v>14</v>
      </c>
      <c r="AC190" t="s">
        <v>15</v>
      </c>
      <c r="AD190" t="s">
        <v>1489</v>
      </c>
      <c r="AE190" t="s">
        <v>2754</v>
      </c>
      <c r="AF190">
        <v>0</v>
      </c>
      <c r="AG190" t="s">
        <v>18</v>
      </c>
    </row>
    <row r="191" spans="1:33" x14ac:dyDescent="0.3">
      <c r="A191" t="s">
        <v>2752</v>
      </c>
      <c r="B191" t="s">
        <v>587</v>
      </c>
      <c r="C191">
        <v>-5</v>
      </c>
      <c r="D191" t="s">
        <v>588</v>
      </c>
      <c r="E191" t="s">
        <v>589</v>
      </c>
      <c r="F191">
        <v>-7.5</v>
      </c>
      <c r="G191" t="s">
        <v>1998</v>
      </c>
      <c r="H191" t="s">
        <v>2918</v>
      </c>
      <c r="I191" t="str">
        <f t="shared" si="2"/>
        <v xml:space="preserve">psar_no_highvol_{'P' [('number'-5 1) ('number'-7.5 -1)]}_[42 70]_0.5 </v>
      </c>
      <c r="J191" t="s">
        <v>2540</v>
      </c>
      <c r="K191">
        <v>130</v>
      </c>
      <c r="L191" t="s">
        <v>5</v>
      </c>
      <c r="M191">
        <v>63</v>
      </c>
      <c r="N191" t="s">
        <v>6</v>
      </c>
      <c r="O191">
        <v>-1.0317248769735601</v>
      </c>
      <c r="P191" t="s">
        <v>7</v>
      </c>
      <c r="Q191">
        <v>-7.9363452074889904E-3</v>
      </c>
      <c r="R191" t="s">
        <v>8</v>
      </c>
      <c r="S191">
        <v>0.52828985976855403</v>
      </c>
      <c r="T191" t="s">
        <v>9</v>
      </c>
      <c r="U191">
        <v>-0.51214904540884298</v>
      </c>
      <c r="V191" t="s">
        <v>10</v>
      </c>
      <c r="W191">
        <v>0.107814299354716</v>
      </c>
      <c r="X191" t="s">
        <v>11</v>
      </c>
      <c r="Y191" t="s">
        <v>3084</v>
      </c>
      <c r="Z191" t="s">
        <v>2922</v>
      </c>
      <c r="AA191">
        <v>0</v>
      </c>
      <c r="AB191" t="s">
        <v>14</v>
      </c>
      <c r="AC191" t="s">
        <v>15</v>
      </c>
      <c r="AD191" t="s">
        <v>3084</v>
      </c>
      <c r="AE191" t="s">
        <v>2922</v>
      </c>
      <c r="AF191">
        <v>0</v>
      </c>
      <c r="AG191" t="s">
        <v>18</v>
      </c>
    </row>
    <row r="192" spans="1:33" x14ac:dyDescent="0.3">
      <c r="A192" t="s">
        <v>2777</v>
      </c>
      <c r="B192" t="s">
        <v>587</v>
      </c>
      <c r="C192">
        <v>-5</v>
      </c>
      <c r="D192" t="s">
        <v>588</v>
      </c>
      <c r="E192" t="s">
        <v>589</v>
      </c>
      <c r="F192">
        <v>-7.5</v>
      </c>
      <c r="G192" t="s">
        <v>599</v>
      </c>
      <c r="H192" t="s">
        <v>2910</v>
      </c>
      <c r="I192" t="str">
        <f t="shared" si="2"/>
        <v xml:space="preserve">rsi_{'P' [('number'-5 1) ('number'-7.5 -1)]}_[21 49]_0.5 </v>
      </c>
      <c r="J192" t="s">
        <v>2540</v>
      </c>
      <c r="K192">
        <v>128</v>
      </c>
      <c r="L192" t="s">
        <v>5</v>
      </c>
      <c r="M192">
        <v>58</v>
      </c>
      <c r="N192" t="s">
        <v>6</v>
      </c>
      <c r="O192">
        <v>-1.1200000000000001</v>
      </c>
      <c r="P192" t="s">
        <v>7</v>
      </c>
      <c r="Q192">
        <v>-8.7500000000000494E-3</v>
      </c>
      <c r="R192" t="s">
        <v>8</v>
      </c>
      <c r="S192">
        <v>0.47982758620689597</v>
      </c>
      <c r="T192" t="s">
        <v>9</v>
      </c>
      <c r="U192">
        <v>-0.41357142857142798</v>
      </c>
      <c r="V192" t="s">
        <v>10</v>
      </c>
      <c r="W192">
        <v>8.8769022331548195E-2</v>
      </c>
      <c r="X192" t="s">
        <v>11</v>
      </c>
      <c r="Y192" t="s">
        <v>3123</v>
      </c>
      <c r="Z192" t="s">
        <v>2638</v>
      </c>
      <c r="AA192">
        <v>0</v>
      </c>
      <c r="AB192" t="s">
        <v>14</v>
      </c>
      <c r="AC192" t="s">
        <v>15</v>
      </c>
      <c r="AD192" t="s">
        <v>3123</v>
      </c>
      <c r="AE192" t="s">
        <v>2638</v>
      </c>
      <c r="AF192">
        <v>0</v>
      </c>
      <c r="AG192" t="s">
        <v>18</v>
      </c>
    </row>
    <row r="193" spans="1:33" x14ac:dyDescent="0.3">
      <c r="A193" t="s">
        <v>2858</v>
      </c>
      <c r="B193" t="s">
        <v>587</v>
      </c>
      <c r="C193">
        <v>-5</v>
      </c>
      <c r="D193" t="s">
        <v>588</v>
      </c>
      <c r="E193" t="s">
        <v>589</v>
      </c>
      <c r="F193">
        <v>-7.5</v>
      </c>
      <c r="G193" t="s">
        <v>590</v>
      </c>
      <c r="H193" t="s">
        <v>2543</v>
      </c>
      <c r="I193" t="str">
        <f t="shared" si="2"/>
        <v xml:space="preserve">stoch_no_highvol_{'P' [('number'-5 1) ('number'-7.5 -1)]}_[7 35]_2 </v>
      </c>
      <c r="J193" t="s">
        <v>2540</v>
      </c>
      <c r="K193">
        <v>334</v>
      </c>
      <c r="L193" t="s">
        <v>5</v>
      </c>
      <c r="M193">
        <v>71</v>
      </c>
      <c r="N193" t="s">
        <v>6</v>
      </c>
      <c r="O193">
        <v>-1.4300000000001201</v>
      </c>
      <c r="P193" t="s">
        <v>7</v>
      </c>
      <c r="Q193">
        <v>-4.2814371257488904E-3</v>
      </c>
      <c r="R193" t="s">
        <v>8</v>
      </c>
      <c r="S193">
        <v>1.2376056338028101</v>
      </c>
      <c r="T193" t="s">
        <v>9</v>
      </c>
      <c r="U193">
        <v>-0.33954372623574097</v>
      </c>
      <c r="V193" t="s">
        <v>10</v>
      </c>
      <c r="W193">
        <v>0.334067535701701</v>
      </c>
      <c r="X193" t="s">
        <v>11</v>
      </c>
      <c r="Y193" t="s">
        <v>3062</v>
      </c>
      <c r="Z193" t="s">
        <v>2587</v>
      </c>
      <c r="AA193">
        <v>0</v>
      </c>
      <c r="AB193" t="s">
        <v>14</v>
      </c>
      <c r="AC193" t="s">
        <v>15</v>
      </c>
      <c r="AD193" t="s">
        <v>3158</v>
      </c>
      <c r="AE193" t="s">
        <v>2988</v>
      </c>
      <c r="AF193">
        <v>0</v>
      </c>
      <c r="AG193" t="s">
        <v>18</v>
      </c>
    </row>
    <row r="194" spans="1:33" x14ac:dyDescent="0.3">
      <c r="A194" t="s">
        <v>2752</v>
      </c>
      <c r="B194" t="s">
        <v>587</v>
      </c>
      <c r="C194">
        <v>-7.5</v>
      </c>
      <c r="D194" t="s">
        <v>588</v>
      </c>
      <c r="E194" t="s">
        <v>589</v>
      </c>
      <c r="F194">
        <v>-10</v>
      </c>
      <c r="G194" t="s">
        <v>590</v>
      </c>
      <c r="H194" t="s">
        <v>2543</v>
      </c>
      <c r="I194" t="str">
        <f t="shared" si="2"/>
        <v xml:space="preserve">psar_no_highvol_{'P' [('number'-7.5 1) ('number'-10 -1)]}_[7 35]_2 </v>
      </c>
      <c r="J194" t="s">
        <v>2540</v>
      </c>
      <c r="K194">
        <v>125</v>
      </c>
      <c r="L194" t="s">
        <v>5</v>
      </c>
      <c r="M194">
        <v>24</v>
      </c>
      <c r="N194" t="s">
        <v>6</v>
      </c>
      <c r="O194">
        <v>-1.54</v>
      </c>
      <c r="P194" t="s">
        <v>7</v>
      </c>
      <c r="Q194">
        <v>-1.2319999999999999E-2</v>
      </c>
      <c r="R194" t="s">
        <v>8</v>
      </c>
      <c r="S194">
        <v>0.98583333333333301</v>
      </c>
      <c r="T194" t="s">
        <v>9</v>
      </c>
      <c r="U194">
        <v>-0.249504950495049</v>
      </c>
      <c r="V194" t="s">
        <v>10</v>
      </c>
      <c r="W194">
        <v>0.10598676271610701</v>
      </c>
      <c r="X194" t="s">
        <v>11</v>
      </c>
      <c r="Y194" t="s">
        <v>3088</v>
      </c>
      <c r="Z194" t="s">
        <v>2666</v>
      </c>
      <c r="AA194">
        <v>0</v>
      </c>
      <c r="AB194" t="s">
        <v>14</v>
      </c>
      <c r="AC194" t="s">
        <v>15</v>
      </c>
      <c r="AD194" t="s">
        <v>3088</v>
      </c>
      <c r="AE194" t="s">
        <v>2666</v>
      </c>
      <c r="AF194">
        <v>0</v>
      </c>
      <c r="AG194" t="s">
        <v>18</v>
      </c>
    </row>
    <row r="195" spans="1:33" x14ac:dyDescent="0.3">
      <c r="A195" t="s">
        <v>2752</v>
      </c>
      <c r="B195" t="s">
        <v>587</v>
      </c>
      <c r="C195">
        <v>-2.5</v>
      </c>
      <c r="D195" t="s">
        <v>588</v>
      </c>
      <c r="E195" t="s">
        <v>589</v>
      </c>
      <c r="F195">
        <v>-5</v>
      </c>
      <c r="G195" t="s">
        <v>1998</v>
      </c>
      <c r="H195" t="s">
        <v>2926</v>
      </c>
      <c r="I195" t="str">
        <f t="shared" ref="I195:I258" si="3">_xlfn.CONCAT(A195:H195)</f>
        <v xml:space="preserve">psar_no_highvol_{'P' [('number'-2.5 1) ('number'-5 -1)]}_[42 70]_3 </v>
      </c>
      <c r="J195" t="s">
        <v>2540</v>
      </c>
      <c r="K195">
        <v>130</v>
      </c>
      <c r="L195" t="s">
        <v>5</v>
      </c>
      <c r="M195">
        <v>29</v>
      </c>
      <c r="N195" t="s">
        <v>6</v>
      </c>
      <c r="O195">
        <v>-1.6944577227405</v>
      </c>
      <c r="P195" t="s">
        <v>7</v>
      </c>
      <c r="Q195">
        <v>-1.30342901749269E-2</v>
      </c>
      <c r="R195" t="s">
        <v>8</v>
      </c>
      <c r="S195">
        <v>1.8875704114408201</v>
      </c>
      <c r="T195" t="s">
        <v>9</v>
      </c>
      <c r="U195">
        <v>-0.55875247182697296</v>
      </c>
      <c r="V195" t="s">
        <v>10</v>
      </c>
      <c r="W195">
        <v>0.25313992535758001</v>
      </c>
      <c r="X195" t="s">
        <v>11</v>
      </c>
      <c r="Y195" t="s">
        <v>3059</v>
      </c>
      <c r="Z195" t="s">
        <v>3060</v>
      </c>
      <c r="AA195">
        <v>0</v>
      </c>
      <c r="AB195" t="s">
        <v>14</v>
      </c>
      <c r="AC195" t="s">
        <v>15</v>
      </c>
      <c r="AD195" t="s">
        <v>3059</v>
      </c>
      <c r="AE195" t="s">
        <v>3060</v>
      </c>
      <c r="AF195">
        <v>0</v>
      </c>
      <c r="AG195" t="s">
        <v>18</v>
      </c>
    </row>
    <row r="196" spans="1:33" x14ac:dyDescent="0.3">
      <c r="A196" t="s">
        <v>2752</v>
      </c>
      <c r="B196" t="s">
        <v>587</v>
      </c>
      <c r="C196">
        <v>-5</v>
      </c>
      <c r="D196" t="s">
        <v>588</v>
      </c>
      <c r="E196" t="s">
        <v>589</v>
      </c>
      <c r="F196">
        <v>-7.5</v>
      </c>
      <c r="G196" t="s">
        <v>590</v>
      </c>
      <c r="H196" t="s">
        <v>2902</v>
      </c>
      <c r="I196" t="str">
        <f t="shared" si="3"/>
        <v xml:space="preserve">psar_no_highvol_{'P' [('number'-5 1) ('number'-7.5 -1)]}_[7 35]_0.5 </v>
      </c>
      <c r="J196" t="s">
        <v>2540</v>
      </c>
      <c r="K196">
        <v>125</v>
      </c>
      <c r="L196" t="s">
        <v>5</v>
      </c>
      <c r="M196">
        <v>51</v>
      </c>
      <c r="N196" t="s">
        <v>6</v>
      </c>
      <c r="O196">
        <v>-1.95999999999999</v>
      </c>
      <c r="P196" t="s">
        <v>7</v>
      </c>
      <c r="Q196">
        <v>-1.5679999999999899E-2</v>
      </c>
      <c r="R196" t="s">
        <v>8</v>
      </c>
      <c r="S196">
        <v>0.45333333333333298</v>
      </c>
      <c r="T196" t="s">
        <v>9</v>
      </c>
      <c r="U196">
        <v>-0.33891891891891801</v>
      </c>
      <c r="V196" t="s">
        <v>10</v>
      </c>
      <c r="W196">
        <v>8.2880519983088097E-2</v>
      </c>
      <c r="X196" t="s">
        <v>11</v>
      </c>
      <c r="Y196" t="s">
        <v>3081</v>
      </c>
      <c r="Z196" t="s">
        <v>3082</v>
      </c>
      <c r="AA196">
        <v>0</v>
      </c>
      <c r="AB196" t="s">
        <v>14</v>
      </c>
      <c r="AC196" t="s">
        <v>15</v>
      </c>
      <c r="AD196" t="s">
        <v>3081</v>
      </c>
      <c r="AE196" t="s">
        <v>3082</v>
      </c>
      <c r="AF196">
        <v>0</v>
      </c>
      <c r="AG196" t="s">
        <v>18</v>
      </c>
    </row>
    <row r="197" spans="1:33" x14ac:dyDescent="0.3">
      <c r="A197" t="s">
        <v>2683</v>
      </c>
      <c r="B197" t="s">
        <v>587</v>
      </c>
      <c r="C197">
        <v>-5</v>
      </c>
      <c r="D197" t="s">
        <v>588</v>
      </c>
      <c r="E197" t="s">
        <v>589</v>
      </c>
      <c r="F197">
        <v>-7.5</v>
      </c>
      <c r="G197" t="s">
        <v>1998</v>
      </c>
      <c r="H197" t="s">
        <v>2926</v>
      </c>
      <c r="I197" t="str">
        <f t="shared" si="3"/>
        <v xml:space="preserve">bbands_no_highvol_{'P' [('number'-5 1) ('number'-7.5 -1)]}_[42 70]_3 </v>
      </c>
      <c r="J197" t="s">
        <v>2540</v>
      </c>
      <c r="K197">
        <v>157</v>
      </c>
      <c r="L197" t="s">
        <v>5</v>
      </c>
      <c r="M197">
        <v>32</v>
      </c>
      <c r="N197" t="s">
        <v>6</v>
      </c>
      <c r="O197">
        <v>-2.19659040407551</v>
      </c>
      <c r="P197" t="s">
        <v>7</v>
      </c>
      <c r="Q197">
        <v>-1.3991021682009599E-2</v>
      </c>
      <c r="R197" t="s">
        <v>8</v>
      </c>
      <c r="S197">
        <v>2.0527447603121698</v>
      </c>
      <c r="T197" t="s">
        <v>9</v>
      </c>
      <c r="U197">
        <v>-0.54307538187252202</v>
      </c>
      <c r="V197" t="s">
        <v>10</v>
      </c>
      <c r="W197">
        <v>0.261033687559588</v>
      </c>
      <c r="X197" t="s">
        <v>11</v>
      </c>
      <c r="Y197" t="s">
        <v>3034</v>
      </c>
      <c r="Z197" t="s">
        <v>3035</v>
      </c>
      <c r="AA197">
        <v>0</v>
      </c>
      <c r="AB197" t="s">
        <v>14</v>
      </c>
      <c r="AC197" t="s">
        <v>15</v>
      </c>
      <c r="AD197" t="s">
        <v>3033</v>
      </c>
      <c r="AE197" t="s">
        <v>3023</v>
      </c>
      <c r="AF197">
        <v>0</v>
      </c>
      <c r="AG197" t="s">
        <v>18</v>
      </c>
    </row>
    <row r="198" spans="1:33" x14ac:dyDescent="0.3">
      <c r="A198" t="s">
        <v>2728</v>
      </c>
      <c r="B198" t="s">
        <v>587</v>
      </c>
      <c r="C198">
        <v>0</v>
      </c>
      <c r="D198" t="s">
        <v>588</v>
      </c>
      <c r="E198" t="s">
        <v>589</v>
      </c>
      <c r="F198">
        <v>-2.5</v>
      </c>
      <c r="G198" t="s">
        <v>599</v>
      </c>
      <c r="H198" t="s">
        <v>2916</v>
      </c>
      <c r="I198" t="str">
        <f t="shared" si="3"/>
        <v xml:space="preserve">psar_{'P' [('number'0 1) ('number'-2.5 -1)]}_[21 49]_3 </v>
      </c>
      <c r="J198" t="s">
        <v>2540</v>
      </c>
      <c r="K198">
        <v>140</v>
      </c>
      <c r="L198" t="s">
        <v>5</v>
      </c>
      <c r="M198">
        <v>42</v>
      </c>
      <c r="N198" t="s">
        <v>6</v>
      </c>
      <c r="O198">
        <v>-2.19999999999999</v>
      </c>
      <c r="P198" t="s">
        <v>7</v>
      </c>
      <c r="Q198">
        <v>-1.5714285714285701E-2</v>
      </c>
      <c r="R198" t="s">
        <v>8</v>
      </c>
      <c r="S198">
        <v>1.6814285714285699</v>
      </c>
      <c r="T198" t="s">
        <v>9</v>
      </c>
      <c r="U198">
        <v>-0.74306122448979595</v>
      </c>
      <c r="V198" t="s">
        <v>10</v>
      </c>
      <c r="W198">
        <v>0.27773045626894999</v>
      </c>
      <c r="X198" t="s">
        <v>11</v>
      </c>
      <c r="Y198" t="s">
        <v>669</v>
      </c>
      <c r="Z198" t="s">
        <v>1369</v>
      </c>
      <c r="AA198">
        <v>0</v>
      </c>
      <c r="AB198" t="s">
        <v>14</v>
      </c>
      <c r="AC198" t="s">
        <v>15</v>
      </c>
      <c r="AD198" t="s">
        <v>669</v>
      </c>
      <c r="AE198" t="s">
        <v>1369</v>
      </c>
      <c r="AF198">
        <v>0</v>
      </c>
      <c r="AG198" t="s">
        <v>18</v>
      </c>
    </row>
    <row r="199" spans="1:33" x14ac:dyDescent="0.3">
      <c r="A199" t="s">
        <v>2728</v>
      </c>
      <c r="B199" t="s">
        <v>587</v>
      </c>
      <c r="C199">
        <v>-5</v>
      </c>
      <c r="D199" t="s">
        <v>588</v>
      </c>
      <c r="E199" t="s">
        <v>589</v>
      </c>
      <c r="F199">
        <v>-7.5</v>
      </c>
      <c r="G199" t="s">
        <v>590</v>
      </c>
      <c r="H199" t="s">
        <v>2539</v>
      </c>
      <c r="I199" t="str">
        <f t="shared" si="3"/>
        <v xml:space="preserve">psar_{'P' [('number'-5 1) ('number'-7.5 -1)]}_[7 35]_1 </v>
      </c>
      <c r="J199" t="s">
        <v>2540</v>
      </c>
      <c r="K199">
        <v>135</v>
      </c>
      <c r="L199" t="s">
        <v>5</v>
      </c>
      <c r="M199">
        <v>41</v>
      </c>
      <c r="N199" t="s">
        <v>6</v>
      </c>
      <c r="O199">
        <v>-2.3799999999999901</v>
      </c>
      <c r="P199" t="s">
        <v>7</v>
      </c>
      <c r="Q199">
        <v>-1.7629629629629599E-2</v>
      </c>
      <c r="R199" t="s">
        <v>8</v>
      </c>
      <c r="S199">
        <v>0.77219512195121898</v>
      </c>
      <c r="T199" t="s">
        <v>9</v>
      </c>
      <c r="U199">
        <v>-0.36212765957446802</v>
      </c>
      <c r="V199" t="s">
        <v>10</v>
      </c>
      <c r="W199">
        <v>0.124720679789754</v>
      </c>
      <c r="X199" t="s">
        <v>11</v>
      </c>
      <c r="Y199" t="s">
        <v>3061</v>
      </c>
      <c r="Z199" t="s">
        <v>2711</v>
      </c>
      <c r="AA199">
        <v>0</v>
      </c>
      <c r="AB199" t="s">
        <v>14</v>
      </c>
      <c r="AC199" t="s">
        <v>15</v>
      </c>
      <c r="AD199" t="s">
        <v>3061</v>
      </c>
      <c r="AE199" t="s">
        <v>2711</v>
      </c>
      <c r="AF199">
        <v>0</v>
      </c>
      <c r="AG199" t="s">
        <v>18</v>
      </c>
    </row>
    <row r="200" spans="1:33" x14ac:dyDescent="0.3">
      <c r="A200" t="s">
        <v>2777</v>
      </c>
      <c r="B200" t="s">
        <v>587</v>
      </c>
      <c r="C200">
        <v>0</v>
      </c>
      <c r="D200" t="s">
        <v>588</v>
      </c>
      <c r="E200" t="s">
        <v>589</v>
      </c>
      <c r="F200">
        <v>-2.5</v>
      </c>
      <c r="G200" t="s">
        <v>599</v>
      </c>
      <c r="H200" t="s">
        <v>2916</v>
      </c>
      <c r="I200" t="str">
        <f t="shared" si="3"/>
        <v xml:space="preserve">rsi_{'P' [('number'0 1) ('number'-2.5 -1)]}_[21 49]_3 </v>
      </c>
      <c r="J200" t="s">
        <v>2540</v>
      </c>
      <c r="K200">
        <v>128</v>
      </c>
      <c r="L200" t="s">
        <v>5</v>
      </c>
      <c r="M200">
        <v>40</v>
      </c>
      <c r="N200" t="s">
        <v>6</v>
      </c>
      <c r="O200">
        <v>-2.4700000000000202</v>
      </c>
      <c r="P200" t="s">
        <v>7</v>
      </c>
      <c r="Q200">
        <v>-1.9296875000000099E-2</v>
      </c>
      <c r="R200" t="s">
        <v>8</v>
      </c>
      <c r="S200">
        <v>1.4444999999999999</v>
      </c>
      <c r="T200" t="s">
        <v>9</v>
      </c>
      <c r="U200">
        <v>-0.68465909090909105</v>
      </c>
      <c r="V200" t="s">
        <v>10</v>
      </c>
      <c r="W200">
        <v>0.24954233459309899</v>
      </c>
      <c r="X200" t="s">
        <v>11</v>
      </c>
      <c r="Y200" t="s">
        <v>3098</v>
      </c>
      <c r="Z200" t="s">
        <v>2914</v>
      </c>
      <c r="AA200">
        <v>0</v>
      </c>
      <c r="AB200" t="s">
        <v>14</v>
      </c>
      <c r="AC200" t="s">
        <v>15</v>
      </c>
      <c r="AD200" t="s">
        <v>3098</v>
      </c>
      <c r="AE200" t="s">
        <v>2914</v>
      </c>
      <c r="AF200">
        <v>0</v>
      </c>
      <c r="AG200" t="s">
        <v>18</v>
      </c>
    </row>
    <row r="201" spans="1:33" x14ac:dyDescent="0.3">
      <c r="A201" t="s">
        <v>2683</v>
      </c>
      <c r="B201" t="s">
        <v>587</v>
      </c>
      <c r="C201">
        <v>-2.5</v>
      </c>
      <c r="D201" t="s">
        <v>588</v>
      </c>
      <c r="E201" t="s">
        <v>589</v>
      </c>
      <c r="F201">
        <v>-5</v>
      </c>
      <c r="G201" t="s">
        <v>1998</v>
      </c>
      <c r="H201" t="s">
        <v>2918</v>
      </c>
      <c r="I201" t="str">
        <f t="shared" si="3"/>
        <v xml:space="preserve">bbands_no_highvol_{'P' [('number'-2.5 1) ('number'-5 -1)]}_[42 70]_0.5 </v>
      </c>
      <c r="J201" t="s">
        <v>2540</v>
      </c>
      <c r="K201">
        <v>157</v>
      </c>
      <c r="L201" t="s">
        <v>5</v>
      </c>
      <c r="M201">
        <v>74</v>
      </c>
      <c r="N201" t="s">
        <v>6</v>
      </c>
      <c r="O201">
        <v>-2.9022668073609599</v>
      </c>
      <c r="P201" t="s">
        <v>7</v>
      </c>
      <c r="Q201">
        <v>-1.84857758430634E-2</v>
      </c>
      <c r="R201" t="s">
        <v>8</v>
      </c>
      <c r="S201">
        <v>0.60280803584508102</v>
      </c>
      <c r="T201" t="s">
        <v>9</v>
      </c>
      <c r="U201">
        <v>-0.57241037903490299</v>
      </c>
      <c r="V201" t="s">
        <v>10</v>
      </c>
      <c r="W201">
        <v>0.14087239231899101</v>
      </c>
      <c r="X201" t="s">
        <v>11</v>
      </c>
      <c r="Y201" t="s">
        <v>3018</v>
      </c>
      <c r="Z201" t="s">
        <v>3019</v>
      </c>
    </row>
    <row r="202" spans="1:33" x14ac:dyDescent="0.3">
      <c r="A202" t="s">
        <v>2858</v>
      </c>
      <c r="B202" t="s">
        <v>587</v>
      </c>
      <c r="C202">
        <v>-5</v>
      </c>
      <c r="D202" t="s">
        <v>588</v>
      </c>
      <c r="E202" t="s">
        <v>589</v>
      </c>
      <c r="F202">
        <v>-7.5</v>
      </c>
      <c r="G202" t="s">
        <v>590</v>
      </c>
      <c r="H202" t="s">
        <v>2902</v>
      </c>
      <c r="I202" t="str">
        <f t="shared" si="3"/>
        <v xml:space="preserve">stoch_no_highvol_{'P' [('number'-5 1) ('number'-7.5 -1)]}_[7 35]_0.5 </v>
      </c>
      <c r="J202" t="s">
        <v>2540</v>
      </c>
      <c r="K202">
        <v>334</v>
      </c>
      <c r="L202" t="s">
        <v>5</v>
      </c>
      <c r="M202">
        <v>134</v>
      </c>
      <c r="N202" t="s">
        <v>6</v>
      </c>
      <c r="O202">
        <v>-2.9299999999999899</v>
      </c>
      <c r="P202" t="s">
        <v>7</v>
      </c>
      <c r="Q202">
        <v>-8.7724550898203493E-3</v>
      </c>
      <c r="R202" t="s">
        <v>8</v>
      </c>
      <c r="S202">
        <v>0.47313432835820801</v>
      </c>
      <c r="T202" t="s">
        <v>9</v>
      </c>
      <c r="U202">
        <v>-0.33165</v>
      </c>
      <c r="V202" t="s">
        <v>10</v>
      </c>
      <c r="W202">
        <v>0.21098400509985801</v>
      </c>
      <c r="X202" t="s">
        <v>11</v>
      </c>
      <c r="Y202" t="s">
        <v>3100</v>
      </c>
      <c r="Z202" t="s">
        <v>3156</v>
      </c>
      <c r="AA202">
        <v>0</v>
      </c>
      <c r="AB202" t="s">
        <v>14</v>
      </c>
      <c r="AC202" t="s">
        <v>15</v>
      </c>
      <c r="AD202" t="s">
        <v>3157</v>
      </c>
      <c r="AE202" t="s">
        <v>2418</v>
      </c>
      <c r="AF202">
        <v>0</v>
      </c>
      <c r="AG202" t="s">
        <v>18</v>
      </c>
    </row>
    <row r="203" spans="1:33" x14ac:dyDescent="0.3">
      <c r="A203" t="s">
        <v>2858</v>
      </c>
      <c r="B203" t="s">
        <v>587</v>
      </c>
      <c r="C203">
        <v>-7.5</v>
      </c>
      <c r="D203" t="s">
        <v>588</v>
      </c>
      <c r="E203" t="s">
        <v>589</v>
      </c>
      <c r="F203">
        <v>-10</v>
      </c>
      <c r="G203" t="s">
        <v>590</v>
      </c>
      <c r="H203" t="s">
        <v>2539</v>
      </c>
      <c r="I203" t="str">
        <f t="shared" si="3"/>
        <v xml:space="preserve">stoch_no_highvol_{'P' [('number'-7.5 1) ('number'-10 -1)]}_[7 35]_1 </v>
      </c>
      <c r="J203" t="s">
        <v>2540</v>
      </c>
      <c r="K203">
        <v>334</v>
      </c>
      <c r="L203" t="s">
        <v>5</v>
      </c>
      <c r="M203">
        <v>89</v>
      </c>
      <c r="N203" t="s">
        <v>6</v>
      </c>
      <c r="O203">
        <v>-3.03</v>
      </c>
      <c r="P203" t="s">
        <v>7</v>
      </c>
      <c r="Q203">
        <v>-9.0718562874251493E-3</v>
      </c>
      <c r="R203" t="s">
        <v>8</v>
      </c>
      <c r="S203">
        <v>0.61179775280898796</v>
      </c>
      <c r="T203" t="s">
        <v>9</v>
      </c>
      <c r="U203">
        <v>-0.23461224489795901</v>
      </c>
      <c r="V203" t="s">
        <v>10</v>
      </c>
      <c r="W203">
        <v>0.19459831751866799</v>
      </c>
      <c r="X203" t="s">
        <v>11</v>
      </c>
      <c r="Y203" t="s">
        <v>775</v>
      </c>
      <c r="Z203" t="s">
        <v>2863</v>
      </c>
      <c r="AA203">
        <v>0</v>
      </c>
      <c r="AB203" t="s">
        <v>14</v>
      </c>
      <c r="AC203" t="s">
        <v>15</v>
      </c>
      <c r="AD203" t="s">
        <v>3185</v>
      </c>
      <c r="AE203" t="s">
        <v>2418</v>
      </c>
      <c r="AF203">
        <v>0</v>
      </c>
      <c r="AG203" t="s">
        <v>18</v>
      </c>
    </row>
    <row r="204" spans="1:33" x14ac:dyDescent="0.3">
      <c r="A204" t="s">
        <v>2858</v>
      </c>
      <c r="B204" t="s">
        <v>587</v>
      </c>
      <c r="C204">
        <v>-7.5</v>
      </c>
      <c r="D204" t="s">
        <v>588</v>
      </c>
      <c r="E204" t="s">
        <v>589</v>
      </c>
      <c r="F204">
        <v>-10</v>
      </c>
      <c r="G204" t="s">
        <v>1998</v>
      </c>
      <c r="H204" t="s">
        <v>2918</v>
      </c>
      <c r="I204" t="str">
        <f t="shared" si="3"/>
        <v xml:space="preserve">stoch_no_highvol_{'P' [('number'-7.5 1) ('number'-10 -1)]}_[42 70]_0.5 </v>
      </c>
      <c r="J204" t="s">
        <v>2540</v>
      </c>
      <c r="K204">
        <v>331</v>
      </c>
      <c r="L204" t="s">
        <v>5</v>
      </c>
      <c r="M204">
        <v>151</v>
      </c>
      <c r="N204" t="s">
        <v>6</v>
      </c>
      <c r="O204">
        <v>-3.0914929121479999</v>
      </c>
      <c r="P204" t="s">
        <v>7</v>
      </c>
      <c r="Q204">
        <v>-9.3398577406284006E-3</v>
      </c>
      <c r="R204" t="s">
        <v>8</v>
      </c>
      <c r="S204">
        <v>0.45951141534786999</v>
      </c>
      <c r="T204" t="s">
        <v>9</v>
      </c>
      <c r="U204">
        <v>-0.40265398127598001</v>
      </c>
      <c r="V204" t="s">
        <v>10</v>
      </c>
      <c r="W204">
        <v>0.19840435845457599</v>
      </c>
      <c r="X204" t="s">
        <v>11</v>
      </c>
      <c r="Y204" t="s">
        <v>1492</v>
      </c>
      <c r="Z204" t="s">
        <v>3187</v>
      </c>
      <c r="AA204">
        <v>0</v>
      </c>
      <c r="AB204" t="s">
        <v>14</v>
      </c>
      <c r="AC204" t="s">
        <v>15</v>
      </c>
      <c r="AD204" t="s">
        <v>1492</v>
      </c>
      <c r="AE204" t="s">
        <v>3187</v>
      </c>
      <c r="AF204">
        <v>0</v>
      </c>
      <c r="AG204" t="s">
        <v>18</v>
      </c>
    </row>
    <row r="205" spans="1:33" x14ac:dyDescent="0.3">
      <c r="A205" t="s">
        <v>2777</v>
      </c>
      <c r="B205" t="s">
        <v>587</v>
      </c>
      <c r="C205">
        <v>-7.5</v>
      </c>
      <c r="D205" t="s">
        <v>588</v>
      </c>
      <c r="E205" t="s">
        <v>589</v>
      </c>
      <c r="F205">
        <v>-10</v>
      </c>
      <c r="G205" t="s">
        <v>1998</v>
      </c>
      <c r="H205" t="s">
        <v>2918</v>
      </c>
      <c r="I205" t="str">
        <f t="shared" si="3"/>
        <v xml:space="preserve">rsi_{'P' [('number'-7.5 1) ('number'-10 -1)]}_[42 70]_0.5 </v>
      </c>
      <c r="J205" t="s">
        <v>2540</v>
      </c>
      <c r="K205">
        <v>127</v>
      </c>
      <c r="L205" t="s">
        <v>5</v>
      </c>
      <c r="M205">
        <v>61</v>
      </c>
      <c r="N205" t="s">
        <v>6</v>
      </c>
      <c r="O205">
        <v>-3.10483869158488</v>
      </c>
      <c r="P205" t="s">
        <v>7</v>
      </c>
      <c r="Q205">
        <v>-2.44475487526369E-2</v>
      </c>
      <c r="R205" t="s">
        <v>8</v>
      </c>
      <c r="S205">
        <v>0.46125447539859499</v>
      </c>
      <c r="T205" t="s">
        <v>9</v>
      </c>
      <c r="U205">
        <v>-0.47335396501362298</v>
      </c>
      <c r="V205" t="s">
        <v>10</v>
      </c>
      <c r="W205">
        <v>0.111564409380672</v>
      </c>
      <c r="X205" t="s">
        <v>11</v>
      </c>
      <c r="Y205" t="s">
        <v>3144</v>
      </c>
      <c r="Z205" t="s">
        <v>2071</v>
      </c>
      <c r="AA205">
        <v>0</v>
      </c>
      <c r="AB205" t="s">
        <v>14</v>
      </c>
      <c r="AC205" t="s">
        <v>15</v>
      </c>
      <c r="AD205" t="s">
        <v>3144</v>
      </c>
      <c r="AE205" t="s">
        <v>2071</v>
      </c>
      <c r="AF205">
        <v>0</v>
      </c>
      <c r="AG205" t="s">
        <v>18</v>
      </c>
    </row>
    <row r="206" spans="1:33" x14ac:dyDescent="0.3">
      <c r="A206" t="s">
        <v>2683</v>
      </c>
      <c r="B206" t="s">
        <v>587</v>
      </c>
      <c r="C206">
        <v>-7.5</v>
      </c>
      <c r="D206" t="s">
        <v>588</v>
      </c>
      <c r="E206" t="s">
        <v>589</v>
      </c>
      <c r="F206">
        <v>-10</v>
      </c>
      <c r="G206" t="s">
        <v>1998</v>
      </c>
      <c r="H206" t="s">
        <v>2559</v>
      </c>
      <c r="I206" t="str">
        <f t="shared" si="3"/>
        <v xml:space="preserve">bbands_no_highvol_{'P' [('number'-7.5 1) ('number'-10 -1)]}_[42 70]_1 </v>
      </c>
      <c r="J206" t="s">
        <v>2540</v>
      </c>
      <c r="K206">
        <v>157</v>
      </c>
      <c r="L206" t="s">
        <v>5</v>
      </c>
      <c r="M206">
        <v>50</v>
      </c>
      <c r="N206" t="s">
        <v>6</v>
      </c>
      <c r="O206">
        <v>-3.1622382777368698</v>
      </c>
      <c r="P206" t="s">
        <v>7</v>
      </c>
      <c r="Q206">
        <v>-2.0141645081126501E-2</v>
      </c>
      <c r="R206" t="s">
        <v>8</v>
      </c>
      <c r="S206">
        <v>0.79585642982179305</v>
      </c>
      <c r="T206" t="s">
        <v>9</v>
      </c>
      <c r="U206">
        <v>-0.40144915671800502</v>
      </c>
      <c r="V206" t="s">
        <v>10</v>
      </c>
      <c r="W206">
        <v>0.135081510798919</v>
      </c>
      <c r="X206" t="s">
        <v>11</v>
      </c>
      <c r="Y206" t="s">
        <v>3038</v>
      </c>
      <c r="Z206" t="s">
        <v>3039</v>
      </c>
      <c r="AA206">
        <v>0</v>
      </c>
      <c r="AB206" t="s">
        <v>14</v>
      </c>
      <c r="AC206" t="s">
        <v>15</v>
      </c>
      <c r="AD206" t="s">
        <v>3038</v>
      </c>
      <c r="AE206" t="s">
        <v>3039</v>
      </c>
      <c r="AF206">
        <v>0</v>
      </c>
      <c r="AG206" t="s">
        <v>18</v>
      </c>
    </row>
    <row r="207" spans="1:33" x14ac:dyDescent="0.3">
      <c r="A207" t="s">
        <v>2777</v>
      </c>
      <c r="B207" t="s">
        <v>587</v>
      </c>
      <c r="C207">
        <v>0</v>
      </c>
      <c r="D207" t="s">
        <v>588</v>
      </c>
      <c r="E207" t="s">
        <v>589</v>
      </c>
      <c r="F207">
        <v>-2.5</v>
      </c>
      <c r="G207" t="s">
        <v>599</v>
      </c>
      <c r="H207" t="s">
        <v>2910</v>
      </c>
      <c r="I207" t="str">
        <f t="shared" si="3"/>
        <v xml:space="preserve">rsi_{'P' [('number'0 1) ('number'-2.5 -1)]}_[21 49]_0.5 </v>
      </c>
      <c r="J207" t="s">
        <v>2540</v>
      </c>
      <c r="K207">
        <v>128</v>
      </c>
      <c r="L207" t="s">
        <v>5</v>
      </c>
      <c r="M207">
        <v>62</v>
      </c>
      <c r="N207" t="s">
        <v>6</v>
      </c>
      <c r="O207">
        <v>-3.1882470479985701</v>
      </c>
      <c r="P207" t="s">
        <v>7</v>
      </c>
      <c r="Q207">
        <v>-2.4908180062488801E-2</v>
      </c>
      <c r="R207" t="s">
        <v>8</v>
      </c>
      <c r="S207">
        <v>0.67099601535486098</v>
      </c>
      <c r="T207" t="s">
        <v>9</v>
      </c>
      <c r="U207">
        <v>-0.67863636363636304</v>
      </c>
      <c r="V207" t="s">
        <v>10</v>
      </c>
      <c r="W207">
        <v>0.15198024544763999</v>
      </c>
      <c r="X207" t="s">
        <v>11</v>
      </c>
      <c r="Y207" t="s">
        <v>3098</v>
      </c>
      <c r="Z207" t="s">
        <v>2914</v>
      </c>
      <c r="AA207">
        <v>0</v>
      </c>
      <c r="AB207" t="s">
        <v>14</v>
      </c>
      <c r="AC207" t="s">
        <v>15</v>
      </c>
      <c r="AD207" t="s">
        <v>3098</v>
      </c>
      <c r="AE207" t="s">
        <v>2914</v>
      </c>
      <c r="AF207">
        <v>0</v>
      </c>
      <c r="AG207" t="s">
        <v>18</v>
      </c>
    </row>
    <row r="208" spans="1:33" x14ac:dyDescent="0.3">
      <c r="A208" t="s">
        <v>2858</v>
      </c>
      <c r="B208" t="s">
        <v>587</v>
      </c>
      <c r="C208">
        <v>-2.5</v>
      </c>
      <c r="D208" t="s">
        <v>588</v>
      </c>
      <c r="E208" t="s">
        <v>589</v>
      </c>
      <c r="F208">
        <v>-5</v>
      </c>
      <c r="G208" t="s">
        <v>599</v>
      </c>
      <c r="H208" t="s">
        <v>2550</v>
      </c>
      <c r="I208" t="str">
        <f t="shared" si="3"/>
        <v xml:space="preserve">stoch_no_highvol_{'P' [('number'-2.5 1) ('number'-5 -1)]}_[21 49]_1 </v>
      </c>
      <c r="J208" t="s">
        <v>2540</v>
      </c>
      <c r="K208">
        <v>335</v>
      </c>
      <c r="L208" t="s">
        <v>5</v>
      </c>
      <c r="M208">
        <v>108</v>
      </c>
      <c r="N208" t="s">
        <v>6</v>
      </c>
      <c r="O208">
        <v>-3.21999999999997</v>
      </c>
      <c r="P208" t="s">
        <v>7</v>
      </c>
      <c r="Q208">
        <v>-9.6119402985073692E-3</v>
      </c>
      <c r="R208" t="s">
        <v>8</v>
      </c>
      <c r="S208">
        <v>1.02583333333333</v>
      </c>
      <c r="T208" t="s">
        <v>9</v>
      </c>
      <c r="U208">
        <v>-0.50224669603524197</v>
      </c>
      <c r="V208" t="s">
        <v>10</v>
      </c>
      <c r="W208">
        <v>0.34239657177334498</v>
      </c>
      <c r="X208" t="s">
        <v>11</v>
      </c>
      <c r="Y208" t="s">
        <v>219</v>
      </c>
      <c r="Z208" t="s">
        <v>2988</v>
      </c>
      <c r="AA208">
        <v>0</v>
      </c>
      <c r="AB208" t="s">
        <v>14</v>
      </c>
      <c r="AC208" t="s">
        <v>15</v>
      </c>
      <c r="AD208" t="s">
        <v>1489</v>
      </c>
      <c r="AE208" t="s">
        <v>2754</v>
      </c>
      <c r="AF208">
        <v>0</v>
      </c>
      <c r="AG208" t="s">
        <v>18</v>
      </c>
    </row>
    <row r="209" spans="1:33" x14ac:dyDescent="0.3">
      <c r="A209" t="s">
        <v>2777</v>
      </c>
      <c r="B209" t="s">
        <v>587</v>
      </c>
      <c r="C209">
        <v>-7.5</v>
      </c>
      <c r="D209" t="s">
        <v>588</v>
      </c>
      <c r="E209" t="s">
        <v>589</v>
      </c>
      <c r="F209">
        <v>-10</v>
      </c>
      <c r="G209" t="s">
        <v>1998</v>
      </c>
      <c r="H209" t="s">
        <v>2562</v>
      </c>
      <c r="I209" t="str">
        <f t="shared" si="3"/>
        <v xml:space="preserve">rsi_{'P' [('number'-7.5 1) ('number'-10 -1)]}_[42 70]_2 </v>
      </c>
      <c r="J209" t="s">
        <v>2540</v>
      </c>
      <c r="K209">
        <v>127</v>
      </c>
      <c r="L209" t="s">
        <v>5</v>
      </c>
      <c r="M209">
        <v>29</v>
      </c>
      <c r="N209" t="s">
        <v>6</v>
      </c>
      <c r="O209">
        <v>-3.2948386915848702</v>
      </c>
      <c r="P209" t="s">
        <v>7</v>
      </c>
      <c r="Q209">
        <v>-2.5943611744762798E-2</v>
      </c>
      <c r="R209" t="s">
        <v>8</v>
      </c>
      <c r="S209">
        <v>1.4258620689655099</v>
      </c>
      <c r="T209" t="s">
        <v>9</v>
      </c>
      <c r="U209">
        <v>-0.45555957848556</v>
      </c>
      <c r="V209" t="s">
        <v>10</v>
      </c>
      <c r="W209">
        <v>0.17348883712625501</v>
      </c>
      <c r="X209" t="s">
        <v>11</v>
      </c>
      <c r="Y209" t="s">
        <v>3144</v>
      </c>
      <c r="Z209" t="s">
        <v>2071</v>
      </c>
      <c r="AA209">
        <v>0</v>
      </c>
      <c r="AB209" t="s">
        <v>14</v>
      </c>
      <c r="AC209" t="s">
        <v>15</v>
      </c>
      <c r="AD209" t="s">
        <v>3144</v>
      </c>
      <c r="AE209" t="s">
        <v>2071</v>
      </c>
      <c r="AF209">
        <v>0</v>
      </c>
      <c r="AG209" t="s">
        <v>18</v>
      </c>
    </row>
    <row r="210" spans="1:33" x14ac:dyDescent="0.3">
      <c r="A210" t="s">
        <v>2777</v>
      </c>
      <c r="B210" t="s">
        <v>587</v>
      </c>
      <c r="C210">
        <v>-2.5</v>
      </c>
      <c r="D210" t="s">
        <v>588</v>
      </c>
      <c r="E210" t="s">
        <v>589</v>
      </c>
      <c r="F210">
        <v>-5</v>
      </c>
      <c r="G210" t="s">
        <v>590</v>
      </c>
      <c r="H210" t="s">
        <v>2902</v>
      </c>
      <c r="I210" t="str">
        <f t="shared" si="3"/>
        <v xml:space="preserve">rsi_{'P' [('number'-2.5 1) ('number'-5 -1)]}_[7 35]_0.5 </v>
      </c>
      <c r="J210" t="s">
        <v>2540</v>
      </c>
      <c r="K210">
        <v>136</v>
      </c>
      <c r="L210" t="s">
        <v>5</v>
      </c>
      <c r="M210">
        <v>59</v>
      </c>
      <c r="N210" t="s">
        <v>6</v>
      </c>
      <c r="O210">
        <v>-3.3499999999999899</v>
      </c>
      <c r="P210" t="s">
        <v>7</v>
      </c>
      <c r="Q210">
        <v>-2.46323529411764E-2</v>
      </c>
      <c r="R210" t="s">
        <v>8</v>
      </c>
      <c r="S210">
        <v>0.57084745762711797</v>
      </c>
      <c r="T210" t="s">
        <v>9</v>
      </c>
      <c r="U210">
        <v>-0.48090909090909001</v>
      </c>
      <c r="V210" t="s">
        <v>10</v>
      </c>
      <c r="W210">
        <v>0.105351009213019</v>
      </c>
      <c r="X210" t="s">
        <v>11</v>
      </c>
      <c r="Y210" t="s">
        <v>3100</v>
      </c>
      <c r="Z210" t="s">
        <v>3101</v>
      </c>
      <c r="AA210">
        <v>0</v>
      </c>
      <c r="AB210" t="s">
        <v>14</v>
      </c>
      <c r="AC210" t="s">
        <v>15</v>
      </c>
      <c r="AD210" t="s">
        <v>3008</v>
      </c>
      <c r="AE210" t="s">
        <v>2242</v>
      </c>
      <c r="AF210">
        <v>0</v>
      </c>
      <c r="AG210" t="s">
        <v>18</v>
      </c>
    </row>
    <row r="211" spans="1:33" x14ac:dyDescent="0.3">
      <c r="A211" t="s">
        <v>2728</v>
      </c>
      <c r="B211" t="s">
        <v>587</v>
      </c>
      <c r="C211">
        <v>-7.5</v>
      </c>
      <c r="D211" t="s">
        <v>588</v>
      </c>
      <c r="E211" t="s">
        <v>589</v>
      </c>
      <c r="F211">
        <v>-10</v>
      </c>
      <c r="G211" t="s">
        <v>590</v>
      </c>
      <c r="H211" t="s">
        <v>2909</v>
      </c>
      <c r="I211" t="str">
        <f t="shared" si="3"/>
        <v xml:space="preserve">psar_{'P' [('number'-7.5 1) ('number'-10 -1)]}_[7 35]_3 </v>
      </c>
      <c r="J211" t="s">
        <v>2540</v>
      </c>
      <c r="K211">
        <v>135</v>
      </c>
      <c r="L211" t="s">
        <v>5</v>
      </c>
      <c r="M211">
        <v>20</v>
      </c>
      <c r="N211" t="s">
        <v>6</v>
      </c>
      <c r="O211">
        <v>-3.46999999999997</v>
      </c>
      <c r="P211" t="s">
        <v>7</v>
      </c>
      <c r="Q211">
        <v>-2.57037037037035E-2</v>
      </c>
      <c r="R211" t="s">
        <v>8</v>
      </c>
      <c r="S211">
        <v>1.3280000000000001</v>
      </c>
      <c r="T211" t="s">
        <v>9</v>
      </c>
      <c r="U211">
        <v>-0.261130434782608</v>
      </c>
      <c r="V211" t="s">
        <v>10</v>
      </c>
      <c r="W211">
        <v>0.143022589083249</v>
      </c>
      <c r="X211" t="s">
        <v>11</v>
      </c>
      <c r="Y211" t="s">
        <v>2805</v>
      </c>
      <c r="Z211" t="s">
        <v>2587</v>
      </c>
      <c r="AA211">
        <v>0</v>
      </c>
      <c r="AB211" t="s">
        <v>14</v>
      </c>
      <c r="AC211" t="s">
        <v>15</v>
      </c>
      <c r="AD211" t="s">
        <v>2805</v>
      </c>
      <c r="AE211" t="s">
        <v>2587</v>
      </c>
      <c r="AF211">
        <v>0</v>
      </c>
      <c r="AG211" t="s">
        <v>18</v>
      </c>
    </row>
    <row r="212" spans="1:33" x14ac:dyDescent="0.3">
      <c r="A212" t="s">
        <v>2728</v>
      </c>
      <c r="B212" t="s">
        <v>587</v>
      </c>
      <c r="C212">
        <v>-5</v>
      </c>
      <c r="D212" t="s">
        <v>588</v>
      </c>
      <c r="E212" t="s">
        <v>589</v>
      </c>
      <c r="F212">
        <v>-7.5</v>
      </c>
      <c r="G212" t="s">
        <v>590</v>
      </c>
      <c r="H212" t="s">
        <v>2902</v>
      </c>
      <c r="I212" t="str">
        <f t="shared" si="3"/>
        <v xml:space="preserve">psar_{'P' [('number'-5 1) ('number'-7.5 -1)]}_[7 35]_0.5 </v>
      </c>
      <c r="J212" t="s">
        <v>2540</v>
      </c>
      <c r="K212">
        <v>135</v>
      </c>
      <c r="L212" t="s">
        <v>5</v>
      </c>
      <c r="M212">
        <v>54</v>
      </c>
      <c r="N212" t="s">
        <v>6</v>
      </c>
      <c r="O212">
        <v>-3.4999999999999898</v>
      </c>
      <c r="P212" t="s">
        <v>7</v>
      </c>
      <c r="Q212">
        <v>-2.59259259259258E-2</v>
      </c>
      <c r="R212" t="s">
        <v>8</v>
      </c>
      <c r="S212">
        <v>0.46203703703703702</v>
      </c>
      <c r="T212" t="s">
        <v>9</v>
      </c>
      <c r="U212">
        <v>-0.35123456790123397</v>
      </c>
      <c r="V212" t="s">
        <v>10</v>
      </c>
      <c r="W212">
        <v>9.37970411158877E-2</v>
      </c>
      <c r="X212" t="s">
        <v>11</v>
      </c>
      <c r="Y212" t="s">
        <v>217</v>
      </c>
      <c r="Z212" t="s">
        <v>2749</v>
      </c>
      <c r="AA212">
        <v>0</v>
      </c>
      <c r="AB212" t="s">
        <v>14</v>
      </c>
      <c r="AC212" t="s">
        <v>15</v>
      </c>
      <c r="AD212" t="s">
        <v>217</v>
      </c>
      <c r="AE212" t="s">
        <v>2749</v>
      </c>
      <c r="AF212">
        <v>0</v>
      </c>
      <c r="AG212" t="s">
        <v>18</v>
      </c>
    </row>
    <row r="213" spans="1:33" x14ac:dyDescent="0.3">
      <c r="A213" t="s">
        <v>2858</v>
      </c>
      <c r="B213" t="s">
        <v>587</v>
      </c>
      <c r="C213">
        <v>-2.5</v>
      </c>
      <c r="D213" t="s">
        <v>588</v>
      </c>
      <c r="E213" t="s">
        <v>589</v>
      </c>
      <c r="F213">
        <v>-5</v>
      </c>
      <c r="G213" t="s">
        <v>590</v>
      </c>
      <c r="H213" t="s">
        <v>2539</v>
      </c>
      <c r="I213" t="str">
        <f t="shared" si="3"/>
        <v xml:space="preserve">stoch_no_highvol_{'P' [('number'-2.5 1) ('number'-5 -1)]}_[7 35]_1 </v>
      </c>
      <c r="J213" t="s">
        <v>2540</v>
      </c>
      <c r="K213">
        <v>334</v>
      </c>
      <c r="L213" t="s">
        <v>5</v>
      </c>
      <c r="M213">
        <v>109</v>
      </c>
      <c r="N213" t="s">
        <v>6</v>
      </c>
      <c r="O213">
        <v>-3.79</v>
      </c>
      <c r="P213" t="s">
        <v>7</v>
      </c>
      <c r="Q213">
        <v>-1.1347305389221501E-2</v>
      </c>
      <c r="R213" t="s">
        <v>8</v>
      </c>
      <c r="S213">
        <v>0.94908256880733899</v>
      </c>
      <c r="T213" t="s">
        <v>9</v>
      </c>
      <c r="U213">
        <v>-0.476622222222222</v>
      </c>
      <c r="V213" t="s">
        <v>10</v>
      </c>
      <c r="W213">
        <v>0.32684407612646699</v>
      </c>
      <c r="X213" t="s">
        <v>11</v>
      </c>
      <c r="Y213" t="s">
        <v>2989</v>
      </c>
      <c r="Z213" t="s">
        <v>2990</v>
      </c>
      <c r="AA213">
        <v>0</v>
      </c>
      <c r="AB213" t="s">
        <v>14</v>
      </c>
      <c r="AC213" t="s">
        <v>15</v>
      </c>
      <c r="AD213" t="s">
        <v>3150</v>
      </c>
      <c r="AE213" t="s">
        <v>2418</v>
      </c>
      <c r="AF213">
        <v>0</v>
      </c>
      <c r="AG213" t="s">
        <v>18</v>
      </c>
    </row>
    <row r="214" spans="1:33" x14ac:dyDescent="0.3">
      <c r="A214" t="s">
        <v>2683</v>
      </c>
      <c r="B214" t="s">
        <v>587</v>
      </c>
      <c r="C214">
        <v>-2.5</v>
      </c>
      <c r="D214" t="s">
        <v>588</v>
      </c>
      <c r="E214" t="s">
        <v>589</v>
      </c>
      <c r="F214">
        <v>-5</v>
      </c>
      <c r="G214" t="s">
        <v>599</v>
      </c>
      <c r="H214" t="s">
        <v>2550</v>
      </c>
      <c r="I214" t="str">
        <f t="shared" si="3"/>
        <v xml:space="preserve">bbands_no_highvol_{'P' [('number'-2.5 1) ('number'-5 -1)]}_[21 49]_1 </v>
      </c>
      <c r="J214" t="s">
        <v>2540</v>
      </c>
      <c r="K214">
        <v>165</v>
      </c>
      <c r="L214" t="s">
        <v>5</v>
      </c>
      <c r="M214">
        <v>53</v>
      </c>
      <c r="N214" t="s">
        <v>6</v>
      </c>
      <c r="O214">
        <v>-3.8899999999999602</v>
      </c>
      <c r="P214" t="s">
        <v>7</v>
      </c>
      <c r="Q214">
        <v>-2.3575757575757299E-2</v>
      </c>
      <c r="R214" t="s">
        <v>8</v>
      </c>
      <c r="S214">
        <v>1.03339622641509</v>
      </c>
      <c r="T214" t="s">
        <v>9</v>
      </c>
      <c r="U214">
        <v>-0.52375000000000005</v>
      </c>
      <c r="V214" t="s">
        <v>10</v>
      </c>
      <c r="W214">
        <v>0.17339396298229801</v>
      </c>
      <c r="X214" t="s">
        <v>11</v>
      </c>
      <c r="Y214" t="s">
        <v>219</v>
      </c>
      <c r="Z214" t="s">
        <v>2988</v>
      </c>
      <c r="AA214">
        <v>0</v>
      </c>
      <c r="AB214" t="s">
        <v>14</v>
      </c>
      <c r="AC214" t="s">
        <v>15</v>
      </c>
      <c r="AD214" t="s">
        <v>2987</v>
      </c>
      <c r="AE214" t="s">
        <v>2418</v>
      </c>
      <c r="AF214">
        <v>0</v>
      </c>
      <c r="AG214" t="s">
        <v>18</v>
      </c>
    </row>
    <row r="215" spans="1:33" x14ac:dyDescent="0.3">
      <c r="A215" t="s">
        <v>2811</v>
      </c>
      <c r="B215" t="s">
        <v>587</v>
      </c>
      <c r="C215">
        <v>-5</v>
      </c>
      <c r="D215" t="s">
        <v>588</v>
      </c>
      <c r="E215" t="s">
        <v>589</v>
      </c>
      <c r="F215">
        <v>-7.5</v>
      </c>
      <c r="G215" t="s">
        <v>590</v>
      </c>
      <c r="H215" t="s">
        <v>2543</v>
      </c>
      <c r="I215" t="str">
        <f t="shared" si="3"/>
        <v xml:space="preserve">stoch_{'P' [('number'-5 1) ('number'-7.5 -1)]}_[7 35]_2 </v>
      </c>
      <c r="J215" t="s">
        <v>2540</v>
      </c>
      <c r="K215">
        <v>375</v>
      </c>
      <c r="L215" t="s">
        <v>5</v>
      </c>
      <c r="M215">
        <v>79</v>
      </c>
      <c r="N215" t="s">
        <v>6</v>
      </c>
      <c r="O215">
        <v>-3.9900000000001201</v>
      </c>
      <c r="P215" t="s">
        <v>7</v>
      </c>
      <c r="Q215">
        <v>-1.06400000000003E-2</v>
      </c>
      <c r="R215" t="s">
        <v>8</v>
      </c>
      <c r="S215">
        <v>1.4386075949367001</v>
      </c>
      <c r="T215" t="s">
        <v>9</v>
      </c>
      <c r="U215">
        <v>-0.39743243243243198</v>
      </c>
      <c r="V215" t="s">
        <v>10</v>
      </c>
      <c r="W215">
        <v>0.39222142416022798</v>
      </c>
      <c r="X215" t="s">
        <v>11</v>
      </c>
      <c r="Y215" t="s">
        <v>2906</v>
      </c>
      <c r="Z215" t="s">
        <v>2947</v>
      </c>
    </row>
    <row r="216" spans="1:33" x14ac:dyDescent="0.3">
      <c r="A216" t="s">
        <v>2623</v>
      </c>
      <c r="B216" t="s">
        <v>587</v>
      </c>
      <c r="C216">
        <v>-7.5</v>
      </c>
      <c r="D216" t="s">
        <v>588</v>
      </c>
      <c r="E216" t="s">
        <v>589</v>
      </c>
      <c r="F216">
        <v>-10</v>
      </c>
      <c r="G216" t="s">
        <v>590</v>
      </c>
      <c r="H216" t="s">
        <v>2909</v>
      </c>
      <c r="I216" t="str">
        <f t="shared" si="3"/>
        <v xml:space="preserve">bbands_{'P' [('number'-7.5 1) ('number'-10 -1)]}_[7 35]_3 </v>
      </c>
      <c r="J216" t="s">
        <v>2540</v>
      </c>
      <c r="K216">
        <v>169</v>
      </c>
      <c r="L216" t="s">
        <v>5</v>
      </c>
      <c r="M216">
        <v>16</v>
      </c>
      <c r="N216" t="s">
        <v>6</v>
      </c>
      <c r="O216">
        <v>-4.2400000000000304</v>
      </c>
      <c r="P216" t="s">
        <v>7</v>
      </c>
      <c r="Q216">
        <v>-2.50887573964499E-2</v>
      </c>
      <c r="R216" t="s">
        <v>8</v>
      </c>
      <c r="S216">
        <v>2.1837499999999901</v>
      </c>
      <c r="T216" t="s">
        <v>9</v>
      </c>
      <c r="U216">
        <v>-0.25607843137254899</v>
      </c>
      <c r="V216" t="s">
        <v>10</v>
      </c>
      <c r="W216">
        <v>0.216823732439546</v>
      </c>
      <c r="X216" t="s">
        <v>11</v>
      </c>
      <c r="Y216" t="s">
        <v>219</v>
      </c>
      <c r="Z216" t="s">
        <v>2988</v>
      </c>
      <c r="AA216">
        <v>0</v>
      </c>
      <c r="AB216" t="s">
        <v>14</v>
      </c>
      <c r="AC216" t="s">
        <v>15</v>
      </c>
      <c r="AD216" t="s">
        <v>757</v>
      </c>
      <c r="AE216" t="s">
        <v>2988</v>
      </c>
      <c r="AF216">
        <v>0</v>
      </c>
      <c r="AG216" t="s">
        <v>18</v>
      </c>
    </row>
    <row r="217" spans="1:33" x14ac:dyDescent="0.3">
      <c r="A217" t="s">
        <v>2777</v>
      </c>
      <c r="B217" t="s">
        <v>587</v>
      </c>
      <c r="C217">
        <v>-2.5</v>
      </c>
      <c r="D217" t="s">
        <v>588</v>
      </c>
      <c r="E217" t="s">
        <v>589</v>
      </c>
      <c r="F217">
        <v>-5</v>
      </c>
      <c r="G217" t="s">
        <v>590</v>
      </c>
      <c r="H217" t="s">
        <v>2539</v>
      </c>
      <c r="I217" t="str">
        <f t="shared" si="3"/>
        <v xml:space="preserve">rsi_{'P' [('number'-2.5 1) ('number'-5 -1)]}_[7 35]_1 </v>
      </c>
      <c r="J217" t="s">
        <v>2540</v>
      </c>
      <c r="K217">
        <v>136</v>
      </c>
      <c r="L217" t="s">
        <v>5</v>
      </c>
      <c r="M217">
        <v>44</v>
      </c>
      <c r="N217" t="s">
        <v>6</v>
      </c>
      <c r="O217">
        <v>-4.27000000000002</v>
      </c>
      <c r="P217" t="s">
        <v>7</v>
      </c>
      <c r="Q217">
        <v>-3.13970588235295E-2</v>
      </c>
      <c r="R217" t="s">
        <v>8</v>
      </c>
      <c r="S217">
        <v>0.91249999999999998</v>
      </c>
      <c r="T217" t="s">
        <v>9</v>
      </c>
      <c r="U217">
        <v>-0.48282608695652102</v>
      </c>
      <c r="V217" t="s">
        <v>10</v>
      </c>
      <c r="W217">
        <v>0.13657370996611001</v>
      </c>
      <c r="X217" t="s">
        <v>11</v>
      </c>
      <c r="Y217" t="s">
        <v>743</v>
      </c>
      <c r="Z217" t="s">
        <v>2258</v>
      </c>
      <c r="AA217">
        <v>0</v>
      </c>
      <c r="AB217" t="s">
        <v>14</v>
      </c>
      <c r="AC217" t="s">
        <v>15</v>
      </c>
      <c r="AD217" t="s">
        <v>3102</v>
      </c>
      <c r="AE217" t="s">
        <v>3101</v>
      </c>
      <c r="AF217">
        <v>0</v>
      </c>
      <c r="AG217" t="s">
        <v>18</v>
      </c>
    </row>
    <row r="218" spans="1:33" x14ac:dyDescent="0.3">
      <c r="A218" t="s">
        <v>2811</v>
      </c>
      <c r="B218" t="s">
        <v>587</v>
      </c>
      <c r="C218">
        <v>-7.5</v>
      </c>
      <c r="D218" t="s">
        <v>588</v>
      </c>
      <c r="E218" t="s">
        <v>589</v>
      </c>
      <c r="F218">
        <v>-10</v>
      </c>
      <c r="G218" t="s">
        <v>1998</v>
      </c>
      <c r="H218" t="s">
        <v>2918</v>
      </c>
      <c r="I218" t="str">
        <f t="shared" si="3"/>
        <v xml:space="preserve">stoch_{'P' [('number'-7.5 1) ('number'-10 -1)]}_[42 70]_0.5 </v>
      </c>
      <c r="J218" t="s">
        <v>2540</v>
      </c>
      <c r="K218">
        <v>370</v>
      </c>
      <c r="L218" t="s">
        <v>5</v>
      </c>
      <c r="M218">
        <v>170</v>
      </c>
      <c r="N218" t="s">
        <v>6</v>
      </c>
      <c r="O218">
        <v>-4.3618975931906698</v>
      </c>
      <c r="P218" t="s">
        <v>7</v>
      </c>
      <c r="Q218">
        <v>-1.1788912414028799E-2</v>
      </c>
      <c r="R218" t="s">
        <v>8</v>
      </c>
      <c r="S218">
        <v>0.53064329332810301</v>
      </c>
      <c r="T218" t="s">
        <v>9</v>
      </c>
      <c r="U218">
        <v>-0.47285628729484103</v>
      </c>
      <c r="V218" t="s">
        <v>10</v>
      </c>
      <c r="W218">
        <v>0.242415299216133</v>
      </c>
      <c r="X218" t="s">
        <v>11</v>
      </c>
      <c r="Y218" t="s">
        <v>3166</v>
      </c>
      <c r="Z218" t="s">
        <v>2198</v>
      </c>
      <c r="AA218">
        <v>0</v>
      </c>
      <c r="AB218" t="s">
        <v>14</v>
      </c>
      <c r="AC218" t="s">
        <v>15</v>
      </c>
      <c r="AD218" t="s">
        <v>3011</v>
      </c>
      <c r="AE218" t="s">
        <v>595</v>
      </c>
      <c r="AF218">
        <v>0</v>
      </c>
      <c r="AG218" t="s">
        <v>18</v>
      </c>
    </row>
    <row r="219" spans="1:33" x14ac:dyDescent="0.3">
      <c r="A219" t="s">
        <v>2683</v>
      </c>
      <c r="B219" t="s">
        <v>587</v>
      </c>
      <c r="C219">
        <v>-2.5</v>
      </c>
      <c r="D219" t="s">
        <v>588</v>
      </c>
      <c r="E219" t="s">
        <v>589</v>
      </c>
      <c r="F219">
        <v>-5</v>
      </c>
      <c r="G219" t="s">
        <v>1998</v>
      </c>
      <c r="H219" t="s">
        <v>2559</v>
      </c>
      <c r="I219" t="str">
        <f t="shared" si="3"/>
        <v xml:space="preserve">bbands_no_highvol_{'P' [('number'-2.5 1) ('number'-5 -1)]}_[42 70]_1 </v>
      </c>
      <c r="J219" t="s">
        <v>2540</v>
      </c>
      <c r="K219">
        <v>157</v>
      </c>
      <c r="L219" t="s">
        <v>5</v>
      </c>
      <c r="M219">
        <v>52</v>
      </c>
      <c r="N219" t="s">
        <v>6</v>
      </c>
      <c r="O219">
        <v>-4.5459760833781599</v>
      </c>
      <c r="P219" t="s">
        <v>7</v>
      </c>
      <c r="Q219">
        <v>-2.8955261677567901E-2</v>
      </c>
      <c r="R219" t="s">
        <v>8</v>
      </c>
      <c r="S219">
        <v>1.06709258909277</v>
      </c>
      <c r="T219" t="s">
        <v>9</v>
      </c>
      <c r="U219">
        <v>-0.57175991158287998</v>
      </c>
      <c r="V219" t="s">
        <v>10</v>
      </c>
      <c r="W219">
        <v>0.18489084540915399</v>
      </c>
      <c r="X219" t="s">
        <v>11</v>
      </c>
      <c r="Y219" t="s">
        <v>3018</v>
      </c>
      <c r="Z219" t="s">
        <v>3019</v>
      </c>
    </row>
    <row r="220" spans="1:33" x14ac:dyDescent="0.3">
      <c r="A220" t="s">
        <v>2683</v>
      </c>
      <c r="B220" t="s">
        <v>587</v>
      </c>
      <c r="C220">
        <v>-5</v>
      </c>
      <c r="D220" t="s">
        <v>588</v>
      </c>
      <c r="E220" t="s">
        <v>589</v>
      </c>
      <c r="F220">
        <v>-7.5</v>
      </c>
      <c r="G220" t="s">
        <v>1998</v>
      </c>
      <c r="H220" t="s">
        <v>2562</v>
      </c>
      <c r="I220" t="str">
        <f t="shared" si="3"/>
        <v xml:space="preserve">bbands_no_highvol_{'P' [('number'-5 1) ('number'-7.5 -1)]}_[42 70]_2 </v>
      </c>
      <c r="J220" t="s">
        <v>2540</v>
      </c>
      <c r="K220">
        <v>157</v>
      </c>
      <c r="L220" t="s">
        <v>5</v>
      </c>
      <c r="M220">
        <v>38</v>
      </c>
      <c r="N220" t="s">
        <v>6</v>
      </c>
      <c r="O220">
        <v>-4.5965904040755303</v>
      </c>
      <c r="P220" t="s">
        <v>7</v>
      </c>
      <c r="Q220">
        <v>-2.9277645885831399E-2</v>
      </c>
      <c r="R220" t="s">
        <v>8</v>
      </c>
      <c r="S220">
        <v>1.5546797981576199</v>
      </c>
      <c r="T220" t="s">
        <v>9</v>
      </c>
      <c r="U220">
        <v>-0.53507918263920395</v>
      </c>
      <c r="V220" t="s">
        <v>10</v>
      </c>
      <c r="W220">
        <v>0.21197297564984299</v>
      </c>
      <c r="X220" t="s">
        <v>11</v>
      </c>
      <c r="Y220" t="s">
        <v>3034</v>
      </c>
      <c r="Z220" t="s">
        <v>3035</v>
      </c>
      <c r="AA220">
        <v>0</v>
      </c>
      <c r="AB220" t="s">
        <v>14</v>
      </c>
      <c r="AC220" t="s">
        <v>15</v>
      </c>
      <c r="AD220" t="s">
        <v>3033</v>
      </c>
      <c r="AE220" t="s">
        <v>3023</v>
      </c>
      <c r="AF220">
        <v>0</v>
      </c>
      <c r="AG220" t="s">
        <v>18</v>
      </c>
    </row>
    <row r="221" spans="1:33" x14ac:dyDescent="0.3">
      <c r="A221" t="s">
        <v>2728</v>
      </c>
      <c r="B221" t="s">
        <v>587</v>
      </c>
      <c r="C221">
        <v>-7.5</v>
      </c>
      <c r="D221" t="s">
        <v>588</v>
      </c>
      <c r="E221" t="s">
        <v>589</v>
      </c>
      <c r="F221">
        <v>-10</v>
      </c>
      <c r="G221" t="s">
        <v>590</v>
      </c>
      <c r="H221" t="s">
        <v>2543</v>
      </c>
      <c r="I221" t="str">
        <f t="shared" si="3"/>
        <v xml:space="preserve">psar_{'P' [('number'-7.5 1) ('number'-10 -1)]}_[7 35]_2 </v>
      </c>
      <c r="J221" t="s">
        <v>2540</v>
      </c>
      <c r="K221">
        <v>135</v>
      </c>
      <c r="L221" t="s">
        <v>5</v>
      </c>
      <c r="M221">
        <v>25</v>
      </c>
      <c r="N221" t="s">
        <v>6</v>
      </c>
      <c r="O221">
        <v>-4.95</v>
      </c>
      <c r="P221" t="s">
        <v>7</v>
      </c>
      <c r="Q221">
        <v>-3.6666666666666597E-2</v>
      </c>
      <c r="R221" t="s">
        <v>8</v>
      </c>
      <c r="S221">
        <v>0.96760000000000002</v>
      </c>
      <c r="T221" t="s">
        <v>9</v>
      </c>
      <c r="U221">
        <v>-0.26490909090908998</v>
      </c>
      <c r="V221" t="s">
        <v>10</v>
      </c>
      <c r="W221">
        <v>0.123904356970677</v>
      </c>
      <c r="X221" t="s">
        <v>11</v>
      </c>
      <c r="Y221" t="s">
        <v>2805</v>
      </c>
      <c r="Z221" t="s">
        <v>2587</v>
      </c>
      <c r="AA221">
        <v>0</v>
      </c>
      <c r="AB221" t="s">
        <v>14</v>
      </c>
      <c r="AC221" t="s">
        <v>15</v>
      </c>
      <c r="AD221" t="s">
        <v>2805</v>
      </c>
      <c r="AE221" t="s">
        <v>2587</v>
      </c>
      <c r="AF221">
        <v>0</v>
      </c>
      <c r="AG221" t="s">
        <v>18</v>
      </c>
    </row>
    <row r="222" spans="1:33" x14ac:dyDescent="0.3">
      <c r="A222" t="s">
        <v>2858</v>
      </c>
      <c r="B222" t="s">
        <v>587</v>
      </c>
      <c r="C222">
        <v>-7.5</v>
      </c>
      <c r="D222" t="s">
        <v>588</v>
      </c>
      <c r="E222" t="s">
        <v>589</v>
      </c>
      <c r="F222">
        <v>-10</v>
      </c>
      <c r="G222" t="s">
        <v>590</v>
      </c>
      <c r="H222" t="s">
        <v>2902</v>
      </c>
      <c r="I222" t="str">
        <f t="shared" si="3"/>
        <v xml:space="preserve">stoch_no_highvol_{'P' [('number'-7.5 1) ('number'-10 -1)]}_[7 35]_0.5 </v>
      </c>
      <c r="J222" t="s">
        <v>2540</v>
      </c>
      <c r="K222">
        <v>334</v>
      </c>
      <c r="L222" t="s">
        <v>5</v>
      </c>
      <c r="M222">
        <v>118</v>
      </c>
      <c r="N222" t="s">
        <v>6</v>
      </c>
      <c r="O222">
        <v>-5.1499999999999897</v>
      </c>
      <c r="P222" t="s">
        <v>7</v>
      </c>
      <c r="Q222">
        <v>-1.5419161676646699E-2</v>
      </c>
      <c r="R222" t="s">
        <v>8</v>
      </c>
      <c r="S222">
        <v>0.38567796610169403</v>
      </c>
      <c r="T222" t="s">
        <v>9</v>
      </c>
      <c r="U222">
        <v>-0.23453703703703699</v>
      </c>
      <c r="V222" t="s">
        <v>10</v>
      </c>
      <c r="W222">
        <v>0.16291652735217199</v>
      </c>
      <c r="X222" t="s">
        <v>11</v>
      </c>
      <c r="Y222" t="s">
        <v>3100</v>
      </c>
      <c r="Z222" t="s">
        <v>3156</v>
      </c>
      <c r="AA222">
        <v>0</v>
      </c>
      <c r="AB222" t="s">
        <v>14</v>
      </c>
      <c r="AC222" t="s">
        <v>15</v>
      </c>
      <c r="AD222" t="s">
        <v>3185</v>
      </c>
      <c r="AE222" t="s">
        <v>2418</v>
      </c>
      <c r="AF222">
        <v>0</v>
      </c>
      <c r="AG222" t="s">
        <v>18</v>
      </c>
    </row>
    <row r="223" spans="1:33" x14ac:dyDescent="0.3">
      <c r="A223" t="s">
        <v>2777</v>
      </c>
      <c r="B223" t="s">
        <v>587</v>
      </c>
      <c r="C223">
        <v>-7.5</v>
      </c>
      <c r="D223" t="s">
        <v>588</v>
      </c>
      <c r="E223" t="s">
        <v>589</v>
      </c>
      <c r="F223">
        <v>-10</v>
      </c>
      <c r="G223" t="s">
        <v>1998</v>
      </c>
      <c r="H223" t="s">
        <v>2926</v>
      </c>
      <c r="I223" t="str">
        <f t="shared" si="3"/>
        <v xml:space="preserve">rsi_{'P' [('number'-7.5 1) ('number'-10 -1)]}_[42 70]_3 </v>
      </c>
      <c r="J223" t="s">
        <v>2540</v>
      </c>
      <c r="K223">
        <v>127</v>
      </c>
      <c r="L223" t="s">
        <v>5</v>
      </c>
      <c r="M223">
        <v>22</v>
      </c>
      <c r="N223" t="s">
        <v>6</v>
      </c>
      <c r="O223">
        <v>-5.4248386915849096</v>
      </c>
      <c r="P223" t="s">
        <v>7</v>
      </c>
      <c r="Q223">
        <v>-4.2715265288070098E-2</v>
      </c>
      <c r="R223" t="s">
        <v>8</v>
      </c>
      <c r="S223">
        <v>1.89772727272727</v>
      </c>
      <c r="T223" t="s">
        <v>9</v>
      </c>
      <c r="U223">
        <v>-0.44928417801509402</v>
      </c>
      <c r="V223" t="s">
        <v>10</v>
      </c>
      <c r="W223">
        <v>0.206276206921782</v>
      </c>
      <c r="X223" t="s">
        <v>11</v>
      </c>
      <c r="Y223" t="s">
        <v>3144</v>
      </c>
      <c r="Z223" t="s">
        <v>2071</v>
      </c>
      <c r="AA223">
        <v>0</v>
      </c>
      <c r="AB223" t="s">
        <v>14</v>
      </c>
      <c r="AC223" t="s">
        <v>15</v>
      </c>
      <c r="AD223" t="s">
        <v>3145</v>
      </c>
      <c r="AE223" t="s">
        <v>2695</v>
      </c>
      <c r="AF223">
        <v>0</v>
      </c>
      <c r="AG223" t="s">
        <v>18</v>
      </c>
    </row>
    <row r="224" spans="1:33" x14ac:dyDescent="0.3">
      <c r="A224" t="s">
        <v>2811</v>
      </c>
      <c r="B224" t="s">
        <v>587</v>
      </c>
      <c r="C224">
        <v>-7.5</v>
      </c>
      <c r="D224" t="s">
        <v>588</v>
      </c>
      <c r="E224" t="s">
        <v>589</v>
      </c>
      <c r="F224">
        <v>-10</v>
      </c>
      <c r="G224" t="s">
        <v>590</v>
      </c>
      <c r="H224" t="s">
        <v>2902</v>
      </c>
      <c r="I224" t="str">
        <f t="shared" si="3"/>
        <v xml:space="preserve">stoch_{'P' [('number'-7.5 1) ('number'-10 -1)]}_[7 35]_0.5 </v>
      </c>
      <c r="J224" t="s">
        <v>2540</v>
      </c>
      <c r="K224">
        <v>375</v>
      </c>
      <c r="L224" t="s">
        <v>5</v>
      </c>
      <c r="M224">
        <v>136</v>
      </c>
      <c r="N224" t="s">
        <v>6</v>
      </c>
      <c r="O224">
        <v>-5.6414508278174598</v>
      </c>
      <c r="P224" t="s">
        <v>7</v>
      </c>
      <c r="Q224">
        <v>-1.5043868874179901E-2</v>
      </c>
      <c r="R224" t="s">
        <v>8</v>
      </c>
      <c r="S224">
        <v>0.41683823529411701</v>
      </c>
      <c r="T224" t="s">
        <v>9</v>
      </c>
      <c r="U224">
        <v>-0.26080104948877503</v>
      </c>
      <c r="V224" t="s">
        <v>10</v>
      </c>
      <c r="W224">
        <v>0.201988282844272</v>
      </c>
      <c r="X224" t="s">
        <v>11</v>
      </c>
      <c r="Y224" t="s">
        <v>2962</v>
      </c>
      <c r="Z224" t="s">
        <v>2963</v>
      </c>
      <c r="AA224">
        <v>0</v>
      </c>
      <c r="AB224" t="s">
        <v>14</v>
      </c>
      <c r="AC224" t="s">
        <v>15</v>
      </c>
      <c r="AD224" t="s">
        <v>2962</v>
      </c>
      <c r="AE224" t="s">
        <v>2963</v>
      </c>
      <c r="AF224">
        <v>0</v>
      </c>
      <c r="AG224" t="s">
        <v>18</v>
      </c>
    </row>
    <row r="225" spans="1:33" x14ac:dyDescent="0.3">
      <c r="A225" t="s">
        <v>2538</v>
      </c>
      <c r="B225" t="s">
        <v>587</v>
      </c>
      <c r="C225">
        <v>-5</v>
      </c>
      <c r="D225" t="s">
        <v>588</v>
      </c>
      <c r="E225" t="s">
        <v>589</v>
      </c>
      <c r="F225">
        <v>-7.5</v>
      </c>
      <c r="G225" t="s">
        <v>1998</v>
      </c>
      <c r="H225" t="s">
        <v>2559</v>
      </c>
      <c r="I225" t="str">
        <f t="shared" si="3"/>
        <v xml:space="preserve">alltime_{'P' [('number'-5 1) ('number'-7.5 -1)]}_[42 70]_1 </v>
      </c>
      <c r="J225" t="s">
        <v>2540</v>
      </c>
      <c r="K225">
        <v>3062</v>
      </c>
      <c r="L225" t="s">
        <v>5</v>
      </c>
      <c r="M225">
        <v>1059</v>
      </c>
      <c r="N225" t="s">
        <v>6</v>
      </c>
      <c r="O225">
        <v>-5.6551309438081097</v>
      </c>
      <c r="P225" t="s">
        <v>7</v>
      </c>
      <c r="Q225">
        <v>-1.84687490000265E-3</v>
      </c>
      <c r="R225" t="s">
        <v>8</v>
      </c>
      <c r="S225">
        <v>0.98090321107164802</v>
      </c>
      <c r="T225" t="s">
        <v>9</v>
      </c>
      <c r="U225">
        <v>-0.52143366523648604</v>
      </c>
      <c r="V225" t="s">
        <v>10</v>
      </c>
      <c r="W225">
        <v>1.4195295028867601</v>
      </c>
      <c r="X225" t="s">
        <v>11</v>
      </c>
      <c r="Y225" t="s">
        <v>2957</v>
      </c>
      <c r="Z225" t="s">
        <v>851</v>
      </c>
      <c r="AA225">
        <v>0</v>
      </c>
      <c r="AB225" t="s">
        <v>14</v>
      </c>
      <c r="AC225" t="s">
        <v>15</v>
      </c>
      <c r="AD225" t="s">
        <v>2958</v>
      </c>
      <c r="AE225" t="s">
        <v>2922</v>
      </c>
      <c r="AF225">
        <v>0</v>
      </c>
      <c r="AG225" t="s">
        <v>18</v>
      </c>
    </row>
    <row r="226" spans="1:33" x14ac:dyDescent="0.3">
      <c r="A226" t="s">
        <v>2811</v>
      </c>
      <c r="B226" t="s">
        <v>587</v>
      </c>
      <c r="C226">
        <v>-7.5</v>
      </c>
      <c r="D226" t="s">
        <v>588</v>
      </c>
      <c r="E226" t="s">
        <v>589</v>
      </c>
      <c r="F226">
        <v>-10</v>
      </c>
      <c r="G226" t="s">
        <v>1998</v>
      </c>
      <c r="H226" t="s">
        <v>2562</v>
      </c>
      <c r="I226" t="str">
        <f t="shared" si="3"/>
        <v xml:space="preserve">stoch_{'P' [('number'-7.5 1) ('number'-10 -1)]}_[42 70]_2 </v>
      </c>
      <c r="J226" t="s">
        <v>2540</v>
      </c>
      <c r="K226">
        <v>370</v>
      </c>
      <c r="L226" t="s">
        <v>5</v>
      </c>
      <c r="M226">
        <v>79</v>
      </c>
      <c r="N226" t="s">
        <v>6</v>
      </c>
      <c r="O226">
        <v>-5.9791258370620701</v>
      </c>
      <c r="P226" t="s">
        <v>7</v>
      </c>
      <c r="Q226">
        <v>-1.6159799559627201E-2</v>
      </c>
      <c r="R226" t="s">
        <v>8</v>
      </c>
      <c r="S226">
        <v>1.58942736489634</v>
      </c>
      <c r="T226" t="s">
        <v>9</v>
      </c>
      <c r="U226">
        <v>-0.45204085107860298</v>
      </c>
      <c r="V226" t="s">
        <v>10</v>
      </c>
      <c r="W226">
        <v>0.42208976958363498</v>
      </c>
      <c r="X226" t="s">
        <v>11</v>
      </c>
      <c r="Y226" t="s">
        <v>2913</v>
      </c>
      <c r="Z226" t="s">
        <v>2914</v>
      </c>
      <c r="AA226">
        <v>0</v>
      </c>
      <c r="AB226" t="s">
        <v>14</v>
      </c>
      <c r="AC226" t="s">
        <v>15</v>
      </c>
      <c r="AD226" t="s">
        <v>3167</v>
      </c>
      <c r="AE226" t="s">
        <v>2914</v>
      </c>
      <c r="AF226">
        <v>0</v>
      </c>
      <c r="AG226" t="s">
        <v>18</v>
      </c>
    </row>
    <row r="227" spans="1:33" x14ac:dyDescent="0.3">
      <c r="A227" t="s">
        <v>2623</v>
      </c>
      <c r="B227" t="s">
        <v>587</v>
      </c>
      <c r="C227">
        <v>0</v>
      </c>
      <c r="D227" t="s">
        <v>588</v>
      </c>
      <c r="E227" t="s">
        <v>589</v>
      </c>
      <c r="F227">
        <v>-2.5</v>
      </c>
      <c r="G227" t="s">
        <v>590</v>
      </c>
      <c r="H227" t="s">
        <v>2543</v>
      </c>
      <c r="I227" t="str">
        <f t="shared" si="3"/>
        <v xml:space="preserve">bbands_{'P' [('number'0 1) ('number'-2.5 -1)]}_[7 35]_2 </v>
      </c>
      <c r="J227" t="s">
        <v>2540</v>
      </c>
      <c r="K227">
        <v>169</v>
      </c>
      <c r="L227" t="s">
        <v>5</v>
      </c>
      <c r="M227">
        <v>51</v>
      </c>
      <c r="N227" t="s">
        <v>6</v>
      </c>
      <c r="O227">
        <v>-6.0300000000000704</v>
      </c>
      <c r="P227" t="s">
        <v>7</v>
      </c>
      <c r="Q227">
        <v>-3.5680473372781497E-2</v>
      </c>
      <c r="R227" t="s">
        <v>8</v>
      </c>
      <c r="S227">
        <v>1.35666666666666</v>
      </c>
      <c r="T227" t="s">
        <v>9</v>
      </c>
      <c r="U227">
        <v>-0.63745762711864495</v>
      </c>
      <c r="V227" t="s">
        <v>10</v>
      </c>
      <c r="W227">
        <v>0.23308188656165099</v>
      </c>
      <c r="X227" t="s">
        <v>11</v>
      </c>
      <c r="Y227" t="s">
        <v>2980</v>
      </c>
      <c r="Z227" t="s">
        <v>2046</v>
      </c>
      <c r="AA227">
        <v>0</v>
      </c>
      <c r="AB227" t="s">
        <v>14</v>
      </c>
      <c r="AC227" t="s">
        <v>15</v>
      </c>
      <c r="AD227" t="s">
        <v>2979</v>
      </c>
      <c r="AE227" t="s">
        <v>1431</v>
      </c>
      <c r="AF227">
        <v>0</v>
      </c>
      <c r="AG227" t="s">
        <v>18</v>
      </c>
    </row>
    <row r="228" spans="1:33" x14ac:dyDescent="0.3">
      <c r="A228" t="s">
        <v>2623</v>
      </c>
      <c r="B228" t="s">
        <v>587</v>
      </c>
      <c r="C228">
        <v>-7.5</v>
      </c>
      <c r="D228" t="s">
        <v>588</v>
      </c>
      <c r="E228" t="s">
        <v>589</v>
      </c>
      <c r="F228">
        <v>-10</v>
      </c>
      <c r="G228" t="s">
        <v>599</v>
      </c>
      <c r="H228" t="s">
        <v>2916</v>
      </c>
      <c r="I228" t="str">
        <f t="shared" si="3"/>
        <v xml:space="preserve">bbands_{'P' [('number'-7.5 1) ('number'-10 -1)]}_[21 49]_3 </v>
      </c>
      <c r="J228" t="s">
        <v>2540</v>
      </c>
      <c r="K228">
        <v>178</v>
      </c>
      <c r="L228" t="s">
        <v>5</v>
      </c>
      <c r="M228">
        <v>21</v>
      </c>
      <c r="N228" t="s">
        <v>6</v>
      </c>
      <c r="O228">
        <v>-6.1100000000000403</v>
      </c>
      <c r="P228" t="s">
        <v>7</v>
      </c>
      <c r="Q228">
        <v>-3.4325842696629402E-2</v>
      </c>
      <c r="R228" t="s">
        <v>8</v>
      </c>
      <c r="S228">
        <v>2.2619047619047601</v>
      </c>
      <c r="T228" t="s">
        <v>9</v>
      </c>
      <c r="U228">
        <v>-0.34146496815286598</v>
      </c>
      <c r="V228" t="s">
        <v>10</v>
      </c>
      <c r="W228">
        <v>0.25739824106015402</v>
      </c>
      <c r="X228" t="s">
        <v>11</v>
      </c>
      <c r="Y228" t="s">
        <v>2938</v>
      </c>
      <c r="Z228" t="s">
        <v>660</v>
      </c>
      <c r="AA228">
        <v>0</v>
      </c>
      <c r="AB228" t="s">
        <v>14</v>
      </c>
      <c r="AC228" t="s">
        <v>15</v>
      </c>
      <c r="AD228" t="s">
        <v>3010</v>
      </c>
      <c r="AE228" t="s">
        <v>660</v>
      </c>
      <c r="AF228">
        <v>0</v>
      </c>
      <c r="AG228" t="s">
        <v>18</v>
      </c>
    </row>
    <row r="229" spans="1:33" x14ac:dyDescent="0.3">
      <c r="A229" t="s">
        <v>2752</v>
      </c>
      <c r="B229" t="s">
        <v>587</v>
      </c>
      <c r="C229">
        <v>0</v>
      </c>
      <c r="D229" t="s">
        <v>588</v>
      </c>
      <c r="E229" t="s">
        <v>589</v>
      </c>
      <c r="F229">
        <v>-2.5</v>
      </c>
      <c r="G229" t="s">
        <v>1998</v>
      </c>
      <c r="H229" t="s">
        <v>2559</v>
      </c>
      <c r="I229" t="str">
        <f t="shared" si="3"/>
        <v xml:space="preserve">psar_no_highvol_{'P' [('number'0 1) ('number'-2.5 -1)]}_[42 70]_1 </v>
      </c>
      <c r="J229" t="s">
        <v>2540</v>
      </c>
      <c r="K229">
        <v>130</v>
      </c>
      <c r="L229" t="s">
        <v>5</v>
      </c>
      <c r="M229">
        <v>45</v>
      </c>
      <c r="N229" t="s">
        <v>6</v>
      </c>
      <c r="O229">
        <v>-6.12302267211287</v>
      </c>
      <c r="P229" t="s">
        <v>7</v>
      </c>
      <c r="Q229">
        <v>-4.7100174400868201E-2</v>
      </c>
      <c r="R229" t="s">
        <v>8</v>
      </c>
      <c r="S229">
        <v>1.2847897615914601</v>
      </c>
      <c r="T229" t="s">
        <v>9</v>
      </c>
      <c r="U229">
        <v>-0.75221837580857598</v>
      </c>
      <c r="V229" t="s">
        <v>10</v>
      </c>
      <c r="W229">
        <v>0.213357445754109</v>
      </c>
      <c r="X229" t="s">
        <v>11</v>
      </c>
      <c r="Y229" t="s">
        <v>2954</v>
      </c>
      <c r="Z229" t="s">
        <v>2922</v>
      </c>
      <c r="AA229">
        <v>0</v>
      </c>
      <c r="AB229" t="s">
        <v>14</v>
      </c>
      <c r="AC229" t="s">
        <v>15</v>
      </c>
      <c r="AD229" t="s">
        <v>2954</v>
      </c>
      <c r="AE229" t="s">
        <v>2922</v>
      </c>
      <c r="AF229">
        <v>0</v>
      </c>
      <c r="AG229" t="s">
        <v>18</v>
      </c>
    </row>
    <row r="230" spans="1:33" x14ac:dyDescent="0.3">
      <c r="A230" t="s">
        <v>2777</v>
      </c>
      <c r="B230" t="s">
        <v>587</v>
      </c>
      <c r="C230">
        <v>-7.5</v>
      </c>
      <c r="D230" t="s">
        <v>588</v>
      </c>
      <c r="E230" t="s">
        <v>589</v>
      </c>
      <c r="F230">
        <v>-10</v>
      </c>
      <c r="G230" t="s">
        <v>590</v>
      </c>
      <c r="H230" t="s">
        <v>2902</v>
      </c>
      <c r="I230" t="str">
        <f t="shared" si="3"/>
        <v xml:space="preserve">rsi_{'P' [('number'-7.5 1) ('number'-10 -1)]}_[7 35]_0.5 </v>
      </c>
      <c r="J230" t="s">
        <v>2540</v>
      </c>
      <c r="K230">
        <v>136</v>
      </c>
      <c r="L230" t="s">
        <v>5</v>
      </c>
      <c r="M230">
        <v>46</v>
      </c>
      <c r="N230" t="s">
        <v>6</v>
      </c>
      <c r="O230">
        <v>-6.16</v>
      </c>
      <c r="P230" t="s">
        <v>7</v>
      </c>
      <c r="Q230">
        <v>-4.5294117647058797E-2</v>
      </c>
      <c r="R230" t="s">
        <v>8</v>
      </c>
      <c r="S230">
        <v>0.29999999999999899</v>
      </c>
      <c r="T230" t="s">
        <v>9</v>
      </c>
      <c r="U230">
        <v>-0.22177777777777699</v>
      </c>
      <c r="V230" t="s">
        <v>10</v>
      </c>
      <c r="W230">
        <v>5.2693732855941401E-2</v>
      </c>
      <c r="X230" t="s">
        <v>11</v>
      </c>
      <c r="Y230" t="s">
        <v>3130</v>
      </c>
      <c r="Z230" t="s">
        <v>2631</v>
      </c>
      <c r="AA230">
        <v>0</v>
      </c>
      <c r="AB230" t="s">
        <v>14</v>
      </c>
      <c r="AC230" t="s">
        <v>15</v>
      </c>
      <c r="AD230" t="s">
        <v>3131</v>
      </c>
      <c r="AE230" t="s">
        <v>3132</v>
      </c>
      <c r="AF230">
        <v>0</v>
      </c>
      <c r="AG230" t="s">
        <v>18</v>
      </c>
    </row>
    <row r="231" spans="1:33" x14ac:dyDescent="0.3">
      <c r="A231" t="s">
        <v>2623</v>
      </c>
      <c r="B231" t="s">
        <v>587</v>
      </c>
      <c r="C231">
        <v>-2.5</v>
      </c>
      <c r="D231" t="s">
        <v>588</v>
      </c>
      <c r="E231" t="s">
        <v>589</v>
      </c>
      <c r="F231">
        <v>-5</v>
      </c>
      <c r="G231" t="s">
        <v>1998</v>
      </c>
      <c r="H231" t="s">
        <v>2926</v>
      </c>
      <c r="I231" t="str">
        <f t="shared" si="3"/>
        <v xml:space="preserve">bbands_{'P' [('number'-2.5 1) ('number'-5 -1)]}_[42 70]_3 </v>
      </c>
      <c r="J231" t="s">
        <v>2540</v>
      </c>
      <c r="K231">
        <v>167</v>
      </c>
      <c r="L231" t="s">
        <v>5</v>
      </c>
      <c r="M231">
        <v>46</v>
      </c>
      <c r="N231" t="s">
        <v>6</v>
      </c>
      <c r="O231">
        <v>-6.2147289215168096</v>
      </c>
      <c r="P231" t="s">
        <v>7</v>
      </c>
      <c r="Q231">
        <v>-3.7213945637825201E-2</v>
      </c>
      <c r="R231" t="s">
        <v>8</v>
      </c>
      <c r="S231">
        <v>1.7992995918258401</v>
      </c>
      <c r="T231" t="s">
        <v>9</v>
      </c>
      <c r="U231">
        <v>-0.73539264583062303</v>
      </c>
      <c r="V231" t="s">
        <v>10</v>
      </c>
      <c r="W231">
        <v>0.35530927240689603</v>
      </c>
      <c r="X231" t="s">
        <v>11</v>
      </c>
      <c r="Y231" t="s">
        <v>2996</v>
      </c>
      <c r="Z231" t="s">
        <v>77</v>
      </c>
      <c r="AA231">
        <v>0</v>
      </c>
      <c r="AB231" t="s">
        <v>14</v>
      </c>
      <c r="AC231" t="s">
        <v>15</v>
      </c>
      <c r="AD231" t="s">
        <v>2997</v>
      </c>
      <c r="AE231" t="s">
        <v>77</v>
      </c>
      <c r="AF231">
        <v>0</v>
      </c>
      <c r="AG231" t="s">
        <v>18</v>
      </c>
    </row>
    <row r="232" spans="1:33" x14ac:dyDescent="0.3">
      <c r="A232" t="s">
        <v>2777</v>
      </c>
      <c r="B232" t="s">
        <v>587</v>
      </c>
      <c r="C232">
        <v>-5</v>
      </c>
      <c r="D232" t="s">
        <v>588</v>
      </c>
      <c r="E232" t="s">
        <v>589</v>
      </c>
      <c r="F232">
        <v>-7.5</v>
      </c>
      <c r="G232" t="s">
        <v>590</v>
      </c>
      <c r="H232" t="s">
        <v>2543</v>
      </c>
      <c r="I232" t="str">
        <f t="shared" si="3"/>
        <v xml:space="preserve">rsi_{'P' [('number'-5 1) ('number'-7.5 -1)]}_[7 35]_2 </v>
      </c>
      <c r="J232" t="s">
        <v>2540</v>
      </c>
      <c r="K232">
        <v>136</v>
      </c>
      <c r="L232" t="s">
        <v>5</v>
      </c>
      <c r="M232">
        <v>28</v>
      </c>
      <c r="N232" t="s">
        <v>6</v>
      </c>
      <c r="O232">
        <v>-6.3700000000000303</v>
      </c>
      <c r="P232" t="s">
        <v>7</v>
      </c>
      <c r="Q232">
        <v>-4.6838235294117903E-2</v>
      </c>
      <c r="R232" t="s">
        <v>8</v>
      </c>
      <c r="S232">
        <v>1.0971428571428501</v>
      </c>
      <c r="T232" t="s">
        <v>9</v>
      </c>
      <c r="U232">
        <v>-0.34342592592592602</v>
      </c>
      <c r="V232" t="s">
        <v>10</v>
      </c>
      <c r="W232">
        <v>0.12303604299053</v>
      </c>
      <c r="X232" t="s">
        <v>11</v>
      </c>
      <c r="Y232" t="s">
        <v>2989</v>
      </c>
      <c r="Z232" t="s">
        <v>2990</v>
      </c>
      <c r="AA232">
        <v>0</v>
      </c>
      <c r="AB232" t="s">
        <v>14</v>
      </c>
      <c r="AC232" t="s">
        <v>15</v>
      </c>
      <c r="AD232" t="s">
        <v>2989</v>
      </c>
      <c r="AE232" t="s">
        <v>2990</v>
      </c>
      <c r="AF232">
        <v>0</v>
      </c>
      <c r="AG232" t="s">
        <v>18</v>
      </c>
    </row>
    <row r="233" spans="1:33" x14ac:dyDescent="0.3">
      <c r="A233" t="s">
        <v>2777</v>
      </c>
      <c r="B233" t="s">
        <v>587</v>
      </c>
      <c r="C233">
        <v>-5</v>
      </c>
      <c r="D233" t="s">
        <v>588</v>
      </c>
      <c r="E233" t="s">
        <v>589</v>
      </c>
      <c r="F233">
        <v>-7.5</v>
      </c>
      <c r="G233" t="s">
        <v>590</v>
      </c>
      <c r="H233" t="s">
        <v>2902</v>
      </c>
      <c r="I233" t="str">
        <f t="shared" si="3"/>
        <v xml:space="preserve">rsi_{'P' [('number'-5 1) ('number'-7.5 -1)]}_[7 35]_0.5 </v>
      </c>
      <c r="J233" t="s">
        <v>2540</v>
      </c>
      <c r="K233">
        <v>136</v>
      </c>
      <c r="L233" t="s">
        <v>5</v>
      </c>
      <c r="M233">
        <v>50</v>
      </c>
      <c r="N233" t="s">
        <v>6</v>
      </c>
      <c r="O233">
        <v>-6.49</v>
      </c>
      <c r="P233" t="s">
        <v>7</v>
      </c>
      <c r="Q233">
        <v>-4.7720588235294098E-2</v>
      </c>
      <c r="R233" t="s">
        <v>8</v>
      </c>
      <c r="S233">
        <v>0.451599999999999</v>
      </c>
      <c r="T233" t="s">
        <v>9</v>
      </c>
      <c r="U233">
        <v>-0.33802325581395298</v>
      </c>
      <c r="V233" t="s">
        <v>10</v>
      </c>
      <c r="W233">
        <v>8.3393906792721004E-2</v>
      </c>
      <c r="X233" t="s">
        <v>11</v>
      </c>
      <c r="Y233" t="s">
        <v>217</v>
      </c>
      <c r="Z233" t="s">
        <v>2749</v>
      </c>
      <c r="AA233">
        <v>0</v>
      </c>
      <c r="AB233" t="s">
        <v>14</v>
      </c>
      <c r="AC233" t="s">
        <v>15</v>
      </c>
      <c r="AD233" t="s">
        <v>740</v>
      </c>
      <c r="AE233" t="s">
        <v>3121</v>
      </c>
      <c r="AF233">
        <v>0</v>
      </c>
      <c r="AG233" t="s">
        <v>18</v>
      </c>
    </row>
    <row r="234" spans="1:33" x14ac:dyDescent="0.3">
      <c r="A234" t="s">
        <v>2811</v>
      </c>
      <c r="B234" t="s">
        <v>587</v>
      </c>
      <c r="C234">
        <v>-7.5</v>
      </c>
      <c r="D234" t="s">
        <v>588</v>
      </c>
      <c r="E234" t="s">
        <v>589</v>
      </c>
      <c r="F234">
        <v>-10</v>
      </c>
      <c r="G234" t="s">
        <v>1998</v>
      </c>
      <c r="H234" t="s">
        <v>2559</v>
      </c>
      <c r="I234" t="str">
        <f t="shared" si="3"/>
        <v xml:space="preserve">stoch_{'P' [('number'-7.5 1) ('number'-10 -1)]}_[42 70]_1 </v>
      </c>
      <c r="J234" t="s">
        <v>2540</v>
      </c>
      <c r="K234">
        <v>370</v>
      </c>
      <c r="L234" t="s">
        <v>5</v>
      </c>
      <c r="M234">
        <v>121</v>
      </c>
      <c r="N234" t="s">
        <v>6</v>
      </c>
      <c r="O234">
        <v>-6.6518975931906699</v>
      </c>
      <c r="P234" t="s">
        <v>7</v>
      </c>
      <c r="Q234">
        <v>-1.7978101603218E-2</v>
      </c>
      <c r="R234" t="s">
        <v>8</v>
      </c>
      <c r="S234">
        <v>0.87035402368977899</v>
      </c>
      <c r="T234" t="s">
        <v>9</v>
      </c>
      <c r="U234">
        <v>-0.449657568111059</v>
      </c>
      <c r="V234" t="s">
        <v>10</v>
      </c>
      <c r="W234">
        <v>0.28368635870287501</v>
      </c>
      <c r="X234" t="s">
        <v>11</v>
      </c>
      <c r="Y234" t="s">
        <v>3166</v>
      </c>
      <c r="Z234" t="s">
        <v>2198</v>
      </c>
      <c r="AA234">
        <v>0</v>
      </c>
      <c r="AB234" t="s">
        <v>14</v>
      </c>
      <c r="AC234" t="s">
        <v>15</v>
      </c>
      <c r="AD234" t="s">
        <v>3011</v>
      </c>
      <c r="AE234" t="s">
        <v>595</v>
      </c>
      <c r="AF234">
        <v>0</v>
      </c>
      <c r="AG234" t="s">
        <v>18</v>
      </c>
    </row>
    <row r="235" spans="1:33" x14ac:dyDescent="0.3">
      <c r="A235" t="s">
        <v>2623</v>
      </c>
      <c r="B235" t="s">
        <v>587</v>
      </c>
      <c r="C235">
        <v>-7.5</v>
      </c>
      <c r="D235" t="s">
        <v>588</v>
      </c>
      <c r="E235" t="s">
        <v>589</v>
      </c>
      <c r="F235">
        <v>-10</v>
      </c>
      <c r="G235" t="s">
        <v>599</v>
      </c>
      <c r="H235" t="s">
        <v>2550</v>
      </c>
      <c r="I235" t="str">
        <f t="shared" si="3"/>
        <v xml:space="preserve">bbands_{'P' [('number'-7.5 1) ('number'-10 -1)]}_[21 49]_1 </v>
      </c>
      <c r="J235" t="s">
        <v>2540</v>
      </c>
      <c r="K235">
        <v>178</v>
      </c>
      <c r="L235" t="s">
        <v>5</v>
      </c>
      <c r="M235">
        <v>45</v>
      </c>
      <c r="N235" t="s">
        <v>6</v>
      </c>
      <c r="O235">
        <v>-6.71999999999999</v>
      </c>
      <c r="P235" t="s">
        <v>7</v>
      </c>
      <c r="Q235">
        <v>-3.7752808988764E-2</v>
      </c>
      <c r="R235" t="s">
        <v>8</v>
      </c>
      <c r="S235">
        <v>0.75333333333333297</v>
      </c>
      <c r="T235" t="s">
        <v>9</v>
      </c>
      <c r="U235">
        <v>-0.30541353383458603</v>
      </c>
      <c r="V235" t="s">
        <v>10</v>
      </c>
      <c r="W235">
        <v>0.112862773557187</v>
      </c>
      <c r="X235" t="s">
        <v>11</v>
      </c>
      <c r="Y235" t="s">
        <v>2998</v>
      </c>
      <c r="Z235" t="s">
        <v>2169</v>
      </c>
      <c r="AA235">
        <v>0</v>
      </c>
      <c r="AB235" t="s">
        <v>14</v>
      </c>
      <c r="AC235" t="s">
        <v>15</v>
      </c>
      <c r="AD235" t="s">
        <v>219</v>
      </c>
      <c r="AE235" t="s">
        <v>2999</v>
      </c>
      <c r="AF235">
        <v>0</v>
      </c>
      <c r="AG235" t="s">
        <v>18</v>
      </c>
    </row>
    <row r="236" spans="1:33" x14ac:dyDescent="0.3">
      <c r="A236" t="s">
        <v>2777</v>
      </c>
      <c r="B236" t="s">
        <v>587</v>
      </c>
      <c r="C236">
        <v>0</v>
      </c>
      <c r="D236" t="s">
        <v>588</v>
      </c>
      <c r="E236" t="s">
        <v>589</v>
      </c>
      <c r="F236">
        <v>-2.5</v>
      </c>
      <c r="G236" t="s">
        <v>1998</v>
      </c>
      <c r="H236" t="s">
        <v>2562</v>
      </c>
      <c r="I236" t="str">
        <f t="shared" si="3"/>
        <v xml:space="preserve">rsi_{'P' [('number'0 1) ('number'-2.5 -1)]}_[42 70]_2 </v>
      </c>
      <c r="J236" t="s">
        <v>2540</v>
      </c>
      <c r="K236">
        <v>127</v>
      </c>
      <c r="L236" t="s">
        <v>5</v>
      </c>
      <c r="M236">
        <v>40</v>
      </c>
      <c r="N236" t="s">
        <v>6</v>
      </c>
      <c r="O236">
        <v>-6.75044460058513</v>
      </c>
      <c r="P236" t="s">
        <v>7</v>
      </c>
      <c r="Q236">
        <v>-5.3153107091221501E-2</v>
      </c>
      <c r="R236" t="s">
        <v>8</v>
      </c>
      <c r="S236">
        <v>1.6083256560466599</v>
      </c>
      <c r="T236" t="s">
        <v>9</v>
      </c>
      <c r="U236">
        <v>-0.817051388993698</v>
      </c>
      <c r="V236" t="s">
        <v>10</v>
      </c>
      <c r="W236">
        <v>0.28779001326498299</v>
      </c>
      <c r="X236" t="s">
        <v>11</v>
      </c>
      <c r="Y236" t="s">
        <v>3099</v>
      </c>
      <c r="Z236" t="s">
        <v>2071</v>
      </c>
      <c r="AA236">
        <v>0</v>
      </c>
      <c r="AB236" t="s">
        <v>14</v>
      </c>
      <c r="AC236" t="s">
        <v>15</v>
      </c>
      <c r="AD236" t="s">
        <v>3099</v>
      </c>
      <c r="AE236" t="s">
        <v>2071</v>
      </c>
      <c r="AF236">
        <v>0</v>
      </c>
      <c r="AG236" t="s">
        <v>18</v>
      </c>
    </row>
    <row r="237" spans="1:33" x14ac:dyDescent="0.3">
      <c r="A237" t="s">
        <v>2683</v>
      </c>
      <c r="B237" t="s">
        <v>587</v>
      </c>
      <c r="C237">
        <v>-2.5</v>
      </c>
      <c r="D237" t="s">
        <v>588</v>
      </c>
      <c r="E237" t="s">
        <v>589</v>
      </c>
      <c r="F237">
        <v>-5</v>
      </c>
      <c r="G237" t="s">
        <v>1998</v>
      </c>
      <c r="H237" t="s">
        <v>2926</v>
      </c>
      <c r="I237" t="str">
        <f t="shared" si="3"/>
        <v xml:space="preserve">bbands_no_highvol_{'P' [('number'-2.5 1) ('number'-5 -1)]}_[42 70]_3 </v>
      </c>
      <c r="J237" t="s">
        <v>2540</v>
      </c>
      <c r="K237">
        <v>157</v>
      </c>
      <c r="L237" t="s">
        <v>5</v>
      </c>
      <c r="M237">
        <v>39</v>
      </c>
      <c r="N237" t="s">
        <v>6</v>
      </c>
      <c r="O237">
        <v>-6.7628800754834897</v>
      </c>
      <c r="P237" t="s">
        <v>7</v>
      </c>
      <c r="Q237">
        <v>-4.3075669270595501E-2</v>
      </c>
      <c r="R237" t="s">
        <v>8</v>
      </c>
      <c r="S237">
        <v>1.86065406711863</v>
      </c>
      <c r="T237" t="s">
        <v>9</v>
      </c>
      <c r="U237">
        <v>-0.67227448045008498</v>
      </c>
      <c r="V237" t="s">
        <v>10</v>
      </c>
      <c r="W237">
        <v>0.31835941482809199</v>
      </c>
      <c r="X237" t="s">
        <v>11</v>
      </c>
      <c r="Y237" t="s">
        <v>2983</v>
      </c>
      <c r="Z237" t="s">
        <v>2924</v>
      </c>
      <c r="AA237">
        <v>0</v>
      </c>
      <c r="AB237" t="s">
        <v>14</v>
      </c>
      <c r="AC237" t="s">
        <v>15</v>
      </c>
      <c r="AD237" t="s">
        <v>3024</v>
      </c>
      <c r="AE237" t="s">
        <v>284</v>
      </c>
      <c r="AF237">
        <v>0</v>
      </c>
      <c r="AG237" t="s">
        <v>18</v>
      </c>
    </row>
    <row r="238" spans="1:33" x14ac:dyDescent="0.3">
      <c r="A238" t="s">
        <v>2811</v>
      </c>
      <c r="B238" t="s">
        <v>587</v>
      </c>
      <c r="C238">
        <v>-7.5</v>
      </c>
      <c r="D238" t="s">
        <v>588</v>
      </c>
      <c r="E238" t="s">
        <v>589</v>
      </c>
      <c r="F238">
        <v>-10</v>
      </c>
      <c r="G238" t="s">
        <v>1998</v>
      </c>
      <c r="H238" t="s">
        <v>2926</v>
      </c>
      <c r="I238" t="str">
        <f t="shared" si="3"/>
        <v xml:space="preserve">stoch_{'P' [('number'-7.5 1) ('number'-10 -1)]}_[42 70]_3 </v>
      </c>
      <c r="J238" t="s">
        <v>2540</v>
      </c>
      <c r="K238">
        <v>370</v>
      </c>
      <c r="L238" t="s">
        <v>5</v>
      </c>
      <c r="M238">
        <v>66</v>
      </c>
      <c r="N238" t="s">
        <v>6</v>
      </c>
      <c r="O238">
        <v>-6.8191258370620602</v>
      </c>
      <c r="P238" t="s">
        <v>7</v>
      </c>
      <c r="Q238">
        <v>-1.8430069829897401E-2</v>
      </c>
      <c r="R238" t="s">
        <v>8</v>
      </c>
      <c r="S238">
        <v>2.0017388155577498</v>
      </c>
      <c r="T238" t="s">
        <v>9</v>
      </c>
      <c r="U238">
        <v>-0.45701936731537302</v>
      </c>
      <c r="V238" t="s">
        <v>10</v>
      </c>
      <c r="W238">
        <v>0.47330235353391797</v>
      </c>
      <c r="X238" t="s">
        <v>11</v>
      </c>
      <c r="Y238" t="s">
        <v>2913</v>
      </c>
      <c r="Z238" t="s">
        <v>2914</v>
      </c>
      <c r="AA238">
        <v>0</v>
      </c>
      <c r="AB238" t="s">
        <v>14</v>
      </c>
      <c r="AC238" t="s">
        <v>15</v>
      </c>
      <c r="AD238" t="s">
        <v>3168</v>
      </c>
      <c r="AE238" t="s">
        <v>2638</v>
      </c>
      <c r="AF238">
        <v>0</v>
      </c>
      <c r="AG238" t="s">
        <v>18</v>
      </c>
    </row>
    <row r="239" spans="1:33" x14ac:dyDescent="0.3">
      <c r="A239" t="s">
        <v>2538</v>
      </c>
      <c r="B239" t="s">
        <v>587</v>
      </c>
      <c r="C239">
        <v>-7.5</v>
      </c>
      <c r="D239" t="s">
        <v>588</v>
      </c>
      <c r="E239" t="s">
        <v>589</v>
      </c>
      <c r="F239">
        <v>-10</v>
      </c>
      <c r="G239" t="s">
        <v>599</v>
      </c>
      <c r="H239" t="s">
        <v>2550</v>
      </c>
      <c r="I239" t="str">
        <f t="shared" si="3"/>
        <v xml:space="preserve">alltime_{'P' [('number'-7.5 1) ('number'-10 -1)]}_[21 49]_1 </v>
      </c>
      <c r="J239" t="s">
        <v>2540</v>
      </c>
      <c r="K239">
        <v>3050</v>
      </c>
      <c r="L239" t="s">
        <v>5</v>
      </c>
      <c r="M239">
        <v>949</v>
      </c>
      <c r="N239" t="s">
        <v>6</v>
      </c>
      <c r="O239">
        <v>-7.0239647743992704</v>
      </c>
      <c r="P239" t="s">
        <v>7</v>
      </c>
      <c r="Q239">
        <v>-2.3029392702948398E-3</v>
      </c>
      <c r="R239" t="s">
        <v>8</v>
      </c>
      <c r="S239">
        <v>0.721801896733403</v>
      </c>
      <c r="T239" t="s">
        <v>9</v>
      </c>
      <c r="U239">
        <v>-0.32937361483788602</v>
      </c>
      <c r="V239" t="s">
        <v>10</v>
      </c>
      <c r="W239">
        <v>1.1840938726288199</v>
      </c>
      <c r="X239" t="s">
        <v>11</v>
      </c>
      <c r="Y239" t="s">
        <v>2962</v>
      </c>
      <c r="Z239" t="s">
        <v>2963</v>
      </c>
      <c r="AA239">
        <v>0</v>
      </c>
      <c r="AB239" t="s">
        <v>14</v>
      </c>
      <c r="AC239" t="s">
        <v>15</v>
      </c>
      <c r="AD239" t="s">
        <v>2969</v>
      </c>
      <c r="AE239" t="s">
        <v>2863</v>
      </c>
      <c r="AF239">
        <v>0</v>
      </c>
      <c r="AG239" t="s">
        <v>18</v>
      </c>
    </row>
    <row r="240" spans="1:33" x14ac:dyDescent="0.3">
      <c r="A240" t="s">
        <v>2811</v>
      </c>
      <c r="B240" t="s">
        <v>587</v>
      </c>
      <c r="C240">
        <v>-2.5</v>
      </c>
      <c r="D240" t="s">
        <v>588</v>
      </c>
      <c r="E240" t="s">
        <v>589</v>
      </c>
      <c r="F240">
        <v>-5</v>
      </c>
      <c r="G240" t="s">
        <v>1998</v>
      </c>
      <c r="H240" t="s">
        <v>2918</v>
      </c>
      <c r="I240" t="str">
        <f t="shared" si="3"/>
        <v xml:space="preserve">stoch_{'P' [('number'-2.5 1) ('number'-5 -1)]}_[42 70]_0.5 </v>
      </c>
      <c r="J240" t="s">
        <v>2540</v>
      </c>
      <c r="K240">
        <v>370</v>
      </c>
      <c r="L240" t="s">
        <v>5</v>
      </c>
      <c r="M240">
        <v>177</v>
      </c>
      <c r="N240" t="s">
        <v>6</v>
      </c>
      <c r="O240">
        <v>-7.0280798819760104</v>
      </c>
      <c r="P240" t="s">
        <v>7</v>
      </c>
      <c r="Q240">
        <v>-1.8994810491827E-2</v>
      </c>
      <c r="R240" t="s">
        <v>8</v>
      </c>
      <c r="S240">
        <v>0.67126140392900102</v>
      </c>
      <c r="T240" t="s">
        <v>9</v>
      </c>
      <c r="U240">
        <v>-0.65202771180004704</v>
      </c>
      <c r="V240" t="s">
        <v>10</v>
      </c>
      <c r="W240">
        <v>0.314528851565467</v>
      </c>
      <c r="X240" t="s">
        <v>11</v>
      </c>
      <c r="Y240" t="s">
        <v>2996</v>
      </c>
      <c r="Z240" t="s">
        <v>77</v>
      </c>
      <c r="AA240">
        <v>0</v>
      </c>
      <c r="AB240" t="s">
        <v>14</v>
      </c>
      <c r="AC240" t="s">
        <v>15</v>
      </c>
      <c r="AD240" t="s">
        <v>2996</v>
      </c>
      <c r="AE240" t="s">
        <v>77</v>
      </c>
      <c r="AF240">
        <v>0</v>
      </c>
      <c r="AG240" t="s">
        <v>18</v>
      </c>
    </row>
    <row r="241" spans="1:33" x14ac:dyDescent="0.3">
      <c r="A241" t="s">
        <v>2623</v>
      </c>
      <c r="B241" t="s">
        <v>587</v>
      </c>
      <c r="C241">
        <v>-5</v>
      </c>
      <c r="D241" t="s">
        <v>588</v>
      </c>
      <c r="E241" t="s">
        <v>589</v>
      </c>
      <c r="F241">
        <v>-7.5</v>
      </c>
      <c r="G241" t="s">
        <v>1998</v>
      </c>
      <c r="H241" t="s">
        <v>2926</v>
      </c>
      <c r="I241" t="str">
        <f t="shared" si="3"/>
        <v xml:space="preserve">bbands_{'P' [('number'-5 1) ('number'-7.5 -1)]}_[42 70]_3 </v>
      </c>
      <c r="J241" t="s">
        <v>2540</v>
      </c>
      <c r="K241">
        <v>167</v>
      </c>
      <c r="L241" t="s">
        <v>5</v>
      </c>
      <c r="M241">
        <v>36</v>
      </c>
      <c r="N241" t="s">
        <v>6</v>
      </c>
      <c r="O241">
        <v>-7.0353041722999601</v>
      </c>
      <c r="P241" t="s">
        <v>7</v>
      </c>
      <c r="Q241">
        <v>-4.2127569894011702E-2</v>
      </c>
      <c r="R241" t="s">
        <v>8</v>
      </c>
      <c r="S241">
        <v>2.0196620091663799</v>
      </c>
      <c r="T241" t="s">
        <v>9</v>
      </c>
      <c r="U241">
        <v>-0.60872623284190597</v>
      </c>
      <c r="V241" t="s">
        <v>10</v>
      </c>
      <c r="W241">
        <v>0.28203985886535898</v>
      </c>
      <c r="X241" t="s">
        <v>11</v>
      </c>
      <c r="Y241" t="s">
        <v>3004</v>
      </c>
      <c r="Z241" t="s">
        <v>2198</v>
      </c>
      <c r="AA241">
        <v>0</v>
      </c>
      <c r="AB241" t="s">
        <v>14</v>
      </c>
      <c r="AC241" t="s">
        <v>15</v>
      </c>
      <c r="AD241" t="s">
        <v>3005</v>
      </c>
      <c r="AE241" t="s">
        <v>2198</v>
      </c>
      <c r="AF241">
        <v>0</v>
      </c>
      <c r="AG241" t="s">
        <v>18</v>
      </c>
    </row>
    <row r="242" spans="1:33" x14ac:dyDescent="0.3">
      <c r="A242" t="s">
        <v>2623</v>
      </c>
      <c r="B242" t="s">
        <v>587</v>
      </c>
      <c r="C242">
        <v>0</v>
      </c>
      <c r="D242" t="s">
        <v>588</v>
      </c>
      <c r="E242" t="s">
        <v>589</v>
      </c>
      <c r="F242">
        <v>-2.5</v>
      </c>
      <c r="G242" t="s">
        <v>599</v>
      </c>
      <c r="H242" t="s">
        <v>2552</v>
      </c>
      <c r="I242" t="str">
        <f t="shared" si="3"/>
        <v xml:space="preserve">bbands_{'P' [('number'0 1) ('number'-2.5 -1)]}_[21 49]_2 </v>
      </c>
      <c r="J242" t="s">
        <v>2540</v>
      </c>
      <c r="K242">
        <v>178</v>
      </c>
      <c r="L242" t="s">
        <v>5</v>
      </c>
      <c r="M242">
        <v>50</v>
      </c>
      <c r="N242" t="s">
        <v>6</v>
      </c>
      <c r="O242">
        <v>-7.1200000000000596</v>
      </c>
      <c r="P242" t="s">
        <v>7</v>
      </c>
      <c r="Q242">
        <v>-4.0000000000000299E-2</v>
      </c>
      <c r="R242" t="s">
        <v>8</v>
      </c>
      <c r="S242">
        <v>1.5084</v>
      </c>
      <c r="T242" t="s">
        <v>9</v>
      </c>
      <c r="U242">
        <v>-0.64484374999999905</v>
      </c>
      <c r="V242" t="s">
        <v>10</v>
      </c>
      <c r="W242">
        <v>0.26454327948192002</v>
      </c>
      <c r="X242" t="s">
        <v>11</v>
      </c>
      <c r="Y242" t="s">
        <v>2981</v>
      </c>
      <c r="Z242" t="s">
        <v>660</v>
      </c>
      <c r="AA242">
        <v>0</v>
      </c>
      <c r="AB242" t="s">
        <v>14</v>
      </c>
      <c r="AC242" t="s">
        <v>15</v>
      </c>
      <c r="AD242" t="s">
        <v>1366</v>
      </c>
      <c r="AE242" t="s">
        <v>1253</v>
      </c>
      <c r="AF242">
        <v>0</v>
      </c>
      <c r="AG242" t="s">
        <v>18</v>
      </c>
    </row>
    <row r="243" spans="1:33" x14ac:dyDescent="0.3">
      <c r="A243" t="s">
        <v>2752</v>
      </c>
      <c r="B243" t="s">
        <v>587</v>
      </c>
      <c r="C243">
        <v>-5</v>
      </c>
      <c r="D243" t="s">
        <v>588</v>
      </c>
      <c r="E243" t="s">
        <v>589</v>
      </c>
      <c r="F243">
        <v>-7.5</v>
      </c>
      <c r="G243" t="s">
        <v>1998</v>
      </c>
      <c r="H243" t="s">
        <v>2926</v>
      </c>
      <c r="I243" t="str">
        <f t="shared" si="3"/>
        <v xml:space="preserve">psar_no_highvol_{'P' [('number'-5 1) ('number'-7.5 -1)]}_[42 70]_3 </v>
      </c>
      <c r="J243" t="s">
        <v>2540</v>
      </c>
      <c r="K243">
        <v>130</v>
      </c>
      <c r="L243" t="s">
        <v>5</v>
      </c>
      <c r="M243">
        <v>27</v>
      </c>
      <c r="N243" t="s">
        <v>6</v>
      </c>
      <c r="O243">
        <v>-7.1230100170918504</v>
      </c>
      <c r="P243" t="s">
        <v>7</v>
      </c>
      <c r="Q243">
        <v>-5.4792384746860399E-2</v>
      </c>
      <c r="R243" t="s">
        <v>8</v>
      </c>
      <c r="S243">
        <v>1.7140740740740701</v>
      </c>
      <c r="T243" t="s">
        <v>9</v>
      </c>
      <c r="U243">
        <v>-0.518475825408659</v>
      </c>
      <c r="V243" t="s">
        <v>10</v>
      </c>
      <c r="W243">
        <v>0.213569384127031</v>
      </c>
      <c r="X243" t="s">
        <v>11</v>
      </c>
      <c r="Y243" t="s">
        <v>2992</v>
      </c>
      <c r="Z243" t="s">
        <v>3086</v>
      </c>
      <c r="AA243">
        <v>0</v>
      </c>
      <c r="AB243" t="s">
        <v>14</v>
      </c>
      <c r="AC243" t="s">
        <v>15</v>
      </c>
      <c r="AD243" t="s">
        <v>2992</v>
      </c>
      <c r="AE243" t="s">
        <v>3086</v>
      </c>
      <c r="AF243">
        <v>0</v>
      </c>
      <c r="AG243" t="s">
        <v>18</v>
      </c>
    </row>
    <row r="244" spans="1:33" x14ac:dyDescent="0.3">
      <c r="A244" t="s">
        <v>2777</v>
      </c>
      <c r="B244" t="s">
        <v>587</v>
      </c>
      <c r="C244">
        <v>-5</v>
      </c>
      <c r="D244" t="s">
        <v>588</v>
      </c>
      <c r="E244" t="s">
        <v>589</v>
      </c>
      <c r="F244">
        <v>-7.5</v>
      </c>
      <c r="G244" t="s">
        <v>590</v>
      </c>
      <c r="H244" t="s">
        <v>2539</v>
      </c>
      <c r="I244" t="str">
        <f t="shared" si="3"/>
        <v xml:space="preserve">rsi_{'P' [('number'-5 1) ('number'-7.5 -1)]}_[7 35]_1 </v>
      </c>
      <c r="J244" t="s">
        <v>2540</v>
      </c>
      <c r="K244">
        <v>136</v>
      </c>
      <c r="L244" t="s">
        <v>5</v>
      </c>
      <c r="M244">
        <v>37</v>
      </c>
      <c r="N244" t="s">
        <v>6</v>
      </c>
      <c r="O244">
        <v>-7.17</v>
      </c>
      <c r="P244" t="s">
        <v>7</v>
      </c>
      <c r="Q244">
        <v>-5.2720588235294102E-2</v>
      </c>
      <c r="R244" t="s">
        <v>8</v>
      </c>
      <c r="S244">
        <v>0.72675675675675599</v>
      </c>
      <c r="T244" t="s">
        <v>9</v>
      </c>
      <c r="U244">
        <v>-0.34404040404040398</v>
      </c>
      <c r="V244" t="s">
        <v>10</v>
      </c>
      <c r="W244">
        <v>0.103309231129862</v>
      </c>
      <c r="X244" t="s">
        <v>11</v>
      </c>
      <c r="Y244" t="s">
        <v>217</v>
      </c>
      <c r="Z244" t="s">
        <v>2749</v>
      </c>
      <c r="AA244">
        <v>0</v>
      </c>
      <c r="AB244" t="s">
        <v>14</v>
      </c>
      <c r="AC244" t="s">
        <v>15</v>
      </c>
      <c r="AD244" t="s">
        <v>771</v>
      </c>
      <c r="AE244" t="s">
        <v>3107</v>
      </c>
      <c r="AF244">
        <v>0</v>
      </c>
      <c r="AG244" t="s">
        <v>18</v>
      </c>
    </row>
    <row r="245" spans="1:33" x14ac:dyDescent="0.3">
      <c r="A245" t="s">
        <v>2858</v>
      </c>
      <c r="B245" t="s">
        <v>587</v>
      </c>
      <c r="C245">
        <v>-2.5</v>
      </c>
      <c r="D245" t="s">
        <v>588</v>
      </c>
      <c r="E245" t="s">
        <v>589</v>
      </c>
      <c r="F245">
        <v>-5</v>
      </c>
      <c r="G245" t="s">
        <v>1998</v>
      </c>
      <c r="H245" t="s">
        <v>2918</v>
      </c>
      <c r="I245" t="str">
        <f t="shared" si="3"/>
        <v xml:space="preserve">stoch_no_highvol_{'P' [('number'-2.5 1) ('number'-5 -1)]}_[42 70]_0.5 </v>
      </c>
      <c r="J245" t="s">
        <v>2540</v>
      </c>
      <c r="K245">
        <v>331</v>
      </c>
      <c r="L245" t="s">
        <v>5</v>
      </c>
      <c r="M245">
        <v>154</v>
      </c>
      <c r="N245" t="s">
        <v>6</v>
      </c>
      <c r="O245">
        <v>-7.2325403879164698</v>
      </c>
      <c r="P245" t="s">
        <v>7</v>
      </c>
      <c r="Q245">
        <v>-2.18505751900799E-2</v>
      </c>
      <c r="R245" t="s">
        <v>8</v>
      </c>
      <c r="S245">
        <v>0.64046425754526703</v>
      </c>
      <c r="T245" t="s">
        <v>9</v>
      </c>
      <c r="U245">
        <v>-0.59810189858693596</v>
      </c>
      <c r="V245" t="s">
        <v>10</v>
      </c>
      <c r="W245">
        <v>0.26791827533588303</v>
      </c>
      <c r="X245" t="s">
        <v>11</v>
      </c>
      <c r="Y245" t="s">
        <v>3054</v>
      </c>
      <c r="Z245" t="s">
        <v>3055</v>
      </c>
      <c r="AA245">
        <v>0</v>
      </c>
      <c r="AB245" t="s">
        <v>14</v>
      </c>
      <c r="AC245" t="s">
        <v>15</v>
      </c>
      <c r="AD245" t="s">
        <v>3054</v>
      </c>
      <c r="AE245" t="s">
        <v>3055</v>
      </c>
      <c r="AF245">
        <v>0</v>
      </c>
      <c r="AG245" t="s">
        <v>18</v>
      </c>
    </row>
    <row r="246" spans="1:33" x14ac:dyDescent="0.3">
      <c r="A246" t="s">
        <v>2728</v>
      </c>
      <c r="B246" t="s">
        <v>587</v>
      </c>
      <c r="C246">
        <v>0</v>
      </c>
      <c r="D246" t="s">
        <v>588</v>
      </c>
      <c r="E246" t="s">
        <v>589</v>
      </c>
      <c r="F246">
        <v>-2.5</v>
      </c>
      <c r="G246" t="s">
        <v>1998</v>
      </c>
      <c r="H246" t="s">
        <v>2559</v>
      </c>
      <c r="I246" t="str">
        <f t="shared" si="3"/>
        <v xml:space="preserve">psar_{'P' [('number'0 1) ('number'-2.5 -1)]}_[42 70]_1 </v>
      </c>
      <c r="J246" t="s">
        <v>2540</v>
      </c>
      <c r="K246">
        <v>139</v>
      </c>
      <c r="L246" t="s">
        <v>5</v>
      </c>
      <c r="M246">
        <v>48</v>
      </c>
      <c r="N246" t="s">
        <v>6</v>
      </c>
      <c r="O246">
        <v>-7.8999656135380798</v>
      </c>
      <c r="P246" t="s">
        <v>7</v>
      </c>
      <c r="Q246">
        <v>-5.6834284989482599E-2</v>
      </c>
      <c r="R246" t="s">
        <v>8</v>
      </c>
      <c r="S246">
        <v>1.2876790902123101</v>
      </c>
      <c r="T246" t="s">
        <v>9</v>
      </c>
      <c r="U246">
        <v>-0.76602815322779105</v>
      </c>
      <c r="V246" t="s">
        <v>10</v>
      </c>
      <c r="W246">
        <v>0.229754680136705</v>
      </c>
      <c r="X246" t="s">
        <v>11</v>
      </c>
      <c r="Y246" t="s">
        <v>2954</v>
      </c>
      <c r="Z246" t="s">
        <v>2922</v>
      </c>
      <c r="AA246">
        <v>0</v>
      </c>
      <c r="AB246" t="s">
        <v>14</v>
      </c>
      <c r="AC246" t="s">
        <v>15</v>
      </c>
      <c r="AD246" t="s">
        <v>2954</v>
      </c>
      <c r="AE246" t="s">
        <v>2922</v>
      </c>
      <c r="AF246">
        <v>0</v>
      </c>
      <c r="AG246" t="s">
        <v>18</v>
      </c>
    </row>
    <row r="247" spans="1:33" x14ac:dyDescent="0.3">
      <c r="A247" t="s">
        <v>2858</v>
      </c>
      <c r="B247" t="s">
        <v>587</v>
      </c>
      <c r="C247">
        <v>-2.5</v>
      </c>
      <c r="D247" t="s">
        <v>588</v>
      </c>
      <c r="E247" t="s">
        <v>589</v>
      </c>
      <c r="F247">
        <v>-5</v>
      </c>
      <c r="G247" t="s">
        <v>599</v>
      </c>
      <c r="H247" t="s">
        <v>2910</v>
      </c>
      <c r="I247" t="str">
        <f t="shared" si="3"/>
        <v xml:space="preserve">stoch_no_highvol_{'P' [('number'-2.5 1) ('number'-5 -1)]}_[21 49]_0.5 </v>
      </c>
      <c r="J247" t="s">
        <v>2540</v>
      </c>
      <c r="K247">
        <v>335</v>
      </c>
      <c r="L247" t="s">
        <v>5</v>
      </c>
      <c r="M247">
        <v>148</v>
      </c>
      <c r="N247" t="s">
        <v>6</v>
      </c>
      <c r="O247">
        <v>-7.9899999999999904</v>
      </c>
      <c r="P247" t="s">
        <v>7</v>
      </c>
      <c r="Q247">
        <v>-2.38507462686567E-2</v>
      </c>
      <c r="R247" t="s">
        <v>8</v>
      </c>
      <c r="S247">
        <v>0.57824324324324305</v>
      </c>
      <c r="T247" t="s">
        <v>9</v>
      </c>
      <c r="U247">
        <v>-0.50037433155080202</v>
      </c>
      <c r="V247" t="s">
        <v>10</v>
      </c>
      <c r="W247">
        <v>0.24579443180718999</v>
      </c>
      <c r="X247" t="s">
        <v>11</v>
      </c>
      <c r="Y247" t="s">
        <v>3016</v>
      </c>
      <c r="Z247" t="s">
        <v>2418</v>
      </c>
      <c r="AA247">
        <v>0</v>
      </c>
      <c r="AB247" t="s">
        <v>14</v>
      </c>
      <c r="AC247" t="s">
        <v>15</v>
      </c>
      <c r="AD247" t="s">
        <v>3175</v>
      </c>
      <c r="AE247" t="s">
        <v>2418</v>
      </c>
      <c r="AF247">
        <v>0</v>
      </c>
      <c r="AG247" t="s">
        <v>18</v>
      </c>
    </row>
    <row r="248" spans="1:33" x14ac:dyDescent="0.3">
      <c r="A248" t="s">
        <v>2811</v>
      </c>
      <c r="B248" t="s">
        <v>587</v>
      </c>
      <c r="C248">
        <v>-2.5</v>
      </c>
      <c r="D248" t="s">
        <v>588</v>
      </c>
      <c r="E248" t="s">
        <v>589</v>
      </c>
      <c r="F248">
        <v>-5</v>
      </c>
      <c r="G248" t="s">
        <v>599</v>
      </c>
      <c r="H248" t="s">
        <v>2910</v>
      </c>
      <c r="I248" t="str">
        <f t="shared" si="3"/>
        <v xml:space="preserve">stoch_{'P' [('number'-2.5 1) ('number'-5 -1)]}_[21 49]_0.5 </v>
      </c>
      <c r="J248" t="s">
        <v>2540</v>
      </c>
      <c r="K248">
        <v>376</v>
      </c>
      <c r="L248" t="s">
        <v>5</v>
      </c>
      <c r="M248">
        <v>168</v>
      </c>
      <c r="N248" t="s">
        <v>6</v>
      </c>
      <c r="O248">
        <v>-8.01</v>
      </c>
      <c r="P248" t="s">
        <v>7</v>
      </c>
      <c r="Q248">
        <v>-2.13031914893617E-2</v>
      </c>
      <c r="R248" t="s">
        <v>8</v>
      </c>
      <c r="S248">
        <v>0.59440476190476099</v>
      </c>
      <c r="T248" t="s">
        <v>9</v>
      </c>
      <c r="U248">
        <v>-0.51860576923076895</v>
      </c>
      <c r="V248" t="s">
        <v>10</v>
      </c>
      <c r="W248">
        <v>0.27509118726259502</v>
      </c>
      <c r="X248" t="s">
        <v>11</v>
      </c>
      <c r="Y248" t="s">
        <v>734</v>
      </c>
      <c r="Z248" t="s">
        <v>3152</v>
      </c>
      <c r="AA248">
        <v>0</v>
      </c>
      <c r="AB248" t="s">
        <v>14</v>
      </c>
      <c r="AC248" t="s">
        <v>15</v>
      </c>
      <c r="AD248" t="s">
        <v>3153</v>
      </c>
      <c r="AE248" t="s">
        <v>3132</v>
      </c>
      <c r="AF248">
        <v>0</v>
      </c>
      <c r="AG248" t="s">
        <v>18</v>
      </c>
    </row>
    <row r="249" spans="1:33" x14ac:dyDescent="0.3">
      <c r="A249" t="s">
        <v>2858</v>
      </c>
      <c r="B249" t="s">
        <v>587</v>
      </c>
      <c r="C249">
        <v>-7.5</v>
      </c>
      <c r="D249" t="s">
        <v>588</v>
      </c>
      <c r="E249" t="s">
        <v>589</v>
      </c>
      <c r="F249">
        <v>-10</v>
      </c>
      <c r="G249" t="s">
        <v>1998</v>
      </c>
      <c r="H249" t="s">
        <v>2562</v>
      </c>
      <c r="I249" t="str">
        <f t="shared" si="3"/>
        <v xml:space="preserve">stoch_no_highvol_{'P' [('number'-7.5 1) ('number'-10 -1)]}_[42 70]_2 </v>
      </c>
      <c r="J249" t="s">
        <v>2540</v>
      </c>
      <c r="K249">
        <v>331</v>
      </c>
      <c r="L249" t="s">
        <v>5</v>
      </c>
      <c r="M249">
        <v>68</v>
      </c>
      <c r="N249" t="s">
        <v>6</v>
      </c>
      <c r="O249">
        <v>-8.0314929121479999</v>
      </c>
      <c r="P249" t="s">
        <v>7</v>
      </c>
      <c r="Q249">
        <v>-2.4264329039722001E-2</v>
      </c>
      <c r="R249" t="s">
        <v>8</v>
      </c>
      <c r="S249">
        <v>1.4158072620708699</v>
      </c>
      <c r="T249" t="s">
        <v>9</v>
      </c>
      <c r="U249">
        <v>-0.39660223092383101</v>
      </c>
      <c r="V249" t="s">
        <v>10</v>
      </c>
      <c r="W249">
        <v>0.31375202525333001</v>
      </c>
      <c r="X249" t="s">
        <v>11</v>
      </c>
      <c r="Y249" t="s">
        <v>3052</v>
      </c>
      <c r="Z249" t="s">
        <v>284</v>
      </c>
      <c r="AA249">
        <v>0</v>
      </c>
      <c r="AB249" t="s">
        <v>14</v>
      </c>
      <c r="AC249" t="s">
        <v>15</v>
      </c>
      <c r="AD249" t="s">
        <v>3052</v>
      </c>
      <c r="AE249" t="s">
        <v>284</v>
      </c>
      <c r="AF249">
        <v>0</v>
      </c>
      <c r="AG249" t="s">
        <v>18</v>
      </c>
    </row>
    <row r="250" spans="1:33" x14ac:dyDescent="0.3">
      <c r="A250" t="s">
        <v>2728</v>
      </c>
      <c r="B250" t="s">
        <v>587</v>
      </c>
      <c r="C250">
        <v>-2.5</v>
      </c>
      <c r="D250" t="s">
        <v>588</v>
      </c>
      <c r="E250" t="s">
        <v>589</v>
      </c>
      <c r="F250">
        <v>-5</v>
      </c>
      <c r="G250" t="s">
        <v>1998</v>
      </c>
      <c r="H250" t="s">
        <v>2926</v>
      </c>
      <c r="I250" t="str">
        <f t="shared" si="3"/>
        <v xml:space="preserve">psar_{'P' [('number'-2.5 1) ('number'-5 -1)]}_[42 70]_3 </v>
      </c>
      <c r="J250" t="s">
        <v>2540</v>
      </c>
      <c r="K250">
        <v>139</v>
      </c>
      <c r="L250" t="s">
        <v>5</v>
      </c>
      <c r="M250">
        <v>29</v>
      </c>
      <c r="N250" t="s">
        <v>6</v>
      </c>
      <c r="O250">
        <v>-8.1200231609558795</v>
      </c>
      <c r="P250" t="s">
        <v>7</v>
      </c>
      <c r="Q250">
        <v>-5.8417432812632203E-2</v>
      </c>
      <c r="R250" t="s">
        <v>8</v>
      </c>
      <c r="S250">
        <v>1.8875704114408201</v>
      </c>
      <c r="T250" t="s">
        <v>9</v>
      </c>
      <c r="U250">
        <v>-0.57145059175217905</v>
      </c>
      <c r="V250" t="s">
        <v>10</v>
      </c>
      <c r="W250">
        <v>0.27629499262818102</v>
      </c>
      <c r="X250" t="s">
        <v>11</v>
      </c>
      <c r="Y250" t="s">
        <v>3059</v>
      </c>
      <c r="Z250" t="s">
        <v>3060</v>
      </c>
      <c r="AA250">
        <v>0</v>
      </c>
      <c r="AB250" t="s">
        <v>14</v>
      </c>
      <c r="AC250" t="s">
        <v>15</v>
      </c>
      <c r="AD250" t="s">
        <v>3059</v>
      </c>
      <c r="AE250" t="s">
        <v>3060</v>
      </c>
      <c r="AF250">
        <v>0</v>
      </c>
      <c r="AG250" t="s">
        <v>18</v>
      </c>
    </row>
    <row r="251" spans="1:33" x14ac:dyDescent="0.3">
      <c r="A251" t="s">
        <v>2683</v>
      </c>
      <c r="B251" t="s">
        <v>587</v>
      </c>
      <c r="C251">
        <v>-2.5</v>
      </c>
      <c r="D251" t="s">
        <v>588</v>
      </c>
      <c r="E251" t="s">
        <v>589</v>
      </c>
      <c r="F251">
        <v>-5</v>
      </c>
      <c r="G251" t="s">
        <v>590</v>
      </c>
      <c r="H251" t="s">
        <v>2539</v>
      </c>
      <c r="I251" t="str">
        <f t="shared" si="3"/>
        <v xml:space="preserve">bbands_no_highvol_{'P' [('number'-2.5 1) ('number'-5 -1)]}_[7 35]_1 </v>
      </c>
      <c r="J251" t="s">
        <v>2540</v>
      </c>
      <c r="K251">
        <v>155</v>
      </c>
      <c r="L251" t="s">
        <v>5</v>
      </c>
      <c r="M251">
        <v>44</v>
      </c>
      <c r="N251" t="s">
        <v>6</v>
      </c>
      <c r="O251">
        <v>-8.25999999999995</v>
      </c>
      <c r="P251" t="s">
        <v>7</v>
      </c>
      <c r="Q251">
        <v>-5.3290322580644797E-2</v>
      </c>
      <c r="R251" t="s">
        <v>8</v>
      </c>
      <c r="S251">
        <v>1.0520454545454501</v>
      </c>
      <c r="T251" t="s">
        <v>9</v>
      </c>
      <c r="U251">
        <v>-0.49144144144144097</v>
      </c>
      <c r="V251" t="s">
        <v>10</v>
      </c>
      <c r="W251">
        <v>0.15403370549482501</v>
      </c>
      <c r="X251" t="s">
        <v>11</v>
      </c>
      <c r="Y251" t="s">
        <v>219</v>
      </c>
      <c r="Z251" t="s">
        <v>2988</v>
      </c>
      <c r="AA251">
        <v>0</v>
      </c>
      <c r="AB251" t="s">
        <v>14</v>
      </c>
      <c r="AC251" t="s">
        <v>15</v>
      </c>
      <c r="AD251" t="s">
        <v>2987</v>
      </c>
      <c r="AE251" t="s">
        <v>2418</v>
      </c>
      <c r="AF251">
        <v>0</v>
      </c>
      <c r="AG251" t="s">
        <v>18</v>
      </c>
    </row>
    <row r="252" spans="1:33" x14ac:dyDescent="0.3">
      <c r="A252" t="s">
        <v>2683</v>
      </c>
      <c r="B252" t="s">
        <v>587</v>
      </c>
      <c r="C252">
        <v>0</v>
      </c>
      <c r="D252" t="s">
        <v>588</v>
      </c>
      <c r="E252" t="s">
        <v>589</v>
      </c>
      <c r="F252">
        <v>-2.5</v>
      </c>
      <c r="G252" t="s">
        <v>590</v>
      </c>
      <c r="H252" t="s">
        <v>2543</v>
      </c>
      <c r="I252" t="str">
        <f t="shared" si="3"/>
        <v xml:space="preserve">bbands_no_highvol_{'P' [('number'0 1) ('number'-2.5 -1)]}_[7 35]_2 </v>
      </c>
      <c r="J252" t="s">
        <v>2540</v>
      </c>
      <c r="K252">
        <v>155</v>
      </c>
      <c r="L252" t="s">
        <v>5</v>
      </c>
      <c r="M252">
        <v>45</v>
      </c>
      <c r="N252" t="s">
        <v>6</v>
      </c>
      <c r="O252">
        <v>-8.3000000000000291</v>
      </c>
      <c r="P252" t="s">
        <v>7</v>
      </c>
      <c r="Q252">
        <v>-5.3548387096774397E-2</v>
      </c>
      <c r="R252" t="s">
        <v>8</v>
      </c>
      <c r="S252">
        <v>1.35666666666666</v>
      </c>
      <c r="T252" t="s">
        <v>9</v>
      </c>
      <c r="U252">
        <v>-0.63045454545454604</v>
      </c>
      <c r="V252" t="s">
        <v>10</v>
      </c>
      <c r="W252">
        <v>0.22047519790402301</v>
      </c>
      <c r="X252" t="s">
        <v>11</v>
      </c>
      <c r="Y252" t="s">
        <v>2978</v>
      </c>
      <c r="Z252" t="s">
        <v>1431</v>
      </c>
      <c r="AA252">
        <v>0</v>
      </c>
      <c r="AB252" t="s">
        <v>14</v>
      </c>
      <c r="AC252" t="s">
        <v>15</v>
      </c>
      <c r="AD252" t="s">
        <v>2979</v>
      </c>
      <c r="AE252" t="s">
        <v>1431</v>
      </c>
      <c r="AF252">
        <v>0</v>
      </c>
      <c r="AG252" t="s">
        <v>18</v>
      </c>
    </row>
    <row r="253" spans="1:33" x14ac:dyDescent="0.3">
      <c r="A253" t="s">
        <v>2858</v>
      </c>
      <c r="B253" t="s">
        <v>587</v>
      </c>
      <c r="C253">
        <v>-7.5</v>
      </c>
      <c r="D253" t="s">
        <v>588</v>
      </c>
      <c r="E253" t="s">
        <v>589</v>
      </c>
      <c r="F253">
        <v>-10</v>
      </c>
      <c r="G253" t="s">
        <v>1998</v>
      </c>
      <c r="H253" t="s">
        <v>2559</v>
      </c>
      <c r="I253" t="str">
        <f t="shared" si="3"/>
        <v xml:space="preserve">stoch_no_highvol_{'P' [('number'-7.5 1) ('number'-10 -1)]}_[42 70]_1 </v>
      </c>
      <c r="J253" t="s">
        <v>2540</v>
      </c>
      <c r="K253">
        <v>331</v>
      </c>
      <c r="L253" t="s">
        <v>5</v>
      </c>
      <c r="M253">
        <v>103</v>
      </c>
      <c r="N253" t="s">
        <v>6</v>
      </c>
      <c r="O253">
        <v>-8.4214929121480004</v>
      </c>
      <c r="P253" t="s">
        <v>7</v>
      </c>
      <c r="Q253">
        <v>-2.5442576773861001E-2</v>
      </c>
      <c r="R253" t="s">
        <v>8</v>
      </c>
      <c r="S253">
        <v>0.78630777396324303</v>
      </c>
      <c r="T253" t="s">
        <v>9</v>
      </c>
      <c r="U253">
        <v>-0.39215435802790399</v>
      </c>
      <c r="V253" t="s">
        <v>10</v>
      </c>
      <c r="W253">
        <v>0.242356135978117</v>
      </c>
      <c r="X253" t="s">
        <v>11</v>
      </c>
      <c r="Y253" t="s">
        <v>1492</v>
      </c>
      <c r="Z253" t="s">
        <v>3187</v>
      </c>
      <c r="AA253">
        <v>0</v>
      </c>
      <c r="AB253" t="s">
        <v>14</v>
      </c>
      <c r="AC253" t="s">
        <v>15</v>
      </c>
      <c r="AD253" t="s">
        <v>1492</v>
      </c>
      <c r="AE253" t="s">
        <v>3187</v>
      </c>
      <c r="AF253">
        <v>0</v>
      </c>
      <c r="AG253" t="s">
        <v>18</v>
      </c>
    </row>
    <row r="254" spans="1:33" x14ac:dyDescent="0.3">
      <c r="A254" t="s">
        <v>2811</v>
      </c>
      <c r="B254" t="s">
        <v>587</v>
      </c>
      <c r="C254">
        <v>-7.5</v>
      </c>
      <c r="D254" t="s">
        <v>588</v>
      </c>
      <c r="E254" t="s">
        <v>589</v>
      </c>
      <c r="F254">
        <v>-10</v>
      </c>
      <c r="G254" t="s">
        <v>599</v>
      </c>
      <c r="H254" t="s">
        <v>2910</v>
      </c>
      <c r="I254" t="str">
        <f t="shared" si="3"/>
        <v xml:space="preserve">stoch_{'P' [('number'-7.5 1) ('number'-10 -1)]}_[21 49]_0.5 </v>
      </c>
      <c r="J254" t="s">
        <v>2540</v>
      </c>
      <c r="K254">
        <v>376</v>
      </c>
      <c r="L254" t="s">
        <v>5</v>
      </c>
      <c r="M254">
        <v>143</v>
      </c>
      <c r="N254" t="s">
        <v>6</v>
      </c>
      <c r="O254">
        <v>-8.6914508278174605</v>
      </c>
      <c r="P254" t="s">
        <v>7</v>
      </c>
      <c r="Q254">
        <v>-2.3115560712280402E-2</v>
      </c>
      <c r="R254" t="s">
        <v>8</v>
      </c>
      <c r="S254">
        <v>0.46412587412587403</v>
      </c>
      <c r="T254" t="s">
        <v>9</v>
      </c>
      <c r="U254">
        <v>-0.32215214947561099</v>
      </c>
      <c r="V254" t="s">
        <v>10</v>
      </c>
      <c r="W254">
        <v>0.20679517082528701</v>
      </c>
      <c r="X254" t="s">
        <v>11</v>
      </c>
      <c r="Y254" t="s">
        <v>2962</v>
      </c>
      <c r="Z254" t="s">
        <v>2963</v>
      </c>
      <c r="AA254">
        <v>0</v>
      </c>
      <c r="AB254" t="s">
        <v>14</v>
      </c>
      <c r="AC254" t="s">
        <v>15</v>
      </c>
      <c r="AD254" t="s">
        <v>2962</v>
      </c>
      <c r="AE254" t="s">
        <v>2963</v>
      </c>
      <c r="AF254">
        <v>0</v>
      </c>
      <c r="AG254" t="s">
        <v>18</v>
      </c>
    </row>
    <row r="255" spans="1:33" x14ac:dyDescent="0.3">
      <c r="A255" t="s">
        <v>2683</v>
      </c>
      <c r="B255" t="s">
        <v>587</v>
      </c>
      <c r="C255">
        <v>0</v>
      </c>
      <c r="D255" t="s">
        <v>588</v>
      </c>
      <c r="E255" t="s">
        <v>589</v>
      </c>
      <c r="F255">
        <v>-2.5</v>
      </c>
      <c r="G255" t="s">
        <v>599</v>
      </c>
      <c r="H255" t="s">
        <v>2552</v>
      </c>
      <c r="I255" t="str">
        <f t="shared" si="3"/>
        <v xml:space="preserve">bbands_no_highvol_{'P' [('number'0 1) ('number'-2.5 -1)]}_[21 49]_2 </v>
      </c>
      <c r="J255" t="s">
        <v>2540</v>
      </c>
      <c r="K255">
        <v>165</v>
      </c>
      <c r="L255" t="s">
        <v>5</v>
      </c>
      <c r="M255">
        <v>45</v>
      </c>
      <c r="N255" t="s">
        <v>6</v>
      </c>
      <c r="O255">
        <v>-8.8300000000000498</v>
      </c>
      <c r="P255" t="s">
        <v>7</v>
      </c>
      <c r="Q255">
        <v>-5.35151515151518E-2</v>
      </c>
      <c r="R255" t="s">
        <v>8</v>
      </c>
      <c r="S255">
        <v>1.5</v>
      </c>
      <c r="T255" t="s">
        <v>9</v>
      </c>
      <c r="U255">
        <v>-0.636083333333333</v>
      </c>
      <c r="V255" t="s">
        <v>10</v>
      </c>
      <c r="W255">
        <v>0.25396277794258898</v>
      </c>
      <c r="X255" t="s">
        <v>11</v>
      </c>
      <c r="Y255" t="s">
        <v>2981</v>
      </c>
      <c r="Z255" t="s">
        <v>660</v>
      </c>
      <c r="AA255">
        <v>0</v>
      </c>
      <c r="AB255" t="s">
        <v>14</v>
      </c>
      <c r="AC255" t="s">
        <v>15</v>
      </c>
      <c r="AD255" t="s">
        <v>1366</v>
      </c>
      <c r="AE255" t="s">
        <v>1253</v>
      </c>
      <c r="AF255">
        <v>0</v>
      </c>
      <c r="AG255" t="s">
        <v>18</v>
      </c>
    </row>
    <row r="256" spans="1:33" x14ac:dyDescent="0.3">
      <c r="A256" t="s">
        <v>2858</v>
      </c>
      <c r="B256" t="s">
        <v>587</v>
      </c>
      <c r="C256">
        <v>-7.5</v>
      </c>
      <c r="D256" t="s">
        <v>588</v>
      </c>
      <c r="E256" t="s">
        <v>589</v>
      </c>
      <c r="F256">
        <v>-10</v>
      </c>
      <c r="G256" t="s">
        <v>590</v>
      </c>
      <c r="H256" t="s">
        <v>2909</v>
      </c>
      <c r="I256" t="str">
        <f t="shared" si="3"/>
        <v xml:space="preserve">stoch_no_highvol_{'P' [('number'-7.5 1) ('number'-10 -1)]}_[7 35]_3 </v>
      </c>
      <c r="J256" t="s">
        <v>2540</v>
      </c>
      <c r="K256">
        <v>334</v>
      </c>
      <c r="L256" t="s">
        <v>5</v>
      </c>
      <c r="M256">
        <v>46</v>
      </c>
      <c r="N256" t="s">
        <v>6</v>
      </c>
      <c r="O256">
        <v>-8.85</v>
      </c>
      <c r="P256" t="s">
        <v>7</v>
      </c>
      <c r="Q256">
        <v>-2.6497005988023899E-2</v>
      </c>
      <c r="R256" t="s">
        <v>8</v>
      </c>
      <c r="S256">
        <v>1.34847826086956</v>
      </c>
      <c r="T256" t="s">
        <v>9</v>
      </c>
      <c r="U256">
        <v>-0.246111111111111</v>
      </c>
      <c r="V256" t="s">
        <v>10</v>
      </c>
      <c r="W256">
        <v>0.28007456620490501</v>
      </c>
      <c r="X256" t="s">
        <v>11</v>
      </c>
      <c r="Y256" t="s">
        <v>219</v>
      </c>
      <c r="Z256" t="s">
        <v>2988</v>
      </c>
      <c r="AA256">
        <v>0</v>
      </c>
      <c r="AB256" t="s">
        <v>14</v>
      </c>
      <c r="AC256" t="s">
        <v>15</v>
      </c>
      <c r="AD256" t="s">
        <v>3119</v>
      </c>
      <c r="AE256" t="s">
        <v>2988</v>
      </c>
      <c r="AF256">
        <v>0</v>
      </c>
      <c r="AG256" t="s">
        <v>18</v>
      </c>
    </row>
    <row r="257" spans="1:33" x14ac:dyDescent="0.3">
      <c r="A257" t="s">
        <v>2858</v>
      </c>
      <c r="B257" t="s">
        <v>587</v>
      </c>
      <c r="C257">
        <v>-5</v>
      </c>
      <c r="D257" t="s">
        <v>588</v>
      </c>
      <c r="E257" t="s">
        <v>589</v>
      </c>
      <c r="F257">
        <v>-7.5</v>
      </c>
      <c r="G257" t="s">
        <v>599</v>
      </c>
      <c r="H257" t="s">
        <v>2910</v>
      </c>
      <c r="I257" t="str">
        <f t="shared" si="3"/>
        <v xml:space="preserve">stoch_no_highvol_{'P' [('number'-5 1) ('number'-7.5 -1)]}_[21 49]_0.5 </v>
      </c>
      <c r="J257" t="s">
        <v>2540</v>
      </c>
      <c r="K257">
        <v>335</v>
      </c>
      <c r="L257" t="s">
        <v>5</v>
      </c>
      <c r="M257">
        <v>137</v>
      </c>
      <c r="N257" t="s">
        <v>6</v>
      </c>
      <c r="O257">
        <v>-8.8799999999999795</v>
      </c>
      <c r="P257" t="s">
        <v>7</v>
      </c>
      <c r="Q257">
        <v>-2.6507462686567101E-2</v>
      </c>
      <c r="R257" t="s">
        <v>8</v>
      </c>
      <c r="S257">
        <v>0.50708029197080295</v>
      </c>
      <c r="T257" t="s">
        <v>9</v>
      </c>
      <c r="U257">
        <v>-0.39570707070707001</v>
      </c>
      <c r="V257" t="s">
        <v>10</v>
      </c>
      <c r="W257">
        <v>0.219984311678976</v>
      </c>
      <c r="X257" t="s">
        <v>11</v>
      </c>
      <c r="Y257" t="s">
        <v>3178</v>
      </c>
      <c r="Z257" t="s">
        <v>2418</v>
      </c>
      <c r="AA257">
        <v>0</v>
      </c>
      <c r="AB257" t="s">
        <v>14</v>
      </c>
      <c r="AC257" t="s">
        <v>15</v>
      </c>
      <c r="AD257" t="s">
        <v>3159</v>
      </c>
      <c r="AE257" t="s">
        <v>2418</v>
      </c>
      <c r="AF257">
        <v>0</v>
      </c>
      <c r="AG257" t="s">
        <v>18</v>
      </c>
    </row>
    <row r="258" spans="1:33" x14ac:dyDescent="0.3">
      <c r="A258" t="s">
        <v>2777</v>
      </c>
      <c r="B258" t="s">
        <v>587</v>
      </c>
      <c r="C258">
        <v>-7.5</v>
      </c>
      <c r="D258" t="s">
        <v>588</v>
      </c>
      <c r="E258" t="s">
        <v>589</v>
      </c>
      <c r="F258">
        <v>-10</v>
      </c>
      <c r="G258" t="s">
        <v>590</v>
      </c>
      <c r="H258" t="s">
        <v>2543</v>
      </c>
      <c r="I258" t="str">
        <f t="shared" si="3"/>
        <v xml:space="preserve">rsi_{'P' [('number'-7.5 1) ('number'-10 -1)]}_[7 35]_2 </v>
      </c>
      <c r="J258" t="s">
        <v>2540</v>
      </c>
      <c r="K258">
        <v>136</v>
      </c>
      <c r="L258" t="s">
        <v>5</v>
      </c>
      <c r="M258">
        <v>21</v>
      </c>
      <c r="N258" t="s">
        <v>6</v>
      </c>
      <c r="O258">
        <v>-9.0699999999999896</v>
      </c>
      <c r="P258" t="s">
        <v>7</v>
      </c>
      <c r="Q258">
        <v>-6.6691176470588198E-2</v>
      </c>
      <c r="R258" t="s">
        <v>8</v>
      </c>
      <c r="S258">
        <v>0.84571428571428497</v>
      </c>
      <c r="T258" t="s">
        <v>9</v>
      </c>
      <c r="U258">
        <v>-0.233304347826086</v>
      </c>
      <c r="V258" t="s">
        <v>10</v>
      </c>
      <c r="W258">
        <v>8.8522045306185404E-2</v>
      </c>
      <c r="X258" t="s">
        <v>11</v>
      </c>
      <c r="Y258" t="s">
        <v>3135</v>
      </c>
      <c r="Z258" t="s">
        <v>3136</v>
      </c>
      <c r="AA258">
        <v>0</v>
      </c>
      <c r="AB258" t="s">
        <v>14</v>
      </c>
      <c r="AC258" t="s">
        <v>15</v>
      </c>
      <c r="AD258" t="s">
        <v>3135</v>
      </c>
      <c r="AE258" t="s">
        <v>3136</v>
      </c>
      <c r="AF258">
        <v>0</v>
      </c>
      <c r="AG258" t="s">
        <v>18</v>
      </c>
    </row>
    <row r="259" spans="1:33" x14ac:dyDescent="0.3">
      <c r="A259" t="s">
        <v>2811</v>
      </c>
      <c r="B259" t="s">
        <v>587</v>
      </c>
      <c r="C259">
        <v>0</v>
      </c>
      <c r="D259" t="s">
        <v>588</v>
      </c>
      <c r="E259" t="s">
        <v>589</v>
      </c>
      <c r="F259">
        <v>-2.5</v>
      </c>
      <c r="G259" t="s">
        <v>1998</v>
      </c>
      <c r="H259" t="s">
        <v>2918</v>
      </c>
      <c r="I259" t="str">
        <f t="shared" ref="I259:I322" si="4">_xlfn.CONCAT(A259:H259)</f>
        <v xml:space="preserve">stoch_{'P' [('number'0 1) ('number'-2.5 -1)]}_[42 70]_0.5 </v>
      </c>
      <c r="J259" t="s">
        <v>2540</v>
      </c>
      <c r="K259">
        <v>370</v>
      </c>
      <c r="L259" t="s">
        <v>5</v>
      </c>
      <c r="M259">
        <v>167</v>
      </c>
      <c r="N259" t="s">
        <v>6</v>
      </c>
      <c r="O259">
        <v>-9.0943378076269692</v>
      </c>
      <c r="P259" t="s">
        <v>7</v>
      </c>
      <c r="Q259">
        <v>-2.4579291371964698E-2</v>
      </c>
      <c r="R259" t="s">
        <v>8</v>
      </c>
      <c r="S259">
        <v>0.86669518194389406</v>
      </c>
      <c r="T259" t="s">
        <v>9</v>
      </c>
      <c r="U259">
        <v>-0.75779523740028198</v>
      </c>
      <c r="V259" t="s">
        <v>10</v>
      </c>
      <c r="W259">
        <v>0.41419244213004203</v>
      </c>
      <c r="X259" t="s">
        <v>11</v>
      </c>
      <c r="Y259" t="s">
        <v>2911</v>
      </c>
      <c r="Z259" t="s">
        <v>53</v>
      </c>
      <c r="AA259">
        <v>0</v>
      </c>
      <c r="AB259" t="s">
        <v>14</v>
      </c>
      <c r="AC259" t="s">
        <v>15</v>
      </c>
      <c r="AD259" t="s">
        <v>2911</v>
      </c>
      <c r="AE259" t="s">
        <v>53</v>
      </c>
      <c r="AF259">
        <v>0</v>
      </c>
      <c r="AG259" t="s">
        <v>18</v>
      </c>
    </row>
    <row r="260" spans="1:33" x14ac:dyDescent="0.3">
      <c r="A260" t="s">
        <v>2777</v>
      </c>
      <c r="B260" t="s">
        <v>587</v>
      </c>
      <c r="C260">
        <v>-7.5</v>
      </c>
      <c r="D260" t="s">
        <v>588</v>
      </c>
      <c r="E260" t="s">
        <v>589</v>
      </c>
      <c r="F260">
        <v>-10</v>
      </c>
      <c r="G260" t="s">
        <v>590</v>
      </c>
      <c r="H260" t="s">
        <v>2539</v>
      </c>
      <c r="I260" t="str">
        <f t="shared" si="4"/>
        <v xml:space="preserve">rsi_{'P' [('number'-7.5 1) ('number'-10 -1)]}_[7 35]_1 </v>
      </c>
      <c r="J260" t="s">
        <v>2540</v>
      </c>
      <c r="K260">
        <v>136</v>
      </c>
      <c r="L260" t="s">
        <v>5</v>
      </c>
      <c r="M260">
        <v>30</v>
      </c>
      <c r="N260" t="s">
        <v>6</v>
      </c>
      <c r="O260">
        <v>-9.1199999999999992</v>
      </c>
      <c r="P260" t="s">
        <v>7</v>
      </c>
      <c r="Q260">
        <v>-6.7058823529411699E-2</v>
      </c>
      <c r="R260" t="s">
        <v>8</v>
      </c>
      <c r="S260">
        <v>0.50166666666666604</v>
      </c>
      <c r="T260" t="s">
        <v>9</v>
      </c>
      <c r="U260">
        <v>-0.228018867924528</v>
      </c>
      <c r="V260" t="s">
        <v>10</v>
      </c>
      <c r="W260">
        <v>6.7012618599551502E-2</v>
      </c>
      <c r="X260" t="s">
        <v>11</v>
      </c>
      <c r="Y260" t="s">
        <v>3130</v>
      </c>
      <c r="Z260" t="s">
        <v>2631</v>
      </c>
      <c r="AA260">
        <v>0</v>
      </c>
      <c r="AB260" t="s">
        <v>14</v>
      </c>
      <c r="AC260" t="s">
        <v>15</v>
      </c>
      <c r="AD260" t="s">
        <v>3133</v>
      </c>
      <c r="AE260" t="s">
        <v>3134</v>
      </c>
      <c r="AF260">
        <v>0</v>
      </c>
      <c r="AG260" t="s">
        <v>18</v>
      </c>
    </row>
    <row r="261" spans="1:33" x14ac:dyDescent="0.3">
      <c r="A261" t="s">
        <v>2858</v>
      </c>
      <c r="B261" t="s">
        <v>587</v>
      </c>
      <c r="C261">
        <v>-5</v>
      </c>
      <c r="D261" t="s">
        <v>588</v>
      </c>
      <c r="E261" t="s">
        <v>589</v>
      </c>
      <c r="F261">
        <v>-7.5</v>
      </c>
      <c r="G261" t="s">
        <v>599</v>
      </c>
      <c r="H261" t="s">
        <v>2550</v>
      </c>
      <c r="I261" t="str">
        <f t="shared" si="4"/>
        <v xml:space="preserve">stoch_no_highvol_{'P' [('number'-5 1) ('number'-7.5 -1)]}_[21 49]_1 </v>
      </c>
      <c r="J261" t="s">
        <v>2540</v>
      </c>
      <c r="K261">
        <v>335</v>
      </c>
      <c r="L261" t="s">
        <v>5</v>
      </c>
      <c r="M261">
        <v>98</v>
      </c>
      <c r="N261" t="s">
        <v>6</v>
      </c>
      <c r="O261">
        <v>-9.2000000000000597</v>
      </c>
      <c r="P261" t="s">
        <v>7</v>
      </c>
      <c r="Q261">
        <v>-2.7462686567164302E-2</v>
      </c>
      <c r="R261" t="s">
        <v>8</v>
      </c>
      <c r="S261">
        <v>0.85316326530612097</v>
      </c>
      <c r="T261" t="s">
        <v>9</v>
      </c>
      <c r="U261">
        <v>-0.39160337552742602</v>
      </c>
      <c r="V261" t="s">
        <v>10</v>
      </c>
      <c r="W261">
        <v>0.28009086068150302</v>
      </c>
      <c r="X261" t="s">
        <v>11</v>
      </c>
      <c r="Y261" t="s">
        <v>2931</v>
      </c>
      <c r="Z261" t="s">
        <v>2863</v>
      </c>
      <c r="AA261">
        <v>0</v>
      </c>
      <c r="AB261" t="s">
        <v>14</v>
      </c>
      <c r="AC261" t="s">
        <v>15</v>
      </c>
      <c r="AD261" t="s">
        <v>3160</v>
      </c>
      <c r="AE261" t="s">
        <v>2863</v>
      </c>
      <c r="AF261">
        <v>0</v>
      </c>
      <c r="AG261" t="s">
        <v>18</v>
      </c>
    </row>
    <row r="262" spans="1:33" x14ac:dyDescent="0.3">
      <c r="A262" t="s">
        <v>2777</v>
      </c>
      <c r="B262" t="s">
        <v>587</v>
      </c>
      <c r="C262">
        <v>-5</v>
      </c>
      <c r="D262" t="s">
        <v>588</v>
      </c>
      <c r="E262" t="s">
        <v>589</v>
      </c>
      <c r="F262">
        <v>-7.5</v>
      </c>
      <c r="G262" t="s">
        <v>1998</v>
      </c>
      <c r="H262" t="s">
        <v>2926</v>
      </c>
      <c r="I262" t="str">
        <f t="shared" si="4"/>
        <v xml:space="preserve">rsi_{'P' [('number'-5 1) ('number'-7.5 -1)]}_[42 70]_3 </v>
      </c>
      <c r="J262" t="s">
        <v>2540</v>
      </c>
      <c r="K262">
        <v>127</v>
      </c>
      <c r="L262" t="s">
        <v>5</v>
      </c>
      <c r="M262">
        <v>25</v>
      </c>
      <c r="N262" t="s">
        <v>6</v>
      </c>
      <c r="O262">
        <v>-9.2444213541597406</v>
      </c>
      <c r="P262" t="s">
        <v>7</v>
      </c>
      <c r="Q262">
        <v>-7.2790719324092507E-2</v>
      </c>
      <c r="R262" t="s">
        <v>8</v>
      </c>
      <c r="S262">
        <v>1.7192267857363199</v>
      </c>
      <c r="T262" t="s">
        <v>9</v>
      </c>
      <c r="U262">
        <v>-0.51201069605458605</v>
      </c>
      <c r="V262" t="s">
        <v>10</v>
      </c>
      <c r="W262">
        <v>0.207632405882125</v>
      </c>
      <c r="X262" t="s">
        <v>11</v>
      </c>
      <c r="Y262" t="s">
        <v>3128</v>
      </c>
      <c r="Z262" t="s">
        <v>3129</v>
      </c>
      <c r="AA262">
        <v>0</v>
      </c>
      <c r="AB262" t="s">
        <v>14</v>
      </c>
      <c r="AC262" t="s">
        <v>15</v>
      </c>
      <c r="AD262" t="s">
        <v>3128</v>
      </c>
      <c r="AE262" t="s">
        <v>3129</v>
      </c>
      <c r="AF262">
        <v>0</v>
      </c>
      <c r="AG262" t="s">
        <v>18</v>
      </c>
    </row>
    <row r="263" spans="1:33" x14ac:dyDescent="0.3">
      <c r="A263" t="s">
        <v>2777</v>
      </c>
      <c r="B263" t="s">
        <v>587</v>
      </c>
      <c r="C263">
        <v>-7.5</v>
      </c>
      <c r="D263" t="s">
        <v>588</v>
      </c>
      <c r="E263" t="s">
        <v>589</v>
      </c>
      <c r="F263">
        <v>-10</v>
      </c>
      <c r="G263" t="s">
        <v>590</v>
      </c>
      <c r="H263" t="s">
        <v>2909</v>
      </c>
      <c r="I263" t="str">
        <f t="shared" si="4"/>
        <v xml:space="preserve">rsi_{'P' [('number'-7.5 1) ('number'-10 -1)]}_[7 35]_3 </v>
      </c>
      <c r="J263" t="s">
        <v>2540</v>
      </c>
      <c r="K263">
        <v>136</v>
      </c>
      <c r="L263" t="s">
        <v>5</v>
      </c>
      <c r="M263">
        <v>16</v>
      </c>
      <c r="N263" t="s">
        <v>6</v>
      </c>
      <c r="O263">
        <v>-9.3799999999999795</v>
      </c>
      <c r="P263" t="s">
        <v>7</v>
      </c>
      <c r="Q263">
        <v>-6.8970588235294006E-2</v>
      </c>
      <c r="R263" t="s">
        <v>8</v>
      </c>
      <c r="S263">
        <v>1.153125</v>
      </c>
      <c r="T263" t="s">
        <v>9</v>
      </c>
      <c r="U263">
        <v>-0.23191666666666599</v>
      </c>
      <c r="V263" t="s">
        <v>10</v>
      </c>
      <c r="W263">
        <v>0.104838349174654</v>
      </c>
      <c r="X263" t="s">
        <v>11</v>
      </c>
      <c r="Y263" t="s">
        <v>3135</v>
      </c>
      <c r="Z263" t="s">
        <v>3136</v>
      </c>
      <c r="AA263">
        <v>0</v>
      </c>
      <c r="AB263" t="s">
        <v>14</v>
      </c>
      <c r="AC263" t="s">
        <v>15</v>
      </c>
      <c r="AD263" t="s">
        <v>3137</v>
      </c>
      <c r="AE263" t="s">
        <v>2249</v>
      </c>
      <c r="AF263">
        <v>0</v>
      </c>
      <c r="AG263" t="s">
        <v>18</v>
      </c>
    </row>
    <row r="264" spans="1:33" x14ac:dyDescent="0.3">
      <c r="A264" t="s">
        <v>2623</v>
      </c>
      <c r="B264" t="s">
        <v>587</v>
      </c>
      <c r="C264">
        <v>-5</v>
      </c>
      <c r="D264" t="s">
        <v>588</v>
      </c>
      <c r="E264" t="s">
        <v>589</v>
      </c>
      <c r="F264">
        <v>-7.5</v>
      </c>
      <c r="G264" t="s">
        <v>599</v>
      </c>
      <c r="H264" t="s">
        <v>2550</v>
      </c>
      <c r="I264" t="str">
        <f t="shared" si="4"/>
        <v xml:space="preserve">bbands_{'P' [('number'-5 1) ('number'-7.5 -1)]}_[21 49]_1 </v>
      </c>
      <c r="J264" t="s">
        <v>2540</v>
      </c>
      <c r="K264">
        <v>178</v>
      </c>
      <c r="L264" t="s">
        <v>5</v>
      </c>
      <c r="M264">
        <v>49</v>
      </c>
      <c r="N264" t="s">
        <v>6</v>
      </c>
      <c r="O264">
        <v>-9.5099999999999696</v>
      </c>
      <c r="P264" t="s">
        <v>7</v>
      </c>
      <c r="Q264">
        <v>-5.3426966292134698E-2</v>
      </c>
      <c r="R264" t="s">
        <v>8</v>
      </c>
      <c r="S264">
        <v>0.892448979591837</v>
      </c>
      <c r="T264" t="s">
        <v>9</v>
      </c>
      <c r="U264">
        <v>-0.41271317829457299</v>
      </c>
      <c r="V264" t="s">
        <v>10</v>
      </c>
      <c r="W264">
        <v>0.14418782469809699</v>
      </c>
      <c r="X264" t="s">
        <v>11</v>
      </c>
      <c r="Y264" t="s">
        <v>2991</v>
      </c>
      <c r="Z264" t="s">
        <v>2169</v>
      </c>
      <c r="AA264">
        <v>0</v>
      </c>
      <c r="AB264" t="s">
        <v>14</v>
      </c>
      <c r="AC264" t="s">
        <v>15</v>
      </c>
      <c r="AD264" t="s">
        <v>3003</v>
      </c>
      <c r="AE264" t="s">
        <v>2013</v>
      </c>
      <c r="AF264">
        <v>0</v>
      </c>
      <c r="AG264" t="s">
        <v>18</v>
      </c>
    </row>
    <row r="265" spans="1:33" x14ac:dyDescent="0.3">
      <c r="A265" t="s">
        <v>2623</v>
      </c>
      <c r="B265" t="s">
        <v>587</v>
      </c>
      <c r="C265">
        <v>-7.5</v>
      </c>
      <c r="D265" t="s">
        <v>588</v>
      </c>
      <c r="E265" t="s">
        <v>589</v>
      </c>
      <c r="F265">
        <v>-10</v>
      </c>
      <c r="G265" t="s">
        <v>1998</v>
      </c>
      <c r="H265" t="s">
        <v>2926</v>
      </c>
      <c r="I265" t="str">
        <f t="shared" si="4"/>
        <v xml:space="preserve">bbands_{'P' [('number'-7.5 1) ('number'-10 -1)]}_[42 70]_3 </v>
      </c>
      <c r="J265" t="s">
        <v>2540</v>
      </c>
      <c r="K265">
        <v>167</v>
      </c>
      <c r="L265" t="s">
        <v>5</v>
      </c>
      <c r="M265">
        <v>29</v>
      </c>
      <c r="N265" t="s">
        <v>6</v>
      </c>
      <c r="O265">
        <v>-9.6715534690154996</v>
      </c>
      <c r="P265" t="s">
        <v>7</v>
      </c>
      <c r="Q265">
        <v>-5.79134938264401E-2</v>
      </c>
      <c r="R265" t="s">
        <v>8</v>
      </c>
      <c r="S265">
        <v>1.9119758684736201</v>
      </c>
      <c r="T265" t="s">
        <v>9</v>
      </c>
      <c r="U265">
        <v>-0.47187575112138103</v>
      </c>
      <c r="V265" t="s">
        <v>10</v>
      </c>
      <c r="W265">
        <v>0.32531234729837</v>
      </c>
      <c r="X265" t="s">
        <v>11</v>
      </c>
      <c r="Y265" t="s">
        <v>2913</v>
      </c>
      <c r="Z265" t="s">
        <v>2914</v>
      </c>
      <c r="AA265">
        <v>0</v>
      </c>
      <c r="AB265" t="s">
        <v>14</v>
      </c>
      <c r="AC265" t="s">
        <v>15</v>
      </c>
      <c r="AD265" t="s">
        <v>2913</v>
      </c>
      <c r="AE265" t="s">
        <v>2914</v>
      </c>
      <c r="AF265">
        <v>0</v>
      </c>
      <c r="AG265" t="s">
        <v>18</v>
      </c>
    </row>
    <row r="266" spans="1:33" x14ac:dyDescent="0.3">
      <c r="A266" t="s">
        <v>2683</v>
      </c>
      <c r="B266" t="s">
        <v>587</v>
      </c>
      <c r="C266">
        <v>-2.5</v>
      </c>
      <c r="D266" t="s">
        <v>588</v>
      </c>
      <c r="E266" t="s">
        <v>589</v>
      </c>
      <c r="F266">
        <v>-5</v>
      </c>
      <c r="G266" t="s">
        <v>590</v>
      </c>
      <c r="H266" t="s">
        <v>2909</v>
      </c>
      <c r="I266" t="str">
        <f t="shared" si="4"/>
        <v xml:space="preserve">bbands_no_highvol_{'P' [('number'-2.5 1) ('number'-5 -1)]}_[7 35]_3 </v>
      </c>
      <c r="J266" t="s">
        <v>2540</v>
      </c>
      <c r="K266">
        <v>155</v>
      </c>
      <c r="L266" t="s">
        <v>5</v>
      </c>
      <c r="M266">
        <v>31</v>
      </c>
      <c r="N266" t="s">
        <v>6</v>
      </c>
      <c r="O266">
        <v>-9.7199999999999491</v>
      </c>
      <c r="P266" t="s">
        <v>7</v>
      </c>
      <c r="Q266">
        <v>-6.2709677419354501E-2</v>
      </c>
      <c r="R266" t="s">
        <v>8</v>
      </c>
      <c r="S266">
        <v>1.6664516129032201</v>
      </c>
      <c r="T266" t="s">
        <v>9</v>
      </c>
      <c r="U266">
        <v>-0.494999999999999</v>
      </c>
      <c r="V266" t="s">
        <v>10</v>
      </c>
      <c r="W266">
        <v>0.18985684927013199</v>
      </c>
      <c r="X266" t="s">
        <v>11</v>
      </c>
      <c r="Y266" t="s">
        <v>2989</v>
      </c>
      <c r="Z266" t="s">
        <v>2990</v>
      </c>
      <c r="AA266">
        <v>0</v>
      </c>
      <c r="AB266" t="s">
        <v>14</v>
      </c>
      <c r="AC266" t="s">
        <v>15</v>
      </c>
      <c r="AD266" t="s">
        <v>2987</v>
      </c>
      <c r="AE266" t="s">
        <v>2418</v>
      </c>
      <c r="AF266">
        <v>0</v>
      </c>
      <c r="AG266" t="s">
        <v>18</v>
      </c>
    </row>
    <row r="267" spans="1:33" x14ac:dyDescent="0.3">
      <c r="A267" t="s">
        <v>2623</v>
      </c>
      <c r="B267" t="s">
        <v>587</v>
      </c>
      <c r="C267">
        <v>-2.5</v>
      </c>
      <c r="D267" t="s">
        <v>588</v>
      </c>
      <c r="E267" t="s">
        <v>589</v>
      </c>
      <c r="F267">
        <v>-5</v>
      </c>
      <c r="G267" t="s">
        <v>599</v>
      </c>
      <c r="H267" t="s">
        <v>2552</v>
      </c>
      <c r="I267" t="str">
        <f t="shared" si="4"/>
        <v xml:space="preserve">bbands_{'P' [('number'-2.5 1) ('number'-5 -1)]}_[21 49]_2 </v>
      </c>
      <c r="J267" t="s">
        <v>2540</v>
      </c>
      <c r="K267">
        <v>178</v>
      </c>
      <c r="L267" t="s">
        <v>5</v>
      </c>
      <c r="M267">
        <v>40</v>
      </c>
      <c r="N267" t="s">
        <v>6</v>
      </c>
      <c r="O267">
        <v>-9.8599999999999497</v>
      </c>
      <c r="P267" t="s">
        <v>7</v>
      </c>
      <c r="Q267">
        <v>-5.5393258426965998E-2</v>
      </c>
      <c r="R267" t="s">
        <v>8</v>
      </c>
      <c r="S267">
        <v>1.58325</v>
      </c>
      <c r="T267" t="s">
        <v>9</v>
      </c>
      <c r="U267">
        <v>-0.53036231884057905</v>
      </c>
      <c r="V267" t="s">
        <v>10</v>
      </c>
      <c r="W267">
        <v>0.231619415639403</v>
      </c>
      <c r="X267" t="s">
        <v>11</v>
      </c>
      <c r="Y267" t="s">
        <v>2992</v>
      </c>
      <c r="Z267" t="s">
        <v>2071</v>
      </c>
      <c r="AA267">
        <v>0</v>
      </c>
      <c r="AB267" t="s">
        <v>14</v>
      </c>
      <c r="AC267" t="s">
        <v>15</v>
      </c>
      <c r="AD267" t="s">
        <v>2993</v>
      </c>
      <c r="AE267" t="s">
        <v>1253</v>
      </c>
      <c r="AF267">
        <v>0</v>
      </c>
      <c r="AG267" t="s">
        <v>18</v>
      </c>
    </row>
    <row r="268" spans="1:33" x14ac:dyDescent="0.3">
      <c r="A268" t="s">
        <v>2858</v>
      </c>
      <c r="B268" t="s">
        <v>587</v>
      </c>
      <c r="C268">
        <v>-7.5</v>
      </c>
      <c r="D268" t="s">
        <v>588</v>
      </c>
      <c r="E268" t="s">
        <v>589</v>
      </c>
      <c r="F268">
        <v>-10</v>
      </c>
      <c r="G268" t="s">
        <v>590</v>
      </c>
      <c r="H268" t="s">
        <v>2543</v>
      </c>
      <c r="I268" t="str">
        <f t="shared" si="4"/>
        <v xml:space="preserve">stoch_no_highvol_{'P' [('number'-7.5 1) ('number'-10 -1)]}_[7 35]_2 </v>
      </c>
      <c r="J268" t="s">
        <v>2540</v>
      </c>
      <c r="K268">
        <v>334</v>
      </c>
      <c r="L268" t="s">
        <v>5</v>
      </c>
      <c r="M268">
        <v>59</v>
      </c>
      <c r="N268" t="s">
        <v>6</v>
      </c>
      <c r="O268">
        <v>-9.9099999999999593</v>
      </c>
      <c r="P268" t="s">
        <v>7</v>
      </c>
      <c r="Q268">
        <v>-2.9670658682634601E-2</v>
      </c>
      <c r="R268" t="s">
        <v>8</v>
      </c>
      <c r="S268">
        <v>0.96610169491525399</v>
      </c>
      <c r="T268" t="s">
        <v>9</v>
      </c>
      <c r="U268">
        <v>-0.24330909090909</v>
      </c>
      <c r="V268" t="s">
        <v>10</v>
      </c>
      <c r="W268">
        <v>0.23744680676700999</v>
      </c>
      <c r="X268" t="s">
        <v>11</v>
      </c>
      <c r="Y268" t="s">
        <v>775</v>
      </c>
      <c r="Z268" t="s">
        <v>2863</v>
      </c>
      <c r="AA268">
        <v>0</v>
      </c>
      <c r="AB268" t="s">
        <v>14</v>
      </c>
      <c r="AC268" t="s">
        <v>15</v>
      </c>
      <c r="AD268" t="s">
        <v>250</v>
      </c>
      <c r="AE268" t="s">
        <v>2999</v>
      </c>
      <c r="AF268">
        <v>0</v>
      </c>
      <c r="AG268" t="s">
        <v>18</v>
      </c>
    </row>
    <row r="269" spans="1:33" x14ac:dyDescent="0.3">
      <c r="A269" t="s">
        <v>2683</v>
      </c>
      <c r="B269" t="s">
        <v>587</v>
      </c>
      <c r="C269">
        <v>-7.5</v>
      </c>
      <c r="D269" t="s">
        <v>588</v>
      </c>
      <c r="E269" t="s">
        <v>589</v>
      </c>
      <c r="F269">
        <v>-10</v>
      </c>
      <c r="G269" t="s">
        <v>1998</v>
      </c>
      <c r="H269" t="s">
        <v>2562</v>
      </c>
      <c r="I269" t="str">
        <f t="shared" si="4"/>
        <v xml:space="preserve">bbands_no_highvol_{'P' [('number'-7.5 1) ('number'-10 -1)]}_[42 70]_2 </v>
      </c>
      <c r="J269" t="s">
        <v>2540</v>
      </c>
      <c r="K269">
        <v>157</v>
      </c>
      <c r="L269" t="s">
        <v>5</v>
      </c>
      <c r="M269">
        <v>33</v>
      </c>
      <c r="N269" t="s">
        <v>6</v>
      </c>
      <c r="O269">
        <v>-9.9722382777368708</v>
      </c>
      <c r="P269" t="s">
        <v>7</v>
      </c>
      <c r="Q269">
        <v>-6.3517441259470495E-2</v>
      </c>
      <c r="R269" t="s">
        <v>8</v>
      </c>
      <c r="S269">
        <v>1.36461621385891</v>
      </c>
      <c r="T269" t="s">
        <v>9</v>
      </c>
      <c r="U269">
        <v>-0.44358526883129701</v>
      </c>
      <c r="V269" t="s">
        <v>10</v>
      </c>
      <c r="W269">
        <v>0.19404734005084001</v>
      </c>
      <c r="X269" t="s">
        <v>11</v>
      </c>
      <c r="Y269" t="s">
        <v>2938</v>
      </c>
      <c r="Z269" t="s">
        <v>660</v>
      </c>
      <c r="AA269">
        <v>0</v>
      </c>
      <c r="AB269" t="s">
        <v>14</v>
      </c>
      <c r="AC269" t="s">
        <v>15</v>
      </c>
      <c r="AD269" t="s">
        <v>3009</v>
      </c>
      <c r="AE269" t="s">
        <v>660</v>
      </c>
      <c r="AF269">
        <v>0</v>
      </c>
      <c r="AG269" t="s">
        <v>18</v>
      </c>
    </row>
    <row r="270" spans="1:33" x14ac:dyDescent="0.3">
      <c r="A270" t="s">
        <v>2623</v>
      </c>
      <c r="B270" t="s">
        <v>587</v>
      </c>
      <c r="C270">
        <v>0</v>
      </c>
      <c r="D270" t="s">
        <v>588</v>
      </c>
      <c r="E270" t="s">
        <v>589</v>
      </c>
      <c r="F270">
        <v>-2.5</v>
      </c>
      <c r="G270" t="s">
        <v>599</v>
      </c>
      <c r="H270" t="s">
        <v>2916</v>
      </c>
      <c r="I270" t="str">
        <f t="shared" si="4"/>
        <v xml:space="preserve">bbands_{'P' [('number'0 1) ('number'-2.5 -1)]}_[21 49]_3 </v>
      </c>
      <c r="J270" t="s">
        <v>2540</v>
      </c>
      <c r="K270">
        <v>178</v>
      </c>
      <c r="L270" t="s">
        <v>5</v>
      </c>
      <c r="M270">
        <v>49</v>
      </c>
      <c r="N270" t="s">
        <v>6</v>
      </c>
      <c r="O270">
        <v>-10.039999999999999</v>
      </c>
      <c r="P270" t="s">
        <v>7</v>
      </c>
      <c r="Q270">
        <v>-5.6404494382022802E-2</v>
      </c>
      <c r="R270" t="s">
        <v>8</v>
      </c>
      <c r="S270">
        <v>1.50367346938775</v>
      </c>
      <c r="T270" t="s">
        <v>9</v>
      </c>
      <c r="U270">
        <v>-0.64899224806201505</v>
      </c>
      <c r="V270" t="s">
        <v>10</v>
      </c>
      <c r="W270">
        <v>0.28304496202046298</v>
      </c>
      <c r="X270" t="s">
        <v>11</v>
      </c>
      <c r="Y270" t="s">
        <v>2981</v>
      </c>
      <c r="Z270" t="s">
        <v>660</v>
      </c>
      <c r="AA270">
        <v>0</v>
      </c>
      <c r="AB270" t="s">
        <v>14</v>
      </c>
      <c r="AC270" t="s">
        <v>15</v>
      </c>
      <c r="AD270" t="s">
        <v>1366</v>
      </c>
      <c r="AE270" t="s">
        <v>1253</v>
      </c>
      <c r="AF270">
        <v>0</v>
      </c>
      <c r="AG270" t="s">
        <v>18</v>
      </c>
    </row>
    <row r="271" spans="1:33" x14ac:dyDescent="0.3">
      <c r="A271" t="s">
        <v>2623</v>
      </c>
      <c r="B271" t="s">
        <v>587</v>
      </c>
      <c r="C271">
        <v>0</v>
      </c>
      <c r="D271" t="s">
        <v>588</v>
      </c>
      <c r="E271" t="s">
        <v>589</v>
      </c>
      <c r="F271">
        <v>-2.5</v>
      </c>
      <c r="G271" t="s">
        <v>590</v>
      </c>
      <c r="H271" t="s">
        <v>2539</v>
      </c>
      <c r="I271" t="str">
        <f t="shared" si="4"/>
        <v xml:space="preserve">bbands_{'P' [('number'0 1) ('number'-2.5 -1)]}_[7 35]_1 </v>
      </c>
      <c r="J271" t="s">
        <v>2540</v>
      </c>
      <c r="K271">
        <v>169</v>
      </c>
      <c r="L271" t="s">
        <v>5</v>
      </c>
      <c r="M271">
        <v>53</v>
      </c>
      <c r="N271" t="s">
        <v>6</v>
      </c>
      <c r="O271">
        <v>-10.14</v>
      </c>
      <c r="P271" t="s">
        <v>7</v>
      </c>
      <c r="Q271">
        <v>-6.00000000000004E-2</v>
      </c>
      <c r="R271" t="s">
        <v>8</v>
      </c>
      <c r="S271">
        <v>1.2094339622641499</v>
      </c>
      <c r="T271" t="s">
        <v>9</v>
      </c>
      <c r="U271">
        <v>-0.64</v>
      </c>
      <c r="V271" t="s">
        <v>10</v>
      </c>
      <c r="W271">
        <v>0.206667869406925</v>
      </c>
      <c r="X271" t="s">
        <v>11</v>
      </c>
      <c r="Y271" t="s">
        <v>2978</v>
      </c>
      <c r="Z271" t="s">
        <v>1431</v>
      </c>
      <c r="AA271">
        <v>0</v>
      </c>
      <c r="AB271" t="s">
        <v>14</v>
      </c>
      <c r="AC271" t="s">
        <v>15</v>
      </c>
      <c r="AD271" t="s">
        <v>2979</v>
      </c>
      <c r="AE271" t="s">
        <v>1431</v>
      </c>
      <c r="AF271">
        <v>0</v>
      </c>
      <c r="AG271" t="s">
        <v>18</v>
      </c>
    </row>
    <row r="272" spans="1:33" x14ac:dyDescent="0.3">
      <c r="A272" t="s">
        <v>2811</v>
      </c>
      <c r="B272" t="s">
        <v>587</v>
      </c>
      <c r="C272">
        <v>-7.5</v>
      </c>
      <c r="D272" t="s">
        <v>588</v>
      </c>
      <c r="E272" t="s">
        <v>589</v>
      </c>
      <c r="F272">
        <v>-10</v>
      </c>
      <c r="G272" t="s">
        <v>590</v>
      </c>
      <c r="H272" t="s">
        <v>2909</v>
      </c>
      <c r="I272" t="str">
        <f t="shared" si="4"/>
        <v xml:space="preserve">stoch_{'P' [('number'-7.5 1) ('number'-10 -1)]}_[7 35]_3 </v>
      </c>
      <c r="J272" t="s">
        <v>2540</v>
      </c>
      <c r="K272">
        <v>375</v>
      </c>
      <c r="L272" t="s">
        <v>5</v>
      </c>
      <c r="M272">
        <v>49</v>
      </c>
      <c r="N272" t="s">
        <v>6</v>
      </c>
      <c r="O272">
        <v>-10.331450827817401</v>
      </c>
      <c r="P272" t="s">
        <v>7</v>
      </c>
      <c r="Q272">
        <v>-2.75505355408464E-2</v>
      </c>
      <c r="R272" t="s">
        <v>8</v>
      </c>
      <c r="S272">
        <v>1.60673469387755</v>
      </c>
      <c r="T272" t="s">
        <v>9</v>
      </c>
      <c r="U272">
        <v>-0.27319463444115699</v>
      </c>
      <c r="V272" t="s">
        <v>10</v>
      </c>
      <c r="W272">
        <v>0.41160982476712199</v>
      </c>
      <c r="X272" t="s">
        <v>11</v>
      </c>
      <c r="Y272" t="s">
        <v>2962</v>
      </c>
      <c r="Z272" t="s">
        <v>2963</v>
      </c>
      <c r="AA272">
        <v>0</v>
      </c>
      <c r="AB272" t="s">
        <v>14</v>
      </c>
      <c r="AC272" t="s">
        <v>15</v>
      </c>
      <c r="AD272" t="s">
        <v>3164</v>
      </c>
      <c r="AE272" t="s">
        <v>2071</v>
      </c>
      <c r="AF272">
        <v>0</v>
      </c>
      <c r="AG272" t="s">
        <v>18</v>
      </c>
    </row>
    <row r="273" spans="1:33" x14ac:dyDescent="0.3">
      <c r="A273" t="s">
        <v>2623</v>
      </c>
      <c r="B273" t="s">
        <v>587</v>
      </c>
      <c r="C273">
        <v>0</v>
      </c>
      <c r="D273" t="s">
        <v>588</v>
      </c>
      <c r="E273" t="s">
        <v>589</v>
      </c>
      <c r="F273">
        <v>-2.5</v>
      </c>
      <c r="G273" t="s">
        <v>590</v>
      </c>
      <c r="H273" t="s">
        <v>2909</v>
      </c>
      <c r="I273" t="str">
        <f t="shared" si="4"/>
        <v xml:space="preserve">bbands_{'P' [('number'0 1) ('number'-2.5 -1)]}_[7 35]_3 </v>
      </c>
      <c r="J273" t="s">
        <v>2540</v>
      </c>
      <c r="K273">
        <v>169</v>
      </c>
      <c r="L273" t="s">
        <v>5</v>
      </c>
      <c r="M273">
        <v>50</v>
      </c>
      <c r="N273" t="s">
        <v>6</v>
      </c>
      <c r="O273">
        <v>-10.38</v>
      </c>
      <c r="P273" t="s">
        <v>7</v>
      </c>
      <c r="Q273">
        <v>-6.14201183431956E-2</v>
      </c>
      <c r="R273" t="s">
        <v>8</v>
      </c>
      <c r="S273">
        <v>1.3173999999999999</v>
      </c>
      <c r="T273" t="s">
        <v>9</v>
      </c>
      <c r="U273">
        <v>-0.64075630252100901</v>
      </c>
      <c r="V273" t="s">
        <v>10</v>
      </c>
      <c r="W273">
        <v>0.23466192248960199</v>
      </c>
      <c r="X273" t="s">
        <v>11</v>
      </c>
      <c r="Y273" t="s">
        <v>2980</v>
      </c>
      <c r="Z273" t="s">
        <v>2046</v>
      </c>
      <c r="AA273">
        <v>0</v>
      </c>
      <c r="AB273" t="s">
        <v>14</v>
      </c>
      <c r="AC273" t="s">
        <v>15</v>
      </c>
      <c r="AD273" t="s">
        <v>2979</v>
      </c>
      <c r="AE273" t="s">
        <v>1431</v>
      </c>
      <c r="AF273">
        <v>0</v>
      </c>
      <c r="AG273" t="s">
        <v>18</v>
      </c>
    </row>
    <row r="274" spans="1:33" x14ac:dyDescent="0.3">
      <c r="A274" t="s">
        <v>2811</v>
      </c>
      <c r="B274" t="s">
        <v>587</v>
      </c>
      <c r="C274">
        <v>-5</v>
      </c>
      <c r="D274" t="s">
        <v>588</v>
      </c>
      <c r="E274" t="s">
        <v>589</v>
      </c>
      <c r="F274">
        <v>-7.5</v>
      </c>
      <c r="G274" t="s">
        <v>1998</v>
      </c>
      <c r="H274" t="s">
        <v>2562</v>
      </c>
      <c r="I274" t="str">
        <f t="shared" si="4"/>
        <v xml:space="preserve">stoch_{'P' [('number'-5 1) ('number'-7.5 -1)]}_[42 70]_2 </v>
      </c>
      <c r="J274" t="s">
        <v>2540</v>
      </c>
      <c r="K274">
        <v>370</v>
      </c>
      <c r="L274" t="s">
        <v>5</v>
      </c>
      <c r="M274">
        <v>90</v>
      </c>
      <c r="N274" t="s">
        <v>6</v>
      </c>
      <c r="O274">
        <v>-10.4189598728648</v>
      </c>
      <c r="P274" t="s">
        <v>7</v>
      </c>
      <c r="Q274">
        <v>-2.8159351007742701E-2</v>
      </c>
      <c r="R274" t="s">
        <v>8</v>
      </c>
      <c r="S274">
        <v>1.5538090439039201</v>
      </c>
      <c r="T274" t="s">
        <v>9</v>
      </c>
      <c r="U274">
        <v>-0.53664919222935203</v>
      </c>
      <c r="V274" t="s">
        <v>10</v>
      </c>
      <c r="W274">
        <v>0.42865788272691302</v>
      </c>
      <c r="X274" t="s">
        <v>11</v>
      </c>
      <c r="Y274" t="s">
        <v>2913</v>
      </c>
      <c r="Z274" t="s">
        <v>2914</v>
      </c>
      <c r="AA274">
        <v>0</v>
      </c>
      <c r="AB274" t="s">
        <v>14</v>
      </c>
      <c r="AC274" t="s">
        <v>15</v>
      </c>
      <c r="AD274" t="s">
        <v>2913</v>
      </c>
      <c r="AE274" t="s">
        <v>2914</v>
      </c>
      <c r="AF274">
        <v>0</v>
      </c>
      <c r="AG274" t="s">
        <v>18</v>
      </c>
    </row>
    <row r="275" spans="1:33" x14ac:dyDescent="0.3">
      <c r="A275" t="s">
        <v>2623</v>
      </c>
      <c r="B275" t="s">
        <v>587</v>
      </c>
      <c r="C275">
        <v>-5</v>
      </c>
      <c r="D275" t="s">
        <v>588</v>
      </c>
      <c r="E275" t="s">
        <v>589</v>
      </c>
      <c r="F275">
        <v>-7.5</v>
      </c>
      <c r="G275" t="s">
        <v>1998</v>
      </c>
      <c r="H275" t="s">
        <v>2562</v>
      </c>
      <c r="I275" t="str">
        <f t="shared" si="4"/>
        <v xml:space="preserve">bbands_{'P' [('number'-5 1) ('number'-7.5 -1)]}_[42 70]_2 </v>
      </c>
      <c r="J275" t="s">
        <v>2540</v>
      </c>
      <c r="K275">
        <v>167</v>
      </c>
      <c r="L275" t="s">
        <v>5</v>
      </c>
      <c r="M275">
        <v>42</v>
      </c>
      <c r="N275" t="s">
        <v>6</v>
      </c>
      <c r="O275">
        <v>-10.435304172299899</v>
      </c>
      <c r="P275" t="s">
        <v>7</v>
      </c>
      <c r="Q275">
        <v>-6.2486851331137502E-2</v>
      </c>
      <c r="R275" t="s">
        <v>8</v>
      </c>
      <c r="S275">
        <v>1.54994838880927</v>
      </c>
      <c r="T275" t="s">
        <v>9</v>
      </c>
      <c r="U275">
        <v>-0.60426509201831702</v>
      </c>
      <c r="V275" t="s">
        <v>10</v>
      </c>
      <c r="W275">
        <v>0.234764377175252</v>
      </c>
      <c r="X275" t="s">
        <v>11</v>
      </c>
      <c r="Y275" t="s">
        <v>3004</v>
      </c>
      <c r="Z275" t="s">
        <v>2198</v>
      </c>
      <c r="AA275">
        <v>0</v>
      </c>
      <c r="AB275" t="s">
        <v>14</v>
      </c>
      <c r="AC275" t="s">
        <v>15</v>
      </c>
      <c r="AD275" t="s">
        <v>3005</v>
      </c>
      <c r="AE275" t="s">
        <v>2198</v>
      </c>
      <c r="AF275">
        <v>0</v>
      </c>
      <c r="AG275" t="s">
        <v>18</v>
      </c>
    </row>
    <row r="276" spans="1:33" x14ac:dyDescent="0.3">
      <c r="A276" t="s">
        <v>2811</v>
      </c>
      <c r="B276" t="s">
        <v>587</v>
      </c>
      <c r="C276">
        <v>-7.5</v>
      </c>
      <c r="D276" t="s">
        <v>588</v>
      </c>
      <c r="E276" t="s">
        <v>589</v>
      </c>
      <c r="F276">
        <v>-10</v>
      </c>
      <c r="G276" t="s">
        <v>590</v>
      </c>
      <c r="H276" t="s">
        <v>2539</v>
      </c>
      <c r="I276" t="str">
        <f t="shared" si="4"/>
        <v xml:space="preserve">stoch_{'P' [('number'-7.5 1) ('number'-10 -1)]}_[7 35]_1 </v>
      </c>
      <c r="J276" t="s">
        <v>2540</v>
      </c>
      <c r="K276">
        <v>375</v>
      </c>
      <c r="L276" t="s">
        <v>5</v>
      </c>
      <c r="M276">
        <v>98</v>
      </c>
      <c r="N276" t="s">
        <v>6</v>
      </c>
      <c r="O276">
        <v>-10.471450827817399</v>
      </c>
      <c r="P276" t="s">
        <v>7</v>
      </c>
      <c r="Q276">
        <v>-2.7923868874179698E-2</v>
      </c>
      <c r="R276" t="s">
        <v>8</v>
      </c>
      <c r="S276">
        <v>0.63846938775510198</v>
      </c>
      <c r="T276" t="s">
        <v>9</v>
      </c>
      <c r="U276">
        <v>-0.263687548114864</v>
      </c>
      <c r="V276" t="s">
        <v>10</v>
      </c>
      <c r="W276">
        <v>0.24559095701595701</v>
      </c>
      <c r="X276" t="s">
        <v>11</v>
      </c>
      <c r="Y276" t="s">
        <v>2962</v>
      </c>
      <c r="Z276" t="s">
        <v>2963</v>
      </c>
      <c r="AA276">
        <v>0</v>
      </c>
      <c r="AB276" t="s">
        <v>14</v>
      </c>
      <c r="AC276" t="s">
        <v>15</v>
      </c>
      <c r="AD276" t="s">
        <v>2962</v>
      </c>
      <c r="AE276" t="s">
        <v>2963</v>
      </c>
      <c r="AF276">
        <v>0</v>
      </c>
      <c r="AG276" t="s">
        <v>18</v>
      </c>
    </row>
    <row r="277" spans="1:33" x14ac:dyDescent="0.3">
      <c r="A277" t="s">
        <v>2683</v>
      </c>
      <c r="B277" t="s">
        <v>587</v>
      </c>
      <c r="C277">
        <v>-2.5</v>
      </c>
      <c r="D277" t="s">
        <v>588</v>
      </c>
      <c r="E277" t="s">
        <v>589</v>
      </c>
      <c r="F277">
        <v>-5</v>
      </c>
      <c r="G277" t="s">
        <v>599</v>
      </c>
      <c r="H277" t="s">
        <v>2916</v>
      </c>
      <c r="I277" t="str">
        <f t="shared" si="4"/>
        <v xml:space="preserve">bbands_no_highvol_{'P' [('number'-2.5 1) ('number'-5 -1)]}_[21 49]_3 </v>
      </c>
      <c r="J277" t="s">
        <v>2540</v>
      </c>
      <c r="K277">
        <v>165</v>
      </c>
      <c r="L277" t="s">
        <v>5</v>
      </c>
      <c r="M277">
        <v>34</v>
      </c>
      <c r="N277" t="s">
        <v>6</v>
      </c>
      <c r="O277">
        <v>-10.6699999999999</v>
      </c>
      <c r="P277" t="s">
        <v>7</v>
      </c>
      <c r="Q277">
        <v>-6.46666666666664E-2</v>
      </c>
      <c r="R277" t="s">
        <v>8</v>
      </c>
      <c r="S277">
        <v>1.7385294117647001</v>
      </c>
      <c r="T277" t="s">
        <v>9</v>
      </c>
      <c r="U277">
        <v>-0.53267175572518999</v>
      </c>
      <c r="V277" t="s">
        <v>10</v>
      </c>
      <c r="W277">
        <v>0.267463630883991</v>
      </c>
      <c r="X277" t="s">
        <v>11</v>
      </c>
      <c r="Y277" t="s">
        <v>2994</v>
      </c>
      <c r="Z277" t="s">
        <v>2995</v>
      </c>
      <c r="AA277">
        <v>0</v>
      </c>
      <c r="AB277" t="s">
        <v>14</v>
      </c>
      <c r="AC277" t="s">
        <v>15</v>
      </c>
      <c r="AD277" t="s">
        <v>2321</v>
      </c>
      <c r="AE277" t="s">
        <v>2995</v>
      </c>
      <c r="AF277">
        <v>0</v>
      </c>
      <c r="AG277" t="s">
        <v>18</v>
      </c>
    </row>
    <row r="278" spans="1:33" x14ac:dyDescent="0.3">
      <c r="A278" t="s">
        <v>2623</v>
      </c>
      <c r="B278" t="s">
        <v>587</v>
      </c>
      <c r="C278">
        <v>0</v>
      </c>
      <c r="D278" t="s">
        <v>588</v>
      </c>
      <c r="E278" t="s">
        <v>589</v>
      </c>
      <c r="F278">
        <v>-2.5</v>
      </c>
      <c r="G278" t="s">
        <v>1998</v>
      </c>
      <c r="H278" t="s">
        <v>2918</v>
      </c>
      <c r="I278" t="str">
        <f t="shared" si="4"/>
        <v xml:space="preserve">bbands_{'P' [('number'0 1) ('number'-2.5 -1)]}_[42 70]_0.5 </v>
      </c>
      <c r="J278" t="s">
        <v>2540</v>
      </c>
      <c r="K278">
        <v>167</v>
      </c>
      <c r="L278" t="s">
        <v>5</v>
      </c>
      <c r="M278">
        <v>77</v>
      </c>
      <c r="N278" t="s">
        <v>6</v>
      </c>
      <c r="O278">
        <v>-10.7322602112186</v>
      </c>
      <c r="P278" t="s">
        <v>7</v>
      </c>
      <c r="Q278">
        <v>-6.4265031204901901E-2</v>
      </c>
      <c r="R278" t="s">
        <v>8</v>
      </c>
      <c r="S278">
        <v>0.80222084166216201</v>
      </c>
      <c r="T278" t="s">
        <v>9</v>
      </c>
      <c r="U278">
        <v>-0.80559183354672403</v>
      </c>
      <c r="V278" t="s">
        <v>10</v>
      </c>
      <c r="W278">
        <v>0.20879627586455901</v>
      </c>
      <c r="X278" t="s">
        <v>11</v>
      </c>
      <c r="Y278" t="s">
        <v>2982</v>
      </c>
      <c r="Z278" t="s">
        <v>595</v>
      </c>
      <c r="AA278">
        <v>0</v>
      </c>
      <c r="AB278" t="s">
        <v>14</v>
      </c>
      <c r="AC278" t="s">
        <v>15</v>
      </c>
      <c r="AD278" t="s">
        <v>2982</v>
      </c>
      <c r="AE278" t="s">
        <v>595</v>
      </c>
      <c r="AF278">
        <v>0</v>
      </c>
      <c r="AG278" t="s">
        <v>18</v>
      </c>
    </row>
    <row r="279" spans="1:33" x14ac:dyDescent="0.3">
      <c r="A279" t="s">
        <v>2811</v>
      </c>
      <c r="B279" t="s">
        <v>587</v>
      </c>
      <c r="C279">
        <v>-7.5</v>
      </c>
      <c r="D279" t="s">
        <v>588</v>
      </c>
      <c r="E279" t="s">
        <v>589</v>
      </c>
      <c r="F279">
        <v>-10</v>
      </c>
      <c r="G279" t="s">
        <v>590</v>
      </c>
      <c r="H279" t="s">
        <v>2543</v>
      </c>
      <c r="I279" t="str">
        <f t="shared" si="4"/>
        <v xml:space="preserve">stoch_{'P' [('number'-7.5 1) ('number'-10 -1)]}_[7 35]_2 </v>
      </c>
      <c r="J279" t="s">
        <v>2540</v>
      </c>
      <c r="K279">
        <v>375</v>
      </c>
      <c r="L279" t="s">
        <v>5</v>
      </c>
      <c r="M279">
        <v>63</v>
      </c>
      <c r="N279" t="s">
        <v>6</v>
      </c>
      <c r="O279">
        <v>-10.771450827817301</v>
      </c>
      <c r="P279" t="s">
        <v>7</v>
      </c>
      <c r="Q279">
        <v>-2.87238688741796E-2</v>
      </c>
      <c r="R279" t="s">
        <v>8</v>
      </c>
      <c r="S279">
        <v>1.17761904761904</v>
      </c>
      <c r="T279" t="s">
        <v>9</v>
      </c>
      <c r="U279">
        <v>-0.27231234239684998</v>
      </c>
      <c r="V279" t="s">
        <v>10</v>
      </c>
      <c r="W279">
        <v>0.38273915808374398</v>
      </c>
      <c r="X279" t="s">
        <v>11</v>
      </c>
      <c r="Y279" t="s">
        <v>2962</v>
      </c>
      <c r="Z279" t="s">
        <v>2963</v>
      </c>
      <c r="AA279">
        <v>0</v>
      </c>
      <c r="AB279" t="s">
        <v>14</v>
      </c>
      <c r="AC279" t="s">
        <v>15</v>
      </c>
      <c r="AD279" t="s">
        <v>3164</v>
      </c>
      <c r="AE279" t="s">
        <v>2071</v>
      </c>
      <c r="AF279">
        <v>0</v>
      </c>
      <c r="AG279" t="s">
        <v>18</v>
      </c>
    </row>
    <row r="280" spans="1:33" x14ac:dyDescent="0.3">
      <c r="A280" t="s">
        <v>2811</v>
      </c>
      <c r="B280" t="s">
        <v>587</v>
      </c>
      <c r="C280">
        <v>-2.5</v>
      </c>
      <c r="D280" t="s">
        <v>588</v>
      </c>
      <c r="E280" t="s">
        <v>589</v>
      </c>
      <c r="F280">
        <v>-5</v>
      </c>
      <c r="G280" t="s">
        <v>590</v>
      </c>
      <c r="H280" t="s">
        <v>2539</v>
      </c>
      <c r="I280" t="str">
        <f t="shared" si="4"/>
        <v xml:space="preserve">stoch_{'P' [('number'-2.5 1) ('number'-5 -1)]}_[7 35]_1 </v>
      </c>
      <c r="J280" t="s">
        <v>2540</v>
      </c>
      <c r="K280">
        <v>375</v>
      </c>
      <c r="L280" t="s">
        <v>5</v>
      </c>
      <c r="M280">
        <v>123</v>
      </c>
      <c r="N280" t="s">
        <v>6</v>
      </c>
      <c r="O280">
        <v>-10.82</v>
      </c>
      <c r="P280" t="s">
        <v>7</v>
      </c>
      <c r="Q280">
        <v>-2.88533333333333E-2</v>
      </c>
      <c r="R280" t="s">
        <v>8</v>
      </c>
      <c r="S280">
        <v>0.97813008130081203</v>
      </c>
      <c r="T280" t="s">
        <v>9</v>
      </c>
      <c r="U280">
        <v>-0.52035714285714296</v>
      </c>
      <c r="V280" t="s">
        <v>10</v>
      </c>
      <c r="W280">
        <v>0.40584136126973303</v>
      </c>
      <c r="X280" t="s">
        <v>11</v>
      </c>
      <c r="Y280" t="s">
        <v>2906</v>
      </c>
      <c r="Z280" t="s">
        <v>2631</v>
      </c>
      <c r="AA280">
        <v>0</v>
      </c>
      <c r="AB280" t="s">
        <v>14</v>
      </c>
      <c r="AC280" t="s">
        <v>15</v>
      </c>
      <c r="AD280" t="s">
        <v>2906</v>
      </c>
      <c r="AE280" t="s">
        <v>2631</v>
      </c>
      <c r="AF280">
        <v>0</v>
      </c>
      <c r="AG280" t="s">
        <v>18</v>
      </c>
    </row>
    <row r="281" spans="1:33" x14ac:dyDescent="0.3">
      <c r="A281" t="s">
        <v>2623</v>
      </c>
      <c r="B281" t="s">
        <v>587</v>
      </c>
      <c r="C281">
        <v>-2.5</v>
      </c>
      <c r="D281" t="s">
        <v>588</v>
      </c>
      <c r="E281" t="s">
        <v>589</v>
      </c>
      <c r="F281">
        <v>-5</v>
      </c>
      <c r="G281" t="s">
        <v>590</v>
      </c>
      <c r="H281" t="s">
        <v>2539</v>
      </c>
      <c r="I281" t="str">
        <f t="shared" si="4"/>
        <v xml:space="preserve">bbands_{'P' [('number'-2.5 1) ('number'-5 -1)]}_[7 35]_1 </v>
      </c>
      <c r="J281" t="s">
        <v>2540</v>
      </c>
      <c r="K281">
        <v>169</v>
      </c>
      <c r="L281" t="s">
        <v>5</v>
      </c>
      <c r="M281">
        <v>48</v>
      </c>
      <c r="N281" t="s">
        <v>6</v>
      </c>
      <c r="O281">
        <v>-11.0199999999999</v>
      </c>
      <c r="P281" t="s">
        <v>7</v>
      </c>
      <c r="Q281">
        <v>-6.5207100591715694E-2</v>
      </c>
      <c r="R281" t="s">
        <v>8</v>
      </c>
      <c r="S281">
        <v>1.0449999999999999</v>
      </c>
      <c r="T281" t="s">
        <v>9</v>
      </c>
      <c r="U281">
        <v>-0.50561983471074301</v>
      </c>
      <c r="V281" t="s">
        <v>10</v>
      </c>
      <c r="W281">
        <v>0.16265085993199099</v>
      </c>
      <c r="X281" t="s">
        <v>11</v>
      </c>
      <c r="Y281" t="s">
        <v>219</v>
      </c>
      <c r="Z281" t="s">
        <v>2988</v>
      </c>
      <c r="AA281">
        <v>0</v>
      </c>
      <c r="AB281" t="s">
        <v>14</v>
      </c>
      <c r="AC281" t="s">
        <v>15</v>
      </c>
      <c r="AD281" t="s">
        <v>2987</v>
      </c>
      <c r="AE281" t="s">
        <v>2418</v>
      </c>
      <c r="AF281">
        <v>0</v>
      </c>
      <c r="AG281" t="s">
        <v>18</v>
      </c>
    </row>
    <row r="282" spans="1:33" x14ac:dyDescent="0.3">
      <c r="A282" t="s">
        <v>2683</v>
      </c>
      <c r="B282" t="s">
        <v>587</v>
      </c>
      <c r="C282">
        <v>-2.5</v>
      </c>
      <c r="D282" t="s">
        <v>588</v>
      </c>
      <c r="E282" t="s">
        <v>589</v>
      </c>
      <c r="F282">
        <v>-5</v>
      </c>
      <c r="G282" t="s">
        <v>599</v>
      </c>
      <c r="H282" t="s">
        <v>2552</v>
      </c>
      <c r="I282" t="str">
        <f t="shared" si="4"/>
        <v xml:space="preserve">bbands_no_highvol_{'P' [('number'-2.5 1) ('number'-5 -1)]}_[21 49]_2 </v>
      </c>
      <c r="J282" t="s">
        <v>2540</v>
      </c>
      <c r="K282">
        <v>165</v>
      </c>
      <c r="L282" t="s">
        <v>5</v>
      </c>
      <c r="M282">
        <v>36</v>
      </c>
      <c r="N282" t="s">
        <v>6</v>
      </c>
      <c r="O282">
        <v>-11.5299999999999</v>
      </c>
      <c r="P282" t="s">
        <v>7</v>
      </c>
      <c r="Q282">
        <v>-6.9878787878787596E-2</v>
      </c>
      <c r="R282" t="s">
        <v>8</v>
      </c>
      <c r="S282">
        <v>1.58</v>
      </c>
      <c r="T282" t="s">
        <v>9</v>
      </c>
      <c r="U282">
        <v>-0.53031007751937898</v>
      </c>
      <c r="V282" t="s">
        <v>10</v>
      </c>
      <c r="W282">
        <v>0.22110403217171901</v>
      </c>
      <c r="X282" t="s">
        <v>11</v>
      </c>
      <c r="Y282" t="s">
        <v>3017</v>
      </c>
      <c r="Z282" t="s">
        <v>284</v>
      </c>
      <c r="AA282">
        <v>0</v>
      </c>
      <c r="AB282" t="s">
        <v>14</v>
      </c>
      <c r="AC282" t="s">
        <v>15</v>
      </c>
      <c r="AD282" t="s">
        <v>2993</v>
      </c>
      <c r="AE282" t="s">
        <v>1253</v>
      </c>
      <c r="AF282">
        <v>0</v>
      </c>
      <c r="AG282" t="s">
        <v>18</v>
      </c>
    </row>
    <row r="283" spans="1:33" x14ac:dyDescent="0.3">
      <c r="A283" t="s">
        <v>2683</v>
      </c>
      <c r="B283" t="s">
        <v>587</v>
      </c>
      <c r="C283">
        <v>-7.5</v>
      </c>
      <c r="D283" t="s">
        <v>588</v>
      </c>
      <c r="E283" t="s">
        <v>589</v>
      </c>
      <c r="F283">
        <v>-10</v>
      </c>
      <c r="G283" t="s">
        <v>599</v>
      </c>
      <c r="H283" t="s">
        <v>2550</v>
      </c>
      <c r="I283" t="str">
        <f t="shared" si="4"/>
        <v xml:space="preserve">bbands_no_highvol_{'P' [('number'-7.5 1) ('number'-10 -1)]}_[21 49]_1 </v>
      </c>
      <c r="J283" t="s">
        <v>2540</v>
      </c>
      <c r="K283">
        <v>165</v>
      </c>
      <c r="L283" t="s">
        <v>5</v>
      </c>
      <c r="M283">
        <v>37</v>
      </c>
      <c r="N283" t="s">
        <v>6</v>
      </c>
      <c r="O283">
        <v>-11.549999999999899</v>
      </c>
      <c r="P283" t="s">
        <v>7</v>
      </c>
      <c r="Q283">
        <v>-6.9999999999999896E-2</v>
      </c>
      <c r="R283" t="s">
        <v>8</v>
      </c>
      <c r="S283">
        <v>0.73945945945945901</v>
      </c>
      <c r="T283" t="s">
        <v>9</v>
      </c>
      <c r="U283">
        <v>-0.30398437499999897</v>
      </c>
      <c r="V283" t="s">
        <v>10</v>
      </c>
      <c r="W283">
        <v>0.103880666133258</v>
      </c>
      <c r="X283" t="s">
        <v>11</v>
      </c>
      <c r="Y283" t="s">
        <v>2998</v>
      </c>
      <c r="Z283" t="s">
        <v>2169</v>
      </c>
      <c r="AA283">
        <v>0</v>
      </c>
      <c r="AB283" t="s">
        <v>14</v>
      </c>
      <c r="AC283" t="s">
        <v>15</v>
      </c>
      <c r="AD283" t="s">
        <v>219</v>
      </c>
      <c r="AE283" t="s">
        <v>2999</v>
      </c>
      <c r="AF283">
        <v>0</v>
      </c>
      <c r="AG283" t="s">
        <v>18</v>
      </c>
    </row>
    <row r="284" spans="1:33" x14ac:dyDescent="0.3">
      <c r="A284" t="s">
        <v>2623</v>
      </c>
      <c r="B284" t="s">
        <v>587</v>
      </c>
      <c r="C284">
        <v>-2.5</v>
      </c>
      <c r="D284" t="s">
        <v>588</v>
      </c>
      <c r="E284" t="s">
        <v>589</v>
      </c>
      <c r="F284">
        <v>-5</v>
      </c>
      <c r="G284" t="s">
        <v>599</v>
      </c>
      <c r="H284" t="s">
        <v>2916</v>
      </c>
      <c r="I284" t="str">
        <f t="shared" si="4"/>
        <v xml:space="preserve">bbands_{'P' [('number'-2.5 1) ('number'-5 -1)]}_[21 49]_3 </v>
      </c>
      <c r="J284" t="s">
        <v>2540</v>
      </c>
      <c r="K284">
        <v>178</v>
      </c>
      <c r="L284" t="s">
        <v>5</v>
      </c>
      <c r="M284">
        <v>37</v>
      </c>
      <c r="N284" t="s">
        <v>6</v>
      </c>
      <c r="O284">
        <v>-11.749999999999901</v>
      </c>
      <c r="P284" t="s">
        <v>7</v>
      </c>
      <c r="Q284">
        <v>-6.6011235955055897E-2</v>
      </c>
      <c r="R284" t="s">
        <v>8</v>
      </c>
      <c r="S284">
        <v>1.7164864864864799</v>
      </c>
      <c r="T284" t="s">
        <v>9</v>
      </c>
      <c r="U284">
        <v>-0.53375886524822602</v>
      </c>
      <c r="V284" t="s">
        <v>10</v>
      </c>
      <c r="W284">
        <v>0.27785600925695098</v>
      </c>
      <c r="X284" t="s">
        <v>11</v>
      </c>
      <c r="Y284" t="s">
        <v>2994</v>
      </c>
      <c r="Z284" t="s">
        <v>2995</v>
      </c>
      <c r="AA284">
        <v>0</v>
      </c>
      <c r="AB284" t="s">
        <v>14</v>
      </c>
      <c r="AC284" t="s">
        <v>15</v>
      </c>
      <c r="AD284" t="s">
        <v>2321</v>
      </c>
      <c r="AE284" t="s">
        <v>2995</v>
      </c>
      <c r="AF284">
        <v>0</v>
      </c>
      <c r="AG284" t="s">
        <v>18</v>
      </c>
    </row>
    <row r="285" spans="1:33" x14ac:dyDescent="0.3">
      <c r="A285" t="s">
        <v>2623</v>
      </c>
      <c r="B285" t="s">
        <v>587</v>
      </c>
      <c r="C285">
        <v>-7.5</v>
      </c>
      <c r="D285" t="s">
        <v>588</v>
      </c>
      <c r="E285" t="s">
        <v>589</v>
      </c>
      <c r="F285">
        <v>-10</v>
      </c>
      <c r="G285" t="s">
        <v>599</v>
      </c>
      <c r="H285" t="s">
        <v>2910</v>
      </c>
      <c r="I285" t="str">
        <f t="shared" si="4"/>
        <v xml:space="preserve">bbands_{'P' [('number'-7.5 1) ('number'-10 -1)]}_[21 49]_0.5 </v>
      </c>
      <c r="J285" t="s">
        <v>2540</v>
      </c>
      <c r="K285">
        <v>178</v>
      </c>
      <c r="L285" t="s">
        <v>5</v>
      </c>
      <c r="M285">
        <v>59</v>
      </c>
      <c r="N285" t="s">
        <v>6</v>
      </c>
      <c r="O285">
        <v>-11.7699999999999</v>
      </c>
      <c r="P285" t="s">
        <v>7</v>
      </c>
      <c r="Q285">
        <v>-6.6123595505617902E-2</v>
      </c>
      <c r="R285" t="s">
        <v>8</v>
      </c>
      <c r="S285">
        <v>0.42186440677966103</v>
      </c>
      <c r="T285" t="s">
        <v>9</v>
      </c>
      <c r="U285">
        <v>-0.308067226890756</v>
      </c>
      <c r="V285" t="s">
        <v>10</v>
      </c>
      <c r="W285">
        <v>8.9815952771179597E-2</v>
      </c>
      <c r="X285" t="s">
        <v>11</v>
      </c>
      <c r="Y285" t="s">
        <v>2998</v>
      </c>
      <c r="Z285" t="s">
        <v>2169</v>
      </c>
      <c r="AA285">
        <v>0</v>
      </c>
      <c r="AB285" t="s">
        <v>14</v>
      </c>
      <c r="AC285" t="s">
        <v>15</v>
      </c>
      <c r="AD285" t="s">
        <v>3008</v>
      </c>
      <c r="AE285" t="s">
        <v>2013</v>
      </c>
      <c r="AF285">
        <v>0</v>
      </c>
      <c r="AG285" t="s">
        <v>18</v>
      </c>
    </row>
    <row r="286" spans="1:33" x14ac:dyDescent="0.3">
      <c r="A286" t="s">
        <v>2683</v>
      </c>
      <c r="B286" t="s">
        <v>587</v>
      </c>
      <c r="C286">
        <v>-2.5</v>
      </c>
      <c r="D286" t="s">
        <v>588</v>
      </c>
      <c r="E286" t="s">
        <v>589</v>
      </c>
      <c r="F286">
        <v>-5</v>
      </c>
      <c r="G286" t="s">
        <v>590</v>
      </c>
      <c r="H286" t="s">
        <v>2902</v>
      </c>
      <c r="I286" t="str">
        <f t="shared" si="4"/>
        <v xml:space="preserve">bbands_no_highvol_{'P' [('number'-2.5 1) ('number'-5 -1)]}_[7 35]_0.5 </v>
      </c>
      <c r="J286" t="s">
        <v>2540</v>
      </c>
      <c r="K286">
        <v>155</v>
      </c>
      <c r="L286" t="s">
        <v>5</v>
      </c>
      <c r="M286">
        <v>58</v>
      </c>
      <c r="N286" t="s">
        <v>6</v>
      </c>
      <c r="O286">
        <v>-11.92</v>
      </c>
      <c r="P286" t="s">
        <v>7</v>
      </c>
      <c r="Q286">
        <v>-7.6903225806451606E-2</v>
      </c>
      <c r="R286" t="s">
        <v>8</v>
      </c>
      <c r="S286">
        <v>0.60431034482758605</v>
      </c>
      <c r="T286" t="s">
        <v>9</v>
      </c>
      <c r="U286">
        <v>-0.484226804123711</v>
      </c>
      <c r="V286" t="s">
        <v>10</v>
      </c>
      <c r="W286">
        <v>0.12471964118263799</v>
      </c>
      <c r="X286" t="s">
        <v>11</v>
      </c>
      <c r="Y286" t="s">
        <v>3016</v>
      </c>
      <c r="Z286" t="s">
        <v>2418</v>
      </c>
      <c r="AA286">
        <v>0</v>
      </c>
      <c r="AB286" t="s">
        <v>14</v>
      </c>
      <c r="AC286" t="s">
        <v>15</v>
      </c>
      <c r="AD286" t="s">
        <v>2987</v>
      </c>
      <c r="AE286" t="s">
        <v>2418</v>
      </c>
      <c r="AF286">
        <v>0</v>
      </c>
      <c r="AG286" t="s">
        <v>18</v>
      </c>
    </row>
    <row r="287" spans="1:33" x14ac:dyDescent="0.3">
      <c r="A287" t="s">
        <v>2623</v>
      </c>
      <c r="B287" t="s">
        <v>587</v>
      </c>
      <c r="C287">
        <v>-2.5</v>
      </c>
      <c r="D287" t="s">
        <v>588</v>
      </c>
      <c r="E287" t="s">
        <v>589</v>
      </c>
      <c r="F287">
        <v>-5</v>
      </c>
      <c r="G287" t="s">
        <v>590</v>
      </c>
      <c r="H287" t="s">
        <v>2909</v>
      </c>
      <c r="I287" t="str">
        <f t="shared" si="4"/>
        <v xml:space="preserve">bbands_{'P' [('number'-2.5 1) ('number'-5 -1)]}_[7 35]_3 </v>
      </c>
      <c r="J287" t="s">
        <v>2540</v>
      </c>
      <c r="K287">
        <v>169</v>
      </c>
      <c r="L287" t="s">
        <v>5</v>
      </c>
      <c r="M287">
        <v>34</v>
      </c>
      <c r="N287" t="s">
        <v>6</v>
      </c>
      <c r="O287">
        <v>-11.9599999999999</v>
      </c>
      <c r="P287" t="s">
        <v>7</v>
      </c>
      <c r="Q287">
        <v>-7.0769230769230501E-2</v>
      </c>
      <c r="R287" t="s">
        <v>8</v>
      </c>
      <c r="S287">
        <v>1.66617647058823</v>
      </c>
      <c r="T287" t="s">
        <v>9</v>
      </c>
      <c r="U287">
        <v>-0.50822222222222102</v>
      </c>
      <c r="V287" t="s">
        <v>10</v>
      </c>
      <c r="W287">
        <v>0.19962324695526701</v>
      </c>
      <c r="X287" t="s">
        <v>11</v>
      </c>
      <c r="Y287" t="s">
        <v>2989</v>
      </c>
      <c r="Z287" t="s">
        <v>2990</v>
      </c>
      <c r="AA287">
        <v>0</v>
      </c>
      <c r="AB287" t="s">
        <v>14</v>
      </c>
      <c r="AC287" t="s">
        <v>15</v>
      </c>
      <c r="AD287" t="s">
        <v>2987</v>
      </c>
      <c r="AE287" t="s">
        <v>2418</v>
      </c>
      <c r="AF287">
        <v>0</v>
      </c>
      <c r="AG287" t="s">
        <v>18</v>
      </c>
    </row>
    <row r="288" spans="1:33" x14ac:dyDescent="0.3">
      <c r="A288" t="s">
        <v>2728</v>
      </c>
      <c r="B288" t="s">
        <v>587</v>
      </c>
      <c r="C288">
        <v>-5</v>
      </c>
      <c r="D288" t="s">
        <v>588</v>
      </c>
      <c r="E288" t="s">
        <v>589</v>
      </c>
      <c r="F288">
        <v>-7.5</v>
      </c>
      <c r="G288" t="s">
        <v>1998</v>
      </c>
      <c r="H288" t="s">
        <v>2926</v>
      </c>
      <c r="I288" t="str">
        <f t="shared" si="4"/>
        <v xml:space="preserve">psar_{'P' [('number'-5 1) ('number'-7.5 -1)]}_[42 70]_3 </v>
      </c>
      <c r="J288" t="s">
        <v>2540</v>
      </c>
      <c r="K288">
        <v>139</v>
      </c>
      <c r="L288" t="s">
        <v>5</v>
      </c>
      <c r="M288">
        <v>28</v>
      </c>
      <c r="N288" t="s">
        <v>6</v>
      </c>
      <c r="O288">
        <v>-11.991050666179</v>
      </c>
      <c r="P288" t="s">
        <v>7</v>
      </c>
      <c r="Q288">
        <v>-8.6266551555244694E-2</v>
      </c>
      <c r="R288" t="s">
        <v>8</v>
      </c>
      <c r="S288">
        <v>1.69035714285714</v>
      </c>
      <c r="T288" t="s">
        <v>9</v>
      </c>
      <c r="U288">
        <v>-0.53442387987548701</v>
      </c>
      <c r="V288" t="s">
        <v>10</v>
      </c>
      <c r="W288">
        <v>0.23009367365625599</v>
      </c>
      <c r="X288" t="s">
        <v>11</v>
      </c>
      <c r="Y288" t="s">
        <v>3069</v>
      </c>
      <c r="Z288" t="s">
        <v>3070</v>
      </c>
      <c r="AA288">
        <v>0</v>
      </c>
      <c r="AB288" t="s">
        <v>14</v>
      </c>
      <c r="AC288" t="s">
        <v>15</v>
      </c>
      <c r="AD288" t="s">
        <v>3069</v>
      </c>
      <c r="AE288" t="s">
        <v>3070</v>
      </c>
      <c r="AF288">
        <v>0</v>
      </c>
      <c r="AG288" t="s">
        <v>18</v>
      </c>
    </row>
    <row r="289" spans="1:33" x14ac:dyDescent="0.3">
      <c r="A289" t="s">
        <v>2683</v>
      </c>
      <c r="B289" t="s">
        <v>587</v>
      </c>
      <c r="C289">
        <v>-7.5</v>
      </c>
      <c r="D289" t="s">
        <v>588</v>
      </c>
      <c r="E289" t="s">
        <v>589</v>
      </c>
      <c r="F289">
        <v>-10</v>
      </c>
      <c r="G289" t="s">
        <v>590</v>
      </c>
      <c r="H289" t="s">
        <v>2543</v>
      </c>
      <c r="I289" t="str">
        <f t="shared" si="4"/>
        <v xml:space="preserve">bbands_no_highvol_{'P' [('number'-7.5 1) ('number'-10 -1)]}_[7 35]_2 </v>
      </c>
      <c r="J289" t="s">
        <v>2540</v>
      </c>
      <c r="K289">
        <v>155</v>
      </c>
      <c r="L289" t="s">
        <v>5</v>
      </c>
      <c r="M289">
        <v>19</v>
      </c>
      <c r="N289" t="s">
        <v>6</v>
      </c>
      <c r="O289">
        <v>-12</v>
      </c>
      <c r="P289" t="s">
        <v>7</v>
      </c>
      <c r="Q289">
        <v>-7.7419354838709695E-2</v>
      </c>
      <c r="R289" t="s">
        <v>8</v>
      </c>
      <c r="S289">
        <v>1.0910526315789399</v>
      </c>
      <c r="T289" t="s">
        <v>9</v>
      </c>
      <c r="U289">
        <v>-0.24066176470588199</v>
      </c>
      <c r="V289" t="s">
        <v>10</v>
      </c>
      <c r="W289">
        <v>9.5492757666948994E-2</v>
      </c>
      <c r="X289" t="s">
        <v>11</v>
      </c>
      <c r="Y289" t="s">
        <v>2998</v>
      </c>
      <c r="Z289" t="s">
        <v>2999</v>
      </c>
      <c r="AA289">
        <v>0</v>
      </c>
      <c r="AB289" t="s">
        <v>14</v>
      </c>
      <c r="AC289" t="s">
        <v>15</v>
      </c>
      <c r="AD289" t="s">
        <v>219</v>
      </c>
      <c r="AE289" t="s">
        <v>2999</v>
      </c>
      <c r="AF289">
        <v>0</v>
      </c>
      <c r="AG289" t="s">
        <v>18</v>
      </c>
    </row>
    <row r="290" spans="1:33" x14ac:dyDescent="0.3">
      <c r="A290" t="s">
        <v>2683</v>
      </c>
      <c r="B290" t="s">
        <v>587</v>
      </c>
      <c r="C290">
        <v>0</v>
      </c>
      <c r="D290" t="s">
        <v>588</v>
      </c>
      <c r="E290" t="s">
        <v>589</v>
      </c>
      <c r="F290">
        <v>-2.5</v>
      </c>
      <c r="G290" t="s">
        <v>590</v>
      </c>
      <c r="H290" t="s">
        <v>2909</v>
      </c>
      <c r="I290" t="str">
        <f t="shared" si="4"/>
        <v xml:space="preserve">bbands_no_highvol_{'P' [('number'0 1) ('number'-2.5 -1)]}_[7 35]_3 </v>
      </c>
      <c r="J290" t="s">
        <v>2540</v>
      </c>
      <c r="K290">
        <v>155</v>
      </c>
      <c r="L290" t="s">
        <v>5</v>
      </c>
      <c r="M290">
        <v>44</v>
      </c>
      <c r="N290" t="s">
        <v>6</v>
      </c>
      <c r="O290">
        <v>-12.08</v>
      </c>
      <c r="P290" t="s">
        <v>7</v>
      </c>
      <c r="Q290">
        <v>-7.7935483870967895E-2</v>
      </c>
      <c r="R290" t="s">
        <v>8</v>
      </c>
      <c r="S290">
        <v>1.325</v>
      </c>
      <c r="T290" t="s">
        <v>9</v>
      </c>
      <c r="U290">
        <v>-0.63405405405405402</v>
      </c>
      <c r="V290" t="s">
        <v>10</v>
      </c>
      <c r="W290">
        <v>0.221560485337401</v>
      </c>
      <c r="X290" t="s">
        <v>11</v>
      </c>
      <c r="Y290" t="s">
        <v>2978</v>
      </c>
      <c r="Z290" t="s">
        <v>1431</v>
      </c>
      <c r="AA290">
        <v>0</v>
      </c>
      <c r="AB290" t="s">
        <v>14</v>
      </c>
      <c r="AC290" t="s">
        <v>15</v>
      </c>
      <c r="AD290" t="s">
        <v>2979</v>
      </c>
      <c r="AE290" t="s">
        <v>1431</v>
      </c>
      <c r="AF290">
        <v>0</v>
      </c>
      <c r="AG290" t="s">
        <v>18</v>
      </c>
    </row>
    <row r="291" spans="1:33" x14ac:dyDescent="0.3">
      <c r="A291" t="s">
        <v>2683</v>
      </c>
      <c r="B291" t="s">
        <v>587</v>
      </c>
      <c r="C291">
        <v>0</v>
      </c>
      <c r="D291" t="s">
        <v>588</v>
      </c>
      <c r="E291" t="s">
        <v>589</v>
      </c>
      <c r="F291">
        <v>-2.5</v>
      </c>
      <c r="G291" t="s">
        <v>599</v>
      </c>
      <c r="H291" t="s">
        <v>2916</v>
      </c>
      <c r="I291" t="str">
        <f t="shared" si="4"/>
        <v xml:space="preserve">bbands_no_highvol_{'P' [('number'0 1) ('number'-2.5 -1)]}_[21 49]_3 </v>
      </c>
      <c r="J291" t="s">
        <v>2540</v>
      </c>
      <c r="K291">
        <v>165</v>
      </c>
      <c r="L291" t="s">
        <v>5</v>
      </c>
      <c r="M291">
        <v>44</v>
      </c>
      <c r="N291" t="s">
        <v>6</v>
      </c>
      <c r="O291">
        <v>-12.08</v>
      </c>
      <c r="P291" t="s">
        <v>7</v>
      </c>
      <c r="Q291">
        <v>-7.3212121212121506E-2</v>
      </c>
      <c r="R291" t="s">
        <v>8</v>
      </c>
      <c r="S291">
        <v>1.4870454545454499</v>
      </c>
      <c r="T291" t="s">
        <v>9</v>
      </c>
      <c r="U291">
        <v>-0.64057851239669406</v>
      </c>
      <c r="V291" t="s">
        <v>10</v>
      </c>
      <c r="W291">
        <v>0.271643859984674</v>
      </c>
      <c r="X291" t="s">
        <v>11</v>
      </c>
      <c r="Y291" t="s">
        <v>2981</v>
      </c>
      <c r="Z291" t="s">
        <v>660</v>
      </c>
      <c r="AA291">
        <v>0</v>
      </c>
      <c r="AB291" t="s">
        <v>14</v>
      </c>
      <c r="AC291" t="s">
        <v>15</v>
      </c>
      <c r="AD291" t="s">
        <v>1366</v>
      </c>
      <c r="AE291" t="s">
        <v>1253</v>
      </c>
      <c r="AF291">
        <v>0</v>
      </c>
      <c r="AG291" t="s">
        <v>18</v>
      </c>
    </row>
    <row r="292" spans="1:33" x14ac:dyDescent="0.3">
      <c r="A292" t="s">
        <v>2683</v>
      </c>
      <c r="B292" t="s">
        <v>587</v>
      </c>
      <c r="C292">
        <v>-7.5</v>
      </c>
      <c r="D292" t="s">
        <v>588</v>
      </c>
      <c r="E292" t="s">
        <v>589</v>
      </c>
      <c r="F292">
        <v>-10</v>
      </c>
      <c r="G292" t="s">
        <v>590</v>
      </c>
      <c r="H292" t="s">
        <v>2539</v>
      </c>
      <c r="I292" t="str">
        <f t="shared" si="4"/>
        <v xml:space="preserve">bbands_no_highvol_{'P' [('number'-7.5 1) ('number'-10 -1)]}_[7 35]_1 </v>
      </c>
      <c r="J292" t="s">
        <v>2540</v>
      </c>
      <c r="K292">
        <v>155</v>
      </c>
      <c r="L292" t="s">
        <v>5</v>
      </c>
      <c r="M292">
        <v>28</v>
      </c>
      <c r="N292" t="s">
        <v>6</v>
      </c>
      <c r="O292">
        <v>-12.16</v>
      </c>
      <c r="P292" t="s">
        <v>7</v>
      </c>
      <c r="Q292">
        <v>-7.8451612903225804E-2</v>
      </c>
      <c r="R292" t="s">
        <v>8</v>
      </c>
      <c r="S292">
        <v>0.66035714285714198</v>
      </c>
      <c r="T292" t="s">
        <v>9</v>
      </c>
      <c r="U292">
        <v>-0.24133858267716499</v>
      </c>
      <c r="V292" t="s">
        <v>10</v>
      </c>
      <c r="W292">
        <v>8.3895588500801102E-2</v>
      </c>
      <c r="X292" t="s">
        <v>11</v>
      </c>
      <c r="Y292" t="s">
        <v>2998</v>
      </c>
      <c r="Z292" t="s">
        <v>2999</v>
      </c>
      <c r="AA292">
        <v>0</v>
      </c>
      <c r="AB292" t="s">
        <v>14</v>
      </c>
      <c r="AC292" t="s">
        <v>15</v>
      </c>
      <c r="AD292" t="s">
        <v>219</v>
      </c>
      <c r="AE292" t="s">
        <v>2999</v>
      </c>
      <c r="AF292">
        <v>0</v>
      </c>
      <c r="AG292" t="s">
        <v>18</v>
      </c>
    </row>
    <row r="293" spans="1:33" x14ac:dyDescent="0.3">
      <c r="A293" t="s">
        <v>2683</v>
      </c>
      <c r="B293" t="s">
        <v>587</v>
      </c>
      <c r="C293">
        <v>-5</v>
      </c>
      <c r="D293" t="s">
        <v>588</v>
      </c>
      <c r="E293" t="s">
        <v>589</v>
      </c>
      <c r="F293">
        <v>-7.5</v>
      </c>
      <c r="G293" t="s">
        <v>1998</v>
      </c>
      <c r="H293" t="s">
        <v>2559</v>
      </c>
      <c r="I293" t="str">
        <f t="shared" si="4"/>
        <v xml:space="preserve">bbands_no_highvol_{'P' [('number'-5 1) ('number'-7.5 -1)]}_[42 70]_1 </v>
      </c>
      <c r="J293" t="s">
        <v>2540</v>
      </c>
      <c r="K293">
        <v>157</v>
      </c>
      <c r="L293" t="s">
        <v>5</v>
      </c>
      <c r="M293">
        <v>48</v>
      </c>
      <c r="N293" t="s">
        <v>6</v>
      </c>
      <c r="O293">
        <v>-12.170563657200001</v>
      </c>
      <c r="P293" t="s">
        <v>7</v>
      </c>
      <c r="Q293">
        <v>-7.7519513740127596E-2</v>
      </c>
      <c r="R293" t="s">
        <v>8</v>
      </c>
      <c r="S293">
        <v>0.95114421912586899</v>
      </c>
      <c r="T293" t="s">
        <v>9</v>
      </c>
      <c r="U293">
        <v>-0.53050904747928196</v>
      </c>
      <c r="V293" t="s">
        <v>10</v>
      </c>
      <c r="W293">
        <v>0.163588184870777</v>
      </c>
      <c r="X293" t="s">
        <v>11</v>
      </c>
      <c r="Y293" t="s">
        <v>3031</v>
      </c>
      <c r="Z293" t="s">
        <v>3032</v>
      </c>
      <c r="AA293">
        <v>0</v>
      </c>
      <c r="AB293" t="s">
        <v>14</v>
      </c>
      <c r="AC293" t="s">
        <v>15</v>
      </c>
      <c r="AD293" t="s">
        <v>3033</v>
      </c>
      <c r="AE293" t="s">
        <v>3023</v>
      </c>
      <c r="AF293">
        <v>0</v>
      </c>
      <c r="AG293" t="s">
        <v>18</v>
      </c>
    </row>
    <row r="294" spans="1:33" x14ac:dyDescent="0.3">
      <c r="A294" t="s">
        <v>2683</v>
      </c>
      <c r="B294" t="s">
        <v>587</v>
      </c>
      <c r="C294">
        <v>0</v>
      </c>
      <c r="D294" t="s">
        <v>588</v>
      </c>
      <c r="E294" t="s">
        <v>589</v>
      </c>
      <c r="F294">
        <v>-2.5</v>
      </c>
      <c r="G294" t="s">
        <v>590</v>
      </c>
      <c r="H294" t="s">
        <v>2539</v>
      </c>
      <c r="I294" t="str">
        <f t="shared" si="4"/>
        <v xml:space="preserve">bbands_no_highvol_{'P' [('number'0 1) ('number'-2.5 -1)]}_[7 35]_1 </v>
      </c>
      <c r="J294" t="s">
        <v>2540</v>
      </c>
      <c r="K294">
        <v>155</v>
      </c>
      <c r="L294" t="s">
        <v>5</v>
      </c>
      <c r="M294">
        <v>46</v>
      </c>
      <c r="N294" t="s">
        <v>6</v>
      </c>
      <c r="O294">
        <v>-12.56</v>
      </c>
      <c r="P294" t="s">
        <v>7</v>
      </c>
      <c r="Q294">
        <v>-8.1032258064516402E-2</v>
      </c>
      <c r="R294" t="s">
        <v>8</v>
      </c>
      <c r="S294">
        <v>1.22978260869565</v>
      </c>
      <c r="T294" t="s">
        <v>9</v>
      </c>
      <c r="U294">
        <v>-0.63422018348623899</v>
      </c>
      <c r="V294" t="s">
        <v>10</v>
      </c>
      <c r="W294">
        <v>0.19748376057858999</v>
      </c>
      <c r="X294" t="s">
        <v>11</v>
      </c>
      <c r="Y294" t="s">
        <v>2978</v>
      </c>
      <c r="Z294" t="s">
        <v>1431</v>
      </c>
      <c r="AA294">
        <v>0</v>
      </c>
      <c r="AB294" t="s">
        <v>14</v>
      </c>
      <c r="AC294" t="s">
        <v>15</v>
      </c>
      <c r="AD294" t="s">
        <v>2979</v>
      </c>
      <c r="AE294" t="s">
        <v>1431</v>
      </c>
      <c r="AF294">
        <v>0</v>
      </c>
      <c r="AG294" t="s">
        <v>18</v>
      </c>
    </row>
    <row r="295" spans="1:33" x14ac:dyDescent="0.3">
      <c r="A295" t="s">
        <v>2683</v>
      </c>
      <c r="B295" t="s">
        <v>587</v>
      </c>
      <c r="C295">
        <v>-5</v>
      </c>
      <c r="D295" t="s">
        <v>588</v>
      </c>
      <c r="E295" t="s">
        <v>589</v>
      </c>
      <c r="F295">
        <v>-7.5</v>
      </c>
      <c r="G295" t="s">
        <v>599</v>
      </c>
      <c r="H295" t="s">
        <v>2550</v>
      </c>
      <c r="I295" t="str">
        <f t="shared" si="4"/>
        <v xml:space="preserve">bbands_no_highvol_{'P' [('number'-5 1) ('number'-7.5 -1)]}_[21 49]_1 </v>
      </c>
      <c r="J295" t="s">
        <v>2540</v>
      </c>
      <c r="K295">
        <v>165</v>
      </c>
      <c r="L295" t="s">
        <v>5</v>
      </c>
      <c r="M295">
        <v>43</v>
      </c>
      <c r="N295" t="s">
        <v>6</v>
      </c>
      <c r="O295">
        <v>-12.739999999999901</v>
      </c>
      <c r="P295" t="s">
        <v>7</v>
      </c>
      <c r="Q295">
        <v>-7.7212121212120996E-2</v>
      </c>
      <c r="R295" t="s">
        <v>8</v>
      </c>
      <c r="S295">
        <v>0.850697674418605</v>
      </c>
      <c r="T295" t="s">
        <v>9</v>
      </c>
      <c r="U295">
        <v>-0.40426229508196698</v>
      </c>
      <c r="V295" t="s">
        <v>10</v>
      </c>
      <c r="W295">
        <v>0.131294064714161</v>
      </c>
      <c r="X295" t="s">
        <v>11</v>
      </c>
      <c r="Y295" t="s">
        <v>3027</v>
      </c>
      <c r="Z295" t="s">
        <v>2055</v>
      </c>
      <c r="AA295">
        <v>0</v>
      </c>
      <c r="AB295" t="s">
        <v>14</v>
      </c>
      <c r="AC295" t="s">
        <v>15</v>
      </c>
      <c r="AD295" t="s">
        <v>3003</v>
      </c>
      <c r="AE295" t="s">
        <v>2013</v>
      </c>
      <c r="AF295">
        <v>0</v>
      </c>
      <c r="AG295" t="s">
        <v>18</v>
      </c>
    </row>
    <row r="296" spans="1:33" x14ac:dyDescent="0.3">
      <c r="A296" t="s">
        <v>2683</v>
      </c>
      <c r="B296" t="s">
        <v>587</v>
      </c>
      <c r="C296">
        <v>-5</v>
      </c>
      <c r="D296" t="s">
        <v>588</v>
      </c>
      <c r="E296" t="s">
        <v>589</v>
      </c>
      <c r="F296">
        <v>-7.5</v>
      </c>
      <c r="G296" t="s">
        <v>590</v>
      </c>
      <c r="H296" t="s">
        <v>2902</v>
      </c>
      <c r="I296" t="str">
        <f t="shared" si="4"/>
        <v xml:space="preserve">bbands_no_highvol_{'P' [('number'-5 1) ('number'-7.5 -1)]}_[7 35]_0.5 </v>
      </c>
      <c r="J296" t="s">
        <v>2540</v>
      </c>
      <c r="K296">
        <v>155</v>
      </c>
      <c r="L296" t="s">
        <v>5</v>
      </c>
      <c r="M296">
        <v>46</v>
      </c>
      <c r="N296" t="s">
        <v>6</v>
      </c>
      <c r="O296">
        <v>-12.799999999999899</v>
      </c>
      <c r="P296" t="s">
        <v>7</v>
      </c>
      <c r="Q296">
        <v>-8.2580645161290295E-2</v>
      </c>
      <c r="R296" t="s">
        <v>8</v>
      </c>
      <c r="S296">
        <v>0.52717391304347805</v>
      </c>
      <c r="T296" t="s">
        <v>9</v>
      </c>
      <c r="U296">
        <v>-0.33990825688073301</v>
      </c>
      <c r="V296" t="s">
        <v>10</v>
      </c>
      <c r="W296">
        <v>0.10054677282617901</v>
      </c>
      <c r="X296" t="s">
        <v>11</v>
      </c>
      <c r="Y296" t="s">
        <v>2998</v>
      </c>
      <c r="Z296" t="s">
        <v>2999</v>
      </c>
      <c r="AA296">
        <v>0</v>
      </c>
      <c r="AB296" t="s">
        <v>14</v>
      </c>
      <c r="AC296" t="s">
        <v>15</v>
      </c>
      <c r="AD296" t="s">
        <v>219</v>
      </c>
      <c r="AE296" t="s">
        <v>2418</v>
      </c>
      <c r="AF296">
        <v>0</v>
      </c>
      <c r="AG296" t="s">
        <v>18</v>
      </c>
    </row>
    <row r="297" spans="1:33" x14ac:dyDescent="0.3">
      <c r="A297" t="s">
        <v>2858</v>
      </c>
      <c r="B297" t="s">
        <v>587</v>
      </c>
      <c r="C297">
        <v>-7.5</v>
      </c>
      <c r="D297" t="s">
        <v>588</v>
      </c>
      <c r="E297" t="s">
        <v>589</v>
      </c>
      <c r="F297">
        <v>-10</v>
      </c>
      <c r="G297" t="s">
        <v>599</v>
      </c>
      <c r="H297" t="s">
        <v>2910</v>
      </c>
      <c r="I297" t="str">
        <f t="shared" si="4"/>
        <v xml:space="preserve">stoch_no_highvol_{'P' [('number'-7.5 1) ('number'-10 -1)]}_[21 49]_0.5 </v>
      </c>
      <c r="J297" t="s">
        <v>2540</v>
      </c>
      <c r="K297">
        <v>335</v>
      </c>
      <c r="L297" t="s">
        <v>5</v>
      </c>
      <c r="M297">
        <v>122</v>
      </c>
      <c r="N297" t="s">
        <v>6</v>
      </c>
      <c r="O297">
        <v>-12.9299999999999</v>
      </c>
      <c r="P297" t="s">
        <v>7</v>
      </c>
      <c r="Q297">
        <v>-3.8597014925372999E-2</v>
      </c>
      <c r="R297" t="s">
        <v>8</v>
      </c>
      <c r="S297">
        <v>0.41942622950819602</v>
      </c>
      <c r="T297" t="s">
        <v>9</v>
      </c>
      <c r="U297">
        <v>-0.30093896713614998</v>
      </c>
      <c r="V297" t="s">
        <v>10</v>
      </c>
      <c r="W297">
        <v>0.17026819721459799</v>
      </c>
      <c r="X297" t="s">
        <v>11</v>
      </c>
      <c r="Y297" t="s">
        <v>3093</v>
      </c>
      <c r="Z297" t="s">
        <v>704</v>
      </c>
      <c r="AA297">
        <v>0</v>
      </c>
      <c r="AB297" t="s">
        <v>14</v>
      </c>
      <c r="AC297" t="s">
        <v>15</v>
      </c>
      <c r="AD297" t="s">
        <v>3186</v>
      </c>
      <c r="AE297" t="s">
        <v>2418</v>
      </c>
      <c r="AF297">
        <v>0</v>
      </c>
      <c r="AG297" t="s">
        <v>18</v>
      </c>
    </row>
    <row r="298" spans="1:33" x14ac:dyDescent="0.3">
      <c r="A298" t="s">
        <v>2683</v>
      </c>
      <c r="B298" t="s">
        <v>587</v>
      </c>
      <c r="C298">
        <v>-5</v>
      </c>
      <c r="D298" t="s">
        <v>588</v>
      </c>
      <c r="E298" t="s">
        <v>589</v>
      </c>
      <c r="F298">
        <v>-7.5</v>
      </c>
      <c r="G298" t="s">
        <v>599</v>
      </c>
      <c r="H298" t="s">
        <v>2552</v>
      </c>
      <c r="I298" t="str">
        <f t="shared" si="4"/>
        <v xml:space="preserve">bbands_no_highvol_{'P' [('number'-5 1) ('number'-7.5 -1)]}_[21 49]_2 </v>
      </c>
      <c r="J298" t="s">
        <v>2540</v>
      </c>
      <c r="K298">
        <v>165</v>
      </c>
      <c r="L298" t="s">
        <v>5</v>
      </c>
      <c r="M298">
        <v>30</v>
      </c>
      <c r="N298" t="s">
        <v>6</v>
      </c>
      <c r="O298">
        <v>-12.979999999999899</v>
      </c>
      <c r="P298" t="s">
        <v>7</v>
      </c>
      <c r="Q298">
        <v>-7.8666666666666496E-2</v>
      </c>
      <c r="R298" t="s">
        <v>8</v>
      </c>
      <c r="S298">
        <v>1.3986666666666601</v>
      </c>
      <c r="T298" t="s">
        <v>9</v>
      </c>
      <c r="U298">
        <v>-0.40696296296296303</v>
      </c>
      <c r="V298" t="s">
        <v>10</v>
      </c>
      <c r="W298">
        <v>0.16581639304392701</v>
      </c>
      <c r="X298" t="s">
        <v>11</v>
      </c>
      <c r="Y298" t="s">
        <v>219</v>
      </c>
      <c r="Z298" t="s">
        <v>2988</v>
      </c>
      <c r="AA298">
        <v>0</v>
      </c>
      <c r="AB298" t="s">
        <v>14</v>
      </c>
      <c r="AC298" t="s">
        <v>15</v>
      </c>
      <c r="AD298" t="s">
        <v>3028</v>
      </c>
      <c r="AE298" t="s">
        <v>2691</v>
      </c>
      <c r="AF298">
        <v>0</v>
      </c>
      <c r="AG298" t="s">
        <v>18</v>
      </c>
    </row>
    <row r="299" spans="1:33" x14ac:dyDescent="0.3">
      <c r="A299" t="s">
        <v>2858</v>
      </c>
      <c r="B299" t="s">
        <v>587</v>
      </c>
      <c r="C299">
        <v>-5</v>
      </c>
      <c r="D299" t="s">
        <v>588</v>
      </c>
      <c r="E299" t="s">
        <v>589</v>
      </c>
      <c r="F299">
        <v>-7.5</v>
      </c>
      <c r="G299" t="s">
        <v>599</v>
      </c>
      <c r="H299" t="s">
        <v>2916</v>
      </c>
      <c r="I299" t="str">
        <f t="shared" si="4"/>
        <v xml:space="preserve">stoch_no_highvol_{'P' [('number'-5 1) ('number'-7.5 -1)]}_[21 49]_3 </v>
      </c>
      <c r="J299" t="s">
        <v>2540</v>
      </c>
      <c r="K299">
        <v>335</v>
      </c>
      <c r="L299" t="s">
        <v>5</v>
      </c>
      <c r="M299">
        <v>57</v>
      </c>
      <c r="N299" t="s">
        <v>6</v>
      </c>
      <c r="O299">
        <v>-13.02</v>
      </c>
      <c r="P299" t="s">
        <v>7</v>
      </c>
      <c r="Q299">
        <v>-3.8865671641791097E-2</v>
      </c>
      <c r="R299" t="s">
        <v>8</v>
      </c>
      <c r="S299">
        <v>1.8017543859649101</v>
      </c>
      <c r="T299" t="s">
        <v>9</v>
      </c>
      <c r="U299">
        <v>-0.41625899280575501</v>
      </c>
      <c r="V299" t="s">
        <v>10</v>
      </c>
      <c r="W299">
        <v>0.37809048694136499</v>
      </c>
      <c r="X299" t="s">
        <v>11</v>
      </c>
      <c r="Y299" t="s">
        <v>2938</v>
      </c>
      <c r="Z299" t="s">
        <v>660</v>
      </c>
      <c r="AA299">
        <v>0</v>
      </c>
      <c r="AB299" t="s">
        <v>14</v>
      </c>
      <c r="AC299" t="s">
        <v>15</v>
      </c>
      <c r="AD299" t="s">
        <v>3179</v>
      </c>
      <c r="AE299" t="s">
        <v>2693</v>
      </c>
      <c r="AF299">
        <v>0</v>
      </c>
      <c r="AG299" t="s">
        <v>18</v>
      </c>
    </row>
    <row r="300" spans="1:33" x14ac:dyDescent="0.3">
      <c r="A300" t="s">
        <v>2683</v>
      </c>
      <c r="B300" t="s">
        <v>587</v>
      </c>
      <c r="C300">
        <v>-5</v>
      </c>
      <c r="D300" t="s">
        <v>588</v>
      </c>
      <c r="E300" t="s">
        <v>589</v>
      </c>
      <c r="F300">
        <v>-7.5</v>
      </c>
      <c r="G300" t="s">
        <v>590</v>
      </c>
      <c r="H300" t="s">
        <v>2539</v>
      </c>
      <c r="I300" t="str">
        <f t="shared" si="4"/>
        <v xml:space="preserve">bbands_no_highvol_{'P' [('number'-5 1) ('number'-7.5 -1)]}_[7 35]_1 </v>
      </c>
      <c r="J300" t="s">
        <v>2540</v>
      </c>
      <c r="K300">
        <v>155</v>
      </c>
      <c r="L300" t="s">
        <v>5</v>
      </c>
      <c r="M300">
        <v>34</v>
      </c>
      <c r="N300" t="s">
        <v>6</v>
      </c>
      <c r="O300">
        <v>-13.2099999999999</v>
      </c>
      <c r="P300" t="s">
        <v>7</v>
      </c>
      <c r="Q300">
        <v>-8.5225806451612707E-2</v>
      </c>
      <c r="R300" t="s">
        <v>8</v>
      </c>
      <c r="S300">
        <v>0.83</v>
      </c>
      <c r="T300" t="s">
        <v>9</v>
      </c>
      <c r="U300">
        <v>-0.34239669421487601</v>
      </c>
      <c r="V300" t="s">
        <v>10</v>
      </c>
      <c r="W300">
        <v>0.11790774259344999</v>
      </c>
      <c r="X300" t="s">
        <v>11</v>
      </c>
      <c r="Y300" t="s">
        <v>3000</v>
      </c>
      <c r="Z300" t="s">
        <v>2280</v>
      </c>
      <c r="AA300">
        <v>0</v>
      </c>
      <c r="AB300" t="s">
        <v>14</v>
      </c>
      <c r="AC300" t="s">
        <v>15</v>
      </c>
      <c r="AD300" t="s">
        <v>3001</v>
      </c>
      <c r="AE300" t="s">
        <v>2999</v>
      </c>
      <c r="AF300">
        <v>0</v>
      </c>
      <c r="AG300" t="s">
        <v>18</v>
      </c>
    </row>
    <row r="301" spans="1:33" x14ac:dyDescent="0.3">
      <c r="A301" t="s">
        <v>2623</v>
      </c>
      <c r="B301" t="s">
        <v>587</v>
      </c>
      <c r="C301">
        <v>0</v>
      </c>
      <c r="D301" t="s">
        <v>588</v>
      </c>
      <c r="E301" t="s">
        <v>589</v>
      </c>
      <c r="F301">
        <v>-2.5</v>
      </c>
      <c r="G301" t="s">
        <v>599</v>
      </c>
      <c r="H301" t="s">
        <v>2910</v>
      </c>
      <c r="I301" t="str">
        <f t="shared" si="4"/>
        <v xml:space="preserve">bbands_{'P' [('number'0 1) ('number'-2.5 -1)]}_[21 49]_0.5 </v>
      </c>
      <c r="J301" t="s">
        <v>2540</v>
      </c>
      <c r="K301">
        <v>178</v>
      </c>
      <c r="L301" t="s">
        <v>5</v>
      </c>
      <c r="M301">
        <v>73</v>
      </c>
      <c r="N301" t="s">
        <v>6</v>
      </c>
      <c r="O301">
        <v>-13.32</v>
      </c>
      <c r="P301" t="s">
        <v>7</v>
      </c>
      <c r="Q301">
        <v>-7.4831460674157593E-2</v>
      </c>
      <c r="R301" t="s">
        <v>8</v>
      </c>
      <c r="S301">
        <v>0.73643835616438302</v>
      </c>
      <c r="T301" t="s">
        <v>9</v>
      </c>
      <c r="U301">
        <v>-0.63885714285714301</v>
      </c>
      <c r="V301" t="s">
        <v>10</v>
      </c>
      <c r="W301">
        <v>0.176426547506398</v>
      </c>
      <c r="X301" t="s">
        <v>11</v>
      </c>
      <c r="Y301" t="s">
        <v>2978</v>
      </c>
      <c r="Z301" t="s">
        <v>1431</v>
      </c>
      <c r="AA301">
        <v>0</v>
      </c>
      <c r="AB301" t="s">
        <v>14</v>
      </c>
      <c r="AC301" t="s">
        <v>15</v>
      </c>
      <c r="AD301" t="s">
        <v>2979</v>
      </c>
      <c r="AE301" t="s">
        <v>1431</v>
      </c>
      <c r="AF301">
        <v>0</v>
      </c>
      <c r="AG301" t="s">
        <v>18</v>
      </c>
    </row>
    <row r="302" spans="1:33" x14ac:dyDescent="0.3">
      <c r="A302" t="s">
        <v>2683</v>
      </c>
      <c r="B302" t="s">
        <v>587</v>
      </c>
      <c r="C302">
        <v>-7.5</v>
      </c>
      <c r="D302" t="s">
        <v>588</v>
      </c>
      <c r="E302" t="s">
        <v>589</v>
      </c>
      <c r="F302">
        <v>-10</v>
      </c>
      <c r="G302" t="s">
        <v>590</v>
      </c>
      <c r="H302" t="s">
        <v>2902</v>
      </c>
      <c r="I302" t="str">
        <f t="shared" si="4"/>
        <v xml:space="preserve">bbands_no_highvol_{'P' [('number'-7.5 1) ('number'-10 -1)]}_[7 35]_0.5 </v>
      </c>
      <c r="J302" t="s">
        <v>2540</v>
      </c>
      <c r="K302">
        <v>155</v>
      </c>
      <c r="L302" t="s">
        <v>5</v>
      </c>
      <c r="M302">
        <v>40</v>
      </c>
      <c r="N302" t="s">
        <v>6</v>
      </c>
      <c r="O302">
        <v>-13.489999999999901</v>
      </c>
      <c r="P302" t="s">
        <v>7</v>
      </c>
      <c r="Q302">
        <v>-8.7032258064516102E-2</v>
      </c>
      <c r="R302" t="s">
        <v>8</v>
      </c>
      <c r="S302">
        <v>0.35349999999999998</v>
      </c>
      <c r="T302" t="s">
        <v>9</v>
      </c>
      <c r="U302">
        <v>-0.240260869565217</v>
      </c>
      <c r="V302" t="s">
        <v>10</v>
      </c>
      <c r="W302">
        <v>6.8889952198179796E-2</v>
      </c>
      <c r="X302" t="s">
        <v>11</v>
      </c>
      <c r="Y302" t="s">
        <v>3006</v>
      </c>
      <c r="Z302" t="s">
        <v>2013</v>
      </c>
      <c r="AA302">
        <v>0</v>
      </c>
      <c r="AB302" t="s">
        <v>14</v>
      </c>
      <c r="AC302" t="s">
        <v>15</v>
      </c>
      <c r="AD302" t="s">
        <v>3008</v>
      </c>
      <c r="AE302" t="s">
        <v>2013</v>
      </c>
      <c r="AF302">
        <v>0</v>
      </c>
      <c r="AG302" t="s">
        <v>18</v>
      </c>
    </row>
    <row r="303" spans="1:33" x14ac:dyDescent="0.3">
      <c r="A303" t="s">
        <v>2683</v>
      </c>
      <c r="B303" t="s">
        <v>587</v>
      </c>
      <c r="C303">
        <v>0</v>
      </c>
      <c r="D303" t="s">
        <v>588</v>
      </c>
      <c r="E303" t="s">
        <v>589</v>
      </c>
      <c r="F303">
        <v>-2.5</v>
      </c>
      <c r="G303" t="s">
        <v>1998</v>
      </c>
      <c r="H303" t="s">
        <v>2918</v>
      </c>
      <c r="I303" t="str">
        <f t="shared" si="4"/>
        <v xml:space="preserve">bbands_no_highvol_{'P' [('number'0 1) ('number'-2.5 -1)]}_[42 70]_0.5 </v>
      </c>
      <c r="J303" t="s">
        <v>2540</v>
      </c>
      <c r="K303">
        <v>157</v>
      </c>
      <c r="L303" t="s">
        <v>5</v>
      </c>
      <c r="M303">
        <v>70</v>
      </c>
      <c r="N303" t="s">
        <v>6</v>
      </c>
      <c r="O303">
        <v>-13.541216928780701</v>
      </c>
      <c r="P303" t="s">
        <v>7</v>
      </c>
      <c r="Q303">
        <v>-8.6249789355291401E-2</v>
      </c>
      <c r="R303" t="s">
        <v>8</v>
      </c>
      <c r="S303">
        <v>0.73735016168729295</v>
      </c>
      <c r="T303" t="s">
        <v>9</v>
      </c>
      <c r="U303">
        <v>-0.748916416630934</v>
      </c>
      <c r="V303" t="s">
        <v>10</v>
      </c>
      <c r="W303">
        <v>0.181683227627363</v>
      </c>
      <c r="X303" t="s">
        <v>11</v>
      </c>
      <c r="Y303" t="s">
        <v>3012</v>
      </c>
      <c r="Z303" t="s">
        <v>3013</v>
      </c>
      <c r="AA303">
        <v>0</v>
      </c>
      <c r="AB303" t="s">
        <v>14</v>
      </c>
      <c r="AC303" t="s">
        <v>15</v>
      </c>
      <c r="AD303" t="s">
        <v>3014</v>
      </c>
      <c r="AE303" t="s">
        <v>3015</v>
      </c>
      <c r="AF303">
        <v>0</v>
      </c>
      <c r="AG303" t="s">
        <v>18</v>
      </c>
    </row>
    <row r="304" spans="1:33" x14ac:dyDescent="0.3">
      <c r="A304" t="s">
        <v>2858</v>
      </c>
      <c r="B304" t="s">
        <v>587</v>
      </c>
      <c r="C304">
        <v>0</v>
      </c>
      <c r="D304" t="s">
        <v>588</v>
      </c>
      <c r="E304" t="s">
        <v>589</v>
      </c>
      <c r="F304">
        <v>-2.5</v>
      </c>
      <c r="G304" t="s">
        <v>1998</v>
      </c>
      <c r="H304" t="s">
        <v>2918</v>
      </c>
      <c r="I304" t="str">
        <f t="shared" si="4"/>
        <v xml:space="preserve">stoch_no_highvol_{'P' [('number'0 1) ('number'-2.5 -1)]}_[42 70]_0.5 </v>
      </c>
      <c r="J304" t="s">
        <v>2540</v>
      </c>
      <c r="K304">
        <v>331</v>
      </c>
      <c r="L304" t="s">
        <v>5</v>
      </c>
      <c r="M304">
        <v>149</v>
      </c>
      <c r="N304" t="s">
        <v>6</v>
      </c>
      <c r="O304">
        <v>-13.5434137341017</v>
      </c>
      <c r="P304" t="s">
        <v>7</v>
      </c>
      <c r="Q304">
        <v>-4.0916657806953999E-2</v>
      </c>
      <c r="R304" t="s">
        <v>8</v>
      </c>
      <c r="S304">
        <v>0.77654249469301395</v>
      </c>
      <c r="T304" t="s">
        <v>9</v>
      </c>
      <c r="U304">
        <v>-0.710155194743741</v>
      </c>
      <c r="V304" t="s">
        <v>10</v>
      </c>
      <c r="W304">
        <v>0.340027264696868</v>
      </c>
      <c r="X304" t="s">
        <v>11</v>
      </c>
      <c r="Y304" t="s">
        <v>3171</v>
      </c>
      <c r="Z304" t="s">
        <v>2092</v>
      </c>
      <c r="AA304">
        <v>0</v>
      </c>
      <c r="AB304" t="s">
        <v>14</v>
      </c>
      <c r="AC304" t="s">
        <v>15</v>
      </c>
      <c r="AD304" t="s">
        <v>3172</v>
      </c>
      <c r="AE304" t="s">
        <v>3173</v>
      </c>
      <c r="AF304">
        <v>0</v>
      </c>
      <c r="AG304" t="s">
        <v>18</v>
      </c>
    </row>
    <row r="305" spans="1:33" x14ac:dyDescent="0.3">
      <c r="A305" t="s">
        <v>2623</v>
      </c>
      <c r="B305" t="s">
        <v>587</v>
      </c>
      <c r="C305">
        <v>0</v>
      </c>
      <c r="D305" t="s">
        <v>588</v>
      </c>
      <c r="E305" t="s">
        <v>589</v>
      </c>
      <c r="F305">
        <v>-2.5</v>
      </c>
      <c r="G305" t="s">
        <v>590</v>
      </c>
      <c r="H305" t="s">
        <v>2902</v>
      </c>
      <c r="I305" t="str">
        <f t="shared" si="4"/>
        <v xml:space="preserve">bbands_{'P' [('number'0 1) ('number'-2.5 -1)]}_[7 35]_0.5 </v>
      </c>
      <c r="J305" t="s">
        <v>2540</v>
      </c>
      <c r="K305">
        <v>169</v>
      </c>
      <c r="L305" t="s">
        <v>5</v>
      </c>
      <c r="M305">
        <v>69</v>
      </c>
      <c r="N305" t="s">
        <v>6</v>
      </c>
      <c r="O305">
        <v>-13.66</v>
      </c>
      <c r="P305" t="s">
        <v>7</v>
      </c>
      <c r="Q305">
        <v>-8.0828402366864296E-2</v>
      </c>
      <c r="R305" t="s">
        <v>8</v>
      </c>
      <c r="S305">
        <v>0.74666666666666603</v>
      </c>
      <c r="T305" t="s">
        <v>9</v>
      </c>
      <c r="U305">
        <v>-0.65180000000000005</v>
      </c>
      <c r="V305" t="s">
        <v>10</v>
      </c>
      <c r="W305">
        <v>0.169666285768592</v>
      </c>
      <c r="X305" t="s">
        <v>11</v>
      </c>
      <c r="Y305" t="s">
        <v>2978</v>
      </c>
      <c r="Z305" t="s">
        <v>1431</v>
      </c>
      <c r="AA305">
        <v>0</v>
      </c>
      <c r="AB305" t="s">
        <v>14</v>
      </c>
      <c r="AC305" t="s">
        <v>15</v>
      </c>
      <c r="AD305" t="s">
        <v>2979</v>
      </c>
      <c r="AE305" t="s">
        <v>1431</v>
      </c>
      <c r="AF305">
        <v>0</v>
      </c>
      <c r="AG305" t="s">
        <v>18</v>
      </c>
    </row>
    <row r="306" spans="1:33" x14ac:dyDescent="0.3">
      <c r="A306" t="s">
        <v>2683</v>
      </c>
      <c r="B306" t="s">
        <v>587</v>
      </c>
      <c r="C306">
        <v>0</v>
      </c>
      <c r="D306" t="s">
        <v>588</v>
      </c>
      <c r="E306" t="s">
        <v>589</v>
      </c>
      <c r="F306">
        <v>-2.5</v>
      </c>
      <c r="G306" t="s">
        <v>590</v>
      </c>
      <c r="H306" t="s">
        <v>2902</v>
      </c>
      <c r="I306" t="str">
        <f t="shared" si="4"/>
        <v xml:space="preserve">bbands_no_highvol_{'P' [('number'0 1) ('number'-2.5 -1)]}_[7 35]_0.5 </v>
      </c>
      <c r="J306" t="s">
        <v>2540</v>
      </c>
      <c r="K306">
        <v>155</v>
      </c>
      <c r="L306" t="s">
        <v>5</v>
      </c>
      <c r="M306">
        <v>62</v>
      </c>
      <c r="N306" t="s">
        <v>6</v>
      </c>
      <c r="O306">
        <v>-13.69</v>
      </c>
      <c r="P306" t="s">
        <v>7</v>
      </c>
      <c r="Q306">
        <v>-8.8322580645161602E-2</v>
      </c>
      <c r="R306" t="s">
        <v>8</v>
      </c>
      <c r="S306">
        <v>0.74806451612903202</v>
      </c>
      <c r="T306" t="s">
        <v>9</v>
      </c>
      <c r="U306">
        <v>-0.64591397849462395</v>
      </c>
      <c r="V306" t="s">
        <v>10</v>
      </c>
      <c r="W306">
        <v>0.16189120781114499</v>
      </c>
      <c r="X306" t="s">
        <v>11</v>
      </c>
      <c r="Y306" t="s">
        <v>2978</v>
      </c>
      <c r="Z306" t="s">
        <v>1431</v>
      </c>
      <c r="AA306">
        <v>0</v>
      </c>
      <c r="AB306" t="s">
        <v>14</v>
      </c>
      <c r="AC306" t="s">
        <v>15</v>
      </c>
      <c r="AD306" t="s">
        <v>2979</v>
      </c>
      <c r="AE306" t="s">
        <v>1431</v>
      </c>
      <c r="AF306">
        <v>0</v>
      </c>
      <c r="AG306" t="s">
        <v>18</v>
      </c>
    </row>
    <row r="307" spans="1:33" x14ac:dyDescent="0.3">
      <c r="A307" t="s">
        <v>2623</v>
      </c>
      <c r="B307" t="s">
        <v>587</v>
      </c>
      <c r="C307">
        <v>-7.5</v>
      </c>
      <c r="D307" t="s">
        <v>588</v>
      </c>
      <c r="E307" t="s">
        <v>589</v>
      </c>
      <c r="F307">
        <v>-10</v>
      </c>
      <c r="G307" t="s">
        <v>590</v>
      </c>
      <c r="H307" t="s">
        <v>2539</v>
      </c>
      <c r="I307" t="str">
        <f t="shared" si="4"/>
        <v xml:space="preserve">bbands_{'P' [('number'-7.5 1) ('number'-10 -1)]}_[7 35]_1 </v>
      </c>
      <c r="J307" t="s">
        <v>2540</v>
      </c>
      <c r="K307">
        <v>169</v>
      </c>
      <c r="L307" t="s">
        <v>5</v>
      </c>
      <c r="M307">
        <v>31</v>
      </c>
      <c r="N307" t="s">
        <v>6</v>
      </c>
      <c r="O307">
        <v>-13.82</v>
      </c>
      <c r="P307" t="s">
        <v>7</v>
      </c>
      <c r="Q307">
        <v>-8.1775147928994096E-2</v>
      </c>
      <c r="R307" t="s">
        <v>8</v>
      </c>
      <c r="S307">
        <v>0.66193548387096701</v>
      </c>
      <c r="T307" t="s">
        <v>9</v>
      </c>
      <c r="U307">
        <v>-0.24884057971014401</v>
      </c>
      <c r="V307" t="s">
        <v>10</v>
      </c>
      <c r="W307">
        <v>8.9221228025018806E-2</v>
      </c>
      <c r="X307" t="s">
        <v>11</v>
      </c>
      <c r="Y307" t="s">
        <v>2998</v>
      </c>
      <c r="Z307" t="s">
        <v>2999</v>
      </c>
      <c r="AA307">
        <v>0</v>
      </c>
      <c r="AB307" t="s">
        <v>14</v>
      </c>
      <c r="AC307" t="s">
        <v>15</v>
      </c>
      <c r="AD307" t="s">
        <v>219</v>
      </c>
      <c r="AE307" t="s">
        <v>2999</v>
      </c>
      <c r="AF307">
        <v>0</v>
      </c>
      <c r="AG307" t="s">
        <v>18</v>
      </c>
    </row>
    <row r="308" spans="1:33" x14ac:dyDescent="0.3">
      <c r="A308" t="s">
        <v>2683</v>
      </c>
      <c r="B308" t="s">
        <v>587</v>
      </c>
      <c r="C308">
        <v>-5</v>
      </c>
      <c r="D308" t="s">
        <v>588</v>
      </c>
      <c r="E308" t="s">
        <v>589</v>
      </c>
      <c r="F308">
        <v>-7.5</v>
      </c>
      <c r="G308" t="s">
        <v>1998</v>
      </c>
      <c r="H308" t="s">
        <v>2918</v>
      </c>
      <c r="I308" t="str">
        <f t="shared" si="4"/>
        <v xml:space="preserve">bbands_no_highvol_{'P' [('number'-5 1) ('number'-7.5 -1)]}_[42 70]_0.5 </v>
      </c>
      <c r="J308" t="s">
        <v>2540</v>
      </c>
      <c r="K308">
        <v>157</v>
      </c>
      <c r="L308" t="s">
        <v>5</v>
      </c>
      <c r="M308">
        <v>64</v>
      </c>
      <c r="N308" t="s">
        <v>6</v>
      </c>
      <c r="O308">
        <v>-14.0231451051656</v>
      </c>
      <c r="P308" t="s">
        <v>7</v>
      </c>
      <c r="Q308">
        <v>-8.9319395574303406E-2</v>
      </c>
      <c r="R308" t="s">
        <v>8</v>
      </c>
      <c r="S308">
        <v>0.54007691434440197</v>
      </c>
      <c r="T308" t="s">
        <v>9</v>
      </c>
      <c r="U308">
        <v>-0.52245234003448704</v>
      </c>
      <c r="V308" t="s">
        <v>10</v>
      </c>
      <c r="W308">
        <v>0.120673411558683</v>
      </c>
      <c r="X308" t="s">
        <v>11</v>
      </c>
      <c r="Y308" t="s">
        <v>3031</v>
      </c>
      <c r="Z308" t="s">
        <v>3032</v>
      </c>
      <c r="AA308">
        <v>0</v>
      </c>
      <c r="AB308" t="s">
        <v>14</v>
      </c>
      <c r="AC308" t="s">
        <v>15</v>
      </c>
      <c r="AD308" t="s">
        <v>3031</v>
      </c>
      <c r="AE308" t="s">
        <v>3032</v>
      </c>
      <c r="AF308">
        <v>0</v>
      </c>
      <c r="AG308" t="s">
        <v>18</v>
      </c>
    </row>
    <row r="309" spans="1:33" x14ac:dyDescent="0.3">
      <c r="A309" t="s">
        <v>2683</v>
      </c>
      <c r="B309" t="s">
        <v>587</v>
      </c>
      <c r="C309">
        <v>-5</v>
      </c>
      <c r="D309" t="s">
        <v>588</v>
      </c>
      <c r="E309" t="s">
        <v>589</v>
      </c>
      <c r="F309">
        <v>-7.5</v>
      </c>
      <c r="G309" t="s">
        <v>599</v>
      </c>
      <c r="H309" t="s">
        <v>2916</v>
      </c>
      <c r="I309" t="str">
        <f t="shared" si="4"/>
        <v xml:space="preserve">bbands_no_highvol_{'P' [('number'-5 1) ('number'-7.5 -1)]}_[21 49]_3 </v>
      </c>
      <c r="J309" t="s">
        <v>2540</v>
      </c>
      <c r="K309">
        <v>165</v>
      </c>
      <c r="L309" t="s">
        <v>5</v>
      </c>
      <c r="M309">
        <v>24</v>
      </c>
      <c r="N309" t="s">
        <v>6</v>
      </c>
      <c r="O309">
        <v>-14.0399999999999</v>
      </c>
      <c r="P309" t="s">
        <v>7</v>
      </c>
      <c r="Q309">
        <v>-8.5090909090908898E-2</v>
      </c>
      <c r="R309" t="s">
        <v>8</v>
      </c>
      <c r="S309">
        <v>1.81375</v>
      </c>
      <c r="T309" t="s">
        <v>9</v>
      </c>
      <c r="U309">
        <v>-0.40829787234042603</v>
      </c>
      <c r="V309" t="s">
        <v>10</v>
      </c>
      <c r="W309">
        <v>0.18741062378036999</v>
      </c>
      <c r="X309" t="s">
        <v>11</v>
      </c>
      <c r="Y309" t="s">
        <v>3029</v>
      </c>
      <c r="Z309" t="s">
        <v>3030</v>
      </c>
      <c r="AA309">
        <v>0</v>
      </c>
      <c r="AB309" t="s">
        <v>14</v>
      </c>
      <c r="AC309" t="s">
        <v>15</v>
      </c>
      <c r="AD309" t="s">
        <v>3026</v>
      </c>
      <c r="AE309" t="s">
        <v>2686</v>
      </c>
      <c r="AF309">
        <v>0</v>
      </c>
      <c r="AG309" t="s">
        <v>18</v>
      </c>
    </row>
    <row r="310" spans="1:33" x14ac:dyDescent="0.3">
      <c r="A310" t="s">
        <v>2623</v>
      </c>
      <c r="B310" t="s">
        <v>587</v>
      </c>
      <c r="C310">
        <v>-5</v>
      </c>
      <c r="D310" t="s">
        <v>588</v>
      </c>
      <c r="E310" t="s">
        <v>589</v>
      </c>
      <c r="F310">
        <v>-7.5</v>
      </c>
      <c r="G310" t="s">
        <v>590</v>
      </c>
      <c r="H310" t="s">
        <v>2539</v>
      </c>
      <c r="I310" t="str">
        <f t="shared" si="4"/>
        <v xml:space="preserve">bbands_{'P' [('number'-5 1) ('number'-7.5 -1)]}_[7 35]_1 </v>
      </c>
      <c r="J310" t="s">
        <v>2540</v>
      </c>
      <c r="K310">
        <v>169</v>
      </c>
      <c r="L310" t="s">
        <v>5</v>
      </c>
      <c r="M310">
        <v>37</v>
      </c>
      <c r="N310" t="s">
        <v>6</v>
      </c>
      <c r="O310">
        <v>-14.1099999999999</v>
      </c>
      <c r="P310" t="s">
        <v>7</v>
      </c>
      <c r="Q310">
        <v>-8.3491124260354793E-2</v>
      </c>
      <c r="R310" t="s">
        <v>8</v>
      </c>
      <c r="S310">
        <v>0.87027027027027004</v>
      </c>
      <c r="T310" t="s">
        <v>9</v>
      </c>
      <c r="U310">
        <v>-0.350833333333333</v>
      </c>
      <c r="V310" t="s">
        <v>10</v>
      </c>
      <c r="W310">
        <v>0.12922505816254001</v>
      </c>
      <c r="X310" t="s">
        <v>11</v>
      </c>
      <c r="Y310" t="s">
        <v>3000</v>
      </c>
      <c r="Z310" t="s">
        <v>2280</v>
      </c>
      <c r="AA310">
        <v>0</v>
      </c>
      <c r="AB310" t="s">
        <v>14</v>
      </c>
      <c r="AC310" t="s">
        <v>15</v>
      </c>
      <c r="AD310" t="s">
        <v>3001</v>
      </c>
      <c r="AE310" t="s">
        <v>2999</v>
      </c>
      <c r="AF310">
        <v>0</v>
      </c>
      <c r="AG310" t="s">
        <v>18</v>
      </c>
    </row>
    <row r="311" spans="1:33" x14ac:dyDescent="0.3">
      <c r="A311" t="s">
        <v>2538</v>
      </c>
      <c r="B311" t="s">
        <v>587</v>
      </c>
      <c r="C311">
        <v>-7.5</v>
      </c>
      <c r="D311" t="s">
        <v>588</v>
      </c>
      <c r="E311" t="s">
        <v>589</v>
      </c>
      <c r="F311">
        <v>-10</v>
      </c>
      <c r="G311" t="s">
        <v>599</v>
      </c>
      <c r="H311" t="s">
        <v>2552</v>
      </c>
      <c r="I311" t="str">
        <f t="shared" si="4"/>
        <v xml:space="preserve">alltime_{'P' [('number'-7.5 1) ('number'-10 -1)]}_[21 49]_2 </v>
      </c>
      <c r="J311" t="s">
        <v>2540</v>
      </c>
      <c r="K311">
        <v>3050</v>
      </c>
      <c r="L311" t="s">
        <v>5</v>
      </c>
      <c r="M311">
        <v>606</v>
      </c>
      <c r="N311" t="s">
        <v>6</v>
      </c>
      <c r="O311">
        <v>-14.5339647743995</v>
      </c>
      <c r="P311" t="s">
        <v>7</v>
      </c>
      <c r="Q311">
        <v>-4.7652343522621397E-3</v>
      </c>
      <c r="R311" t="s">
        <v>8</v>
      </c>
      <c r="S311">
        <v>1.34293729372937</v>
      </c>
      <c r="T311" t="s">
        <v>9</v>
      </c>
      <c r="U311">
        <v>-0.33893370080785501</v>
      </c>
      <c r="V311" t="s">
        <v>10</v>
      </c>
      <c r="W311">
        <v>1.75056975243851</v>
      </c>
      <c r="X311" t="s">
        <v>11</v>
      </c>
      <c r="Y311" t="s">
        <v>2938</v>
      </c>
      <c r="Z311" t="s">
        <v>660</v>
      </c>
      <c r="AA311">
        <v>0</v>
      </c>
      <c r="AB311" t="s">
        <v>14</v>
      </c>
      <c r="AC311" t="s">
        <v>15</v>
      </c>
      <c r="AD311" t="s">
        <v>2970</v>
      </c>
      <c r="AE311" t="s">
        <v>2695</v>
      </c>
      <c r="AF311">
        <v>0</v>
      </c>
      <c r="AG311" t="s">
        <v>18</v>
      </c>
    </row>
    <row r="312" spans="1:33" x14ac:dyDescent="0.3">
      <c r="A312" t="s">
        <v>2623</v>
      </c>
      <c r="B312" t="s">
        <v>587</v>
      </c>
      <c r="C312">
        <v>0</v>
      </c>
      <c r="D312" t="s">
        <v>588</v>
      </c>
      <c r="E312" t="s">
        <v>589</v>
      </c>
      <c r="F312">
        <v>-2.5</v>
      </c>
      <c r="G312" t="s">
        <v>1998</v>
      </c>
      <c r="H312" t="s">
        <v>2562</v>
      </c>
      <c r="I312" t="str">
        <f t="shared" si="4"/>
        <v xml:space="preserve">bbands_{'P' [('number'0 1) ('number'-2.5 -1)]}_[42 70]_2 </v>
      </c>
      <c r="J312" t="s">
        <v>2540</v>
      </c>
      <c r="K312">
        <v>167</v>
      </c>
      <c r="L312" t="s">
        <v>5</v>
      </c>
      <c r="M312">
        <v>51</v>
      </c>
      <c r="N312" t="s">
        <v>6</v>
      </c>
      <c r="O312">
        <v>-14.557158821394699</v>
      </c>
      <c r="P312" t="s">
        <v>7</v>
      </c>
      <c r="Q312">
        <v>-8.7168615696974594E-2</v>
      </c>
      <c r="R312" t="s">
        <v>8</v>
      </c>
      <c r="S312">
        <v>1.68335130586028</v>
      </c>
      <c r="T312" t="s">
        <v>9</v>
      </c>
      <c r="U312">
        <v>-0.86558685707128502</v>
      </c>
      <c r="V312" t="s">
        <v>10</v>
      </c>
      <c r="W312">
        <v>0.33168781974032102</v>
      </c>
      <c r="X312" t="s">
        <v>11</v>
      </c>
      <c r="Y312" t="s">
        <v>2983</v>
      </c>
      <c r="Z312" t="s">
        <v>2924</v>
      </c>
      <c r="AA312">
        <v>0</v>
      </c>
      <c r="AB312" t="s">
        <v>14</v>
      </c>
      <c r="AC312" t="s">
        <v>15</v>
      </c>
      <c r="AD312" t="s">
        <v>2096</v>
      </c>
      <c r="AE312" t="s">
        <v>2924</v>
      </c>
      <c r="AF312">
        <v>0</v>
      </c>
      <c r="AG312" t="s">
        <v>18</v>
      </c>
    </row>
    <row r="313" spans="1:33" x14ac:dyDescent="0.3">
      <c r="A313" t="s">
        <v>2683</v>
      </c>
      <c r="B313" t="s">
        <v>587</v>
      </c>
      <c r="C313">
        <v>-2.5</v>
      </c>
      <c r="D313" t="s">
        <v>588</v>
      </c>
      <c r="E313" t="s">
        <v>589</v>
      </c>
      <c r="F313">
        <v>-5</v>
      </c>
      <c r="G313" t="s">
        <v>590</v>
      </c>
      <c r="H313" t="s">
        <v>2543</v>
      </c>
      <c r="I313" t="str">
        <f t="shared" si="4"/>
        <v xml:space="preserve">bbands_no_highvol_{'P' [('number'-2.5 1) ('number'-5 -1)]}_[7 35]_2 </v>
      </c>
      <c r="J313" t="s">
        <v>2540</v>
      </c>
      <c r="K313">
        <v>155</v>
      </c>
      <c r="L313" t="s">
        <v>5</v>
      </c>
      <c r="M313">
        <v>32</v>
      </c>
      <c r="N313" t="s">
        <v>6</v>
      </c>
      <c r="O313">
        <v>-14.649999999999901</v>
      </c>
      <c r="P313" t="s">
        <v>7</v>
      </c>
      <c r="Q313">
        <v>-9.4516129032257701E-2</v>
      </c>
      <c r="R313" t="s">
        <v>8</v>
      </c>
      <c r="S313">
        <v>1.4468749999999999</v>
      </c>
      <c r="T313" t="s">
        <v>9</v>
      </c>
      <c r="U313">
        <v>-0.49552845528455203</v>
      </c>
      <c r="V313" t="s">
        <v>10</v>
      </c>
      <c r="W313">
        <v>0.18536768597947101</v>
      </c>
      <c r="X313" t="s">
        <v>11</v>
      </c>
      <c r="Y313" t="s">
        <v>2989</v>
      </c>
      <c r="Z313" t="s">
        <v>2990</v>
      </c>
      <c r="AA313">
        <v>0</v>
      </c>
      <c r="AB313" t="s">
        <v>14</v>
      </c>
      <c r="AC313" t="s">
        <v>15</v>
      </c>
      <c r="AD313" t="s">
        <v>2987</v>
      </c>
      <c r="AE313" t="s">
        <v>2418</v>
      </c>
      <c r="AF313">
        <v>0</v>
      </c>
      <c r="AG313" t="s">
        <v>18</v>
      </c>
    </row>
    <row r="314" spans="1:33" x14ac:dyDescent="0.3">
      <c r="A314" t="s">
        <v>2811</v>
      </c>
      <c r="B314" t="s">
        <v>587</v>
      </c>
      <c r="C314">
        <v>-7.5</v>
      </c>
      <c r="D314" t="s">
        <v>588</v>
      </c>
      <c r="E314" t="s">
        <v>589</v>
      </c>
      <c r="F314">
        <v>-10</v>
      </c>
      <c r="G314" t="s">
        <v>599</v>
      </c>
      <c r="H314" t="s">
        <v>2552</v>
      </c>
      <c r="I314" t="str">
        <f t="shared" si="4"/>
        <v xml:space="preserve">stoch_{'P' [('number'-7.5 1) ('number'-10 -1)]}_[21 49]_2 </v>
      </c>
      <c r="J314" t="s">
        <v>2540</v>
      </c>
      <c r="K314">
        <v>376</v>
      </c>
      <c r="L314" t="s">
        <v>5</v>
      </c>
      <c r="M314">
        <v>61</v>
      </c>
      <c r="N314" t="s">
        <v>6</v>
      </c>
      <c r="O314">
        <v>-14.6814508278174</v>
      </c>
      <c r="P314" t="s">
        <v>7</v>
      </c>
      <c r="Q314">
        <v>-3.90464117761102E-2</v>
      </c>
      <c r="R314" t="s">
        <v>8</v>
      </c>
      <c r="S314">
        <v>1.50918032786885</v>
      </c>
      <c r="T314" t="s">
        <v>9</v>
      </c>
      <c r="U314">
        <v>-0.33886174865973701</v>
      </c>
      <c r="V314" t="s">
        <v>10</v>
      </c>
      <c r="W314">
        <v>0.39706072234953599</v>
      </c>
      <c r="X314" t="s">
        <v>11</v>
      </c>
      <c r="Y314" t="s">
        <v>3052</v>
      </c>
      <c r="Z314" t="s">
        <v>284</v>
      </c>
      <c r="AA314">
        <v>0</v>
      </c>
      <c r="AB314" t="s">
        <v>14</v>
      </c>
      <c r="AC314" t="s">
        <v>15</v>
      </c>
      <c r="AD314" t="s">
        <v>3165</v>
      </c>
      <c r="AE314" t="s">
        <v>2863</v>
      </c>
      <c r="AF314">
        <v>0</v>
      </c>
      <c r="AG314" t="s">
        <v>18</v>
      </c>
    </row>
    <row r="315" spans="1:33" x14ac:dyDescent="0.3">
      <c r="A315" t="s">
        <v>2623</v>
      </c>
      <c r="B315" t="s">
        <v>587</v>
      </c>
      <c r="C315">
        <v>-5</v>
      </c>
      <c r="D315" t="s">
        <v>588</v>
      </c>
      <c r="E315" t="s">
        <v>589</v>
      </c>
      <c r="F315">
        <v>-7.5</v>
      </c>
      <c r="G315" t="s">
        <v>590</v>
      </c>
      <c r="H315" t="s">
        <v>2902</v>
      </c>
      <c r="I315" t="str">
        <f t="shared" si="4"/>
        <v xml:space="preserve">bbands_{'P' [('number'-5 1) ('number'-7.5 -1)]}_[7 35]_0.5 </v>
      </c>
      <c r="J315" t="s">
        <v>2540</v>
      </c>
      <c r="K315">
        <v>169</v>
      </c>
      <c r="L315" t="s">
        <v>5</v>
      </c>
      <c r="M315">
        <v>50</v>
      </c>
      <c r="N315" t="s">
        <v>6</v>
      </c>
      <c r="O315">
        <v>-14.69</v>
      </c>
      <c r="P315" t="s">
        <v>7</v>
      </c>
      <c r="Q315">
        <v>-8.6923076923076895E-2</v>
      </c>
      <c r="R315" t="s">
        <v>8</v>
      </c>
      <c r="S315">
        <v>0.53920000000000001</v>
      </c>
      <c r="T315" t="s">
        <v>9</v>
      </c>
      <c r="U315">
        <v>-0.35</v>
      </c>
      <c r="V315" t="s">
        <v>10</v>
      </c>
      <c r="W315">
        <v>0.10825986488155299</v>
      </c>
      <c r="X315" t="s">
        <v>11</v>
      </c>
      <c r="Y315" t="s">
        <v>2998</v>
      </c>
      <c r="Z315" t="s">
        <v>2999</v>
      </c>
      <c r="AA315">
        <v>0</v>
      </c>
      <c r="AB315" t="s">
        <v>14</v>
      </c>
      <c r="AC315" t="s">
        <v>15</v>
      </c>
      <c r="AD315" t="s">
        <v>219</v>
      </c>
      <c r="AE315" t="s">
        <v>2418</v>
      </c>
      <c r="AF315">
        <v>0</v>
      </c>
      <c r="AG315" t="s">
        <v>18</v>
      </c>
    </row>
    <row r="316" spans="1:33" x14ac:dyDescent="0.3">
      <c r="A316" t="s">
        <v>2683</v>
      </c>
      <c r="B316" t="s">
        <v>587</v>
      </c>
      <c r="C316">
        <v>-7.5</v>
      </c>
      <c r="D316" t="s">
        <v>588</v>
      </c>
      <c r="E316" t="s">
        <v>589</v>
      </c>
      <c r="F316">
        <v>-10</v>
      </c>
      <c r="G316" t="s">
        <v>599</v>
      </c>
      <c r="H316" t="s">
        <v>2552</v>
      </c>
      <c r="I316" t="str">
        <f t="shared" si="4"/>
        <v xml:space="preserve">bbands_no_highvol_{'P' [('number'-7.5 1) ('number'-10 -1)]}_[21 49]_2 </v>
      </c>
      <c r="J316" t="s">
        <v>2540</v>
      </c>
      <c r="K316">
        <v>165</v>
      </c>
      <c r="L316" t="s">
        <v>5</v>
      </c>
      <c r="M316">
        <v>26</v>
      </c>
      <c r="N316" t="s">
        <v>6</v>
      </c>
      <c r="O316">
        <v>-14.77</v>
      </c>
      <c r="P316" t="s">
        <v>7</v>
      </c>
      <c r="Q316">
        <v>-8.9515151515151506E-2</v>
      </c>
      <c r="R316" t="s">
        <v>8</v>
      </c>
      <c r="S316">
        <v>1.24615384615384</v>
      </c>
      <c r="T316" t="s">
        <v>9</v>
      </c>
      <c r="U316">
        <v>-0.339352517985611</v>
      </c>
      <c r="V316" t="s">
        <v>10</v>
      </c>
      <c r="W316">
        <v>0.156484669587447</v>
      </c>
      <c r="X316" t="s">
        <v>11</v>
      </c>
      <c r="Y316" t="s">
        <v>2938</v>
      </c>
      <c r="Z316" t="s">
        <v>660</v>
      </c>
      <c r="AA316">
        <v>0</v>
      </c>
      <c r="AB316" t="s">
        <v>14</v>
      </c>
      <c r="AC316" t="s">
        <v>15</v>
      </c>
      <c r="AD316" t="s">
        <v>3009</v>
      </c>
      <c r="AE316" t="s">
        <v>660</v>
      </c>
      <c r="AF316">
        <v>0</v>
      </c>
      <c r="AG316" t="s">
        <v>18</v>
      </c>
    </row>
    <row r="317" spans="1:33" x14ac:dyDescent="0.3">
      <c r="A317" t="s">
        <v>2858</v>
      </c>
      <c r="B317" t="s">
        <v>587</v>
      </c>
      <c r="C317">
        <v>-2.5</v>
      </c>
      <c r="D317" t="s">
        <v>588</v>
      </c>
      <c r="E317" t="s">
        <v>589</v>
      </c>
      <c r="F317">
        <v>-5</v>
      </c>
      <c r="G317" t="s">
        <v>1998</v>
      </c>
      <c r="H317" t="s">
        <v>2562</v>
      </c>
      <c r="I317" t="str">
        <f t="shared" si="4"/>
        <v xml:space="preserve">stoch_no_highvol_{'P' [('number'-2.5 1) ('number'-5 -1)]}_[42 70]_2 </v>
      </c>
      <c r="J317" t="s">
        <v>2540</v>
      </c>
      <c r="K317">
        <v>331</v>
      </c>
      <c r="L317" t="s">
        <v>5</v>
      </c>
      <c r="M317">
        <v>81</v>
      </c>
      <c r="N317" t="s">
        <v>6</v>
      </c>
      <c r="O317">
        <v>-14.8454241472179</v>
      </c>
      <c r="P317" t="s">
        <v>7</v>
      </c>
      <c r="Q317">
        <v>-4.4850224009721898E-2</v>
      </c>
      <c r="R317" t="s">
        <v>8</v>
      </c>
      <c r="S317">
        <v>1.7294003508361599</v>
      </c>
      <c r="T317" t="s">
        <v>9</v>
      </c>
      <c r="U317">
        <v>-0.61970741025979004</v>
      </c>
      <c r="V317" t="s">
        <v>10</v>
      </c>
      <c r="W317">
        <v>0.42637166085239903</v>
      </c>
      <c r="X317" t="s">
        <v>11</v>
      </c>
      <c r="Y317" t="s">
        <v>246</v>
      </c>
      <c r="Z317" t="s">
        <v>3176</v>
      </c>
      <c r="AA317">
        <v>0</v>
      </c>
      <c r="AB317" t="s">
        <v>14</v>
      </c>
      <c r="AC317" t="s">
        <v>15</v>
      </c>
      <c r="AD317" t="s">
        <v>3098</v>
      </c>
      <c r="AE317" t="s">
        <v>3055</v>
      </c>
      <c r="AF317">
        <v>0</v>
      </c>
      <c r="AG317" t="s">
        <v>18</v>
      </c>
    </row>
    <row r="318" spans="1:33" x14ac:dyDescent="0.3">
      <c r="A318" t="s">
        <v>2777</v>
      </c>
      <c r="B318" t="s">
        <v>587</v>
      </c>
      <c r="C318">
        <v>0</v>
      </c>
      <c r="D318" t="s">
        <v>588</v>
      </c>
      <c r="E318" t="s">
        <v>589</v>
      </c>
      <c r="F318">
        <v>-2.5</v>
      </c>
      <c r="G318" t="s">
        <v>1998</v>
      </c>
      <c r="H318" t="s">
        <v>2926</v>
      </c>
      <c r="I318" t="str">
        <f t="shared" si="4"/>
        <v xml:space="preserve">rsi_{'P' [('number'0 1) ('number'-2.5 -1)]}_[42 70]_3 </v>
      </c>
      <c r="J318" t="s">
        <v>2540</v>
      </c>
      <c r="K318">
        <v>127</v>
      </c>
      <c r="L318" t="s">
        <v>5</v>
      </c>
      <c r="M318">
        <v>39</v>
      </c>
      <c r="N318" t="s">
        <v>6</v>
      </c>
      <c r="O318">
        <v>-14.9004446005851</v>
      </c>
      <c r="P318" t="s">
        <v>7</v>
      </c>
      <c r="Q318">
        <v>-0.11732633543767799</v>
      </c>
      <c r="R318" t="s">
        <v>8</v>
      </c>
      <c r="S318">
        <v>1.48667124421899</v>
      </c>
      <c r="T318" t="s">
        <v>9</v>
      </c>
      <c r="U318">
        <v>-0.82818889914915605</v>
      </c>
      <c r="V318" t="s">
        <v>10</v>
      </c>
      <c r="W318">
        <v>0.305843734203187</v>
      </c>
      <c r="X318" t="s">
        <v>11</v>
      </c>
      <c r="Y318" t="s">
        <v>3099</v>
      </c>
      <c r="Z318" t="s">
        <v>2071</v>
      </c>
      <c r="AA318">
        <v>0</v>
      </c>
      <c r="AB318" t="s">
        <v>14</v>
      </c>
      <c r="AC318" t="s">
        <v>15</v>
      </c>
      <c r="AD318" t="s">
        <v>3099</v>
      </c>
      <c r="AE318" t="s">
        <v>2071</v>
      </c>
      <c r="AF318">
        <v>0</v>
      </c>
      <c r="AG318" t="s">
        <v>18</v>
      </c>
    </row>
    <row r="319" spans="1:33" x14ac:dyDescent="0.3">
      <c r="A319" t="s">
        <v>2683</v>
      </c>
      <c r="B319" t="s">
        <v>587</v>
      </c>
      <c r="C319">
        <v>-7.5</v>
      </c>
      <c r="D319" t="s">
        <v>588</v>
      </c>
      <c r="E319" t="s">
        <v>589</v>
      </c>
      <c r="F319">
        <v>-10</v>
      </c>
      <c r="G319" t="s">
        <v>599</v>
      </c>
      <c r="H319" t="s">
        <v>2910</v>
      </c>
      <c r="I319" t="str">
        <f t="shared" si="4"/>
        <v xml:space="preserve">bbands_no_highvol_{'P' [('number'-7.5 1) ('number'-10 -1)]}_[21 49]_0.5 </v>
      </c>
      <c r="J319" t="s">
        <v>2540</v>
      </c>
      <c r="K319">
        <v>165</v>
      </c>
      <c r="L319" t="s">
        <v>5</v>
      </c>
      <c r="M319">
        <v>50</v>
      </c>
      <c r="N319" t="s">
        <v>6</v>
      </c>
      <c r="O319">
        <v>-15.1099999999999</v>
      </c>
      <c r="P319" t="s">
        <v>7</v>
      </c>
      <c r="Q319">
        <v>-9.1575757575757505E-2</v>
      </c>
      <c r="R319" t="s">
        <v>8</v>
      </c>
      <c r="S319">
        <v>0.40279999999999999</v>
      </c>
      <c r="T319" t="s">
        <v>9</v>
      </c>
      <c r="U319">
        <v>-0.30652173913043401</v>
      </c>
      <c r="V319" t="s">
        <v>10</v>
      </c>
      <c r="W319">
        <v>8.3759161489562903E-2</v>
      </c>
      <c r="X319" t="s">
        <v>11</v>
      </c>
      <c r="Y319" t="s">
        <v>2998</v>
      </c>
      <c r="Z319" t="s">
        <v>2169</v>
      </c>
      <c r="AA319">
        <v>0</v>
      </c>
      <c r="AB319" t="s">
        <v>14</v>
      </c>
      <c r="AC319" t="s">
        <v>15</v>
      </c>
      <c r="AD319" t="s">
        <v>3008</v>
      </c>
      <c r="AE319" t="s">
        <v>2013</v>
      </c>
      <c r="AF319">
        <v>0</v>
      </c>
      <c r="AG319" t="s">
        <v>18</v>
      </c>
    </row>
    <row r="320" spans="1:33" x14ac:dyDescent="0.3">
      <c r="A320" t="s">
        <v>2623</v>
      </c>
      <c r="B320" t="s">
        <v>587</v>
      </c>
      <c r="C320">
        <v>-7.5</v>
      </c>
      <c r="D320" t="s">
        <v>588</v>
      </c>
      <c r="E320" t="s">
        <v>589</v>
      </c>
      <c r="F320">
        <v>-10</v>
      </c>
      <c r="G320" t="s">
        <v>590</v>
      </c>
      <c r="H320" t="s">
        <v>2902</v>
      </c>
      <c r="I320" t="str">
        <f t="shared" si="4"/>
        <v xml:space="preserve">bbands_{'P' [('number'-7.5 1) ('number'-10 -1)]}_[7 35]_0.5 </v>
      </c>
      <c r="J320" t="s">
        <v>2540</v>
      </c>
      <c r="K320">
        <v>169</v>
      </c>
      <c r="L320" t="s">
        <v>5</v>
      </c>
      <c r="M320">
        <v>44</v>
      </c>
      <c r="N320" t="s">
        <v>6</v>
      </c>
      <c r="O320">
        <v>-15.4599999999999</v>
      </c>
      <c r="P320" t="s">
        <v>7</v>
      </c>
      <c r="Q320">
        <v>-9.1479289940828296E-2</v>
      </c>
      <c r="R320" t="s">
        <v>8</v>
      </c>
      <c r="S320">
        <v>0.35249999999999998</v>
      </c>
      <c r="T320" t="s">
        <v>9</v>
      </c>
      <c r="U320">
        <v>-0.24775999999999901</v>
      </c>
      <c r="V320" t="s">
        <v>10</v>
      </c>
      <c r="W320">
        <v>7.2736671092931804E-2</v>
      </c>
      <c r="X320" t="s">
        <v>11</v>
      </c>
      <c r="Y320" t="s">
        <v>3006</v>
      </c>
      <c r="Z320" t="s">
        <v>2013</v>
      </c>
      <c r="AA320">
        <v>0</v>
      </c>
      <c r="AB320" t="s">
        <v>14</v>
      </c>
      <c r="AC320" t="s">
        <v>15</v>
      </c>
      <c r="AD320" t="s">
        <v>3007</v>
      </c>
      <c r="AE320" t="s">
        <v>2169</v>
      </c>
      <c r="AF320">
        <v>0</v>
      </c>
      <c r="AG320" t="s">
        <v>18</v>
      </c>
    </row>
    <row r="321" spans="1:33" x14ac:dyDescent="0.3">
      <c r="A321" t="s">
        <v>2683</v>
      </c>
      <c r="B321" t="s">
        <v>587</v>
      </c>
      <c r="C321">
        <v>-5</v>
      </c>
      <c r="D321" t="s">
        <v>588</v>
      </c>
      <c r="E321" t="s">
        <v>589</v>
      </c>
      <c r="F321">
        <v>-7.5</v>
      </c>
      <c r="G321" t="s">
        <v>590</v>
      </c>
      <c r="H321" t="s">
        <v>2543</v>
      </c>
      <c r="I321" t="str">
        <f t="shared" si="4"/>
        <v xml:space="preserve">bbands_no_highvol_{'P' [('number'-5 1) ('number'-7.5 -1)]}_[7 35]_2 </v>
      </c>
      <c r="J321" t="s">
        <v>2540</v>
      </c>
      <c r="K321">
        <v>155</v>
      </c>
      <c r="L321" t="s">
        <v>5</v>
      </c>
      <c r="M321">
        <v>24</v>
      </c>
      <c r="N321" t="s">
        <v>6</v>
      </c>
      <c r="O321">
        <v>-15.579999999999901</v>
      </c>
      <c r="P321" t="s">
        <v>7</v>
      </c>
      <c r="Q321">
        <v>-0.100516129032257</v>
      </c>
      <c r="R321" t="s">
        <v>8</v>
      </c>
      <c r="S321">
        <v>1.2354166666666599</v>
      </c>
      <c r="T321" t="s">
        <v>9</v>
      </c>
      <c r="U321">
        <v>-0.34526717557251901</v>
      </c>
      <c r="V321" t="s">
        <v>10</v>
      </c>
      <c r="W321">
        <v>0.13795811737327099</v>
      </c>
      <c r="X321" t="s">
        <v>11</v>
      </c>
      <c r="Y321" t="s">
        <v>219</v>
      </c>
      <c r="Z321" t="s">
        <v>2988</v>
      </c>
      <c r="AA321">
        <v>0</v>
      </c>
      <c r="AB321" t="s">
        <v>14</v>
      </c>
      <c r="AC321" t="s">
        <v>15</v>
      </c>
      <c r="AD321" t="s">
        <v>3025</v>
      </c>
      <c r="AE321" t="s">
        <v>2988</v>
      </c>
      <c r="AF321">
        <v>0</v>
      </c>
      <c r="AG321" t="s">
        <v>18</v>
      </c>
    </row>
    <row r="322" spans="1:33" x14ac:dyDescent="0.3">
      <c r="A322" t="s">
        <v>2683</v>
      </c>
      <c r="B322" t="s">
        <v>587</v>
      </c>
      <c r="C322">
        <v>0</v>
      </c>
      <c r="D322" t="s">
        <v>588</v>
      </c>
      <c r="E322" t="s">
        <v>589</v>
      </c>
      <c r="F322">
        <v>-2.5</v>
      </c>
      <c r="G322" t="s">
        <v>599</v>
      </c>
      <c r="H322" t="s">
        <v>2910</v>
      </c>
      <c r="I322" t="str">
        <f t="shared" si="4"/>
        <v xml:space="preserve">bbands_no_highvol_{'P' [('number'0 1) ('number'-2.5 -1)]}_[21 49]_0.5 </v>
      </c>
      <c r="J322" t="s">
        <v>2540</v>
      </c>
      <c r="K322">
        <v>165</v>
      </c>
      <c r="L322" t="s">
        <v>5</v>
      </c>
      <c r="M322">
        <v>65</v>
      </c>
      <c r="N322" t="s">
        <v>6</v>
      </c>
      <c r="O322">
        <v>-15.61</v>
      </c>
      <c r="P322" t="s">
        <v>7</v>
      </c>
      <c r="Q322">
        <v>-9.4606060606060902E-2</v>
      </c>
      <c r="R322" t="s">
        <v>8</v>
      </c>
      <c r="S322">
        <v>0.73076923076922995</v>
      </c>
      <c r="T322" t="s">
        <v>9</v>
      </c>
      <c r="U322">
        <v>-0.63109999999999999</v>
      </c>
      <c r="V322" t="s">
        <v>10</v>
      </c>
      <c r="W322">
        <v>0.170219260438215</v>
      </c>
      <c r="X322" t="s">
        <v>11</v>
      </c>
      <c r="Y322" t="s">
        <v>2978</v>
      </c>
      <c r="Z322" t="s">
        <v>1431</v>
      </c>
      <c r="AA322">
        <v>0</v>
      </c>
      <c r="AB322" t="s">
        <v>14</v>
      </c>
      <c r="AC322" t="s">
        <v>15</v>
      </c>
      <c r="AD322" t="s">
        <v>2979</v>
      </c>
      <c r="AE322" t="s">
        <v>1431</v>
      </c>
      <c r="AF322">
        <v>0</v>
      </c>
      <c r="AG322" t="s">
        <v>18</v>
      </c>
    </row>
    <row r="323" spans="1:33" x14ac:dyDescent="0.3">
      <c r="A323" t="s">
        <v>2623</v>
      </c>
      <c r="B323" t="s">
        <v>587</v>
      </c>
      <c r="C323">
        <v>-2.5</v>
      </c>
      <c r="D323" t="s">
        <v>588</v>
      </c>
      <c r="E323" t="s">
        <v>589</v>
      </c>
      <c r="F323">
        <v>-5</v>
      </c>
      <c r="G323" t="s">
        <v>590</v>
      </c>
      <c r="H323" t="s">
        <v>2902</v>
      </c>
      <c r="I323" t="str">
        <f t="shared" ref="I323:I385" si="5">_xlfn.CONCAT(A323:H323)</f>
        <v xml:space="preserve">bbands_{'P' [('number'-2.5 1) ('number'-5 -1)]}_[7 35]_0.5 </v>
      </c>
      <c r="J323" t="s">
        <v>2540</v>
      </c>
      <c r="K323">
        <v>169</v>
      </c>
      <c r="L323" t="s">
        <v>5</v>
      </c>
      <c r="M323">
        <v>62</v>
      </c>
      <c r="N323" t="s">
        <v>6</v>
      </c>
      <c r="O323">
        <v>-15.84</v>
      </c>
      <c r="P323" t="s">
        <v>7</v>
      </c>
      <c r="Q323">
        <v>-9.3727810650887505E-2</v>
      </c>
      <c r="R323" t="s">
        <v>8</v>
      </c>
      <c r="S323">
        <v>0.609032258064516</v>
      </c>
      <c r="T323" t="s">
        <v>9</v>
      </c>
      <c r="U323">
        <v>-0.50093457943925201</v>
      </c>
      <c r="V323" t="s">
        <v>10</v>
      </c>
      <c r="W323">
        <v>0.132591154314122</v>
      </c>
      <c r="X323" t="s">
        <v>11</v>
      </c>
      <c r="Y323" t="s">
        <v>2985</v>
      </c>
      <c r="Z323" t="s">
        <v>2947</v>
      </c>
    </row>
    <row r="324" spans="1:33" x14ac:dyDescent="0.3">
      <c r="A324" t="s">
        <v>2811</v>
      </c>
      <c r="B324" t="s">
        <v>587</v>
      </c>
      <c r="C324">
        <v>0</v>
      </c>
      <c r="D324" t="s">
        <v>588</v>
      </c>
      <c r="E324" t="s">
        <v>589</v>
      </c>
      <c r="F324">
        <v>-2.5</v>
      </c>
      <c r="G324" t="s">
        <v>1998</v>
      </c>
      <c r="H324" t="s">
        <v>2559</v>
      </c>
      <c r="I324" t="str">
        <f t="shared" si="5"/>
        <v xml:space="preserve">stoch_{'P' [('number'0 1) ('number'-2.5 -1)]}_[42 70]_1 </v>
      </c>
      <c r="J324" t="s">
        <v>2540</v>
      </c>
      <c r="K324">
        <v>370</v>
      </c>
      <c r="L324" t="s">
        <v>5</v>
      </c>
      <c r="M324">
        <v>128</v>
      </c>
      <c r="N324" t="s">
        <v>6</v>
      </c>
      <c r="O324">
        <v>-15.857258442350799</v>
      </c>
      <c r="P324" t="s">
        <v>7</v>
      </c>
      <c r="Q324">
        <v>-4.2857455249596998E-2</v>
      </c>
      <c r="R324" t="s">
        <v>8</v>
      </c>
      <c r="S324">
        <v>1.3432755664679199</v>
      </c>
      <c r="T324" t="s">
        <v>9</v>
      </c>
      <c r="U324">
        <v>-0.77601872293490004</v>
      </c>
      <c r="V324" t="s">
        <v>10</v>
      </c>
      <c r="W324">
        <v>0.49560833625739398</v>
      </c>
      <c r="X324" t="s">
        <v>11</v>
      </c>
      <c r="Y324" t="s">
        <v>2911</v>
      </c>
      <c r="Z324" t="s">
        <v>53</v>
      </c>
      <c r="AA324">
        <v>0</v>
      </c>
      <c r="AB324" t="s">
        <v>14</v>
      </c>
      <c r="AC324" t="s">
        <v>15</v>
      </c>
      <c r="AD324" t="s">
        <v>3148</v>
      </c>
      <c r="AE324" t="s">
        <v>2924</v>
      </c>
      <c r="AF324">
        <v>0</v>
      </c>
      <c r="AG324" t="s">
        <v>18</v>
      </c>
    </row>
    <row r="325" spans="1:33" x14ac:dyDescent="0.3">
      <c r="A325" t="s">
        <v>2538</v>
      </c>
      <c r="B325" t="s">
        <v>587</v>
      </c>
      <c r="C325">
        <v>-5</v>
      </c>
      <c r="D325" t="s">
        <v>588</v>
      </c>
      <c r="E325" t="s">
        <v>589</v>
      </c>
      <c r="F325">
        <v>-7.5</v>
      </c>
      <c r="G325" t="s">
        <v>590</v>
      </c>
      <c r="H325" t="s">
        <v>2909</v>
      </c>
      <c r="I325" t="str">
        <f t="shared" si="5"/>
        <v xml:space="preserve">alltime_{'P' [('number'-5 1) ('number'-7.5 -1)]}_[7 35]_3 </v>
      </c>
      <c r="J325" t="s">
        <v>2540</v>
      </c>
      <c r="K325">
        <v>3073</v>
      </c>
      <c r="L325" t="s">
        <v>5</v>
      </c>
      <c r="M325">
        <v>575</v>
      </c>
      <c r="N325" t="s">
        <v>6</v>
      </c>
      <c r="O325">
        <v>-15.954807056668701</v>
      </c>
      <c r="P325" t="s">
        <v>7</v>
      </c>
      <c r="Q325">
        <v>-5.1919320067259E-3</v>
      </c>
      <c r="R325" t="s">
        <v>8</v>
      </c>
      <c r="S325">
        <v>1.64867693812358</v>
      </c>
      <c r="T325" t="s">
        <v>9</v>
      </c>
      <c r="U325">
        <v>-0.38588632765321201</v>
      </c>
      <c r="V325" t="s">
        <v>10</v>
      </c>
      <c r="W325">
        <v>2.2251933285038401</v>
      </c>
      <c r="X325" t="s">
        <v>11</v>
      </c>
      <c r="Y325" t="s">
        <v>2906</v>
      </c>
      <c r="Z325" t="s">
        <v>2947</v>
      </c>
    </row>
    <row r="326" spans="1:33" x14ac:dyDescent="0.3">
      <c r="A326" t="s">
        <v>2623</v>
      </c>
      <c r="B326" t="s">
        <v>587</v>
      </c>
      <c r="C326">
        <v>-5</v>
      </c>
      <c r="D326" t="s">
        <v>588</v>
      </c>
      <c r="E326" t="s">
        <v>589</v>
      </c>
      <c r="F326">
        <v>-7.5</v>
      </c>
      <c r="G326" t="s">
        <v>599</v>
      </c>
      <c r="H326" t="s">
        <v>2910</v>
      </c>
      <c r="I326" t="str">
        <f t="shared" si="5"/>
        <v xml:space="preserve">bbands_{'P' [('number'-5 1) ('number'-7.5 -1)]}_[21 49]_0.5 </v>
      </c>
      <c r="J326" t="s">
        <v>2540</v>
      </c>
      <c r="K326">
        <v>178</v>
      </c>
      <c r="L326" t="s">
        <v>5</v>
      </c>
      <c r="M326">
        <v>57</v>
      </c>
      <c r="N326" t="s">
        <v>6</v>
      </c>
      <c r="O326">
        <v>-16.190000000000001</v>
      </c>
      <c r="P326" t="s">
        <v>7</v>
      </c>
      <c r="Q326">
        <v>-9.0955056179775201E-2</v>
      </c>
      <c r="R326" t="s">
        <v>8</v>
      </c>
      <c r="S326">
        <v>0.595087719298245</v>
      </c>
      <c r="T326" t="s">
        <v>9</v>
      </c>
      <c r="U326">
        <v>-0.41413223140495797</v>
      </c>
      <c r="V326" t="s">
        <v>10</v>
      </c>
      <c r="W326">
        <v>0.119984802119945</v>
      </c>
      <c r="X326" t="s">
        <v>11</v>
      </c>
      <c r="Y326" t="s">
        <v>2991</v>
      </c>
      <c r="Z326" t="s">
        <v>2169</v>
      </c>
      <c r="AA326">
        <v>0</v>
      </c>
      <c r="AB326" t="s">
        <v>14</v>
      </c>
      <c r="AC326" t="s">
        <v>15</v>
      </c>
      <c r="AD326" t="s">
        <v>3003</v>
      </c>
      <c r="AE326" t="s">
        <v>2013</v>
      </c>
      <c r="AF326">
        <v>0</v>
      </c>
      <c r="AG326" t="s">
        <v>18</v>
      </c>
    </row>
    <row r="327" spans="1:33" x14ac:dyDescent="0.3">
      <c r="A327" t="s">
        <v>2811</v>
      </c>
      <c r="B327" t="s">
        <v>587</v>
      </c>
      <c r="C327">
        <v>-7.5</v>
      </c>
      <c r="D327" t="s">
        <v>588</v>
      </c>
      <c r="E327" t="s">
        <v>589</v>
      </c>
      <c r="F327">
        <v>-10</v>
      </c>
      <c r="G327" t="s">
        <v>599</v>
      </c>
      <c r="H327" t="s">
        <v>2550</v>
      </c>
      <c r="I327" t="str">
        <f t="shared" si="5"/>
        <v xml:space="preserve">stoch_{'P' [('number'-7.5 1) ('number'-10 -1)]}_[21 49]_1 </v>
      </c>
      <c r="J327" t="s">
        <v>2540</v>
      </c>
      <c r="K327">
        <v>376</v>
      </c>
      <c r="L327" t="s">
        <v>5</v>
      </c>
      <c r="M327">
        <v>99</v>
      </c>
      <c r="N327" t="s">
        <v>6</v>
      </c>
      <c r="O327">
        <v>-16.211450827817401</v>
      </c>
      <c r="P327" t="s">
        <v>7</v>
      </c>
      <c r="Q327">
        <v>-4.3115560712280399E-2</v>
      </c>
      <c r="R327" t="s">
        <v>8</v>
      </c>
      <c r="S327">
        <v>0.74373737373737303</v>
      </c>
      <c r="T327" t="s">
        <v>9</v>
      </c>
      <c r="U327">
        <v>-0.32433736760944898</v>
      </c>
      <c r="V327" t="s">
        <v>10</v>
      </c>
      <c r="W327">
        <v>0.261979138840571</v>
      </c>
      <c r="X327" t="s">
        <v>11</v>
      </c>
      <c r="Y327" t="s">
        <v>2962</v>
      </c>
      <c r="Z327" t="s">
        <v>2963</v>
      </c>
      <c r="AA327">
        <v>0</v>
      </c>
      <c r="AB327" t="s">
        <v>14</v>
      </c>
      <c r="AC327" t="s">
        <v>15</v>
      </c>
      <c r="AD327" t="s">
        <v>3165</v>
      </c>
      <c r="AE327" t="s">
        <v>2863</v>
      </c>
      <c r="AF327">
        <v>0</v>
      </c>
      <c r="AG327" t="s">
        <v>18</v>
      </c>
    </row>
    <row r="328" spans="1:33" x14ac:dyDescent="0.3">
      <c r="A328" t="s">
        <v>2858</v>
      </c>
      <c r="B328" t="s">
        <v>587</v>
      </c>
      <c r="C328">
        <v>-5</v>
      </c>
      <c r="D328" t="s">
        <v>588</v>
      </c>
      <c r="E328" t="s">
        <v>589</v>
      </c>
      <c r="F328">
        <v>-7.5</v>
      </c>
      <c r="G328" t="s">
        <v>599</v>
      </c>
      <c r="H328" t="s">
        <v>2552</v>
      </c>
      <c r="I328" t="str">
        <f t="shared" si="5"/>
        <v xml:space="preserve">stoch_no_highvol_{'P' [('number'-5 1) ('number'-7.5 -1)]}_[21 49]_2 </v>
      </c>
      <c r="J328" t="s">
        <v>2540</v>
      </c>
      <c r="K328">
        <v>335</v>
      </c>
      <c r="L328" t="s">
        <v>5</v>
      </c>
      <c r="M328">
        <v>65</v>
      </c>
      <c r="N328" t="s">
        <v>6</v>
      </c>
      <c r="O328">
        <v>-16.3</v>
      </c>
      <c r="P328" t="s">
        <v>7</v>
      </c>
      <c r="Q328">
        <v>-4.8656716417910598E-2</v>
      </c>
      <c r="R328" t="s">
        <v>8</v>
      </c>
      <c r="S328">
        <v>1.4516923076923001</v>
      </c>
      <c r="T328" t="s">
        <v>9</v>
      </c>
      <c r="U328">
        <v>-0.40985185185185202</v>
      </c>
      <c r="V328" t="s">
        <v>10</v>
      </c>
      <c r="W328">
        <v>0.35234908544730997</v>
      </c>
      <c r="X328" t="s">
        <v>11</v>
      </c>
      <c r="Y328" t="s">
        <v>2938</v>
      </c>
      <c r="Z328" t="s">
        <v>660</v>
      </c>
      <c r="AA328">
        <v>0</v>
      </c>
      <c r="AB328" t="s">
        <v>14</v>
      </c>
      <c r="AC328" t="s">
        <v>15</v>
      </c>
      <c r="AD328" t="s">
        <v>3160</v>
      </c>
      <c r="AE328" t="s">
        <v>2863</v>
      </c>
      <c r="AF328">
        <v>0</v>
      </c>
      <c r="AG328" t="s">
        <v>18</v>
      </c>
    </row>
    <row r="329" spans="1:33" x14ac:dyDescent="0.3">
      <c r="A329" t="s">
        <v>2683</v>
      </c>
      <c r="B329" t="s">
        <v>587</v>
      </c>
      <c r="C329">
        <v>-7.5</v>
      </c>
      <c r="D329" t="s">
        <v>588</v>
      </c>
      <c r="E329" t="s">
        <v>589</v>
      </c>
      <c r="F329">
        <v>-10</v>
      </c>
      <c r="G329" t="s">
        <v>590</v>
      </c>
      <c r="H329" t="s">
        <v>2909</v>
      </c>
      <c r="I329" t="str">
        <f t="shared" si="5"/>
        <v xml:space="preserve">bbands_no_highvol_{'P' [('number'-7.5 1) ('number'-10 -1)]}_[7 35]_3 </v>
      </c>
      <c r="J329" t="s">
        <v>2540</v>
      </c>
      <c r="K329">
        <v>155</v>
      </c>
      <c r="L329" t="s">
        <v>5</v>
      </c>
      <c r="M329">
        <v>14</v>
      </c>
      <c r="N329" t="s">
        <v>6</v>
      </c>
      <c r="O329">
        <v>-16.54</v>
      </c>
      <c r="P329" t="s">
        <v>7</v>
      </c>
      <c r="Q329">
        <v>-0.106709677419355</v>
      </c>
      <c r="R329" t="s">
        <v>8</v>
      </c>
      <c r="S329">
        <v>1.3385714285714201</v>
      </c>
      <c r="T329" t="s">
        <v>9</v>
      </c>
      <c r="U329">
        <v>-0.25021276595744602</v>
      </c>
      <c r="V329" t="s">
        <v>10</v>
      </c>
      <c r="W329">
        <v>0.112494742452051</v>
      </c>
      <c r="X329" t="s">
        <v>11</v>
      </c>
      <c r="Y329" t="s">
        <v>219</v>
      </c>
      <c r="Z329" t="s">
        <v>2988</v>
      </c>
      <c r="AA329">
        <v>0</v>
      </c>
      <c r="AB329" t="s">
        <v>14</v>
      </c>
      <c r="AC329" t="s">
        <v>15</v>
      </c>
      <c r="AD329" t="s">
        <v>757</v>
      </c>
      <c r="AE329" t="s">
        <v>2988</v>
      </c>
      <c r="AF329">
        <v>0</v>
      </c>
      <c r="AG329" t="s">
        <v>18</v>
      </c>
    </row>
    <row r="330" spans="1:33" x14ac:dyDescent="0.3">
      <c r="A330" t="s">
        <v>2623</v>
      </c>
      <c r="B330" t="s">
        <v>587</v>
      </c>
      <c r="C330">
        <v>-2.5</v>
      </c>
      <c r="D330" t="s">
        <v>588</v>
      </c>
      <c r="E330" t="s">
        <v>589</v>
      </c>
      <c r="F330">
        <v>-5</v>
      </c>
      <c r="G330" t="s">
        <v>599</v>
      </c>
      <c r="H330" t="s">
        <v>2910</v>
      </c>
      <c r="I330" t="str">
        <f t="shared" si="5"/>
        <v xml:space="preserve">bbands_{'P' [('number'-2.5 1) ('number'-5 -1)]}_[21 49]_0.5 </v>
      </c>
      <c r="J330" t="s">
        <v>2540</v>
      </c>
      <c r="K330">
        <v>178</v>
      </c>
      <c r="L330" t="s">
        <v>5</v>
      </c>
      <c r="M330">
        <v>68</v>
      </c>
      <c r="N330" t="s">
        <v>6</v>
      </c>
      <c r="O330">
        <v>-16.719999999999899</v>
      </c>
      <c r="P330" t="s">
        <v>7</v>
      </c>
      <c r="Q330">
        <v>-9.3932584269662805E-2</v>
      </c>
      <c r="R330" t="s">
        <v>8</v>
      </c>
      <c r="S330">
        <v>0.59705882352941098</v>
      </c>
      <c r="T330" t="s">
        <v>9</v>
      </c>
      <c r="U330">
        <v>-0.52109090909090905</v>
      </c>
      <c r="V330" t="s">
        <v>10</v>
      </c>
      <c r="W330">
        <v>0.14440448944322501</v>
      </c>
      <c r="X330" t="s">
        <v>11</v>
      </c>
      <c r="Y330" t="s">
        <v>2991</v>
      </c>
      <c r="Z330" t="s">
        <v>2169</v>
      </c>
      <c r="AA330">
        <v>0</v>
      </c>
      <c r="AB330" t="s">
        <v>14</v>
      </c>
      <c r="AC330" t="s">
        <v>15</v>
      </c>
      <c r="AD330" t="s">
        <v>2987</v>
      </c>
      <c r="AE330" t="s">
        <v>2418</v>
      </c>
      <c r="AF330">
        <v>0</v>
      </c>
      <c r="AG330" t="s">
        <v>18</v>
      </c>
    </row>
    <row r="331" spans="1:33" x14ac:dyDescent="0.3">
      <c r="A331" t="s">
        <v>2538</v>
      </c>
      <c r="B331" t="s">
        <v>587</v>
      </c>
      <c r="C331">
        <v>-5</v>
      </c>
      <c r="D331" t="s">
        <v>588</v>
      </c>
      <c r="E331" t="s">
        <v>589</v>
      </c>
      <c r="F331">
        <v>-7.5</v>
      </c>
      <c r="G331" t="s">
        <v>599</v>
      </c>
      <c r="H331" t="s">
        <v>2552</v>
      </c>
      <c r="I331" t="str">
        <f t="shared" si="5"/>
        <v xml:space="preserve">alltime_{'P' [('number'-5 1) ('number'-7.5 -1)]}_[21 49]_2 </v>
      </c>
      <c r="J331" t="s">
        <v>2540</v>
      </c>
      <c r="K331">
        <v>3050</v>
      </c>
      <c r="L331" t="s">
        <v>5</v>
      </c>
      <c r="M331">
        <v>686</v>
      </c>
      <c r="N331" t="s">
        <v>6</v>
      </c>
      <c r="O331">
        <v>-17.096641474112499</v>
      </c>
      <c r="P331" t="s">
        <v>7</v>
      </c>
      <c r="Q331">
        <v>-5.6054562210204996E-3</v>
      </c>
      <c r="R331" t="s">
        <v>8</v>
      </c>
      <c r="S331">
        <v>1.51686588921282</v>
      </c>
      <c r="T331" t="s">
        <v>9</v>
      </c>
      <c r="U331">
        <v>-0.44740551669801598</v>
      </c>
      <c r="V331" t="s">
        <v>10</v>
      </c>
      <c r="W331">
        <v>2.1309687014701502</v>
      </c>
      <c r="X331" t="s">
        <v>11</v>
      </c>
      <c r="Y331" t="s">
        <v>2913</v>
      </c>
      <c r="Z331" t="s">
        <v>2914</v>
      </c>
      <c r="AA331">
        <v>0</v>
      </c>
      <c r="AB331" t="s">
        <v>14</v>
      </c>
      <c r="AC331" t="s">
        <v>15</v>
      </c>
      <c r="AD331" t="s">
        <v>2953</v>
      </c>
      <c r="AE331" t="s">
        <v>2631</v>
      </c>
      <c r="AF331">
        <v>0</v>
      </c>
      <c r="AG331" t="s">
        <v>18</v>
      </c>
    </row>
    <row r="332" spans="1:33" x14ac:dyDescent="0.3">
      <c r="A332" t="s">
        <v>2538</v>
      </c>
      <c r="B332" t="s">
        <v>587</v>
      </c>
      <c r="C332">
        <v>-7.5</v>
      </c>
      <c r="D332" t="s">
        <v>588</v>
      </c>
      <c r="E332" t="s">
        <v>589</v>
      </c>
      <c r="F332">
        <v>-10</v>
      </c>
      <c r="G332" t="s">
        <v>590</v>
      </c>
      <c r="H332" t="s">
        <v>2902</v>
      </c>
      <c r="I332" t="str">
        <f t="shared" si="5"/>
        <v xml:space="preserve">alltime_{'P' [('number'-7.5 1) ('number'-10 -1)]}_[7 35]_0.5 </v>
      </c>
      <c r="J332" t="s">
        <v>2540</v>
      </c>
      <c r="K332">
        <v>3073</v>
      </c>
      <c r="L332" t="s">
        <v>5</v>
      </c>
      <c r="M332">
        <v>1194</v>
      </c>
      <c r="N332" t="s">
        <v>6</v>
      </c>
      <c r="O332">
        <v>-17.2132822866946</v>
      </c>
      <c r="P332" t="s">
        <v>7</v>
      </c>
      <c r="Q332">
        <v>-5.6014586028944402E-3</v>
      </c>
      <c r="R332" t="s">
        <v>8</v>
      </c>
      <c r="S332">
        <v>0.38863541246876299</v>
      </c>
      <c r="T332" t="s">
        <v>9</v>
      </c>
      <c r="U332">
        <v>-0.25611706480808899</v>
      </c>
      <c r="V332" t="s">
        <v>10</v>
      </c>
      <c r="W332">
        <v>0.71995070668010597</v>
      </c>
      <c r="X332" t="s">
        <v>11</v>
      </c>
      <c r="Y332" t="s">
        <v>2962</v>
      </c>
      <c r="Z332" t="s">
        <v>2963</v>
      </c>
      <c r="AA332">
        <v>0</v>
      </c>
      <c r="AB332" t="s">
        <v>14</v>
      </c>
      <c r="AC332" t="s">
        <v>15</v>
      </c>
      <c r="AD332" t="s">
        <v>2964</v>
      </c>
      <c r="AE332" t="s">
        <v>2052</v>
      </c>
      <c r="AF332">
        <v>0</v>
      </c>
      <c r="AG332" t="s">
        <v>18</v>
      </c>
    </row>
    <row r="333" spans="1:33" x14ac:dyDescent="0.3">
      <c r="A333" t="s">
        <v>2683</v>
      </c>
      <c r="B333" t="s">
        <v>587</v>
      </c>
      <c r="C333">
        <v>0</v>
      </c>
      <c r="D333" t="s">
        <v>588</v>
      </c>
      <c r="E333" t="s">
        <v>589</v>
      </c>
      <c r="F333">
        <v>-2.5</v>
      </c>
      <c r="G333" t="s">
        <v>1998</v>
      </c>
      <c r="H333" t="s">
        <v>2562</v>
      </c>
      <c r="I333" t="str">
        <f t="shared" si="5"/>
        <v xml:space="preserve">bbands_no_highvol_{'P' [('number'0 1) ('number'-2.5 -1)]}_[42 70]_2 </v>
      </c>
      <c r="J333" t="s">
        <v>2540</v>
      </c>
      <c r="K333">
        <v>157</v>
      </c>
      <c r="L333" t="s">
        <v>5</v>
      </c>
      <c r="M333">
        <v>46</v>
      </c>
      <c r="N333" t="s">
        <v>6</v>
      </c>
      <c r="O333">
        <v>-17.3405932817051</v>
      </c>
      <c r="P333" t="s">
        <v>7</v>
      </c>
      <c r="Q333">
        <v>-0.110449638736975</v>
      </c>
      <c r="R333" t="s">
        <v>8</v>
      </c>
      <c r="S333">
        <v>1.60360759367615</v>
      </c>
      <c r="T333" t="s">
        <v>9</v>
      </c>
      <c r="U333">
        <v>-0.82077966298025495</v>
      </c>
      <c r="V333" t="s">
        <v>10</v>
      </c>
      <c r="W333">
        <v>0.31036477896929499</v>
      </c>
      <c r="X333" t="s">
        <v>11</v>
      </c>
      <c r="Y333" t="s">
        <v>2983</v>
      </c>
      <c r="Z333" t="s">
        <v>2924</v>
      </c>
      <c r="AA333">
        <v>0</v>
      </c>
      <c r="AB333" t="s">
        <v>14</v>
      </c>
      <c r="AC333" t="s">
        <v>15</v>
      </c>
      <c r="AD333" t="s">
        <v>2096</v>
      </c>
      <c r="AE333" t="s">
        <v>2924</v>
      </c>
      <c r="AF333">
        <v>0</v>
      </c>
      <c r="AG333" t="s">
        <v>18</v>
      </c>
    </row>
    <row r="334" spans="1:33" x14ac:dyDescent="0.3">
      <c r="A334" t="s">
        <v>2811</v>
      </c>
      <c r="B334" t="s">
        <v>587</v>
      </c>
      <c r="C334">
        <v>-7.5</v>
      </c>
      <c r="D334" t="s">
        <v>588</v>
      </c>
      <c r="E334" t="s">
        <v>589</v>
      </c>
      <c r="F334">
        <v>-10</v>
      </c>
      <c r="G334" t="s">
        <v>599</v>
      </c>
      <c r="H334" t="s">
        <v>2916</v>
      </c>
      <c r="I334" t="str">
        <f t="shared" si="5"/>
        <v xml:space="preserve">stoch_{'P' [('number'-7.5 1) ('number'-10 -1)]}_[21 49]_3 </v>
      </c>
      <c r="J334" t="s">
        <v>2540</v>
      </c>
      <c r="K334">
        <v>376</v>
      </c>
      <c r="L334" t="s">
        <v>5</v>
      </c>
      <c r="M334">
        <v>46</v>
      </c>
      <c r="N334" t="s">
        <v>6</v>
      </c>
      <c r="O334">
        <v>-17.3414508278174</v>
      </c>
      <c r="P334" t="s">
        <v>7</v>
      </c>
      <c r="Q334">
        <v>-4.6120879861216602E-2</v>
      </c>
      <c r="R334" t="s">
        <v>8</v>
      </c>
      <c r="S334">
        <v>2.0906521739130399</v>
      </c>
      <c r="T334" t="s">
        <v>9</v>
      </c>
      <c r="U334">
        <v>-0.34397409341762802</v>
      </c>
      <c r="V334" t="s">
        <v>10</v>
      </c>
      <c r="W334">
        <v>0.42878466232740398</v>
      </c>
      <c r="X334" t="s">
        <v>11</v>
      </c>
      <c r="Y334" t="s">
        <v>3052</v>
      </c>
      <c r="Z334" t="s">
        <v>284</v>
      </c>
      <c r="AA334">
        <v>0</v>
      </c>
      <c r="AB334" t="s">
        <v>14</v>
      </c>
      <c r="AC334" t="s">
        <v>15</v>
      </c>
      <c r="AD334" t="s">
        <v>3165</v>
      </c>
      <c r="AE334" t="s">
        <v>2863</v>
      </c>
      <c r="AF334">
        <v>0</v>
      </c>
      <c r="AG334" t="s">
        <v>18</v>
      </c>
    </row>
    <row r="335" spans="1:33" x14ac:dyDescent="0.3">
      <c r="A335" t="s">
        <v>2623</v>
      </c>
      <c r="B335" t="s">
        <v>587</v>
      </c>
      <c r="C335">
        <v>-2.5</v>
      </c>
      <c r="D335" t="s">
        <v>588</v>
      </c>
      <c r="E335" t="s">
        <v>589</v>
      </c>
      <c r="F335">
        <v>-5</v>
      </c>
      <c r="G335" t="s">
        <v>590</v>
      </c>
      <c r="H335" t="s">
        <v>2543</v>
      </c>
      <c r="I335" t="str">
        <f t="shared" si="5"/>
        <v xml:space="preserve">bbands_{'P' [('number'-2.5 1) ('number'-5 -1)]}_[7 35]_2 </v>
      </c>
      <c r="J335" t="s">
        <v>2540</v>
      </c>
      <c r="K335">
        <v>169</v>
      </c>
      <c r="L335" t="s">
        <v>5</v>
      </c>
      <c r="M335">
        <v>35</v>
      </c>
      <c r="N335" t="s">
        <v>6</v>
      </c>
      <c r="O335">
        <v>-17.5199999999999</v>
      </c>
      <c r="P335" t="s">
        <v>7</v>
      </c>
      <c r="Q335">
        <v>-0.10366863905325401</v>
      </c>
      <c r="R335" t="s">
        <v>8</v>
      </c>
      <c r="S335">
        <v>1.44742857142857</v>
      </c>
      <c r="T335" t="s">
        <v>9</v>
      </c>
      <c r="U335">
        <v>-0.508805970149253</v>
      </c>
      <c r="V335" t="s">
        <v>10</v>
      </c>
      <c r="W335">
        <v>0.19511221705476101</v>
      </c>
      <c r="X335" t="s">
        <v>11</v>
      </c>
      <c r="Y335" t="s">
        <v>2989</v>
      </c>
      <c r="Z335" t="s">
        <v>2990</v>
      </c>
      <c r="AA335">
        <v>0</v>
      </c>
      <c r="AB335" t="s">
        <v>14</v>
      </c>
      <c r="AC335" t="s">
        <v>15</v>
      </c>
      <c r="AD335" t="s">
        <v>2987</v>
      </c>
      <c r="AE335" t="s">
        <v>2418</v>
      </c>
      <c r="AF335">
        <v>0</v>
      </c>
      <c r="AG335" t="s">
        <v>18</v>
      </c>
    </row>
    <row r="336" spans="1:33" x14ac:dyDescent="0.3">
      <c r="A336" t="s">
        <v>2623</v>
      </c>
      <c r="B336" t="s">
        <v>587</v>
      </c>
      <c r="C336">
        <v>0</v>
      </c>
      <c r="D336" t="s">
        <v>588</v>
      </c>
      <c r="E336" t="s">
        <v>589</v>
      </c>
      <c r="F336">
        <v>-2.5</v>
      </c>
      <c r="G336" t="s">
        <v>1998</v>
      </c>
      <c r="H336" t="s">
        <v>2559</v>
      </c>
      <c r="I336" t="str">
        <f t="shared" si="5"/>
        <v xml:space="preserve">bbands_{'P' [('number'0 1) ('number'-2.5 -1)]}_[42 70]_1 </v>
      </c>
      <c r="J336" t="s">
        <v>2540</v>
      </c>
      <c r="K336">
        <v>167</v>
      </c>
      <c r="L336" t="s">
        <v>5</v>
      </c>
      <c r="M336">
        <v>60</v>
      </c>
      <c r="N336" t="s">
        <v>6</v>
      </c>
      <c r="O336">
        <v>-18.2411027538021</v>
      </c>
      <c r="P336" t="s">
        <v>7</v>
      </c>
      <c r="Q336">
        <v>-0.109228160202407</v>
      </c>
      <c r="R336" t="s">
        <v>8</v>
      </c>
      <c r="S336">
        <v>1.2468829434886599</v>
      </c>
      <c r="T336" t="s">
        <v>9</v>
      </c>
      <c r="U336">
        <v>-0.86966429311329196</v>
      </c>
      <c r="V336" t="s">
        <v>10</v>
      </c>
      <c r="W336">
        <v>0.27422230471162601</v>
      </c>
      <c r="X336" t="s">
        <v>11</v>
      </c>
      <c r="Y336" t="s">
        <v>2983</v>
      </c>
      <c r="Z336" t="s">
        <v>2924</v>
      </c>
      <c r="AA336">
        <v>0</v>
      </c>
      <c r="AB336" t="s">
        <v>14</v>
      </c>
      <c r="AC336" t="s">
        <v>15</v>
      </c>
      <c r="AD336" t="s">
        <v>2984</v>
      </c>
      <c r="AE336" t="s">
        <v>2924</v>
      </c>
      <c r="AF336">
        <v>0</v>
      </c>
      <c r="AG336" t="s">
        <v>18</v>
      </c>
    </row>
    <row r="337" spans="1:33" x14ac:dyDescent="0.3">
      <c r="A337" t="s">
        <v>2683</v>
      </c>
      <c r="B337" t="s">
        <v>587</v>
      </c>
      <c r="C337">
        <v>-2.5</v>
      </c>
      <c r="D337" t="s">
        <v>588</v>
      </c>
      <c r="E337" t="s">
        <v>589</v>
      </c>
      <c r="F337">
        <v>-5</v>
      </c>
      <c r="G337" t="s">
        <v>599</v>
      </c>
      <c r="H337" t="s">
        <v>2910</v>
      </c>
      <c r="I337" t="str">
        <f t="shared" si="5"/>
        <v xml:space="preserve">bbands_no_highvol_{'P' [('number'-2.5 1) ('number'-5 -1)]}_[21 49]_0.5 </v>
      </c>
      <c r="J337" t="s">
        <v>2540</v>
      </c>
      <c r="K337">
        <v>165</v>
      </c>
      <c r="L337" t="s">
        <v>5</v>
      </c>
      <c r="M337">
        <v>61</v>
      </c>
      <c r="N337" t="s">
        <v>6</v>
      </c>
      <c r="O337">
        <v>-18.36</v>
      </c>
      <c r="P337" t="s">
        <v>7</v>
      </c>
      <c r="Q337">
        <v>-0.111272727272727</v>
      </c>
      <c r="R337" t="s">
        <v>8</v>
      </c>
      <c r="S337">
        <v>0.58409836065573695</v>
      </c>
      <c r="T337" t="s">
        <v>9</v>
      </c>
      <c r="U337">
        <v>-0.51913461538461503</v>
      </c>
      <c r="V337" t="s">
        <v>10</v>
      </c>
      <c r="W337">
        <v>0.136074000776534</v>
      </c>
      <c r="X337" t="s">
        <v>11</v>
      </c>
      <c r="Y337" t="s">
        <v>2991</v>
      </c>
      <c r="Z337" t="s">
        <v>2169</v>
      </c>
      <c r="AA337">
        <v>0</v>
      </c>
      <c r="AB337" t="s">
        <v>14</v>
      </c>
      <c r="AC337" t="s">
        <v>15</v>
      </c>
      <c r="AD337" t="s">
        <v>2987</v>
      </c>
      <c r="AE337" t="s">
        <v>2418</v>
      </c>
      <c r="AF337">
        <v>0</v>
      </c>
      <c r="AG337" t="s">
        <v>18</v>
      </c>
    </row>
    <row r="338" spans="1:33" x14ac:dyDescent="0.3">
      <c r="A338" t="s">
        <v>2538</v>
      </c>
      <c r="B338" t="s">
        <v>587</v>
      </c>
      <c r="C338">
        <v>-7.5</v>
      </c>
      <c r="D338" t="s">
        <v>588</v>
      </c>
      <c r="E338" t="s">
        <v>589</v>
      </c>
      <c r="F338">
        <v>-10</v>
      </c>
      <c r="G338" t="s">
        <v>1998</v>
      </c>
      <c r="H338" t="s">
        <v>2918</v>
      </c>
      <c r="I338" t="str">
        <f t="shared" si="5"/>
        <v xml:space="preserve">alltime_{'P' [('number'-7.5 1) ('number'-10 -1)]}_[42 70]_0.5 </v>
      </c>
      <c r="J338" t="s">
        <v>2540</v>
      </c>
      <c r="K338">
        <v>3062</v>
      </c>
      <c r="L338" t="s">
        <v>5</v>
      </c>
      <c r="M338">
        <v>1450</v>
      </c>
      <c r="N338" t="s">
        <v>6</v>
      </c>
      <c r="O338">
        <v>-18.446789358868401</v>
      </c>
      <c r="P338" t="s">
        <v>7</v>
      </c>
      <c r="Q338">
        <v>-6.0244250028962899E-3</v>
      </c>
      <c r="R338" t="s">
        <v>8</v>
      </c>
      <c r="S338">
        <v>0.49555909535021098</v>
      </c>
      <c r="T338" t="s">
        <v>9</v>
      </c>
      <c r="U338">
        <v>-0.45720066849669699</v>
      </c>
      <c r="V338" t="s">
        <v>10</v>
      </c>
      <c r="W338">
        <v>0.88630766303516595</v>
      </c>
      <c r="X338" t="s">
        <v>11</v>
      </c>
      <c r="Y338" t="s">
        <v>2973</v>
      </c>
      <c r="Z338" t="s">
        <v>2974</v>
      </c>
      <c r="AA338">
        <v>0</v>
      </c>
      <c r="AB338" t="s">
        <v>14</v>
      </c>
      <c r="AC338" t="s">
        <v>15</v>
      </c>
      <c r="AD338" t="s">
        <v>2973</v>
      </c>
      <c r="AE338" t="s">
        <v>2974</v>
      </c>
      <c r="AF338">
        <v>0</v>
      </c>
      <c r="AG338" t="s">
        <v>18</v>
      </c>
    </row>
    <row r="339" spans="1:33" x14ac:dyDescent="0.3">
      <c r="A339" t="s">
        <v>2683</v>
      </c>
      <c r="B339" t="s">
        <v>587</v>
      </c>
      <c r="C339">
        <v>-5</v>
      </c>
      <c r="D339" t="s">
        <v>588</v>
      </c>
      <c r="E339" t="s">
        <v>589</v>
      </c>
      <c r="F339">
        <v>-7.5</v>
      </c>
      <c r="G339" t="s">
        <v>599</v>
      </c>
      <c r="H339" t="s">
        <v>2910</v>
      </c>
      <c r="I339" t="str">
        <f t="shared" si="5"/>
        <v xml:space="preserve">bbands_no_highvol_{'P' [('number'-5 1) ('number'-7.5 -1)]}_[21 49]_0.5 </v>
      </c>
      <c r="J339" t="s">
        <v>2540</v>
      </c>
      <c r="K339">
        <v>165</v>
      </c>
      <c r="L339" t="s">
        <v>5</v>
      </c>
      <c r="M339">
        <v>50</v>
      </c>
      <c r="N339" t="s">
        <v>6</v>
      </c>
      <c r="O339">
        <v>-18.600000000000001</v>
      </c>
      <c r="P339" t="s">
        <v>7</v>
      </c>
      <c r="Q339">
        <v>-0.112727272727272</v>
      </c>
      <c r="R339" t="s">
        <v>8</v>
      </c>
      <c r="S339">
        <v>0.56039999999999901</v>
      </c>
      <c r="T339" t="s">
        <v>9</v>
      </c>
      <c r="U339">
        <v>-0.405391304347826</v>
      </c>
      <c r="V339" t="s">
        <v>10</v>
      </c>
      <c r="W339">
        <v>0.110435655354679</v>
      </c>
      <c r="X339" t="s">
        <v>11</v>
      </c>
      <c r="Y339" t="s">
        <v>3027</v>
      </c>
      <c r="Z339" t="s">
        <v>2055</v>
      </c>
      <c r="AA339">
        <v>0</v>
      </c>
      <c r="AB339" t="s">
        <v>14</v>
      </c>
      <c r="AC339" t="s">
        <v>15</v>
      </c>
      <c r="AD339" t="s">
        <v>3003</v>
      </c>
      <c r="AE339" t="s">
        <v>2013</v>
      </c>
      <c r="AF339">
        <v>0</v>
      </c>
      <c r="AG339" t="s">
        <v>18</v>
      </c>
    </row>
    <row r="340" spans="1:33" x14ac:dyDescent="0.3">
      <c r="A340" t="s">
        <v>2683</v>
      </c>
      <c r="B340" t="s">
        <v>587</v>
      </c>
      <c r="C340">
        <v>-7.5</v>
      </c>
      <c r="D340" t="s">
        <v>588</v>
      </c>
      <c r="E340" t="s">
        <v>589</v>
      </c>
      <c r="F340">
        <v>-10</v>
      </c>
      <c r="G340" t="s">
        <v>1998</v>
      </c>
      <c r="H340" t="s">
        <v>2926</v>
      </c>
      <c r="I340" t="str">
        <f t="shared" si="5"/>
        <v xml:space="preserve">bbands_no_highvol_{'P' [('number'-7.5 1) ('number'-10 -1)]}_[42 70]_3 </v>
      </c>
      <c r="J340" t="s">
        <v>2540</v>
      </c>
      <c r="K340">
        <v>157</v>
      </c>
      <c r="L340" t="s">
        <v>5</v>
      </c>
      <c r="M340">
        <v>23</v>
      </c>
      <c r="N340" t="s">
        <v>6</v>
      </c>
      <c r="O340">
        <v>-18.6472731493457</v>
      </c>
      <c r="P340" t="s">
        <v>7</v>
      </c>
      <c r="Q340">
        <v>-0.118772440441692</v>
      </c>
      <c r="R340" t="s">
        <v>8</v>
      </c>
      <c r="S340">
        <v>1.76944783416239</v>
      </c>
      <c r="T340" t="s">
        <v>9</v>
      </c>
      <c r="U340">
        <v>-0.44286995026179798</v>
      </c>
      <c r="V340" t="s">
        <v>10</v>
      </c>
      <c r="W340">
        <v>0.21924817075094299</v>
      </c>
      <c r="X340" t="s">
        <v>11</v>
      </c>
      <c r="Y340" t="s">
        <v>2938</v>
      </c>
      <c r="Z340" t="s">
        <v>660</v>
      </c>
      <c r="AA340">
        <v>0</v>
      </c>
      <c r="AB340" t="s">
        <v>14</v>
      </c>
      <c r="AC340" t="s">
        <v>15</v>
      </c>
      <c r="AD340" t="s">
        <v>3009</v>
      </c>
      <c r="AE340" t="s">
        <v>660</v>
      </c>
      <c r="AF340">
        <v>0</v>
      </c>
      <c r="AG340" t="s">
        <v>18</v>
      </c>
    </row>
    <row r="341" spans="1:33" x14ac:dyDescent="0.3">
      <c r="A341" t="s">
        <v>2683</v>
      </c>
      <c r="B341" t="s">
        <v>587</v>
      </c>
      <c r="C341">
        <v>-5</v>
      </c>
      <c r="D341" t="s">
        <v>588</v>
      </c>
      <c r="E341" t="s">
        <v>589</v>
      </c>
      <c r="F341">
        <v>-7.5</v>
      </c>
      <c r="G341" t="s">
        <v>590</v>
      </c>
      <c r="H341" t="s">
        <v>2909</v>
      </c>
      <c r="I341" t="str">
        <f t="shared" si="5"/>
        <v xml:space="preserve">bbands_no_highvol_{'P' [('number'-5 1) ('number'-7.5 -1)]}_[7 35]_3 </v>
      </c>
      <c r="J341" t="s">
        <v>2540</v>
      </c>
      <c r="K341">
        <v>155</v>
      </c>
      <c r="L341" t="s">
        <v>5</v>
      </c>
      <c r="M341">
        <v>19</v>
      </c>
      <c r="N341" t="s">
        <v>6</v>
      </c>
      <c r="O341">
        <v>-18.959999999999901</v>
      </c>
      <c r="P341" t="s">
        <v>7</v>
      </c>
      <c r="Q341">
        <v>-0.12232258064516099</v>
      </c>
      <c r="R341" t="s">
        <v>8</v>
      </c>
      <c r="S341">
        <v>1.4778947368421</v>
      </c>
      <c r="T341" t="s">
        <v>9</v>
      </c>
      <c r="U341">
        <v>-0.34588235294117597</v>
      </c>
      <c r="V341" t="s">
        <v>10</v>
      </c>
      <c r="W341">
        <v>0.14948648761129699</v>
      </c>
      <c r="X341" t="s">
        <v>11</v>
      </c>
      <c r="Y341" t="s">
        <v>2989</v>
      </c>
      <c r="Z341" t="s">
        <v>2990</v>
      </c>
      <c r="AA341">
        <v>0</v>
      </c>
      <c r="AB341" t="s">
        <v>14</v>
      </c>
      <c r="AC341" t="s">
        <v>15</v>
      </c>
      <c r="AD341" t="s">
        <v>3026</v>
      </c>
      <c r="AE341" t="s">
        <v>2686</v>
      </c>
      <c r="AF341">
        <v>0</v>
      </c>
      <c r="AG341" t="s">
        <v>18</v>
      </c>
    </row>
    <row r="342" spans="1:33" x14ac:dyDescent="0.3">
      <c r="A342" t="s">
        <v>2811</v>
      </c>
      <c r="B342" t="s">
        <v>587</v>
      </c>
      <c r="C342">
        <v>-5</v>
      </c>
      <c r="D342" t="s">
        <v>588</v>
      </c>
      <c r="E342" t="s">
        <v>589</v>
      </c>
      <c r="F342">
        <v>-7.5</v>
      </c>
      <c r="G342" t="s">
        <v>1998</v>
      </c>
      <c r="H342" t="s">
        <v>2926</v>
      </c>
      <c r="I342" t="str">
        <f t="shared" si="5"/>
        <v xml:space="preserve">stoch_{'P' [('number'-5 1) ('number'-7.5 -1)]}_[42 70]_3 </v>
      </c>
      <c r="J342" t="s">
        <v>2540</v>
      </c>
      <c r="K342">
        <v>370</v>
      </c>
      <c r="L342" t="s">
        <v>5</v>
      </c>
      <c r="M342">
        <v>76</v>
      </c>
      <c r="N342" t="s">
        <v>6</v>
      </c>
      <c r="O342">
        <v>-20.246034765889501</v>
      </c>
      <c r="P342" t="s">
        <v>7</v>
      </c>
      <c r="Q342">
        <v>-5.4719012880782403E-2</v>
      </c>
      <c r="R342" t="s">
        <v>8</v>
      </c>
      <c r="S342">
        <v>1.8872442564082099</v>
      </c>
      <c r="T342" t="s">
        <v>9</v>
      </c>
      <c r="U342">
        <v>-0.55672312330923202</v>
      </c>
      <c r="V342" t="s">
        <v>10</v>
      </c>
      <c r="W342">
        <v>0.52442304282074903</v>
      </c>
      <c r="X342" t="s">
        <v>11</v>
      </c>
      <c r="Y342" t="s">
        <v>2913</v>
      </c>
      <c r="Z342" t="s">
        <v>2914</v>
      </c>
      <c r="AA342">
        <v>0</v>
      </c>
      <c r="AB342" t="s">
        <v>14</v>
      </c>
      <c r="AC342" t="s">
        <v>15</v>
      </c>
      <c r="AD342" t="s">
        <v>610</v>
      </c>
      <c r="AE342" t="s">
        <v>2914</v>
      </c>
      <c r="AF342">
        <v>0</v>
      </c>
      <c r="AG342" t="s">
        <v>18</v>
      </c>
    </row>
    <row r="343" spans="1:33" x14ac:dyDescent="0.3">
      <c r="A343" t="s">
        <v>2623</v>
      </c>
      <c r="B343" t="s">
        <v>587</v>
      </c>
      <c r="C343">
        <v>-5</v>
      </c>
      <c r="D343" t="s">
        <v>588</v>
      </c>
      <c r="E343" t="s">
        <v>589</v>
      </c>
      <c r="F343">
        <v>-7.5</v>
      </c>
      <c r="G343" t="s">
        <v>1998</v>
      </c>
      <c r="H343" t="s">
        <v>2559</v>
      </c>
      <c r="I343" t="str">
        <f t="shared" si="5"/>
        <v xml:space="preserve">bbands_{'P' [('number'-5 1) ('number'-7.5 -1)]}_[42 70]_1 </v>
      </c>
      <c r="J343" t="s">
        <v>2540</v>
      </c>
      <c r="K343">
        <v>167</v>
      </c>
      <c r="L343" t="s">
        <v>5</v>
      </c>
      <c r="M343">
        <v>52</v>
      </c>
      <c r="N343" t="s">
        <v>6</v>
      </c>
      <c r="O343">
        <v>-20.409277425424399</v>
      </c>
      <c r="P343" t="s">
        <v>7</v>
      </c>
      <c r="Q343">
        <v>-0.12221124206841</v>
      </c>
      <c r="R343" t="s">
        <v>8</v>
      </c>
      <c r="S343">
        <v>0.947594663808494</v>
      </c>
      <c r="T343" t="s">
        <v>9</v>
      </c>
      <c r="U343">
        <v>-0.60594956472579298</v>
      </c>
      <c r="V343" t="s">
        <v>10</v>
      </c>
      <c r="W343">
        <v>0.188544490079782</v>
      </c>
      <c r="X343" t="s">
        <v>11</v>
      </c>
      <c r="Y343" t="s">
        <v>3004</v>
      </c>
      <c r="Z343" t="s">
        <v>2198</v>
      </c>
      <c r="AA343">
        <v>0</v>
      </c>
      <c r="AB343" t="s">
        <v>14</v>
      </c>
      <c r="AC343" t="s">
        <v>15</v>
      </c>
      <c r="AD343" t="s">
        <v>3005</v>
      </c>
      <c r="AE343" t="s">
        <v>2198</v>
      </c>
      <c r="AF343">
        <v>0</v>
      </c>
      <c r="AG343" t="s">
        <v>18</v>
      </c>
    </row>
    <row r="344" spans="1:33" x14ac:dyDescent="0.3">
      <c r="A344" t="s">
        <v>2858</v>
      </c>
      <c r="B344" t="s">
        <v>587</v>
      </c>
      <c r="C344">
        <v>-7.5</v>
      </c>
      <c r="D344" t="s">
        <v>588</v>
      </c>
      <c r="E344" t="s">
        <v>589</v>
      </c>
      <c r="F344">
        <v>-10</v>
      </c>
      <c r="G344" t="s">
        <v>599</v>
      </c>
      <c r="H344" t="s">
        <v>2550</v>
      </c>
      <c r="I344" t="str">
        <f t="shared" si="5"/>
        <v xml:space="preserve">stoch_no_highvol_{'P' [('number'-7.5 1) ('number'-10 -1)]}_[21 49]_1 </v>
      </c>
      <c r="J344" t="s">
        <v>2540</v>
      </c>
      <c r="K344">
        <v>335</v>
      </c>
      <c r="L344" t="s">
        <v>5</v>
      </c>
      <c r="M344">
        <v>81</v>
      </c>
      <c r="N344" t="s">
        <v>6</v>
      </c>
      <c r="O344">
        <v>-20.549999999999901</v>
      </c>
      <c r="P344" t="s">
        <v>7</v>
      </c>
      <c r="Q344">
        <v>-6.13432835820895E-2</v>
      </c>
      <c r="R344" t="s">
        <v>8</v>
      </c>
      <c r="S344">
        <v>0.69876543209876496</v>
      </c>
      <c r="T344" t="s">
        <v>9</v>
      </c>
      <c r="U344">
        <v>-0.30374015748031402</v>
      </c>
      <c r="V344" t="s">
        <v>10</v>
      </c>
      <c r="W344">
        <v>0.222687218813026</v>
      </c>
      <c r="X344" t="s">
        <v>11</v>
      </c>
      <c r="Y344" t="s">
        <v>2931</v>
      </c>
      <c r="Z344" t="s">
        <v>2863</v>
      </c>
      <c r="AA344">
        <v>0</v>
      </c>
      <c r="AB344" t="s">
        <v>14</v>
      </c>
      <c r="AC344" t="s">
        <v>15</v>
      </c>
      <c r="AD344" t="s">
        <v>3165</v>
      </c>
      <c r="AE344" t="s">
        <v>2863</v>
      </c>
      <c r="AF344">
        <v>0</v>
      </c>
      <c r="AG344" t="s">
        <v>18</v>
      </c>
    </row>
    <row r="345" spans="1:33" x14ac:dyDescent="0.3">
      <c r="A345" t="s">
        <v>2858</v>
      </c>
      <c r="B345" t="s">
        <v>587</v>
      </c>
      <c r="C345">
        <v>-2.5</v>
      </c>
      <c r="D345" t="s">
        <v>588</v>
      </c>
      <c r="E345" t="s">
        <v>589</v>
      </c>
      <c r="F345">
        <v>-5</v>
      </c>
      <c r="G345" t="s">
        <v>1998</v>
      </c>
      <c r="H345" t="s">
        <v>2559</v>
      </c>
      <c r="I345" t="str">
        <f t="shared" si="5"/>
        <v xml:space="preserve">stoch_no_highvol_{'P' [('number'-2.5 1) ('number'-5 -1)]}_[42 70]_1 </v>
      </c>
      <c r="J345" t="s">
        <v>2540</v>
      </c>
      <c r="K345">
        <v>331</v>
      </c>
      <c r="L345" t="s">
        <v>5</v>
      </c>
      <c r="M345">
        <v>107</v>
      </c>
      <c r="N345" t="s">
        <v>6</v>
      </c>
      <c r="O345">
        <v>-21.030937498442199</v>
      </c>
      <c r="P345" t="s">
        <v>7</v>
      </c>
      <c r="Q345">
        <v>-6.3537575523994805E-2</v>
      </c>
      <c r="R345" t="s">
        <v>8</v>
      </c>
      <c r="S345">
        <v>1.08482997969591</v>
      </c>
      <c r="T345" t="s">
        <v>9</v>
      </c>
      <c r="U345">
        <v>-0.61208814877636097</v>
      </c>
      <c r="V345" t="s">
        <v>10</v>
      </c>
      <c r="W345">
        <v>0.36214189200015401</v>
      </c>
      <c r="X345" t="s">
        <v>11</v>
      </c>
      <c r="Y345" t="s">
        <v>246</v>
      </c>
      <c r="Z345" t="s">
        <v>3176</v>
      </c>
      <c r="AA345">
        <v>0</v>
      </c>
      <c r="AB345" t="s">
        <v>14</v>
      </c>
      <c r="AC345" t="s">
        <v>15</v>
      </c>
      <c r="AD345" t="s">
        <v>3098</v>
      </c>
      <c r="AE345" t="s">
        <v>3055</v>
      </c>
      <c r="AF345">
        <v>0</v>
      </c>
      <c r="AG345" t="s">
        <v>18</v>
      </c>
    </row>
    <row r="346" spans="1:33" x14ac:dyDescent="0.3">
      <c r="A346" t="s">
        <v>2683</v>
      </c>
      <c r="B346" t="s">
        <v>587</v>
      </c>
      <c r="C346">
        <v>0</v>
      </c>
      <c r="D346" t="s">
        <v>588</v>
      </c>
      <c r="E346" t="s">
        <v>589</v>
      </c>
      <c r="F346">
        <v>-2.5</v>
      </c>
      <c r="G346" t="s">
        <v>1998</v>
      </c>
      <c r="H346" t="s">
        <v>2559</v>
      </c>
      <c r="I346" t="str">
        <f t="shared" si="5"/>
        <v xml:space="preserve">bbands_no_highvol_{'P' [('number'0 1) ('number'-2.5 -1)]}_[42 70]_1 </v>
      </c>
      <c r="J346" t="s">
        <v>2540</v>
      </c>
      <c r="K346">
        <v>157</v>
      </c>
      <c r="L346" t="s">
        <v>5</v>
      </c>
      <c r="M346">
        <v>54</v>
      </c>
      <c r="N346" t="s">
        <v>6</v>
      </c>
      <c r="O346">
        <v>-21.380059471364198</v>
      </c>
      <c r="P346" t="s">
        <v>7</v>
      </c>
      <c r="Q346">
        <v>-0.136178722747543</v>
      </c>
      <c r="R346" t="s">
        <v>8</v>
      </c>
      <c r="S346">
        <v>1.1816015392489601</v>
      </c>
      <c r="T346" t="s">
        <v>9</v>
      </c>
      <c r="U346">
        <v>-0.82705381156124602</v>
      </c>
      <c r="V346" t="s">
        <v>10</v>
      </c>
      <c r="W346">
        <v>0.25366365212154801</v>
      </c>
      <c r="X346" t="s">
        <v>11</v>
      </c>
      <c r="Y346" t="s">
        <v>2983</v>
      </c>
      <c r="Z346" t="s">
        <v>2924</v>
      </c>
      <c r="AA346">
        <v>0</v>
      </c>
      <c r="AB346" t="s">
        <v>14</v>
      </c>
      <c r="AC346" t="s">
        <v>15</v>
      </c>
      <c r="AD346" t="s">
        <v>2984</v>
      </c>
      <c r="AE346" t="s">
        <v>2924</v>
      </c>
      <c r="AF346">
        <v>0</v>
      </c>
      <c r="AG346" t="s">
        <v>18</v>
      </c>
    </row>
    <row r="347" spans="1:33" x14ac:dyDescent="0.3">
      <c r="A347" t="s">
        <v>2811</v>
      </c>
      <c r="B347" t="s">
        <v>587</v>
      </c>
      <c r="C347">
        <v>-2.5</v>
      </c>
      <c r="D347" t="s">
        <v>588</v>
      </c>
      <c r="E347" t="s">
        <v>589</v>
      </c>
      <c r="F347">
        <v>-5</v>
      </c>
      <c r="G347" t="s">
        <v>1998</v>
      </c>
      <c r="H347" t="s">
        <v>2559</v>
      </c>
      <c r="I347" t="str">
        <f t="shared" si="5"/>
        <v xml:space="preserve">stoch_{'P' [('number'-2.5 1) ('number'-5 -1)]}_[42 70]_1 </v>
      </c>
      <c r="J347" t="s">
        <v>2540</v>
      </c>
      <c r="K347">
        <v>370</v>
      </c>
      <c r="L347" t="s">
        <v>5</v>
      </c>
      <c r="M347">
        <v>124</v>
      </c>
      <c r="N347" t="s">
        <v>6</v>
      </c>
      <c r="O347">
        <v>-21.667329258905099</v>
      </c>
      <c r="P347" t="s">
        <v>7</v>
      </c>
      <c r="Q347">
        <v>-5.8560349348392299E-2</v>
      </c>
      <c r="R347" t="s">
        <v>8</v>
      </c>
      <c r="S347">
        <v>1.1143511349022801</v>
      </c>
      <c r="T347" t="s">
        <v>9</v>
      </c>
      <c r="U347">
        <v>-0.64978402433653604</v>
      </c>
      <c r="V347" t="s">
        <v>10</v>
      </c>
      <c r="W347">
        <v>0.40250088049197802</v>
      </c>
      <c r="X347" t="s">
        <v>11</v>
      </c>
      <c r="Y347" t="s">
        <v>2996</v>
      </c>
      <c r="Z347" t="s">
        <v>77</v>
      </c>
      <c r="AA347">
        <v>0</v>
      </c>
      <c r="AB347" t="s">
        <v>14</v>
      </c>
      <c r="AC347" t="s">
        <v>15</v>
      </c>
      <c r="AD347" t="s">
        <v>2996</v>
      </c>
      <c r="AE347" t="s">
        <v>77</v>
      </c>
      <c r="AF347">
        <v>0</v>
      </c>
      <c r="AG347" t="s">
        <v>18</v>
      </c>
    </row>
    <row r="348" spans="1:33" x14ac:dyDescent="0.3">
      <c r="A348" t="s">
        <v>2858</v>
      </c>
      <c r="B348" t="s">
        <v>587</v>
      </c>
      <c r="C348">
        <v>0</v>
      </c>
      <c r="D348" t="s">
        <v>588</v>
      </c>
      <c r="E348" t="s">
        <v>589</v>
      </c>
      <c r="F348">
        <v>-2.5</v>
      </c>
      <c r="G348" t="s">
        <v>1998</v>
      </c>
      <c r="H348" t="s">
        <v>2559</v>
      </c>
      <c r="I348" t="str">
        <f t="shared" si="5"/>
        <v xml:space="preserve">stoch_no_highvol_{'P' [('number'0 1) ('number'-2.5 -1)]}_[42 70]_1 </v>
      </c>
      <c r="J348" t="s">
        <v>2540</v>
      </c>
      <c r="K348">
        <v>331</v>
      </c>
      <c r="L348" t="s">
        <v>5</v>
      </c>
      <c r="M348">
        <v>113</v>
      </c>
      <c r="N348" t="s">
        <v>6</v>
      </c>
      <c r="O348">
        <v>-21.910893443835999</v>
      </c>
      <c r="P348" t="s">
        <v>7</v>
      </c>
      <c r="Q348">
        <v>-6.6196052700410804E-2</v>
      </c>
      <c r="R348" t="s">
        <v>8</v>
      </c>
      <c r="S348">
        <v>1.2212517677656001</v>
      </c>
      <c r="T348" t="s">
        <v>9</v>
      </c>
      <c r="U348">
        <v>-0.73354285872178704</v>
      </c>
      <c r="V348" t="s">
        <v>10</v>
      </c>
      <c r="W348">
        <v>0.42472124864935301</v>
      </c>
      <c r="X348" t="s">
        <v>11</v>
      </c>
      <c r="Y348" t="s">
        <v>2983</v>
      </c>
      <c r="Z348" t="s">
        <v>2924</v>
      </c>
      <c r="AA348">
        <v>0</v>
      </c>
      <c r="AB348" t="s">
        <v>14</v>
      </c>
      <c r="AC348" t="s">
        <v>15</v>
      </c>
      <c r="AD348" t="s">
        <v>3148</v>
      </c>
      <c r="AE348" t="s">
        <v>2924</v>
      </c>
      <c r="AF348">
        <v>0</v>
      </c>
      <c r="AG348" t="s">
        <v>18</v>
      </c>
    </row>
    <row r="349" spans="1:33" x14ac:dyDescent="0.3">
      <c r="A349" t="s">
        <v>2683</v>
      </c>
      <c r="B349" t="s">
        <v>587</v>
      </c>
      <c r="C349">
        <v>-7.5</v>
      </c>
      <c r="D349" t="s">
        <v>588</v>
      </c>
      <c r="E349" t="s">
        <v>589</v>
      </c>
      <c r="F349">
        <v>-10</v>
      </c>
      <c r="G349" t="s">
        <v>599</v>
      </c>
      <c r="H349" t="s">
        <v>2916</v>
      </c>
      <c r="I349" t="str">
        <f t="shared" si="5"/>
        <v xml:space="preserve">bbands_no_highvol_{'P' [('number'-7.5 1) ('number'-10 -1)]}_[21 49]_3 </v>
      </c>
      <c r="J349" t="s">
        <v>2540</v>
      </c>
      <c r="K349">
        <v>165</v>
      </c>
      <c r="L349" t="s">
        <v>5</v>
      </c>
      <c r="M349">
        <v>17</v>
      </c>
      <c r="N349" t="s">
        <v>6</v>
      </c>
      <c r="O349">
        <v>-22.74</v>
      </c>
      <c r="P349" t="s">
        <v>7</v>
      </c>
      <c r="Q349">
        <v>-0.13781818181818201</v>
      </c>
      <c r="R349" t="s">
        <v>8</v>
      </c>
      <c r="S349">
        <v>1.6394117647058799</v>
      </c>
      <c r="T349" t="s">
        <v>9</v>
      </c>
      <c r="U349">
        <v>-0.34195945945945899</v>
      </c>
      <c r="V349" t="s">
        <v>10</v>
      </c>
      <c r="W349">
        <v>0.17179631301863199</v>
      </c>
      <c r="X349" t="s">
        <v>11</v>
      </c>
      <c r="Y349" t="s">
        <v>2938</v>
      </c>
      <c r="Z349" t="s">
        <v>660</v>
      </c>
      <c r="AA349">
        <v>0</v>
      </c>
      <c r="AB349" t="s">
        <v>14</v>
      </c>
      <c r="AC349" t="s">
        <v>15</v>
      </c>
      <c r="AD349" t="s">
        <v>3010</v>
      </c>
      <c r="AE349" t="s">
        <v>660</v>
      </c>
      <c r="AF349">
        <v>0</v>
      </c>
      <c r="AG349" t="s">
        <v>18</v>
      </c>
    </row>
    <row r="350" spans="1:33" x14ac:dyDescent="0.3">
      <c r="A350" t="s">
        <v>2623</v>
      </c>
      <c r="B350" t="s">
        <v>587</v>
      </c>
      <c r="C350">
        <v>-5</v>
      </c>
      <c r="D350" t="s">
        <v>588</v>
      </c>
      <c r="E350" t="s">
        <v>589</v>
      </c>
      <c r="F350">
        <v>-7.5</v>
      </c>
      <c r="G350" t="s">
        <v>1998</v>
      </c>
      <c r="H350" t="s">
        <v>2918</v>
      </c>
      <c r="I350" t="str">
        <f t="shared" si="5"/>
        <v xml:space="preserve">bbands_{'P' [('number'-5 1) ('number'-7.5 -1)]}_[42 70]_0.5 </v>
      </c>
      <c r="J350" t="s">
        <v>2540</v>
      </c>
      <c r="K350">
        <v>167</v>
      </c>
      <c r="L350" t="s">
        <v>5</v>
      </c>
      <c r="M350">
        <v>69</v>
      </c>
      <c r="N350" t="s">
        <v>6</v>
      </c>
      <c r="O350">
        <v>-22.8318588733901</v>
      </c>
      <c r="P350" t="s">
        <v>7</v>
      </c>
      <c r="Q350">
        <v>-0.13671771780473099</v>
      </c>
      <c r="R350" t="s">
        <v>8</v>
      </c>
      <c r="S350">
        <v>0.53891192055132897</v>
      </c>
      <c r="T350" t="s">
        <v>9</v>
      </c>
      <c r="U350">
        <v>-0.61241613664726302</v>
      </c>
      <c r="V350" t="s">
        <v>10</v>
      </c>
      <c r="W350">
        <v>0.15156026402504</v>
      </c>
      <c r="X350" t="s">
        <v>11</v>
      </c>
      <c r="Y350" t="s">
        <v>3004</v>
      </c>
      <c r="Z350" t="s">
        <v>2198</v>
      </c>
      <c r="AA350">
        <v>0</v>
      </c>
      <c r="AB350" t="s">
        <v>14</v>
      </c>
      <c r="AC350" t="s">
        <v>15</v>
      </c>
      <c r="AD350" t="s">
        <v>3005</v>
      </c>
      <c r="AE350" t="s">
        <v>2198</v>
      </c>
      <c r="AF350">
        <v>0</v>
      </c>
      <c r="AG350" t="s">
        <v>18</v>
      </c>
    </row>
    <row r="351" spans="1:33" x14ac:dyDescent="0.3">
      <c r="A351" t="s">
        <v>2752</v>
      </c>
      <c r="B351" t="s">
        <v>587</v>
      </c>
      <c r="C351">
        <v>0</v>
      </c>
      <c r="D351" t="s">
        <v>588</v>
      </c>
      <c r="E351" t="s">
        <v>589</v>
      </c>
      <c r="F351">
        <v>-2.5</v>
      </c>
      <c r="G351" t="s">
        <v>1998</v>
      </c>
      <c r="H351" t="s">
        <v>2562</v>
      </c>
      <c r="I351" t="str">
        <f t="shared" si="5"/>
        <v xml:space="preserve">psar_no_highvol_{'P' [('number'0 1) ('number'-2.5 -1)]}_[42 70]_2 </v>
      </c>
      <c r="J351" t="s">
        <v>2540</v>
      </c>
      <c r="K351">
        <v>130</v>
      </c>
      <c r="L351" t="s">
        <v>5</v>
      </c>
      <c r="M351">
        <v>33</v>
      </c>
      <c r="N351" t="s">
        <v>6</v>
      </c>
      <c r="O351">
        <v>-23.222344024205601</v>
      </c>
      <c r="P351" t="s">
        <v>7</v>
      </c>
      <c r="Q351">
        <v>-0.178633415570812</v>
      </c>
      <c r="R351" t="s">
        <v>8</v>
      </c>
      <c r="S351">
        <v>1.5845038611261599</v>
      </c>
      <c r="T351" t="s">
        <v>9</v>
      </c>
      <c r="U351">
        <v>-0.77846362310689599</v>
      </c>
      <c r="V351" t="s">
        <v>10</v>
      </c>
      <c r="W351">
        <v>0.27989388869727</v>
      </c>
      <c r="X351" t="s">
        <v>11</v>
      </c>
      <c r="Y351" t="s">
        <v>2954</v>
      </c>
      <c r="Z351" t="s">
        <v>2922</v>
      </c>
      <c r="AA351">
        <v>0</v>
      </c>
      <c r="AB351" t="s">
        <v>14</v>
      </c>
      <c r="AC351" t="s">
        <v>15</v>
      </c>
      <c r="AD351" t="s">
        <v>2954</v>
      </c>
      <c r="AE351" t="s">
        <v>2922</v>
      </c>
      <c r="AF351">
        <v>0</v>
      </c>
      <c r="AG351" t="s">
        <v>18</v>
      </c>
    </row>
    <row r="352" spans="1:33" x14ac:dyDescent="0.3">
      <c r="A352" t="s">
        <v>2858</v>
      </c>
      <c r="B352" t="s">
        <v>587</v>
      </c>
      <c r="C352">
        <v>-2.5</v>
      </c>
      <c r="D352" t="s">
        <v>588</v>
      </c>
      <c r="E352" t="s">
        <v>589</v>
      </c>
      <c r="F352">
        <v>-5</v>
      </c>
      <c r="G352" t="s">
        <v>1998</v>
      </c>
      <c r="H352" t="s">
        <v>2926</v>
      </c>
      <c r="I352" t="str">
        <f t="shared" si="5"/>
        <v xml:space="preserve">stoch_no_highvol_{'P' [('number'-2.5 1) ('number'-5 -1)]}_[42 70]_3 </v>
      </c>
      <c r="J352" t="s">
        <v>2540</v>
      </c>
      <c r="K352">
        <v>331</v>
      </c>
      <c r="L352" t="s">
        <v>5</v>
      </c>
      <c r="M352">
        <v>75</v>
      </c>
      <c r="N352" t="s">
        <v>6</v>
      </c>
      <c r="O352">
        <v>-25.793297264864801</v>
      </c>
      <c r="P352" t="s">
        <v>7</v>
      </c>
      <c r="Q352">
        <v>-7.7925369380256404E-2</v>
      </c>
      <c r="R352" t="s">
        <v>8</v>
      </c>
      <c r="S352">
        <v>1.8236190455697201</v>
      </c>
      <c r="T352" t="s">
        <v>9</v>
      </c>
      <c r="U352">
        <v>-0.63501845969763504</v>
      </c>
      <c r="V352" t="s">
        <v>10</v>
      </c>
      <c r="W352">
        <v>0.48992677940972301</v>
      </c>
      <c r="X352" t="s">
        <v>11</v>
      </c>
      <c r="Y352" t="s">
        <v>2431</v>
      </c>
      <c r="Z352" t="s">
        <v>284</v>
      </c>
      <c r="AA352">
        <v>0</v>
      </c>
      <c r="AB352" t="s">
        <v>14</v>
      </c>
      <c r="AC352" t="s">
        <v>15</v>
      </c>
      <c r="AD352" t="s">
        <v>3177</v>
      </c>
      <c r="AE352" t="s">
        <v>2693</v>
      </c>
      <c r="AF352">
        <v>0</v>
      </c>
      <c r="AG352" t="s">
        <v>18</v>
      </c>
    </row>
    <row r="353" spans="1:33" x14ac:dyDescent="0.3">
      <c r="A353" t="s">
        <v>2858</v>
      </c>
      <c r="B353" t="s">
        <v>587</v>
      </c>
      <c r="C353">
        <v>-7.5</v>
      </c>
      <c r="D353" t="s">
        <v>588</v>
      </c>
      <c r="E353" t="s">
        <v>589</v>
      </c>
      <c r="F353">
        <v>-10</v>
      </c>
      <c r="G353" t="s">
        <v>599</v>
      </c>
      <c r="H353" t="s">
        <v>2916</v>
      </c>
      <c r="I353" t="str">
        <f t="shared" si="5"/>
        <v xml:space="preserve">stoch_no_highvol_{'P' [('number'-7.5 1) ('number'-10 -1)]}_[21 49]_3 </v>
      </c>
      <c r="J353" t="s">
        <v>2540</v>
      </c>
      <c r="K353">
        <v>335</v>
      </c>
      <c r="L353" t="s">
        <v>5</v>
      </c>
      <c r="M353">
        <v>38</v>
      </c>
      <c r="N353" t="s">
        <v>6</v>
      </c>
      <c r="O353">
        <v>-26.499999999999901</v>
      </c>
      <c r="P353" t="s">
        <v>7</v>
      </c>
      <c r="Q353">
        <v>-7.9104477611940199E-2</v>
      </c>
      <c r="R353" t="s">
        <v>8</v>
      </c>
      <c r="S353">
        <v>1.81578947368421</v>
      </c>
      <c r="T353" t="s">
        <v>9</v>
      </c>
      <c r="U353">
        <v>-0.32154882154882097</v>
      </c>
      <c r="V353" t="s">
        <v>10</v>
      </c>
      <c r="W353">
        <v>0.31055345768666298</v>
      </c>
      <c r="X353" t="s">
        <v>11</v>
      </c>
      <c r="Y353" t="s">
        <v>3052</v>
      </c>
      <c r="Z353" t="s">
        <v>284</v>
      </c>
      <c r="AA353">
        <v>0</v>
      </c>
      <c r="AB353" t="s">
        <v>14</v>
      </c>
      <c r="AC353" t="s">
        <v>15</v>
      </c>
      <c r="AD353" t="s">
        <v>3165</v>
      </c>
      <c r="AE353" t="s">
        <v>2863</v>
      </c>
      <c r="AF353">
        <v>0</v>
      </c>
      <c r="AG353" t="s">
        <v>18</v>
      </c>
    </row>
    <row r="354" spans="1:33" x14ac:dyDescent="0.3">
      <c r="A354" t="s">
        <v>2728</v>
      </c>
      <c r="B354" t="s">
        <v>587</v>
      </c>
      <c r="C354">
        <v>0</v>
      </c>
      <c r="D354" t="s">
        <v>588</v>
      </c>
      <c r="E354" t="s">
        <v>589</v>
      </c>
      <c r="F354">
        <v>-2.5</v>
      </c>
      <c r="G354" t="s">
        <v>1998</v>
      </c>
      <c r="H354" t="s">
        <v>2562</v>
      </c>
      <c r="I354" t="str">
        <f t="shared" si="5"/>
        <v xml:space="preserve">psar_{'P' [('number'0 1) ('number'-2.5 -1)]}_[42 70]_2 </v>
      </c>
      <c r="J354" t="s">
        <v>2540</v>
      </c>
      <c r="K354">
        <v>139</v>
      </c>
      <c r="L354" t="s">
        <v>5</v>
      </c>
      <c r="M354">
        <v>34</v>
      </c>
      <c r="N354" t="s">
        <v>6</v>
      </c>
      <c r="O354">
        <v>-27.772100220829302</v>
      </c>
      <c r="P354" t="s">
        <v>7</v>
      </c>
      <c r="Q354">
        <v>-0.19979928216423901</v>
      </c>
      <c r="R354" t="s">
        <v>8</v>
      </c>
      <c r="S354">
        <v>1.60320209472175</v>
      </c>
      <c r="T354" t="s">
        <v>9</v>
      </c>
      <c r="U354">
        <v>-0.78362829944160906</v>
      </c>
      <c r="V354" t="s">
        <v>10</v>
      </c>
      <c r="W354">
        <v>0.29682270815966499</v>
      </c>
      <c r="X354" t="s">
        <v>11</v>
      </c>
      <c r="Y354" t="s">
        <v>2954</v>
      </c>
      <c r="Z354" t="s">
        <v>2922</v>
      </c>
      <c r="AA354">
        <v>0</v>
      </c>
      <c r="AB354" t="s">
        <v>14</v>
      </c>
      <c r="AC354" t="s">
        <v>15</v>
      </c>
      <c r="AD354" t="s">
        <v>2954</v>
      </c>
      <c r="AE354" t="s">
        <v>2922</v>
      </c>
      <c r="AF354">
        <v>0</v>
      </c>
      <c r="AG354" t="s">
        <v>18</v>
      </c>
    </row>
    <row r="355" spans="1:33" x14ac:dyDescent="0.3">
      <c r="A355" t="s">
        <v>2752</v>
      </c>
      <c r="B355" t="s">
        <v>587</v>
      </c>
      <c r="C355">
        <v>0</v>
      </c>
      <c r="D355" t="s">
        <v>588</v>
      </c>
      <c r="E355" t="s">
        <v>589</v>
      </c>
      <c r="F355">
        <v>-2.5</v>
      </c>
      <c r="G355" t="s">
        <v>1998</v>
      </c>
      <c r="H355" t="s">
        <v>2926</v>
      </c>
      <c r="I355" t="str">
        <f t="shared" si="5"/>
        <v xml:space="preserve">psar_no_highvol_{'P' [('number'0 1) ('number'-2.5 -1)]}_[42 70]_3 </v>
      </c>
      <c r="J355" t="s">
        <v>2540</v>
      </c>
      <c r="K355">
        <v>130</v>
      </c>
      <c r="L355" t="s">
        <v>5</v>
      </c>
      <c r="M355">
        <v>32</v>
      </c>
      <c r="N355" t="s">
        <v>6</v>
      </c>
      <c r="O355">
        <v>-28.5123440242056</v>
      </c>
      <c r="P355" t="s">
        <v>7</v>
      </c>
      <c r="Q355">
        <v>-0.21932572326312</v>
      </c>
      <c r="R355" t="s">
        <v>8</v>
      </c>
      <c r="S355">
        <v>1.4827696067863501</v>
      </c>
      <c r="T355" t="s">
        <v>9</v>
      </c>
      <c r="U355">
        <v>-0.77511195348335704</v>
      </c>
      <c r="V355" t="s">
        <v>10</v>
      </c>
      <c r="W355">
        <v>0.28126286239397502</v>
      </c>
      <c r="X355" t="s">
        <v>11</v>
      </c>
      <c r="Y355" t="s">
        <v>2954</v>
      </c>
      <c r="Z355" t="s">
        <v>2922</v>
      </c>
      <c r="AA355">
        <v>0</v>
      </c>
      <c r="AB355" t="s">
        <v>14</v>
      </c>
      <c r="AC355" t="s">
        <v>15</v>
      </c>
      <c r="AD355" t="s">
        <v>2954</v>
      </c>
      <c r="AE355" t="s">
        <v>2922</v>
      </c>
      <c r="AF355">
        <v>0</v>
      </c>
      <c r="AG355" t="s">
        <v>18</v>
      </c>
    </row>
    <row r="356" spans="1:33" x14ac:dyDescent="0.3">
      <c r="A356" t="s">
        <v>2623</v>
      </c>
      <c r="B356" t="s">
        <v>587</v>
      </c>
      <c r="C356">
        <v>-5</v>
      </c>
      <c r="D356" t="s">
        <v>588</v>
      </c>
      <c r="E356" t="s">
        <v>589</v>
      </c>
      <c r="F356">
        <v>-7.5</v>
      </c>
      <c r="G356" t="s">
        <v>599</v>
      </c>
      <c r="H356" t="s">
        <v>2552</v>
      </c>
      <c r="I356" t="str">
        <f t="shared" si="5"/>
        <v xml:space="preserve">bbands_{'P' [('number'-5 1) ('number'-7.5 -1)]}_[21 49]_2 </v>
      </c>
      <c r="J356" t="s">
        <v>2540</v>
      </c>
      <c r="K356">
        <v>178</v>
      </c>
      <c r="L356" t="s">
        <v>5</v>
      </c>
      <c r="M356">
        <v>32</v>
      </c>
      <c r="N356" t="s">
        <v>6</v>
      </c>
      <c r="O356">
        <v>-28.939999999999898</v>
      </c>
      <c r="P356" t="s">
        <v>7</v>
      </c>
      <c r="Q356">
        <v>-0.162584269662921</v>
      </c>
      <c r="R356" t="s">
        <v>8</v>
      </c>
      <c r="S356">
        <v>1.4040625</v>
      </c>
      <c r="T356" t="s">
        <v>9</v>
      </c>
      <c r="U356">
        <v>-0.50595890410958899</v>
      </c>
      <c r="V356" t="s">
        <v>10</v>
      </c>
      <c r="W356">
        <v>0.27702779026330698</v>
      </c>
      <c r="X356" t="s">
        <v>11</v>
      </c>
      <c r="Y356" t="s">
        <v>2906</v>
      </c>
      <c r="Z356" t="s">
        <v>2631</v>
      </c>
      <c r="AA356">
        <v>0</v>
      </c>
      <c r="AB356" t="s">
        <v>14</v>
      </c>
      <c r="AC356" t="s">
        <v>15</v>
      </c>
      <c r="AD356" t="s">
        <v>3002</v>
      </c>
      <c r="AE356" t="s">
        <v>2631</v>
      </c>
      <c r="AF356">
        <v>0</v>
      </c>
      <c r="AG356" t="s">
        <v>18</v>
      </c>
    </row>
    <row r="357" spans="1:33" x14ac:dyDescent="0.3">
      <c r="A357" t="s">
        <v>2623</v>
      </c>
      <c r="B357" t="s">
        <v>587</v>
      </c>
      <c r="C357">
        <v>-5</v>
      </c>
      <c r="D357" t="s">
        <v>588</v>
      </c>
      <c r="E357" t="s">
        <v>589</v>
      </c>
      <c r="F357">
        <v>-7.5</v>
      </c>
      <c r="G357" t="s">
        <v>599</v>
      </c>
      <c r="H357" t="s">
        <v>2916</v>
      </c>
      <c r="I357" t="str">
        <f t="shared" si="5"/>
        <v xml:space="preserve">bbands_{'P' [('number'-5 1) ('number'-7.5 -1)]}_[21 49]_3 </v>
      </c>
      <c r="J357" t="s">
        <v>2540</v>
      </c>
      <c r="K357">
        <v>178</v>
      </c>
      <c r="L357" t="s">
        <v>5</v>
      </c>
      <c r="M357">
        <v>26</v>
      </c>
      <c r="N357" t="s">
        <v>6</v>
      </c>
      <c r="O357">
        <v>-29.399999999999899</v>
      </c>
      <c r="P357" t="s">
        <v>7</v>
      </c>
      <c r="Q357">
        <v>-0.165168539325842</v>
      </c>
      <c r="R357" t="s">
        <v>8</v>
      </c>
      <c r="S357">
        <v>1.81153846153846</v>
      </c>
      <c r="T357" t="s">
        <v>9</v>
      </c>
      <c r="U357">
        <v>-0.50328947368421095</v>
      </c>
      <c r="V357" t="s">
        <v>10</v>
      </c>
      <c r="W357">
        <v>0.28987021194878898</v>
      </c>
      <c r="X357" t="s">
        <v>11</v>
      </c>
      <c r="Y357" t="s">
        <v>2906</v>
      </c>
      <c r="Z357" t="s">
        <v>2631</v>
      </c>
      <c r="AA357">
        <v>0</v>
      </c>
      <c r="AB357" t="s">
        <v>14</v>
      </c>
      <c r="AC357" t="s">
        <v>15</v>
      </c>
      <c r="AD357" t="s">
        <v>3002</v>
      </c>
      <c r="AE357" t="s">
        <v>2631</v>
      </c>
      <c r="AF357">
        <v>0</v>
      </c>
      <c r="AG357" t="s">
        <v>18</v>
      </c>
    </row>
    <row r="358" spans="1:33" x14ac:dyDescent="0.3">
      <c r="A358" t="s">
        <v>2858</v>
      </c>
      <c r="B358" t="s">
        <v>587</v>
      </c>
      <c r="C358">
        <v>-7.5</v>
      </c>
      <c r="D358" t="s">
        <v>588</v>
      </c>
      <c r="E358" t="s">
        <v>589</v>
      </c>
      <c r="F358">
        <v>-10</v>
      </c>
      <c r="G358" t="s">
        <v>599</v>
      </c>
      <c r="H358" t="s">
        <v>2552</v>
      </c>
      <c r="I358" t="str">
        <f t="shared" si="5"/>
        <v xml:space="preserve">stoch_no_highvol_{'P' [('number'-7.5 1) ('number'-10 -1)]}_[21 49]_2 </v>
      </c>
      <c r="J358" t="s">
        <v>2540</v>
      </c>
      <c r="K358">
        <v>335</v>
      </c>
      <c r="L358" t="s">
        <v>5</v>
      </c>
      <c r="M358">
        <v>50</v>
      </c>
      <c r="N358" t="s">
        <v>6</v>
      </c>
      <c r="O358">
        <v>-29.489999999999899</v>
      </c>
      <c r="P358" t="s">
        <v>7</v>
      </c>
      <c r="Q358">
        <v>-8.8029850746268498E-2</v>
      </c>
      <c r="R358" t="s">
        <v>8</v>
      </c>
      <c r="S358">
        <v>1.2218</v>
      </c>
      <c r="T358" t="s">
        <v>9</v>
      </c>
      <c r="U358">
        <v>-0.31782456140350801</v>
      </c>
      <c r="V358" t="s">
        <v>10</v>
      </c>
      <c r="W358">
        <v>0.27129864827022399</v>
      </c>
      <c r="X358" t="s">
        <v>11</v>
      </c>
      <c r="Y358" t="s">
        <v>3052</v>
      </c>
      <c r="Z358" t="s">
        <v>284</v>
      </c>
      <c r="AA358">
        <v>0</v>
      </c>
      <c r="AB358" t="s">
        <v>14</v>
      </c>
      <c r="AC358" t="s">
        <v>15</v>
      </c>
      <c r="AD358" t="s">
        <v>3165</v>
      </c>
      <c r="AE358" t="s">
        <v>2863</v>
      </c>
      <c r="AF358">
        <v>0</v>
      </c>
      <c r="AG358" t="s">
        <v>18</v>
      </c>
    </row>
    <row r="359" spans="1:33" x14ac:dyDescent="0.3">
      <c r="A359" t="s">
        <v>2811</v>
      </c>
      <c r="B359" t="s">
        <v>587</v>
      </c>
      <c r="C359">
        <v>-5</v>
      </c>
      <c r="D359" t="s">
        <v>588</v>
      </c>
      <c r="E359" t="s">
        <v>589</v>
      </c>
      <c r="F359">
        <v>-7.5</v>
      </c>
      <c r="G359" t="s">
        <v>599</v>
      </c>
      <c r="H359" t="s">
        <v>2552</v>
      </c>
      <c r="I359" t="str">
        <f t="shared" si="5"/>
        <v xml:space="preserve">stoch_{'P' [('number'-5 1) ('number'-7.5 -1)]}_[21 49]_2 </v>
      </c>
      <c r="J359" t="s">
        <v>2540</v>
      </c>
      <c r="K359">
        <v>376</v>
      </c>
      <c r="L359" t="s">
        <v>5</v>
      </c>
      <c r="M359">
        <v>75</v>
      </c>
      <c r="N359" t="s">
        <v>6</v>
      </c>
      <c r="O359">
        <v>-30.39</v>
      </c>
      <c r="P359" t="s">
        <v>7</v>
      </c>
      <c r="Q359">
        <v>-8.0824468085106502E-2</v>
      </c>
      <c r="R359" t="s">
        <v>8</v>
      </c>
      <c r="S359">
        <v>1.53839999999999</v>
      </c>
      <c r="T359" t="s">
        <v>9</v>
      </c>
      <c r="U359">
        <v>-0.48428571428571399</v>
      </c>
      <c r="V359" t="s">
        <v>10</v>
      </c>
      <c r="W359">
        <v>0.44645509980798798</v>
      </c>
      <c r="X359" t="s">
        <v>11</v>
      </c>
      <c r="Y359" t="s">
        <v>2913</v>
      </c>
      <c r="Z359" t="s">
        <v>2914</v>
      </c>
      <c r="AA359">
        <v>0</v>
      </c>
      <c r="AB359" t="s">
        <v>14</v>
      </c>
      <c r="AC359" t="s">
        <v>15</v>
      </c>
      <c r="AD359" t="s">
        <v>2913</v>
      </c>
      <c r="AE359" t="s">
        <v>2914</v>
      </c>
      <c r="AF359">
        <v>0</v>
      </c>
      <c r="AG359" t="s">
        <v>18</v>
      </c>
    </row>
    <row r="360" spans="1:33" x14ac:dyDescent="0.3">
      <c r="A360" t="s">
        <v>2538</v>
      </c>
      <c r="B360" t="s">
        <v>587</v>
      </c>
      <c r="C360">
        <v>0</v>
      </c>
      <c r="D360" t="s">
        <v>588</v>
      </c>
      <c r="E360" t="s">
        <v>589</v>
      </c>
      <c r="F360">
        <v>-2.5</v>
      </c>
      <c r="G360" t="s">
        <v>599</v>
      </c>
      <c r="H360" t="s">
        <v>2916</v>
      </c>
      <c r="I360" t="str">
        <f t="shared" si="5"/>
        <v xml:space="preserve">alltime_{'P' [('number'0 1) ('number'-2.5 -1)]}_[21 49]_3 </v>
      </c>
      <c r="J360" t="s">
        <v>2540</v>
      </c>
      <c r="K360">
        <v>3050</v>
      </c>
      <c r="L360" t="s">
        <v>5</v>
      </c>
      <c r="M360">
        <v>928</v>
      </c>
      <c r="N360" t="s">
        <v>6</v>
      </c>
      <c r="O360">
        <v>-30.608042551478199</v>
      </c>
      <c r="P360" t="s">
        <v>7</v>
      </c>
      <c r="Q360">
        <v>-1.00354237873699E-2</v>
      </c>
      <c r="R360" t="s">
        <v>8</v>
      </c>
      <c r="S360">
        <v>1.53127519241407</v>
      </c>
      <c r="T360" t="s">
        <v>9</v>
      </c>
      <c r="U360">
        <v>-0.68408643784718803</v>
      </c>
      <c r="V360" t="s">
        <v>10</v>
      </c>
      <c r="W360">
        <v>2.68439905029068</v>
      </c>
      <c r="X360" t="s">
        <v>11</v>
      </c>
      <c r="Y360" t="s">
        <v>2913</v>
      </c>
      <c r="Z360" t="s">
        <v>2914</v>
      </c>
      <c r="AA360">
        <v>0</v>
      </c>
      <c r="AB360" t="s">
        <v>14</v>
      </c>
      <c r="AC360" t="s">
        <v>15</v>
      </c>
      <c r="AD360" t="s">
        <v>2917</v>
      </c>
      <c r="AE360" t="s">
        <v>2695</v>
      </c>
      <c r="AF360">
        <v>0</v>
      </c>
      <c r="AG360" t="s">
        <v>18</v>
      </c>
    </row>
    <row r="361" spans="1:33" x14ac:dyDescent="0.3">
      <c r="A361" t="s">
        <v>2623</v>
      </c>
      <c r="B361" t="s">
        <v>587</v>
      </c>
      <c r="C361">
        <v>-5</v>
      </c>
      <c r="D361" t="s">
        <v>588</v>
      </c>
      <c r="E361" t="s">
        <v>589</v>
      </c>
      <c r="F361">
        <v>-7.5</v>
      </c>
      <c r="G361" t="s">
        <v>590</v>
      </c>
      <c r="H361" t="s">
        <v>2543</v>
      </c>
      <c r="I361" t="str">
        <f t="shared" si="5"/>
        <v xml:space="preserve">bbands_{'P' [('number'-5 1) ('number'-7.5 -1)]}_[7 35]_2 </v>
      </c>
      <c r="J361" t="s">
        <v>2540</v>
      </c>
      <c r="K361">
        <v>169</v>
      </c>
      <c r="L361" t="s">
        <v>5</v>
      </c>
      <c r="M361">
        <v>25</v>
      </c>
      <c r="N361" t="s">
        <v>6</v>
      </c>
      <c r="O361">
        <v>-33.6799999999999</v>
      </c>
      <c r="P361" t="s">
        <v>7</v>
      </c>
      <c r="Q361">
        <v>-0.19928994082840201</v>
      </c>
      <c r="R361" t="s">
        <v>8</v>
      </c>
      <c r="S361">
        <v>1.2212000000000001</v>
      </c>
      <c r="T361" t="s">
        <v>9</v>
      </c>
      <c r="U361">
        <v>-0.44590277777777798</v>
      </c>
      <c r="V361" t="s">
        <v>10</v>
      </c>
      <c r="W361">
        <v>0.258776277903493</v>
      </c>
      <c r="X361" t="s">
        <v>11</v>
      </c>
      <c r="Y361" t="s">
        <v>2906</v>
      </c>
      <c r="Z361" t="s">
        <v>2947</v>
      </c>
    </row>
    <row r="362" spans="1:33" x14ac:dyDescent="0.3">
      <c r="A362" t="s">
        <v>2811</v>
      </c>
      <c r="B362" t="s">
        <v>587</v>
      </c>
      <c r="C362">
        <v>-5</v>
      </c>
      <c r="D362" t="s">
        <v>588</v>
      </c>
      <c r="E362" t="s">
        <v>589</v>
      </c>
      <c r="F362">
        <v>-7.5</v>
      </c>
      <c r="G362" t="s">
        <v>599</v>
      </c>
      <c r="H362" t="s">
        <v>2916</v>
      </c>
      <c r="I362" t="str">
        <f t="shared" si="5"/>
        <v xml:space="preserve">stoch_{'P' [('number'-5 1) ('number'-7.5 -1)]}_[21 49]_3 </v>
      </c>
      <c r="J362" t="s">
        <v>2540</v>
      </c>
      <c r="K362">
        <v>376</v>
      </c>
      <c r="L362" t="s">
        <v>5</v>
      </c>
      <c r="M362">
        <v>63</v>
      </c>
      <c r="N362" t="s">
        <v>6</v>
      </c>
      <c r="O362">
        <v>-35.76</v>
      </c>
      <c r="P362" t="s">
        <v>7</v>
      </c>
      <c r="Q362">
        <v>-9.5106382978723494E-2</v>
      </c>
      <c r="R362" t="s">
        <v>8</v>
      </c>
      <c r="S362">
        <v>1.86904761904761</v>
      </c>
      <c r="T362" t="s">
        <v>9</v>
      </c>
      <c r="U362">
        <v>-0.49044728434504797</v>
      </c>
      <c r="V362" t="s">
        <v>10</v>
      </c>
      <c r="W362">
        <v>0.47431605561402601</v>
      </c>
      <c r="X362" t="s">
        <v>11</v>
      </c>
      <c r="Y362" t="s">
        <v>2913</v>
      </c>
      <c r="Z362" t="s">
        <v>2914</v>
      </c>
      <c r="AA362">
        <v>0</v>
      </c>
      <c r="AB362" t="s">
        <v>14</v>
      </c>
      <c r="AC362" t="s">
        <v>15</v>
      </c>
      <c r="AD362" t="s">
        <v>2913</v>
      </c>
      <c r="AE362" t="s">
        <v>2914</v>
      </c>
      <c r="AF362">
        <v>0</v>
      </c>
      <c r="AG362" t="s">
        <v>18</v>
      </c>
    </row>
    <row r="363" spans="1:33" x14ac:dyDescent="0.3">
      <c r="A363" t="s">
        <v>2728</v>
      </c>
      <c r="B363" t="s">
        <v>587</v>
      </c>
      <c r="C363">
        <v>0</v>
      </c>
      <c r="D363" t="s">
        <v>588</v>
      </c>
      <c r="E363" t="s">
        <v>589</v>
      </c>
      <c r="F363">
        <v>-2.5</v>
      </c>
      <c r="G363" t="s">
        <v>1998</v>
      </c>
      <c r="H363" t="s">
        <v>2926</v>
      </c>
      <c r="I363" t="str">
        <f t="shared" si="5"/>
        <v xml:space="preserve">psar_{'P' [('number'0 1) ('number'-2.5 -1)]}_[42 70]_3 </v>
      </c>
      <c r="J363" t="s">
        <v>2540</v>
      </c>
      <c r="K363">
        <v>139</v>
      </c>
      <c r="L363" t="s">
        <v>5</v>
      </c>
      <c r="M363">
        <v>32</v>
      </c>
      <c r="N363" t="s">
        <v>6</v>
      </c>
      <c r="O363">
        <v>-36.112344024205598</v>
      </c>
      <c r="P363" t="s">
        <v>7</v>
      </c>
      <c r="Q363">
        <v>-0.25980103614536398</v>
      </c>
      <c r="R363" t="s">
        <v>8</v>
      </c>
      <c r="S363">
        <v>1.4827696067863501</v>
      </c>
      <c r="T363" t="s">
        <v>9</v>
      </c>
      <c r="U363">
        <v>-0.78094365833055102</v>
      </c>
      <c r="V363" t="s">
        <v>10</v>
      </c>
      <c r="W363">
        <v>0.29857821148490299</v>
      </c>
      <c r="X363" t="s">
        <v>11</v>
      </c>
      <c r="Y363" t="s">
        <v>2954</v>
      </c>
      <c r="Z363" t="s">
        <v>2922</v>
      </c>
      <c r="AA363">
        <v>0</v>
      </c>
      <c r="AB363" t="s">
        <v>14</v>
      </c>
      <c r="AC363" t="s">
        <v>15</v>
      </c>
      <c r="AD363" t="s">
        <v>2954</v>
      </c>
      <c r="AE363" t="s">
        <v>2922</v>
      </c>
      <c r="AF363">
        <v>0</v>
      </c>
      <c r="AG363" t="s">
        <v>18</v>
      </c>
    </row>
    <row r="364" spans="1:33" x14ac:dyDescent="0.3">
      <c r="A364" t="s">
        <v>2623</v>
      </c>
      <c r="B364" t="s">
        <v>587</v>
      </c>
      <c r="C364">
        <v>-5</v>
      </c>
      <c r="D364" t="s">
        <v>588</v>
      </c>
      <c r="E364" t="s">
        <v>589</v>
      </c>
      <c r="F364">
        <v>-7.5</v>
      </c>
      <c r="G364" t="s">
        <v>590</v>
      </c>
      <c r="H364" t="s">
        <v>2909</v>
      </c>
      <c r="I364" t="str">
        <f t="shared" si="5"/>
        <v xml:space="preserve">bbands_{'P' [('number'-5 1) ('number'-7.5 -1)]}_[7 35]_3 </v>
      </c>
      <c r="J364" t="s">
        <v>2540</v>
      </c>
      <c r="K364">
        <v>169</v>
      </c>
      <c r="L364" t="s">
        <v>5</v>
      </c>
      <c r="M364">
        <v>20</v>
      </c>
      <c r="N364" t="s">
        <v>6</v>
      </c>
      <c r="O364">
        <v>-36.699999999999903</v>
      </c>
      <c r="P364" t="s">
        <v>7</v>
      </c>
      <c r="Q364">
        <v>-0.21715976331360901</v>
      </c>
      <c r="R364" t="s">
        <v>8</v>
      </c>
      <c r="S364">
        <v>1.466</v>
      </c>
      <c r="T364" t="s">
        <v>9</v>
      </c>
      <c r="U364">
        <v>-0.44308724832214802</v>
      </c>
      <c r="V364" t="s">
        <v>10</v>
      </c>
      <c r="W364">
        <v>0.264639773797536</v>
      </c>
      <c r="X364" t="s">
        <v>11</v>
      </c>
      <c r="Y364" t="s">
        <v>2906</v>
      </c>
      <c r="Z364" t="s">
        <v>2947</v>
      </c>
    </row>
    <row r="365" spans="1:33" x14ac:dyDescent="0.3">
      <c r="A365" t="s">
        <v>2683</v>
      </c>
      <c r="B365" t="s">
        <v>587</v>
      </c>
      <c r="C365">
        <v>0</v>
      </c>
      <c r="D365" t="s">
        <v>588</v>
      </c>
      <c r="E365" t="s">
        <v>589</v>
      </c>
      <c r="F365">
        <v>-2.5</v>
      </c>
      <c r="G365" t="s">
        <v>1998</v>
      </c>
      <c r="H365" t="s">
        <v>2926</v>
      </c>
      <c r="I365" t="str">
        <f t="shared" si="5"/>
        <v xml:space="preserve">bbands_no_highvol_{'P' [('number'0 1) ('number'-2.5 -1)]}_[42 70]_3 </v>
      </c>
      <c r="J365" t="s">
        <v>2540</v>
      </c>
      <c r="K365">
        <v>157</v>
      </c>
      <c r="L365" t="s">
        <v>5</v>
      </c>
      <c r="M365">
        <v>41</v>
      </c>
      <c r="N365" t="s">
        <v>6</v>
      </c>
      <c r="O365">
        <v>-40.274494983095302</v>
      </c>
      <c r="P365" t="s">
        <v>7</v>
      </c>
      <c r="Q365">
        <v>-0.25652544575219899</v>
      </c>
      <c r="R365" t="s">
        <v>8</v>
      </c>
      <c r="S365">
        <v>1.4817572587247001</v>
      </c>
      <c r="T365" t="s">
        <v>9</v>
      </c>
      <c r="U365">
        <v>-0.87091847061041605</v>
      </c>
      <c r="V365" t="s">
        <v>10</v>
      </c>
      <c r="W365">
        <v>0.34719603723544701</v>
      </c>
      <c r="X365" t="s">
        <v>11</v>
      </c>
      <c r="Y365" t="s">
        <v>2983</v>
      </c>
      <c r="Z365" t="s">
        <v>2924</v>
      </c>
      <c r="AA365">
        <v>0</v>
      </c>
      <c r="AB365" t="s">
        <v>14</v>
      </c>
      <c r="AC365" t="s">
        <v>15</v>
      </c>
      <c r="AD365" t="s">
        <v>2096</v>
      </c>
      <c r="AE365" t="s">
        <v>2924</v>
      </c>
      <c r="AF365">
        <v>0</v>
      </c>
      <c r="AG365" t="s">
        <v>18</v>
      </c>
    </row>
    <row r="366" spans="1:33" x14ac:dyDescent="0.3">
      <c r="A366" t="s">
        <v>2811</v>
      </c>
      <c r="B366" t="s">
        <v>587</v>
      </c>
      <c r="C366">
        <v>-2.5</v>
      </c>
      <c r="D366" t="s">
        <v>588</v>
      </c>
      <c r="E366" t="s">
        <v>589</v>
      </c>
      <c r="F366">
        <v>-5</v>
      </c>
      <c r="G366" t="s">
        <v>1998</v>
      </c>
      <c r="H366" t="s">
        <v>2562</v>
      </c>
      <c r="I366" t="str">
        <f t="shared" si="5"/>
        <v xml:space="preserve">stoch_{'P' [('number'-2.5 1) ('number'-5 -1)]}_[42 70]_2 </v>
      </c>
      <c r="J366" t="s">
        <v>2540</v>
      </c>
      <c r="K366">
        <v>370</v>
      </c>
      <c r="L366" t="s">
        <v>5</v>
      </c>
      <c r="M366">
        <v>87</v>
      </c>
      <c r="N366" t="s">
        <v>6</v>
      </c>
      <c r="O366">
        <v>-41.331563901193597</v>
      </c>
      <c r="P366" t="s">
        <v>7</v>
      </c>
      <c r="Q366">
        <v>-0.111706929462685</v>
      </c>
      <c r="R366" t="s">
        <v>8</v>
      </c>
      <c r="S366">
        <v>1.70590247548014</v>
      </c>
      <c r="T366" t="s">
        <v>9</v>
      </c>
      <c r="U366">
        <v>-0.67047731190093895</v>
      </c>
      <c r="V366" t="s">
        <v>10</v>
      </c>
      <c r="W366">
        <v>0.49138891835102</v>
      </c>
      <c r="X366" t="s">
        <v>11</v>
      </c>
      <c r="Y366" t="s">
        <v>2996</v>
      </c>
      <c r="Z366" t="s">
        <v>77</v>
      </c>
      <c r="AA366">
        <v>0</v>
      </c>
      <c r="AB366" t="s">
        <v>14</v>
      </c>
      <c r="AC366" t="s">
        <v>15</v>
      </c>
      <c r="AD366" t="s">
        <v>2997</v>
      </c>
      <c r="AE366" t="s">
        <v>77</v>
      </c>
      <c r="AF366">
        <v>0</v>
      </c>
      <c r="AG366" t="s">
        <v>18</v>
      </c>
    </row>
    <row r="367" spans="1:33" x14ac:dyDescent="0.3">
      <c r="A367" t="s">
        <v>2623</v>
      </c>
      <c r="B367" t="s">
        <v>587</v>
      </c>
      <c r="C367">
        <v>0</v>
      </c>
      <c r="D367" t="s">
        <v>588</v>
      </c>
      <c r="E367" t="s">
        <v>589</v>
      </c>
      <c r="F367">
        <v>-2.5</v>
      </c>
      <c r="G367" t="s">
        <v>1998</v>
      </c>
      <c r="H367" t="s">
        <v>2926</v>
      </c>
      <c r="I367" t="str">
        <f t="shared" si="5"/>
        <v xml:space="preserve">bbands_{'P' [('number'0 1) ('number'-2.5 -1)]}_[42 70]_3 </v>
      </c>
      <c r="J367" t="s">
        <v>2540</v>
      </c>
      <c r="K367">
        <v>167</v>
      </c>
      <c r="L367" t="s">
        <v>5</v>
      </c>
      <c r="M367">
        <v>45</v>
      </c>
      <c r="N367" t="s">
        <v>6</v>
      </c>
      <c r="O367">
        <v>-45.108023647231398</v>
      </c>
      <c r="P367" t="s">
        <v>7</v>
      </c>
      <c r="Q367">
        <v>-0.270107926031325</v>
      </c>
      <c r="R367" t="s">
        <v>8</v>
      </c>
      <c r="S367">
        <v>1.51226772461584</v>
      </c>
      <c r="T367" t="s">
        <v>9</v>
      </c>
      <c r="U367">
        <v>-0.92754156766347795</v>
      </c>
      <c r="V367" t="s">
        <v>10</v>
      </c>
      <c r="W367">
        <v>0.37945808754671001</v>
      </c>
      <c r="X367" t="s">
        <v>11</v>
      </c>
      <c r="Y367" t="s">
        <v>2919</v>
      </c>
      <c r="Z367" t="s">
        <v>2920</v>
      </c>
      <c r="AA367">
        <v>0</v>
      </c>
      <c r="AB367" t="s">
        <v>14</v>
      </c>
      <c r="AC367" t="s">
        <v>15</v>
      </c>
      <c r="AD367" t="s">
        <v>2096</v>
      </c>
      <c r="AE367" t="s">
        <v>2924</v>
      </c>
      <c r="AF367">
        <v>0</v>
      </c>
      <c r="AG367" t="s">
        <v>18</v>
      </c>
    </row>
    <row r="368" spans="1:33" x14ac:dyDescent="0.3">
      <c r="A368" t="s">
        <v>2811</v>
      </c>
      <c r="B368" t="s">
        <v>587</v>
      </c>
      <c r="C368">
        <v>0</v>
      </c>
      <c r="D368" t="s">
        <v>588</v>
      </c>
      <c r="E368" t="s">
        <v>589</v>
      </c>
      <c r="F368">
        <v>-2.5</v>
      </c>
      <c r="G368" t="s">
        <v>1998</v>
      </c>
      <c r="H368" t="s">
        <v>2562</v>
      </c>
      <c r="I368" t="str">
        <f t="shared" si="5"/>
        <v xml:space="preserve">stoch_{'P' [('number'0 1) ('number'-2.5 -1)]}_[42 70]_2 </v>
      </c>
      <c r="J368" t="s">
        <v>2540</v>
      </c>
      <c r="K368">
        <v>370</v>
      </c>
      <c r="L368" t="s">
        <v>5</v>
      </c>
      <c r="M368">
        <v>96</v>
      </c>
      <c r="N368" t="s">
        <v>6</v>
      </c>
      <c r="O368">
        <v>-45.218932879074401</v>
      </c>
      <c r="P368" t="s">
        <v>7</v>
      </c>
      <c r="Q368">
        <v>-0.122213332105606</v>
      </c>
      <c r="R368" t="s">
        <v>8</v>
      </c>
      <c r="S368">
        <v>1.7886775309107299</v>
      </c>
      <c r="T368" t="s">
        <v>9</v>
      </c>
      <c r="U368">
        <v>-0.79172253958578498</v>
      </c>
      <c r="V368" t="s">
        <v>10</v>
      </c>
      <c r="W368">
        <v>0.59742995485499295</v>
      </c>
      <c r="X368" t="s">
        <v>11</v>
      </c>
      <c r="Y368" t="s">
        <v>2911</v>
      </c>
      <c r="Z368" t="s">
        <v>53</v>
      </c>
      <c r="AA368">
        <v>0</v>
      </c>
      <c r="AB368" t="s">
        <v>14</v>
      </c>
      <c r="AC368" t="s">
        <v>15</v>
      </c>
      <c r="AD368" t="s">
        <v>2984</v>
      </c>
      <c r="AE368" t="s">
        <v>2924</v>
      </c>
      <c r="AF368">
        <v>0</v>
      </c>
      <c r="AG368" t="s">
        <v>18</v>
      </c>
    </row>
    <row r="369" spans="1:33" x14ac:dyDescent="0.3">
      <c r="A369" t="s">
        <v>2858</v>
      </c>
      <c r="B369" t="s">
        <v>587</v>
      </c>
      <c r="C369">
        <v>0</v>
      </c>
      <c r="D369" t="s">
        <v>588</v>
      </c>
      <c r="E369" t="s">
        <v>589</v>
      </c>
      <c r="F369">
        <v>-2.5</v>
      </c>
      <c r="G369" t="s">
        <v>1998</v>
      </c>
      <c r="H369" t="s">
        <v>2562</v>
      </c>
      <c r="I369" t="str">
        <f t="shared" si="5"/>
        <v xml:space="preserve">stoch_no_highvol_{'P' [('number'0 1) ('number'-2.5 -1)]}_[42 70]_2 </v>
      </c>
      <c r="J369" t="s">
        <v>2540</v>
      </c>
      <c r="K369">
        <v>331</v>
      </c>
      <c r="L369" t="s">
        <v>5</v>
      </c>
      <c r="M369">
        <v>83</v>
      </c>
      <c r="N369" t="s">
        <v>6</v>
      </c>
      <c r="O369">
        <v>-50.990551779527003</v>
      </c>
      <c r="P369" t="s">
        <v>7</v>
      </c>
      <c r="Q369">
        <v>-0.15405000537621399</v>
      </c>
      <c r="R369" t="s">
        <v>8</v>
      </c>
      <c r="S369">
        <v>1.63013736484578</v>
      </c>
      <c r="T369" t="s">
        <v>9</v>
      </c>
      <c r="U369">
        <v>-0.75117723008760895</v>
      </c>
      <c r="V369" t="s">
        <v>10</v>
      </c>
      <c r="W369">
        <v>0.50586096213395704</v>
      </c>
      <c r="X369" t="s">
        <v>11</v>
      </c>
      <c r="Y369" t="s">
        <v>2983</v>
      </c>
      <c r="Z369" t="s">
        <v>2924</v>
      </c>
      <c r="AA369">
        <v>0</v>
      </c>
      <c r="AB369" t="s">
        <v>14</v>
      </c>
      <c r="AC369" t="s">
        <v>15</v>
      </c>
      <c r="AD369" t="s">
        <v>2984</v>
      </c>
      <c r="AE369" t="s">
        <v>2924</v>
      </c>
      <c r="AF369">
        <v>0</v>
      </c>
      <c r="AG369" t="s">
        <v>18</v>
      </c>
    </row>
    <row r="370" spans="1:33" x14ac:dyDescent="0.3">
      <c r="A370" t="s">
        <v>2538</v>
      </c>
      <c r="B370" t="s">
        <v>587</v>
      </c>
      <c r="C370">
        <v>-7.5</v>
      </c>
      <c r="D370" t="s">
        <v>588</v>
      </c>
      <c r="E370" t="s">
        <v>589</v>
      </c>
      <c r="F370">
        <v>-10</v>
      </c>
      <c r="G370" t="s">
        <v>590</v>
      </c>
      <c r="H370" t="s">
        <v>2539</v>
      </c>
      <c r="I370" t="str">
        <f t="shared" si="5"/>
        <v xml:space="preserve">alltime_{'P' [('number'-7.5 1) ('number'-10 -1)]}_[7 35]_1 </v>
      </c>
      <c r="J370" t="s">
        <v>2540</v>
      </c>
      <c r="K370">
        <v>3073</v>
      </c>
      <c r="L370" t="s">
        <v>5</v>
      </c>
      <c r="M370">
        <v>861</v>
      </c>
      <c r="N370" t="s">
        <v>6</v>
      </c>
      <c r="O370">
        <v>-52.043282286694797</v>
      </c>
      <c r="P370" t="s">
        <v>7</v>
      </c>
      <c r="Q370">
        <v>-1.69356597093051E-2</v>
      </c>
      <c r="R370" t="s">
        <v>8</v>
      </c>
      <c r="S370">
        <v>0.61657454412044599</v>
      </c>
      <c r="T370" t="s">
        <v>9</v>
      </c>
      <c r="U370">
        <v>-0.26352349221265697</v>
      </c>
      <c r="V370" t="s">
        <v>10</v>
      </c>
      <c r="W370">
        <v>1.01187389180351</v>
      </c>
      <c r="X370" t="s">
        <v>11</v>
      </c>
      <c r="Y370" t="s">
        <v>2962</v>
      </c>
      <c r="Z370" t="s">
        <v>2963</v>
      </c>
      <c r="AA370">
        <v>0</v>
      </c>
      <c r="AB370" t="s">
        <v>14</v>
      </c>
      <c r="AC370" t="s">
        <v>15</v>
      </c>
      <c r="AD370" t="s">
        <v>2965</v>
      </c>
      <c r="AE370" t="s">
        <v>2863</v>
      </c>
      <c r="AF370">
        <v>0</v>
      </c>
      <c r="AG370" t="s">
        <v>18</v>
      </c>
    </row>
    <row r="371" spans="1:33" x14ac:dyDescent="0.3">
      <c r="A371" t="s">
        <v>2811</v>
      </c>
      <c r="B371" t="s">
        <v>587</v>
      </c>
      <c r="C371">
        <v>-2.5</v>
      </c>
      <c r="D371" t="s">
        <v>588</v>
      </c>
      <c r="E371" t="s">
        <v>589</v>
      </c>
      <c r="F371">
        <v>-5</v>
      </c>
      <c r="G371" t="s">
        <v>1998</v>
      </c>
      <c r="H371" t="s">
        <v>2926</v>
      </c>
      <c r="I371" t="str">
        <f t="shared" si="5"/>
        <v xml:space="preserve">stoch_{'P' [('number'-2.5 1) ('number'-5 -1)]}_[42 70]_3 </v>
      </c>
      <c r="J371" t="s">
        <v>2540</v>
      </c>
      <c r="K371">
        <v>370</v>
      </c>
      <c r="L371" t="s">
        <v>5</v>
      </c>
      <c r="M371">
        <v>81</v>
      </c>
      <c r="N371" t="s">
        <v>6</v>
      </c>
      <c r="O371">
        <v>-53.149437018840501</v>
      </c>
      <c r="P371" t="s">
        <v>7</v>
      </c>
      <c r="Q371">
        <v>-0.143647127077947</v>
      </c>
      <c r="R371" t="s">
        <v>8</v>
      </c>
      <c r="S371">
        <v>1.78066068354039</v>
      </c>
      <c r="T371" t="s">
        <v>9</v>
      </c>
      <c r="U371">
        <v>-0.68298599441388397</v>
      </c>
      <c r="V371" t="s">
        <v>10</v>
      </c>
      <c r="W371">
        <v>0.54646189822704605</v>
      </c>
      <c r="X371" t="s">
        <v>11</v>
      </c>
      <c r="Y371" t="s">
        <v>2996</v>
      </c>
      <c r="Z371" t="s">
        <v>77</v>
      </c>
      <c r="AA371">
        <v>0</v>
      </c>
      <c r="AB371" t="s">
        <v>14</v>
      </c>
      <c r="AC371" t="s">
        <v>15</v>
      </c>
      <c r="AD371" t="s">
        <v>2997</v>
      </c>
      <c r="AE371" t="s">
        <v>77</v>
      </c>
      <c r="AF371">
        <v>0</v>
      </c>
      <c r="AG371" t="s">
        <v>18</v>
      </c>
    </row>
    <row r="372" spans="1:33" x14ac:dyDescent="0.3">
      <c r="A372" t="s">
        <v>2538</v>
      </c>
      <c r="B372" t="s">
        <v>587</v>
      </c>
      <c r="C372">
        <v>-5</v>
      </c>
      <c r="D372" t="s">
        <v>588</v>
      </c>
      <c r="E372" t="s">
        <v>589</v>
      </c>
      <c r="F372">
        <v>-7.5</v>
      </c>
      <c r="G372" t="s">
        <v>599</v>
      </c>
      <c r="H372" t="s">
        <v>2916</v>
      </c>
      <c r="I372" t="str">
        <f t="shared" si="5"/>
        <v xml:space="preserve">alltime_{'P' [('number'-5 1) ('number'-7.5 -1)]}_[21 49]_3 </v>
      </c>
      <c r="J372" t="s">
        <v>2540</v>
      </c>
      <c r="K372">
        <v>3050</v>
      </c>
      <c r="L372" t="s">
        <v>5</v>
      </c>
      <c r="M372">
        <v>574</v>
      </c>
      <c r="N372" t="s">
        <v>6</v>
      </c>
      <c r="O372">
        <v>-56.256641474112001</v>
      </c>
      <c r="P372" t="s">
        <v>7</v>
      </c>
      <c r="Q372">
        <v>-1.8444800483315399E-2</v>
      </c>
      <c r="R372" t="s">
        <v>8</v>
      </c>
      <c r="S372">
        <v>1.8547909407665499</v>
      </c>
      <c r="T372" t="s">
        <v>9</v>
      </c>
      <c r="U372">
        <v>-0.45270865972298602</v>
      </c>
      <c r="V372" t="s">
        <v>10</v>
      </c>
      <c r="W372">
        <v>2.34865561146766</v>
      </c>
      <c r="X372" t="s">
        <v>11</v>
      </c>
      <c r="Y372" t="s">
        <v>2913</v>
      </c>
      <c r="Z372" t="s">
        <v>2914</v>
      </c>
      <c r="AA372">
        <v>0</v>
      </c>
      <c r="AB372" t="s">
        <v>14</v>
      </c>
      <c r="AC372" t="s">
        <v>15</v>
      </c>
      <c r="AD372" t="s">
        <v>2953</v>
      </c>
      <c r="AE372" t="s">
        <v>2631</v>
      </c>
      <c r="AF372">
        <v>0</v>
      </c>
      <c r="AG372" t="s">
        <v>18</v>
      </c>
    </row>
    <row r="373" spans="1:33" x14ac:dyDescent="0.3">
      <c r="A373" t="s">
        <v>2538</v>
      </c>
      <c r="B373" t="s">
        <v>587</v>
      </c>
      <c r="C373">
        <v>-2.5</v>
      </c>
      <c r="D373" t="s">
        <v>588</v>
      </c>
      <c r="E373" t="s">
        <v>589</v>
      </c>
      <c r="F373">
        <v>-5</v>
      </c>
      <c r="G373" t="s">
        <v>1998</v>
      </c>
      <c r="H373" t="s">
        <v>2562</v>
      </c>
      <c r="I373" t="str">
        <f t="shared" si="5"/>
        <v xml:space="preserve">alltime_{'P' [('number'-2.5 1) ('number'-5 -1)]}_[42 70]_2 </v>
      </c>
      <c r="J373" t="s">
        <v>2540</v>
      </c>
      <c r="K373">
        <v>3062</v>
      </c>
      <c r="L373" t="s">
        <v>5</v>
      </c>
      <c r="M373">
        <v>793</v>
      </c>
      <c r="N373" t="s">
        <v>6</v>
      </c>
      <c r="O373">
        <v>-59.409743834800203</v>
      </c>
      <c r="P373" t="s">
        <v>7</v>
      </c>
      <c r="Q373">
        <v>-1.9402267744872699E-2</v>
      </c>
      <c r="R373" t="s">
        <v>8</v>
      </c>
      <c r="S373">
        <v>1.73579906637832</v>
      </c>
      <c r="T373" t="s">
        <v>9</v>
      </c>
      <c r="U373">
        <v>-0.63283314388400602</v>
      </c>
      <c r="V373" t="s">
        <v>10</v>
      </c>
      <c r="W373">
        <v>1.97432774080104</v>
      </c>
      <c r="X373" t="s">
        <v>11</v>
      </c>
      <c r="Y373" t="s">
        <v>2942</v>
      </c>
      <c r="Z373" t="s">
        <v>91</v>
      </c>
      <c r="AA373">
        <v>0</v>
      </c>
      <c r="AB373" t="s">
        <v>14</v>
      </c>
      <c r="AC373" t="s">
        <v>15</v>
      </c>
      <c r="AD373" t="s">
        <v>2944</v>
      </c>
      <c r="AE373" t="s">
        <v>2928</v>
      </c>
      <c r="AF373">
        <v>0</v>
      </c>
      <c r="AG373" t="s">
        <v>18</v>
      </c>
    </row>
    <row r="374" spans="1:33" x14ac:dyDescent="0.3">
      <c r="A374" t="s">
        <v>2858</v>
      </c>
      <c r="B374" t="s">
        <v>587</v>
      </c>
      <c r="C374">
        <v>0</v>
      </c>
      <c r="D374" t="s">
        <v>588</v>
      </c>
      <c r="E374" t="s">
        <v>589</v>
      </c>
      <c r="F374">
        <v>-2.5</v>
      </c>
      <c r="G374" t="s">
        <v>1998</v>
      </c>
      <c r="H374" t="s">
        <v>2926</v>
      </c>
      <c r="I374" t="str">
        <f t="shared" si="5"/>
        <v xml:space="preserve">stoch_no_highvol_{'P' [('number'0 1) ('number'-2.5 -1)]}_[42 70]_3 </v>
      </c>
      <c r="J374" t="s">
        <v>2540</v>
      </c>
      <c r="K374">
        <v>331</v>
      </c>
      <c r="L374" t="s">
        <v>5</v>
      </c>
      <c r="M374">
        <v>79</v>
      </c>
      <c r="N374" t="s">
        <v>6</v>
      </c>
      <c r="O374">
        <v>-60.351914090319198</v>
      </c>
      <c r="P374" t="s">
        <v>7</v>
      </c>
      <c r="Q374">
        <v>-0.18233206673812399</v>
      </c>
      <c r="R374" t="s">
        <v>8</v>
      </c>
      <c r="S374">
        <v>1.64110368676052</v>
      </c>
      <c r="T374" t="s">
        <v>9</v>
      </c>
      <c r="U374">
        <v>-0.75396470374762303</v>
      </c>
      <c r="V374" t="s">
        <v>10</v>
      </c>
      <c r="W374">
        <v>0.531396546828661</v>
      </c>
      <c r="X374" t="s">
        <v>11</v>
      </c>
      <c r="Y374" t="s">
        <v>2983</v>
      </c>
      <c r="Z374" t="s">
        <v>2924</v>
      </c>
      <c r="AA374">
        <v>0</v>
      </c>
      <c r="AB374" t="s">
        <v>14</v>
      </c>
      <c r="AC374" t="s">
        <v>15</v>
      </c>
      <c r="AD374" t="s">
        <v>2984</v>
      </c>
      <c r="AE374" t="s">
        <v>2924</v>
      </c>
      <c r="AF374">
        <v>0</v>
      </c>
      <c r="AG374" t="s">
        <v>18</v>
      </c>
    </row>
    <row r="375" spans="1:33" x14ac:dyDescent="0.3">
      <c r="A375" t="s">
        <v>2811</v>
      </c>
      <c r="B375" t="s">
        <v>587</v>
      </c>
      <c r="C375">
        <v>0</v>
      </c>
      <c r="D375" t="s">
        <v>588</v>
      </c>
      <c r="E375" t="s">
        <v>589</v>
      </c>
      <c r="F375">
        <v>-2.5</v>
      </c>
      <c r="G375" t="s">
        <v>1998</v>
      </c>
      <c r="H375" t="s">
        <v>2926</v>
      </c>
      <c r="I375" t="str">
        <f t="shared" si="5"/>
        <v xml:space="preserve">stoch_{'P' [('number'0 1) ('number'-2.5 -1)]}_[42 70]_3 </v>
      </c>
      <c r="J375" t="s">
        <v>2540</v>
      </c>
      <c r="K375">
        <v>370</v>
      </c>
      <c r="L375" t="s">
        <v>5</v>
      </c>
      <c r="M375">
        <v>88</v>
      </c>
      <c r="N375" t="s">
        <v>6</v>
      </c>
      <c r="O375">
        <v>-74.367461206526499</v>
      </c>
      <c r="P375" t="s">
        <v>7</v>
      </c>
      <c r="Q375">
        <v>-0.20099313839601701</v>
      </c>
      <c r="R375" t="s">
        <v>8</v>
      </c>
      <c r="S375">
        <v>1.73167666676122</v>
      </c>
      <c r="T375" t="s">
        <v>9</v>
      </c>
      <c r="U375">
        <v>-0.80409577262948495</v>
      </c>
      <c r="V375" t="s">
        <v>10</v>
      </c>
      <c r="W375">
        <v>0.63016084827492802</v>
      </c>
      <c r="X375" t="s">
        <v>11</v>
      </c>
      <c r="Y375" t="s">
        <v>2919</v>
      </c>
      <c r="Z375" t="s">
        <v>2920</v>
      </c>
      <c r="AA375">
        <v>0</v>
      </c>
      <c r="AB375" t="s">
        <v>14</v>
      </c>
      <c r="AC375" t="s">
        <v>15</v>
      </c>
      <c r="AD375" t="s">
        <v>2984</v>
      </c>
      <c r="AE375" t="s">
        <v>2924</v>
      </c>
      <c r="AF375">
        <v>0</v>
      </c>
      <c r="AG375" t="s">
        <v>18</v>
      </c>
    </row>
    <row r="376" spans="1:33" x14ac:dyDescent="0.3">
      <c r="A376" t="s">
        <v>2538</v>
      </c>
      <c r="B376" t="s">
        <v>587</v>
      </c>
      <c r="C376">
        <v>-5</v>
      </c>
      <c r="D376" t="s">
        <v>588</v>
      </c>
      <c r="E376" t="s">
        <v>589</v>
      </c>
      <c r="F376">
        <v>-7.5</v>
      </c>
      <c r="G376" t="s">
        <v>1998</v>
      </c>
      <c r="H376" t="s">
        <v>2562</v>
      </c>
      <c r="I376" t="str">
        <f t="shared" si="5"/>
        <v xml:space="preserve">alltime_{'P' [('number'-5 1) ('number'-7.5 -1)]}_[42 70]_2 </v>
      </c>
      <c r="J376" t="s">
        <v>2540</v>
      </c>
      <c r="K376">
        <v>3062</v>
      </c>
      <c r="L376" t="s">
        <v>5</v>
      </c>
      <c r="M376">
        <v>723</v>
      </c>
      <c r="N376" t="s">
        <v>6</v>
      </c>
      <c r="O376">
        <v>-76.442569742608399</v>
      </c>
      <c r="P376" t="s">
        <v>7</v>
      </c>
      <c r="Q376">
        <v>-2.49649150041177E-2</v>
      </c>
      <c r="R376" t="s">
        <v>8</v>
      </c>
      <c r="S376">
        <v>1.6188681250818899</v>
      </c>
      <c r="T376" t="s">
        <v>9</v>
      </c>
      <c r="U376">
        <v>-0.53308431987037697</v>
      </c>
      <c r="V376" t="s">
        <v>10</v>
      </c>
      <c r="W376">
        <v>1.88720468384594</v>
      </c>
      <c r="X376" t="s">
        <v>11</v>
      </c>
      <c r="Y376" t="s">
        <v>2913</v>
      </c>
      <c r="Z376" t="s">
        <v>2914</v>
      </c>
      <c r="AA376">
        <v>0</v>
      </c>
      <c r="AB376" t="s">
        <v>14</v>
      </c>
      <c r="AC376" t="s">
        <v>15</v>
      </c>
      <c r="AD376" t="s">
        <v>2959</v>
      </c>
      <c r="AE376" t="s">
        <v>2711</v>
      </c>
      <c r="AF376">
        <v>0</v>
      </c>
      <c r="AG376" t="s">
        <v>18</v>
      </c>
    </row>
    <row r="377" spans="1:33" x14ac:dyDescent="0.3">
      <c r="A377" t="s">
        <v>2538</v>
      </c>
      <c r="B377" t="s">
        <v>587</v>
      </c>
      <c r="C377">
        <v>-7.5</v>
      </c>
      <c r="D377" t="s">
        <v>588</v>
      </c>
      <c r="E377" t="s">
        <v>589</v>
      </c>
      <c r="F377">
        <v>-10</v>
      </c>
      <c r="G377" t="s">
        <v>590</v>
      </c>
      <c r="H377" t="s">
        <v>2909</v>
      </c>
      <c r="I377" t="str">
        <f t="shared" si="5"/>
        <v xml:space="preserve">alltime_{'P' [('number'-7.5 1) ('number'-10 -1)]}_[7 35]_3 </v>
      </c>
      <c r="J377" t="s">
        <v>2540</v>
      </c>
      <c r="K377">
        <v>3073</v>
      </c>
      <c r="L377" t="s">
        <v>5</v>
      </c>
      <c r="M377">
        <v>454</v>
      </c>
      <c r="N377" t="s">
        <v>6</v>
      </c>
      <c r="O377">
        <v>-77.203282286695597</v>
      </c>
      <c r="P377" t="s">
        <v>7</v>
      </c>
      <c r="Q377">
        <v>-2.5123098694010901E-2</v>
      </c>
      <c r="R377" t="s">
        <v>8</v>
      </c>
      <c r="S377">
        <v>1.409054366713</v>
      </c>
      <c r="T377" t="s">
        <v>9</v>
      </c>
      <c r="U377">
        <v>-0.273735763564107</v>
      </c>
      <c r="V377" t="s">
        <v>10</v>
      </c>
      <c r="W377">
        <v>1.7120898522774399</v>
      </c>
      <c r="X377" t="s">
        <v>11</v>
      </c>
      <c r="Y377" t="s">
        <v>2962</v>
      </c>
      <c r="Z377" t="s">
        <v>2963</v>
      </c>
      <c r="AA377">
        <v>0</v>
      </c>
      <c r="AB377" t="s">
        <v>14</v>
      </c>
      <c r="AC377" t="s">
        <v>15</v>
      </c>
      <c r="AD377" t="s">
        <v>2967</v>
      </c>
      <c r="AE377" t="s">
        <v>2542</v>
      </c>
      <c r="AF377">
        <v>0</v>
      </c>
      <c r="AG377" t="s">
        <v>18</v>
      </c>
    </row>
    <row r="378" spans="1:33" x14ac:dyDescent="0.3">
      <c r="A378" t="s">
        <v>2538</v>
      </c>
      <c r="B378" t="s">
        <v>587</v>
      </c>
      <c r="C378">
        <v>-7.5</v>
      </c>
      <c r="D378" t="s">
        <v>588</v>
      </c>
      <c r="E378" t="s">
        <v>589</v>
      </c>
      <c r="F378">
        <v>-10</v>
      </c>
      <c r="G378" t="s">
        <v>1998</v>
      </c>
      <c r="H378" t="s">
        <v>2559</v>
      </c>
      <c r="I378" t="str">
        <f t="shared" si="5"/>
        <v xml:space="preserve">alltime_{'P' [('number'-7.5 1) ('number'-10 -1)]}_[42 70]_1 </v>
      </c>
      <c r="J378" t="s">
        <v>2540</v>
      </c>
      <c r="K378">
        <v>3062</v>
      </c>
      <c r="L378" t="s">
        <v>5</v>
      </c>
      <c r="M378">
        <v>1015</v>
      </c>
      <c r="N378" t="s">
        <v>6</v>
      </c>
      <c r="O378">
        <v>-78.362694054632499</v>
      </c>
      <c r="P378" t="s">
        <v>7</v>
      </c>
      <c r="Q378">
        <v>-2.5591996752002698E-2</v>
      </c>
      <c r="R378" t="s">
        <v>8</v>
      </c>
      <c r="S378">
        <v>0.82105438999476099</v>
      </c>
      <c r="T378" t="s">
        <v>9</v>
      </c>
      <c r="U378">
        <v>-0.44539956028300698</v>
      </c>
      <c r="V378" t="s">
        <v>10</v>
      </c>
      <c r="W378">
        <v>1.1857206798536499</v>
      </c>
      <c r="X378" t="s">
        <v>11</v>
      </c>
      <c r="Y378" t="s">
        <v>2973</v>
      </c>
      <c r="Z378" t="s">
        <v>2974</v>
      </c>
      <c r="AA378">
        <v>0</v>
      </c>
      <c r="AB378" t="s">
        <v>14</v>
      </c>
      <c r="AC378" t="s">
        <v>15</v>
      </c>
      <c r="AD378" t="s">
        <v>2975</v>
      </c>
      <c r="AE378" t="s">
        <v>2258</v>
      </c>
      <c r="AF378">
        <v>0</v>
      </c>
      <c r="AG378" t="s">
        <v>18</v>
      </c>
    </row>
    <row r="379" spans="1:33" x14ac:dyDescent="0.3">
      <c r="A379" t="s">
        <v>2538</v>
      </c>
      <c r="B379" t="s">
        <v>587</v>
      </c>
      <c r="C379">
        <v>-7.5</v>
      </c>
      <c r="D379" t="s">
        <v>588</v>
      </c>
      <c r="E379" t="s">
        <v>589</v>
      </c>
      <c r="F379">
        <v>-10</v>
      </c>
      <c r="G379" t="s">
        <v>590</v>
      </c>
      <c r="H379" t="s">
        <v>2543</v>
      </c>
      <c r="I379" t="str">
        <f t="shared" si="5"/>
        <v xml:space="preserve">alltime_{'P' [('number'-7.5 1) ('number'-10 -1)]}_[7 35]_2 </v>
      </c>
      <c r="J379" t="s">
        <v>2540</v>
      </c>
      <c r="K379">
        <v>3073</v>
      </c>
      <c r="L379" t="s">
        <v>5</v>
      </c>
      <c r="M379">
        <v>568</v>
      </c>
      <c r="N379" t="s">
        <v>6</v>
      </c>
      <c r="O379">
        <v>-79.593282286695199</v>
      </c>
      <c r="P379" t="s">
        <v>7</v>
      </c>
      <c r="Q379">
        <v>-2.5900840314577001E-2</v>
      </c>
      <c r="R379" t="s">
        <v>8</v>
      </c>
      <c r="S379">
        <v>1.06258922973187</v>
      </c>
      <c r="T379" t="s">
        <v>9</v>
      </c>
      <c r="U379">
        <v>-0.27271216158658601</v>
      </c>
      <c r="V379" t="s">
        <v>10</v>
      </c>
      <c r="W379">
        <v>1.5110246609606801</v>
      </c>
      <c r="X379" t="s">
        <v>11</v>
      </c>
      <c r="Y379" t="s">
        <v>2962</v>
      </c>
      <c r="Z379" t="s">
        <v>2963</v>
      </c>
      <c r="AA379">
        <v>0</v>
      </c>
      <c r="AB379" t="s">
        <v>14</v>
      </c>
      <c r="AC379" t="s">
        <v>15</v>
      </c>
      <c r="AD379" t="s">
        <v>2966</v>
      </c>
      <c r="AE379" t="s">
        <v>2863</v>
      </c>
      <c r="AF379">
        <v>0</v>
      </c>
      <c r="AG379" t="s">
        <v>18</v>
      </c>
    </row>
    <row r="380" spans="1:33" x14ac:dyDescent="0.3">
      <c r="A380" t="s">
        <v>2538</v>
      </c>
      <c r="B380" t="s">
        <v>587</v>
      </c>
      <c r="C380">
        <v>-5</v>
      </c>
      <c r="D380" t="s">
        <v>588</v>
      </c>
      <c r="E380" t="s">
        <v>589</v>
      </c>
      <c r="F380">
        <v>-7.5</v>
      </c>
      <c r="G380" t="s">
        <v>1998</v>
      </c>
      <c r="H380" t="s">
        <v>2926</v>
      </c>
      <c r="I380" t="str">
        <f t="shared" si="5"/>
        <v xml:space="preserve">alltime_{'P' [('number'-5 1) ('number'-7.5 -1)]}_[42 70]_3 </v>
      </c>
      <c r="J380" t="s">
        <v>2540</v>
      </c>
      <c r="K380">
        <v>3062</v>
      </c>
      <c r="L380" t="s">
        <v>5</v>
      </c>
      <c r="M380">
        <v>622</v>
      </c>
      <c r="N380" t="s">
        <v>6</v>
      </c>
      <c r="O380">
        <v>-115.95846340405301</v>
      </c>
      <c r="P380" t="s">
        <v>7</v>
      </c>
      <c r="Q380">
        <v>-3.7870170935353699E-2</v>
      </c>
      <c r="R380" t="s">
        <v>8</v>
      </c>
      <c r="S380">
        <v>1.94342207576423</v>
      </c>
      <c r="T380" t="s">
        <v>9</v>
      </c>
      <c r="U380">
        <v>-0.54293729283991998</v>
      </c>
      <c r="V380" t="s">
        <v>10</v>
      </c>
      <c r="W380">
        <v>2.1244693488481499</v>
      </c>
      <c r="X380" t="s">
        <v>11</v>
      </c>
      <c r="Y380" t="s">
        <v>2687</v>
      </c>
      <c r="Z380" t="s">
        <v>2960</v>
      </c>
      <c r="AA380">
        <v>0</v>
      </c>
      <c r="AB380" t="s">
        <v>14</v>
      </c>
      <c r="AC380" t="s">
        <v>15</v>
      </c>
      <c r="AD380" t="s">
        <v>2961</v>
      </c>
      <c r="AE380" t="s">
        <v>2914</v>
      </c>
      <c r="AF380">
        <v>0</v>
      </c>
      <c r="AG380" t="s">
        <v>18</v>
      </c>
    </row>
    <row r="381" spans="1:33" x14ac:dyDescent="0.3">
      <c r="A381" t="s">
        <v>2538</v>
      </c>
      <c r="B381" t="s">
        <v>587</v>
      </c>
      <c r="C381">
        <v>-7.5</v>
      </c>
      <c r="D381" t="s">
        <v>588</v>
      </c>
      <c r="E381" t="s">
        <v>589</v>
      </c>
      <c r="F381">
        <v>-10</v>
      </c>
      <c r="G381" t="s">
        <v>1998</v>
      </c>
      <c r="H381" t="s">
        <v>2562</v>
      </c>
      <c r="I381" t="str">
        <f t="shared" si="5"/>
        <v xml:space="preserve">alltime_{'P' [('number'-7.5 1) ('number'-10 -1)]}_[42 70]_2 </v>
      </c>
      <c r="J381" t="s">
        <v>2540</v>
      </c>
      <c r="K381">
        <v>3062</v>
      </c>
      <c r="L381" t="s">
        <v>5</v>
      </c>
      <c r="M381">
        <v>661</v>
      </c>
      <c r="N381" t="s">
        <v>6</v>
      </c>
      <c r="O381">
        <v>-131.02397524544801</v>
      </c>
      <c r="P381" t="s">
        <v>7</v>
      </c>
      <c r="Q381">
        <v>-4.2790325031172E-2</v>
      </c>
      <c r="R381" t="s">
        <v>8</v>
      </c>
      <c r="S381">
        <v>1.43131617456927</v>
      </c>
      <c r="T381" t="s">
        <v>9</v>
      </c>
      <c r="U381">
        <v>-0.44861472996073998</v>
      </c>
      <c r="V381" t="s">
        <v>10</v>
      </c>
      <c r="W381">
        <v>1.5965188055906301</v>
      </c>
      <c r="X381" t="s">
        <v>11</v>
      </c>
      <c r="Y381" t="s">
        <v>2913</v>
      </c>
      <c r="Z381" t="s">
        <v>2914</v>
      </c>
      <c r="AA381">
        <v>0</v>
      </c>
      <c r="AB381" t="s">
        <v>14</v>
      </c>
      <c r="AC381" t="s">
        <v>15</v>
      </c>
      <c r="AD381" t="s">
        <v>2976</v>
      </c>
      <c r="AE381" t="s">
        <v>2711</v>
      </c>
      <c r="AF381">
        <v>0</v>
      </c>
      <c r="AG381" t="s">
        <v>18</v>
      </c>
    </row>
    <row r="382" spans="1:33" x14ac:dyDescent="0.3">
      <c r="A382" t="s">
        <v>2538</v>
      </c>
      <c r="B382" t="s">
        <v>587</v>
      </c>
      <c r="C382">
        <v>-7.5</v>
      </c>
      <c r="D382" t="s">
        <v>588</v>
      </c>
      <c r="E382" t="s">
        <v>589</v>
      </c>
      <c r="F382">
        <v>-10</v>
      </c>
      <c r="G382" t="s">
        <v>1998</v>
      </c>
      <c r="H382" t="s">
        <v>2926</v>
      </c>
      <c r="I382" t="str">
        <f t="shared" si="5"/>
        <v xml:space="preserve">alltime_{'P' [('number'-7.5 1) ('number'-10 -1)]}_[42 70]_3 </v>
      </c>
      <c r="J382" t="s">
        <v>2540</v>
      </c>
      <c r="K382">
        <v>3062</v>
      </c>
      <c r="L382" t="s">
        <v>5</v>
      </c>
      <c r="M382">
        <v>542</v>
      </c>
      <c r="N382" t="s">
        <v>6</v>
      </c>
      <c r="O382">
        <v>-147.46368026773499</v>
      </c>
      <c r="P382" t="s">
        <v>7</v>
      </c>
      <c r="Q382">
        <v>-4.8159268539430103E-2</v>
      </c>
      <c r="R382" t="s">
        <v>8</v>
      </c>
      <c r="S382">
        <v>1.84076677804592</v>
      </c>
      <c r="T382" t="s">
        <v>9</v>
      </c>
      <c r="U382">
        <v>-0.45442828332088497</v>
      </c>
      <c r="V382" t="s">
        <v>10</v>
      </c>
      <c r="W382">
        <v>1.8499420637867501</v>
      </c>
      <c r="X382" t="s">
        <v>11</v>
      </c>
      <c r="Y382" t="s">
        <v>2913</v>
      </c>
      <c r="Z382" t="s">
        <v>2914</v>
      </c>
      <c r="AA382">
        <v>0</v>
      </c>
      <c r="AB382" t="s">
        <v>14</v>
      </c>
      <c r="AC382" t="s">
        <v>15</v>
      </c>
      <c r="AD382" t="s">
        <v>2977</v>
      </c>
      <c r="AE382" t="s">
        <v>2695</v>
      </c>
      <c r="AF382">
        <v>0</v>
      </c>
      <c r="AG382" t="s">
        <v>18</v>
      </c>
    </row>
    <row r="383" spans="1:33" x14ac:dyDescent="0.3">
      <c r="A383" t="s">
        <v>2538</v>
      </c>
      <c r="B383" t="s">
        <v>587</v>
      </c>
      <c r="C383">
        <v>-2.5</v>
      </c>
      <c r="D383" t="s">
        <v>588</v>
      </c>
      <c r="E383" t="s">
        <v>589</v>
      </c>
      <c r="F383">
        <v>-5</v>
      </c>
      <c r="G383" t="s">
        <v>1998</v>
      </c>
      <c r="H383" t="s">
        <v>2926</v>
      </c>
      <c r="I383" t="str">
        <f t="shared" si="5"/>
        <v xml:space="preserve">alltime_{'P' [('number'-2.5 1) ('number'-5 -1)]}_[42 70]_3 </v>
      </c>
      <c r="J383" t="s">
        <v>2540</v>
      </c>
      <c r="K383">
        <v>3062</v>
      </c>
      <c r="L383" t="s">
        <v>5</v>
      </c>
      <c r="M383">
        <v>706</v>
      </c>
      <c r="N383" t="s">
        <v>6</v>
      </c>
      <c r="O383">
        <v>-262.66095942963199</v>
      </c>
      <c r="P383" t="s">
        <v>7</v>
      </c>
      <c r="Q383">
        <v>-8.5780848931950496E-2</v>
      </c>
      <c r="R383" t="s">
        <v>8</v>
      </c>
      <c r="S383">
        <v>1.7688132836847299</v>
      </c>
      <c r="T383" t="s">
        <v>9</v>
      </c>
      <c r="U383">
        <v>-0.64152934537820605</v>
      </c>
      <c r="V383" t="s">
        <v>10</v>
      </c>
      <c r="W383">
        <v>2.1996286382735901</v>
      </c>
      <c r="X383" t="s">
        <v>11</v>
      </c>
      <c r="Y383" t="s">
        <v>2942</v>
      </c>
      <c r="Z383" t="s">
        <v>91</v>
      </c>
      <c r="AA383">
        <v>0</v>
      </c>
      <c r="AB383" t="s">
        <v>14</v>
      </c>
      <c r="AC383" t="s">
        <v>15</v>
      </c>
      <c r="AD383" t="s">
        <v>2945</v>
      </c>
      <c r="AE383" t="s">
        <v>2693</v>
      </c>
      <c r="AF383">
        <v>0</v>
      </c>
      <c r="AG383" t="s">
        <v>18</v>
      </c>
    </row>
    <row r="384" spans="1:33" x14ac:dyDescent="0.3">
      <c r="A384" t="s">
        <v>2538</v>
      </c>
      <c r="B384" t="s">
        <v>587</v>
      </c>
      <c r="C384">
        <v>0</v>
      </c>
      <c r="D384" t="s">
        <v>588</v>
      </c>
      <c r="E384" t="s">
        <v>589</v>
      </c>
      <c r="F384">
        <v>-2.5</v>
      </c>
      <c r="G384" t="s">
        <v>1998</v>
      </c>
      <c r="H384" t="s">
        <v>2562</v>
      </c>
      <c r="I384" t="str">
        <f t="shared" si="5"/>
        <v xml:space="preserve">alltime_{'P' [('number'0 1) ('number'-2.5 -1)]}_[42 70]_2 </v>
      </c>
      <c r="J384" t="s">
        <v>2540</v>
      </c>
      <c r="K384">
        <v>3062</v>
      </c>
      <c r="L384" t="s">
        <v>5</v>
      </c>
      <c r="M384">
        <v>824</v>
      </c>
      <c r="N384" t="s">
        <v>6</v>
      </c>
      <c r="O384">
        <v>-296.57685283730098</v>
      </c>
      <c r="P384" t="s">
        <v>7</v>
      </c>
      <c r="Q384">
        <v>-9.6857234760712493E-2</v>
      </c>
      <c r="R384" t="s">
        <v>8</v>
      </c>
      <c r="S384">
        <v>1.7447696017757499</v>
      </c>
      <c r="T384" t="s">
        <v>9</v>
      </c>
      <c r="U384">
        <v>-0.77491823266332305</v>
      </c>
      <c r="V384" t="s">
        <v>10</v>
      </c>
      <c r="W384">
        <v>2.2620344496923401</v>
      </c>
      <c r="X384" t="s">
        <v>11</v>
      </c>
      <c r="Y384" t="s">
        <v>2913</v>
      </c>
      <c r="Z384" t="s">
        <v>2914</v>
      </c>
      <c r="AA384">
        <v>0</v>
      </c>
      <c r="AB384" t="s">
        <v>14</v>
      </c>
      <c r="AC384" t="s">
        <v>15</v>
      </c>
      <c r="AD384" t="s">
        <v>2925</v>
      </c>
      <c r="AE384" t="s">
        <v>2924</v>
      </c>
      <c r="AF384">
        <v>0</v>
      </c>
      <c r="AG384" t="s">
        <v>18</v>
      </c>
    </row>
    <row r="385" spans="1:33" x14ac:dyDescent="0.3">
      <c r="A385" t="s">
        <v>2538</v>
      </c>
      <c r="B385" t="s">
        <v>587</v>
      </c>
      <c r="C385">
        <v>0</v>
      </c>
      <c r="D385" t="s">
        <v>588</v>
      </c>
      <c r="E385" t="s">
        <v>589</v>
      </c>
      <c r="F385">
        <v>-2.5</v>
      </c>
      <c r="G385" t="s">
        <v>1998</v>
      </c>
      <c r="H385" t="s">
        <v>2926</v>
      </c>
      <c r="I385" t="str">
        <f t="shared" si="5"/>
        <v xml:space="preserve">alltime_{'P' [('number'0 1) ('number'-2.5 -1)]}_[42 70]_3 </v>
      </c>
      <c r="J385" t="s">
        <v>2540</v>
      </c>
      <c r="K385">
        <v>3062</v>
      </c>
      <c r="L385" t="s">
        <v>5</v>
      </c>
      <c r="M385">
        <v>752</v>
      </c>
      <c r="N385" t="s">
        <v>6</v>
      </c>
      <c r="O385">
        <v>-539.92213386455296</v>
      </c>
      <c r="P385" t="s">
        <v>7</v>
      </c>
      <c r="Q385">
        <v>-0.17632989348940301</v>
      </c>
      <c r="R385" t="s">
        <v>8</v>
      </c>
      <c r="S385">
        <v>1.69108802555591</v>
      </c>
      <c r="T385" t="s">
        <v>9</v>
      </c>
      <c r="U385">
        <v>-0.784251224711082</v>
      </c>
      <c r="V385" t="s">
        <v>10</v>
      </c>
      <c r="W385">
        <v>2.4073145894519601</v>
      </c>
      <c r="X385" t="s">
        <v>11</v>
      </c>
      <c r="Y385" t="s">
        <v>2927</v>
      </c>
      <c r="Z385" t="s">
        <v>2928</v>
      </c>
      <c r="AA385">
        <v>0</v>
      </c>
      <c r="AB385" t="s">
        <v>14</v>
      </c>
      <c r="AC385" t="s">
        <v>15</v>
      </c>
      <c r="AD385" t="s">
        <v>2929</v>
      </c>
      <c r="AE385" t="s">
        <v>2930</v>
      </c>
      <c r="AF385">
        <v>0</v>
      </c>
      <c r="AG385" t="s">
        <v>18</v>
      </c>
    </row>
    <row r="386" spans="1:33" x14ac:dyDescent="0.3">
      <c r="A386" t="s">
        <v>2628</v>
      </c>
    </row>
    <row r="387" spans="1:33" x14ac:dyDescent="0.3">
      <c r="A387" t="s">
        <v>85</v>
      </c>
      <c r="B387" t="s">
        <v>86</v>
      </c>
      <c r="C387" t="s">
        <v>87</v>
      </c>
      <c r="D387" t="s">
        <v>88</v>
      </c>
      <c r="E387" t="s">
        <v>15</v>
      </c>
      <c r="F387" t="s">
        <v>2948</v>
      </c>
      <c r="G387" t="s">
        <v>2631</v>
      </c>
      <c r="H387">
        <v>0</v>
      </c>
      <c r="J387" t="s">
        <v>18</v>
      </c>
    </row>
    <row r="388" spans="1:33" x14ac:dyDescent="0.3">
      <c r="A388" t="s">
        <v>2628</v>
      </c>
    </row>
    <row r="389" spans="1:33" x14ac:dyDescent="0.3">
      <c r="A389" t="s">
        <v>85</v>
      </c>
      <c r="B389" t="s">
        <v>86</v>
      </c>
      <c r="C389" t="s">
        <v>87</v>
      </c>
      <c r="D389" t="s">
        <v>88</v>
      </c>
      <c r="E389" t="s">
        <v>15</v>
      </c>
      <c r="F389" t="s">
        <v>2949</v>
      </c>
      <c r="G389" t="s">
        <v>2631</v>
      </c>
      <c r="H389">
        <v>0</v>
      </c>
      <c r="J389" t="s">
        <v>18</v>
      </c>
    </row>
    <row r="390" spans="1:33" x14ac:dyDescent="0.3">
      <c r="A390" t="s">
        <v>2986</v>
      </c>
    </row>
    <row r="391" spans="1:33" x14ac:dyDescent="0.3">
      <c r="A391" t="s">
        <v>85</v>
      </c>
      <c r="B391" t="s">
        <v>86</v>
      </c>
      <c r="C391" t="s">
        <v>87</v>
      </c>
      <c r="D391" t="s">
        <v>88</v>
      </c>
      <c r="E391" t="s">
        <v>15</v>
      </c>
      <c r="F391" t="s">
        <v>2987</v>
      </c>
      <c r="G391" t="s">
        <v>2418</v>
      </c>
      <c r="H391">
        <v>0</v>
      </c>
      <c r="J391" t="s">
        <v>18</v>
      </c>
    </row>
    <row r="392" spans="1:33" x14ac:dyDescent="0.3">
      <c r="A392" t="s">
        <v>2628</v>
      </c>
    </row>
    <row r="393" spans="1:33" x14ac:dyDescent="0.3">
      <c r="A393" t="s">
        <v>85</v>
      </c>
      <c r="B393" t="s">
        <v>86</v>
      </c>
      <c r="C393" t="s">
        <v>87</v>
      </c>
      <c r="D393" t="s">
        <v>88</v>
      </c>
      <c r="E393" t="s">
        <v>15</v>
      </c>
      <c r="F393" t="s">
        <v>3002</v>
      </c>
      <c r="G393" t="s">
        <v>2631</v>
      </c>
      <c r="H393">
        <v>0</v>
      </c>
      <c r="J393" t="s">
        <v>18</v>
      </c>
    </row>
    <row r="394" spans="1:33" x14ac:dyDescent="0.3">
      <c r="A394" t="s">
        <v>2628</v>
      </c>
    </row>
    <row r="395" spans="1:33" x14ac:dyDescent="0.3">
      <c r="A395" t="s">
        <v>85</v>
      </c>
      <c r="B395" t="s">
        <v>86</v>
      </c>
      <c r="C395" t="s">
        <v>87</v>
      </c>
      <c r="D395" t="s">
        <v>88</v>
      </c>
      <c r="E395" t="s">
        <v>15</v>
      </c>
      <c r="F395" t="s">
        <v>3002</v>
      </c>
      <c r="G395" t="s">
        <v>2631</v>
      </c>
      <c r="H395">
        <v>0</v>
      </c>
      <c r="J395" t="s">
        <v>18</v>
      </c>
    </row>
    <row r="396" spans="1:33" x14ac:dyDescent="0.3">
      <c r="A396" t="s">
        <v>3020</v>
      </c>
    </row>
    <row r="397" spans="1:33" x14ac:dyDescent="0.3">
      <c r="A397" t="s">
        <v>85</v>
      </c>
      <c r="B397" t="s">
        <v>86</v>
      </c>
      <c r="C397" t="s">
        <v>87</v>
      </c>
      <c r="D397" t="s">
        <v>88</v>
      </c>
      <c r="E397" t="s">
        <v>15</v>
      </c>
      <c r="F397" t="s">
        <v>3021</v>
      </c>
      <c r="G397" t="s">
        <v>230</v>
      </c>
      <c r="H397">
        <v>0</v>
      </c>
      <c r="J397" t="s">
        <v>18</v>
      </c>
    </row>
    <row r="398" spans="1:33" x14ac:dyDescent="0.3">
      <c r="A398" t="s">
        <v>3020</v>
      </c>
    </row>
    <row r="399" spans="1:33" x14ac:dyDescent="0.3">
      <c r="A399" t="s">
        <v>85</v>
      </c>
      <c r="B399" t="s">
        <v>86</v>
      </c>
      <c r="C399" t="s">
        <v>87</v>
      </c>
      <c r="D399" t="s">
        <v>88</v>
      </c>
      <c r="E399" t="s">
        <v>15</v>
      </c>
      <c r="F399" t="s">
        <v>3022</v>
      </c>
      <c r="G399" t="s">
        <v>3023</v>
      </c>
      <c r="H399">
        <v>0</v>
      </c>
      <c r="J399" t="s">
        <v>18</v>
      </c>
    </row>
    <row r="400" spans="1:33" x14ac:dyDescent="0.3">
      <c r="A400" t="s">
        <v>2628</v>
      </c>
    </row>
    <row r="401" spans="1:10" x14ac:dyDescent="0.3">
      <c r="A401" t="s">
        <v>85</v>
      </c>
      <c r="B401" t="s">
        <v>86</v>
      </c>
      <c r="C401" t="s">
        <v>87</v>
      </c>
      <c r="D401" t="s">
        <v>88</v>
      </c>
      <c r="E401" t="s">
        <v>15</v>
      </c>
      <c r="F401" t="s">
        <v>3158</v>
      </c>
      <c r="G401" t="s">
        <v>2988</v>
      </c>
      <c r="H401">
        <v>0</v>
      </c>
      <c r="J401" t="s">
        <v>18</v>
      </c>
    </row>
    <row r="402" spans="1:10" x14ac:dyDescent="0.3">
      <c r="A402" t="s">
        <v>2628</v>
      </c>
    </row>
    <row r="403" spans="1:10" x14ac:dyDescent="0.3">
      <c r="A403" t="s">
        <v>85</v>
      </c>
      <c r="B403" t="s">
        <v>86</v>
      </c>
      <c r="C403" t="s">
        <v>87</v>
      </c>
      <c r="D403" t="s">
        <v>88</v>
      </c>
      <c r="E403" t="s">
        <v>15</v>
      </c>
      <c r="F403" t="s">
        <v>3158</v>
      </c>
      <c r="G403" t="s">
        <v>2988</v>
      </c>
      <c r="H403">
        <v>0</v>
      </c>
      <c r="J403" t="s">
        <v>18</v>
      </c>
    </row>
  </sheetData>
  <autoFilter ref="A1:AG403" xr:uid="{CA296D00-4F4A-4F61-B953-35024D94B971}">
    <sortState xmlns:xlrd2="http://schemas.microsoft.com/office/spreadsheetml/2017/richdata2" ref="A2:AG403">
      <sortCondition descending="1" ref="O1:O403"/>
    </sortState>
  </autoFilter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7225-914E-4BB9-B767-9B6D54EE422B}">
  <dimension ref="A1:AA749"/>
  <sheetViews>
    <sheetView workbookViewId="0">
      <selection activeCell="C33" sqref="C33"/>
    </sheetView>
  </sheetViews>
  <sheetFormatPr defaultRowHeight="16.5" x14ac:dyDescent="0.3"/>
  <cols>
    <col min="1" max="1" width="17.875" customWidth="1"/>
    <col min="2" max="2" width="50.625" customWidth="1"/>
    <col min="3" max="3" width="57.875" customWidth="1"/>
  </cols>
  <sheetData>
    <row r="1" spans="1:27" x14ac:dyDescent="0.3">
      <c r="A1">
        <v>1</v>
      </c>
    </row>
    <row r="2" spans="1:27" s="13" customFormat="1" x14ac:dyDescent="0.3">
      <c r="A2" s="13" t="s">
        <v>1143</v>
      </c>
      <c r="B2" s="13" t="s">
        <v>3214</v>
      </c>
      <c r="C2" s="13" t="s">
        <v>3708</v>
      </c>
      <c r="D2" s="13" t="s">
        <v>1224</v>
      </c>
      <c r="E2" s="13">
        <v>3062</v>
      </c>
      <c r="F2" s="13" t="s">
        <v>5</v>
      </c>
      <c r="G2" s="13">
        <v>2015</v>
      </c>
      <c r="H2" s="13" t="s">
        <v>6</v>
      </c>
      <c r="I2" s="13">
        <v>83.835474200708404</v>
      </c>
      <c r="J2" s="13" t="s">
        <v>7</v>
      </c>
      <c r="K2" s="13">
        <v>2.7379318811465801E-2</v>
      </c>
      <c r="L2" s="13" t="s">
        <v>8</v>
      </c>
      <c r="M2" s="13">
        <v>1.0081650161973099</v>
      </c>
      <c r="N2" s="13" t="s">
        <v>9</v>
      </c>
      <c r="O2" s="13">
        <v>-1.8619665711633699</v>
      </c>
      <c r="P2" s="13" t="s">
        <v>10</v>
      </c>
      <c r="Q2" s="13">
        <v>2.566960224916</v>
      </c>
      <c r="R2" s="13" t="s">
        <v>11</v>
      </c>
      <c r="S2" s="13" t="s">
        <v>3308</v>
      </c>
      <c r="T2" s="13" t="s">
        <v>2602</v>
      </c>
      <c r="U2" s="13">
        <v>0</v>
      </c>
      <c r="V2" s="13" t="s">
        <v>14</v>
      </c>
      <c r="W2" s="13" t="s">
        <v>15</v>
      </c>
      <c r="X2" s="13" t="s">
        <v>3309</v>
      </c>
      <c r="Y2" s="13" t="s">
        <v>3303</v>
      </c>
      <c r="Z2" s="13">
        <v>0</v>
      </c>
      <c r="AA2" s="13" t="s">
        <v>18</v>
      </c>
    </row>
    <row r="3" spans="1:27" s="13" customFormat="1" x14ac:dyDescent="0.3">
      <c r="A3" s="13" t="s">
        <v>1220</v>
      </c>
      <c r="B3" s="13" t="s">
        <v>3289</v>
      </c>
      <c r="C3" s="13" t="s">
        <v>3709</v>
      </c>
      <c r="D3" s="13" t="s">
        <v>1224</v>
      </c>
      <c r="E3" s="13">
        <v>139</v>
      </c>
      <c r="F3" s="13" t="s">
        <v>5</v>
      </c>
      <c r="G3" s="13">
        <v>45</v>
      </c>
      <c r="H3" s="13" t="s">
        <v>6</v>
      </c>
      <c r="I3" s="13">
        <v>44.434103234404901</v>
      </c>
      <c r="J3" s="13" t="s">
        <v>7</v>
      </c>
      <c r="K3" s="13">
        <v>0.31966980744176199</v>
      </c>
      <c r="L3" s="13" t="s">
        <v>8</v>
      </c>
      <c r="M3" s="13">
        <v>4.4329012828667196</v>
      </c>
      <c r="N3" s="13" t="s">
        <v>9</v>
      </c>
      <c r="O3" s="13">
        <v>-1.6494303669638</v>
      </c>
      <c r="P3" s="13" t="s">
        <v>10</v>
      </c>
      <c r="Q3" s="13">
        <v>0.64840008070546395</v>
      </c>
      <c r="R3" s="13" t="s">
        <v>11</v>
      </c>
      <c r="S3" s="13" t="s">
        <v>2657</v>
      </c>
      <c r="T3" s="13" t="s">
        <v>3303</v>
      </c>
      <c r="U3" s="13">
        <v>0</v>
      </c>
      <c r="V3" s="13" t="s">
        <v>14</v>
      </c>
      <c r="W3" s="13" t="s">
        <v>15</v>
      </c>
      <c r="X3" s="13" t="s">
        <v>2657</v>
      </c>
      <c r="Y3" s="13" t="s">
        <v>3303</v>
      </c>
      <c r="Z3" s="13">
        <v>0</v>
      </c>
      <c r="AA3" s="13" t="s">
        <v>18</v>
      </c>
    </row>
    <row r="4" spans="1:27" s="13" customFormat="1" x14ac:dyDescent="0.3">
      <c r="A4" s="13" t="s">
        <v>1221</v>
      </c>
      <c r="B4" s="13" t="s">
        <v>3289</v>
      </c>
      <c r="C4" s="13" t="s">
        <v>3710</v>
      </c>
      <c r="D4" s="13" t="s">
        <v>1224</v>
      </c>
      <c r="E4" s="13">
        <v>130</v>
      </c>
      <c r="F4" s="13" t="s">
        <v>5</v>
      </c>
      <c r="G4" s="13">
        <v>43</v>
      </c>
      <c r="H4" s="13" t="s">
        <v>6</v>
      </c>
      <c r="I4" s="13">
        <v>42.174103234404903</v>
      </c>
      <c r="J4" s="13" t="s">
        <v>7</v>
      </c>
      <c r="K4" s="13">
        <v>0.324416178726191</v>
      </c>
      <c r="L4" s="13" t="s">
        <v>8</v>
      </c>
      <c r="M4" s="13">
        <v>4.1251292495116898</v>
      </c>
      <c r="N4" s="13" t="s">
        <v>9</v>
      </c>
      <c r="O4" s="13">
        <v>-1.55409717809882</v>
      </c>
      <c r="P4" s="13" t="s">
        <v>10</v>
      </c>
      <c r="Q4" s="13">
        <v>0.57419448488582503</v>
      </c>
      <c r="R4" s="13" t="s">
        <v>11</v>
      </c>
      <c r="S4" s="13" t="s">
        <v>2657</v>
      </c>
      <c r="T4" s="13" t="s">
        <v>3303</v>
      </c>
      <c r="U4" s="13">
        <v>0</v>
      </c>
      <c r="V4" s="13" t="s">
        <v>14</v>
      </c>
      <c r="W4" s="13" t="s">
        <v>15</v>
      </c>
      <c r="X4" s="13" t="s">
        <v>2657</v>
      </c>
      <c r="Y4" s="13" t="s">
        <v>3303</v>
      </c>
      <c r="Z4" s="13">
        <v>0</v>
      </c>
      <c r="AA4" s="13" t="s">
        <v>18</v>
      </c>
    </row>
    <row r="5" spans="1:27" s="13" customFormat="1" x14ac:dyDescent="0.3">
      <c r="A5" s="13" t="s">
        <v>3292</v>
      </c>
      <c r="B5" s="13" t="s">
        <v>3237</v>
      </c>
      <c r="C5" s="13" t="s">
        <v>3711</v>
      </c>
      <c r="D5" s="13" t="s">
        <v>1224</v>
      </c>
      <c r="E5" s="13">
        <v>157</v>
      </c>
      <c r="F5" s="13" t="s">
        <v>5</v>
      </c>
      <c r="G5" s="13">
        <v>66</v>
      </c>
      <c r="H5" s="13" t="s">
        <v>6</v>
      </c>
      <c r="I5" s="13">
        <v>41.794993218191003</v>
      </c>
      <c r="J5" s="13" t="s">
        <v>7</v>
      </c>
      <c r="K5" s="13">
        <v>0.26621014788656699</v>
      </c>
      <c r="L5" s="13" t="s">
        <v>8</v>
      </c>
      <c r="M5" s="13">
        <v>2.7483468589464399</v>
      </c>
      <c r="N5" s="13" t="s">
        <v>9</v>
      </c>
      <c r="O5" s="13">
        <v>-1.53402087332169</v>
      </c>
      <c r="P5" s="13" t="s">
        <v>10</v>
      </c>
      <c r="Q5" s="13">
        <v>0.87644703607978303</v>
      </c>
      <c r="R5" s="13" t="s">
        <v>11</v>
      </c>
      <c r="S5" s="13" t="s">
        <v>3482</v>
      </c>
      <c r="T5" s="13" t="s">
        <v>3483</v>
      </c>
      <c r="U5" s="13">
        <v>0</v>
      </c>
      <c r="V5" s="13" t="s">
        <v>14</v>
      </c>
      <c r="W5" s="13" t="s">
        <v>15</v>
      </c>
      <c r="X5" s="13" t="s">
        <v>3421</v>
      </c>
      <c r="Y5" s="13" t="s">
        <v>3398</v>
      </c>
      <c r="Z5" s="13">
        <v>0</v>
      </c>
      <c r="AA5" s="13" t="s">
        <v>18</v>
      </c>
    </row>
    <row r="6" spans="1:27" s="13" customFormat="1" x14ac:dyDescent="0.3">
      <c r="A6" s="13" t="s">
        <v>1221</v>
      </c>
      <c r="B6" s="13" t="s">
        <v>3267</v>
      </c>
      <c r="C6" s="13" t="s">
        <v>3712</v>
      </c>
      <c r="D6" s="13" t="s">
        <v>1224</v>
      </c>
      <c r="E6" s="13">
        <v>130</v>
      </c>
      <c r="F6" s="13" t="s">
        <v>5</v>
      </c>
      <c r="G6" s="13">
        <v>27</v>
      </c>
      <c r="H6" s="13" t="s">
        <v>6</v>
      </c>
      <c r="I6" s="13">
        <v>36.93</v>
      </c>
      <c r="J6" s="13" t="s">
        <v>7</v>
      </c>
      <c r="K6" s="13">
        <v>0.284076923076923</v>
      </c>
      <c r="L6" s="13" t="s">
        <v>8</v>
      </c>
      <c r="M6" s="13">
        <v>7.2325925925925896</v>
      </c>
      <c r="N6" s="13" t="s">
        <v>9</v>
      </c>
      <c r="O6" s="13">
        <v>-1.5373786407766901</v>
      </c>
      <c r="P6" s="13" t="s">
        <v>10</v>
      </c>
      <c r="Q6" s="13">
        <v>0.80562876861044896</v>
      </c>
      <c r="R6" s="13" t="s">
        <v>11</v>
      </c>
      <c r="S6" s="13" t="s">
        <v>3544</v>
      </c>
      <c r="T6" s="13" t="s">
        <v>3545</v>
      </c>
      <c r="U6" s="13">
        <v>0</v>
      </c>
      <c r="V6" s="13" t="s">
        <v>14</v>
      </c>
      <c r="W6" s="13" t="s">
        <v>15</v>
      </c>
      <c r="X6" s="13" t="s">
        <v>3531</v>
      </c>
      <c r="Y6" s="13" t="s">
        <v>3506</v>
      </c>
      <c r="Z6" s="13">
        <v>0</v>
      </c>
      <c r="AA6" s="13" t="s">
        <v>18</v>
      </c>
    </row>
    <row r="7" spans="1:27" s="13" customFormat="1" x14ac:dyDescent="0.3">
      <c r="A7" s="13" t="s">
        <v>1221</v>
      </c>
      <c r="B7" s="13" t="s">
        <v>3272</v>
      </c>
      <c r="C7" s="13" t="s">
        <v>3713</v>
      </c>
      <c r="D7" s="13" t="s">
        <v>1224</v>
      </c>
      <c r="E7" s="13">
        <v>130</v>
      </c>
      <c r="F7" s="13" t="s">
        <v>5</v>
      </c>
      <c r="G7" s="13">
        <v>25</v>
      </c>
      <c r="H7" s="13" t="s">
        <v>6</v>
      </c>
      <c r="I7" s="13">
        <v>30.5883282493607</v>
      </c>
      <c r="J7" s="13" t="s">
        <v>7</v>
      </c>
      <c r="K7" s="13">
        <v>0.23529483268738999</v>
      </c>
      <c r="L7" s="13" t="s">
        <v>8</v>
      </c>
      <c r="M7" s="13">
        <v>8.4920629590822205</v>
      </c>
      <c r="N7" s="13" t="s">
        <v>9</v>
      </c>
      <c r="O7" s="13">
        <v>-1.73060234026375</v>
      </c>
      <c r="P7" s="13" t="s">
        <v>10</v>
      </c>
      <c r="Q7" s="13">
        <v>0.73782605726608796</v>
      </c>
      <c r="R7" s="13" t="s">
        <v>11</v>
      </c>
      <c r="S7" s="13" t="s">
        <v>3515</v>
      </c>
      <c r="T7" s="13" t="s">
        <v>2655</v>
      </c>
      <c r="U7" s="13">
        <v>0</v>
      </c>
      <c r="V7" s="13" t="s">
        <v>14</v>
      </c>
      <c r="W7" s="13" t="s">
        <v>15</v>
      </c>
      <c r="X7" s="13" t="s">
        <v>1339</v>
      </c>
      <c r="Y7" s="13" t="s">
        <v>2783</v>
      </c>
      <c r="Z7" s="13">
        <v>0</v>
      </c>
      <c r="AA7" s="13" t="s">
        <v>18</v>
      </c>
    </row>
    <row r="8" spans="1:27" s="13" customFormat="1" x14ac:dyDescent="0.3">
      <c r="A8" s="13" t="s">
        <v>3292</v>
      </c>
      <c r="B8" s="13" t="s">
        <v>3219</v>
      </c>
      <c r="C8" s="13" t="s">
        <v>3714</v>
      </c>
      <c r="D8" s="13" t="s">
        <v>1224</v>
      </c>
      <c r="E8" s="13">
        <v>157</v>
      </c>
      <c r="F8" s="13" t="s">
        <v>5</v>
      </c>
      <c r="G8" s="13">
        <v>65</v>
      </c>
      <c r="H8" s="13" t="s">
        <v>6</v>
      </c>
      <c r="I8" s="13">
        <v>28.0870024623812</v>
      </c>
      <c r="J8" s="13" t="s">
        <v>7</v>
      </c>
      <c r="K8" s="13">
        <v>0.17889810485593099</v>
      </c>
      <c r="L8" s="13" t="s">
        <v>8</v>
      </c>
      <c r="M8" s="13">
        <v>2.9358594513856802</v>
      </c>
      <c r="N8" s="13" t="s">
        <v>9</v>
      </c>
      <c r="O8" s="13">
        <v>-1.76895502040965</v>
      </c>
      <c r="P8" s="13" t="s">
        <v>10</v>
      </c>
      <c r="Q8" s="13">
        <v>0.937230496997143</v>
      </c>
      <c r="R8" s="13" t="s">
        <v>11</v>
      </c>
      <c r="S8" s="13" t="s">
        <v>3402</v>
      </c>
      <c r="T8" s="13" t="s">
        <v>2666</v>
      </c>
      <c r="U8" s="13">
        <v>0</v>
      </c>
      <c r="V8" s="13" t="s">
        <v>14</v>
      </c>
      <c r="W8" s="13" t="s">
        <v>15</v>
      </c>
      <c r="X8" s="13" t="s">
        <v>3401</v>
      </c>
      <c r="Y8" s="13" t="s">
        <v>3398</v>
      </c>
      <c r="Z8" s="13">
        <v>0</v>
      </c>
      <c r="AA8" s="13" t="s">
        <v>18</v>
      </c>
    </row>
    <row r="9" spans="1:27" s="13" customFormat="1" x14ac:dyDescent="0.3">
      <c r="A9" s="13" t="s">
        <v>3292</v>
      </c>
      <c r="B9" s="13" t="s">
        <v>3236</v>
      </c>
      <c r="C9" s="13" t="s">
        <v>3715</v>
      </c>
      <c r="D9" s="13" t="s">
        <v>1224</v>
      </c>
      <c r="E9" s="13">
        <v>157</v>
      </c>
      <c r="F9" s="13" t="s">
        <v>5</v>
      </c>
      <c r="G9" s="13">
        <v>67</v>
      </c>
      <c r="H9" s="13" t="s">
        <v>6</v>
      </c>
      <c r="I9" s="13">
        <v>27.424993218190998</v>
      </c>
      <c r="J9" s="13" t="s">
        <v>7</v>
      </c>
      <c r="K9" s="13">
        <v>0.174681485466185</v>
      </c>
      <c r="L9" s="13" t="s">
        <v>8</v>
      </c>
      <c r="M9" s="13">
        <v>2.4691178013502202</v>
      </c>
      <c r="N9" s="13" t="s">
        <v>9</v>
      </c>
      <c r="O9" s="13">
        <v>-1.5333988830252701</v>
      </c>
      <c r="P9" s="13" t="s">
        <v>10</v>
      </c>
      <c r="Q9" s="13">
        <v>0.73381071719146695</v>
      </c>
      <c r="R9" s="13" t="s">
        <v>11</v>
      </c>
      <c r="S9" s="13" t="s">
        <v>2251</v>
      </c>
      <c r="T9" s="13" t="s">
        <v>2666</v>
      </c>
      <c r="U9" s="13">
        <v>0</v>
      </c>
      <c r="V9" s="13" t="s">
        <v>14</v>
      </c>
      <c r="W9" s="13" t="s">
        <v>15</v>
      </c>
      <c r="X9" s="13" t="s">
        <v>3421</v>
      </c>
      <c r="Y9" s="13" t="s">
        <v>3398</v>
      </c>
      <c r="Z9" s="13">
        <v>0</v>
      </c>
      <c r="AA9" s="13" t="s">
        <v>18</v>
      </c>
    </row>
    <row r="10" spans="1:27" s="13" customFormat="1" x14ac:dyDescent="0.3">
      <c r="A10" s="13" t="s">
        <v>1221</v>
      </c>
      <c r="B10" s="13" t="s">
        <v>3266</v>
      </c>
      <c r="C10" s="13" t="s">
        <v>3716</v>
      </c>
      <c r="D10" s="13" t="s">
        <v>1224</v>
      </c>
      <c r="E10" s="13">
        <v>130</v>
      </c>
      <c r="F10" s="13" t="s">
        <v>5</v>
      </c>
      <c r="G10" s="13">
        <v>29</v>
      </c>
      <c r="H10" s="13" t="s">
        <v>6</v>
      </c>
      <c r="I10" s="13">
        <v>27.36</v>
      </c>
      <c r="J10" s="13" t="s">
        <v>7</v>
      </c>
      <c r="K10" s="13">
        <v>0.21046153846153801</v>
      </c>
      <c r="L10" s="13" t="s">
        <v>8</v>
      </c>
      <c r="M10" s="13">
        <v>6.2299999999999898</v>
      </c>
      <c r="N10" s="13" t="s">
        <v>9</v>
      </c>
      <c r="O10" s="13">
        <v>-1.5179207920791999</v>
      </c>
      <c r="P10" s="13" t="s">
        <v>10</v>
      </c>
      <c r="Q10" s="13">
        <v>0.69910979553960795</v>
      </c>
      <c r="R10" s="13" t="s">
        <v>11</v>
      </c>
      <c r="S10" s="13" t="s">
        <v>3528</v>
      </c>
      <c r="T10" s="13" t="s">
        <v>3529</v>
      </c>
      <c r="U10" s="13">
        <v>0</v>
      </c>
      <c r="V10" s="13" t="s">
        <v>14</v>
      </c>
      <c r="W10" s="13" t="s">
        <v>15</v>
      </c>
      <c r="X10" s="13" t="s">
        <v>3528</v>
      </c>
      <c r="Y10" s="13" t="s">
        <v>3529</v>
      </c>
      <c r="Z10" s="13">
        <v>0</v>
      </c>
      <c r="AA10" s="13" t="s">
        <v>18</v>
      </c>
    </row>
    <row r="11" spans="1:27" s="13" customFormat="1" x14ac:dyDescent="0.3">
      <c r="A11" s="13" t="s">
        <v>1221</v>
      </c>
      <c r="B11" s="13" t="s">
        <v>3285</v>
      </c>
      <c r="C11" s="13" t="s">
        <v>3717</v>
      </c>
      <c r="D11" s="13" t="s">
        <v>1224</v>
      </c>
      <c r="E11" s="13">
        <v>130</v>
      </c>
      <c r="F11" s="13" t="s">
        <v>5</v>
      </c>
      <c r="G11" s="13">
        <v>41</v>
      </c>
      <c r="H11" s="13" t="s">
        <v>6</v>
      </c>
      <c r="I11" s="13">
        <v>26.18</v>
      </c>
      <c r="J11" s="13" t="s">
        <v>7</v>
      </c>
      <c r="K11" s="13">
        <v>0.201384615384615</v>
      </c>
      <c r="L11" s="13" t="s">
        <v>8</v>
      </c>
      <c r="M11" s="13">
        <v>4.3690243902438999</v>
      </c>
      <c r="N11" s="13" t="s">
        <v>9</v>
      </c>
      <c r="O11" s="13">
        <v>-1.71853932584269</v>
      </c>
      <c r="P11" s="13" t="s">
        <v>10</v>
      </c>
      <c r="Q11" s="13">
        <v>0.751464016685364</v>
      </c>
      <c r="R11" s="13" t="s">
        <v>11</v>
      </c>
      <c r="S11" s="13" t="s">
        <v>2657</v>
      </c>
      <c r="T11" s="13" t="s">
        <v>3303</v>
      </c>
      <c r="U11" s="13">
        <v>0</v>
      </c>
      <c r="V11" s="13" t="s">
        <v>14</v>
      </c>
      <c r="W11" s="13" t="s">
        <v>15</v>
      </c>
      <c r="X11" s="13" t="s">
        <v>3535</v>
      </c>
      <c r="Y11" s="13" t="s">
        <v>3536</v>
      </c>
      <c r="Z11" s="13">
        <v>0</v>
      </c>
      <c r="AA11" s="13" t="s">
        <v>18</v>
      </c>
    </row>
    <row r="12" spans="1:27" s="13" customFormat="1" x14ac:dyDescent="0.3">
      <c r="A12" s="13" t="s">
        <v>3292</v>
      </c>
      <c r="B12" s="13" t="s">
        <v>3217</v>
      </c>
      <c r="C12" s="13" t="s">
        <v>3718</v>
      </c>
      <c r="D12" s="13" t="s">
        <v>1224</v>
      </c>
      <c r="E12" s="13">
        <v>157</v>
      </c>
      <c r="F12" s="13" t="s">
        <v>5</v>
      </c>
      <c r="G12" s="13">
        <v>73</v>
      </c>
      <c r="H12" s="13" t="s">
        <v>6</v>
      </c>
      <c r="I12" s="13">
        <v>25.0670024623812</v>
      </c>
      <c r="J12" s="13" t="s">
        <v>7</v>
      </c>
      <c r="K12" s="13">
        <v>0.15966243606612199</v>
      </c>
      <c r="L12" s="13" t="s">
        <v>8</v>
      </c>
      <c r="M12" s="13">
        <v>2.35486443790019</v>
      </c>
      <c r="N12" s="13" t="s">
        <v>9</v>
      </c>
      <c r="O12" s="13">
        <v>-1.74807263695634</v>
      </c>
      <c r="P12" s="13" t="s">
        <v>10</v>
      </c>
      <c r="Q12" s="13">
        <v>0.647327214377172</v>
      </c>
      <c r="R12" s="13" t="s">
        <v>11</v>
      </c>
      <c r="S12" s="13" t="s">
        <v>3477</v>
      </c>
      <c r="T12" s="13" t="s">
        <v>2655</v>
      </c>
      <c r="U12" s="13">
        <v>0</v>
      </c>
      <c r="V12" s="13" t="s">
        <v>14</v>
      </c>
      <c r="W12" s="13" t="s">
        <v>15</v>
      </c>
      <c r="X12" s="13" t="s">
        <v>3397</v>
      </c>
      <c r="Y12" s="13" t="s">
        <v>3398</v>
      </c>
      <c r="Z12" s="13">
        <v>0</v>
      </c>
      <c r="AA12" s="13" t="s">
        <v>18</v>
      </c>
    </row>
    <row r="13" spans="1:27" s="13" customFormat="1" x14ac:dyDescent="0.3">
      <c r="A13" s="13" t="s">
        <v>1220</v>
      </c>
      <c r="B13" s="13" t="s">
        <v>3266</v>
      </c>
      <c r="C13" s="13" t="s">
        <v>3719</v>
      </c>
      <c r="D13" s="13" t="s">
        <v>1224</v>
      </c>
      <c r="E13" s="13">
        <v>140</v>
      </c>
      <c r="F13" s="13" t="s">
        <v>5</v>
      </c>
      <c r="G13" s="13">
        <v>31</v>
      </c>
      <c r="H13" s="13" t="s">
        <v>6</v>
      </c>
      <c r="I13" s="13">
        <v>24.13</v>
      </c>
      <c r="J13" s="13" t="s">
        <v>7</v>
      </c>
      <c r="K13" s="13">
        <v>0.17235714285714299</v>
      </c>
      <c r="L13" s="13" t="s">
        <v>8</v>
      </c>
      <c r="M13" s="13">
        <v>6.3938709677419299</v>
      </c>
      <c r="N13" s="13" t="s">
        <v>9</v>
      </c>
      <c r="O13" s="13">
        <v>-1.5970642201834799</v>
      </c>
      <c r="P13" s="13" t="s">
        <v>10</v>
      </c>
      <c r="Q13" s="13">
        <v>0.77500908959773596</v>
      </c>
      <c r="R13" s="13" t="s">
        <v>11</v>
      </c>
      <c r="S13" s="13" t="s">
        <v>3528</v>
      </c>
      <c r="T13" s="13" t="s">
        <v>3529</v>
      </c>
      <c r="U13" s="13">
        <v>0</v>
      </c>
      <c r="V13" s="13" t="s">
        <v>14</v>
      </c>
      <c r="W13" s="13" t="s">
        <v>15</v>
      </c>
      <c r="X13" s="13" t="s">
        <v>3528</v>
      </c>
      <c r="Y13" s="13" t="s">
        <v>3529</v>
      </c>
      <c r="Z13" s="13">
        <v>0</v>
      </c>
      <c r="AA13" s="13" t="s">
        <v>18</v>
      </c>
    </row>
    <row r="14" spans="1:27" s="13" customFormat="1" x14ac:dyDescent="0.3">
      <c r="A14" s="13" t="s">
        <v>1219</v>
      </c>
      <c r="B14" s="13" t="s">
        <v>3237</v>
      </c>
      <c r="C14" s="13" t="s">
        <v>3720</v>
      </c>
      <c r="D14" s="13" t="s">
        <v>1224</v>
      </c>
      <c r="E14" s="13">
        <v>167</v>
      </c>
      <c r="F14" s="13" t="s">
        <v>5</v>
      </c>
      <c r="G14" s="13">
        <v>67</v>
      </c>
      <c r="H14" s="13" t="s">
        <v>6</v>
      </c>
      <c r="I14" s="13">
        <v>23.720602111433301</v>
      </c>
      <c r="J14" s="13" t="s">
        <v>7</v>
      </c>
      <c r="K14" s="13">
        <v>0.14203953360139701</v>
      </c>
      <c r="L14" s="13" t="s">
        <v>8</v>
      </c>
      <c r="M14" s="13">
        <v>2.7414801538591198</v>
      </c>
      <c r="N14" s="13" t="s">
        <v>9</v>
      </c>
      <c r="O14" s="13">
        <v>-1.5995856819712799</v>
      </c>
      <c r="P14" s="13" t="s">
        <v>10</v>
      </c>
      <c r="Q14" s="13">
        <v>0.90140848041944299</v>
      </c>
      <c r="R14" s="13" t="s">
        <v>11</v>
      </c>
      <c r="S14" s="13" t="s">
        <v>235</v>
      </c>
      <c r="T14" s="13" t="s">
        <v>77</v>
      </c>
      <c r="U14" s="13">
        <v>0</v>
      </c>
      <c r="V14" s="13" t="s">
        <v>14</v>
      </c>
      <c r="W14" s="13" t="s">
        <v>15</v>
      </c>
      <c r="X14" s="13" t="s">
        <v>3421</v>
      </c>
      <c r="Y14" s="13" t="s">
        <v>3398</v>
      </c>
      <c r="Z14" s="13">
        <v>0</v>
      </c>
      <c r="AA14" s="13" t="s">
        <v>18</v>
      </c>
    </row>
    <row r="15" spans="1:27" s="13" customFormat="1" x14ac:dyDescent="0.3">
      <c r="A15" s="13" t="s">
        <v>1143</v>
      </c>
      <c r="B15" s="13" t="s">
        <v>3269</v>
      </c>
      <c r="C15" s="13" t="s">
        <v>3721</v>
      </c>
      <c r="D15" s="13" t="s">
        <v>1224</v>
      </c>
      <c r="E15" s="13">
        <v>3062</v>
      </c>
      <c r="F15" s="13" t="s">
        <v>5</v>
      </c>
      <c r="G15" s="13">
        <v>1418</v>
      </c>
      <c r="H15" s="13" t="s">
        <v>6</v>
      </c>
      <c r="I15" s="13">
        <v>22.730232658529701</v>
      </c>
      <c r="J15" s="13" t="s">
        <v>7</v>
      </c>
      <c r="K15" s="13">
        <v>7.4233287585008896E-3</v>
      </c>
      <c r="L15" s="13" t="s">
        <v>8</v>
      </c>
      <c r="M15" s="13">
        <v>2.07144644699672</v>
      </c>
      <c r="N15" s="13" t="s">
        <v>9</v>
      </c>
      <c r="O15" s="13">
        <v>-1.7728593851476899</v>
      </c>
      <c r="P15" s="13" t="s">
        <v>10</v>
      </c>
      <c r="Q15" s="13">
        <v>3.4440774554572902</v>
      </c>
      <c r="R15" s="13" t="s">
        <v>11</v>
      </c>
      <c r="S15" s="13" t="s">
        <v>3359</v>
      </c>
      <c r="T15" s="13" t="s">
        <v>2542</v>
      </c>
      <c r="U15" s="13">
        <v>0</v>
      </c>
      <c r="V15" s="13" t="s">
        <v>14</v>
      </c>
      <c r="W15" s="13" t="s">
        <v>15</v>
      </c>
      <c r="X15" s="13" t="s">
        <v>3362</v>
      </c>
      <c r="Y15" s="13" t="s">
        <v>3361</v>
      </c>
      <c r="Z15" s="13">
        <v>0</v>
      </c>
      <c r="AA15" s="13" t="s">
        <v>18</v>
      </c>
    </row>
    <row r="16" spans="1:27" s="13" customFormat="1" x14ac:dyDescent="0.3">
      <c r="A16" s="13" t="s">
        <v>1223</v>
      </c>
      <c r="B16" s="13" t="s">
        <v>3214</v>
      </c>
      <c r="C16" s="13" t="s">
        <v>3722</v>
      </c>
      <c r="D16" s="13" t="s">
        <v>1224</v>
      </c>
      <c r="E16" s="13">
        <v>370</v>
      </c>
      <c r="F16" s="13" t="s">
        <v>5</v>
      </c>
      <c r="G16" s="13">
        <v>242</v>
      </c>
      <c r="H16" s="13" t="s">
        <v>6</v>
      </c>
      <c r="I16" s="13">
        <v>21.9280218701381</v>
      </c>
      <c r="J16" s="13" t="s">
        <v>7</v>
      </c>
      <c r="K16" s="13">
        <v>5.9264923973346303E-2</v>
      </c>
      <c r="L16" s="13" t="s">
        <v>8</v>
      </c>
      <c r="M16" s="13">
        <v>1.03145690386991</v>
      </c>
      <c r="N16" s="13" t="s">
        <v>9</v>
      </c>
      <c r="O16" s="13">
        <v>-1.7787855380186</v>
      </c>
      <c r="P16" s="13" t="s">
        <v>10</v>
      </c>
      <c r="Q16" s="13">
        <v>0.63850345692785704</v>
      </c>
      <c r="R16" s="13" t="s">
        <v>11</v>
      </c>
      <c r="S16" s="13" t="s">
        <v>2657</v>
      </c>
      <c r="T16" s="13" t="s">
        <v>3303</v>
      </c>
      <c r="U16" s="13">
        <v>0</v>
      </c>
      <c r="V16" s="13" t="s">
        <v>14</v>
      </c>
      <c r="W16" s="13" t="s">
        <v>15</v>
      </c>
      <c r="X16" s="13" t="s">
        <v>3617</v>
      </c>
      <c r="Y16" s="13" t="s">
        <v>3296</v>
      </c>
      <c r="Z16" s="13">
        <v>0</v>
      </c>
      <c r="AA16" s="13" t="s">
        <v>18</v>
      </c>
    </row>
    <row r="17" spans="1:27" x14ac:dyDescent="0.3">
      <c r="A17" t="s">
        <v>3292</v>
      </c>
      <c r="B17" t="s">
        <v>3216</v>
      </c>
      <c r="C17" t="s">
        <v>3723</v>
      </c>
      <c r="D17" t="s">
        <v>1224</v>
      </c>
      <c r="E17">
        <v>157</v>
      </c>
      <c r="F17" t="s">
        <v>5</v>
      </c>
      <c r="G17">
        <v>83</v>
      </c>
      <c r="H17" t="s">
        <v>6</v>
      </c>
      <c r="I17">
        <v>19.804643311246501</v>
      </c>
      <c r="J17" t="s">
        <v>7</v>
      </c>
      <c r="K17">
        <v>0.12614422491239799</v>
      </c>
      <c r="L17" t="s">
        <v>8</v>
      </c>
      <c r="M17">
        <v>1.7806342864638101</v>
      </c>
      <c r="N17" t="s">
        <v>9</v>
      </c>
      <c r="O17">
        <v>-1.72956760088175</v>
      </c>
      <c r="P17" t="s">
        <v>10</v>
      </c>
      <c r="Q17">
        <v>0.47244774207080098</v>
      </c>
      <c r="R17" t="s">
        <v>11</v>
      </c>
      <c r="S17" t="s">
        <v>2119</v>
      </c>
      <c r="T17" t="s">
        <v>3419</v>
      </c>
      <c r="U17">
        <v>0</v>
      </c>
      <c r="V17" t="s">
        <v>14</v>
      </c>
      <c r="W17" t="s">
        <v>15</v>
      </c>
      <c r="X17" t="s">
        <v>3476</v>
      </c>
      <c r="Y17" t="s">
        <v>3389</v>
      </c>
      <c r="Z17">
        <v>0</v>
      </c>
      <c r="AA17" t="s">
        <v>18</v>
      </c>
    </row>
    <row r="18" spans="1:27" x14ac:dyDescent="0.3">
      <c r="A18" t="s">
        <v>3292</v>
      </c>
      <c r="B18" t="s">
        <v>3214</v>
      </c>
      <c r="C18" t="s">
        <v>3724</v>
      </c>
      <c r="D18" t="s">
        <v>1224</v>
      </c>
      <c r="E18">
        <v>157</v>
      </c>
      <c r="F18" t="s">
        <v>5</v>
      </c>
      <c r="G18">
        <v>110</v>
      </c>
      <c r="H18" t="s">
        <v>6</v>
      </c>
      <c r="I18">
        <v>19.043851269517599</v>
      </c>
      <c r="J18" t="s">
        <v>7</v>
      </c>
      <c r="K18">
        <v>0.121298415729412</v>
      </c>
      <c r="L18" t="s">
        <v>8</v>
      </c>
      <c r="M18">
        <v>0.86874922407914001</v>
      </c>
      <c r="N18" t="s">
        <v>9</v>
      </c>
      <c r="O18">
        <v>-1.62805453998271</v>
      </c>
      <c r="P18" t="s">
        <v>10</v>
      </c>
      <c r="Q18">
        <v>0.28205775359616397</v>
      </c>
      <c r="R18" t="s">
        <v>11</v>
      </c>
      <c r="S18" t="s">
        <v>2294</v>
      </c>
      <c r="T18" t="s">
        <v>3474</v>
      </c>
      <c r="U18">
        <v>0</v>
      </c>
      <c r="V18" t="s">
        <v>14</v>
      </c>
      <c r="W18" t="s">
        <v>15</v>
      </c>
      <c r="X18" t="s">
        <v>3475</v>
      </c>
      <c r="Y18" t="s">
        <v>3389</v>
      </c>
      <c r="Z18">
        <v>0</v>
      </c>
      <c r="AA18" t="s">
        <v>18</v>
 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>
      </c>
      <c r="E19">
        <v>157</v>
      </c>
      <c r="F19" t="s">
        <v>5</v>
      </c>
      <c r="G19">
        <v>61</v>
      </c>
      <c r="H19" t="s">
        <v>6</v>
      </c>
      <c r="I19">
        <v>18.749538345948299</v>
      </c>
      <c r="J19" t="s">
        <v>7</v>
      </c>
      <c r="K19">
        <v>0.11942381112069</v>
      </c>
      <c r="L19" t="s">
        <v>8</v>
      </c>
      <c r="M19">
        <v>2.2891803278688498</v>
      </c>
      <c r="N19" t="s">
        <v>9</v>
      </c>
      <c r="O19">
        <v>-1.2592756422297</v>
      </c>
      <c r="P19" t="s">
        <v>10</v>
      </c>
      <c r="Q19">
        <v>0.76166364998717395</v>
      </c>
      <c r="R19" t="s">
        <v>11</v>
      </c>
      <c r="S19" t="s">
        <v>2665</v>
      </c>
      <c r="T19" t="s">
        <v>2666</v>
      </c>
      <c r="U19">
        <v>0</v>
      </c>
      <c r="V19" t="s">
        <v>14</v>
      </c>
      <c r="W19" t="s">
        <v>15</v>
      </c>
      <c r="X19" t="s">
        <v>3430</v>
      </c>
      <c r="Y19" t="s">
        <v>3398</v>
      </c>
      <c r="Z19">
        <v>0</v>
      </c>
      <c r="AA19" t="s">
        <v>18</v>
      </c>
    </row>
    <row r="20" spans="1:27" x14ac:dyDescent="0.3">
      <c r="A20" t="s">
        <v>3292</v>
      </c>
      <c r="B20" t="s">
        <v>3254</v>
      </c>
      <c r="C20" t="s">
        <v>3726</v>
      </c>
      <c r="D20" t="s">
        <v>1224</v>
      </c>
      <c r="E20">
        <v>157</v>
      </c>
      <c r="F20" t="s">
        <v>5</v>
      </c>
      <c r="G20">
        <v>63</v>
      </c>
      <c r="H20" t="s">
        <v>6</v>
      </c>
      <c r="I20">
        <v>18.379538345948301</v>
      </c>
      <c r="J20" t="s">
        <v>7</v>
      </c>
      <c r="K20">
        <v>0.117067123222601</v>
      </c>
      <c r="L20" t="s">
        <v>8</v>
      </c>
      <c r="M20">
        <v>2.15031746031746</v>
      </c>
      <c r="N20" t="s">
        <v>9</v>
      </c>
      <c r="O20">
        <v>-1.24564320908565</v>
      </c>
      <c r="P20" t="s">
        <v>10</v>
      </c>
      <c r="Q20">
        <v>0.63349887099369395</v>
      </c>
      <c r="R20" t="s">
        <v>11</v>
      </c>
      <c r="S20" t="s">
        <v>3427</v>
      </c>
      <c r="T20" t="s">
        <v>635</v>
      </c>
      <c r="U20">
        <v>0</v>
      </c>
      <c r="V20" t="s">
        <v>14</v>
      </c>
      <c r="W20" t="s">
        <v>15</v>
      </c>
      <c r="X20" t="s">
        <v>3430</v>
      </c>
      <c r="Y20" t="s">
        <v>3398</v>
      </c>
      <c r="Z20">
        <v>0</v>
      </c>
      <c r="AA20" t="s">
        <v>18</v>
      </c>
    </row>
    <row r="21" spans="1:27" x14ac:dyDescent="0.3">
      <c r="A21" t="s">
        <v>1220</v>
      </c>
      <c r="B21" t="s">
        <v>3272</v>
      </c>
      <c r="C21" t="s">
        <v>3727</v>
      </c>
      <c r="D21" t="s">
        <v>1224</v>
      </c>
      <c r="E21">
        <v>139</v>
      </c>
      <c r="F21" t="s">
        <v>5</v>
      </c>
      <c r="G21">
        <v>26</v>
      </c>
      <c r="H21" t="s">
        <v>6</v>
      </c>
      <c r="I21">
        <v>18.369459125791501</v>
      </c>
      <c r="J21" t="s">
        <v>7</v>
      </c>
      <c r="K21">
        <v>0.132154382199939</v>
      </c>
      <c r="L21" t="s">
        <v>8</v>
      </c>
      <c r="M21">
        <v>8.55044515296367</v>
      </c>
      <c r="N21" t="s">
        <v>9</v>
      </c>
      <c r="O21">
        <v>-1.80479747655985</v>
      </c>
      <c r="P21" t="s">
        <v>10</v>
      </c>
      <c r="Q21">
        <v>0.79964340441356796</v>
      </c>
      <c r="R21" t="s">
        <v>11</v>
      </c>
      <c r="S21" t="s">
        <v>3515</v>
      </c>
      <c r="T21" t="s">
        <v>2655</v>
      </c>
      <c r="U21">
        <v>0</v>
      </c>
      <c r="V21" t="s">
        <v>14</v>
      </c>
      <c r="W21" t="s">
        <v>15</v>
      </c>
      <c r="X21" t="s">
        <v>1339</v>
      </c>
      <c r="Y21" t="s">
        <v>2783</v>
      </c>
      <c r="Z21">
        <v>0</v>
      </c>
      <c r="AA21" t="s">
        <v>18</v>
      </c>
    </row>
    <row r="22" spans="1:27" x14ac:dyDescent="0.3">
      <c r="A22" t="s">
        <v>3293</v>
      </c>
      <c r="B22" t="s">
        <v>3207</v>
      </c>
      <c r="C22" t="s">
        <v>3728</v>
      </c>
      <c r="D22" t="s">
        <v>1224</v>
      </c>
      <c r="E22">
        <v>334</v>
      </c>
      <c r="F22" t="s">
        <v>5</v>
      </c>
      <c r="G22">
        <v>161</v>
      </c>
      <c r="H22" t="s">
        <v>6</v>
      </c>
      <c r="I22">
        <v>18.340000000000199</v>
      </c>
      <c r="J22" t="s">
        <v>7</v>
      </c>
      <c r="K22">
        <v>5.4910179640719099E-2</v>
      </c>
      <c r="L22" t="s">
        <v>8</v>
      </c>
      <c r="M22">
        <v>1.9193788819875699</v>
      </c>
      <c r="N22" t="s">
        <v>9</v>
      </c>
      <c r="O22">
        <v>-1.6802312138728299</v>
      </c>
      <c r="P22" t="s">
        <v>10</v>
      </c>
      <c r="Q22">
        <v>1.1845745276153801</v>
      </c>
      <c r="R22" t="s">
        <v>11</v>
      </c>
      <c r="S22" t="s">
        <v>3452</v>
      </c>
      <c r="T22" t="s">
        <v>2644</v>
      </c>
      <c r="U22">
        <v>0</v>
      </c>
      <c r="V22" t="s">
        <v>14</v>
      </c>
      <c r="W22" t="s">
        <v>15</v>
      </c>
      <c r="X22" t="s">
        <v>3670</v>
      </c>
      <c r="Y22" t="s">
        <v>2644</v>
      </c>
      <c r="Z22">
        <v>0</v>
      </c>
      <c r="AA22" t="s">
        <v>18</v>
      </c>
    </row>
    <row r="23" spans="1:27" x14ac:dyDescent="0.3">
      <c r="A23" t="s">
        <v>1221</v>
      </c>
      <c r="B23" t="s">
        <v>3273</v>
      </c>
      <c r="C23" t="s">
        <v>3729</v>
      </c>
      <c r="D23" t="s">
        <v>1224</v>
      </c>
      <c r="E23">
        <v>130</v>
      </c>
      <c r="F23" t="s">
        <v>5</v>
      </c>
      <c r="G23">
        <v>19</v>
      </c>
      <c r="H23" t="s">
        <v>6</v>
      </c>
      <c r="I23">
        <v>17.778328249360701</v>
      </c>
      <c r="J23" t="s">
        <v>7</v>
      </c>
      <c r="K23">
        <v>0.136756371148929</v>
      </c>
      <c r="L23" t="s">
        <v>8</v>
      </c>
      <c r="M23">
        <v>11.3132407356345</v>
      </c>
      <c r="N23" t="s">
        <v>9</v>
      </c>
      <c r="O23">
        <v>-1.77633554709634</v>
      </c>
      <c r="P23" t="s">
        <v>10</v>
      </c>
      <c r="Q23">
        <v>0.87306629325242502</v>
      </c>
      <c r="R23" t="s">
        <v>11</v>
      </c>
      <c r="S23" t="s">
        <v>3515</v>
      </c>
      <c r="T23" t="s">
        <v>2655</v>
      </c>
      <c r="U23">
        <v>0</v>
      </c>
      <c r="V23" t="s">
        <v>14</v>
      </c>
      <c r="W23" t="s">
        <v>15</v>
      </c>
      <c r="X23" t="s">
        <v>3532</v>
      </c>
      <c r="Y23" t="s">
        <v>3533</v>
      </c>
      <c r="Z23">
        <v>0</v>
      </c>
      <c r="AA23" t="s">
        <v>18</v>
      </c>
    </row>
    <row r="24" spans="1:27" x14ac:dyDescent="0.3">
      <c r="A24" t="s">
        <v>1221</v>
      </c>
      <c r="B24" t="s">
        <v>3284</v>
      </c>
      <c r="C24" t="s">
        <v>3730</v>
      </c>
      <c r="D24" t="s">
        <v>1224</v>
      </c>
      <c r="E24">
        <v>130</v>
      </c>
      <c r="F24" t="s">
        <v>5</v>
      </c>
      <c r="G24">
        <v>44</v>
      </c>
      <c r="H24" t="s">
        <v>6</v>
      </c>
      <c r="I24">
        <v>16.46</v>
      </c>
      <c r="J24" t="s">
        <v>7</v>
      </c>
      <c r="K24">
        <v>0.12661538461538499</v>
      </c>
      <c r="L24" t="s">
        <v>8</v>
      </c>
      <c r="M24">
        <v>3.6981818181818098</v>
      </c>
      <c r="N24" t="s">
        <v>9</v>
      </c>
      <c r="O24">
        <v>-1.7006976744186</v>
      </c>
      <c r="P24" t="s">
        <v>10</v>
      </c>
      <c r="Q24">
        <v>0.63081155706535097</v>
      </c>
      <c r="R24" t="s">
        <v>11</v>
      </c>
      <c r="S24" t="s">
        <v>2657</v>
      </c>
      <c r="T24" t="s">
        <v>3303</v>
      </c>
      <c r="U24">
        <v>0</v>
      </c>
      <c r="V24" t="s">
        <v>14</v>
      </c>
      <c r="W24" t="s">
        <v>15</v>
      </c>
      <c r="X24" t="s">
        <v>3535</v>
      </c>
      <c r="Y24" t="s">
        <v>3536</v>
      </c>
      <c r="Z24">
        <v>0</v>
      </c>
      <c r="AA24" t="s">
        <v>18</v>
      </c>
    </row>
    <row r="25" spans="1:27" x14ac:dyDescent="0.3">
      <c r="A25" t="s">
        <v>1220</v>
      </c>
      <c r="B25" t="s">
        <v>3285</v>
      </c>
      <c r="C25" t="s">
        <v>3731</v>
      </c>
      <c r="D25" t="s">
        <v>1224</v>
      </c>
      <c r="E25">
        <v>140</v>
      </c>
      <c r="F25" t="s">
        <v>5</v>
      </c>
      <c r="G25">
        <v>42</v>
      </c>
      <c r="H25" t="s">
        <v>6</v>
      </c>
      <c r="I25">
        <v>15.48</v>
      </c>
      <c r="J25" t="s">
        <v>7</v>
      </c>
      <c r="K25">
        <v>0.110571428571428</v>
      </c>
      <c r="L25" t="s">
        <v>8</v>
      </c>
      <c r="M25">
        <v>4.5047619047619003</v>
      </c>
      <c r="N25" t="s">
        <v>9</v>
      </c>
      <c r="O25">
        <v>-1.77265306122449</v>
      </c>
      <c r="P25" t="s">
        <v>10</v>
      </c>
      <c r="Q25">
        <v>0.82616227301123302</v>
      </c>
      <c r="R25" t="s">
        <v>11</v>
      </c>
      <c r="S25" t="s">
        <v>2657</v>
      </c>
      <c r="T25" t="s">
        <v>3303</v>
      </c>
      <c r="U25">
        <v>0</v>
      </c>
      <c r="V25" t="s">
        <v>14</v>
      </c>
      <c r="W25" t="s">
        <v>15</v>
      </c>
      <c r="X25" t="s">
        <v>3535</v>
      </c>
      <c r="Y25" t="s">
        <v>3536</v>
      </c>
      <c r="Z25">
        <v>0</v>
      </c>
      <c r="AA25" t="s">
        <v>18</v>
      </c>
    </row>
    <row r="26" spans="1:27" x14ac:dyDescent="0.3">
      <c r="A26" t="s">
        <v>1220</v>
      </c>
      <c r="B26" t="s">
        <v>3288</v>
      </c>
      <c r="C26" t="s">
        <v>3732</v>
      </c>
      <c r="D26" t="s">
        <v>1224</v>
      </c>
      <c r="E26">
        <v>139</v>
      </c>
      <c r="F26" t="s">
        <v>5</v>
      </c>
      <c r="G26">
        <v>55</v>
      </c>
      <c r="H26" t="s">
        <v>6</v>
      </c>
      <c r="I26">
        <v>14.9324294467007</v>
      </c>
      <c r="J26" t="s">
        <v>7</v>
      </c>
      <c r="K26">
        <v>0.107427549976264</v>
      </c>
      <c r="L26" t="s">
        <v>8</v>
      </c>
      <c r="M26">
        <v>2.7328887989327</v>
      </c>
      <c r="N26" t="s">
        <v>9</v>
      </c>
      <c r="O26">
        <v>-1.61162445826902</v>
      </c>
      <c r="P26" t="s">
        <v>10</v>
      </c>
      <c r="Q26">
        <v>0.48496547881697699</v>
      </c>
      <c r="R26" t="s">
        <v>11</v>
      </c>
      <c r="S26" t="s">
        <v>2657</v>
      </c>
      <c r="T26" t="s">
        <v>3303</v>
      </c>
      <c r="U26">
        <v>0</v>
      </c>
      <c r="V26" t="s">
        <v>14</v>
      </c>
      <c r="W26" t="s">
        <v>15</v>
      </c>
      <c r="X26" t="s">
        <v>2657</v>
      </c>
      <c r="Y26" t="s">
        <v>3303</v>
      </c>
      <c r="Z26">
        <v>0</v>
      </c>
      <c r="AA26" t="s">
        <v>18</v>
      </c>
    </row>
    <row r="27" spans="1:27" x14ac:dyDescent="0.3">
      <c r="A27" t="s">
        <v>1221</v>
      </c>
      <c r="B27" t="s">
        <v>3290</v>
      </c>
      <c r="C27" t="s">
        <v>3733</v>
      </c>
      <c r="D27" t="s">
        <v>1224</v>
      </c>
      <c r="E27">
        <v>130</v>
      </c>
      <c r="F27" t="s">
        <v>5</v>
      </c>
      <c r="G27">
        <v>33</v>
      </c>
      <c r="H27" t="s">
        <v>6</v>
      </c>
      <c r="I27">
        <v>14.894887221882501</v>
      </c>
      <c r="J27" t="s">
        <v>7</v>
      </c>
      <c r="K27">
        <v>0.11457605555294199</v>
      </c>
      <c r="L27" t="s">
        <v>8</v>
      </c>
      <c r="M27">
        <v>5.1542830823175798</v>
      </c>
      <c r="N27" t="s">
        <v>9</v>
      </c>
      <c r="O27">
        <v>-1.5999634483979099</v>
      </c>
      <c r="P27" t="s">
        <v>10</v>
      </c>
      <c r="Q27">
        <v>0.695125572206441</v>
      </c>
      <c r="R27" t="s">
        <v>11</v>
      </c>
      <c r="S27" t="s">
        <v>3548</v>
      </c>
      <c r="T27" t="s">
        <v>3320</v>
      </c>
      <c r="U27">
        <v>0</v>
      </c>
      <c r="V27" t="s">
        <v>14</v>
      </c>
      <c r="W27" t="s">
        <v>15</v>
      </c>
      <c r="X27" t="s">
        <v>3548</v>
      </c>
      <c r="Y27" t="s">
        <v>3320</v>
      </c>
      <c r="Z27">
        <v>0</v>
      </c>
      <c r="AA27" t="s">
        <v>18</v>
      </c>
    </row>
    <row r="28" spans="1:27" x14ac:dyDescent="0.3">
      <c r="A28" t="s">
        <v>1221</v>
      </c>
      <c r="B28" t="s">
        <v>3288</v>
      </c>
      <c r="C28" t="s">
        <v>3734</v>
      </c>
      <c r="D28" t="s">
        <v>1224</v>
      </c>
      <c r="E28">
        <v>130</v>
      </c>
      <c r="F28" t="s">
        <v>5</v>
      </c>
      <c r="G28">
        <v>51</v>
      </c>
      <c r="H28" t="s">
        <v>6</v>
      </c>
      <c r="I28">
        <v>14.812429446700699</v>
      </c>
      <c r="J28" t="s">
        <v>7</v>
      </c>
      <c r="K28">
        <v>0.113941764974621</v>
      </c>
      <c r="L28" t="s">
        <v>8</v>
      </c>
      <c r="M28">
        <v>2.6319389008097702</v>
      </c>
      <c r="N28" t="s">
        <v>9</v>
      </c>
      <c r="O28">
        <v>-1.51160068980503</v>
      </c>
      <c r="P28" t="s">
        <v>10</v>
      </c>
      <c r="Q28">
        <v>0.43625227217825002</v>
      </c>
      <c r="R28" t="s">
        <v>11</v>
      </c>
      <c r="S28" t="s">
        <v>2657</v>
      </c>
      <c r="T28" t="s">
        <v>3303</v>
      </c>
      <c r="U28">
        <v>0</v>
      </c>
      <c r="V28" t="s">
        <v>14</v>
      </c>
      <c r="W28" t="s">
        <v>15</v>
      </c>
      <c r="X28" t="s">
        <v>2657</v>
      </c>
      <c r="Y28" t="s">
        <v>3303</v>
      </c>
      <c r="Z28">
        <v>0</v>
      </c>
      <c r="AA28" t="s">
        <v>18</v>
      </c>
    </row>
    <row r="29" spans="1:27" x14ac:dyDescent="0.3">
      <c r="A29" t="s">
        <v>1220</v>
      </c>
      <c r="B29" t="s">
        <v>3283</v>
      </c>
      <c r="C29" t="s">
        <v>3735</v>
      </c>
      <c r="D29" t="s">
        <v>1224</v>
      </c>
      <c r="E29">
        <v>140</v>
      </c>
      <c r="F29" t="s">
        <v>5</v>
      </c>
      <c r="G29">
        <v>51</v>
      </c>
      <c r="H29" t="s">
        <v>6</v>
      </c>
      <c r="I29">
        <v>13.38</v>
      </c>
      <c r="J29" t="s">
        <v>7</v>
      </c>
      <c r="K29">
        <v>9.5571428571428696E-2</v>
      </c>
      <c r="L29" t="s">
        <v>8</v>
      </c>
      <c r="M29">
        <v>3.3147058823529401</v>
      </c>
      <c r="N29" t="s">
        <v>9</v>
      </c>
      <c r="O29">
        <v>-1.7491011235955001</v>
      </c>
      <c r="P29" t="s">
        <v>10</v>
      </c>
      <c r="Q29">
        <v>0.58554098799863996</v>
      </c>
      <c r="R29" t="s">
        <v>11</v>
      </c>
      <c r="S29" t="s">
        <v>2657</v>
      </c>
      <c r="T29" t="s">
        <v>3303</v>
      </c>
      <c r="U29">
        <v>0</v>
      </c>
      <c r="V29" t="s">
        <v>14</v>
      </c>
      <c r="W29" t="s">
        <v>15</v>
      </c>
      <c r="X29" t="s">
        <v>2657</v>
      </c>
      <c r="Y29" t="s">
        <v>3303</v>
      </c>
      <c r="Z29">
        <v>0</v>
      </c>
      <c r="AA29" t="s">
        <v>18</v>
      </c>
    </row>
    <row r="30" spans="1:27" x14ac:dyDescent="0.3">
      <c r="A30" t="s">
        <v>1221</v>
      </c>
      <c r="B30" t="s">
        <v>3291</v>
      </c>
      <c r="C30" t="s">
        <v>3736</v>
      </c>
      <c r="D30" t="s">
        <v>1224</v>
      </c>
      <c r="E30">
        <v>130</v>
      </c>
      <c r="F30" t="s">
        <v>5</v>
      </c>
      <c r="G30">
        <v>29</v>
      </c>
      <c r="H30" t="s">
        <v>6</v>
      </c>
      <c r="I30">
        <v>13.0440034237561</v>
      </c>
      <c r="J30" t="s">
        <v>7</v>
      </c>
      <c r="K30">
        <v>0.100338487875047</v>
      </c>
      <c r="L30" t="s">
        <v>8</v>
      </c>
      <c r="M30">
        <v>6.1669123420121998</v>
      </c>
      <c r="N30" t="s">
        <v>9</v>
      </c>
      <c r="O30">
        <v>-1.64154905440195</v>
      </c>
      <c r="P30" t="s">
        <v>10</v>
      </c>
      <c r="Q30">
        <v>0.76969733093913595</v>
      </c>
      <c r="R30" t="s">
        <v>11</v>
      </c>
      <c r="S30" t="s">
        <v>3538</v>
      </c>
      <c r="T30" t="s">
        <v>2568</v>
      </c>
      <c r="U30">
        <v>0</v>
      </c>
      <c r="V30" t="s">
        <v>14</v>
      </c>
      <c r="W30" t="s">
        <v>15</v>
      </c>
      <c r="X30" t="s">
        <v>3539</v>
      </c>
      <c r="Y30" t="s">
        <v>2793</v>
      </c>
      <c r="Z30">
        <v>0</v>
      </c>
      <c r="AA30" t="s">
        <v>18</v>
      </c>
    </row>
    <row r="31" spans="1:27" x14ac:dyDescent="0.3">
      <c r="A31" t="s">
        <v>3292</v>
      </c>
      <c r="B31" t="s">
        <v>3215</v>
      </c>
      <c r="C31" t="s">
        <v>3737</v>
      </c>
      <c r="D31" t="s">
        <v>1224</v>
      </c>
      <c r="E31">
        <v>157</v>
      </c>
      <c r="F31" t="s">
        <v>5</v>
      </c>
      <c r="G31">
        <v>94</v>
      </c>
      <c r="H31" t="s">
        <v>6</v>
      </c>
      <c r="I31">
        <v>12.855411002106599</v>
      </c>
      <c r="J31" t="s">
        <v>7</v>
      </c>
      <c r="K31">
        <v>8.1881598739532602E-2</v>
      </c>
      <c r="L31" t="s">
        <v>8</v>
      </c>
      <c r="M31">
        <v>1.2691912168222801</v>
      </c>
      <c r="N31" t="s">
        <v>9</v>
      </c>
      <c r="O31">
        <v>-1.68965973617758</v>
      </c>
      <c r="P31" t="s">
        <v>10</v>
      </c>
      <c r="Q31">
        <v>0.36291277112966502</v>
      </c>
      <c r="R31" t="s">
        <v>11</v>
      </c>
      <c r="S31" t="s">
        <v>2119</v>
      </c>
      <c r="T31" t="s">
        <v>3419</v>
      </c>
      <c r="U31">
        <v>0</v>
      </c>
      <c r="V31" t="s">
        <v>14</v>
      </c>
      <c r="W31" t="s">
        <v>15</v>
      </c>
      <c r="X31" t="s">
        <v>3476</v>
      </c>
      <c r="Y31" t="s">
        <v>3389</v>
      </c>
      <c r="Z31">
        <v>0</v>
      </c>
      <c r="AA31" t="s">
        <v>18</v>
      </c>
    </row>
    <row r="32" spans="1:27" x14ac:dyDescent="0.3">
      <c r="A32" t="s">
        <v>1222</v>
      </c>
      <c r="B32" t="s">
        <v>3288</v>
      </c>
      <c r="C32" t="s">
        <v>3738</v>
      </c>
      <c r="D32" t="s">
        <v>1224</v>
      </c>
      <c r="E32">
        <v>127</v>
      </c>
      <c r="F32" t="s">
        <v>5</v>
      </c>
      <c r="G32">
        <v>52</v>
      </c>
      <c r="H32" t="s">
        <v>6</v>
      </c>
      <c r="I32">
        <v>12.801246213298599</v>
      </c>
      <c r="J32" t="s">
        <v>7</v>
      </c>
      <c r="K32">
        <v>0.100797214277942</v>
      </c>
      <c r="L32" t="s">
        <v>8</v>
      </c>
      <c r="M32">
        <v>2.5260175098822999</v>
      </c>
      <c r="N32" t="s">
        <v>9</v>
      </c>
      <c r="O32">
        <v>-1.58068885734107</v>
      </c>
      <c r="P32" t="s">
        <v>10</v>
      </c>
      <c r="Q32">
        <v>0.50227417547689601</v>
      </c>
      <c r="R32" t="s">
        <v>11</v>
      </c>
      <c r="S32" t="s">
        <v>3605</v>
      </c>
      <c r="T32" t="s">
        <v>2071</v>
      </c>
      <c r="U32">
        <v>0</v>
      </c>
      <c r="V32" t="s">
        <v>14</v>
      </c>
      <c r="W32" t="s">
        <v>15</v>
      </c>
      <c r="X32" t="s">
        <v>3606</v>
      </c>
      <c r="Y32" t="s">
        <v>3607</v>
      </c>
      <c r="Z32">
        <v>0</v>
      </c>
      <c r="AA32" t="s">
        <v>18</v>
      </c>
    </row>
    <row r="33" spans="1:27" x14ac:dyDescent="0.3">
      <c r="A33" t="s">
        <v>1223</v>
      </c>
      <c r="B33" t="s">
        <v>3272</v>
      </c>
      <c r="C33" t="s">
        <v>3739</v>
      </c>
      <c r="D33" t="s">
        <v>1224</v>
      </c>
      <c r="E33">
        <v>370</v>
      </c>
      <c r="F33" t="s">
        <v>5</v>
      </c>
      <c r="G33">
        <v>67</v>
      </c>
      <c r="H33" t="s">
        <v>6</v>
      </c>
      <c r="I33">
        <v>12.481834500769001</v>
      </c>
      <c r="J33" t="s">
        <v>7</v>
      </c>
      <c r="K33">
        <v>3.3734687839916302E-2</v>
      </c>
      <c r="L33" t="s">
        <v>8</v>
      </c>
      <c r="M33">
        <v>8.2771231262999905</v>
      </c>
      <c r="N33" t="s">
        <v>9</v>
      </c>
      <c r="O33">
        <v>-1.7890607754499299</v>
      </c>
      <c r="P33" t="s">
        <v>10</v>
      </c>
      <c r="Q33">
        <v>1.7616731438876401</v>
      </c>
      <c r="R33" t="s">
        <v>11</v>
      </c>
      <c r="S33" t="s">
        <v>3356</v>
      </c>
      <c r="T33" t="s">
        <v>2914</v>
      </c>
      <c r="U33">
        <v>0</v>
      </c>
      <c r="V33" t="s">
        <v>14</v>
      </c>
      <c r="W33" t="s">
        <v>15</v>
      </c>
      <c r="X33" t="s">
        <v>3657</v>
      </c>
      <c r="Y33" t="s">
        <v>3658</v>
      </c>
      <c r="Z33">
        <v>0</v>
      </c>
      <c r="AA33" t="s">
        <v>18</v>
      </c>
    </row>
    <row r="34" spans="1:27" x14ac:dyDescent="0.3">
      <c r="A34" t="s">
        <v>3292</v>
      </c>
      <c r="B34" t="s">
        <v>3218</v>
      </c>
      <c r="C34" t="s">
        <v>3740</v>
      </c>
      <c r="D34" t="s">
        <v>1224</v>
      </c>
      <c r="E34">
        <v>157</v>
      </c>
      <c r="F34" t="s">
        <v>5</v>
      </c>
      <c r="G34">
        <v>67</v>
      </c>
      <c r="H34" t="s">
        <v>6</v>
      </c>
      <c r="I34">
        <v>12.213905303693901</v>
      </c>
      <c r="J34" t="s">
        <v>7</v>
      </c>
      <c r="K34">
        <v>7.7795575182763796E-2</v>
      </c>
      <c r="L34" t="s">
        <v>8</v>
      </c>
      <c r="M34">
        <v>2.5547427937519598</v>
      </c>
      <c r="N34" t="s">
        <v>9</v>
      </c>
      <c r="O34">
        <v>-1.7661540208632001</v>
      </c>
      <c r="P34" t="s">
        <v>10</v>
      </c>
      <c r="Q34">
        <v>0.74914653649875096</v>
      </c>
      <c r="R34" t="s">
        <v>11</v>
      </c>
      <c r="S34" t="s">
        <v>3399</v>
      </c>
      <c r="T34" t="s">
        <v>3400</v>
      </c>
      <c r="U34">
        <v>0</v>
      </c>
      <c r="V34" t="s">
        <v>14</v>
      </c>
      <c r="W34" t="s">
        <v>15</v>
      </c>
      <c r="X34" t="s">
        <v>3401</v>
      </c>
      <c r="Y34" t="s">
        <v>3398</v>
      </c>
      <c r="Z34">
        <v>0</v>
      </c>
      <c r="AA34" t="s">
        <v>18</v>
      </c>
    </row>
    <row r="35" spans="1:27" x14ac:dyDescent="0.3">
      <c r="A35" t="s">
        <v>1219</v>
      </c>
      <c r="B35" t="s">
        <v>3217</v>
      </c>
      <c r="C35" t="s">
        <v>3741</v>
      </c>
      <c r="D35" t="s">
        <v>1224</v>
      </c>
      <c r="E35">
        <v>167</v>
      </c>
      <c r="F35" t="s">
        <v>5</v>
      </c>
      <c r="G35">
        <v>75</v>
      </c>
      <c r="H35" t="s">
        <v>6</v>
      </c>
      <c r="I35">
        <v>11.884280550872701</v>
      </c>
      <c r="J35" t="s">
        <v>7</v>
      </c>
      <c r="K35">
        <v>7.1163356592052501E-2</v>
      </c>
      <c r="L35" t="s">
        <v>8</v>
      </c>
      <c r="M35">
        <v>2.4041394616570999</v>
      </c>
      <c r="N35" t="s">
        <v>9</v>
      </c>
      <c r="O35">
        <v>-1.8307193377544499</v>
      </c>
      <c r="P35" t="s">
        <v>10</v>
      </c>
      <c r="Q35">
        <v>0.66312417160918802</v>
      </c>
      <c r="R35" t="s">
        <v>11</v>
      </c>
      <c r="S35" t="s">
        <v>3395</v>
      </c>
      <c r="T35" t="s">
        <v>2221</v>
      </c>
      <c r="U35">
        <v>0</v>
      </c>
      <c r="V35" t="s">
        <v>14</v>
      </c>
      <c r="W35" t="s">
        <v>15</v>
      </c>
      <c r="X35" t="s">
        <v>3397</v>
      </c>
      <c r="Y35" t="s">
        <v>3398</v>
      </c>
      <c r="Z35">
        <v>0</v>
      </c>
      <c r="AA35" t="s">
        <v>18</v>
      </c>
    </row>
    <row r="36" spans="1:27" x14ac:dyDescent="0.3">
      <c r="A36" t="s">
        <v>1220</v>
      </c>
      <c r="B36" t="s">
        <v>3267</v>
      </c>
      <c r="C36" t="s">
        <v>3742</v>
      </c>
      <c r="D36" t="s">
        <v>1224</v>
      </c>
      <c r="E36">
        <v>140</v>
      </c>
      <c r="F36" t="s">
        <v>5</v>
      </c>
      <c r="G36">
        <v>27</v>
      </c>
      <c r="H36" t="s">
        <v>6</v>
      </c>
      <c r="I36">
        <v>11.59</v>
      </c>
      <c r="J36" t="s">
        <v>7</v>
      </c>
      <c r="K36">
        <v>8.2785714285714504E-2</v>
      </c>
      <c r="L36" t="s">
        <v>8</v>
      </c>
      <c r="M36">
        <v>7.2325925925925896</v>
      </c>
      <c r="N36" t="s">
        <v>9</v>
      </c>
      <c r="O36">
        <v>-1.6255752212389301</v>
      </c>
      <c r="P36" t="s">
        <v>10</v>
      </c>
      <c r="Q36">
        <v>0.89378738439977401</v>
      </c>
      <c r="R36" t="s">
        <v>11</v>
      </c>
      <c r="S36" t="s">
        <v>3530</v>
      </c>
      <c r="T36" t="s">
        <v>2640</v>
      </c>
      <c r="U36">
        <v>0</v>
      </c>
      <c r="V36" t="s">
        <v>14</v>
      </c>
      <c r="W36" t="s">
        <v>15</v>
      </c>
      <c r="X36" t="s">
        <v>3531</v>
      </c>
      <c r="Y36" t="s">
        <v>3506</v>
      </c>
      <c r="Z36">
        <v>0</v>
      </c>
      <c r="AA36" t="s">
        <v>18</v>
      </c>
    </row>
    <row r="37" spans="1:27" x14ac:dyDescent="0.3">
      <c r="A37" t="s">
        <v>1221</v>
      </c>
      <c r="B37" t="s">
        <v>3283</v>
      </c>
      <c r="C37" t="s">
        <v>3743</v>
      </c>
      <c r="D37" t="s">
        <v>1224</v>
      </c>
      <c r="E37">
        <v>130</v>
      </c>
      <c r="F37" t="s">
        <v>5</v>
      </c>
      <c r="G37">
        <v>48</v>
      </c>
      <c r="H37" t="s">
        <v>6</v>
      </c>
      <c r="I37">
        <v>11.38</v>
      </c>
      <c r="J37" t="s">
        <v>7</v>
      </c>
      <c r="K37">
        <v>8.7538461538461607E-2</v>
      </c>
      <c r="L37" t="s">
        <v>8</v>
      </c>
      <c r="M37">
        <v>3.1308333333333298</v>
      </c>
      <c r="N37" t="s">
        <v>9</v>
      </c>
      <c r="O37">
        <v>-1.69390243902439</v>
      </c>
      <c r="P37" t="s">
        <v>10</v>
      </c>
      <c r="Q37">
        <v>0.51146521315813498</v>
      </c>
      <c r="R37" t="s">
        <v>11</v>
      </c>
      <c r="S37" t="s">
        <v>2657</v>
      </c>
      <c r="T37" t="s">
        <v>3303</v>
      </c>
      <c r="U37">
        <v>0</v>
      </c>
      <c r="V37" t="s">
        <v>14</v>
      </c>
      <c r="W37" t="s">
        <v>15</v>
      </c>
      <c r="X37" t="s">
        <v>2657</v>
      </c>
      <c r="Y37" t="s">
        <v>3303</v>
      </c>
      <c r="Z37">
        <v>0</v>
      </c>
      <c r="AA37" t="s">
        <v>18</v>
      </c>
    </row>
    <row r="38" spans="1:27" x14ac:dyDescent="0.3">
      <c r="A38" t="s">
        <v>3292</v>
      </c>
      <c r="B38" t="s">
        <v>3243</v>
      </c>
      <c r="C38" t="s">
        <v>3744</v>
      </c>
      <c r="D38" t="s">
        <v>1224</v>
      </c>
      <c r="E38">
        <v>155</v>
      </c>
      <c r="F38" t="s">
        <v>5</v>
      </c>
      <c r="G38">
        <v>74</v>
      </c>
      <c r="H38" t="s">
        <v>6</v>
      </c>
      <c r="I38">
        <v>10.829999999999901</v>
      </c>
      <c r="J38" t="s">
        <v>7</v>
      </c>
      <c r="K38">
        <v>6.98709677419352E-2</v>
      </c>
      <c r="L38" t="s">
        <v>8</v>
      </c>
      <c r="M38">
        <v>1.17527027027027</v>
      </c>
      <c r="N38" t="s">
        <v>9</v>
      </c>
      <c r="O38">
        <v>-0.94000000000000095</v>
      </c>
      <c r="P38" t="s">
        <v>10</v>
      </c>
      <c r="Q38">
        <v>0.506831977639568</v>
      </c>
      <c r="R38" t="s">
        <v>11</v>
      </c>
      <c r="S38" t="s">
        <v>2515</v>
      </c>
      <c r="T38" t="s">
        <v>2666</v>
      </c>
      <c r="U38">
        <v>0</v>
      </c>
      <c r="V38" t="s">
        <v>14</v>
      </c>
      <c r="W38" t="s">
        <v>15</v>
      </c>
      <c r="X38" t="s">
        <v>3424</v>
      </c>
      <c r="Y38" t="s">
        <v>2644</v>
      </c>
      <c r="Z38">
        <v>0</v>
      </c>
      <c r="AA38" t="s">
        <v>18</v>
      </c>
    </row>
    <row r="39" spans="1:27" x14ac:dyDescent="0.3">
      <c r="A39" t="s">
        <v>1221</v>
      </c>
      <c r="B39" t="s">
        <v>3286</v>
      </c>
      <c r="C39" t="s">
        <v>3745</v>
      </c>
      <c r="D39" t="s">
        <v>1224</v>
      </c>
      <c r="E39">
        <v>130</v>
      </c>
      <c r="F39" t="s">
        <v>5</v>
      </c>
      <c r="G39">
        <v>77</v>
      </c>
      <c r="H39" t="s">
        <v>6</v>
      </c>
      <c r="I39">
        <v>9.9007058110557207</v>
      </c>
      <c r="J39" t="s">
        <v>7</v>
      </c>
      <c r="K39">
        <v>7.6159275469659393E-2</v>
      </c>
      <c r="L39" t="s">
        <v>8</v>
      </c>
      <c r="M39">
        <v>1.1835994844890001</v>
      </c>
      <c r="N39" t="s">
        <v>9</v>
      </c>
      <c r="O39">
        <v>-1.5327632923509</v>
      </c>
      <c r="P39" t="s">
        <v>10</v>
      </c>
      <c r="Q39">
        <v>0.31590275731267398</v>
      </c>
      <c r="R39" t="s">
        <v>11</v>
      </c>
      <c r="S39" t="s">
        <v>2657</v>
      </c>
      <c r="T39" t="s">
        <v>3303</v>
      </c>
      <c r="U39">
        <v>0</v>
      </c>
      <c r="V39" t="s">
        <v>14</v>
      </c>
      <c r="W39" t="s">
        <v>15</v>
      </c>
      <c r="X39" t="s">
        <v>2657</v>
      </c>
      <c r="Y39" t="s">
        <v>3303</v>
      </c>
      <c r="Z39">
        <v>0</v>
      </c>
      <c r="AA39" t="s">
        <v>18</v>
      </c>
    </row>
    <row r="40" spans="1:27" x14ac:dyDescent="0.3">
      <c r="A40" t="s">
        <v>1219</v>
      </c>
      <c r="B40" t="s">
        <v>3236</v>
      </c>
      <c r="C40" t="s">
        <v>3746</v>
      </c>
      <c r="D40" t="s">
        <v>1224</v>
      </c>
      <c r="E40">
        <v>167</v>
      </c>
      <c r="F40" t="s">
        <v>5</v>
      </c>
      <c r="G40">
        <v>68</v>
      </c>
      <c r="H40" t="s">
        <v>6</v>
      </c>
      <c r="I40">
        <v>9.3506021114333393</v>
      </c>
      <c r="J40" t="s">
        <v>7</v>
      </c>
      <c r="K40">
        <v>5.5991629409780398E-2</v>
      </c>
      <c r="L40" t="s">
        <v>8</v>
      </c>
      <c r="M40">
        <v>2.46645838689061</v>
      </c>
      <c r="N40" t="s">
        <v>9</v>
      </c>
      <c r="O40">
        <v>-1.5996825070417</v>
      </c>
      <c r="P40" t="s">
        <v>10</v>
      </c>
      <c r="Q40">
        <v>0.76329203339989704</v>
      </c>
      <c r="R40" t="s">
        <v>11</v>
      </c>
      <c r="S40" t="s">
        <v>235</v>
      </c>
      <c r="T40" t="s">
        <v>77</v>
      </c>
      <c r="U40">
        <v>0</v>
      </c>
      <c r="V40" t="s">
        <v>14</v>
      </c>
      <c r="W40" t="s">
        <v>15</v>
      </c>
      <c r="X40" t="s">
        <v>3421</v>
      </c>
      <c r="Y40" t="s">
        <v>3398</v>
      </c>
      <c r="Z40">
        <v>0</v>
      </c>
      <c r="AA40" t="s">
        <v>18</v>
      </c>
    </row>
    <row r="41" spans="1:27" x14ac:dyDescent="0.3">
      <c r="A41" t="s">
        <v>1220</v>
      </c>
      <c r="B41" t="s">
        <v>3290</v>
      </c>
      <c r="C41" t="s">
        <v>3747</v>
      </c>
      <c r="D41" t="s">
        <v>1224</v>
      </c>
      <c r="E41">
        <v>139</v>
      </c>
      <c r="F41" t="s">
        <v>5</v>
      </c>
      <c r="G41">
        <v>34</v>
      </c>
      <c r="H41" t="s">
        <v>6</v>
      </c>
      <c r="I41">
        <v>9.3048872218825398</v>
      </c>
      <c r="J41" t="s">
        <v>7</v>
      </c>
      <c r="K41">
        <v>6.6941634689802396E-2</v>
      </c>
      <c r="L41" t="s">
        <v>8</v>
      </c>
      <c r="M41">
        <v>5.4718041681317704</v>
      </c>
      <c r="N41" t="s">
        <v>9</v>
      </c>
      <c r="O41">
        <v>-1.68320432851997</v>
      </c>
      <c r="P41" t="s">
        <v>10</v>
      </c>
      <c r="Q41">
        <v>0.76876420701069503</v>
      </c>
      <c r="R41" t="s">
        <v>11</v>
      </c>
      <c r="S41" t="s">
        <v>3537</v>
      </c>
      <c r="T41" t="s">
        <v>2046</v>
      </c>
      <c r="U41">
        <v>0</v>
      </c>
      <c r="V41" t="s">
        <v>14</v>
      </c>
      <c r="W41" t="s">
        <v>15</v>
      </c>
      <c r="X41" t="s">
        <v>3537</v>
      </c>
      <c r="Y41" t="s">
        <v>2046</v>
      </c>
      <c r="Z41">
        <v>0</v>
      </c>
      <c r="AA41" t="s">
        <v>18</v>
      </c>
    </row>
    <row r="42" spans="1:27" x14ac:dyDescent="0.3">
      <c r="A42" t="s">
        <v>1219</v>
      </c>
      <c r="B42" t="s">
        <v>3214</v>
      </c>
      <c r="C42" t="s">
        <v>3748</v>
      </c>
      <c r="D42" t="s">
        <v>1224</v>
      </c>
      <c r="E42">
        <v>167</v>
      </c>
      <c r="F42" t="s">
        <v>5</v>
      </c>
      <c r="G42">
        <v>114</v>
      </c>
      <c r="H42" t="s">
        <v>6</v>
      </c>
      <c r="I42">
        <v>9.0743190365755702</v>
      </c>
      <c r="J42" t="s">
        <v>7</v>
      </c>
      <c r="K42">
        <v>5.4337239739973502E-2</v>
      </c>
      <c r="L42" t="s">
        <v>8</v>
      </c>
      <c r="M42">
        <v>0.89867956561575701</v>
      </c>
      <c r="N42" t="s">
        <v>9</v>
      </c>
      <c r="O42">
        <v>-1.7617953102569901</v>
      </c>
      <c r="P42" t="s">
        <v>10</v>
      </c>
      <c r="Q42">
        <v>0.30795606464916397</v>
      </c>
      <c r="R42" t="s">
        <v>11</v>
      </c>
      <c r="S42" t="s">
        <v>3395</v>
      </c>
      <c r="T42" t="s">
        <v>2221</v>
      </c>
      <c r="U42">
        <v>0</v>
      </c>
      <c r="V42" t="s">
        <v>14</v>
      </c>
      <c r="W42" t="s">
        <v>15</v>
      </c>
      <c r="X42" t="s">
        <v>3396</v>
      </c>
      <c r="Y42" t="s">
        <v>2221</v>
      </c>
      <c r="Z42">
        <v>0</v>
      </c>
      <c r="AA42" t="s">
        <v>18</v>
      </c>
    </row>
    <row r="43" spans="1:27" x14ac:dyDescent="0.3">
      <c r="A43" t="s">
        <v>3292</v>
      </c>
      <c r="B43" t="s">
        <v>3234</v>
      </c>
      <c r="C43" t="s">
        <v>3749</v>
      </c>
      <c r="D43" t="s">
        <v>1224</v>
      </c>
      <c r="E43">
        <v>157</v>
      </c>
      <c r="F43" t="s">
        <v>5</v>
      </c>
      <c r="G43">
        <v>81</v>
      </c>
      <c r="H43" t="s">
        <v>6</v>
      </c>
      <c r="I43">
        <v>8.6749932181910197</v>
      </c>
      <c r="J43" t="s">
        <v>7</v>
      </c>
      <c r="K43">
        <v>5.5254733873828198E-2</v>
      </c>
      <c r="L43" t="s">
        <v>8</v>
      </c>
      <c r="M43">
        <v>1.5123566998822799</v>
      </c>
      <c r="N43" t="s">
        <v>9</v>
      </c>
      <c r="O43">
        <v>-1.4977092035825501</v>
      </c>
      <c r="P43" t="s">
        <v>10</v>
      </c>
      <c r="Q43">
        <v>0.416736949191157</v>
      </c>
      <c r="R43" t="s">
        <v>11</v>
      </c>
      <c r="S43" t="s">
        <v>3480</v>
      </c>
      <c r="T43" t="s">
        <v>3419</v>
      </c>
      <c r="U43">
        <v>0</v>
      </c>
      <c r="V43" t="s">
        <v>14</v>
      </c>
      <c r="W43" t="s">
        <v>15</v>
      </c>
      <c r="X43" t="s">
        <v>3418</v>
      </c>
      <c r="Y43" t="s">
        <v>3419</v>
      </c>
      <c r="Z43">
        <v>0</v>
      </c>
      <c r="AA43" t="s">
        <v>18</v>
      </c>
    </row>
    <row r="44" spans="1:27" x14ac:dyDescent="0.3">
      <c r="A44" t="s">
        <v>1220</v>
      </c>
      <c r="B44" t="s">
        <v>3286</v>
      </c>
      <c r="C44" t="s">
        <v>3750</v>
      </c>
      <c r="D44" t="s">
        <v>1224</v>
      </c>
      <c r="E44">
        <v>139</v>
      </c>
      <c r="F44" t="s">
        <v>5</v>
      </c>
      <c r="G44">
        <v>81</v>
      </c>
      <c r="H44" t="s">
        <v>6</v>
      </c>
      <c r="I44">
        <v>8.0207058110557199</v>
      </c>
      <c r="J44" t="s">
        <v>7</v>
      </c>
      <c r="K44">
        <v>5.7702919503998001E-2</v>
      </c>
      <c r="L44" t="s">
        <v>8</v>
      </c>
      <c r="M44">
        <v>1.2989772877241099</v>
      </c>
      <c r="N44" t="s">
        <v>9</v>
      </c>
      <c r="O44">
        <v>-1.6758009395620299</v>
      </c>
      <c r="P44" t="s">
        <v>10</v>
      </c>
      <c r="Q44">
        <v>0.36907137668268197</v>
      </c>
      <c r="R44" t="s">
        <v>11</v>
      </c>
      <c r="S44" t="s">
        <v>2657</v>
      </c>
      <c r="T44" t="s">
        <v>3303</v>
      </c>
      <c r="U44">
        <v>0</v>
      </c>
      <c r="V44" t="s">
        <v>14</v>
      </c>
      <c r="W44" t="s">
        <v>15</v>
      </c>
      <c r="X44" t="s">
        <v>2657</v>
      </c>
      <c r="Y44" t="s">
        <v>3303</v>
      </c>
      <c r="Z44">
        <v>0</v>
      </c>
      <c r="AA44" t="s">
        <v>18</v>
      </c>
    </row>
    <row r="45" spans="1:27" x14ac:dyDescent="0.3">
      <c r="A45" t="s">
        <v>1220</v>
      </c>
      <c r="B45" t="s">
        <v>3291</v>
      </c>
      <c r="C45" t="s">
        <v>3751</v>
      </c>
      <c r="D45" t="s">
        <v>1224</v>
      </c>
      <c r="E45">
        <v>139</v>
      </c>
      <c r="F45" t="s">
        <v>5</v>
      </c>
      <c r="G45">
        <v>30</v>
      </c>
      <c r="H45" t="s">
        <v>6</v>
      </c>
      <c r="I45">
        <v>7.4540034237562001</v>
      </c>
      <c r="J45" t="s">
        <v>7</v>
      </c>
      <c r="K45">
        <v>5.3625923911915098E-2</v>
      </c>
      <c r="L45" t="s">
        <v>8</v>
      </c>
      <c r="M45">
        <v>6.4930152639451304</v>
      </c>
      <c r="N45" t="s">
        <v>9</v>
      </c>
      <c r="O45">
        <v>-1.7186830687577701</v>
      </c>
      <c r="P45" t="s">
        <v>10</v>
      </c>
      <c r="Q45">
        <v>0.84062215886624103</v>
      </c>
      <c r="R45" t="s">
        <v>11</v>
      </c>
      <c r="S45" t="s">
        <v>3538</v>
      </c>
      <c r="T45" t="s">
        <v>2568</v>
      </c>
      <c r="U45">
        <v>0</v>
      </c>
      <c r="V45" t="s">
        <v>14</v>
      </c>
      <c r="W45" t="s">
        <v>15</v>
      </c>
      <c r="X45" t="s">
        <v>3539</v>
      </c>
      <c r="Y45" t="s">
        <v>2793</v>
      </c>
      <c r="Z45">
        <v>0</v>
      </c>
      <c r="AA45" t="s">
        <v>18</v>
      </c>
    </row>
    <row r="46" spans="1:27" x14ac:dyDescent="0.3">
      <c r="A46" t="s">
        <v>1219</v>
      </c>
      <c r="B46" t="s">
        <v>3219</v>
      </c>
      <c r="C46" t="s">
        <v>3752</v>
      </c>
      <c r="D46" t="s">
        <v>1224</v>
      </c>
      <c r="E46">
        <v>167</v>
      </c>
      <c r="F46" t="s">
        <v>5</v>
      </c>
      <c r="G46">
        <v>66</v>
      </c>
      <c r="H46" t="s">
        <v>6</v>
      </c>
      <c r="I46">
        <v>7.3242805508727198</v>
      </c>
      <c r="J46" t="s">
        <v>7</v>
      </c>
      <c r="K46">
        <v>4.3857967370495299E-2</v>
      </c>
      <c r="L46" t="s">
        <v>8</v>
      </c>
      <c r="M46">
        <v>2.93600585753516</v>
      </c>
      <c r="N46" t="s">
        <v>9</v>
      </c>
      <c r="O46">
        <v>-1.8460604559054199</v>
      </c>
      <c r="P46" t="s">
        <v>10</v>
      </c>
      <c r="Q46">
        <v>0.95917312081648698</v>
      </c>
      <c r="R46" t="s">
        <v>11</v>
      </c>
      <c r="S46" t="s">
        <v>3402</v>
      </c>
      <c r="T46" t="s">
        <v>2666</v>
      </c>
      <c r="U46">
        <v>0</v>
      </c>
      <c r="V46" t="s">
        <v>14</v>
      </c>
      <c r="W46" t="s">
        <v>15</v>
      </c>
      <c r="X46" t="s">
        <v>3401</v>
      </c>
      <c r="Y46" t="s">
        <v>3398</v>
      </c>
      <c r="Z46">
        <v>0</v>
      </c>
      <c r="AA46" t="s">
        <v>18</v>
      </c>
    </row>
    <row r="47" spans="1:27" x14ac:dyDescent="0.3">
      <c r="A47" t="s">
        <v>3293</v>
      </c>
      <c r="B47" t="s">
        <v>3206</v>
      </c>
      <c r="C47" t="s">
        <v>3753</v>
      </c>
      <c r="D47" t="s">
        <v>1224</v>
      </c>
      <c r="E47">
        <v>334</v>
      </c>
      <c r="F47" t="s">
        <v>5</v>
      </c>
      <c r="G47">
        <v>161</v>
      </c>
      <c r="H47" t="s">
        <v>6</v>
      </c>
      <c r="I47">
        <v>6.2600000000002201</v>
      </c>
      <c r="J47" t="s">
        <v>7</v>
      </c>
      <c r="K47">
        <v>1.8742514970060499E-2</v>
      </c>
      <c r="L47" t="s">
        <v>8</v>
      </c>
      <c r="M47">
        <v>1.8443478260869499</v>
      </c>
      <c r="N47" t="s">
        <v>9</v>
      </c>
      <c r="O47">
        <v>-1.6802312138728299</v>
      </c>
      <c r="P47" t="s">
        <v>10</v>
      </c>
      <c r="Q47">
        <v>1.1208599188155699</v>
      </c>
      <c r="R47" t="s">
        <v>11</v>
      </c>
      <c r="S47" t="s">
        <v>3452</v>
      </c>
      <c r="T47" t="s">
        <v>2644</v>
      </c>
      <c r="U47">
        <v>0</v>
      </c>
      <c r="V47" t="s">
        <v>14</v>
      </c>
      <c r="W47" t="s">
        <v>15</v>
      </c>
      <c r="X47" t="s">
        <v>3670</v>
      </c>
      <c r="Y47" t="s">
        <v>2644</v>
      </c>
      <c r="Z47">
        <v>0</v>
      </c>
      <c r="AA47" t="s">
        <v>18</v>
      </c>
    </row>
    <row r="48" spans="1:27" x14ac:dyDescent="0.3">
      <c r="A48" t="s">
        <v>1222</v>
      </c>
      <c r="B48" t="s">
        <v>3269</v>
      </c>
      <c r="C48" t="s">
        <v>3754</v>
      </c>
      <c r="D48" t="s">
        <v>1224</v>
      </c>
      <c r="E48">
        <v>127</v>
      </c>
      <c r="F48" t="s">
        <v>5</v>
      </c>
      <c r="G48">
        <v>59</v>
      </c>
      <c r="H48" t="s">
        <v>6</v>
      </c>
      <c r="I48">
        <v>5.7902296581588502</v>
      </c>
      <c r="J48" t="s">
        <v>7</v>
      </c>
      <c r="K48">
        <v>4.55923595130618E-2</v>
      </c>
      <c r="L48" t="s">
        <v>8</v>
      </c>
      <c r="M48">
        <v>1.97282040468584</v>
      </c>
      <c r="N48" t="s">
        <v>9</v>
      </c>
      <c r="O48">
        <v>-1.6265613855633201</v>
      </c>
      <c r="P48" t="s">
        <v>10</v>
      </c>
      <c r="Q48">
        <v>0.36701078178546798</v>
      </c>
      <c r="R48" t="s">
        <v>11</v>
      </c>
      <c r="S48" t="s">
        <v>3592</v>
      </c>
      <c r="T48" t="s">
        <v>3593</v>
      </c>
      <c r="U48">
        <v>0</v>
      </c>
      <c r="V48" t="s">
        <v>14</v>
      </c>
      <c r="W48" t="s">
        <v>15</v>
      </c>
      <c r="X48" t="s">
        <v>3592</v>
      </c>
      <c r="Y48" t="s">
        <v>3593</v>
      </c>
      <c r="Z48">
        <v>0</v>
      </c>
      <c r="AA48" t="s">
        <v>18</v>
      </c>
    </row>
    <row r="49" spans="1:27" x14ac:dyDescent="0.3">
      <c r="A49" t="s">
        <v>1220</v>
      </c>
      <c r="B49" t="s">
        <v>3284</v>
      </c>
      <c r="C49" t="s">
        <v>3755</v>
      </c>
      <c r="D49" t="s">
        <v>1224</v>
      </c>
      <c r="E49">
        <v>140</v>
      </c>
      <c r="F49" t="s">
        <v>5</v>
      </c>
      <c r="G49">
        <v>45</v>
      </c>
      <c r="H49" t="s">
        <v>6</v>
      </c>
      <c r="I49">
        <v>5.7600000000000398</v>
      </c>
      <c r="J49" t="s">
        <v>7</v>
      </c>
      <c r="K49">
        <v>4.1142857142857397E-2</v>
      </c>
      <c r="L49" t="s">
        <v>8</v>
      </c>
      <c r="M49">
        <v>3.83977777777777</v>
      </c>
      <c r="N49" t="s">
        <v>9</v>
      </c>
      <c r="O49">
        <v>-1.7582105263157899</v>
      </c>
      <c r="P49" t="s">
        <v>10</v>
      </c>
      <c r="Q49">
        <v>0.70863409375929098</v>
      </c>
      <c r="R49" t="s">
        <v>11</v>
      </c>
      <c r="S49" t="s">
        <v>2657</v>
      </c>
      <c r="T49" t="s">
        <v>3303</v>
      </c>
      <c r="U49">
        <v>0</v>
      </c>
      <c r="V49" t="s">
        <v>14</v>
      </c>
      <c r="W49" t="s">
        <v>15</v>
      </c>
      <c r="X49" t="s">
        <v>3535</v>
      </c>
      <c r="Y49" t="s">
        <v>3536</v>
      </c>
      <c r="Z49">
        <v>0</v>
      </c>
      <c r="AA49" t="s">
        <v>18</v>
      </c>
    </row>
    <row r="50" spans="1:27" x14ac:dyDescent="0.3">
      <c r="A50" t="s">
        <v>3292</v>
      </c>
      <c r="B50" t="s">
        <v>3277</v>
      </c>
      <c r="C50" t="s">
        <v>3756</v>
      </c>
      <c r="D50" t="s">
        <v>1224</v>
      </c>
      <c r="E50">
        <v>155</v>
      </c>
      <c r="F50" t="s">
        <v>5</v>
      </c>
      <c r="G50">
        <v>81</v>
      </c>
      <c r="H50" t="s">
        <v>6</v>
      </c>
      <c r="I50">
        <v>5.6500000000000696</v>
      </c>
      <c r="J50" t="s">
        <v>7</v>
      </c>
      <c r="K50">
        <v>3.6451612903226203E-2</v>
      </c>
      <c r="L50" t="s">
        <v>8</v>
      </c>
      <c r="M50">
        <v>1.5716049382716</v>
      </c>
      <c r="N50" t="s">
        <v>9</v>
      </c>
      <c r="O50">
        <v>-1.6439189189189101</v>
      </c>
      <c r="P50" t="s">
        <v>10</v>
      </c>
      <c r="Q50">
        <v>0.496302877944507</v>
      </c>
      <c r="R50" t="s">
        <v>11</v>
      </c>
      <c r="S50" t="s">
        <v>3451</v>
      </c>
      <c r="T50" t="s">
        <v>2698</v>
      </c>
      <c r="U50">
        <v>0</v>
      </c>
      <c r="V50" t="s">
        <v>14</v>
      </c>
      <c r="W50" t="s">
        <v>15</v>
      </c>
      <c r="X50" t="s">
        <v>3450</v>
      </c>
      <c r="Y50" t="s">
        <v>3389</v>
      </c>
      <c r="Z50">
        <v>0</v>
      </c>
      <c r="AA50" t="s">
        <v>18</v>
      </c>
    </row>
    <row r="51" spans="1:27" x14ac:dyDescent="0.3">
      <c r="A51" t="s">
        <v>1223</v>
      </c>
      <c r="B51" t="s">
        <v>3271</v>
      </c>
      <c r="C51" t="s">
        <v>3757</v>
      </c>
      <c r="D51" t="s">
        <v>1224</v>
      </c>
      <c r="E51">
        <v>370</v>
      </c>
      <c r="F51" t="s">
        <v>5</v>
      </c>
      <c r="G51">
        <v>84</v>
      </c>
      <c r="H51" t="s">
        <v>6</v>
      </c>
      <c r="I51">
        <v>5.6377339097776602</v>
      </c>
      <c r="J51" t="s">
        <v>7</v>
      </c>
      <c r="K51">
        <v>1.52371186750747E-2</v>
      </c>
      <c r="L51" t="s">
        <v>8</v>
      </c>
      <c r="M51">
        <v>6.0342784105140304</v>
      </c>
      <c r="N51" t="s">
        <v>9</v>
      </c>
      <c r="O51">
        <v>-1.7525931908160799</v>
      </c>
      <c r="P51" t="s">
        <v>10</v>
      </c>
      <c r="Q51">
        <v>1.5074948267980199</v>
      </c>
      <c r="R51" t="s">
        <v>11</v>
      </c>
      <c r="S51" t="s">
        <v>3654</v>
      </c>
      <c r="T51" t="s">
        <v>1959</v>
      </c>
      <c r="U51">
        <v>0</v>
      </c>
      <c r="V51" t="s">
        <v>14</v>
      </c>
      <c r="W51" t="s">
        <v>15</v>
      </c>
      <c r="X51" t="s">
        <v>3657</v>
      </c>
      <c r="Y51" t="s">
        <v>3658</v>
      </c>
      <c r="Z51">
        <v>0</v>
      </c>
      <c r="AA51" t="s">
        <v>18</v>
      </c>
    </row>
    <row r="52" spans="1:27" x14ac:dyDescent="0.3">
      <c r="A52" t="s">
        <v>1220</v>
      </c>
      <c r="B52" t="s">
        <v>3273</v>
      </c>
      <c r="C52" t="s">
        <v>3758</v>
      </c>
      <c r="D52" t="s">
        <v>1224</v>
      </c>
      <c r="E52">
        <v>139</v>
      </c>
      <c r="F52" t="s">
        <v>5</v>
      </c>
      <c r="G52">
        <v>20</v>
      </c>
      <c r="H52" t="s">
        <v>6</v>
      </c>
      <c r="I52">
        <v>5.5594591257915402</v>
      </c>
      <c r="J52" t="s">
        <v>7</v>
      </c>
      <c r="K52">
        <v>3.9996108818644197E-2</v>
      </c>
      <c r="L52" t="s">
        <v>8</v>
      </c>
      <c r="M52">
        <v>11.2480786988527</v>
      </c>
      <c r="N52" t="s">
        <v>9</v>
      </c>
      <c r="O52">
        <v>-1.84371525085095</v>
      </c>
      <c r="P52" t="s">
        <v>10</v>
      </c>
      <c r="Q52">
        <v>0.93409284498041201</v>
      </c>
      <c r="R52" t="s">
        <v>11</v>
      </c>
      <c r="S52" t="s">
        <v>3515</v>
      </c>
      <c r="T52" t="s">
        <v>2655</v>
      </c>
      <c r="U52">
        <v>0</v>
      </c>
      <c r="V52" t="s">
        <v>14</v>
      </c>
      <c r="W52" t="s">
        <v>15</v>
      </c>
      <c r="X52" t="s">
        <v>3532</v>
      </c>
      <c r="Y52" t="s">
        <v>3533</v>
      </c>
      <c r="Z52">
        <v>0</v>
      </c>
      <c r="AA52" t="s">
        <v>18</v>
      </c>
    </row>
    <row r="53" spans="1:27" x14ac:dyDescent="0.3">
      <c r="A53" t="s">
        <v>1221</v>
      </c>
      <c r="B53" t="s">
        <v>3229</v>
      </c>
      <c r="C53" t="s">
        <v>3759</v>
      </c>
      <c r="D53" t="s">
        <v>1224</v>
      </c>
      <c r="E53">
        <v>130</v>
      </c>
      <c r="F53" t="s">
        <v>5</v>
      </c>
      <c r="G53">
        <v>55</v>
      </c>
      <c r="H53" t="s">
        <v>6</v>
      </c>
      <c r="I53">
        <v>5.43999999999998</v>
      </c>
      <c r="J53" t="s">
        <v>7</v>
      </c>
      <c r="K53">
        <v>4.18461538461537E-2</v>
      </c>
      <c r="L53" t="s">
        <v>8</v>
      </c>
      <c r="M53">
        <v>2.2070909090908999</v>
      </c>
      <c r="N53" t="s">
        <v>9</v>
      </c>
      <c r="O53">
        <v>-1.5668918918918899</v>
      </c>
      <c r="P53" t="s">
        <v>10</v>
      </c>
      <c r="Q53">
        <v>0.42022894018247797</v>
      </c>
      <c r="R53" t="s">
        <v>11</v>
      </c>
      <c r="S53" t="s">
        <v>3510</v>
      </c>
      <c r="T53" t="s">
        <v>3303</v>
      </c>
      <c r="U53">
        <v>0</v>
      </c>
      <c r="V53" t="s">
        <v>14</v>
      </c>
      <c r="W53" t="s">
        <v>15</v>
      </c>
      <c r="X53" t="s">
        <v>3510</v>
      </c>
      <c r="Y53" t="s">
        <v>3303</v>
      </c>
      <c r="Z53">
        <v>0</v>
      </c>
      <c r="AA53" t="s">
        <v>18</v>
      </c>
    </row>
    <row r="54" spans="1:27" x14ac:dyDescent="0.3">
      <c r="A54" t="s">
        <v>1219</v>
      </c>
      <c r="B54" t="s">
        <v>3255</v>
      </c>
      <c r="C54" t="s">
        <v>3760</v>
      </c>
      <c r="D54" t="s">
        <v>1224</v>
      </c>
      <c r="E54">
        <v>167</v>
      </c>
      <c r="F54" t="s">
        <v>5</v>
      </c>
      <c r="G54">
        <v>63</v>
      </c>
      <c r="H54" t="s">
        <v>6</v>
      </c>
      <c r="I54">
        <v>5.1508929968711596</v>
      </c>
      <c r="J54" t="s">
        <v>7</v>
      </c>
      <c r="K54">
        <v>3.0843670639946998E-2</v>
      </c>
      <c r="L54" t="s">
        <v>8</v>
      </c>
      <c r="M54">
        <v>2.22700562937972</v>
      </c>
      <c r="N54" t="s">
        <v>9</v>
      </c>
      <c r="O54">
        <v>-1.2995236697504899</v>
      </c>
      <c r="P54" t="s">
        <v>10</v>
      </c>
      <c r="Q54">
        <v>0.76825178486905998</v>
      </c>
      <c r="R54" t="s">
        <v>11</v>
      </c>
      <c r="S54" t="s">
        <v>2665</v>
      </c>
      <c r="T54" t="s">
        <v>2666</v>
      </c>
      <c r="U54">
        <v>0</v>
      </c>
      <c r="V54" t="s">
        <v>14</v>
      </c>
      <c r="W54" t="s">
        <v>15</v>
      </c>
      <c r="X54" t="s">
        <v>3430</v>
      </c>
      <c r="Y54" t="s">
        <v>3398</v>
      </c>
      <c r="Z54">
        <v>0</v>
      </c>
      <c r="AA54" t="s">
        <v>18</v>
      </c>
    </row>
    <row r="55" spans="1:27" x14ac:dyDescent="0.3">
      <c r="A55" t="s">
        <v>1220</v>
      </c>
      <c r="B55" t="s">
        <v>3217</v>
      </c>
      <c r="C55" t="s">
        <v>3761</v>
      </c>
      <c r="D55" t="s">
        <v>1224</v>
      </c>
      <c r="E55">
        <v>139</v>
      </c>
      <c r="F55" t="s">
        <v>5</v>
      </c>
      <c r="G55">
        <v>54</v>
      </c>
      <c r="H55" t="s">
        <v>6</v>
      </c>
      <c r="I55">
        <v>5.0574997546766998</v>
      </c>
      <c r="J55" t="s">
        <v>7</v>
      </c>
      <c r="K55">
        <v>3.6384890321415099E-2</v>
      </c>
      <c r="L55" t="s">
        <v>8</v>
      </c>
      <c r="M55">
        <v>2.99417496415162</v>
      </c>
      <c r="N55" t="s">
        <v>9</v>
      </c>
      <c r="O55">
        <v>-1.8426817448177699</v>
      </c>
      <c r="P55" t="s">
        <v>10</v>
      </c>
      <c r="Q55">
        <v>0.52807615562738897</v>
      </c>
      <c r="R55" t="s">
        <v>11</v>
      </c>
      <c r="S55" t="s">
        <v>2657</v>
      </c>
      <c r="T55" t="s">
        <v>3303</v>
      </c>
      <c r="U55">
        <v>0</v>
      </c>
      <c r="V55" t="s">
        <v>14</v>
      </c>
      <c r="W55" t="s">
        <v>15</v>
      </c>
      <c r="X55" t="s">
        <v>2657</v>
      </c>
      <c r="Y55" t="s">
        <v>3303</v>
      </c>
      <c r="Z55">
        <v>0</v>
      </c>
      <c r="AA55" t="s">
        <v>18</v>
      </c>
    </row>
    <row r="56" spans="1:27" x14ac:dyDescent="0.3">
      <c r="A56" t="s">
        <v>1219</v>
      </c>
      <c r="B56" t="s">
        <v>3216</v>
      </c>
      <c r="C56" t="s">
        <v>3762</v>
      </c>
      <c r="D56" t="s">
        <v>1224</v>
      </c>
      <c r="E56">
        <v>167</v>
      </c>
      <c r="F56" t="s">
        <v>5</v>
      </c>
      <c r="G56">
        <v>85</v>
      </c>
      <c r="H56" t="s">
        <v>6</v>
      </c>
      <c r="I56">
        <v>4.9419213997380496</v>
      </c>
      <c r="J56" t="s">
        <v>7</v>
      </c>
      <c r="K56">
        <v>2.9592343711006299E-2</v>
      </c>
      <c r="L56" t="s">
        <v>8</v>
      </c>
      <c r="M56">
        <v>1.8178588404007501</v>
      </c>
      <c r="N56" t="s">
        <v>9</v>
      </c>
      <c r="O56">
        <v>-1.8240985370039799</v>
      </c>
      <c r="P56" t="s">
        <v>10</v>
      </c>
      <c r="Q56">
        <v>0.494644366331489</v>
      </c>
      <c r="R56" t="s">
        <v>11</v>
      </c>
      <c r="S56" t="s">
        <v>3395</v>
      </c>
      <c r="T56" t="s">
        <v>2221</v>
      </c>
      <c r="U56">
        <v>0</v>
      </c>
      <c r="V56" t="s">
        <v>14</v>
      </c>
      <c r="W56" t="s">
        <v>15</v>
      </c>
      <c r="X56" t="s">
        <v>3396</v>
      </c>
      <c r="Y56" t="s">
        <v>2221</v>
      </c>
      <c r="Z56">
        <v>0</v>
      </c>
      <c r="AA56" t="s">
        <v>18</v>
      </c>
    </row>
    <row r="57" spans="1:27" x14ac:dyDescent="0.3">
      <c r="A57" t="s">
        <v>1222</v>
      </c>
      <c r="B57" t="s">
        <v>3286</v>
      </c>
      <c r="C57" t="s">
        <v>3763</v>
      </c>
      <c r="D57" t="s">
        <v>1224</v>
      </c>
      <c r="E57">
        <v>127</v>
      </c>
      <c r="F57" t="s">
        <v>5</v>
      </c>
      <c r="G57">
        <v>76</v>
      </c>
      <c r="H57" t="s">
        <v>6</v>
      </c>
      <c r="I57">
        <v>4.9285805865635099</v>
      </c>
      <c r="J57" t="s">
        <v>7</v>
      </c>
      <c r="K57">
        <v>3.8807721154043399E-2</v>
      </c>
      <c r="L57" t="s">
        <v>8</v>
      </c>
      <c r="M57">
        <v>1.18362405797124</v>
      </c>
      <c r="N57" t="s">
        <v>9</v>
      </c>
      <c r="O57">
        <v>-1.6671930944951101</v>
      </c>
      <c r="P57" t="s">
        <v>10</v>
      </c>
      <c r="Q57">
        <v>0.30113525390187701</v>
      </c>
      <c r="R57" t="s">
        <v>11</v>
      </c>
      <c r="S57" t="s">
        <v>3605</v>
      </c>
      <c r="T57" t="s">
        <v>2071</v>
      </c>
      <c r="U57">
        <v>0</v>
      </c>
      <c r="V57" t="s">
        <v>14</v>
      </c>
      <c r="W57" t="s">
        <v>15</v>
      </c>
      <c r="X57" t="s">
        <v>3605</v>
      </c>
      <c r="Y57" t="s">
        <v>2071</v>
      </c>
      <c r="Z57">
        <v>0</v>
      </c>
      <c r="AA57" t="s">
        <v>18</v>
      </c>
    </row>
    <row r="58" spans="1:27" x14ac:dyDescent="0.3">
      <c r="A58" t="s">
        <v>1219</v>
      </c>
      <c r="B58" t="s">
        <v>3254</v>
      </c>
      <c r="C58" t="s">
        <v>3764</v>
      </c>
      <c r="D58" t="s">
        <v>1224</v>
      </c>
      <c r="E58">
        <v>167</v>
      </c>
      <c r="F58" t="s">
        <v>5</v>
      </c>
      <c r="G58">
        <v>65</v>
      </c>
      <c r="H58" t="s">
        <v>6</v>
      </c>
      <c r="I58">
        <v>4.78089299687118</v>
      </c>
      <c r="J58" t="s">
        <v>7</v>
      </c>
      <c r="K58">
        <v>2.8628101777671701E-2</v>
      </c>
      <c r="L58" t="s">
        <v>8</v>
      </c>
      <c r="M58">
        <v>2.0943285330911099</v>
      </c>
      <c r="N58" t="s">
        <v>9</v>
      </c>
      <c r="O58">
        <v>-1.28774962405933</v>
      </c>
      <c r="P58" t="s">
        <v>10</v>
      </c>
      <c r="Q58">
        <v>0.64174672938015598</v>
      </c>
      <c r="R58" t="s">
        <v>11</v>
      </c>
      <c r="S58" t="s">
        <v>3427</v>
      </c>
      <c r="T58" t="s">
        <v>635</v>
      </c>
      <c r="U58">
        <v>0</v>
      </c>
      <c r="V58" t="s">
        <v>14</v>
      </c>
      <c r="W58" t="s">
        <v>15</v>
      </c>
      <c r="X58" t="s">
        <v>3430</v>
      </c>
      <c r="Y58" t="s">
        <v>3398</v>
      </c>
      <c r="Z58">
        <v>0</v>
      </c>
      <c r="AA58" t="s">
        <v>18</v>
      </c>
    </row>
    <row r="59" spans="1:27" x14ac:dyDescent="0.3">
      <c r="A59" t="s">
        <v>1221</v>
      </c>
      <c r="B59" t="s">
        <v>3234</v>
      </c>
      <c r="C59" t="s">
        <v>3765</v>
      </c>
      <c r="D59" t="s">
        <v>1224</v>
      </c>
      <c r="E59">
        <v>130</v>
      </c>
      <c r="F59" t="s">
        <v>5</v>
      </c>
      <c r="G59">
        <v>64</v>
      </c>
      <c r="H59" t="s">
        <v>6</v>
      </c>
      <c r="I59">
        <v>4.3757107379628701</v>
      </c>
      <c r="J59" t="s">
        <v>7</v>
      </c>
      <c r="K59">
        <v>3.36593133689451E-2</v>
      </c>
      <c r="L59" t="s">
        <v>8</v>
      </c>
      <c r="M59">
        <v>1.5748437500000001</v>
      </c>
      <c r="N59" t="s">
        <v>9</v>
      </c>
      <c r="O59">
        <v>-1.46082256457632</v>
      </c>
      <c r="P59" t="s">
        <v>10</v>
      </c>
      <c r="Q59">
        <v>0.30841809206251902</v>
      </c>
      <c r="R59" t="s">
        <v>11</v>
      </c>
      <c r="S59" t="s">
        <v>3510</v>
      </c>
      <c r="T59" t="s">
        <v>3303</v>
      </c>
      <c r="U59">
        <v>0</v>
      </c>
      <c r="V59" t="s">
        <v>14</v>
      </c>
      <c r="W59" t="s">
        <v>15</v>
      </c>
      <c r="X59" t="s">
        <v>3510</v>
      </c>
      <c r="Y59" t="s">
        <v>3303</v>
      </c>
      <c r="Z59">
        <v>0</v>
      </c>
      <c r="AA59" t="s">
        <v>18</v>
      </c>
    </row>
    <row r="60" spans="1:27" x14ac:dyDescent="0.3">
      <c r="A60" t="s">
        <v>1221</v>
      </c>
      <c r="B60" t="s">
        <v>3287</v>
      </c>
      <c r="C60" t="s">
        <v>3766</v>
      </c>
      <c r="D60" t="s">
        <v>1224</v>
      </c>
      <c r="E60">
        <v>130</v>
      </c>
      <c r="F60" t="s">
        <v>5</v>
      </c>
      <c r="G60">
        <v>62</v>
      </c>
      <c r="H60" t="s">
        <v>6</v>
      </c>
      <c r="I60">
        <v>4.2185036282464701</v>
      </c>
      <c r="J60" t="s">
        <v>7</v>
      </c>
      <c r="K60">
        <v>3.24500279095883E-2</v>
      </c>
      <c r="L60" t="s">
        <v>8</v>
      </c>
      <c r="M60">
        <v>1.6704025503684501</v>
      </c>
      <c r="N60" t="s">
        <v>9</v>
      </c>
      <c r="O60">
        <v>-1.4609772719793701</v>
      </c>
      <c r="P60" t="s">
        <v>10</v>
      </c>
      <c r="Q60">
        <v>0.35209821740867803</v>
      </c>
      <c r="R60" t="s">
        <v>11</v>
      </c>
      <c r="S60" t="s">
        <v>2657</v>
      </c>
      <c r="T60" t="s">
        <v>3303</v>
      </c>
      <c r="U60">
        <v>0</v>
      </c>
      <c r="V60" t="s">
        <v>14</v>
      </c>
      <c r="W60" t="s">
        <v>15</v>
      </c>
      <c r="X60" t="s">
        <v>2657</v>
      </c>
      <c r="Y60" t="s">
        <v>3303</v>
      </c>
      <c r="Z60">
        <v>0</v>
      </c>
      <c r="AA60" t="s">
        <v>18</v>
      </c>
    </row>
    <row r="61" spans="1:27" x14ac:dyDescent="0.3">
      <c r="A61" t="s">
        <v>1221</v>
      </c>
      <c r="B61" t="s">
        <v>3265</v>
      </c>
      <c r="C61" t="s">
        <v>3767</v>
      </c>
      <c r="D61" t="s">
        <v>1224</v>
      </c>
      <c r="E61">
        <v>130</v>
      </c>
      <c r="F61" t="s">
        <v>5</v>
      </c>
      <c r="G61">
        <v>33</v>
      </c>
      <c r="H61" t="s">
        <v>6</v>
      </c>
      <c r="I61">
        <v>4.1300000000000097</v>
      </c>
      <c r="J61" t="s">
        <v>7</v>
      </c>
      <c r="K61">
        <v>3.17692307692308E-2</v>
      </c>
      <c r="L61" t="s">
        <v>8</v>
      </c>
      <c r="M61">
        <v>4.5139393939393901</v>
      </c>
      <c r="N61" t="s">
        <v>9</v>
      </c>
      <c r="O61">
        <v>-1.49309278350515</v>
      </c>
      <c r="P61" t="s">
        <v>10</v>
      </c>
      <c r="Q61">
        <v>0.56734864237023996</v>
      </c>
      <c r="R61" t="s">
        <v>11</v>
      </c>
      <c r="S61" t="s">
        <v>3528</v>
      </c>
      <c r="T61" t="s">
        <v>3529</v>
      </c>
      <c r="U61">
        <v>0</v>
      </c>
      <c r="V61" t="s">
        <v>14</v>
      </c>
      <c r="W61" t="s">
        <v>15</v>
      </c>
      <c r="X61" t="s">
        <v>3528</v>
      </c>
      <c r="Y61" t="s">
        <v>3529</v>
      </c>
      <c r="Z61">
        <v>0</v>
      </c>
      <c r="AA61" t="s">
        <v>18</v>
      </c>
    </row>
    <row r="62" spans="1:27" x14ac:dyDescent="0.3">
      <c r="A62" t="s">
        <v>1219</v>
      </c>
      <c r="B62" t="s">
        <v>3234</v>
      </c>
      <c r="C62" t="s">
        <v>3768</v>
      </c>
      <c r="D62" t="s">
        <v>1224</v>
      </c>
      <c r="E62">
        <v>167</v>
      </c>
      <c r="F62" t="s">
        <v>5</v>
      </c>
      <c r="G62">
        <v>84</v>
      </c>
      <c r="H62" t="s">
        <v>6</v>
      </c>
      <c r="I62">
        <v>3.6196065644899398</v>
      </c>
      <c r="J62" t="s">
        <v>7</v>
      </c>
      <c r="K62">
        <v>2.16742908053289E-2</v>
      </c>
      <c r="L62" t="s">
        <v>8</v>
      </c>
      <c r="M62">
        <v>1.5892322147233799</v>
      </c>
      <c r="N62" t="s">
        <v>9</v>
      </c>
      <c r="O62">
        <v>-1.56476987315993</v>
      </c>
      <c r="P62" t="s">
        <v>10</v>
      </c>
      <c r="Q62">
        <v>0.44084831499809701</v>
      </c>
      <c r="R62" t="s">
        <v>11</v>
      </c>
      <c r="S62" t="s">
        <v>235</v>
      </c>
      <c r="T62" t="s">
        <v>77</v>
      </c>
      <c r="U62">
        <v>0</v>
      </c>
      <c r="V62" t="s">
        <v>14</v>
      </c>
      <c r="W62" t="s">
        <v>15</v>
      </c>
      <c r="X62" t="s">
        <v>3418</v>
      </c>
      <c r="Y62" t="s">
        <v>3419</v>
      </c>
      <c r="Z62">
        <v>0</v>
      </c>
      <c r="AA62" t="s">
        <v>18</v>
      </c>
    </row>
    <row r="63" spans="1:27" x14ac:dyDescent="0.3">
      <c r="A63" t="s">
        <v>1221</v>
      </c>
      <c r="B63" t="s">
        <v>3217</v>
      </c>
      <c r="C63" t="s">
        <v>3769</v>
      </c>
      <c r="D63" t="s">
        <v>1224</v>
      </c>
      <c r="E63">
        <v>130</v>
      </c>
      <c r="F63" t="s">
        <v>5</v>
      </c>
      <c r="G63">
        <v>52</v>
      </c>
      <c r="H63" t="s">
        <v>6</v>
      </c>
      <c r="I63">
        <v>3.2465110726245099</v>
      </c>
      <c r="J63" t="s">
        <v>7</v>
      </c>
      <c r="K63">
        <v>2.49731620971116E-2</v>
      </c>
      <c r="L63" t="s">
        <v>8</v>
      </c>
      <c r="M63">
        <v>2.8412396035026002</v>
      </c>
      <c r="N63" t="s">
        <v>9</v>
      </c>
      <c r="O63">
        <v>-1.8525377988398799</v>
      </c>
      <c r="P63" t="s">
        <v>10</v>
      </c>
      <c r="Q63">
        <v>0.48020274133551299</v>
      </c>
      <c r="R63" t="s">
        <v>11</v>
      </c>
      <c r="S63" t="s">
        <v>2657</v>
      </c>
      <c r="T63" t="s">
        <v>3303</v>
      </c>
      <c r="U63">
        <v>0</v>
      </c>
      <c r="V63" t="s">
        <v>14</v>
      </c>
      <c r="W63" t="s">
        <v>15</v>
      </c>
      <c r="X63" t="s">
        <v>2657</v>
      </c>
      <c r="Y63" t="s">
        <v>3303</v>
      </c>
      <c r="Z63">
        <v>0</v>
      </c>
      <c r="AA63" t="s">
        <v>18</v>
      </c>
    </row>
    <row r="64" spans="1:27" x14ac:dyDescent="0.3">
      <c r="A64" t="s">
        <v>3292</v>
      </c>
      <c r="B64" t="s">
        <v>3242</v>
      </c>
      <c r="C64" t="s">
        <v>3770</v>
      </c>
      <c r="D64" t="s">
        <v>1224</v>
      </c>
      <c r="E64">
        <v>155</v>
      </c>
      <c r="F64" t="s">
        <v>5</v>
      </c>
      <c r="G64">
        <v>74</v>
      </c>
      <c r="H64" t="s">
        <v>6</v>
      </c>
      <c r="I64">
        <v>2.9699999999999598</v>
      </c>
      <c r="J64" t="s">
        <v>7</v>
      </c>
      <c r="K64">
        <v>1.9161290322580401E-2</v>
      </c>
      <c r="L64" t="s">
        <v>8</v>
      </c>
      <c r="M64">
        <v>1.0690540540540501</v>
      </c>
      <c r="N64" t="s">
        <v>9</v>
      </c>
      <c r="O64">
        <v>-0.94000000000000095</v>
      </c>
      <c r="P64" t="s">
        <v>10</v>
      </c>
      <c r="Q64">
        <v>0.46489816806319501</v>
      </c>
      <c r="R64" t="s">
        <v>11</v>
      </c>
      <c r="S64" t="s">
        <v>2515</v>
      </c>
      <c r="T64" t="s">
        <v>2666</v>
      </c>
      <c r="U64">
        <v>0</v>
      </c>
      <c r="V64" t="s">
        <v>14</v>
      </c>
      <c r="W64" t="s">
        <v>15</v>
      </c>
      <c r="X64" t="s">
        <v>3424</v>
      </c>
      <c r="Y64" t="s">
        <v>2644</v>
      </c>
      <c r="Z64">
        <v>0</v>
      </c>
      <c r="AA64" t="s">
        <v>18</v>
      </c>
    </row>
    <row r="65" spans="1:27" x14ac:dyDescent="0.3">
      <c r="A65" t="s">
        <v>1222</v>
      </c>
      <c r="B65" t="s">
        <v>3287</v>
      </c>
      <c r="C65" t="s">
        <v>3771</v>
      </c>
      <c r="D65" t="s">
        <v>1224</v>
      </c>
      <c r="E65">
        <v>127</v>
      </c>
      <c r="F65" t="s">
        <v>5</v>
      </c>
      <c r="G65">
        <v>59</v>
      </c>
      <c r="H65" t="s">
        <v>6</v>
      </c>
      <c r="I65">
        <v>2.9357998744207299</v>
      </c>
      <c r="J65" t="s">
        <v>7</v>
      </c>
      <c r="K65">
        <v>2.3116534444257701E-2</v>
      </c>
      <c r="L65" t="s">
        <v>8</v>
      </c>
      <c r="M65">
        <v>1.8760587148305301</v>
      </c>
      <c r="N65" t="s">
        <v>9</v>
      </c>
      <c r="O65">
        <v>-1.58458329853795</v>
      </c>
      <c r="P65" t="s">
        <v>10</v>
      </c>
      <c r="Q65">
        <v>0.37462545403567599</v>
      </c>
      <c r="R65" t="s">
        <v>11</v>
      </c>
      <c r="S65" t="s">
        <v>3605</v>
      </c>
      <c r="T65" t="s">
        <v>2071</v>
      </c>
      <c r="U65">
        <v>0</v>
      </c>
      <c r="V65" t="s">
        <v>14</v>
      </c>
      <c r="W65" t="s">
        <v>15</v>
      </c>
      <c r="X65" t="s">
        <v>3605</v>
      </c>
      <c r="Y65" t="s">
        <v>2071</v>
      </c>
      <c r="Z65">
        <v>0</v>
      </c>
      <c r="AA65" t="s">
        <v>18</v>
      </c>
    </row>
    <row r="66" spans="1:27" x14ac:dyDescent="0.3">
      <c r="A66" t="s">
        <v>3292</v>
      </c>
      <c r="B66" t="s">
        <v>3251</v>
      </c>
      <c r="C66" t="s">
        <v>3772</v>
      </c>
      <c r="D66" t="s">
        <v>1224</v>
      </c>
      <c r="E66">
        <v>157</v>
      </c>
      <c r="F66" t="s">
        <v>5</v>
      </c>
      <c r="G66">
        <v>82</v>
      </c>
      <c r="H66" t="s">
        <v>6</v>
      </c>
      <c r="I66">
        <v>2.8895383459483801</v>
      </c>
      <c r="J66" t="s">
        <v>7</v>
      </c>
      <c r="K66">
        <v>1.8404702840435501E-2</v>
      </c>
      <c r="L66" t="s">
        <v>8</v>
      </c>
      <c r="M66">
        <v>1.04353658536585</v>
      </c>
      <c r="N66" t="s">
        <v>9</v>
      </c>
      <c r="O66">
        <v>-1.1024061553873501</v>
      </c>
      <c r="P66" t="s">
        <v>10</v>
      </c>
      <c r="Q66">
        <v>0.32912346328158198</v>
      </c>
      <c r="R66" t="s">
        <v>11</v>
      </c>
      <c r="S66" t="s">
        <v>3427</v>
      </c>
      <c r="T66" t="s">
        <v>635</v>
      </c>
      <c r="U66">
        <v>0</v>
      </c>
      <c r="V66" t="s">
        <v>14</v>
      </c>
      <c r="W66" t="s">
        <v>15</v>
      </c>
      <c r="X66" t="s">
        <v>3154</v>
      </c>
      <c r="Y66" t="s">
        <v>3419</v>
      </c>
      <c r="Z66">
        <v>0</v>
      </c>
      <c r="AA66" t="s">
        <v>18</v>
      </c>
    </row>
    <row r="67" spans="1:27" x14ac:dyDescent="0.3">
      <c r="A67" t="s">
        <v>1221</v>
      </c>
      <c r="B67" t="s">
        <v>3230</v>
      </c>
      <c r="C67" t="s">
        <v>3773</v>
      </c>
      <c r="D67" t="s">
        <v>1224</v>
      </c>
      <c r="E67">
        <v>130</v>
      </c>
      <c r="F67" t="s">
        <v>5</v>
      </c>
      <c r="G67">
        <v>49</v>
      </c>
      <c r="H67" t="s">
        <v>6</v>
      </c>
      <c r="I67">
        <v>2.61</v>
      </c>
      <c r="J67" t="s">
        <v>7</v>
      </c>
      <c r="K67">
        <v>2.00769230769231E-2</v>
      </c>
      <c r="L67" t="s">
        <v>8</v>
      </c>
      <c r="M67">
        <v>2.6671428571428502</v>
      </c>
      <c r="N67" t="s">
        <v>9</v>
      </c>
      <c r="O67">
        <v>-1.601</v>
      </c>
      <c r="P67" t="s">
        <v>10</v>
      </c>
      <c r="Q67">
        <v>0.57340505381858797</v>
      </c>
      <c r="R67" t="s">
        <v>11</v>
      </c>
      <c r="S67" t="s">
        <v>2740</v>
      </c>
      <c r="T67" t="s">
        <v>3511</v>
      </c>
      <c r="U67">
        <v>0</v>
      </c>
      <c r="V67" t="s">
        <v>14</v>
      </c>
      <c r="W67" t="s">
        <v>15</v>
      </c>
      <c r="X67" t="s">
        <v>2740</v>
      </c>
      <c r="Y67" t="s">
        <v>3511</v>
      </c>
      <c r="Z67">
        <v>0</v>
      </c>
      <c r="AA67" t="s">
        <v>18</v>
      </c>
    </row>
    <row r="68" spans="1:27" x14ac:dyDescent="0.3">
      <c r="A68" t="s">
        <v>1220</v>
      </c>
      <c r="B68" t="s">
        <v>3287</v>
      </c>
      <c r="C68" t="s">
        <v>3774</v>
      </c>
      <c r="D68" t="s">
        <v>1224</v>
      </c>
      <c r="E68">
        <v>139</v>
      </c>
      <c r="F68" t="s">
        <v>5</v>
      </c>
      <c r="G68">
        <v>66</v>
      </c>
      <c r="H68" t="s">
        <v>6</v>
      </c>
      <c r="I68">
        <v>2.3385036282464799</v>
      </c>
      <c r="J68" t="s">
        <v>7</v>
      </c>
      <c r="K68">
        <v>1.6823767109686898E-2</v>
      </c>
      <c r="L68" t="s">
        <v>8</v>
      </c>
      <c r="M68">
        <v>1.78249936549764</v>
      </c>
      <c r="N68" t="s">
        <v>9</v>
      </c>
      <c r="O68">
        <v>-1.5795404725287301</v>
      </c>
      <c r="P68" t="s">
        <v>10</v>
      </c>
      <c r="Q68">
        <v>0.40049951982301302</v>
      </c>
      <c r="R68" t="s">
        <v>11</v>
      </c>
      <c r="S68" t="s">
        <v>2657</v>
      </c>
      <c r="T68" t="s">
        <v>3303</v>
      </c>
      <c r="U68">
        <v>0</v>
      </c>
      <c r="V68" t="s">
        <v>14</v>
      </c>
      <c r="W68" t="s">
        <v>15</v>
      </c>
      <c r="X68" t="s">
        <v>2657</v>
      </c>
      <c r="Y68" t="s">
        <v>3303</v>
      </c>
      <c r="Z68">
        <v>0</v>
      </c>
      <c r="AA68" t="s">
        <v>18</v>
      </c>
    </row>
    <row r="69" spans="1:27" x14ac:dyDescent="0.3">
      <c r="A69" t="s">
        <v>3293</v>
      </c>
      <c r="B69" t="s">
        <v>3254</v>
      </c>
      <c r="C69" t="s">
        <v>3775</v>
      </c>
      <c r="D69" t="s">
        <v>1224</v>
      </c>
      <c r="E69">
        <v>331</v>
      </c>
      <c r="F69" t="s">
        <v>5</v>
      </c>
      <c r="G69">
        <v>142</v>
      </c>
      <c r="H69" t="s">
        <v>6</v>
      </c>
      <c r="I69">
        <v>2.1040705097712298</v>
      </c>
      <c r="J69" t="s">
        <v>7</v>
      </c>
      <c r="K69">
        <v>6.3567084887348399E-3</v>
      </c>
      <c r="L69" t="s">
        <v>8</v>
      </c>
      <c r="M69">
        <v>1.56866050476556</v>
      </c>
      <c r="N69" t="s">
        <v>9</v>
      </c>
      <c r="O69">
        <v>-1.17364745301563</v>
      </c>
      <c r="P69" t="s">
        <v>10</v>
      </c>
      <c r="Q69">
        <v>0.89113002367309402</v>
      </c>
      <c r="R69" t="s">
        <v>11</v>
      </c>
      <c r="S69" t="s">
        <v>2657</v>
      </c>
      <c r="T69" t="s">
        <v>3303</v>
      </c>
      <c r="U69">
        <v>0</v>
      </c>
      <c r="V69" t="s">
        <v>14</v>
      </c>
      <c r="W69" t="s">
        <v>15</v>
      </c>
      <c r="X69" t="s">
        <v>2812</v>
      </c>
      <c r="Y69" t="s">
        <v>3303</v>
      </c>
      <c r="Z69">
        <v>0</v>
      </c>
      <c r="AA69" t="s">
        <v>18</v>
      </c>
    </row>
    <row r="70" spans="1:27" x14ac:dyDescent="0.3">
      <c r="A70" t="s">
        <v>1219</v>
      </c>
      <c r="B70" t="s">
        <v>3218</v>
      </c>
      <c r="C70" t="s">
        <v>3776</v>
      </c>
      <c r="D70" t="s">
        <v>1224</v>
      </c>
      <c r="E70">
        <v>167</v>
      </c>
      <c r="F70" t="s">
        <v>5</v>
      </c>
      <c r="G70">
        <v>69</v>
      </c>
      <c r="H70" t="s">
        <v>6</v>
      </c>
      <c r="I70">
        <v>1.9911833921854001</v>
      </c>
      <c r="J70" t="s">
        <v>7</v>
      </c>
      <c r="K70">
        <v>1.19232538454215E-2</v>
      </c>
      <c r="L70" t="s">
        <v>8</v>
      </c>
      <c r="M70">
        <v>2.6454075773760799</v>
      </c>
      <c r="N70" t="s">
        <v>9</v>
      </c>
      <c r="O70">
        <v>-1.8422646882322899</v>
      </c>
      <c r="P70" t="s">
        <v>10</v>
      </c>
      <c r="Q70">
        <v>0.76803814313113805</v>
      </c>
      <c r="R70" t="s">
        <v>11</v>
      </c>
      <c r="S70" t="s">
        <v>3399</v>
      </c>
      <c r="T70" t="s">
        <v>3400</v>
      </c>
      <c r="U70">
        <v>0</v>
      </c>
      <c r="V70" t="s">
        <v>14</v>
      </c>
      <c r="W70" t="s">
        <v>15</v>
      </c>
      <c r="X70" t="s">
        <v>3401</v>
      </c>
      <c r="Y70" t="s">
        <v>3398</v>
      </c>
      <c r="Z70">
        <v>0</v>
      </c>
      <c r="AA70" t="s">
        <v>18</v>
      </c>
    </row>
    <row r="71" spans="1:27" x14ac:dyDescent="0.3">
      <c r="A71" t="s">
        <v>1220</v>
      </c>
      <c r="B71" t="s">
        <v>3229</v>
      </c>
      <c r="C71" t="s">
        <v>3777</v>
      </c>
      <c r="D71" t="s">
        <v>1224</v>
      </c>
      <c r="E71">
        <v>140</v>
      </c>
      <c r="F71" t="s">
        <v>5</v>
      </c>
      <c r="G71">
        <v>57</v>
      </c>
      <c r="H71" t="s">
        <v>6</v>
      </c>
      <c r="I71">
        <v>1.8391183802686</v>
      </c>
      <c r="J71" t="s">
        <v>7</v>
      </c>
      <c r="K71">
        <v>1.3136559859061399E-2</v>
      </c>
      <c r="L71" t="s">
        <v>8</v>
      </c>
      <c r="M71">
        <v>2.2561403508771898</v>
      </c>
      <c r="N71" t="s">
        <v>9</v>
      </c>
      <c r="O71">
        <v>-1.54586440999672</v>
      </c>
      <c r="P71" t="s">
        <v>10</v>
      </c>
      <c r="Q71">
        <v>0.45268648301985198</v>
      </c>
      <c r="R71" t="s">
        <v>11</v>
      </c>
      <c r="S71" t="s">
        <v>3510</v>
      </c>
      <c r="T71" t="s">
        <v>3303</v>
      </c>
      <c r="U71">
        <v>0</v>
      </c>
      <c r="V71" t="s">
        <v>14</v>
      </c>
      <c r="W71" t="s">
        <v>15</v>
      </c>
      <c r="X71" t="s">
        <v>3510</v>
      </c>
      <c r="Y71" t="s">
        <v>3303</v>
      </c>
      <c r="Z71">
        <v>0</v>
      </c>
      <c r="AA71" t="s">
        <v>18</v>
      </c>
    </row>
    <row r="72" spans="1:27" x14ac:dyDescent="0.3">
      <c r="A72" t="s">
        <v>1222</v>
      </c>
      <c r="B72" t="s">
        <v>3214</v>
      </c>
      <c r="C72" t="s">
        <v>3778</v>
      </c>
      <c r="D72" t="s">
        <v>1224</v>
      </c>
      <c r="E72">
        <v>127</v>
      </c>
      <c r="F72" t="s">
        <v>5</v>
      </c>
      <c r="G72">
        <v>81</v>
      </c>
      <c r="H72" t="s">
        <v>6</v>
      </c>
      <c r="I72">
        <v>1.76572418769365</v>
      </c>
      <c r="J72" t="s">
        <v>7</v>
      </c>
      <c r="K72">
        <v>1.3903340060579901E-2</v>
      </c>
      <c r="L72" t="s">
        <v>8</v>
      </c>
      <c r="M72">
        <v>1.02367908434018</v>
      </c>
      <c r="N72" t="s">
        <v>9</v>
      </c>
      <c r="O72">
        <v>-1.7641800357361199</v>
      </c>
      <c r="P72" t="s">
        <v>10</v>
      </c>
      <c r="Q72">
        <v>0.29619594898898899</v>
      </c>
      <c r="R72" t="s">
        <v>11</v>
      </c>
      <c r="S72" t="s">
        <v>3558</v>
      </c>
      <c r="T72" t="s">
        <v>3120</v>
      </c>
      <c r="U72">
        <v>0</v>
      </c>
      <c r="V72" t="s">
        <v>14</v>
      </c>
      <c r="W72" t="s">
        <v>15</v>
      </c>
      <c r="X72" t="s">
        <v>2887</v>
      </c>
      <c r="Y72" t="s">
        <v>3559</v>
      </c>
      <c r="Z72">
        <v>0</v>
      </c>
      <c r="AA72" t="s">
        <v>18</v>
      </c>
    </row>
    <row r="73" spans="1:27" x14ac:dyDescent="0.3">
      <c r="A73" t="s">
        <v>3292</v>
      </c>
      <c r="B73" t="s">
        <v>3276</v>
      </c>
      <c r="C73" t="s">
        <v>3779</v>
      </c>
      <c r="D73" t="s">
        <v>1224</v>
      </c>
      <c r="E73">
        <v>155</v>
      </c>
      <c r="F73" t="s">
        <v>5</v>
      </c>
      <c r="G73">
        <v>82</v>
      </c>
      <c r="H73" t="s">
        <v>6</v>
      </c>
      <c r="I73">
        <v>1.55000000000004</v>
      </c>
      <c r="J73" t="s">
        <v>7</v>
      </c>
      <c r="K73">
        <v>1.00000000000002E-2</v>
      </c>
      <c r="L73" t="s">
        <v>8</v>
      </c>
      <c r="M73">
        <v>1.48195121951219</v>
      </c>
      <c r="N73" t="s">
        <v>9</v>
      </c>
      <c r="O73">
        <v>-1.6434246575342399</v>
      </c>
      <c r="P73" t="s">
        <v>10</v>
      </c>
      <c r="Q73">
        <v>0.47148760402336598</v>
      </c>
      <c r="R73" t="s">
        <v>11</v>
      </c>
      <c r="S73" t="s">
        <v>3447</v>
      </c>
      <c r="T73" t="s">
        <v>729</v>
      </c>
      <c r="U73">
        <v>0</v>
      </c>
      <c r="V73" t="s">
        <v>14</v>
      </c>
      <c r="W73" t="s">
        <v>15</v>
      </c>
      <c r="X73" t="s">
        <v>3450</v>
      </c>
      <c r="Y73" t="s">
        <v>3389</v>
      </c>
      <c r="Z73">
        <v>0</v>
      </c>
      <c r="AA73" t="s">
        <v>18</v>
      </c>
    </row>
    <row r="74" spans="1:27" x14ac:dyDescent="0.3">
      <c r="A74" t="s">
        <v>1219</v>
      </c>
      <c r="B74" t="s">
        <v>3215</v>
      </c>
      <c r="C74" t="s">
        <v>3780</v>
      </c>
      <c r="D74" t="s">
        <v>1224</v>
      </c>
      <c r="E74">
        <v>167</v>
      </c>
      <c r="F74" t="s">
        <v>5</v>
      </c>
      <c r="G74">
        <v>97</v>
      </c>
      <c r="H74" t="s">
        <v>6</v>
      </c>
      <c r="I74">
        <v>1.1426890905981</v>
      </c>
      <c r="J74" t="s">
        <v>7</v>
      </c>
      <c r="K74">
        <v>6.8424496443000504E-3</v>
      </c>
      <c r="L74" t="s">
        <v>8</v>
      </c>
      <c r="M74">
        <v>1.31174567050373</v>
      </c>
      <c r="N74" t="s">
        <v>9</v>
      </c>
      <c r="O74">
        <v>-1.8013805849752</v>
      </c>
      <c r="P74" t="s">
        <v>10</v>
      </c>
      <c r="Q74">
        <v>0.388168367041755</v>
      </c>
      <c r="R74" t="s">
        <v>11</v>
      </c>
      <c r="S74" t="s">
        <v>3395</v>
      </c>
      <c r="T74" t="s">
        <v>2221</v>
      </c>
      <c r="U74">
        <v>0</v>
      </c>
      <c r="V74" t="s">
        <v>14</v>
      </c>
      <c r="W74" t="s">
        <v>15</v>
      </c>
      <c r="X74" t="s">
        <v>3396</v>
      </c>
      <c r="Y74" t="s">
        <v>2221</v>
      </c>
      <c r="Z74">
        <v>0</v>
      </c>
      <c r="AA74" t="s">
        <v>18</v>
      </c>
    </row>
    <row r="75" spans="1:27" x14ac:dyDescent="0.3">
      <c r="A75" t="s">
        <v>1219</v>
      </c>
      <c r="B75" t="s">
        <v>3232</v>
      </c>
      <c r="C75" t="s">
        <v>3781</v>
      </c>
      <c r="D75" t="s">
        <v>1224</v>
      </c>
      <c r="E75">
        <v>167</v>
      </c>
      <c r="F75" t="s">
        <v>5</v>
      </c>
      <c r="G75">
        <v>108</v>
      </c>
      <c r="H75" t="s">
        <v>6</v>
      </c>
      <c r="I75">
        <v>0.98558025687557005</v>
      </c>
      <c r="J75" t="s">
        <v>7</v>
      </c>
      <c r="K75">
        <v>5.9016781848836497E-3</v>
      </c>
      <c r="L75" t="s">
        <v>8</v>
      </c>
      <c r="M75">
        <v>0.85186673010520197</v>
      </c>
      <c r="N75" t="s">
        <v>9</v>
      </c>
      <c r="O75">
        <v>-1.5426445185506099</v>
      </c>
      <c r="P75" t="s">
        <v>10</v>
      </c>
      <c r="Q75">
        <v>0.29421179627409999</v>
      </c>
      <c r="R75" t="s">
        <v>11</v>
      </c>
      <c r="S75" t="s">
        <v>235</v>
      </c>
      <c r="T75" t="s">
        <v>77</v>
      </c>
      <c r="U75">
        <v>0</v>
      </c>
      <c r="V75" t="s">
        <v>14</v>
      </c>
      <c r="W75" t="s">
        <v>15</v>
      </c>
      <c r="X75" t="s">
        <v>235</v>
      </c>
      <c r="Y75" t="s">
        <v>77</v>
      </c>
      <c r="Z75">
        <v>0</v>
      </c>
      <c r="AA75" t="s">
        <v>18</v>
      </c>
    </row>
    <row r="76" spans="1:27" x14ac:dyDescent="0.3">
      <c r="A76" t="s">
        <v>1219</v>
      </c>
      <c r="B76" t="s">
        <v>3251</v>
      </c>
      <c r="C76" t="s">
        <v>3782</v>
      </c>
      <c r="D76" t="s">
        <v>1224</v>
      </c>
      <c r="E76">
        <v>167</v>
      </c>
      <c r="F76" t="s">
        <v>5</v>
      </c>
      <c r="G76">
        <v>86</v>
      </c>
      <c r="H76" t="s">
        <v>6</v>
      </c>
      <c r="I76">
        <v>0.61089299687120402</v>
      </c>
      <c r="J76" t="s">
        <v>7</v>
      </c>
      <c r="K76">
        <v>3.6580418974323601E-3</v>
      </c>
      <c r="L76" t="s">
        <v>8</v>
      </c>
      <c r="M76">
        <v>1.0850157517549099</v>
      </c>
      <c r="N76" t="s">
        <v>9</v>
      </c>
      <c r="O76">
        <v>-1.1444501438771799</v>
      </c>
      <c r="P76" t="s">
        <v>10</v>
      </c>
      <c r="Q76">
        <v>0.338134273839166</v>
      </c>
      <c r="R76" t="s">
        <v>11</v>
      </c>
      <c r="S76" t="s">
        <v>3427</v>
      </c>
      <c r="T76" t="s">
        <v>635</v>
      </c>
      <c r="U76">
        <v>0</v>
      </c>
      <c r="V76" t="s">
        <v>14</v>
      </c>
      <c r="W76" t="s">
        <v>15</v>
      </c>
      <c r="X76" t="s">
        <v>3154</v>
      </c>
      <c r="Y76" t="s">
        <v>3419</v>
      </c>
      <c r="Z76">
        <v>0</v>
      </c>
      <c r="AA76" t="s">
        <v>18</v>
      </c>
    </row>
    <row r="77" spans="1:27" x14ac:dyDescent="0.3">
      <c r="A77" t="s">
        <v>1222</v>
      </c>
      <c r="B77" t="s">
        <v>3262</v>
      </c>
      <c r="C77" t="s">
        <v>3783</v>
      </c>
      <c r="D77" t="s">
        <v>1224</v>
      </c>
      <c r="E77">
        <v>128</v>
      </c>
      <c r="F77" t="s">
        <v>5</v>
      </c>
      <c r="G77">
        <v>72</v>
      </c>
      <c r="H77" t="s">
        <v>6</v>
      </c>
      <c r="I77">
        <v>0.47000000000001402</v>
      </c>
      <c r="J77" t="s">
        <v>7</v>
      </c>
      <c r="K77">
        <v>3.6718750000001099E-3</v>
      </c>
      <c r="L77" t="s">
        <v>8</v>
      </c>
      <c r="M77">
        <v>1.1884722222222199</v>
      </c>
      <c r="N77" t="s">
        <v>9</v>
      </c>
      <c r="O77">
        <v>-1.51964285714285</v>
      </c>
      <c r="P77" t="s">
        <v>10</v>
      </c>
      <c r="Q77">
        <v>0.29588681452056198</v>
      </c>
      <c r="R77" t="s">
        <v>11</v>
      </c>
      <c r="S77" t="s">
        <v>2069</v>
      </c>
      <c r="T77" t="s">
        <v>2071</v>
      </c>
      <c r="U77">
        <v>0</v>
      </c>
      <c r="V77" t="s">
        <v>14</v>
      </c>
      <c r="W77" t="s">
        <v>15</v>
      </c>
      <c r="X77" t="s">
        <v>2069</v>
      </c>
      <c r="Y77" t="s">
        <v>2071</v>
      </c>
      <c r="Z77">
        <v>0</v>
      </c>
      <c r="AA77" t="s">
        <v>18</v>
      </c>
    </row>
    <row r="78" spans="1:27" x14ac:dyDescent="0.3">
      <c r="A78" t="s">
        <v>1221</v>
      </c>
      <c r="B78" t="s">
        <v>3224</v>
      </c>
      <c r="C78" t="s">
        <v>3784</v>
      </c>
      <c r="D78" t="s">
        <v>1224</v>
      </c>
      <c r="E78">
        <v>125</v>
      </c>
      <c r="F78" t="s">
        <v>5</v>
      </c>
      <c r="G78">
        <v>45</v>
      </c>
      <c r="H78" t="s">
        <v>6</v>
      </c>
      <c r="I78">
        <v>-0.29999999999995702</v>
      </c>
      <c r="J78" t="s">
        <v>7</v>
      </c>
      <c r="K78">
        <v>-2.3999999999996498E-3</v>
      </c>
      <c r="L78" t="s">
        <v>8</v>
      </c>
      <c r="M78">
        <v>2.4006666666666598</v>
      </c>
      <c r="N78" t="s">
        <v>9</v>
      </c>
      <c r="O78">
        <v>-1.35412499999999</v>
      </c>
      <c r="P78" t="s">
        <v>10</v>
      </c>
      <c r="Q78">
        <v>0.52591884892021301</v>
      </c>
      <c r="R78" t="s">
        <v>11</v>
      </c>
      <c r="S78" t="s">
        <v>3541</v>
      </c>
      <c r="T78" t="s">
        <v>3506</v>
      </c>
      <c r="U78">
        <v>0</v>
      </c>
      <c r="V78" t="s">
        <v>14</v>
      </c>
      <c r="W78" t="s">
        <v>15</v>
      </c>
      <c r="X78" t="s">
        <v>3541</v>
      </c>
      <c r="Y78" t="s">
        <v>3506</v>
      </c>
      <c r="Z78">
        <v>0</v>
      </c>
      <c r="AA78" t="s">
        <v>18</v>
      </c>
    </row>
    <row r="79" spans="1:27" x14ac:dyDescent="0.3">
      <c r="A79" t="s">
        <v>1222</v>
      </c>
      <c r="B79" t="s">
        <v>3268</v>
      </c>
      <c r="C79" t="s">
        <v>3785</v>
      </c>
      <c r="D79" t="s">
        <v>1224</v>
      </c>
      <c r="E79">
        <v>127</v>
      </c>
      <c r="F79" t="s">
        <v>5</v>
      </c>
      <c r="G79">
        <v>71</v>
      </c>
      <c r="H79" t="s">
        <v>6</v>
      </c>
      <c r="I79">
        <v>-0.41885351288980899</v>
      </c>
      <c r="J79" t="s">
        <v>7</v>
      </c>
      <c r="K79">
        <v>-3.2980591566126702E-3</v>
      </c>
      <c r="L79" t="s">
        <v>8</v>
      </c>
      <c r="M79">
        <v>1.26790347164943</v>
      </c>
      <c r="N79" t="s">
        <v>9</v>
      </c>
      <c r="O79">
        <v>-1.615</v>
      </c>
      <c r="P79" t="s">
        <v>10</v>
      </c>
      <c r="Q79">
        <v>0.30437271253230502</v>
      </c>
      <c r="R79" t="s">
        <v>11</v>
      </c>
      <c r="S79" t="s">
        <v>2804</v>
      </c>
      <c r="T79" t="s">
        <v>730</v>
      </c>
      <c r="U79">
        <v>0</v>
      </c>
      <c r="V79" t="s">
        <v>14</v>
      </c>
      <c r="W79" t="s">
        <v>15</v>
      </c>
      <c r="X79" t="s">
        <v>1488</v>
      </c>
      <c r="Y79" t="s">
        <v>3132</v>
      </c>
      <c r="Z79">
        <v>0</v>
      </c>
      <c r="AA79" t="s">
        <v>18</v>
      </c>
    </row>
    <row r="80" spans="1:27" x14ac:dyDescent="0.3">
      <c r="A80" t="s">
        <v>1222</v>
      </c>
      <c r="B80" t="s">
        <v>3271</v>
      </c>
      <c r="C80" t="s">
        <v>3786</v>
      </c>
      <c r="D80" t="s">
        <v>1224</v>
      </c>
      <c r="E80">
        <v>127</v>
      </c>
      <c r="F80" t="s">
        <v>5</v>
      </c>
      <c r="G80">
        <v>28</v>
      </c>
      <c r="H80" t="s">
        <v>6</v>
      </c>
      <c r="I80">
        <v>-0.47818993950405098</v>
      </c>
      <c r="J80" t="s">
        <v>7</v>
      </c>
      <c r="K80">
        <v>-3.7652751142051299E-3</v>
      </c>
      <c r="L80" t="s">
        <v>8</v>
      </c>
      <c r="M80">
        <v>5.7779345318716802</v>
      </c>
      <c r="N80" t="s">
        <v>9</v>
      </c>
      <c r="O80">
        <v>-1.6389935033526299</v>
      </c>
      <c r="P80" t="s">
        <v>10</v>
      </c>
      <c r="Q80">
        <v>0.61403033102276094</v>
      </c>
      <c r="R80" t="s">
        <v>11</v>
      </c>
      <c r="S80" t="s">
        <v>3592</v>
      </c>
      <c r="T80" t="s">
        <v>3593</v>
      </c>
      <c r="U80">
        <v>0</v>
      </c>
      <c r="V80" t="s">
        <v>14</v>
      </c>
      <c r="W80" t="s">
        <v>15</v>
      </c>
      <c r="X80" t="s">
        <v>3594</v>
      </c>
      <c r="Y80" t="s">
        <v>2249</v>
      </c>
      <c r="Z80">
        <v>0</v>
      </c>
      <c r="AA80" t="s">
        <v>18</v>
      </c>
    </row>
    <row r="81" spans="1:27" x14ac:dyDescent="0.3">
      <c r="A81" t="s">
        <v>1220</v>
      </c>
      <c r="B81" t="s">
        <v>3265</v>
      </c>
      <c r="C81" t="s">
        <v>3787</v>
      </c>
      <c r="D81" t="s">
        <v>1224</v>
      </c>
      <c r="E81">
        <v>140</v>
      </c>
      <c r="F81" t="s">
        <v>5</v>
      </c>
      <c r="G81">
        <v>35</v>
      </c>
      <c r="H81" t="s">
        <v>6</v>
      </c>
      <c r="I81">
        <v>-0.49999999999998601</v>
      </c>
      <c r="J81" t="s">
        <v>7</v>
      </c>
      <c r="K81">
        <v>-3.5714285714284698E-3</v>
      </c>
      <c r="L81" t="s">
        <v>8</v>
      </c>
      <c r="M81">
        <v>4.71714285714285</v>
      </c>
      <c r="N81" t="s">
        <v>9</v>
      </c>
      <c r="O81">
        <v>-1.5771428571428501</v>
      </c>
      <c r="P81" t="s">
        <v>10</v>
      </c>
      <c r="Q81">
        <v>0.646854562322</v>
      </c>
      <c r="R81" t="s">
        <v>11</v>
      </c>
      <c r="S81" t="s">
        <v>3528</v>
      </c>
      <c r="T81" t="s">
        <v>3529</v>
      </c>
      <c r="U81">
        <v>0</v>
      </c>
      <c r="V81" t="s">
        <v>14</v>
      </c>
      <c r="W81" t="s">
        <v>15</v>
      </c>
      <c r="X81" t="s">
        <v>3528</v>
      </c>
      <c r="Y81" t="s">
        <v>3529</v>
      </c>
      <c r="Z81">
        <v>0</v>
      </c>
      <c r="AA81" t="s">
        <v>18</v>
      </c>
    </row>
    <row r="82" spans="1:27" x14ac:dyDescent="0.3">
      <c r="A82" t="s">
        <v>1222</v>
      </c>
      <c r="B82" t="s">
        <v>3289</v>
      </c>
      <c r="C82" t="s">
        <v>3788</v>
      </c>
      <c r="D82" t="s">
        <v>1224</v>
      </c>
      <c r="E82">
        <v>127</v>
      </c>
      <c r="F82" t="s">
        <v>5</v>
      </c>
      <c r="G82">
        <v>39</v>
      </c>
      <c r="H82" t="s">
        <v>6</v>
      </c>
      <c r="I82">
        <v>-0.55949740817385796</v>
      </c>
      <c r="J82" t="s">
        <v>7</v>
      </c>
      <c r="K82">
        <v>-4.4054914029437601E-3</v>
      </c>
      <c r="L82" t="s">
        <v>8</v>
      </c>
      <c r="M82">
        <v>3.61364530493351</v>
      </c>
      <c r="N82" t="s">
        <v>9</v>
      </c>
      <c r="O82">
        <v>-1.60785982159751</v>
      </c>
      <c r="P82" t="s">
        <v>10</v>
      </c>
      <c r="Q82">
        <v>0.61841737600288105</v>
      </c>
      <c r="R82" t="s">
        <v>11</v>
      </c>
      <c r="S82" t="s">
        <v>3534</v>
      </c>
      <c r="T82" t="s">
        <v>2769</v>
      </c>
      <c r="U82">
        <v>0</v>
      </c>
      <c r="V82" t="s">
        <v>14</v>
      </c>
      <c r="W82" t="s">
        <v>15</v>
      </c>
      <c r="X82" t="s">
        <v>2506</v>
      </c>
      <c r="Y82" t="s">
        <v>2783</v>
      </c>
      <c r="Z82">
        <v>0</v>
      </c>
      <c r="AA82" t="s">
        <v>18</v>
      </c>
    </row>
    <row r="83" spans="1:27" x14ac:dyDescent="0.3">
      <c r="A83" t="s">
        <v>1220</v>
      </c>
      <c r="B83" t="s">
        <v>3253</v>
      </c>
      <c r="C83" t="s">
        <v>3789</v>
      </c>
      <c r="D83" t="s">
        <v>1224</v>
      </c>
      <c r="E83">
        <v>139</v>
      </c>
      <c r="F83" t="s">
        <v>5</v>
      </c>
      <c r="G83">
        <v>50</v>
      </c>
      <c r="H83" t="s">
        <v>6</v>
      </c>
      <c r="I83">
        <v>-1.54966410826328</v>
      </c>
      <c r="J83" t="s">
        <v>7</v>
      </c>
      <c r="K83">
        <v>-1.11486626493761E-2</v>
      </c>
      <c r="L83" t="s">
        <v>8</v>
      </c>
      <c r="M83">
        <v>2.00670335570925</v>
      </c>
      <c r="N83" t="s">
        <v>9</v>
      </c>
      <c r="O83">
        <v>-1.15778218061052</v>
      </c>
      <c r="P83" t="s">
        <v>10</v>
      </c>
      <c r="Q83">
        <v>0.37997117249426698</v>
      </c>
      <c r="R83" t="s">
        <v>11</v>
      </c>
      <c r="S83" t="s">
        <v>2898</v>
      </c>
      <c r="T83" t="s">
        <v>3520</v>
      </c>
      <c r="U83">
        <v>0</v>
      </c>
      <c r="V83" t="s">
        <v>14</v>
      </c>
      <c r="W83" t="s">
        <v>15</v>
      </c>
      <c r="X83" t="s">
        <v>676</v>
      </c>
      <c r="Y83" t="s">
        <v>2793</v>
      </c>
      <c r="Z83">
        <v>0</v>
      </c>
      <c r="AA83" t="s">
        <v>18</v>
      </c>
    </row>
    <row r="84" spans="1:27" x14ac:dyDescent="0.3">
      <c r="A84" t="s">
        <v>3293</v>
      </c>
      <c r="B84" t="s">
        <v>3255</v>
      </c>
      <c r="C84" t="s">
        <v>3790</v>
      </c>
      <c r="D84" t="s">
        <v>1224</v>
      </c>
      <c r="E84">
        <v>331</v>
      </c>
      <c r="F84" t="s">
        <v>5</v>
      </c>
      <c r="G84">
        <v>138</v>
      </c>
      <c r="H84" t="s">
        <v>6</v>
      </c>
      <c r="I84">
        <v>-1.5759294902287699</v>
      </c>
      <c r="J84" t="s">
        <v>7</v>
      </c>
      <c r="K84">
        <v>-4.7611162846790704E-3</v>
      </c>
      <c r="L84" t="s">
        <v>8</v>
      </c>
      <c r="M84">
        <v>1.6907231280921</v>
      </c>
      <c r="N84" t="s">
        <v>9</v>
      </c>
      <c r="O84">
        <v>-1.2234152144111401</v>
      </c>
      <c r="P84" t="s">
        <v>10</v>
      </c>
      <c r="Q84">
        <v>1.0807157055285901</v>
      </c>
      <c r="R84" t="s">
        <v>11</v>
      </c>
      <c r="S84" t="s">
        <v>3512</v>
      </c>
      <c r="T84" t="s">
        <v>1232</v>
      </c>
      <c r="U84">
        <v>0</v>
      </c>
      <c r="V84" t="s">
        <v>14</v>
      </c>
      <c r="W84" t="s">
        <v>15</v>
      </c>
      <c r="X84" t="s">
        <v>3383</v>
      </c>
      <c r="Y84" t="s">
        <v>3320</v>
      </c>
      <c r="Z84">
        <v>0</v>
      </c>
      <c r="AA84" t="s">
        <v>18</v>
      </c>
    </row>
    <row r="85" spans="1:27" x14ac:dyDescent="0.3">
      <c r="A85" t="s">
        <v>1219</v>
      </c>
      <c r="B85" t="s">
        <v>3208</v>
      </c>
      <c r="C85" t="s">
        <v>3791</v>
      </c>
      <c r="D85" t="s">
        <v>1224</v>
      </c>
      <c r="E85">
        <v>178</v>
      </c>
      <c r="F85" t="s">
        <v>5</v>
      </c>
      <c r="G85">
        <v>112</v>
      </c>
      <c r="H85" t="s">
        <v>6</v>
      </c>
      <c r="I85">
        <v>-1.87</v>
      </c>
      <c r="J85" t="s">
        <v>7</v>
      </c>
      <c r="K85">
        <v>-1.05056179775281E-2</v>
      </c>
      <c r="L85" t="s">
        <v>8</v>
      </c>
      <c r="M85">
        <v>0.92482142857142802</v>
      </c>
      <c r="N85" t="s">
        <v>9</v>
      </c>
      <c r="O85">
        <v>-1.59772727272727</v>
      </c>
      <c r="P85" t="s">
        <v>10</v>
      </c>
      <c r="Q85">
        <v>0.33024608385774301</v>
      </c>
      <c r="R85" t="s">
        <v>11</v>
      </c>
      <c r="S85" t="s">
        <v>3386</v>
      </c>
      <c r="T85" t="s">
        <v>3030</v>
      </c>
      <c r="U85">
        <v>0</v>
      </c>
      <c r="V85" t="s">
        <v>14</v>
      </c>
      <c r="W85" t="s">
        <v>15</v>
      </c>
      <c r="X85" t="s">
        <v>3390</v>
      </c>
      <c r="Y85" t="s">
        <v>3391</v>
      </c>
      <c r="Z85">
        <v>0</v>
      </c>
      <c r="AA85" t="s">
        <v>18</v>
      </c>
    </row>
    <row r="86" spans="1:27" x14ac:dyDescent="0.3">
      <c r="A86" t="s">
        <v>1221</v>
      </c>
      <c r="B86" t="s">
        <v>3271</v>
      </c>
      <c r="C86" t="s">
        <v>3792</v>
      </c>
      <c r="D86" t="s">
        <v>1224</v>
      </c>
      <c r="E86">
        <v>130</v>
      </c>
      <c r="F86" t="s">
        <v>5</v>
      </c>
      <c r="G86">
        <v>31</v>
      </c>
      <c r="H86" t="s">
        <v>6</v>
      </c>
      <c r="I86">
        <v>-1.9832457276947</v>
      </c>
      <c r="J86" t="s">
        <v>7</v>
      </c>
      <c r="K86">
        <v>-1.5255736366882299E-2</v>
      </c>
      <c r="L86" t="s">
        <v>8</v>
      </c>
      <c r="M86">
        <v>5.3825806451612896</v>
      </c>
      <c r="N86" t="s">
        <v>9</v>
      </c>
      <c r="O86">
        <v>-1.70548733058277</v>
      </c>
      <c r="P86" t="s">
        <v>10</v>
      </c>
      <c r="Q86">
        <v>0.57180674186554603</v>
      </c>
      <c r="R86" t="s">
        <v>11</v>
      </c>
      <c r="S86" t="s">
        <v>3546</v>
      </c>
      <c r="T86" t="s">
        <v>3547</v>
      </c>
      <c r="U86">
        <v>0</v>
      </c>
      <c r="V86" t="s">
        <v>14</v>
      </c>
      <c r="W86" t="s">
        <v>15</v>
      </c>
      <c r="X86" t="s">
        <v>3546</v>
      </c>
      <c r="Y86" t="s">
        <v>3547</v>
      </c>
      <c r="Z86">
        <v>0</v>
      </c>
      <c r="AA86" t="s">
        <v>18</v>
      </c>
    </row>
    <row r="87" spans="1:27" x14ac:dyDescent="0.3">
      <c r="A87" t="s">
        <v>1221</v>
      </c>
      <c r="B87" t="s">
        <v>3225</v>
      </c>
      <c r="C87" t="s">
        <v>3793</v>
      </c>
      <c r="D87" t="s">
        <v>1224</v>
      </c>
      <c r="E87">
        <v>125</v>
      </c>
      <c r="F87" t="s">
        <v>5</v>
      </c>
      <c r="G87">
        <v>45</v>
      </c>
      <c r="H87" t="s">
        <v>6</v>
      </c>
      <c r="I87">
        <v>-2.0699999999999399</v>
      </c>
      <c r="J87" t="s">
        <v>7</v>
      </c>
      <c r="K87">
        <v>-1.6559999999999499E-2</v>
      </c>
      <c r="L87" t="s">
        <v>8</v>
      </c>
      <c r="M87">
        <v>2.36133333333333</v>
      </c>
      <c r="N87" t="s">
        <v>9</v>
      </c>
      <c r="O87">
        <v>-1.35412499999999</v>
      </c>
      <c r="P87" t="s">
        <v>10</v>
      </c>
      <c r="Q87">
        <v>0.551473631197408</v>
      </c>
      <c r="R87" t="s">
        <v>11</v>
      </c>
      <c r="S87" t="s">
        <v>3509</v>
      </c>
      <c r="T87" t="s">
        <v>2757</v>
      </c>
      <c r="U87">
        <v>0</v>
      </c>
      <c r="V87" t="s">
        <v>14</v>
      </c>
      <c r="W87" t="s">
        <v>15</v>
      </c>
      <c r="X87" t="s">
        <v>3509</v>
      </c>
      <c r="Y87" t="s">
        <v>2757</v>
      </c>
      <c r="Z87">
        <v>0</v>
      </c>
      <c r="AA87" t="s">
        <v>18</v>
      </c>
    </row>
    <row r="88" spans="1:27" x14ac:dyDescent="0.3">
      <c r="A88" t="s">
        <v>3293</v>
      </c>
      <c r="B88" t="s">
        <v>3253</v>
      </c>
      <c r="C88" t="s">
        <v>3794</v>
      </c>
      <c r="D88" t="s">
        <v>1224</v>
      </c>
      <c r="E88">
        <v>331</v>
      </c>
      <c r="F88" t="s">
        <v>5</v>
      </c>
      <c r="G88">
        <v>151</v>
      </c>
      <c r="H88" t="s">
        <v>6</v>
      </c>
      <c r="I88">
        <v>-2.16592949022876</v>
      </c>
      <c r="J88" t="s">
        <v>7</v>
      </c>
      <c r="K88">
        <v>-6.5435936260687796E-3</v>
      </c>
      <c r="L88" t="s">
        <v>8</v>
      </c>
      <c r="M88">
        <v>1.3395350442166201</v>
      </c>
      <c r="N88" t="s">
        <v>9</v>
      </c>
      <c r="O88">
        <v>-1.14209900093262</v>
      </c>
      <c r="P88" t="s">
        <v>10</v>
      </c>
      <c r="Q88">
        <v>0.70986672919791405</v>
      </c>
      <c r="R88" t="s">
        <v>11</v>
      </c>
      <c r="S88" t="s">
        <v>2657</v>
      </c>
      <c r="T88" t="s">
        <v>3303</v>
      </c>
      <c r="U88">
        <v>0</v>
      </c>
      <c r="V88" t="s">
        <v>14</v>
      </c>
      <c r="W88" t="s">
        <v>15</v>
      </c>
      <c r="X88" t="s">
        <v>2812</v>
      </c>
      <c r="Y88" t="s">
        <v>3303</v>
      </c>
      <c r="Z88">
        <v>0</v>
      </c>
      <c r="AA88" t="s">
        <v>18</v>
      </c>
    </row>
    <row r="89" spans="1:27" x14ac:dyDescent="0.3">
      <c r="A89" t="s">
        <v>1220</v>
      </c>
      <c r="B89" t="s">
        <v>3234</v>
      </c>
      <c r="C89" t="s">
        <v>3795</v>
      </c>
      <c r="D89" t="s">
        <v>1224</v>
      </c>
      <c r="E89">
        <v>139</v>
      </c>
      <c r="F89" t="s">
        <v>5</v>
      </c>
      <c r="G89">
        <v>67</v>
      </c>
      <c r="H89" t="s">
        <v>6</v>
      </c>
      <c r="I89">
        <v>-2.64663740558967</v>
      </c>
      <c r="J89" t="s">
        <v>7</v>
      </c>
      <c r="K89">
        <v>-1.90405568747458E-2</v>
      </c>
      <c r="L89" t="s">
        <v>8</v>
      </c>
      <c r="M89">
        <v>1.5766737794232299</v>
      </c>
      <c r="N89" t="s">
        <v>9</v>
      </c>
      <c r="O89">
        <v>-1.5039413975964699</v>
      </c>
      <c r="P89" t="s">
        <v>10</v>
      </c>
      <c r="Q89">
        <v>0.32894005570524798</v>
      </c>
      <c r="R89" t="s">
        <v>11</v>
      </c>
      <c r="S89" t="s">
        <v>3513</v>
      </c>
      <c r="T89" t="s">
        <v>2186</v>
      </c>
      <c r="U89">
        <v>0</v>
      </c>
      <c r="V89" t="s">
        <v>14</v>
      </c>
      <c r="W89" t="s">
        <v>15</v>
      </c>
      <c r="X89" t="s">
        <v>3513</v>
      </c>
      <c r="Y89" t="s">
        <v>2186</v>
      </c>
      <c r="Z89">
        <v>0</v>
      </c>
      <c r="AA89" t="s">
        <v>18</v>
      </c>
    </row>
    <row r="90" spans="1:27" x14ac:dyDescent="0.3">
      <c r="A90" t="s">
        <v>1220</v>
      </c>
      <c r="B90" t="s">
        <v>3228</v>
      </c>
      <c r="C90" t="s">
        <v>3796</v>
      </c>
      <c r="D90" t="s">
        <v>1224</v>
      </c>
      <c r="E90">
        <v>140</v>
      </c>
      <c r="F90" t="s">
        <v>5</v>
      </c>
      <c r="G90">
        <v>61</v>
      </c>
      <c r="H90" t="s">
        <v>6</v>
      </c>
      <c r="I90">
        <v>-2.9383086348487502</v>
      </c>
      <c r="J90" t="s">
        <v>7</v>
      </c>
      <c r="K90">
        <v>-2.09879188203482E-2</v>
      </c>
      <c r="L90" t="s">
        <v>8</v>
      </c>
      <c r="M90">
        <v>1.9042900223795201</v>
      </c>
      <c r="N90" t="s">
        <v>9</v>
      </c>
      <c r="O90">
        <v>-1.5269230769230699</v>
      </c>
      <c r="P90" t="s">
        <v>10</v>
      </c>
      <c r="Q90">
        <v>0.40532983208555201</v>
      </c>
      <c r="R90" t="s">
        <v>11</v>
      </c>
      <c r="S90" t="s">
        <v>3510</v>
      </c>
      <c r="T90" t="s">
        <v>3303</v>
      </c>
      <c r="U90">
        <v>0</v>
      </c>
      <c r="V90" t="s">
        <v>14</v>
      </c>
      <c r="W90" t="s">
        <v>15</v>
      </c>
      <c r="X90" t="s">
        <v>3510</v>
      </c>
      <c r="Y90" t="s">
        <v>3303</v>
      </c>
      <c r="Z90">
        <v>0</v>
      </c>
      <c r="AA90" t="s">
        <v>18</v>
      </c>
    </row>
    <row r="91" spans="1:27" x14ac:dyDescent="0.3">
      <c r="A91" t="s">
        <v>1222</v>
      </c>
      <c r="B91" t="s">
        <v>3290</v>
      </c>
      <c r="C91" t="s">
        <v>3797</v>
      </c>
      <c r="D91" t="s">
        <v>1224</v>
      </c>
      <c r="E91">
        <v>127</v>
      </c>
      <c r="F91" t="s">
        <v>5</v>
      </c>
      <c r="G91">
        <v>34</v>
      </c>
      <c r="H91" t="s">
        <v>6</v>
      </c>
      <c r="I91">
        <v>-3.32949740817384</v>
      </c>
      <c r="J91" t="s">
        <v>7</v>
      </c>
      <c r="K91">
        <v>-2.62165150249908E-2</v>
      </c>
      <c r="L91" t="s">
        <v>8</v>
      </c>
      <c r="M91">
        <v>4.3459460850707901</v>
      </c>
      <c r="N91" t="s">
        <v>9</v>
      </c>
      <c r="O91">
        <v>-1.6246415516191399</v>
      </c>
      <c r="P91" t="s">
        <v>10</v>
      </c>
      <c r="Q91">
        <v>0.70496507798798602</v>
      </c>
      <c r="R91" t="s">
        <v>11</v>
      </c>
      <c r="S91" t="s">
        <v>3608</v>
      </c>
      <c r="T91" t="s">
        <v>2767</v>
      </c>
      <c r="U91">
        <v>0</v>
      </c>
      <c r="V91" t="s">
        <v>14</v>
      </c>
      <c r="W91" t="s">
        <v>15</v>
      </c>
      <c r="X91" t="s">
        <v>3609</v>
      </c>
      <c r="Y91" t="s">
        <v>2793</v>
      </c>
      <c r="Z91">
        <v>0</v>
      </c>
      <c r="AA91" t="s">
        <v>18</v>
      </c>
    </row>
    <row r="92" spans="1:27" x14ac:dyDescent="0.3">
      <c r="A92" t="s">
        <v>3292</v>
      </c>
      <c r="B92" t="s">
        <v>3232</v>
      </c>
      <c r="C92" t="s">
        <v>3798</v>
      </c>
      <c r="D92" t="s">
        <v>1224</v>
      </c>
      <c r="E92">
        <v>157</v>
      </c>
      <c r="F92" t="s">
        <v>5</v>
      </c>
      <c r="G92">
        <v>101</v>
      </c>
      <c r="H92" t="s">
        <v>6</v>
      </c>
      <c r="I92">
        <v>-3.3390330894233302</v>
      </c>
      <c r="J92" t="s">
        <v>7</v>
      </c>
      <c r="K92">
        <v>-2.1267726684225E-2</v>
      </c>
      <c r="L92" t="s">
        <v>8</v>
      </c>
      <c r="M92">
        <v>0.78650488618874104</v>
      </c>
      <c r="N92" t="s">
        <v>9</v>
      </c>
      <c r="O92">
        <v>-1.47814333204439</v>
      </c>
      <c r="P92" t="s">
        <v>10</v>
      </c>
      <c r="Q92">
        <v>0.26566151751179101</v>
      </c>
      <c r="R92" t="s">
        <v>11</v>
      </c>
      <c r="S92" t="s">
        <v>746</v>
      </c>
      <c r="T92" t="s">
        <v>3419</v>
      </c>
      <c r="U92">
        <v>0</v>
      </c>
      <c r="V92" t="s">
        <v>14</v>
      </c>
      <c r="W92" t="s">
        <v>15</v>
      </c>
      <c r="X92" t="s">
        <v>3478</v>
      </c>
      <c r="Y92" t="s">
        <v>3479</v>
      </c>
      <c r="Z92">
        <v>0</v>
      </c>
      <c r="AA92" t="s">
        <v>18</v>
      </c>
    </row>
    <row r="93" spans="1:27" x14ac:dyDescent="0.3">
      <c r="A93" t="s">
        <v>1221</v>
      </c>
      <c r="B93" t="s">
        <v>3228</v>
      </c>
      <c r="C93" t="s">
        <v>3799</v>
      </c>
      <c r="D93" t="s">
        <v>1224</v>
      </c>
      <c r="E93">
        <v>130</v>
      </c>
      <c r="F93" t="s">
        <v>5</v>
      </c>
      <c r="G93">
        <v>58</v>
      </c>
      <c r="H93" t="s">
        <v>6</v>
      </c>
      <c r="I93">
        <v>-4.01</v>
      </c>
      <c r="J93" t="s">
        <v>7</v>
      </c>
      <c r="K93">
        <v>-3.0846153846153801E-2</v>
      </c>
      <c r="L93" t="s">
        <v>8</v>
      </c>
      <c r="M93">
        <v>1.83327586206896</v>
      </c>
      <c r="N93" t="s">
        <v>9</v>
      </c>
      <c r="O93">
        <v>-1.55408450704225</v>
      </c>
      <c r="P93" t="s">
        <v>10</v>
      </c>
      <c r="Q93">
        <v>0.376914850050727</v>
      </c>
      <c r="R93" t="s">
        <v>11</v>
      </c>
      <c r="S93" t="s">
        <v>3510</v>
      </c>
      <c r="T93" t="s">
        <v>3303</v>
      </c>
      <c r="U93">
        <v>0</v>
      </c>
      <c r="V93" t="s">
        <v>14</v>
      </c>
      <c r="W93" t="s">
        <v>15</v>
      </c>
      <c r="X93" t="s">
        <v>3510</v>
      </c>
      <c r="Y93" t="s">
        <v>3303</v>
      </c>
      <c r="Z93">
        <v>0</v>
      </c>
      <c r="AA93" t="s">
        <v>18</v>
      </c>
    </row>
    <row r="94" spans="1:27" x14ac:dyDescent="0.3">
      <c r="A94" t="s">
        <v>1219</v>
      </c>
      <c r="B94" t="s">
        <v>3233</v>
      </c>
      <c r="C94" t="s">
        <v>3800</v>
      </c>
      <c r="D94" t="s">
        <v>1224</v>
      </c>
      <c r="E94">
        <v>167</v>
      </c>
      <c r="F94" t="s">
        <v>5</v>
      </c>
      <c r="G94">
        <v>93</v>
      </c>
      <c r="H94" t="s">
        <v>6</v>
      </c>
      <c r="I94">
        <v>-4.0384330902382599</v>
      </c>
      <c r="J94" t="s">
        <v>7</v>
      </c>
      <c r="K94">
        <v>-2.4182234073282901E-2</v>
      </c>
      <c r="L94" t="s">
        <v>8</v>
      </c>
      <c r="M94">
        <v>1.1845964127100601</v>
      </c>
      <c r="N94" t="s">
        <v>9</v>
      </c>
      <c r="O94">
        <v>-1.5433229658415399</v>
      </c>
      <c r="P94" t="s">
        <v>10</v>
      </c>
      <c r="Q94">
        <v>0.35025474249387001</v>
      </c>
      <c r="R94" t="s">
        <v>11</v>
      </c>
      <c r="S94" t="s">
        <v>235</v>
      </c>
      <c r="T94" t="s">
        <v>77</v>
      </c>
      <c r="U94">
        <v>0</v>
      </c>
      <c r="V94" t="s">
        <v>14</v>
      </c>
      <c r="W94" t="s">
        <v>15</v>
      </c>
      <c r="X94" t="s">
        <v>3417</v>
      </c>
      <c r="Y94" t="s">
        <v>77</v>
      </c>
      <c r="Z94">
        <v>0</v>
      </c>
      <c r="AA94" t="s">
        <v>18</v>
      </c>
    </row>
    <row r="95" spans="1:27" x14ac:dyDescent="0.3">
      <c r="A95" t="s">
        <v>1219</v>
      </c>
      <c r="B95" t="s">
        <v>3277</v>
      </c>
      <c r="C95" t="s">
        <v>3801</v>
      </c>
      <c r="D95" t="s">
        <v>1224</v>
      </c>
      <c r="E95">
        <v>169</v>
      </c>
      <c r="F95" t="s">
        <v>5</v>
      </c>
      <c r="G95">
        <v>84</v>
      </c>
      <c r="H95" t="s">
        <v>6</v>
      </c>
      <c r="I95">
        <v>-4.0799999999999299</v>
      </c>
      <c r="J95" t="s">
        <v>7</v>
      </c>
      <c r="K95">
        <v>-2.4142011834319101E-2</v>
      </c>
      <c r="L95" t="s">
        <v>8</v>
      </c>
      <c r="M95">
        <v>1.61095238095238</v>
      </c>
      <c r="N95" t="s">
        <v>9</v>
      </c>
      <c r="O95">
        <v>-1.6399999999999899</v>
      </c>
      <c r="P95" t="s">
        <v>10</v>
      </c>
      <c r="Q95">
        <v>0.51817862164415696</v>
      </c>
      <c r="R95" t="s">
        <v>11</v>
      </c>
      <c r="S95" t="s">
        <v>3451</v>
      </c>
      <c r="T95" t="s">
        <v>2698</v>
      </c>
      <c r="U95">
        <v>0</v>
      </c>
      <c r="V95" t="s">
        <v>14</v>
      </c>
      <c r="W95" t="s">
        <v>15</v>
      </c>
      <c r="X95" t="s">
        <v>3450</v>
      </c>
      <c r="Y95" t="s">
        <v>3389</v>
      </c>
      <c r="Z95">
        <v>0</v>
      </c>
      <c r="AA95" t="s">
        <v>18</v>
      </c>
    </row>
    <row r="96" spans="1:27" x14ac:dyDescent="0.3">
      <c r="A96" t="s">
        <v>1221</v>
      </c>
      <c r="B96" t="s">
        <v>3253</v>
      </c>
      <c r="C96" t="s">
        <v>3802</v>
      </c>
      <c r="D96" t="s">
        <v>1224</v>
      </c>
      <c r="E96">
        <v>130</v>
      </c>
      <c r="F96" t="s">
        <v>5</v>
      </c>
      <c r="G96">
        <v>47</v>
      </c>
      <c r="H96" t="s">
        <v>6</v>
      </c>
      <c r="I96">
        <v>-4.4690715817157596</v>
      </c>
      <c r="J96" t="s">
        <v>7</v>
      </c>
      <c r="K96">
        <v>-3.4377473705505798E-2</v>
      </c>
      <c r="L96" t="s">
        <v>8</v>
      </c>
      <c r="M96">
        <v>1.9043652720311099</v>
      </c>
      <c r="N96" t="s">
        <v>9</v>
      </c>
      <c r="O96">
        <v>-1.14602730935583</v>
      </c>
      <c r="P96" t="s">
        <v>10</v>
      </c>
      <c r="Q96">
        <v>0.34122996819568402</v>
      </c>
      <c r="R96" t="s">
        <v>11</v>
      </c>
      <c r="S96" t="s">
        <v>2898</v>
      </c>
      <c r="T96" t="s">
        <v>3520</v>
      </c>
      <c r="U96">
        <v>0</v>
      </c>
      <c r="V96" t="s">
        <v>14</v>
      </c>
      <c r="W96" t="s">
        <v>15</v>
      </c>
      <c r="X96" t="s">
        <v>676</v>
      </c>
      <c r="Y96" t="s">
        <v>2793</v>
      </c>
      <c r="Z96">
        <v>0</v>
      </c>
      <c r="AA96" t="s">
        <v>18</v>
      </c>
    </row>
    <row r="97" spans="1:27" x14ac:dyDescent="0.3">
      <c r="A97" t="s">
        <v>3292</v>
      </c>
      <c r="B97" t="s">
        <v>3224</v>
      </c>
      <c r="C97" t="s">
        <v>3803</v>
      </c>
      <c r="D97" t="s">
        <v>1224</v>
      </c>
      <c r="E97">
        <v>155</v>
      </c>
      <c r="F97" t="s">
        <v>5</v>
      </c>
      <c r="G97">
        <v>73</v>
      </c>
      <c r="H97" t="s">
        <v>6</v>
      </c>
      <c r="I97">
        <v>-4.5099999999999101</v>
      </c>
      <c r="J97" t="s">
        <v>7</v>
      </c>
      <c r="K97">
        <v>-2.9096774193547802E-2</v>
      </c>
      <c r="L97" t="s">
        <v>8</v>
      </c>
      <c r="M97">
        <v>1.3704109589041</v>
      </c>
      <c r="N97" t="s">
        <v>9</v>
      </c>
      <c r="O97">
        <v>-1.2749999999999899</v>
      </c>
      <c r="P97" t="s">
        <v>10</v>
      </c>
      <c r="Q97">
        <v>0.46670895231210102</v>
      </c>
      <c r="R97" t="s">
        <v>11</v>
      </c>
      <c r="S97" t="s">
        <v>3406</v>
      </c>
      <c r="T97" t="s">
        <v>2644</v>
      </c>
      <c r="U97">
        <v>0</v>
      </c>
      <c r="V97" t="s">
        <v>14</v>
      </c>
      <c r="W97" t="s">
        <v>15</v>
      </c>
      <c r="X97" t="s">
        <v>3407</v>
      </c>
      <c r="Y97" t="s">
        <v>2644</v>
      </c>
      <c r="Z97">
        <v>0</v>
      </c>
      <c r="AA97" t="s">
        <v>18</v>
      </c>
    </row>
    <row r="98" spans="1:27" x14ac:dyDescent="0.3">
      <c r="A98" t="s">
        <v>1220</v>
      </c>
      <c r="B98" t="s">
        <v>3270</v>
      </c>
      <c r="C98" t="s">
        <v>3804</v>
      </c>
      <c r="D98" t="s">
        <v>1224</v>
      </c>
      <c r="E98">
        <v>139</v>
      </c>
      <c r="F98" t="s">
        <v>5</v>
      </c>
      <c r="G98">
        <v>48</v>
      </c>
      <c r="H98" t="s">
        <v>6</v>
      </c>
      <c r="I98">
        <v>-4.5729726881261303</v>
      </c>
      <c r="J98" t="s">
        <v>7</v>
      </c>
      <c r="K98">
        <v>-3.2899084087238302E-2</v>
      </c>
      <c r="L98" t="s">
        <v>8</v>
      </c>
      <c r="M98">
        <v>3.23801999061526</v>
      </c>
      <c r="N98" t="s">
        <v>9</v>
      </c>
      <c r="O98">
        <v>-1.75821903557867</v>
      </c>
      <c r="P98" t="s">
        <v>10</v>
      </c>
      <c r="Q98">
        <v>0.54168385889128001</v>
      </c>
      <c r="R98" t="s">
        <v>11</v>
      </c>
      <c r="S98" t="s">
        <v>3527</v>
      </c>
      <c r="T98" t="s">
        <v>691</v>
      </c>
      <c r="U98">
        <v>0</v>
      </c>
      <c r="V98" t="s">
        <v>14</v>
      </c>
      <c r="W98" t="s">
        <v>15</v>
      </c>
      <c r="X98" t="s">
        <v>3527</v>
      </c>
      <c r="Y98" t="s">
        <v>691</v>
      </c>
      <c r="Z98">
        <v>0</v>
      </c>
      <c r="AA98" t="s">
        <v>18</v>
      </c>
    </row>
    <row r="99" spans="1:27" x14ac:dyDescent="0.3">
      <c r="A99" t="s">
        <v>1222</v>
      </c>
      <c r="B99" t="s">
        <v>3255</v>
      </c>
      <c r="C99" t="s">
        <v>3805</v>
      </c>
      <c r="D99" t="s">
        <v>1224</v>
      </c>
      <c r="E99">
        <v>127</v>
      </c>
      <c r="F99" t="s">
        <v>5</v>
      </c>
      <c r="G99">
        <v>54</v>
      </c>
      <c r="H99" t="s">
        <v>6</v>
      </c>
      <c r="I99">
        <v>-4.7710028239690203</v>
      </c>
      <c r="J99" t="s">
        <v>7</v>
      </c>
      <c r="K99">
        <v>-3.7566951369834803E-2</v>
      </c>
      <c r="L99" t="s">
        <v>8</v>
      </c>
      <c r="M99">
        <v>1.6425925925925899</v>
      </c>
      <c r="N99" t="s">
        <v>9</v>
      </c>
      <c r="O99">
        <v>-1.2982083725551199</v>
      </c>
      <c r="P99" t="s">
        <v>10</v>
      </c>
      <c r="Q99">
        <v>0.46809572276351602</v>
      </c>
      <c r="R99" t="s">
        <v>11</v>
      </c>
      <c r="S99" t="s">
        <v>3515</v>
      </c>
      <c r="T99" t="s">
        <v>3320</v>
      </c>
      <c r="U99">
        <v>0</v>
      </c>
      <c r="V99" t="s">
        <v>14</v>
      </c>
      <c r="W99" t="s">
        <v>15</v>
      </c>
      <c r="X99" t="s">
        <v>3585</v>
      </c>
      <c r="Y99" t="s">
        <v>3511</v>
      </c>
      <c r="Z99">
        <v>0</v>
      </c>
      <c r="AA99" t="s">
        <v>18</v>
      </c>
    </row>
    <row r="100" spans="1:27" x14ac:dyDescent="0.3">
      <c r="A100" t="s">
        <v>3293</v>
      </c>
      <c r="B100" t="s">
        <v>3225</v>
      </c>
      <c r="C100" t="s">
        <v>3806</v>
      </c>
      <c r="D100" t="s">
        <v>1224</v>
      </c>
      <c r="E100">
        <v>334</v>
      </c>
      <c r="F100" t="s">
        <v>5</v>
      </c>
      <c r="G100">
        <v>155</v>
      </c>
      <c r="H100" t="s">
        <v>6</v>
      </c>
      <c r="I100">
        <v>-4.8299999999998597</v>
      </c>
      <c r="J100" t="s">
        <v>7</v>
      </c>
      <c r="K100">
        <v>-1.44610778443109E-2</v>
      </c>
      <c r="L100" t="s">
        <v>8</v>
      </c>
      <c r="M100">
        <v>1.5184516129032199</v>
      </c>
      <c r="N100" t="s">
        <v>9</v>
      </c>
      <c r="O100">
        <v>-1.3418435754189899</v>
      </c>
      <c r="P100" t="s">
        <v>10</v>
      </c>
      <c r="Q100">
        <v>1.14129849162915</v>
      </c>
      <c r="R100" t="s">
        <v>11</v>
      </c>
      <c r="S100" t="s">
        <v>3627</v>
      </c>
      <c r="T100" t="s">
        <v>2732</v>
      </c>
      <c r="U100">
        <v>0</v>
      </c>
      <c r="V100" t="s">
        <v>14</v>
      </c>
      <c r="W100" t="s">
        <v>15</v>
      </c>
      <c r="X100" t="s">
        <v>3671</v>
      </c>
      <c r="Y100" t="s">
        <v>2644</v>
      </c>
      <c r="Z100">
        <v>0</v>
      </c>
      <c r="AA100" t="s">
        <v>18</v>
      </c>
    </row>
    <row r="101" spans="1:27" x14ac:dyDescent="0.3">
      <c r="A101" t="s">
        <v>1221</v>
      </c>
      <c r="B101" t="s">
        <v>3216</v>
      </c>
      <c r="C101" t="s">
        <v>3807</v>
      </c>
      <c r="D101" t="s">
        <v>1224</v>
      </c>
      <c r="E101">
        <v>130</v>
      </c>
      <c r="F101" t="s">
        <v>5</v>
      </c>
      <c r="G101">
        <v>59</v>
      </c>
      <c r="H101" t="s">
        <v>6</v>
      </c>
      <c r="I101">
        <v>-4.9279483095111303</v>
      </c>
      <c r="J101" t="s">
        <v>7</v>
      </c>
      <c r="K101">
        <v>-3.7907294688547102E-2</v>
      </c>
      <c r="L101" t="s">
        <v>8</v>
      </c>
      <c r="M101">
        <v>2.06813559322033</v>
      </c>
      <c r="N101" t="s">
        <v>9</v>
      </c>
      <c r="O101">
        <v>-1.78799927196494</v>
      </c>
      <c r="P101" t="s">
        <v>10</v>
      </c>
      <c r="Q101">
        <v>0.38376703844183102</v>
      </c>
      <c r="R101" t="s">
        <v>11</v>
      </c>
      <c r="S101" t="s">
        <v>2657</v>
      </c>
      <c r="T101" t="s">
        <v>3303</v>
      </c>
      <c r="U101">
        <v>0</v>
      </c>
      <c r="V101" t="s">
        <v>14</v>
      </c>
      <c r="W101" t="s">
        <v>15</v>
      </c>
      <c r="X101" t="s">
        <v>2657</v>
      </c>
      <c r="Y101" t="s">
        <v>3303</v>
      </c>
      <c r="Z101">
        <v>0</v>
      </c>
      <c r="AA101" t="s">
        <v>18</v>
      </c>
    </row>
    <row r="102" spans="1:27" x14ac:dyDescent="0.3">
      <c r="A102" t="s">
        <v>1221</v>
      </c>
      <c r="B102" t="s">
        <v>3223</v>
      </c>
      <c r="C102" t="s">
        <v>3808</v>
      </c>
      <c r="D102" t="s">
        <v>1224</v>
      </c>
      <c r="E102">
        <v>125</v>
      </c>
      <c r="F102" t="s">
        <v>5</v>
      </c>
      <c r="G102">
        <v>47</v>
      </c>
      <c r="H102" t="s">
        <v>6</v>
      </c>
      <c r="I102">
        <v>-5.1199999999999504</v>
      </c>
      <c r="J102" t="s">
        <v>7</v>
      </c>
      <c r="K102">
        <v>-4.0959999999999601E-2</v>
      </c>
      <c r="L102" t="s">
        <v>8</v>
      </c>
      <c r="M102">
        <v>2.1046808510638302</v>
      </c>
      <c r="N102" t="s">
        <v>9</v>
      </c>
      <c r="O102">
        <v>-1.3338461538461499</v>
      </c>
      <c r="P102" t="s">
        <v>10</v>
      </c>
      <c r="Q102">
        <v>0.46652670974100302</v>
      </c>
      <c r="R102" t="s">
        <v>11</v>
      </c>
      <c r="S102" t="s">
        <v>3540</v>
      </c>
      <c r="T102" t="s">
        <v>3333</v>
      </c>
      <c r="U102">
        <v>0</v>
      </c>
      <c r="V102" t="s">
        <v>14</v>
      </c>
      <c r="W102" t="s">
        <v>15</v>
      </c>
      <c r="X102" t="s">
        <v>3540</v>
      </c>
      <c r="Y102" t="s">
        <v>3333</v>
      </c>
      <c r="Z102">
        <v>0</v>
      </c>
      <c r="AA102" t="s">
        <v>18</v>
      </c>
    </row>
    <row r="103" spans="1:27" x14ac:dyDescent="0.3">
      <c r="A103" t="s">
        <v>1223</v>
      </c>
      <c r="B103" t="s">
        <v>3252</v>
      </c>
      <c r="C103" t="s">
        <v>3809</v>
      </c>
      <c r="D103" t="s">
        <v>1224</v>
      </c>
      <c r="E103">
        <v>370</v>
      </c>
      <c r="F103" t="s">
        <v>5</v>
      </c>
      <c r="G103">
        <v>174</v>
      </c>
      <c r="H103" t="s">
        <v>6</v>
      </c>
      <c r="I103">
        <v>-5.1881106231093597</v>
      </c>
      <c r="J103" t="s">
        <v>7</v>
      </c>
      <c r="K103">
        <v>-1.40219206029982E-2</v>
      </c>
      <c r="L103" t="s">
        <v>8</v>
      </c>
      <c r="M103">
        <v>1.2415355737774501</v>
      </c>
      <c r="N103" t="s">
        <v>9</v>
      </c>
      <c r="O103">
        <v>-1.1344374382583899</v>
      </c>
      <c r="P103" t="s">
        <v>10</v>
      </c>
      <c r="Q103">
        <v>0.62835277125719602</v>
      </c>
      <c r="R103" t="s">
        <v>11</v>
      </c>
      <c r="S103" t="s">
        <v>2657</v>
      </c>
      <c r="T103" t="s">
        <v>3303</v>
      </c>
      <c r="U103">
        <v>0</v>
      </c>
      <c r="V103" t="s">
        <v>14</v>
      </c>
      <c r="W103" t="s">
        <v>15</v>
      </c>
      <c r="X103" t="s">
        <v>2812</v>
      </c>
      <c r="Y103" t="s">
        <v>3303</v>
      </c>
      <c r="Z103">
        <v>0</v>
      </c>
      <c r="AA103" t="s">
        <v>18</v>
      </c>
    </row>
    <row r="104" spans="1:27" x14ac:dyDescent="0.3">
      <c r="A104" t="s">
        <v>1221</v>
      </c>
      <c r="B104" t="s">
        <v>3269</v>
      </c>
      <c r="C104" t="s">
        <v>3810</v>
      </c>
      <c r="D104" t="s">
        <v>1224</v>
      </c>
      <c r="E104">
        <v>130</v>
      </c>
      <c r="F104" t="s">
        <v>5</v>
      </c>
      <c r="G104">
        <v>62</v>
      </c>
      <c r="H104" t="s">
        <v>6</v>
      </c>
      <c r="I104">
        <v>-5.2341035645569196</v>
      </c>
      <c r="J104" t="s">
        <v>7</v>
      </c>
      <c r="K104">
        <v>-4.02623351119763E-2</v>
      </c>
      <c r="L104" t="s">
        <v>8</v>
      </c>
      <c r="M104">
        <v>1.8286610881410901</v>
      </c>
      <c r="N104" t="s">
        <v>9</v>
      </c>
      <c r="O104">
        <v>-1.7442807504309501</v>
      </c>
      <c r="P104" t="s">
        <v>10</v>
      </c>
      <c r="Q104">
        <v>0.37851963828160301</v>
      </c>
      <c r="R104" t="s">
        <v>11</v>
      </c>
      <c r="S104" t="s">
        <v>3546</v>
      </c>
      <c r="T104" t="s">
        <v>3547</v>
      </c>
      <c r="U104">
        <v>0</v>
      </c>
      <c r="V104" t="s">
        <v>14</v>
      </c>
      <c r="W104" t="s">
        <v>15</v>
      </c>
      <c r="X104" t="s">
        <v>3546</v>
      </c>
      <c r="Y104" t="s">
        <v>3547</v>
      </c>
      <c r="Z104">
        <v>0</v>
      </c>
      <c r="AA104" t="s">
        <v>18</v>
      </c>
    </row>
    <row r="105" spans="1:27" x14ac:dyDescent="0.3">
      <c r="A105" t="s">
        <v>3292</v>
      </c>
      <c r="B105" t="s">
        <v>3233</v>
      </c>
      <c r="C105" t="s">
        <v>3811</v>
      </c>
      <c r="D105" t="s">
        <v>1224</v>
      </c>
      <c r="E105">
        <v>157</v>
      </c>
      <c r="F105" t="s">
        <v>5</v>
      </c>
      <c r="G105">
        <v>88</v>
      </c>
      <c r="H105" t="s">
        <v>6</v>
      </c>
      <c r="I105">
        <v>-5.6330464365371604</v>
      </c>
      <c r="J105" t="s">
        <v>7</v>
      </c>
      <c r="K105">
        <v>-3.58792766658418E-2</v>
      </c>
      <c r="L105" t="s">
        <v>8</v>
      </c>
      <c r="M105">
        <v>1.09787332995155</v>
      </c>
      <c r="N105" t="s">
        <v>9</v>
      </c>
      <c r="O105">
        <v>-1.4818246300329601</v>
      </c>
      <c r="P105" t="s">
        <v>10</v>
      </c>
      <c r="Q105">
        <v>0.32551600814078202</v>
      </c>
      <c r="R105" t="s">
        <v>11</v>
      </c>
      <c r="S105" t="s">
        <v>746</v>
      </c>
      <c r="T105" t="s">
        <v>3419</v>
      </c>
      <c r="U105">
        <v>0</v>
      </c>
      <c r="V105" t="s">
        <v>14</v>
      </c>
      <c r="W105" t="s">
        <v>15</v>
      </c>
      <c r="X105" t="s">
        <v>3478</v>
      </c>
      <c r="Y105" t="s">
        <v>3479</v>
      </c>
      <c r="Z105">
        <v>0</v>
      </c>
      <c r="AA105" t="s">
        <v>18</v>
      </c>
    </row>
    <row r="106" spans="1:27" x14ac:dyDescent="0.3">
      <c r="A106" t="s">
        <v>3292</v>
      </c>
      <c r="B106" t="s">
        <v>3207</v>
      </c>
      <c r="C106" t="s">
        <v>3812</v>
      </c>
      <c r="D106" t="s">
        <v>1224</v>
      </c>
      <c r="E106">
        <v>155</v>
      </c>
      <c r="F106" t="s">
        <v>5</v>
      </c>
      <c r="G106">
        <v>69</v>
      </c>
      <c r="H106" t="s">
        <v>6</v>
      </c>
      <c r="I106">
        <v>-5.66999999999996</v>
      </c>
      <c r="J106" t="s">
        <v>7</v>
      </c>
      <c r="K106">
        <v>-3.6580645161289997E-2</v>
      </c>
      <c r="L106" t="s">
        <v>8</v>
      </c>
      <c r="M106">
        <v>1.8334782608695599</v>
      </c>
      <c r="N106" t="s">
        <v>9</v>
      </c>
      <c r="O106">
        <v>-1.53697674418604</v>
      </c>
      <c r="P106" t="s">
        <v>10</v>
      </c>
      <c r="Q106">
        <v>0.54479342526579599</v>
      </c>
      <c r="R106" t="s">
        <v>11</v>
      </c>
      <c r="S106" t="s">
        <v>3469</v>
      </c>
      <c r="T106" t="s">
        <v>2666</v>
      </c>
      <c r="U106">
        <v>0</v>
      </c>
      <c r="V106" t="s">
        <v>14</v>
      </c>
      <c r="W106" t="s">
        <v>15</v>
      </c>
      <c r="X106" t="s">
        <v>3470</v>
      </c>
      <c r="Y106" t="s">
        <v>2644</v>
      </c>
      <c r="Z106">
        <v>0</v>
      </c>
      <c r="AA106" t="s">
        <v>18</v>
      </c>
    </row>
    <row r="107" spans="1:27" x14ac:dyDescent="0.3">
      <c r="A107" t="s">
        <v>1221</v>
      </c>
      <c r="B107" t="s">
        <v>3243</v>
      </c>
      <c r="C107" t="s">
        <v>3813</v>
      </c>
      <c r="D107" t="s">
        <v>1224</v>
      </c>
      <c r="E107">
        <v>125</v>
      </c>
      <c r="F107" t="s">
        <v>5</v>
      </c>
      <c r="G107">
        <v>48</v>
      </c>
      <c r="H107" t="s">
        <v>6</v>
      </c>
      <c r="I107">
        <v>-5.9300000000000397</v>
      </c>
      <c r="J107" t="s">
        <v>7</v>
      </c>
      <c r="K107">
        <v>-4.7440000000000301E-2</v>
      </c>
      <c r="L107" t="s">
        <v>8</v>
      </c>
      <c r="M107">
        <v>1.5518749999999999</v>
      </c>
      <c r="N107" t="s">
        <v>9</v>
      </c>
      <c r="O107">
        <v>-1.04441558441558</v>
      </c>
      <c r="P107" t="s">
        <v>10</v>
      </c>
      <c r="Q107">
        <v>0.43761332201078801</v>
      </c>
      <c r="R107" t="s">
        <v>11</v>
      </c>
      <c r="S107" t="s">
        <v>3335</v>
      </c>
      <c r="T107" t="s">
        <v>2757</v>
      </c>
      <c r="U107">
        <v>0</v>
      </c>
      <c r="V107" t="s">
        <v>14</v>
      </c>
      <c r="W107" t="s">
        <v>15</v>
      </c>
      <c r="X107" t="s">
        <v>3516</v>
      </c>
      <c r="Y107" t="s">
        <v>3333</v>
      </c>
      <c r="Z107">
        <v>0</v>
      </c>
      <c r="AA107" t="s">
        <v>18</v>
      </c>
    </row>
    <row r="108" spans="1:27" x14ac:dyDescent="0.3">
      <c r="A108" t="s">
        <v>1222</v>
      </c>
      <c r="B108" t="s">
        <v>3272</v>
      </c>
      <c r="C108" t="s">
        <v>3814</v>
      </c>
      <c r="D108" t="s">
        <v>1224</v>
      </c>
      <c r="E108">
        <v>127</v>
      </c>
      <c r="F108" t="s">
        <v>5</v>
      </c>
      <c r="G108">
        <v>21</v>
      </c>
      <c r="H108" t="s">
        <v>6</v>
      </c>
      <c r="I108">
        <v>-6.1848816155419</v>
      </c>
      <c r="J108" t="s">
        <v>7</v>
      </c>
      <c r="K108">
        <v>-4.8699855240487401E-2</v>
      </c>
      <c r="L108" t="s">
        <v>8</v>
      </c>
      <c r="M108">
        <v>8.1078797722080491</v>
      </c>
      <c r="N108" t="s">
        <v>9</v>
      </c>
      <c r="O108">
        <v>-1.66462600784821</v>
      </c>
      <c r="P108" t="s">
        <v>10</v>
      </c>
      <c r="Q108">
        <v>0.737312318989093</v>
      </c>
      <c r="R108" t="s">
        <v>11</v>
      </c>
      <c r="S108" t="s">
        <v>2281</v>
      </c>
      <c r="T108" t="s">
        <v>2783</v>
      </c>
      <c r="U108">
        <v>0</v>
      </c>
      <c r="V108" t="s">
        <v>14</v>
      </c>
      <c r="W108" t="s">
        <v>15</v>
      </c>
      <c r="X108" t="s">
        <v>3595</v>
      </c>
      <c r="Y108" t="s">
        <v>2783</v>
      </c>
      <c r="Z108">
        <v>0</v>
      </c>
      <c r="AA108" t="s">
        <v>18</v>
      </c>
    </row>
    <row r="109" spans="1:27" x14ac:dyDescent="0.3">
      <c r="A109" t="s">
        <v>3292</v>
      </c>
      <c r="B109" t="s">
        <v>3225</v>
      </c>
      <c r="C109" t="s">
        <v>3815</v>
      </c>
      <c r="D109" t="s">
        <v>1224</v>
      </c>
      <c r="E109">
        <v>155</v>
      </c>
      <c r="F109" t="s">
        <v>5</v>
      </c>
      <c r="G109">
        <v>72</v>
      </c>
      <c r="H109" t="s">
        <v>6</v>
      </c>
      <c r="I109">
        <v>-6.7799999999999097</v>
      </c>
      <c r="J109" t="s">
        <v>7</v>
      </c>
      <c r="K109">
        <v>-4.3741935483870398E-2</v>
      </c>
      <c r="L109" t="s">
        <v>8</v>
      </c>
      <c r="M109">
        <v>1.37930555555555</v>
      </c>
      <c r="N109" t="s">
        <v>9</v>
      </c>
      <c r="O109">
        <v>-1.2781927710843299</v>
      </c>
      <c r="P109" t="s">
        <v>10</v>
      </c>
      <c r="Q109">
        <v>0.51700846020416202</v>
      </c>
      <c r="R109" t="s">
        <v>11</v>
      </c>
      <c r="S109" t="s">
        <v>3408</v>
      </c>
      <c r="T109" t="s">
        <v>2644</v>
      </c>
      <c r="U109">
        <v>0</v>
      </c>
      <c r="V109" t="s">
        <v>14</v>
      </c>
      <c r="W109" t="s">
        <v>15</v>
      </c>
      <c r="X109" t="s">
        <v>3409</v>
      </c>
      <c r="Y109" t="s">
        <v>2644</v>
      </c>
      <c r="Z109">
        <v>0</v>
      </c>
      <c r="AA109" t="s">
        <v>18</v>
      </c>
    </row>
    <row r="110" spans="1:27" x14ac:dyDescent="0.3">
      <c r="A110" t="s">
        <v>1220</v>
      </c>
      <c r="B110" t="s">
        <v>3250</v>
      </c>
      <c r="C110" t="s">
        <v>3816</v>
      </c>
      <c r="D110" t="s">
        <v>1224</v>
      </c>
      <c r="E110">
        <v>139</v>
      </c>
      <c r="F110" t="s">
        <v>5</v>
      </c>
      <c r="G110">
        <v>73</v>
      </c>
      <c r="H110" t="s">
        <v>6</v>
      </c>
      <c r="I110">
        <v>-6.8384965819305004</v>
      </c>
      <c r="J110" t="s">
        <v>7</v>
      </c>
      <c r="K110">
        <v>-4.9197817136190598E-2</v>
      </c>
      <c r="L110" t="s">
        <v>8</v>
      </c>
      <c r="M110">
        <v>0.85254442171572398</v>
      </c>
      <c r="N110" t="s">
        <v>9</v>
      </c>
      <c r="O110">
        <v>-1.06268060564889</v>
      </c>
      <c r="P110" t="s">
        <v>10</v>
      </c>
      <c r="Q110">
        <v>0.243868096989663</v>
      </c>
      <c r="R110" t="s">
        <v>11</v>
      </c>
      <c r="S110" t="s">
        <v>3518</v>
      </c>
      <c r="T110" t="s">
        <v>3519</v>
      </c>
      <c r="U110">
        <v>0</v>
      </c>
      <c r="V110" t="s">
        <v>14</v>
      </c>
      <c r="W110" t="s">
        <v>15</v>
      </c>
      <c r="X110" t="s">
        <v>3518</v>
      </c>
      <c r="Y110" t="s">
        <v>3519</v>
      </c>
      <c r="Z110">
        <v>0</v>
      </c>
      <c r="AA110" t="s">
        <v>18</v>
      </c>
    </row>
    <row r="111" spans="1:27" x14ac:dyDescent="0.3">
      <c r="A111" t="s">
        <v>1222</v>
      </c>
      <c r="B111" t="s">
        <v>3263</v>
      </c>
      <c r="C111" t="s">
        <v>3817</v>
      </c>
      <c r="D111" t="s">
        <v>1224</v>
      </c>
      <c r="E111">
        <v>128</v>
      </c>
      <c r="F111" t="s">
        <v>5</v>
      </c>
      <c r="G111">
        <v>57</v>
      </c>
      <c r="H111" t="s">
        <v>6</v>
      </c>
      <c r="I111">
        <v>-7.6099999999999799</v>
      </c>
      <c r="J111" t="s">
        <v>7</v>
      </c>
      <c r="K111">
        <v>-5.9453124999999898E-2</v>
      </c>
      <c r="L111" t="s">
        <v>8</v>
      </c>
      <c r="M111">
        <v>1.7282456140350799</v>
      </c>
      <c r="N111" t="s">
        <v>9</v>
      </c>
      <c r="O111">
        <v>-1.4946478873239399</v>
      </c>
      <c r="P111" t="s">
        <v>10</v>
      </c>
      <c r="Q111">
        <v>0.33782176093958599</v>
      </c>
      <c r="R111" t="s">
        <v>11</v>
      </c>
      <c r="S111" t="s">
        <v>2069</v>
      </c>
      <c r="T111" t="s">
        <v>2071</v>
      </c>
      <c r="U111">
        <v>0</v>
      </c>
      <c r="V111" t="s">
        <v>14</v>
      </c>
      <c r="W111" t="s">
        <v>15</v>
      </c>
      <c r="X111" t="s">
        <v>3589</v>
      </c>
      <c r="Y111" t="s">
        <v>832</v>
      </c>
      <c r="Z111">
        <v>0</v>
      </c>
      <c r="AA111" t="s">
        <v>18</v>
      </c>
    </row>
    <row r="112" spans="1:27" x14ac:dyDescent="0.3">
      <c r="A112" t="s">
        <v>1221</v>
      </c>
      <c r="B112" t="s">
        <v>3263</v>
      </c>
      <c r="C112" t="s">
        <v>3818</v>
      </c>
      <c r="D112" t="s">
        <v>1224</v>
      </c>
      <c r="E112">
        <v>130</v>
      </c>
      <c r="F112" t="s">
        <v>5</v>
      </c>
      <c r="G112">
        <v>58</v>
      </c>
      <c r="H112" t="s">
        <v>6</v>
      </c>
      <c r="I112">
        <v>-7.7</v>
      </c>
      <c r="J112" t="s">
        <v>7</v>
      </c>
      <c r="K112">
        <v>-5.9230769230769198E-2</v>
      </c>
      <c r="L112" t="s">
        <v>8</v>
      </c>
      <c r="M112">
        <v>1.6368965517241301</v>
      </c>
      <c r="N112" t="s">
        <v>9</v>
      </c>
      <c r="O112">
        <v>-1.4255555555555499</v>
      </c>
      <c r="P112" t="s">
        <v>10</v>
      </c>
      <c r="Q112">
        <v>0.33987215606319299</v>
      </c>
      <c r="R112" t="s">
        <v>11</v>
      </c>
      <c r="S112" t="s">
        <v>3542</v>
      </c>
      <c r="T112" t="s">
        <v>3525</v>
      </c>
      <c r="U112">
        <v>0</v>
      </c>
      <c r="V112" t="s">
        <v>14</v>
      </c>
      <c r="W112" t="s">
        <v>15</v>
      </c>
      <c r="X112" t="s">
        <v>3542</v>
      </c>
      <c r="Y112" t="s">
        <v>3525</v>
      </c>
      <c r="Z112">
        <v>0</v>
      </c>
      <c r="AA112" t="s">
        <v>18</v>
      </c>
    </row>
    <row r="113" spans="1:27" x14ac:dyDescent="0.3">
      <c r="A113" t="s">
        <v>1220</v>
      </c>
      <c r="B113" t="s">
        <v>3251</v>
      </c>
      <c r="C113" t="s">
        <v>3819</v>
      </c>
      <c r="D113" t="s">
        <v>1224</v>
      </c>
      <c r="E113">
        <v>139</v>
      </c>
      <c r="F113" t="s">
        <v>5</v>
      </c>
      <c r="G113">
        <v>63</v>
      </c>
      <c r="H113" t="s">
        <v>6</v>
      </c>
      <c r="I113">
        <v>-7.8231328082151501</v>
      </c>
      <c r="J113" t="s">
        <v>7</v>
      </c>
      <c r="K113">
        <v>-5.6281530994353603E-2</v>
      </c>
      <c r="L113" t="s">
        <v>8</v>
      </c>
      <c r="M113">
        <v>1.1751403742561799</v>
      </c>
      <c r="N113" t="s">
        <v>9</v>
      </c>
      <c r="O113">
        <v>-1.09142635181806</v>
      </c>
      <c r="P113" t="s">
        <v>10</v>
      </c>
      <c r="Q113">
        <v>0.27189705029173</v>
      </c>
      <c r="R113" t="s">
        <v>11</v>
      </c>
      <c r="S113" t="s">
        <v>3518</v>
      </c>
      <c r="T113" t="s">
        <v>3519</v>
      </c>
      <c r="U113">
        <v>0</v>
      </c>
      <c r="V113" t="s">
        <v>14</v>
      </c>
      <c r="W113" t="s">
        <v>15</v>
      </c>
      <c r="X113" t="s">
        <v>3518</v>
      </c>
      <c r="Y113" t="s">
        <v>3519</v>
      </c>
      <c r="Z113">
        <v>0</v>
      </c>
      <c r="AA113" t="s">
        <v>18</v>
      </c>
    </row>
    <row r="114" spans="1:27" x14ac:dyDescent="0.3">
      <c r="A114" t="s">
        <v>1223</v>
      </c>
      <c r="B114" t="s">
        <v>3268</v>
      </c>
      <c r="C114" t="s">
        <v>3820</v>
      </c>
      <c r="D114" t="s">
        <v>1224</v>
      </c>
      <c r="E114">
        <v>370</v>
      </c>
      <c r="F114" t="s">
        <v>5</v>
      </c>
      <c r="G114">
        <v>203</v>
      </c>
      <c r="H114" t="s">
        <v>6</v>
      </c>
      <c r="I114">
        <v>-7.8697448626419302</v>
      </c>
      <c r="J114" t="s">
        <v>7</v>
      </c>
      <c r="K114">
        <v>-2.1269580709843E-2</v>
      </c>
      <c r="L114" t="s">
        <v>8</v>
      </c>
      <c r="M114">
        <v>1.42711739175717</v>
      </c>
      <c r="N114" t="s">
        <v>9</v>
      </c>
      <c r="O114">
        <v>-1.7818836849661499</v>
      </c>
      <c r="P114" t="s">
        <v>10</v>
      </c>
      <c r="Q114">
        <v>0.82469532423817504</v>
      </c>
      <c r="R114" t="s">
        <v>11</v>
      </c>
      <c r="S114" t="s">
        <v>3654</v>
      </c>
      <c r="T114" t="s">
        <v>1959</v>
      </c>
      <c r="U114">
        <v>0</v>
      </c>
      <c r="V114" t="s">
        <v>14</v>
      </c>
      <c r="W114" t="s">
        <v>15</v>
      </c>
      <c r="X114" t="s">
        <v>3655</v>
      </c>
      <c r="Y114" t="s">
        <v>2123</v>
      </c>
      <c r="Z114">
        <v>0</v>
      </c>
      <c r="AA114" t="s">
        <v>18</v>
      </c>
    </row>
    <row r="115" spans="1:27" x14ac:dyDescent="0.3">
      <c r="A115" t="s">
        <v>1220</v>
      </c>
      <c r="B115" t="s">
        <v>3271</v>
      </c>
      <c r="C115" t="s">
        <v>3821</v>
      </c>
      <c r="D115" t="s">
        <v>1224</v>
      </c>
      <c r="E115">
        <v>139</v>
      </c>
      <c r="F115" t="s">
        <v>5</v>
      </c>
      <c r="G115">
        <v>33</v>
      </c>
      <c r="H115" t="s">
        <v>6</v>
      </c>
      <c r="I115">
        <v>-7.9521148512639499</v>
      </c>
      <c r="J115" t="s">
        <v>7</v>
      </c>
      <c r="K115">
        <v>-5.7209459361611197E-2</v>
      </c>
      <c r="L115" t="s">
        <v>8</v>
      </c>
      <c r="M115">
        <v>5.4809090909090896</v>
      </c>
      <c r="N115" t="s">
        <v>9</v>
      </c>
      <c r="O115">
        <v>-1.7813407061439901</v>
      </c>
      <c r="P115" t="s">
        <v>10</v>
      </c>
      <c r="Q115">
        <v>0.63502052435051204</v>
      </c>
      <c r="R115" t="s">
        <v>11</v>
      </c>
      <c r="S115" t="s">
        <v>3527</v>
      </c>
      <c r="T115" t="s">
        <v>691</v>
      </c>
      <c r="U115">
        <v>0</v>
      </c>
      <c r="V115" t="s">
        <v>14</v>
      </c>
      <c r="W115" t="s">
        <v>15</v>
      </c>
      <c r="X115" t="s">
        <v>3527</v>
      </c>
      <c r="Y115" t="s">
        <v>691</v>
      </c>
      <c r="Z115">
        <v>0</v>
      </c>
      <c r="AA115" t="s">
        <v>18</v>
      </c>
    </row>
    <row r="116" spans="1:27" x14ac:dyDescent="0.3">
      <c r="A116" t="s">
        <v>1221</v>
      </c>
      <c r="B116" t="s">
        <v>3212</v>
      </c>
      <c r="C116" t="s">
        <v>3822</v>
      </c>
      <c r="D116" t="s">
        <v>1224</v>
      </c>
      <c r="E116">
        <v>130</v>
      </c>
      <c r="F116" t="s">
        <v>5</v>
      </c>
      <c r="G116">
        <v>46</v>
      </c>
      <c r="H116" t="s">
        <v>6</v>
      </c>
      <c r="I116">
        <v>-8.14</v>
      </c>
      <c r="J116" t="s">
        <v>7</v>
      </c>
      <c r="K116">
        <v>-6.2615384615384601E-2</v>
      </c>
      <c r="L116" t="s">
        <v>8</v>
      </c>
      <c r="M116">
        <v>3.0258695652173899</v>
      </c>
      <c r="N116" t="s">
        <v>9</v>
      </c>
      <c r="O116">
        <v>-1.7539285714285699</v>
      </c>
      <c r="P116" t="s">
        <v>10</v>
      </c>
      <c r="Q116">
        <v>0.558388976372033</v>
      </c>
      <c r="R116" t="s">
        <v>11</v>
      </c>
      <c r="S116" t="s">
        <v>2657</v>
      </c>
      <c r="T116" t="s">
        <v>3303</v>
      </c>
      <c r="U116">
        <v>0</v>
      </c>
      <c r="V116" t="s">
        <v>14</v>
      </c>
      <c r="W116" t="s">
        <v>15</v>
      </c>
      <c r="X116" t="s">
        <v>2657</v>
      </c>
      <c r="Y116" t="s">
        <v>3303</v>
      </c>
      <c r="Z116">
        <v>0</v>
      </c>
      <c r="AA116" t="s">
        <v>18</v>
      </c>
    </row>
    <row r="117" spans="1:27" x14ac:dyDescent="0.3">
      <c r="A117" t="s">
        <v>1219</v>
      </c>
      <c r="B117" t="s">
        <v>3243</v>
      </c>
      <c r="C117" t="s">
        <v>3823</v>
      </c>
      <c r="D117" t="s">
        <v>1224</v>
      </c>
      <c r="E117">
        <v>169</v>
      </c>
      <c r="F117" t="s">
        <v>5</v>
      </c>
      <c r="G117">
        <v>75</v>
      </c>
      <c r="H117" t="s">
        <v>6</v>
      </c>
      <c r="I117">
        <v>-8.5700000000000607</v>
      </c>
      <c r="J117" t="s">
        <v>7</v>
      </c>
      <c r="K117">
        <v>-5.0710059171598001E-2</v>
      </c>
      <c r="L117" t="s">
        <v>8</v>
      </c>
      <c r="M117">
        <v>1.16146666666666</v>
      </c>
      <c r="N117" t="s">
        <v>9</v>
      </c>
      <c r="O117">
        <v>-1.0178723404255301</v>
      </c>
      <c r="P117" t="s">
        <v>10</v>
      </c>
      <c r="Q117">
        <v>0.52662593505014899</v>
      </c>
      <c r="R117" t="s">
        <v>11</v>
      </c>
      <c r="S117" t="s">
        <v>2515</v>
      </c>
      <c r="T117" t="s">
        <v>2666</v>
      </c>
      <c r="U117">
        <v>0</v>
      </c>
      <c r="V117" t="s">
        <v>14</v>
      </c>
      <c r="W117" t="s">
        <v>15</v>
      </c>
      <c r="X117" t="s">
        <v>3424</v>
      </c>
      <c r="Y117" t="s">
        <v>2644</v>
      </c>
      <c r="Z117">
        <v>0</v>
      </c>
      <c r="AA117" t="s">
        <v>18</v>
      </c>
    </row>
    <row r="118" spans="1:27" x14ac:dyDescent="0.3">
      <c r="A118" t="s">
        <v>1222</v>
      </c>
      <c r="B118" t="s">
        <v>3250</v>
      </c>
      <c r="C118" t="s">
        <v>3824</v>
      </c>
      <c r="D118" t="s">
        <v>1224</v>
      </c>
      <c r="E118">
        <v>127</v>
      </c>
      <c r="F118" t="s">
        <v>5</v>
      </c>
      <c r="G118">
        <v>74</v>
      </c>
      <c r="H118" t="s">
        <v>6</v>
      </c>
      <c r="I118">
        <v>-8.6610028239690209</v>
      </c>
      <c r="J118" t="s">
        <v>7</v>
      </c>
      <c r="K118">
        <v>-6.8196872629677302E-2</v>
      </c>
      <c r="L118" t="s">
        <v>8</v>
      </c>
      <c r="M118">
        <v>0.76189189189189099</v>
      </c>
      <c r="N118" t="s">
        <v>9</v>
      </c>
      <c r="O118">
        <v>-1.2507885158455501</v>
      </c>
      <c r="P118" t="s">
        <v>10</v>
      </c>
      <c r="Q118">
        <v>0.23549934541765699</v>
      </c>
      <c r="R118" t="s">
        <v>11</v>
      </c>
      <c r="S118" t="s">
        <v>3583</v>
      </c>
      <c r="T118" t="s">
        <v>2071</v>
      </c>
      <c r="U118">
        <v>0</v>
      </c>
      <c r="V118" t="s">
        <v>14</v>
      </c>
      <c r="W118" t="s">
        <v>15</v>
      </c>
      <c r="X118" t="s">
        <v>3583</v>
      </c>
      <c r="Y118" t="s">
        <v>2071</v>
      </c>
      <c r="Z118">
        <v>0</v>
      </c>
      <c r="AA118" t="s">
        <v>18</v>
      </c>
    </row>
    <row r="119" spans="1:27" x14ac:dyDescent="0.3">
      <c r="A119" t="s">
        <v>1221</v>
      </c>
      <c r="B119" t="s">
        <v>3238</v>
      </c>
      <c r="C119" t="s">
        <v>3825</v>
      </c>
      <c r="D119" t="s">
        <v>1224</v>
      </c>
      <c r="E119">
        <v>125</v>
      </c>
      <c r="F119" t="s">
        <v>5</v>
      </c>
      <c r="G119">
        <v>61</v>
      </c>
      <c r="H119" t="s">
        <v>6</v>
      </c>
      <c r="I119">
        <v>-8.8499999999999908</v>
      </c>
      <c r="J119" t="s">
        <v>7</v>
      </c>
      <c r="K119">
        <v>-7.0799999999999905E-2</v>
      </c>
      <c r="L119" t="s">
        <v>8</v>
      </c>
      <c r="M119">
        <v>0.88360655737704896</v>
      </c>
      <c r="N119" t="s">
        <v>9</v>
      </c>
      <c r="O119">
        <v>-0.980468749999999</v>
      </c>
      <c r="P119" t="s">
        <v>10</v>
      </c>
      <c r="Q119">
        <v>0.28017260620158402</v>
      </c>
      <c r="R119" t="s">
        <v>11</v>
      </c>
      <c r="S119" t="s">
        <v>3332</v>
      </c>
      <c r="T119" t="s">
        <v>3333</v>
      </c>
      <c r="U119">
        <v>0</v>
      </c>
      <c r="V119" t="s">
        <v>14</v>
      </c>
      <c r="W119" t="s">
        <v>15</v>
      </c>
      <c r="X119" t="s">
        <v>3516</v>
      </c>
      <c r="Y119" t="s">
        <v>3333</v>
      </c>
      <c r="Z119">
        <v>0</v>
      </c>
      <c r="AA119" t="s">
        <v>18</v>
      </c>
    </row>
    <row r="120" spans="1:27" x14ac:dyDescent="0.3">
      <c r="A120" t="s">
        <v>1220</v>
      </c>
      <c r="B120" t="s">
        <v>3230</v>
      </c>
      <c r="C120" t="s">
        <v>3826</v>
      </c>
      <c r="D120" t="s">
        <v>1224</v>
      </c>
      <c r="E120">
        <v>140</v>
      </c>
      <c r="F120" t="s">
        <v>5</v>
      </c>
      <c r="G120">
        <v>50</v>
      </c>
      <c r="H120" t="s">
        <v>6</v>
      </c>
      <c r="I120">
        <v>-8.9008816197313596</v>
      </c>
      <c r="J120" t="s">
        <v>7</v>
      </c>
      <c r="K120">
        <v>-6.3577725855224004E-2</v>
      </c>
      <c r="L120" t="s">
        <v>8</v>
      </c>
      <c r="M120">
        <v>2.6354000000000002</v>
      </c>
      <c r="N120" t="s">
        <v>9</v>
      </c>
      <c r="O120">
        <v>-1.58057170359248</v>
      </c>
      <c r="P120" t="s">
        <v>10</v>
      </c>
      <c r="Q120">
        <v>0.60835298068968302</v>
      </c>
      <c r="R120" t="s">
        <v>11</v>
      </c>
      <c r="S120" t="s">
        <v>2740</v>
      </c>
      <c r="T120" t="s">
        <v>3511</v>
      </c>
      <c r="U120">
        <v>0</v>
      </c>
      <c r="V120" t="s">
        <v>14</v>
      </c>
      <c r="W120" t="s">
        <v>15</v>
      </c>
      <c r="X120" t="s">
        <v>2740</v>
      </c>
      <c r="Y120" t="s">
        <v>3511</v>
      </c>
      <c r="Z120">
        <v>0</v>
      </c>
      <c r="AA120" t="s">
        <v>18</v>
      </c>
    </row>
    <row r="121" spans="1:27" x14ac:dyDescent="0.3">
      <c r="A121" t="s">
        <v>1221</v>
      </c>
      <c r="B121" t="s">
        <v>3262</v>
      </c>
      <c r="C121" t="s">
        <v>3827</v>
      </c>
      <c r="D121" t="s">
        <v>1224</v>
      </c>
      <c r="E121">
        <v>130</v>
      </c>
      <c r="F121" t="s">
        <v>5</v>
      </c>
      <c r="G121">
        <v>71</v>
      </c>
      <c r="H121" t="s">
        <v>6</v>
      </c>
      <c r="I121">
        <v>-8.92</v>
      </c>
      <c r="J121" t="s">
        <v>7</v>
      </c>
      <c r="K121">
        <v>-6.8615384615384606E-2</v>
      </c>
      <c r="L121" t="s">
        <v>8</v>
      </c>
      <c r="M121">
        <v>1.0805633802816801</v>
      </c>
      <c r="N121" t="s">
        <v>9</v>
      </c>
      <c r="O121">
        <v>-1.45152542372881</v>
      </c>
      <c r="P121" t="s">
        <v>10</v>
      </c>
      <c r="Q121">
        <v>0.28911655845637801</v>
      </c>
      <c r="R121" t="s">
        <v>11</v>
      </c>
      <c r="S121" t="s">
        <v>3542</v>
      </c>
      <c r="T121" t="s">
        <v>3525</v>
      </c>
      <c r="U121">
        <v>0</v>
      </c>
      <c r="V121" t="s">
        <v>14</v>
      </c>
      <c r="W121" t="s">
        <v>15</v>
      </c>
      <c r="X121" t="s">
        <v>3542</v>
      </c>
      <c r="Y121" t="s">
        <v>3525</v>
      </c>
      <c r="Z121">
        <v>0</v>
      </c>
      <c r="AA121" t="s">
        <v>18</v>
      </c>
    </row>
    <row r="122" spans="1:27" x14ac:dyDescent="0.3">
      <c r="A122" t="s">
        <v>3292</v>
      </c>
      <c r="B122" t="s">
        <v>3241</v>
      </c>
      <c r="C122" t="s">
        <v>3828</v>
      </c>
      <c r="D122" t="s">
        <v>1224</v>
      </c>
      <c r="E122">
        <v>155</v>
      </c>
      <c r="F122" t="s">
        <v>5</v>
      </c>
      <c r="G122">
        <v>75</v>
      </c>
      <c r="H122" t="s">
        <v>6</v>
      </c>
      <c r="I122">
        <v>-8.9200000000000408</v>
      </c>
      <c r="J122" t="s">
        <v>7</v>
      </c>
      <c r="K122">
        <v>-5.75483870967744E-2</v>
      </c>
      <c r="L122" t="s">
        <v>8</v>
      </c>
      <c r="M122">
        <v>0.89559999999999895</v>
      </c>
      <c r="N122" t="s">
        <v>9</v>
      </c>
      <c r="O122">
        <v>-0.951125000000001</v>
      </c>
      <c r="P122" t="s">
        <v>10</v>
      </c>
      <c r="Q122">
        <v>0.324865069654312</v>
      </c>
      <c r="R122" t="s">
        <v>11</v>
      </c>
      <c r="S122" t="s">
        <v>3484</v>
      </c>
      <c r="T122" t="s">
        <v>3485</v>
      </c>
      <c r="U122">
        <v>0</v>
      </c>
      <c r="V122" t="s">
        <v>14</v>
      </c>
      <c r="W122" t="s">
        <v>15</v>
      </c>
      <c r="X122" t="s">
        <v>3487</v>
      </c>
      <c r="Y122" t="s">
        <v>2644</v>
      </c>
      <c r="Z122">
        <v>0</v>
      </c>
      <c r="AA122" t="s">
        <v>18</v>
      </c>
    </row>
    <row r="123" spans="1:27" x14ac:dyDescent="0.3">
      <c r="A123" t="s">
        <v>1219</v>
      </c>
      <c r="B123" t="s">
        <v>3209</v>
      </c>
      <c r="C123" t="s">
        <v>3829</v>
      </c>
      <c r="D123" t="s">
        <v>1224</v>
      </c>
      <c r="E123">
        <v>178</v>
      </c>
      <c r="F123" t="s">
        <v>5</v>
      </c>
      <c r="G123">
        <v>98</v>
      </c>
      <c r="H123" t="s">
        <v>6</v>
      </c>
      <c r="I123">
        <v>-9.0799999999999894</v>
      </c>
      <c r="J123" t="s">
        <v>7</v>
      </c>
      <c r="K123">
        <v>-5.1011235955056099E-2</v>
      </c>
      <c r="L123" t="s">
        <v>8</v>
      </c>
      <c r="M123">
        <v>1.21734693877551</v>
      </c>
      <c r="N123" t="s">
        <v>9</v>
      </c>
      <c r="O123">
        <v>-1.6047499999999999</v>
      </c>
      <c r="P123" t="s">
        <v>10</v>
      </c>
      <c r="Q123">
        <v>0.39657963407672397</v>
      </c>
      <c r="R123" t="s">
        <v>11</v>
      </c>
      <c r="S123" t="s">
        <v>3386</v>
      </c>
      <c r="T123" t="s">
        <v>3030</v>
      </c>
      <c r="U123">
        <v>0</v>
      </c>
      <c r="V123" t="s">
        <v>14</v>
      </c>
      <c r="W123" t="s">
        <v>15</v>
      </c>
      <c r="X123" t="s">
        <v>3392</v>
      </c>
      <c r="Y123" t="s">
        <v>3389</v>
      </c>
      <c r="Z123">
        <v>0</v>
      </c>
      <c r="AA123" t="s">
        <v>18</v>
      </c>
    </row>
    <row r="124" spans="1:27" x14ac:dyDescent="0.3">
      <c r="A124" t="s">
        <v>1219</v>
      </c>
      <c r="B124" t="s">
        <v>3210</v>
      </c>
      <c r="C124" t="s">
        <v>3830</v>
      </c>
      <c r="D124" t="s">
        <v>1224</v>
      </c>
      <c r="E124">
        <v>178</v>
      </c>
      <c r="F124" t="s">
        <v>5</v>
      </c>
      <c r="G124">
        <v>91</v>
      </c>
      <c r="H124" t="s">
        <v>6</v>
      </c>
      <c r="I124">
        <v>-9.1599999999999806</v>
      </c>
      <c r="J124" t="s">
        <v>7</v>
      </c>
      <c r="K124">
        <v>-5.14606741573033E-2</v>
      </c>
      <c r="L124" t="s">
        <v>8</v>
      </c>
      <c r="M124">
        <v>1.5687912087911999</v>
      </c>
      <c r="N124" t="s">
        <v>9</v>
      </c>
      <c r="O124">
        <v>-1.7462068965517199</v>
      </c>
      <c r="P124" t="s">
        <v>10</v>
      </c>
      <c r="Q124">
        <v>0.50109024520857304</v>
      </c>
      <c r="R124" t="s">
        <v>11</v>
      </c>
      <c r="S124" t="s">
        <v>3299</v>
      </c>
      <c r="T124" t="s">
        <v>2046</v>
      </c>
      <c r="U124">
        <v>0</v>
      </c>
      <c r="V124" t="s">
        <v>14</v>
      </c>
      <c r="W124" t="s">
        <v>15</v>
      </c>
      <c r="X124" t="s">
        <v>3393</v>
      </c>
      <c r="Y124" t="s">
        <v>2046</v>
      </c>
      <c r="Z124">
        <v>0</v>
      </c>
      <c r="AA124" t="s">
        <v>18</v>
      </c>
    </row>
    <row r="125" spans="1:27" x14ac:dyDescent="0.3">
      <c r="A125" t="s">
        <v>1221</v>
      </c>
      <c r="B125" t="s">
        <v>3235</v>
      </c>
      <c r="C125" t="s">
        <v>3831</v>
      </c>
      <c r="D125" t="s">
        <v>1224</v>
      </c>
      <c r="E125">
        <v>130</v>
      </c>
      <c r="F125" t="s">
        <v>5</v>
      </c>
      <c r="G125">
        <v>58</v>
      </c>
      <c r="H125" t="s">
        <v>6</v>
      </c>
      <c r="I125">
        <v>-9.4542892620371308</v>
      </c>
      <c r="J125" t="s">
        <v>7</v>
      </c>
      <c r="K125">
        <v>-7.2725302015670207E-2</v>
      </c>
      <c r="L125" t="s">
        <v>8</v>
      </c>
      <c r="M125">
        <v>1.71465517241379</v>
      </c>
      <c r="N125" t="s">
        <v>9</v>
      </c>
      <c r="O125">
        <v>-1.5125595730838399</v>
      </c>
      <c r="P125" t="s">
        <v>10</v>
      </c>
      <c r="Q125">
        <v>0.37742520768356203</v>
      </c>
      <c r="R125" t="s">
        <v>11</v>
      </c>
      <c r="S125" t="s">
        <v>3510</v>
      </c>
      <c r="T125" t="s">
        <v>3303</v>
      </c>
      <c r="U125">
        <v>0</v>
      </c>
      <c r="V125" t="s">
        <v>14</v>
      </c>
      <c r="W125" t="s">
        <v>15</v>
      </c>
      <c r="X125" t="s">
        <v>3514</v>
      </c>
      <c r="Y125" t="s">
        <v>2793</v>
      </c>
      <c r="Z125">
        <v>0</v>
      </c>
      <c r="AA125" t="s">
        <v>18</v>
      </c>
    </row>
    <row r="126" spans="1:27" x14ac:dyDescent="0.3">
      <c r="A126" t="s">
        <v>1220</v>
      </c>
      <c r="B126" t="s">
        <v>3233</v>
      </c>
      <c r="C126" t="s">
        <v>3832</v>
      </c>
      <c r="D126" t="s">
        <v>1224</v>
      </c>
      <c r="E126">
        <v>139</v>
      </c>
      <c r="F126" t="s">
        <v>5</v>
      </c>
      <c r="G126">
        <v>75</v>
      </c>
      <c r="H126" t="s">
        <v>6</v>
      </c>
      <c r="I126">
        <v>-9.4802553323130496</v>
      </c>
      <c r="J126" t="s">
        <v>7</v>
      </c>
      <c r="K126">
        <v>-6.8203275772036304E-2</v>
      </c>
      <c r="L126" t="s">
        <v>8</v>
      </c>
      <c r="M126">
        <v>1.12858033726177</v>
      </c>
      <c r="N126" t="s">
        <v>9</v>
      </c>
      <c r="O126">
        <v>-1.4706840722960299</v>
      </c>
      <c r="P126" t="s">
        <v>10</v>
      </c>
      <c r="Q126">
        <v>0.271277222818331</v>
      </c>
      <c r="R126" t="s">
        <v>11</v>
      </c>
      <c r="S126" t="s">
        <v>3510</v>
      </c>
      <c r="T126" t="s">
        <v>3303</v>
      </c>
      <c r="U126">
        <v>0</v>
      </c>
      <c r="V126" t="s">
        <v>14</v>
      </c>
      <c r="W126" t="s">
        <v>15</v>
      </c>
      <c r="X126" t="s">
        <v>3510</v>
      </c>
      <c r="Y126" t="s">
        <v>3303</v>
      </c>
      <c r="Z126">
        <v>0</v>
      </c>
      <c r="AA126" t="s">
        <v>18</v>
      </c>
    </row>
    <row r="127" spans="1:27" x14ac:dyDescent="0.3">
      <c r="A127" t="s">
        <v>1221</v>
      </c>
      <c r="B127" t="s">
        <v>3233</v>
      </c>
      <c r="C127" t="s">
        <v>3833</v>
      </c>
      <c r="D127" t="s">
        <v>1224</v>
      </c>
      <c r="E127">
        <v>130</v>
      </c>
      <c r="F127" t="s">
        <v>5</v>
      </c>
      <c r="G127">
        <v>70</v>
      </c>
      <c r="H127" t="s">
        <v>6</v>
      </c>
      <c r="I127">
        <v>-9.8815132760630604</v>
      </c>
      <c r="J127" t="s">
        <v>7</v>
      </c>
      <c r="K127">
        <v>-7.6011640585100404E-2</v>
      </c>
      <c r="L127" t="s">
        <v>8</v>
      </c>
      <c r="M127">
        <v>1.1038967997996301</v>
      </c>
      <c r="N127" t="s">
        <v>9</v>
      </c>
      <c r="O127">
        <v>-1.45257148770061</v>
      </c>
      <c r="P127" t="s">
        <v>10</v>
      </c>
      <c r="Q127">
        <v>0.25516383209156501</v>
      </c>
      <c r="R127" t="s">
        <v>11</v>
      </c>
      <c r="S127" t="s">
        <v>3510</v>
      </c>
      <c r="T127" t="s">
        <v>3303</v>
      </c>
      <c r="U127">
        <v>0</v>
      </c>
      <c r="V127" t="s">
        <v>14</v>
      </c>
      <c r="W127" t="s">
        <v>15</v>
      </c>
      <c r="X127" t="s">
        <v>3510</v>
      </c>
      <c r="Y127" t="s">
        <v>3303</v>
      </c>
      <c r="Z127">
        <v>0</v>
      </c>
      <c r="AA127" t="s">
        <v>18</v>
      </c>
    </row>
    <row r="128" spans="1:27" x14ac:dyDescent="0.3">
      <c r="A128" t="s">
        <v>3292</v>
      </c>
      <c r="B128" t="s">
        <v>3252</v>
      </c>
      <c r="C128" t="s">
        <v>3834</v>
      </c>
      <c r="D128" t="s">
        <v>1224</v>
      </c>
      <c r="E128">
        <v>157</v>
      </c>
      <c r="F128" t="s">
        <v>5</v>
      </c>
      <c r="G128">
        <v>70</v>
      </c>
      <c r="H128" t="s">
        <v>6</v>
      </c>
      <c r="I128">
        <v>-9.8904616540516006</v>
      </c>
      <c r="J128" t="s">
        <v>7</v>
      </c>
      <c r="K128">
        <v>-6.2996571044914698E-2</v>
      </c>
      <c r="L128" t="s">
        <v>8</v>
      </c>
      <c r="M128">
        <v>1.33871428571428</v>
      </c>
      <c r="N128" t="s">
        <v>9</v>
      </c>
      <c r="O128">
        <v>-1.1908099040695499</v>
      </c>
      <c r="P128" t="s">
        <v>10</v>
      </c>
      <c r="Q128">
        <v>0.41986730473949202</v>
      </c>
      <c r="R128" t="s">
        <v>11</v>
      </c>
      <c r="S128" t="s">
        <v>3427</v>
      </c>
      <c r="T128" t="s">
        <v>635</v>
      </c>
      <c r="U128">
        <v>0</v>
      </c>
      <c r="V128" t="s">
        <v>14</v>
      </c>
      <c r="W128" t="s">
        <v>15</v>
      </c>
      <c r="X128" t="s">
        <v>3428</v>
      </c>
      <c r="Y128" t="s">
        <v>3296</v>
      </c>
      <c r="Z128">
        <v>0</v>
      </c>
      <c r="AA128" t="s">
        <v>18</v>
      </c>
    </row>
    <row r="129" spans="1:27" x14ac:dyDescent="0.3">
      <c r="A129" t="s">
        <v>1219</v>
      </c>
      <c r="B129" t="s">
        <v>3252</v>
      </c>
      <c r="C129" t="s">
        <v>3835</v>
      </c>
      <c r="D129" t="s">
        <v>1224</v>
      </c>
      <c r="E129">
        <v>167</v>
      </c>
      <c r="F129" t="s">
        <v>5</v>
      </c>
      <c r="G129">
        <v>74</v>
      </c>
      <c r="H129" t="s">
        <v>6</v>
      </c>
      <c r="I129">
        <v>-9.9891070031288098</v>
      </c>
      <c r="J129" t="s">
        <v>7</v>
      </c>
      <c r="K129">
        <v>-5.9815011994783202E-2</v>
      </c>
      <c r="L129" t="s">
        <v>8</v>
      </c>
      <c r="M129">
        <v>1.40042371149895</v>
      </c>
      <c r="N129" t="s">
        <v>9</v>
      </c>
      <c r="O129">
        <v>-1.22172539412958</v>
      </c>
      <c r="P129" t="s">
        <v>10</v>
      </c>
      <c r="Q129">
        <v>0.42741571949263002</v>
      </c>
      <c r="R129" t="s">
        <v>11</v>
      </c>
      <c r="S129" t="s">
        <v>3427</v>
      </c>
      <c r="T129" t="s">
        <v>635</v>
      </c>
      <c r="U129">
        <v>0</v>
      </c>
      <c r="V129" t="s">
        <v>14</v>
      </c>
      <c r="W129" t="s">
        <v>15</v>
      </c>
      <c r="X129" t="s">
        <v>3428</v>
      </c>
      <c r="Y129" t="s">
        <v>3296</v>
      </c>
      <c r="Z129">
        <v>0</v>
      </c>
      <c r="AA129" t="s">
        <v>18</v>
      </c>
    </row>
    <row r="130" spans="1:27" x14ac:dyDescent="0.3">
      <c r="A130" t="s">
        <v>1220</v>
      </c>
      <c r="B130" t="s">
        <v>3269</v>
      </c>
      <c r="C130" t="s">
        <v>3836</v>
      </c>
      <c r="D130" t="s">
        <v>1224</v>
      </c>
      <c r="E130">
        <v>139</v>
      </c>
      <c r="F130" t="s">
        <v>5</v>
      </c>
      <c r="G130">
        <v>66</v>
      </c>
      <c r="H130" t="s">
        <v>6</v>
      </c>
      <c r="I130">
        <v>-10.0501848627312</v>
      </c>
      <c r="J130" t="s">
        <v>7</v>
      </c>
      <c r="K130">
        <v>-7.2303488221088202E-2</v>
      </c>
      <c r="L130" t="s">
        <v>8</v>
      </c>
      <c r="M130">
        <v>1.8592390195476101</v>
      </c>
      <c r="N130" t="s">
        <v>9</v>
      </c>
      <c r="O130">
        <v>-1.8186295911352599</v>
      </c>
      <c r="P130" t="s">
        <v>10</v>
      </c>
      <c r="Q130">
        <v>0.418918606125259</v>
      </c>
      <c r="R130" t="s">
        <v>11</v>
      </c>
      <c r="S130" t="s">
        <v>3527</v>
      </c>
      <c r="T130" t="s">
        <v>691</v>
      </c>
      <c r="U130">
        <v>0</v>
      </c>
      <c r="V130" t="s">
        <v>14</v>
      </c>
      <c r="W130" t="s">
        <v>15</v>
      </c>
      <c r="X130" t="s">
        <v>3527</v>
      </c>
      <c r="Y130" t="s">
        <v>691</v>
      </c>
      <c r="Z130">
        <v>0</v>
      </c>
      <c r="AA130" t="s">
        <v>18</v>
      </c>
    </row>
    <row r="131" spans="1:27" x14ac:dyDescent="0.3">
      <c r="A131" t="s">
        <v>1221</v>
      </c>
      <c r="B131" t="s">
        <v>3239</v>
      </c>
      <c r="C131" t="s">
        <v>3837</v>
      </c>
      <c r="D131" t="s">
        <v>1224</v>
      </c>
      <c r="E131">
        <v>125</v>
      </c>
      <c r="F131" t="s">
        <v>5</v>
      </c>
      <c r="G131">
        <v>57</v>
      </c>
      <c r="H131" t="s">
        <v>6</v>
      </c>
      <c r="I131">
        <v>-10.16</v>
      </c>
      <c r="J131" t="s">
        <v>7</v>
      </c>
      <c r="K131">
        <v>-8.1280000000000102E-2</v>
      </c>
      <c r="L131" t="s">
        <v>8</v>
      </c>
      <c r="M131">
        <v>0.97087719298245601</v>
      </c>
      <c r="N131" t="s">
        <v>9</v>
      </c>
      <c r="O131">
        <v>-0.96323529411764597</v>
      </c>
      <c r="P131" t="s">
        <v>10</v>
      </c>
      <c r="Q131">
        <v>0.28498230288009302</v>
      </c>
      <c r="R131" t="s">
        <v>11</v>
      </c>
      <c r="S131" t="s">
        <v>3332</v>
      </c>
      <c r="T131" t="s">
        <v>3333</v>
      </c>
      <c r="U131">
        <v>0</v>
      </c>
      <c r="V131" t="s">
        <v>14</v>
      </c>
      <c r="W131" t="s">
        <v>15</v>
      </c>
      <c r="X131" t="s">
        <v>3516</v>
      </c>
      <c r="Y131" t="s">
        <v>3333</v>
      </c>
      <c r="Z131">
        <v>0</v>
      </c>
      <c r="AA131" t="s">
        <v>18</v>
      </c>
    </row>
    <row r="132" spans="1:27" x14ac:dyDescent="0.3">
      <c r="A132" t="s">
        <v>1220</v>
      </c>
      <c r="B132" t="s">
        <v>3216</v>
      </c>
      <c r="C132" t="s">
        <v>3838</v>
      </c>
      <c r="D132" t="s">
        <v>1224</v>
      </c>
      <c r="E132">
        <v>139</v>
      </c>
      <c r="F132" t="s">
        <v>5</v>
      </c>
      <c r="G132">
        <v>61</v>
      </c>
      <c r="H132" t="s">
        <v>6</v>
      </c>
      <c r="I132">
        <v>-10.2235333018054</v>
      </c>
      <c r="J132" t="s">
        <v>7</v>
      </c>
      <c r="K132">
        <v>-7.3550599293564001E-2</v>
      </c>
      <c r="L132" t="s">
        <v>8</v>
      </c>
      <c r="M132">
        <v>2.11236745914271</v>
      </c>
      <c r="N132" t="s">
        <v>9</v>
      </c>
      <c r="O132">
        <v>-1.7830506193527</v>
      </c>
      <c r="P132" t="s">
        <v>10</v>
      </c>
      <c r="Q132">
        <v>0.40893792790655598</v>
      </c>
      <c r="R132" t="s">
        <v>11</v>
      </c>
      <c r="S132" t="s">
        <v>2657</v>
      </c>
      <c r="T132" t="s">
        <v>3303</v>
      </c>
      <c r="U132">
        <v>0</v>
      </c>
      <c r="V132" t="s">
        <v>14</v>
      </c>
      <c r="W132" t="s">
        <v>15</v>
      </c>
      <c r="X132" t="s">
        <v>2657</v>
      </c>
      <c r="Y132" t="s">
        <v>3303</v>
      </c>
      <c r="Z132">
        <v>0</v>
      </c>
      <c r="AA132" t="s">
        <v>18</v>
      </c>
    </row>
    <row r="133" spans="1:27" x14ac:dyDescent="0.3">
      <c r="A133" t="s">
        <v>3292</v>
      </c>
      <c r="B133" t="s">
        <v>3208</v>
      </c>
      <c r="C133" t="s">
        <v>3839</v>
      </c>
      <c r="D133" t="s">
        <v>1224</v>
      </c>
      <c r="E133">
        <v>165</v>
      </c>
      <c r="F133" t="s">
        <v>5</v>
      </c>
      <c r="G133">
        <v>103</v>
      </c>
      <c r="H133" t="s">
        <v>6</v>
      </c>
      <c r="I133">
        <v>-10.3799999999999</v>
      </c>
      <c r="J133" t="s">
        <v>7</v>
      </c>
      <c r="K133">
        <v>-6.2909090909090803E-2</v>
      </c>
      <c r="L133" t="s">
        <v>8</v>
      </c>
      <c r="M133">
        <v>0.85524271844660205</v>
      </c>
      <c r="N133" t="s">
        <v>9</v>
      </c>
      <c r="O133">
        <v>-1.5882258064516099</v>
      </c>
      <c r="P133" t="s">
        <v>10</v>
      </c>
      <c r="Q133">
        <v>0.29483880065843299</v>
      </c>
      <c r="R133" t="s">
        <v>11</v>
      </c>
      <c r="S133" t="s">
        <v>3386</v>
      </c>
      <c r="T133" t="s">
        <v>3030</v>
      </c>
      <c r="U133">
        <v>0</v>
      </c>
      <c r="V133" t="s">
        <v>14</v>
      </c>
      <c r="W133" t="s">
        <v>15</v>
      </c>
      <c r="X133" t="s">
        <v>3390</v>
      </c>
      <c r="Y133" t="s">
        <v>3391</v>
      </c>
      <c r="Z133">
        <v>0</v>
      </c>
      <c r="AA133" t="s">
        <v>18</v>
      </c>
    </row>
    <row r="134" spans="1:27" x14ac:dyDescent="0.3">
      <c r="A134" t="s">
        <v>1221</v>
      </c>
      <c r="B134" t="s">
        <v>3270</v>
      </c>
      <c r="C134" t="s">
        <v>3840</v>
      </c>
      <c r="D134" t="s">
        <v>1224</v>
      </c>
      <c r="E134">
        <v>130</v>
      </c>
      <c r="F134" t="s">
        <v>5</v>
      </c>
      <c r="G134">
        <v>44</v>
      </c>
      <c r="H134" t="s">
        <v>6</v>
      </c>
      <c r="I134">
        <v>-10.444103564556899</v>
      </c>
      <c r="J134" t="s">
        <v>7</v>
      </c>
      <c r="K134">
        <v>-8.0339258188899296E-2</v>
      </c>
      <c r="L134" t="s">
        <v>8</v>
      </c>
      <c r="M134">
        <v>3.0773854443075601</v>
      </c>
      <c r="N134" t="s">
        <v>9</v>
      </c>
      <c r="O134">
        <v>-1.6959193385359199</v>
      </c>
      <c r="P134" t="s">
        <v>10</v>
      </c>
      <c r="Q134">
        <v>0.47920382440974901</v>
      </c>
      <c r="R134" t="s">
        <v>11</v>
      </c>
      <c r="S134" t="s">
        <v>3546</v>
      </c>
      <c r="T134" t="s">
        <v>3547</v>
      </c>
      <c r="U134">
        <v>0</v>
      </c>
      <c r="V134" t="s">
        <v>14</v>
      </c>
      <c r="W134" t="s">
        <v>15</v>
      </c>
      <c r="X134" t="s">
        <v>3546</v>
      </c>
      <c r="Y134" t="s">
        <v>3547</v>
      </c>
      <c r="Z134">
        <v>0</v>
      </c>
      <c r="AA134" t="s">
        <v>18</v>
      </c>
    </row>
    <row r="135" spans="1:27" x14ac:dyDescent="0.3">
      <c r="A135" t="s">
        <v>1220</v>
      </c>
      <c r="B135" t="s">
        <v>3282</v>
      </c>
      <c r="C135" t="s">
        <v>3841</v>
      </c>
      <c r="D135" t="s">
        <v>1224</v>
      </c>
      <c r="E135">
        <v>140</v>
      </c>
      <c r="F135" t="s">
        <v>5</v>
      </c>
      <c r="G135">
        <v>58</v>
      </c>
      <c r="H135" t="s">
        <v>6</v>
      </c>
      <c r="I135">
        <v>-10.639999999999899</v>
      </c>
      <c r="J135" t="s">
        <v>7</v>
      </c>
      <c r="K135">
        <v>-7.5999999999999707E-2</v>
      </c>
      <c r="L135" t="s">
        <v>8</v>
      </c>
      <c r="M135">
        <v>2.2558620689655098</v>
      </c>
      <c r="N135" t="s">
        <v>9</v>
      </c>
      <c r="O135">
        <v>-1.7253658536585299</v>
      </c>
      <c r="P135" t="s">
        <v>10</v>
      </c>
      <c r="Q135">
        <v>0.46264014062480002</v>
      </c>
      <c r="R135" t="s">
        <v>11</v>
      </c>
      <c r="S135" t="s">
        <v>2657</v>
      </c>
      <c r="T135" t="s">
        <v>3303</v>
      </c>
      <c r="U135">
        <v>0</v>
      </c>
      <c r="V135" t="s">
        <v>14</v>
      </c>
      <c r="W135" t="s">
        <v>15</v>
      </c>
      <c r="X135" t="s">
        <v>2657</v>
      </c>
      <c r="Y135" t="s">
        <v>3303</v>
      </c>
      <c r="Z135">
        <v>0</v>
      </c>
      <c r="AA135" t="s">
        <v>18</v>
      </c>
    </row>
    <row r="136" spans="1:27" x14ac:dyDescent="0.3">
      <c r="A136" t="s">
        <v>1221</v>
      </c>
      <c r="B136" t="s">
        <v>3268</v>
      </c>
      <c r="C136" t="s">
        <v>3842</v>
      </c>
      <c r="D136" t="s">
        <v>1224</v>
      </c>
      <c r="E136">
        <v>130</v>
      </c>
      <c r="F136" t="s">
        <v>5</v>
      </c>
      <c r="G136">
        <v>73</v>
      </c>
      <c r="H136" t="s">
        <v>6</v>
      </c>
      <c r="I136">
        <v>-10.660880822166099</v>
      </c>
      <c r="J136" t="s">
        <v>7</v>
      </c>
      <c r="K136">
        <v>-8.2006775555124506E-2</v>
      </c>
      <c r="L136" t="s">
        <v>8</v>
      </c>
      <c r="M136">
        <v>1.2132756051758</v>
      </c>
      <c r="N136" t="s">
        <v>9</v>
      </c>
      <c r="O136">
        <v>-1.74087719298245</v>
      </c>
      <c r="P136" t="s">
        <v>10</v>
      </c>
      <c r="Q136">
        <v>0.32491199754781502</v>
      </c>
      <c r="R136" t="s">
        <v>11</v>
      </c>
      <c r="S136" t="s">
        <v>3546</v>
      </c>
      <c r="T136" t="s">
        <v>3547</v>
      </c>
      <c r="U136">
        <v>0</v>
      </c>
      <c r="V136" t="s">
        <v>14</v>
      </c>
      <c r="W136" t="s">
        <v>15</v>
      </c>
      <c r="X136" t="s">
        <v>3546</v>
      </c>
      <c r="Y136" t="s">
        <v>3547</v>
      </c>
      <c r="Z136">
        <v>0</v>
      </c>
      <c r="AA136" t="s">
        <v>18</v>
      </c>
    </row>
    <row r="137" spans="1:27" x14ac:dyDescent="0.3">
      <c r="A137" t="s">
        <v>1220</v>
      </c>
      <c r="B137" t="s">
        <v>3223</v>
      </c>
      <c r="C137" t="s">
        <v>3843</v>
      </c>
      <c r="D137" t="s">
        <v>1224</v>
      </c>
      <c r="E137">
        <v>135</v>
      </c>
      <c r="F137" t="s">
        <v>5</v>
      </c>
      <c r="G137">
        <v>50</v>
      </c>
      <c r="H137" t="s">
        <v>6</v>
      </c>
      <c r="I137">
        <v>-11.049999999999899</v>
      </c>
      <c r="J137" t="s">
        <v>7</v>
      </c>
      <c r="K137">
        <v>-8.1851851851851398E-2</v>
      </c>
      <c r="L137" t="s">
        <v>8</v>
      </c>
      <c r="M137">
        <v>2.1274000000000002</v>
      </c>
      <c r="N137" t="s">
        <v>9</v>
      </c>
      <c r="O137">
        <v>-1.3814117647058799</v>
      </c>
      <c r="P137" t="s">
        <v>10</v>
      </c>
      <c r="Q137">
        <v>0.50734974485010698</v>
      </c>
      <c r="R137" t="s">
        <v>11</v>
      </c>
      <c r="S137" t="s">
        <v>3508</v>
      </c>
      <c r="T137" t="s">
        <v>21</v>
      </c>
      <c r="U137">
        <v>0</v>
      </c>
      <c r="V137" t="s">
        <v>14</v>
      </c>
      <c r="W137" t="s">
        <v>15</v>
      </c>
      <c r="X137" t="s">
        <v>3508</v>
      </c>
      <c r="Y137" t="s">
        <v>21</v>
      </c>
      <c r="Z137">
        <v>0</v>
      </c>
      <c r="AA137" t="s">
        <v>18</v>
      </c>
    </row>
    <row r="138" spans="1:27" x14ac:dyDescent="0.3">
      <c r="A138" t="s">
        <v>3292</v>
      </c>
      <c r="B138" t="s">
        <v>3278</v>
      </c>
      <c r="C138" t="s">
        <v>3844</v>
      </c>
      <c r="D138" t="s">
        <v>1224</v>
      </c>
      <c r="E138">
        <v>155</v>
      </c>
      <c r="F138" t="s">
        <v>5</v>
      </c>
      <c r="G138">
        <v>76</v>
      </c>
      <c r="H138" t="s">
        <v>6</v>
      </c>
      <c r="I138">
        <v>-11.1699999999999</v>
      </c>
      <c r="J138" t="s">
        <v>7</v>
      </c>
      <c r="K138">
        <v>-7.2064516129031905E-2</v>
      </c>
      <c r="L138" t="s">
        <v>8</v>
      </c>
      <c r="M138">
        <v>1.57855263157894</v>
      </c>
      <c r="N138" t="s">
        <v>9</v>
      </c>
      <c r="O138">
        <v>-1.6599999999999899</v>
      </c>
      <c r="P138" t="s">
        <v>10</v>
      </c>
      <c r="Q138">
        <v>0.58218602122677399</v>
      </c>
      <c r="R138" t="s">
        <v>11</v>
      </c>
      <c r="S138" t="s">
        <v>3452</v>
      </c>
      <c r="T138" t="s">
        <v>2644</v>
      </c>
      <c r="U138">
        <v>0</v>
      </c>
      <c r="V138" t="s">
        <v>14</v>
      </c>
      <c r="W138" t="s">
        <v>15</v>
      </c>
      <c r="X138" t="s">
        <v>3453</v>
      </c>
      <c r="Y138" t="s">
        <v>2644</v>
      </c>
      <c r="Z138">
        <v>0</v>
      </c>
      <c r="AA138" t="s">
        <v>18</v>
      </c>
    </row>
    <row r="139" spans="1:27" x14ac:dyDescent="0.3">
      <c r="A139" t="s">
        <v>3292</v>
      </c>
      <c r="B139" t="s">
        <v>3246</v>
      </c>
      <c r="C139" t="s">
        <v>3845</v>
      </c>
      <c r="D139" t="s">
        <v>1224</v>
      </c>
      <c r="E139">
        <v>165</v>
      </c>
      <c r="F139" t="s">
        <v>5</v>
      </c>
      <c r="G139">
        <v>77</v>
      </c>
      <c r="H139" t="s">
        <v>6</v>
      </c>
      <c r="I139">
        <v>-11.2599999999999</v>
      </c>
      <c r="J139" t="s">
        <v>7</v>
      </c>
      <c r="K139">
        <v>-6.8242424242424105E-2</v>
      </c>
      <c r="L139" t="s">
        <v>8</v>
      </c>
      <c r="M139">
        <v>1.04168831168831</v>
      </c>
      <c r="N139" t="s">
        <v>9</v>
      </c>
      <c r="O139">
        <v>-1.0394318181818101</v>
      </c>
      <c r="P139" t="s">
        <v>10</v>
      </c>
      <c r="Q139">
        <v>0.34642435043693398</v>
      </c>
      <c r="R139" t="s">
        <v>11</v>
      </c>
      <c r="S139" t="s">
        <v>3484</v>
      </c>
      <c r="T139" t="s">
        <v>3485</v>
      </c>
      <c r="U139">
        <v>0</v>
      </c>
      <c r="V139" t="s">
        <v>14</v>
      </c>
      <c r="W139" t="s">
        <v>15</v>
      </c>
      <c r="X139" t="s">
        <v>2184</v>
      </c>
      <c r="Y139" t="s">
        <v>2655</v>
      </c>
      <c r="Z139">
        <v>0</v>
      </c>
      <c r="AA139" t="s">
        <v>18</v>
      </c>
    </row>
    <row r="140" spans="1:27" x14ac:dyDescent="0.3">
      <c r="A140" t="s">
        <v>3292</v>
      </c>
      <c r="B140" t="s">
        <v>3274</v>
      </c>
      <c r="C140" t="s">
        <v>3846</v>
      </c>
      <c r="D140" t="s">
        <v>1224</v>
      </c>
      <c r="E140">
        <v>155</v>
      </c>
      <c r="F140" t="s">
        <v>5</v>
      </c>
      <c r="G140">
        <v>101</v>
      </c>
      <c r="H140" t="s">
        <v>6</v>
      </c>
      <c r="I140">
        <v>-11.2699999999999</v>
      </c>
      <c r="J140" t="s">
        <v>7</v>
      </c>
      <c r="K140">
        <v>-7.2709677419354801E-2</v>
      </c>
      <c r="L140" t="s">
        <v>8</v>
      </c>
      <c r="M140">
        <v>0.80207920792079201</v>
      </c>
      <c r="N140" t="s">
        <v>9</v>
      </c>
      <c r="O140">
        <v>-1.70888888888888</v>
      </c>
      <c r="P140" t="s">
        <v>10</v>
      </c>
      <c r="Q140">
        <v>0.27966934940222699</v>
      </c>
      <c r="R140" t="s">
        <v>11</v>
      </c>
      <c r="S140" t="s">
        <v>3122</v>
      </c>
      <c r="T140" t="s">
        <v>1383</v>
      </c>
      <c r="U140">
        <v>0</v>
      </c>
      <c r="V140" t="s">
        <v>14</v>
      </c>
      <c r="W140" t="s">
        <v>15</v>
      </c>
      <c r="X140" t="s">
        <v>812</v>
      </c>
      <c r="Y140" t="s">
        <v>183</v>
      </c>
      <c r="Z140">
        <v>0</v>
      </c>
      <c r="AA140" t="s">
        <v>18</v>
      </c>
    </row>
    <row r="141" spans="1:27" x14ac:dyDescent="0.3">
      <c r="A141" t="s">
        <v>1221</v>
      </c>
      <c r="B141" t="s">
        <v>3279</v>
      </c>
      <c r="C141" t="s">
        <v>3847</v>
      </c>
      <c r="D141" t="s">
        <v>1224</v>
      </c>
      <c r="E141">
        <v>125</v>
      </c>
      <c r="F141" t="s">
        <v>5</v>
      </c>
      <c r="G141">
        <v>51</v>
      </c>
      <c r="H141" t="s">
        <v>6</v>
      </c>
      <c r="I141">
        <v>-11.2799999999999</v>
      </c>
      <c r="J141" t="s">
        <v>7</v>
      </c>
      <c r="K141">
        <v>-9.0239999999999695E-2</v>
      </c>
      <c r="L141" t="s">
        <v>8</v>
      </c>
      <c r="M141">
        <v>2.5154901960784302</v>
      </c>
      <c r="N141" t="s">
        <v>9</v>
      </c>
      <c r="O141">
        <v>-1.88608108108108</v>
      </c>
      <c r="P141" t="s">
        <v>10</v>
      </c>
      <c r="Q141">
        <v>0.54192539258920802</v>
      </c>
      <c r="R141" t="s">
        <v>11</v>
      </c>
      <c r="S141" t="s">
        <v>3534</v>
      </c>
      <c r="T141" t="s">
        <v>2769</v>
      </c>
      <c r="U141">
        <v>0</v>
      </c>
      <c r="V141" t="s">
        <v>14</v>
      </c>
      <c r="W141" t="s">
        <v>15</v>
      </c>
      <c r="X141" t="s">
        <v>3534</v>
      </c>
      <c r="Y141" t="s">
        <v>2769</v>
      </c>
      <c r="Z141">
        <v>0</v>
      </c>
      <c r="AA141" t="s">
        <v>18</v>
      </c>
    </row>
    <row r="142" spans="1:27" x14ac:dyDescent="0.3">
      <c r="A142" t="s">
        <v>1220</v>
      </c>
      <c r="B142" t="s">
        <v>3264</v>
      </c>
      <c r="C142" t="s">
        <v>3848</v>
      </c>
      <c r="D142" t="s">
        <v>1224</v>
      </c>
      <c r="E142">
        <v>140</v>
      </c>
      <c r="F142" t="s">
        <v>5</v>
      </c>
      <c r="G142">
        <v>47</v>
      </c>
      <c r="H142" t="s">
        <v>6</v>
      </c>
      <c r="I142">
        <v>-11.3399999999999</v>
      </c>
      <c r="J142" t="s">
        <v>7</v>
      </c>
      <c r="K142">
        <v>-8.0999999999999905E-2</v>
      </c>
      <c r="L142" t="s">
        <v>8</v>
      </c>
      <c r="M142">
        <v>2.80617021276595</v>
      </c>
      <c r="N142" t="s">
        <v>9</v>
      </c>
      <c r="O142">
        <v>-1.5401075268817199</v>
      </c>
      <c r="P142" t="s">
        <v>10</v>
      </c>
      <c r="Q142">
        <v>0.48850923340979902</v>
      </c>
      <c r="R142" t="s">
        <v>11</v>
      </c>
      <c r="S142" t="s">
        <v>3527</v>
      </c>
      <c r="T142" t="s">
        <v>691</v>
      </c>
      <c r="U142">
        <v>0</v>
      </c>
      <c r="V142" t="s">
        <v>14</v>
      </c>
      <c r="W142" t="s">
        <v>15</v>
      </c>
      <c r="X142" t="s">
        <v>3527</v>
      </c>
      <c r="Y142" t="s">
        <v>691</v>
      </c>
      <c r="Z142">
        <v>0</v>
      </c>
      <c r="AA142" t="s">
        <v>18</v>
      </c>
    </row>
    <row r="143" spans="1:27" x14ac:dyDescent="0.3">
      <c r="A143" t="s">
        <v>1220</v>
      </c>
      <c r="B143" t="s">
        <v>3263</v>
      </c>
      <c r="C143" t="s">
        <v>3849</v>
      </c>
      <c r="D143" t="s">
        <v>1224</v>
      </c>
      <c r="E143">
        <v>140</v>
      </c>
      <c r="F143" t="s">
        <v>5</v>
      </c>
      <c r="G143">
        <v>63</v>
      </c>
      <c r="H143" t="s">
        <v>6</v>
      </c>
      <c r="I143">
        <v>-11.39</v>
      </c>
      <c r="J143" t="s">
        <v>7</v>
      </c>
      <c r="K143">
        <v>-8.1357142857142906E-2</v>
      </c>
      <c r="L143" t="s">
        <v>8</v>
      </c>
      <c r="M143">
        <v>1.6793650793650701</v>
      </c>
      <c r="N143" t="s">
        <v>9</v>
      </c>
      <c r="O143">
        <v>-1.5219480519480499</v>
      </c>
      <c r="P143" t="s">
        <v>10</v>
      </c>
      <c r="Q143">
        <v>0.38851424154921299</v>
      </c>
      <c r="R143" t="s">
        <v>11</v>
      </c>
      <c r="S143" t="s">
        <v>3527</v>
      </c>
      <c r="T143" t="s">
        <v>691</v>
      </c>
      <c r="U143">
        <v>0</v>
      </c>
      <c r="V143" t="s">
        <v>14</v>
      </c>
      <c r="W143" t="s">
        <v>15</v>
      </c>
      <c r="X143" t="s">
        <v>3527</v>
      </c>
      <c r="Y143" t="s">
        <v>691</v>
      </c>
      <c r="Z143">
        <v>0</v>
      </c>
      <c r="AA143" t="s">
        <v>18</v>
      </c>
    </row>
    <row r="144" spans="1:27" x14ac:dyDescent="0.3">
      <c r="A144" t="s">
        <v>3293</v>
      </c>
      <c r="B144" t="s">
        <v>3214</v>
      </c>
      <c r="C144" t="s">
        <v>3850</v>
      </c>
      <c r="D144" t="s">
        <v>1224</v>
      </c>
      <c r="E144">
        <v>331</v>
      </c>
      <c r="F144" t="s">
        <v>5</v>
      </c>
      <c r="G144">
        <v>212</v>
      </c>
      <c r="H144" t="s">
        <v>6</v>
      </c>
      <c r="I144">
        <v>-11.414445925566</v>
      </c>
      <c r="J144" t="s">
        <v>7</v>
      </c>
      <c r="K144">
        <v>-3.4484730892948602E-2</v>
      </c>
      <c r="L144" t="s">
        <v>8</v>
      </c>
      <c r="M144">
        <v>0.93606829340585096</v>
      </c>
      <c r="N144" t="s">
        <v>9</v>
      </c>
      <c r="O144">
        <v>-1.7635371775429101</v>
      </c>
      <c r="P144" t="s">
        <v>10</v>
      </c>
      <c r="Q144">
        <v>0.56442841237672403</v>
      </c>
      <c r="R144" t="s">
        <v>11</v>
      </c>
      <c r="S144" t="s">
        <v>2657</v>
      </c>
      <c r="T144" t="s">
        <v>3303</v>
      </c>
      <c r="U144">
        <v>0</v>
      </c>
      <c r="V144" t="s">
        <v>14</v>
      </c>
      <c r="W144" t="s">
        <v>15</v>
      </c>
      <c r="X144" t="s">
        <v>3617</v>
      </c>
      <c r="Y144" t="s">
        <v>3296</v>
      </c>
      <c r="Z144">
        <v>0</v>
      </c>
      <c r="AA144" t="s">
        <v>18</v>
      </c>
    </row>
    <row r="145" spans="1:27" x14ac:dyDescent="0.3">
      <c r="A145" t="s">
        <v>1222</v>
      </c>
      <c r="B145" t="s">
        <v>3270</v>
      </c>
      <c r="C145" t="s">
        <v>3851</v>
      </c>
      <c r="D145" t="s">
        <v>1224</v>
      </c>
      <c r="E145">
        <v>127</v>
      </c>
      <c r="F145" t="s">
        <v>5</v>
      </c>
      <c r="G145">
        <v>38</v>
      </c>
      <c r="H145" t="s">
        <v>6</v>
      </c>
      <c r="I145">
        <v>-11.499047776366201</v>
      </c>
      <c r="J145" t="s">
        <v>7</v>
      </c>
      <c r="K145">
        <v>-9.0543683278474202E-2</v>
      </c>
      <c r="L145" t="s">
        <v>8</v>
      </c>
      <c r="M145">
        <v>3.51150332741947</v>
      </c>
      <c r="N145" t="s">
        <v>9</v>
      </c>
      <c r="O145">
        <v>-1.62849633953152</v>
      </c>
      <c r="P145" t="s">
        <v>10</v>
      </c>
      <c r="Q145">
        <v>0.46845609853046499</v>
      </c>
      <c r="R145" t="s">
        <v>11</v>
      </c>
      <c r="S145" t="s">
        <v>3592</v>
      </c>
      <c r="T145" t="s">
        <v>3593</v>
      </c>
      <c r="U145">
        <v>0</v>
      </c>
      <c r="V145" t="s">
        <v>14</v>
      </c>
      <c r="W145" t="s">
        <v>15</v>
      </c>
      <c r="X145" t="s">
        <v>3592</v>
      </c>
      <c r="Y145" t="s">
        <v>3593</v>
      </c>
      <c r="Z145">
        <v>0</v>
      </c>
      <c r="AA145" t="s">
        <v>18</v>
      </c>
    </row>
    <row r="146" spans="1:27" x14ac:dyDescent="0.3">
      <c r="A146" t="s">
        <v>1143</v>
      </c>
      <c r="B146" t="s">
        <v>3232</v>
      </c>
      <c r="C146" t="s">
        <v>3852</v>
      </c>
      <c r="D146" t="s">
        <v>1224</v>
      </c>
      <c r="E146">
        <v>3062</v>
      </c>
      <c r="F146" t="s">
        <v>5</v>
      </c>
      <c r="G146">
        <v>1961</v>
      </c>
      <c r="H146" t="s">
        <v>6</v>
      </c>
      <c r="I146">
        <v>-11.523212783192699</v>
      </c>
      <c r="J146" t="s">
        <v>7</v>
      </c>
      <c r="K146">
        <v>-3.7632961408206101E-3</v>
      </c>
      <c r="L146" t="s">
        <v>8</v>
      </c>
      <c r="M146">
        <v>0.88688516620622804</v>
      </c>
      <c r="N146" t="s">
        <v>9</v>
      </c>
      <c r="O146">
        <v>-1.5901044720377899</v>
      </c>
      <c r="P146" t="s">
        <v>10</v>
      </c>
      <c r="Q146">
        <v>2.3803007439109001</v>
      </c>
      <c r="R146" t="s">
        <v>11</v>
      </c>
      <c r="S146" t="s">
        <v>3321</v>
      </c>
      <c r="T146" t="s">
        <v>2602</v>
      </c>
      <c r="U146">
        <v>0</v>
      </c>
      <c r="V146" t="s">
        <v>14</v>
      </c>
      <c r="W146" t="s">
        <v>15</v>
      </c>
      <c r="X146" t="s">
        <v>3322</v>
      </c>
      <c r="Y146" t="s">
        <v>3303</v>
      </c>
      <c r="Z146">
        <v>0</v>
      </c>
      <c r="AA146" t="s">
        <v>18</v>
      </c>
    </row>
    <row r="147" spans="1:27" x14ac:dyDescent="0.3">
      <c r="A147" t="s">
        <v>3292</v>
      </c>
      <c r="B147" t="s">
        <v>3253</v>
      </c>
      <c r="C147" t="s">
        <v>3853</v>
      </c>
      <c r="D147" t="s">
        <v>1224</v>
      </c>
      <c r="E147">
        <v>157</v>
      </c>
      <c r="F147" t="s">
        <v>5</v>
      </c>
      <c r="G147">
        <v>64</v>
      </c>
      <c r="H147" t="s">
        <v>6</v>
      </c>
      <c r="I147">
        <v>-11.6604616540516</v>
      </c>
      <c r="J147" t="s">
        <v>7</v>
      </c>
      <c r="K147">
        <v>-7.4270456395233206E-2</v>
      </c>
      <c r="L147" t="s">
        <v>8</v>
      </c>
      <c r="M147">
        <v>1.61546875</v>
      </c>
      <c r="N147" t="s">
        <v>9</v>
      </c>
      <c r="O147">
        <v>-1.2371017382156</v>
      </c>
      <c r="P147" t="s">
        <v>10</v>
      </c>
      <c r="Q147">
        <v>0.49029249161791</v>
      </c>
      <c r="R147" t="s">
        <v>11</v>
      </c>
      <c r="S147" t="s">
        <v>3427</v>
      </c>
      <c r="T147" t="s">
        <v>635</v>
      </c>
      <c r="U147">
        <v>0</v>
      </c>
      <c r="V147" t="s">
        <v>14</v>
      </c>
      <c r="W147" t="s">
        <v>15</v>
      </c>
      <c r="X147" t="s">
        <v>3429</v>
      </c>
      <c r="Y147" t="s">
        <v>3296</v>
      </c>
      <c r="Z147">
        <v>0</v>
      </c>
      <c r="AA147" t="s">
        <v>18</v>
      </c>
    </row>
    <row r="148" spans="1:27" x14ac:dyDescent="0.3">
      <c r="A148" t="s">
        <v>1221</v>
      </c>
      <c r="B148" t="s">
        <v>3215</v>
      </c>
      <c r="C148" t="s">
        <v>3854</v>
      </c>
      <c r="D148" t="s">
        <v>1224</v>
      </c>
      <c r="E148">
        <v>130</v>
      </c>
      <c r="F148" t="s">
        <v>5</v>
      </c>
      <c r="G148">
        <v>68</v>
      </c>
      <c r="H148" t="s">
        <v>6</v>
      </c>
      <c r="I148">
        <v>-12.0038123148544</v>
      </c>
      <c r="J148" t="s">
        <v>7</v>
      </c>
      <c r="K148">
        <v>-9.23370178065724E-2</v>
      </c>
      <c r="L148" t="s">
        <v>8</v>
      </c>
      <c r="M148">
        <v>1.47682552933318</v>
      </c>
      <c r="N148" t="s">
        <v>9</v>
      </c>
      <c r="O148">
        <v>-1.81335400499211</v>
      </c>
      <c r="P148" t="s">
        <v>10</v>
      </c>
      <c r="Q148">
        <v>0.32093574919652501</v>
      </c>
      <c r="R148" t="s">
        <v>11</v>
      </c>
      <c r="S148" t="s">
        <v>2657</v>
      </c>
      <c r="T148" t="s">
        <v>3303</v>
      </c>
      <c r="U148">
        <v>0</v>
      </c>
      <c r="V148" t="s">
        <v>14</v>
      </c>
      <c r="W148" t="s">
        <v>15</v>
      </c>
      <c r="X148" t="s">
        <v>2657</v>
      </c>
      <c r="Y148" t="s">
        <v>3303</v>
      </c>
      <c r="Z148">
        <v>0</v>
      </c>
      <c r="AA148" t="s">
        <v>18</v>
      </c>
    </row>
    <row r="149" spans="1:27" x14ac:dyDescent="0.3">
      <c r="A149" t="s">
        <v>3292</v>
      </c>
      <c r="B149" t="s">
        <v>3260</v>
      </c>
      <c r="C149" t="s">
        <v>3855</v>
      </c>
      <c r="D149" t="s">
        <v>1224</v>
      </c>
      <c r="E149">
        <v>155</v>
      </c>
      <c r="F149" t="s">
        <v>5</v>
      </c>
      <c r="G149">
        <v>51</v>
      </c>
      <c r="H149" t="s">
        <v>6</v>
      </c>
      <c r="I149">
        <v>-12.0999999999999</v>
      </c>
      <c r="J149" t="s">
        <v>7</v>
      </c>
      <c r="K149">
        <v>-7.8064516129031994E-2</v>
      </c>
      <c r="L149" t="s">
        <v>8</v>
      </c>
      <c r="M149">
        <v>2.7672549019607802</v>
      </c>
      <c r="N149" t="s">
        <v>9</v>
      </c>
      <c r="O149">
        <v>-1.47336538461538</v>
      </c>
      <c r="P149" t="s">
        <v>10</v>
      </c>
      <c r="Q149">
        <v>0.58929062627150997</v>
      </c>
      <c r="R149" t="s">
        <v>11</v>
      </c>
      <c r="S149" t="s">
        <v>3433</v>
      </c>
      <c r="T149" t="s">
        <v>2698</v>
      </c>
      <c r="U149">
        <v>0</v>
      </c>
      <c r="V149" t="s">
        <v>14</v>
      </c>
      <c r="W149" t="s">
        <v>15</v>
      </c>
      <c r="X149" t="s">
        <v>3387</v>
      </c>
      <c r="Y149" t="s">
        <v>3388</v>
      </c>
      <c r="Z149">
        <v>0</v>
      </c>
      <c r="AA149" t="s">
        <v>18</v>
      </c>
    </row>
    <row r="150" spans="1:27" x14ac:dyDescent="0.3">
      <c r="A150" t="s">
        <v>1221</v>
      </c>
      <c r="B150" t="s">
        <v>3242</v>
      </c>
      <c r="C150" t="s">
        <v>3856</v>
      </c>
      <c r="D150" t="s">
        <v>1224</v>
      </c>
      <c r="E150">
        <v>125</v>
      </c>
      <c r="F150" t="s">
        <v>5</v>
      </c>
      <c r="G150">
        <v>48</v>
      </c>
      <c r="H150" t="s">
        <v>6</v>
      </c>
      <c r="I150">
        <v>-12.559999999999899</v>
      </c>
      <c r="J150" t="s">
        <v>7</v>
      </c>
      <c r="K150">
        <v>-0.100479999999999</v>
      </c>
      <c r="L150" t="s">
        <v>8</v>
      </c>
      <c r="M150">
        <v>1.4137500000000001</v>
      </c>
      <c r="N150" t="s">
        <v>9</v>
      </c>
      <c r="O150">
        <v>-1.04441558441558</v>
      </c>
      <c r="P150" t="s">
        <v>10</v>
      </c>
      <c r="Q150">
        <v>0.41575119905206898</v>
      </c>
      <c r="R150" t="s">
        <v>11</v>
      </c>
      <c r="S150" t="s">
        <v>3335</v>
      </c>
      <c r="T150" t="s">
        <v>2757</v>
      </c>
      <c r="U150">
        <v>0</v>
      </c>
      <c r="V150" t="s">
        <v>14</v>
      </c>
      <c r="W150" t="s">
        <v>15</v>
      </c>
      <c r="X150" t="s">
        <v>3516</v>
      </c>
      <c r="Y150" t="s">
        <v>3333</v>
      </c>
      <c r="Z150">
        <v>0</v>
      </c>
      <c r="AA150" t="s">
        <v>18</v>
      </c>
    </row>
    <row r="151" spans="1:27" x14ac:dyDescent="0.3">
      <c r="A151" t="s">
        <v>1223</v>
      </c>
      <c r="B151" t="s">
        <v>3269</v>
      </c>
      <c r="C151" t="s">
        <v>3857</v>
      </c>
      <c r="D151" t="s">
        <v>1224</v>
      </c>
      <c r="E151">
        <v>370</v>
      </c>
      <c r="F151" t="s">
        <v>5</v>
      </c>
      <c r="G151">
        <v>162</v>
      </c>
      <c r="H151" t="s">
        <v>6</v>
      </c>
      <c r="I151">
        <v>-12.5653315443548</v>
      </c>
      <c r="J151" t="s">
        <v>7</v>
      </c>
      <c r="K151">
        <v>-3.3960355525283398E-2</v>
      </c>
      <c r="L151" t="s">
        <v>8</v>
      </c>
      <c r="M151">
        <v>2.18955309582413</v>
      </c>
      <c r="N151" t="s">
        <v>9</v>
      </c>
      <c r="O151">
        <v>-1.76573525513396</v>
      </c>
      <c r="P151" t="s">
        <v>10</v>
      </c>
      <c r="Q151">
        <v>0.96422669495012903</v>
      </c>
      <c r="R151" t="s">
        <v>11</v>
      </c>
      <c r="S151" t="s">
        <v>3654</v>
      </c>
      <c r="T151" t="s">
        <v>1959</v>
      </c>
      <c r="U151">
        <v>0</v>
      </c>
      <c r="V151" t="s">
        <v>14</v>
      </c>
      <c r="W151" t="s">
        <v>15</v>
      </c>
      <c r="X151" t="s">
        <v>3655</v>
      </c>
      <c r="Y151" t="s">
        <v>2123</v>
      </c>
      <c r="Z151">
        <v>0</v>
      </c>
      <c r="AA151" t="s">
        <v>18</v>
      </c>
    </row>
    <row r="152" spans="1:27" x14ac:dyDescent="0.3">
      <c r="A152" t="s">
        <v>1220</v>
      </c>
      <c r="B152" t="s">
        <v>3262</v>
      </c>
      <c r="C152" t="s">
        <v>3858</v>
      </c>
      <c r="D152" t="s">
        <v>1224</v>
      </c>
      <c r="E152">
        <v>140</v>
      </c>
      <c r="F152" t="s">
        <v>5</v>
      </c>
      <c r="G152">
        <v>76</v>
      </c>
      <c r="H152" t="s">
        <v>6</v>
      </c>
      <c r="I152">
        <v>-12.61</v>
      </c>
      <c r="J152" t="s">
        <v>7</v>
      </c>
      <c r="K152">
        <v>-9.0071428571428497E-2</v>
      </c>
      <c r="L152" t="s">
        <v>8</v>
      </c>
      <c r="M152">
        <v>1.1523684210526299</v>
      </c>
      <c r="N152" t="s">
        <v>9</v>
      </c>
      <c r="O152">
        <v>-1.56546874999999</v>
      </c>
      <c r="P152" t="s">
        <v>10</v>
      </c>
      <c r="Q152">
        <v>0.34192926679618402</v>
      </c>
      <c r="R152" t="s">
        <v>11</v>
      </c>
      <c r="S152" t="s">
        <v>3527</v>
      </c>
      <c r="T152" t="s">
        <v>691</v>
      </c>
      <c r="U152">
        <v>0</v>
      </c>
      <c r="V152" t="s">
        <v>14</v>
      </c>
      <c r="W152" t="s">
        <v>15</v>
      </c>
      <c r="X152" t="s">
        <v>3527</v>
      </c>
      <c r="Y152" t="s">
        <v>691</v>
      </c>
      <c r="Z152">
        <v>0</v>
      </c>
      <c r="AA152" t="s">
        <v>18</v>
      </c>
    </row>
    <row r="153" spans="1:27" x14ac:dyDescent="0.3">
      <c r="A153" t="s">
        <v>1219</v>
      </c>
      <c r="B153" t="s">
        <v>3276</v>
      </c>
      <c r="C153" t="s">
        <v>3859</v>
      </c>
      <c r="D153" t="s">
        <v>1224</v>
      </c>
      <c r="E153">
        <v>169</v>
      </c>
      <c r="F153" t="s">
        <v>5</v>
      </c>
      <c r="G153">
        <v>85</v>
      </c>
      <c r="H153" t="s">
        <v>6</v>
      </c>
      <c r="I153">
        <v>-12.6799999999999</v>
      </c>
      <c r="J153" t="s">
        <v>7</v>
      </c>
      <c r="K153">
        <v>-7.5029585798816106E-2</v>
      </c>
      <c r="L153" t="s">
        <v>8</v>
      </c>
      <c r="M153">
        <v>1.47105882352941</v>
      </c>
      <c r="N153" t="s">
        <v>9</v>
      </c>
      <c r="O153">
        <v>-1.6395238095238001</v>
      </c>
      <c r="P153" t="s">
        <v>10</v>
      </c>
      <c r="Q153">
        <v>0.48755995458878298</v>
      </c>
      <c r="R153" t="s">
        <v>11</v>
      </c>
      <c r="S153" t="s">
        <v>3447</v>
      </c>
      <c r="T153" t="s">
        <v>729</v>
      </c>
      <c r="U153">
        <v>0</v>
      </c>
      <c r="V153" t="s">
        <v>14</v>
      </c>
      <c r="W153" t="s">
        <v>15</v>
      </c>
      <c r="X153" t="s">
        <v>3450</v>
      </c>
      <c r="Y153" t="s">
        <v>3389</v>
      </c>
      <c r="Z153">
        <v>0</v>
      </c>
      <c r="AA153" t="s">
        <v>18</v>
      </c>
    </row>
    <row r="154" spans="1:27" x14ac:dyDescent="0.3">
      <c r="A154" t="s">
        <v>1222</v>
      </c>
      <c r="B154" t="s">
        <v>3232</v>
      </c>
      <c r="C154" t="s">
        <v>3860</v>
      </c>
      <c r="D154" t="s">
        <v>1224</v>
      </c>
      <c r="E154">
        <v>127</v>
      </c>
      <c r="F154" t="s">
        <v>5</v>
      </c>
      <c r="G154">
        <v>74</v>
      </c>
      <c r="H154" t="s">
        <v>6</v>
      </c>
      <c r="I154">
        <v>-12.7934201437709</v>
      </c>
      <c r="J154" t="s">
        <v>7</v>
      </c>
      <c r="K154">
        <v>-0.100735591683235</v>
      </c>
      <c r="L154" t="s">
        <v>8</v>
      </c>
      <c r="M154">
        <v>0.81179868723707205</v>
      </c>
      <c r="N154" t="s">
        <v>9</v>
      </c>
      <c r="O154">
        <v>-1.3748400565908301</v>
      </c>
      <c r="P154" t="s">
        <v>10</v>
      </c>
      <c r="Q154">
        <v>0.23651138129649699</v>
      </c>
      <c r="R154" t="s">
        <v>11</v>
      </c>
      <c r="S154" t="s">
        <v>3569</v>
      </c>
      <c r="T154" t="s">
        <v>2568</v>
      </c>
      <c r="U154">
        <v>0</v>
      </c>
      <c r="V154" t="s">
        <v>14</v>
      </c>
      <c r="W154" t="s">
        <v>15</v>
      </c>
      <c r="X154" t="s">
        <v>3570</v>
      </c>
      <c r="Y154" t="s">
        <v>3571</v>
      </c>
      <c r="Z154">
        <v>0</v>
      </c>
      <c r="AA154" t="s">
        <v>18</v>
      </c>
    </row>
    <row r="155" spans="1:27" x14ac:dyDescent="0.3">
      <c r="A155" t="s">
        <v>3292</v>
      </c>
      <c r="B155" t="s">
        <v>3250</v>
      </c>
      <c r="C155" t="s">
        <v>3861</v>
      </c>
      <c r="D155" t="s">
        <v>1224</v>
      </c>
      <c r="E155">
        <v>157</v>
      </c>
      <c r="F155" t="s">
        <v>5</v>
      </c>
      <c r="G155">
        <v>90</v>
      </c>
      <c r="H155" t="s">
        <v>6</v>
      </c>
      <c r="I155">
        <v>-12.906011848851</v>
      </c>
      <c r="J155" t="s">
        <v>7</v>
      </c>
      <c r="K155">
        <v>-8.2203897126439607E-2</v>
      </c>
      <c r="L155" t="s">
        <v>8</v>
      </c>
      <c r="M155">
        <v>0.68604944228000597</v>
      </c>
      <c r="N155" t="s">
        <v>9</v>
      </c>
      <c r="O155">
        <v>-1.11418599483659</v>
      </c>
      <c r="P155" t="s">
        <v>10</v>
      </c>
      <c r="Q155">
        <v>0.25388129660665398</v>
      </c>
      <c r="R155" t="s">
        <v>11</v>
      </c>
      <c r="S155" t="s">
        <v>3427</v>
      </c>
      <c r="T155" t="s">
        <v>635</v>
      </c>
      <c r="U155">
        <v>0</v>
      </c>
      <c r="V155" t="s">
        <v>14</v>
      </c>
      <c r="W155" t="s">
        <v>15</v>
      </c>
      <c r="X155" t="s">
        <v>3154</v>
      </c>
      <c r="Y155" t="s">
        <v>3419</v>
      </c>
      <c r="Z155">
        <v>0</v>
      </c>
      <c r="AA155" t="s">
        <v>18</v>
      </c>
    </row>
    <row r="156" spans="1:27" x14ac:dyDescent="0.3">
      <c r="A156" t="s">
        <v>3292</v>
      </c>
      <c r="B156" t="s">
        <v>3210</v>
      </c>
      <c r="C156" t="s">
        <v>3862</v>
      </c>
      <c r="D156" t="s">
        <v>1224</v>
      </c>
      <c r="E156">
        <v>165</v>
      </c>
      <c r="F156" t="s">
        <v>5</v>
      </c>
      <c r="G156">
        <v>84</v>
      </c>
      <c r="H156" t="s">
        <v>6</v>
      </c>
      <c r="I156">
        <v>-13.1199999999999</v>
      </c>
      <c r="J156" t="s">
        <v>7</v>
      </c>
      <c r="K156">
        <v>-7.95151515151514E-2</v>
      </c>
      <c r="L156" t="s">
        <v>8</v>
      </c>
      <c r="M156">
        <v>1.4239285714285701</v>
      </c>
      <c r="N156" t="s">
        <v>9</v>
      </c>
      <c r="O156">
        <v>-1.6386419753086401</v>
      </c>
      <c r="P156" t="s">
        <v>10</v>
      </c>
      <c r="Q156">
        <v>0.41355977625652501</v>
      </c>
      <c r="R156" t="s">
        <v>11</v>
      </c>
      <c r="S156" t="s">
        <v>3386</v>
      </c>
      <c r="T156" t="s">
        <v>3030</v>
      </c>
      <c r="U156">
        <v>0</v>
      </c>
      <c r="V156" t="s">
        <v>14</v>
      </c>
      <c r="W156" t="s">
        <v>15</v>
      </c>
      <c r="X156" t="s">
        <v>3471</v>
      </c>
      <c r="Y156" t="s">
        <v>3389</v>
      </c>
      <c r="Z156">
        <v>0</v>
      </c>
      <c r="AA156" t="s">
        <v>18</v>
      </c>
    </row>
    <row r="157" spans="1:27" x14ac:dyDescent="0.3">
      <c r="A157" t="s">
        <v>3292</v>
      </c>
      <c r="B157" t="s">
        <v>3249</v>
      </c>
      <c r="C157" t="s">
        <v>3863</v>
      </c>
      <c r="D157" t="s">
        <v>1224</v>
      </c>
      <c r="E157">
        <v>165</v>
      </c>
      <c r="F157" t="s">
        <v>5</v>
      </c>
      <c r="G157">
        <v>70</v>
      </c>
      <c r="H157" t="s">
        <v>6</v>
      </c>
      <c r="I157">
        <v>-13.16</v>
      </c>
      <c r="J157" t="s">
        <v>7</v>
      </c>
      <c r="K157">
        <v>-7.9757575757575694E-2</v>
      </c>
      <c r="L157" t="s">
        <v>8</v>
      </c>
      <c r="M157">
        <v>1.22399999999999</v>
      </c>
      <c r="N157" t="s">
        <v>9</v>
      </c>
      <c r="O157">
        <v>-1.04042105263157</v>
      </c>
      <c r="P157" t="s">
        <v>10</v>
      </c>
      <c r="Q157">
        <v>0.54269423015950902</v>
      </c>
      <c r="R157" t="s">
        <v>11</v>
      </c>
      <c r="S157" t="s">
        <v>3406</v>
      </c>
      <c r="T157" t="s">
        <v>2644</v>
      </c>
      <c r="U157">
        <v>0</v>
      </c>
      <c r="V157" t="s">
        <v>14</v>
      </c>
      <c r="W157" t="s">
        <v>15</v>
      </c>
      <c r="X157" t="s">
        <v>3424</v>
      </c>
      <c r="Y157" t="s">
        <v>2644</v>
      </c>
      <c r="Z157">
        <v>0</v>
      </c>
      <c r="AA157" t="s">
        <v>18</v>
      </c>
    </row>
    <row r="158" spans="1:27" x14ac:dyDescent="0.3">
      <c r="A158" t="s">
        <v>1221</v>
      </c>
      <c r="B158" t="s">
        <v>3251</v>
      </c>
      <c r="C158" t="s">
        <v>3864</v>
      </c>
      <c r="D158" t="s">
        <v>1224</v>
      </c>
      <c r="E158">
        <v>130</v>
      </c>
      <c r="F158" t="s">
        <v>5</v>
      </c>
      <c r="G158">
        <v>59</v>
      </c>
      <c r="H158" t="s">
        <v>6</v>
      </c>
      <c r="I158">
        <v>-13.2975390103955</v>
      </c>
      <c r="J158" t="s">
        <v>7</v>
      </c>
      <c r="K158">
        <v>-0.102288761618427</v>
      </c>
      <c r="L158" t="s">
        <v>8</v>
      </c>
      <c r="M158">
        <v>1.0323169551997</v>
      </c>
      <c r="N158" t="s">
        <v>9</v>
      </c>
      <c r="O158">
        <v>-1.06006056238826</v>
      </c>
      <c r="P158" t="s">
        <v>10</v>
      </c>
      <c r="Q158">
        <v>0.22571286738683599</v>
      </c>
      <c r="R158" t="s">
        <v>11</v>
      </c>
      <c r="S158" t="s">
        <v>3518</v>
      </c>
      <c r="T158" t="s">
        <v>3519</v>
      </c>
      <c r="U158">
        <v>0</v>
      </c>
      <c r="V158" t="s">
        <v>14</v>
      </c>
      <c r="W158" t="s">
        <v>15</v>
      </c>
      <c r="X158" t="s">
        <v>3518</v>
      </c>
      <c r="Y158" t="s">
        <v>3519</v>
      </c>
      <c r="Z158">
        <v>0</v>
      </c>
      <c r="AA158" t="s">
        <v>18</v>
      </c>
    </row>
    <row r="159" spans="1:27" x14ac:dyDescent="0.3">
      <c r="A159" t="s">
        <v>3292</v>
      </c>
      <c r="B159" t="s">
        <v>3230</v>
      </c>
      <c r="C159" t="s">
        <v>3865</v>
      </c>
      <c r="D159" t="s">
        <v>1224</v>
      </c>
      <c r="E159">
        <v>165</v>
      </c>
      <c r="F159" t="s">
        <v>5</v>
      </c>
      <c r="G159">
        <v>73</v>
      </c>
      <c r="H159" t="s">
        <v>6</v>
      </c>
      <c r="I159">
        <v>-13.6099999999999</v>
      </c>
      <c r="J159" t="s">
        <v>7</v>
      </c>
      <c r="K159">
        <v>-8.2484848484847995E-2</v>
      </c>
      <c r="L159" t="s">
        <v>8</v>
      </c>
      <c r="M159">
        <v>1.63424657534246</v>
      </c>
      <c r="N159" t="s">
        <v>9</v>
      </c>
      <c r="O159">
        <v>-1.44467391304347</v>
      </c>
      <c r="P159" t="s">
        <v>10</v>
      </c>
      <c r="Q159">
        <v>0.63287634071479704</v>
      </c>
      <c r="R159" t="s">
        <v>11</v>
      </c>
      <c r="S159" t="s">
        <v>3406</v>
      </c>
      <c r="T159" t="s">
        <v>2644</v>
      </c>
      <c r="U159">
        <v>0</v>
      </c>
      <c r="V159" t="s">
        <v>14</v>
      </c>
      <c r="W159" t="s">
        <v>15</v>
      </c>
      <c r="X159" t="s">
        <v>3407</v>
      </c>
      <c r="Y159" t="s">
        <v>2644</v>
      </c>
      <c r="Z159">
        <v>0</v>
      </c>
      <c r="AA159" t="s">
        <v>18</v>
      </c>
    </row>
    <row r="160" spans="1:27" x14ac:dyDescent="0.3">
      <c r="A160" t="s">
        <v>1223</v>
      </c>
      <c r="B160" t="s">
        <v>3251</v>
      </c>
      <c r="C160" t="s">
        <v>3866</v>
      </c>
      <c r="D160" t="s">
        <v>1224</v>
      </c>
      <c r="E160">
        <v>370</v>
      </c>
      <c r="F160" t="s">
        <v>5</v>
      </c>
      <c r="G160">
        <v>189</v>
      </c>
      <c r="H160" t="s">
        <v>6</v>
      </c>
      <c r="I160">
        <v>-13.702797751824299</v>
      </c>
      <c r="J160" t="s">
        <v>7</v>
      </c>
      <c r="K160">
        <v>-3.7034588518444198E-2</v>
      </c>
      <c r="L160" t="s">
        <v>8</v>
      </c>
      <c r="M160">
        <v>0.953613432798736</v>
      </c>
      <c r="N160" t="s">
        <v>9</v>
      </c>
      <c r="O160">
        <v>-1.07742075861547</v>
      </c>
      <c r="P160" t="s">
        <v>10</v>
      </c>
      <c r="Q160">
        <v>0.52440108973291699</v>
      </c>
      <c r="R160" t="s">
        <v>11</v>
      </c>
      <c r="S160" t="s">
        <v>2657</v>
      </c>
      <c r="T160" t="s">
        <v>3303</v>
      </c>
      <c r="U160">
        <v>0</v>
      </c>
      <c r="V160" t="s">
        <v>14</v>
      </c>
      <c r="W160" t="s">
        <v>15</v>
      </c>
      <c r="X160" t="s">
        <v>2812</v>
      </c>
      <c r="Y160" t="s">
        <v>3303</v>
      </c>
      <c r="Z160">
        <v>0</v>
      </c>
      <c r="AA160" t="s">
        <v>18</v>
      </c>
    </row>
    <row r="161" spans="1:27" x14ac:dyDescent="0.3">
      <c r="A161" t="s">
        <v>1221</v>
      </c>
      <c r="B161" t="s">
        <v>3282</v>
      </c>
      <c r="C161" t="s">
        <v>3867</v>
      </c>
      <c r="D161" t="s">
        <v>1224</v>
      </c>
      <c r="E161">
        <v>130</v>
      </c>
      <c r="F161" t="s">
        <v>5</v>
      </c>
      <c r="G161">
        <v>53</v>
      </c>
      <c r="H161" t="s">
        <v>6</v>
      </c>
      <c r="I161">
        <v>-13.7599999999999</v>
      </c>
      <c r="J161" t="s">
        <v>7</v>
      </c>
      <c r="K161">
        <v>-0.10584615384615299</v>
      </c>
      <c r="L161" t="s">
        <v>8</v>
      </c>
      <c r="M161">
        <v>2.1873584905660302</v>
      </c>
      <c r="N161" t="s">
        <v>9</v>
      </c>
      <c r="O161">
        <v>-1.6842857142857099</v>
      </c>
      <c r="P161" t="s">
        <v>10</v>
      </c>
      <c r="Q161">
        <v>0.40702659249102802</v>
      </c>
      <c r="R161" t="s">
        <v>11</v>
      </c>
      <c r="S161" t="s">
        <v>2657</v>
      </c>
      <c r="T161" t="s">
        <v>3303</v>
      </c>
      <c r="U161">
        <v>0</v>
      </c>
      <c r="V161" t="s">
        <v>14</v>
      </c>
      <c r="W161" t="s">
        <v>15</v>
      </c>
      <c r="X161" t="s">
        <v>2657</v>
      </c>
      <c r="Y161" t="s">
        <v>3303</v>
      </c>
      <c r="Z161">
        <v>0</v>
      </c>
      <c r="AA161" t="s">
        <v>18</v>
      </c>
    </row>
    <row r="162" spans="1:27" x14ac:dyDescent="0.3">
      <c r="A162" t="s">
        <v>3293</v>
      </c>
      <c r="B162" t="s">
        <v>3224</v>
      </c>
      <c r="C162" t="s">
        <v>3868</v>
      </c>
      <c r="D162" t="s">
        <v>1224</v>
      </c>
      <c r="E162">
        <v>334</v>
      </c>
      <c r="F162" t="s">
        <v>5</v>
      </c>
      <c r="G162">
        <v>156</v>
      </c>
      <c r="H162" t="s">
        <v>6</v>
      </c>
      <c r="I162">
        <v>-13.7999999999998</v>
      </c>
      <c r="J162" t="s">
        <v>7</v>
      </c>
      <c r="K162">
        <v>-4.1317365269460601E-2</v>
      </c>
      <c r="L162" t="s">
        <v>8</v>
      </c>
      <c r="M162">
        <v>1.43461538461538</v>
      </c>
      <c r="N162" t="s">
        <v>9</v>
      </c>
      <c r="O162">
        <v>-1.33483146067415</v>
      </c>
      <c r="P162" t="s">
        <v>10</v>
      </c>
      <c r="Q162">
        <v>1.0163921652402801</v>
      </c>
      <c r="R162" t="s">
        <v>11</v>
      </c>
      <c r="S162" t="s">
        <v>3541</v>
      </c>
      <c r="T162" t="s">
        <v>3506</v>
      </c>
      <c r="U162">
        <v>0</v>
      </c>
      <c r="V162" t="s">
        <v>14</v>
      </c>
      <c r="W162" t="s">
        <v>15</v>
      </c>
      <c r="X162" t="s">
        <v>3671</v>
      </c>
      <c r="Y162" t="s">
        <v>2644</v>
      </c>
      <c r="Z162">
        <v>0</v>
      </c>
      <c r="AA162" t="s">
        <v>18</v>
      </c>
    </row>
    <row r="163" spans="1:27" x14ac:dyDescent="0.3">
      <c r="A163" t="s">
        <v>3293</v>
      </c>
      <c r="B163" t="s">
        <v>3252</v>
      </c>
      <c r="C163" t="s">
        <v>3869</v>
      </c>
      <c r="D163" t="s">
        <v>1224</v>
      </c>
      <c r="E163">
        <v>331</v>
      </c>
      <c r="F163" t="s">
        <v>5</v>
      </c>
      <c r="G163">
        <v>160</v>
      </c>
      <c r="H163" t="s">
        <v>6</v>
      </c>
      <c r="I163">
        <v>-13.895929490228699</v>
      </c>
      <c r="J163" t="s">
        <v>7</v>
      </c>
      <c r="K163">
        <v>-4.19816600913255E-2</v>
      </c>
      <c r="L163" t="s">
        <v>8</v>
      </c>
      <c r="M163">
        <v>1.0893111979794301</v>
      </c>
      <c r="N163" t="s">
        <v>9</v>
      </c>
      <c r="O163">
        <v>-1.1069748303937501</v>
      </c>
      <c r="P163" t="s">
        <v>10</v>
      </c>
      <c r="Q163">
        <v>0.57609701291347504</v>
      </c>
      <c r="R163" t="s">
        <v>11</v>
      </c>
      <c r="S163" t="s">
        <v>2657</v>
      </c>
      <c r="T163" t="s">
        <v>3303</v>
      </c>
      <c r="U163">
        <v>0</v>
      </c>
      <c r="V163" t="s">
        <v>14</v>
      </c>
      <c r="W163" t="s">
        <v>15</v>
      </c>
      <c r="X163" t="s">
        <v>2812</v>
      </c>
      <c r="Y163" t="s">
        <v>3303</v>
      </c>
      <c r="Z163">
        <v>0</v>
      </c>
      <c r="AA163" t="s">
        <v>18</v>
      </c>
    </row>
    <row r="164" spans="1:27" x14ac:dyDescent="0.3">
      <c r="A164" t="s">
        <v>1220</v>
      </c>
      <c r="B164" t="s">
        <v>3224</v>
      </c>
      <c r="C164" t="s">
        <v>3870</v>
      </c>
      <c r="D164" t="s">
        <v>1224</v>
      </c>
      <c r="E164">
        <v>135</v>
      </c>
      <c r="F164" t="s">
        <v>5</v>
      </c>
      <c r="G164">
        <v>47</v>
      </c>
      <c r="H164" t="s">
        <v>6</v>
      </c>
      <c r="I164">
        <v>-14.139999999999899</v>
      </c>
      <c r="J164" t="s">
        <v>7</v>
      </c>
      <c r="K164">
        <v>-0.10474074074074</v>
      </c>
      <c r="L164" t="s">
        <v>8</v>
      </c>
      <c r="M164">
        <v>2.3265957446808501</v>
      </c>
      <c r="N164" t="s">
        <v>9</v>
      </c>
      <c r="O164">
        <v>-1.4032954545454499</v>
      </c>
      <c r="P164" t="s">
        <v>10</v>
      </c>
      <c r="Q164">
        <v>0.57018999166199102</v>
      </c>
      <c r="R164" t="s">
        <v>11</v>
      </c>
      <c r="S164" t="s">
        <v>3508</v>
      </c>
      <c r="T164" t="s">
        <v>21</v>
      </c>
      <c r="U164">
        <v>0</v>
      </c>
      <c r="V164" t="s">
        <v>14</v>
      </c>
      <c r="W164" t="s">
        <v>15</v>
      </c>
      <c r="X164" t="s">
        <v>3508</v>
      </c>
      <c r="Y164" t="s">
        <v>21</v>
      </c>
      <c r="Z164">
        <v>0</v>
      </c>
      <c r="AA164" t="s">
        <v>18</v>
      </c>
    </row>
    <row r="165" spans="1:27" x14ac:dyDescent="0.3">
      <c r="A165" t="s">
        <v>1220</v>
      </c>
      <c r="B165" t="s">
        <v>3214</v>
      </c>
      <c r="C165" t="s">
        <v>3871</v>
      </c>
      <c r="D165" t="s">
        <v>1224</v>
      </c>
      <c r="E165">
        <v>139</v>
      </c>
      <c r="F165" t="s">
        <v>5</v>
      </c>
      <c r="G165">
        <v>82</v>
      </c>
      <c r="H165" t="s">
        <v>6</v>
      </c>
      <c r="I165">
        <v>-14.193887718834199</v>
      </c>
      <c r="J165" t="s">
        <v>7</v>
      </c>
      <c r="K165">
        <v>-0.10211430013549801</v>
      </c>
      <c r="L165" t="s">
        <v>8</v>
      </c>
      <c r="M165">
        <v>1.0415129340326399</v>
      </c>
      <c r="N165" t="s">
        <v>9</v>
      </c>
      <c r="O165">
        <v>-1.74733242648265</v>
      </c>
      <c r="P165" t="s">
        <v>10</v>
      </c>
      <c r="Q165">
        <v>0.297490161739633</v>
      </c>
      <c r="R165" t="s">
        <v>11</v>
      </c>
      <c r="S165" t="s">
        <v>2657</v>
      </c>
      <c r="T165" t="s">
        <v>3303</v>
      </c>
      <c r="U165">
        <v>0</v>
      </c>
      <c r="V165" t="s">
        <v>14</v>
      </c>
      <c r="W165" t="s">
        <v>15</v>
      </c>
      <c r="X165" t="s">
        <v>2657</v>
      </c>
      <c r="Y165" t="s">
        <v>3303</v>
      </c>
      <c r="Z165">
        <v>0</v>
      </c>
      <c r="AA165" t="s">
        <v>18</v>
      </c>
    </row>
    <row r="166" spans="1:27" x14ac:dyDescent="0.3">
      <c r="A166" t="s">
        <v>1221</v>
      </c>
      <c r="B166" t="s">
        <v>3214</v>
      </c>
      <c r="C166" t="s">
        <v>3872</v>
      </c>
      <c r="D166" t="s">
        <v>1224</v>
      </c>
      <c r="E166">
        <v>130</v>
      </c>
      <c r="F166" t="s">
        <v>5</v>
      </c>
      <c r="G166">
        <v>78</v>
      </c>
      <c r="H166" t="s">
        <v>6</v>
      </c>
      <c r="I166">
        <v>-14.228302726540001</v>
      </c>
      <c r="J166" t="s">
        <v>7</v>
      </c>
      <c r="K166">
        <v>-0.109448482511846</v>
      </c>
      <c r="L166" t="s">
        <v>8</v>
      </c>
      <c r="M166">
        <v>0.98512366132014195</v>
      </c>
      <c r="N166" t="s">
        <v>9</v>
      </c>
      <c r="O166">
        <v>-1.75130669825983</v>
      </c>
      <c r="P166" t="s">
        <v>10</v>
      </c>
      <c r="Q166">
        <v>0.27261742480852202</v>
      </c>
      <c r="R166" t="s">
        <v>11</v>
      </c>
      <c r="S166" t="s">
        <v>2657</v>
      </c>
      <c r="T166" t="s">
        <v>3303</v>
      </c>
      <c r="U166">
        <v>0</v>
      </c>
      <c r="V166" t="s">
        <v>14</v>
      </c>
      <c r="W166" t="s">
        <v>15</v>
      </c>
      <c r="X166" t="s">
        <v>2657</v>
      </c>
      <c r="Y166" t="s">
        <v>3303</v>
      </c>
      <c r="Z166">
        <v>0</v>
      </c>
      <c r="AA166" t="s">
        <v>18</v>
      </c>
    </row>
    <row r="167" spans="1:27" x14ac:dyDescent="0.3">
      <c r="A167" t="s">
        <v>1220</v>
      </c>
      <c r="B167" t="s">
        <v>3215</v>
      </c>
      <c r="C167" t="s">
        <v>3873</v>
      </c>
      <c r="D167" t="s">
        <v>1224</v>
      </c>
      <c r="E167">
        <v>139</v>
      </c>
      <c r="F167" t="s">
        <v>5</v>
      </c>
      <c r="G167">
        <v>71</v>
      </c>
      <c r="H167" t="s">
        <v>6</v>
      </c>
      <c r="I167">
        <v>-14.509397307148699</v>
      </c>
      <c r="J167" t="s">
        <v>7</v>
      </c>
      <c r="K167">
        <v>-0.104384153288839</v>
      </c>
      <c r="L167" t="s">
        <v>8</v>
      </c>
      <c r="M167">
        <v>1.5256133943994701</v>
      </c>
      <c r="N167" t="s">
        <v>9</v>
      </c>
      <c r="O167">
        <v>-1.8062933574928099</v>
      </c>
      <c r="P167" t="s">
        <v>10</v>
      </c>
      <c r="Q167">
        <v>0.34535775879506098</v>
      </c>
      <c r="R167" t="s">
        <v>11</v>
      </c>
      <c r="S167" t="s">
        <v>2657</v>
      </c>
      <c r="T167" t="s">
        <v>3303</v>
      </c>
      <c r="U167">
        <v>0</v>
      </c>
      <c r="V167" t="s">
        <v>14</v>
      </c>
      <c r="W167" t="s">
        <v>15</v>
      </c>
      <c r="X167" t="s">
        <v>2657</v>
      </c>
      <c r="Y167" t="s">
        <v>3303</v>
      </c>
      <c r="Z167">
        <v>0</v>
      </c>
      <c r="AA167" t="s">
        <v>18</v>
      </c>
    </row>
    <row r="168" spans="1:27" x14ac:dyDescent="0.3">
      <c r="A168" t="s">
        <v>1221</v>
      </c>
      <c r="B168" t="s">
        <v>3211</v>
      </c>
      <c r="C168" t="s">
        <v>3874</v>
      </c>
      <c r="D168" t="s">
        <v>1224</v>
      </c>
      <c r="E168">
        <v>130</v>
      </c>
      <c r="F168" t="s">
        <v>5</v>
      </c>
      <c r="G168">
        <v>48</v>
      </c>
      <c r="H168" t="s">
        <v>6</v>
      </c>
      <c r="I168">
        <v>-14.6999999999999</v>
      </c>
      <c r="J168" t="s">
        <v>7</v>
      </c>
      <c r="K168">
        <v>-0.11307692307692301</v>
      </c>
      <c r="L168" t="s">
        <v>8</v>
      </c>
      <c r="M168">
        <v>2.6845833333333302</v>
      </c>
      <c r="N168" t="s">
        <v>9</v>
      </c>
      <c r="O168">
        <v>-1.7507317073170701</v>
      </c>
      <c r="P168" t="s">
        <v>10</v>
      </c>
      <c r="Q168">
        <v>0.48924805791315001</v>
      </c>
      <c r="R168" t="s">
        <v>11</v>
      </c>
      <c r="S168" t="s">
        <v>2657</v>
      </c>
      <c r="T168" t="s">
        <v>3303</v>
      </c>
      <c r="U168">
        <v>0</v>
      </c>
      <c r="V168" t="s">
        <v>14</v>
      </c>
      <c r="W168" t="s">
        <v>15</v>
      </c>
      <c r="X168" t="s">
        <v>2657</v>
      </c>
      <c r="Y168" t="s">
        <v>3303</v>
      </c>
      <c r="Z168">
        <v>0</v>
      </c>
      <c r="AA168" t="s">
        <v>18</v>
      </c>
    </row>
    <row r="169" spans="1:27" x14ac:dyDescent="0.3">
      <c r="A169" t="s">
        <v>1219</v>
      </c>
      <c r="B169" t="s">
        <v>3246</v>
      </c>
      <c r="C169" t="s">
        <v>3875</v>
      </c>
      <c r="D169" t="s">
        <v>1224</v>
      </c>
      <c r="E169">
        <v>178</v>
      </c>
      <c r="F169" t="s">
        <v>5</v>
      </c>
      <c r="G169">
        <v>82</v>
      </c>
      <c r="H169" t="s">
        <v>6</v>
      </c>
      <c r="I169">
        <v>-14.809999999999899</v>
      </c>
      <c r="J169" t="s">
        <v>7</v>
      </c>
      <c r="K169">
        <v>-8.32022471910112E-2</v>
      </c>
      <c r="L169" t="s">
        <v>8</v>
      </c>
      <c r="M169">
        <v>1.1502439024390201</v>
      </c>
      <c r="N169" t="s">
        <v>9</v>
      </c>
      <c r="O169">
        <v>-1.13677083333333</v>
      </c>
      <c r="P169" t="s">
        <v>10</v>
      </c>
      <c r="Q169">
        <v>0.41520282210012899</v>
      </c>
      <c r="R169" t="s">
        <v>11</v>
      </c>
      <c r="S169" t="s">
        <v>3422</v>
      </c>
      <c r="T169" t="s">
        <v>603</v>
      </c>
      <c r="U169">
        <v>0</v>
      </c>
      <c r="V169" t="s">
        <v>14</v>
      </c>
      <c r="W169" t="s">
        <v>15</v>
      </c>
      <c r="X169" t="s">
        <v>3425</v>
      </c>
      <c r="Y169" t="s">
        <v>603</v>
      </c>
      <c r="Z169">
        <v>0</v>
      </c>
      <c r="AA169" t="s">
        <v>18</v>
      </c>
    </row>
    <row r="170" spans="1:27" x14ac:dyDescent="0.3">
      <c r="A170" t="s">
        <v>3292</v>
      </c>
      <c r="B170" t="s">
        <v>3245</v>
      </c>
      <c r="C170" t="s">
        <v>3876</v>
      </c>
      <c r="D170" t="s">
        <v>1224</v>
      </c>
      <c r="E170">
        <v>165</v>
      </c>
      <c r="F170" t="s">
        <v>5</v>
      </c>
      <c r="G170">
        <v>85</v>
      </c>
      <c r="H170" t="s">
        <v>6</v>
      </c>
      <c r="I170">
        <v>-14.829999999999901</v>
      </c>
      <c r="J170" t="s">
        <v>7</v>
      </c>
      <c r="K170">
        <v>-8.98787878787876E-2</v>
      </c>
      <c r="L170" t="s">
        <v>8</v>
      </c>
      <c r="M170">
        <v>0.82188235294117595</v>
      </c>
      <c r="N170" t="s">
        <v>9</v>
      </c>
      <c r="O170">
        <v>-1.0586249999999899</v>
      </c>
      <c r="P170" t="s">
        <v>10</v>
      </c>
      <c r="Q170">
        <v>0.292392465933699</v>
      </c>
      <c r="R170" t="s">
        <v>11</v>
      </c>
      <c r="S170" t="s">
        <v>3484</v>
      </c>
      <c r="T170" t="s">
        <v>3485</v>
      </c>
      <c r="U170">
        <v>0</v>
      </c>
      <c r="V170" t="s">
        <v>14</v>
      </c>
      <c r="W170" t="s">
        <v>15</v>
      </c>
      <c r="X170" t="s">
        <v>2983</v>
      </c>
      <c r="Y170" t="s">
        <v>3486</v>
      </c>
      <c r="Z170">
        <v>0</v>
      </c>
      <c r="AA170" t="s">
        <v>18</v>
      </c>
    </row>
    <row r="171" spans="1:27" x14ac:dyDescent="0.3">
      <c r="A171" t="s">
        <v>1220</v>
      </c>
      <c r="B171" t="s">
        <v>3232</v>
      </c>
      <c r="C171" t="s">
        <v>3877</v>
      </c>
      <c r="D171" t="s">
        <v>1224</v>
      </c>
      <c r="E171">
        <v>139</v>
      </c>
      <c r="F171" t="s">
        <v>5</v>
      </c>
      <c r="G171">
        <v>83</v>
      </c>
      <c r="H171" t="s">
        <v>6</v>
      </c>
      <c r="I171">
        <v>-14.8843881244276</v>
      </c>
      <c r="J171" t="s">
        <v>7</v>
      </c>
      <c r="K171">
        <v>-0.107081928952716</v>
      </c>
      <c r="L171" t="s">
        <v>8</v>
      </c>
      <c r="M171">
        <v>0.85034737820038997</v>
      </c>
      <c r="N171" t="s">
        <v>9</v>
      </c>
      <c r="O171">
        <v>-1.52612893776892</v>
      </c>
      <c r="P171" t="s">
        <v>10</v>
      </c>
      <c r="Q171">
        <v>0.24746389692039</v>
      </c>
      <c r="R171" t="s">
        <v>11</v>
      </c>
      <c r="S171" t="s">
        <v>3510</v>
      </c>
      <c r="T171" t="s">
        <v>3303</v>
      </c>
      <c r="U171">
        <v>0</v>
      </c>
      <c r="V171" t="s">
        <v>14</v>
      </c>
      <c r="W171" t="s">
        <v>15</v>
      </c>
      <c r="X171" t="s">
        <v>3510</v>
      </c>
      <c r="Y171" t="s">
        <v>3303</v>
      </c>
      <c r="Z171">
        <v>0</v>
      </c>
      <c r="AA171" t="s">
        <v>18</v>
      </c>
    </row>
    <row r="172" spans="1:27" x14ac:dyDescent="0.3">
      <c r="A172" t="s">
        <v>1219</v>
      </c>
      <c r="B172" t="s">
        <v>3283</v>
      </c>
      <c r="C172" t="s">
        <v>3878</v>
      </c>
      <c r="D172" t="s">
        <v>1224</v>
      </c>
      <c r="E172">
        <v>178</v>
      </c>
      <c r="F172" t="s">
        <v>5</v>
      </c>
      <c r="G172">
        <v>65</v>
      </c>
      <c r="H172" t="s">
        <v>6</v>
      </c>
      <c r="I172">
        <v>-14.909999999999901</v>
      </c>
      <c r="J172" t="s">
        <v>7</v>
      </c>
      <c r="K172">
        <v>-8.3764044943819796E-2</v>
      </c>
      <c r="L172" t="s">
        <v>8</v>
      </c>
      <c r="M172">
        <v>2.7256923076923001</v>
      </c>
      <c r="N172" t="s">
        <v>9</v>
      </c>
      <c r="O172">
        <v>-1.6998230088495501</v>
      </c>
      <c r="P172" t="s">
        <v>10</v>
      </c>
      <c r="Q172">
        <v>0.77704216768974499</v>
      </c>
      <c r="R172" t="s">
        <v>11</v>
      </c>
      <c r="S172" t="s">
        <v>3451</v>
      </c>
      <c r="T172" t="s">
        <v>2698</v>
      </c>
      <c r="U172">
        <v>0</v>
      </c>
      <c r="V172" t="s">
        <v>14</v>
      </c>
      <c r="W172" t="s">
        <v>15</v>
      </c>
      <c r="X172" t="s">
        <v>3457</v>
      </c>
      <c r="Y172" t="s">
        <v>3449</v>
      </c>
      <c r="Z172">
        <v>0</v>
      </c>
      <c r="AA172" t="s">
        <v>18</v>
      </c>
    </row>
    <row r="173" spans="1:27" x14ac:dyDescent="0.3">
      <c r="A173" t="s">
        <v>1221</v>
      </c>
      <c r="B173" t="s">
        <v>3232</v>
      </c>
      <c r="C173" t="s">
        <v>3879</v>
      </c>
      <c r="D173" t="s">
        <v>1224</v>
      </c>
      <c r="E173">
        <v>130</v>
      </c>
      <c r="F173" t="s">
        <v>5</v>
      </c>
      <c r="G173">
        <v>78</v>
      </c>
      <c r="H173" t="s">
        <v>6</v>
      </c>
      <c r="I173">
        <v>-15.025646068177601</v>
      </c>
      <c r="J173" t="s">
        <v>7</v>
      </c>
      <c r="K173">
        <v>-0.11558189283213501</v>
      </c>
      <c r="L173" t="s">
        <v>8</v>
      </c>
      <c r="M173">
        <v>0.81369337284581</v>
      </c>
      <c r="N173" t="s">
        <v>9</v>
      </c>
      <c r="O173">
        <v>-1.50949479134905</v>
      </c>
      <c r="P173" t="s">
        <v>10</v>
      </c>
      <c r="Q173">
        <v>0.22976722145894601</v>
      </c>
      <c r="R173" t="s">
        <v>11</v>
      </c>
      <c r="S173" t="s">
        <v>3510</v>
      </c>
      <c r="T173" t="s">
        <v>3303</v>
      </c>
      <c r="U173">
        <v>0</v>
      </c>
      <c r="V173" t="s">
        <v>14</v>
      </c>
      <c r="W173" t="s">
        <v>15</v>
      </c>
      <c r="X173" t="s">
        <v>3510</v>
      </c>
      <c r="Y173" t="s">
        <v>3303</v>
      </c>
      <c r="Z173">
        <v>0</v>
      </c>
      <c r="AA173" t="s">
        <v>18</v>
      </c>
    </row>
    <row r="174" spans="1:27" x14ac:dyDescent="0.3">
      <c r="A174" t="s">
        <v>3292</v>
      </c>
      <c r="B174" t="s">
        <v>3213</v>
      </c>
      <c r="C174" t="s">
        <v>3880</v>
      </c>
      <c r="D174" t="s">
        <v>1224</v>
      </c>
      <c r="E174">
        <v>165</v>
      </c>
      <c r="F174" t="s">
        <v>5</v>
      </c>
      <c r="G174">
        <v>72</v>
      </c>
      <c r="H174" t="s">
        <v>6</v>
      </c>
      <c r="I174">
        <v>-15.3599999999999</v>
      </c>
      <c r="J174" t="s">
        <v>7</v>
      </c>
      <c r="K174">
        <v>-9.3090909090909002E-2</v>
      </c>
      <c r="L174" t="s">
        <v>8</v>
      </c>
      <c r="M174">
        <v>1.94611111111111</v>
      </c>
      <c r="N174" t="s">
        <v>9</v>
      </c>
      <c r="O174">
        <v>-1.67182795698924</v>
      </c>
      <c r="P174" t="s">
        <v>10</v>
      </c>
      <c r="Q174">
        <v>0.62505645831458101</v>
      </c>
      <c r="R174" t="s">
        <v>11</v>
      </c>
      <c r="S174" t="s">
        <v>3473</v>
      </c>
      <c r="T174" t="s">
        <v>3073</v>
      </c>
      <c r="U174">
        <v>0</v>
      </c>
      <c r="V174" t="s">
        <v>14</v>
      </c>
      <c r="W174" t="s">
        <v>15</v>
      </c>
      <c r="X174" t="s">
        <v>3472</v>
      </c>
      <c r="Y174" t="s">
        <v>2655</v>
      </c>
      <c r="Z174">
        <v>0</v>
      </c>
      <c r="AA174" t="s">
        <v>18</v>
      </c>
    </row>
    <row r="175" spans="1:27" x14ac:dyDescent="0.3">
      <c r="A175" t="s">
        <v>1220</v>
      </c>
      <c r="B175" t="s">
        <v>3268</v>
      </c>
      <c r="C175" t="s">
        <v>3881</v>
      </c>
      <c r="D175" t="s">
        <v>1224</v>
      </c>
      <c r="E175">
        <v>139</v>
      </c>
      <c r="F175" t="s">
        <v>5</v>
      </c>
      <c r="G175">
        <v>77</v>
      </c>
      <c r="H175" t="s">
        <v>6</v>
      </c>
      <c r="I175">
        <v>-15.476962120340501</v>
      </c>
      <c r="J175" t="s">
        <v>7</v>
      </c>
      <c r="K175">
        <v>-0.111345051225471</v>
      </c>
      <c r="L175" t="s">
        <v>8</v>
      </c>
      <c r="M175">
        <v>1.2714533377042601</v>
      </c>
      <c r="N175" t="s">
        <v>9</v>
      </c>
      <c r="O175">
        <v>-1.8286914374769201</v>
      </c>
      <c r="P175" t="s">
        <v>10</v>
      </c>
      <c r="Q175">
        <v>0.36845300238897399</v>
      </c>
      <c r="R175" t="s">
        <v>11</v>
      </c>
      <c r="S175" t="s">
        <v>3527</v>
      </c>
      <c r="T175" t="s">
        <v>691</v>
      </c>
      <c r="U175">
        <v>0</v>
      </c>
      <c r="V175" t="s">
        <v>14</v>
      </c>
      <c r="W175" t="s">
        <v>15</v>
      </c>
      <c r="X175" t="s">
        <v>3527</v>
      </c>
      <c r="Y175" t="s">
        <v>691</v>
      </c>
      <c r="Z175">
        <v>0</v>
      </c>
      <c r="AA175" t="s">
        <v>18</v>
      </c>
    </row>
    <row r="176" spans="1:27" x14ac:dyDescent="0.3">
      <c r="A176" t="s">
        <v>3292</v>
      </c>
      <c r="B176" t="s">
        <v>3248</v>
      </c>
      <c r="C176" t="s">
        <v>3882</v>
      </c>
      <c r="D176" t="s">
        <v>1224</v>
      </c>
      <c r="E176">
        <v>165</v>
      </c>
      <c r="F176" t="s">
        <v>5</v>
      </c>
      <c r="G176">
        <v>70</v>
      </c>
      <c r="H176" t="s">
        <v>6</v>
      </c>
      <c r="I176">
        <v>-15.56</v>
      </c>
      <c r="J176" t="s">
        <v>7</v>
      </c>
      <c r="K176">
        <v>-9.4303030303030305E-2</v>
      </c>
      <c r="L176" t="s">
        <v>8</v>
      </c>
      <c r="M176">
        <v>1.18971428571428</v>
      </c>
      <c r="N176" t="s">
        <v>9</v>
      </c>
      <c r="O176">
        <v>-1.04042105263157</v>
      </c>
      <c r="P176" t="s">
        <v>10</v>
      </c>
      <c r="Q176">
        <v>0.50629257123154803</v>
      </c>
      <c r="R176" t="s">
        <v>11</v>
      </c>
      <c r="S176" t="s">
        <v>3406</v>
      </c>
      <c r="T176" t="s">
        <v>2644</v>
      </c>
      <c r="U176">
        <v>0</v>
      </c>
      <c r="V176" t="s">
        <v>14</v>
      </c>
      <c r="W176" t="s">
        <v>15</v>
      </c>
      <c r="X176" t="s">
        <v>3424</v>
      </c>
      <c r="Y176" t="s">
        <v>2644</v>
      </c>
      <c r="Z176">
        <v>0</v>
      </c>
      <c r="AA176" t="s">
        <v>18</v>
      </c>
    </row>
    <row r="177" spans="1:27" x14ac:dyDescent="0.3">
      <c r="A177" t="s">
        <v>1221</v>
      </c>
      <c r="B177" t="s">
        <v>3240</v>
      </c>
      <c r="C177" t="s">
        <v>3883</v>
      </c>
      <c r="D177" t="s">
        <v>1224</v>
      </c>
      <c r="E177">
        <v>125</v>
      </c>
      <c r="F177" t="s">
        <v>5</v>
      </c>
      <c r="G177">
        <v>51</v>
      </c>
      <c r="H177" t="s">
        <v>6</v>
      </c>
      <c r="I177">
        <v>-15.7099999999999</v>
      </c>
      <c r="J177" t="s">
        <v>7</v>
      </c>
      <c r="K177">
        <v>-0.12567999999999899</v>
      </c>
      <c r="L177" t="s">
        <v>8</v>
      </c>
      <c r="M177">
        <v>1.1713725490196001</v>
      </c>
      <c r="N177" t="s">
        <v>9</v>
      </c>
      <c r="O177">
        <v>-1.0195945945945899</v>
      </c>
      <c r="P177" t="s">
        <v>10</v>
      </c>
      <c r="Q177">
        <v>0.331640925604892</v>
      </c>
      <c r="R177" t="s">
        <v>11</v>
      </c>
      <c r="S177" t="s">
        <v>3332</v>
      </c>
      <c r="T177" t="s">
        <v>3333</v>
      </c>
      <c r="U177">
        <v>0</v>
      </c>
      <c r="V177" t="s">
        <v>14</v>
      </c>
      <c r="W177" t="s">
        <v>15</v>
      </c>
      <c r="X177" t="s">
        <v>3516</v>
      </c>
      <c r="Y177" t="s">
        <v>3333</v>
      </c>
      <c r="Z177">
        <v>0</v>
      </c>
      <c r="AA177" t="s">
        <v>18</v>
      </c>
    </row>
    <row r="178" spans="1:27" x14ac:dyDescent="0.3">
      <c r="A178" t="s">
        <v>3293</v>
      </c>
      <c r="B178" t="s">
        <v>3243</v>
      </c>
      <c r="C178" t="s">
        <v>3884</v>
      </c>
      <c r="D178" t="s">
        <v>1224</v>
      </c>
      <c r="E178">
        <v>334</v>
      </c>
      <c r="F178" t="s">
        <v>5</v>
      </c>
      <c r="G178">
        <v>146</v>
      </c>
      <c r="H178" t="s">
        <v>6</v>
      </c>
      <c r="I178">
        <v>-15.7299999999997</v>
      </c>
      <c r="J178" t="s">
        <v>7</v>
      </c>
      <c r="K178">
        <v>-4.7095808383232698E-2</v>
      </c>
      <c r="L178" t="s">
        <v>8</v>
      </c>
      <c r="M178">
        <v>1.1878082191780801</v>
      </c>
      <c r="N178" t="s">
        <v>9</v>
      </c>
      <c r="O178">
        <v>-1.0169354838709601</v>
      </c>
      <c r="P178" t="s">
        <v>10</v>
      </c>
      <c r="Q178">
        <v>0.95077686417129603</v>
      </c>
      <c r="R178" t="s">
        <v>11</v>
      </c>
      <c r="S178" t="s">
        <v>3639</v>
      </c>
      <c r="T178" t="s">
        <v>2897</v>
      </c>
      <c r="U178">
        <v>0</v>
      </c>
      <c r="V178" t="s">
        <v>14</v>
      </c>
      <c r="W178" t="s">
        <v>15</v>
      </c>
      <c r="X178" t="s">
        <v>3674</v>
      </c>
      <c r="Y178" t="s">
        <v>3567</v>
      </c>
      <c r="Z178">
        <v>0</v>
      </c>
      <c r="AA178" t="s">
        <v>18</v>
      </c>
    </row>
    <row r="179" spans="1:27" x14ac:dyDescent="0.3">
      <c r="A179" t="s">
        <v>1219</v>
      </c>
      <c r="B179" t="s">
        <v>3250</v>
      </c>
      <c r="C179" t="s">
        <v>3885</v>
      </c>
      <c r="D179" t="s">
        <v>1224</v>
      </c>
      <c r="E179">
        <v>167</v>
      </c>
      <c r="F179" t="s">
        <v>5</v>
      </c>
      <c r="G179">
        <v>94</v>
      </c>
      <c r="H179" t="s">
        <v>6</v>
      </c>
      <c r="I179">
        <v>-15.8246571979282</v>
      </c>
      <c r="J179" t="s">
        <v>7</v>
      </c>
      <c r="K179">
        <v>-9.4758426334899504E-2</v>
      </c>
      <c r="L179" t="s">
        <v>8</v>
      </c>
      <c r="M179">
        <v>0.73240217506514205</v>
      </c>
      <c r="N179" t="s">
        <v>9</v>
      </c>
      <c r="O179">
        <v>-1.15986933772673</v>
      </c>
      <c r="P179" t="s">
        <v>10</v>
      </c>
      <c r="Q179">
        <v>0.26397103893594098</v>
      </c>
      <c r="R179" t="s">
        <v>11</v>
      </c>
      <c r="S179" t="s">
        <v>3427</v>
      </c>
      <c r="T179" t="s">
        <v>635</v>
      </c>
      <c r="U179">
        <v>0</v>
      </c>
      <c r="V179" t="s">
        <v>14</v>
      </c>
      <c r="W179" t="s">
        <v>15</v>
      </c>
      <c r="X179" t="s">
        <v>3154</v>
      </c>
      <c r="Y179" t="s">
        <v>3419</v>
      </c>
      <c r="Z179">
        <v>0</v>
      </c>
      <c r="AA179" t="s">
        <v>18</v>
      </c>
    </row>
    <row r="180" spans="1:27" x14ac:dyDescent="0.3">
      <c r="A180" t="s">
        <v>1220</v>
      </c>
      <c r="B180" t="s">
        <v>3279</v>
      </c>
      <c r="C180" t="s">
        <v>3886</v>
      </c>
      <c r="D180" t="s">
        <v>1224</v>
      </c>
      <c r="E180">
        <v>135</v>
      </c>
      <c r="F180" t="s">
        <v>5</v>
      </c>
      <c r="G180">
        <v>53</v>
      </c>
      <c r="H180" t="s">
        <v>6</v>
      </c>
      <c r="I180">
        <v>-15.8399999999999</v>
      </c>
      <c r="J180" t="s">
        <v>7</v>
      </c>
      <c r="K180">
        <v>-0.117333333333333</v>
      </c>
      <c r="L180" t="s">
        <v>8</v>
      </c>
      <c r="M180">
        <v>2.61245283018867</v>
      </c>
      <c r="N180" t="s">
        <v>9</v>
      </c>
      <c r="O180">
        <v>-1.88170731707317</v>
      </c>
      <c r="P180" t="s">
        <v>10</v>
      </c>
      <c r="Q180">
        <v>0.60502082640578703</v>
      </c>
      <c r="R180" t="s">
        <v>11</v>
      </c>
      <c r="S180" t="s">
        <v>3528</v>
      </c>
      <c r="T180" t="s">
        <v>2046</v>
      </c>
      <c r="U180">
        <v>0</v>
      </c>
      <c r="V180" t="s">
        <v>14</v>
      </c>
      <c r="W180" t="s">
        <v>15</v>
      </c>
      <c r="X180" t="s">
        <v>3528</v>
      </c>
      <c r="Y180" t="s">
        <v>2046</v>
      </c>
      <c r="Z180">
        <v>0</v>
      </c>
      <c r="AA180" t="s">
        <v>18</v>
      </c>
    </row>
    <row r="181" spans="1:27" x14ac:dyDescent="0.3">
      <c r="A181" t="s">
        <v>1220</v>
      </c>
      <c r="B181" t="s">
        <v>3225</v>
      </c>
      <c r="C181" t="s">
        <v>3887</v>
      </c>
      <c r="D181" t="s">
        <v>1224</v>
      </c>
      <c r="E181">
        <v>135</v>
      </c>
      <c r="F181" t="s">
        <v>5</v>
      </c>
      <c r="G181">
        <v>47</v>
      </c>
      <c r="H181" t="s">
        <v>6</v>
      </c>
      <c r="I181">
        <v>-15.909999999999901</v>
      </c>
      <c r="J181" t="s">
        <v>7</v>
      </c>
      <c r="K181">
        <v>-0.117851851851851</v>
      </c>
      <c r="L181" t="s">
        <v>8</v>
      </c>
      <c r="M181">
        <v>2.28893617021276</v>
      </c>
      <c r="N181" t="s">
        <v>9</v>
      </c>
      <c r="O181">
        <v>-1.4032954545454499</v>
      </c>
      <c r="P181" t="s">
        <v>10</v>
      </c>
      <c r="Q181">
        <v>0.59578871418188295</v>
      </c>
      <c r="R181" t="s">
        <v>11</v>
      </c>
      <c r="S181" t="s">
        <v>3509</v>
      </c>
      <c r="T181" t="s">
        <v>2757</v>
      </c>
      <c r="U181">
        <v>0</v>
      </c>
      <c r="V181" t="s">
        <v>14</v>
      </c>
      <c r="W181" t="s">
        <v>15</v>
      </c>
      <c r="X181" t="s">
        <v>3509</v>
      </c>
      <c r="Y181" t="s">
        <v>2757</v>
      </c>
      <c r="Z181">
        <v>0</v>
      </c>
      <c r="AA181" t="s">
        <v>18</v>
      </c>
    </row>
    <row r="182" spans="1:27" x14ac:dyDescent="0.3">
      <c r="A182" t="s">
        <v>1221</v>
      </c>
      <c r="B182" t="s">
        <v>3227</v>
      </c>
      <c r="C182" t="s">
        <v>3888</v>
      </c>
      <c r="D182" t="s">
        <v>1224</v>
      </c>
      <c r="E182">
        <v>130</v>
      </c>
      <c r="F182" t="s">
        <v>5</v>
      </c>
      <c r="G182">
        <v>65</v>
      </c>
      <c r="H182" t="s">
        <v>6</v>
      </c>
      <c r="I182">
        <v>-16.420000000000002</v>
      </c>
      <c r="J182" t="s">
        <v>7</v>
      </c>
      <c r="K182">
        <v>-0.12630769230769201</v>
      </c>
      <c r="L182" t="s">
        <v>8</v>
      </c>
      <c r="M182">
        <v>1.29892307692307</v>
      </c>
      <c r="N182" t="s">
        <v>9</v>
      </c>
      <c r="O182">
        <v>-1.5757812499999899</v>
      </c>
      <c r="P182" t="s">
        <v>10</v>
      </c>
      <c r="Q182">
        <v>0.30520634388804002</v>
      </c>
      <c r="R182" t="s">
        <v>11</v>
      </c>
      <c r="S182" t="s">
        <v>3510</v>
      </c>
      <c r="T182" t="s">
        <v>3303</v>
      </c>
      <c r="U182">
        <v>0</v>
      </c>
      <c r="V182" t="s">
        <v>14</v>
      </c>
      <c r="W182" t="s">
        <v>15</v>
      </c>
      <c r="X182" t="s">
        <v>3510</v>
      </c>
      <c r="Y182" t="s">
        <v>3303</v>
      </c>
      <c r="Z182">
        <v>0</v>
      </c>
      <c r="AA182" t="s">
        <v>18</v>
      </c>
    </row>
    <row r="183" spans="1:27" x14ac:dyDescent="0.3">
      <c r="A183" t="s">
        <v>1219</v>
      </c>
      <c r="B183" t="s">
        <v>3242</v>
      </c>
      <c r="C183" t="s">
        <v>3889</v>
      </c>
      <c r="D183" t="s">
        <v>1224</v>
      </c>
      <c r="E183">
        <v>169</v>
      </c>
      <c r="F183" t="s">
        <v>5</v>
      </c>
      <c r="G183">
        <v>75</v>
      </c>
      <c r="H183" t="s">
        <v>6</v>
      </c>
      <c r="I183">
        <v>-16.43</v>
      </c>
      <c r="J183" t="s">
        <v>7</v>
      </c>
      <c r="K183">
        <v>-9.7218934911243005E-2</v>
      </c>
      <c r="L183" t="s">
        <v>8</v>
      </c>
      <c r="M183">
        <v>1.05666666666666</v>
      </c>
      <c r="N183" t="s">
        <v>9</v>
      </c>
      <c r="O183">
        <v>-1.0178723404255301</v>
      </c>
      <c r="P183" t="s">
        <v>10</v>
      </c>
      <c r="Q183">
        <v>0.48588948860994602</v>
      </c>
      <c r="R183" t="s">
        <v>11</v>
      </c>
      <c r="S183" t="s">
        <v>2515</v>
      </c>
      <c r="T183" t="s">
        <v>2666</v>
      </c>
      <c r="U183">
        <v>0</v>
      </c>
      <c r="V183" t="s">
        <v>14</v>
      </c>
      <c r="W183" t="s">
        <v>15</v>
      </c>
      <c r="X183" t="s">
        <v>3424</v>
      </c>
      <c r="Y183" t="s">
        <v>2644</v>
      </c>
      <c r="Z183">
        <v>0</v>
      </c>
      <c r="AA183" t="s">
        <v>18</v>
      </c>
    </row>
    <row r="184" spans="1:27" x14ac:dyDescent="0.3">
      <c r="A184" t="s">
        <v>1222</v>
      </c>
      <c r="B184" t="s">
        <v>3251</v>
      </c>
      <c r="C184" t="s">
        <v>3890</v>
      </c>
      <c r="D184" t="s">
        <v>1224</v>
      </c>
      <c r="E184">
        <v>127</v>
      </c>
      <c r="F184" t="s">
        <v>5</v>
      </c>
      <c r="G184">
        <v>64</v>
      </c>
      <c r="H184" t="s">
        <v>6</v>
      </c>
      <c r="I184">
        <v>-16.701002823968999</v>
      </c>
      <c r="J184" t="s">
        <v>7</v>
      </c>
      <c r="K184">
        <v>-0.13150395924385</v>
      </c>
      <c r="L184" t="s">
        <v>8</v>
      </c>
      <c r="M184">
        <v>0.93796875000000002</v>
      </c>
      <c r="N184" t="s">
        <v>9</v>
      </c>
      <c r="O184">
        <v>-1.23759681974143</v>
      </c>
      <c r="P184" t="s">
        <v>10</v>
      </c>
      <c r="Q184">
        <v>0.28728903787548499</v>
      </c>
      <c r="R184" t="s">
        <v>11</v>
      </c>
      <c r="S184" t="s">
        <v>3583</v>
      </c>
      <c r="T184" t="s">
        <v>2071</v>
      </c>
      <c r="U184">
        <v>0</v>
      </c>
      <c r="V184" t="s">
        <v>14</v>
      </c>
      <c r="W184" t="s">
        <v>15</v>
      </c>
      <c r="X184" t="s">
        <v>3583</v>
      </c>
      <c r="Y184" t="s">
        <v>2071</v>
      </c>
      <c r="Z184">
        <v>0</v>
      </c>
      <c r="AA184" t="s">
        <v>18</v>
      </c>
    </row>
    <row r="185" spans="1:27" x14ac:dyDescent="0.3">
      <c r="A185" t="s">
        <v>1221</v>
      </c>
      <c r="B185" t="s">
        <v>3250</v>
      </c>
      <c r="C185" t="s">
        <v>3891</v>
      </c>
      <c r="D185" t="s">
        <v>1224</v>
      </c>
      <c r="E185">
        <v>130</v>
      </c>
      <c r="F185" t="s">
        <v>5</v>
      </c>
      <c r="G185">
        <v>67</v>
      </c>
      <c r="H185" t="s">
        <v>6</v>
      </c>
      <c r="I185">
        <v>-16.8175390103955</v>
      </c>
      <c r="J185" t="s">
        <v>7</v>
      </c>
      <c r="K185">
        <v>-0.12936568469535001</v>
      </c>
      <c r="L185" t="s">
        <v>8</v>
      </c>
      <c r="M185">
        <v>0.71577164711616104</v>
      </c>
      <c r="N185" t="s">
        <v>9</v>
      </c>
      <c r="O185">
        <v>-1.0447457962448099</v>
      </c>
      <c r="P185" t="s">
        <v>10</v>
      </c>
      <c r="Q185">
        <v>0.191571932969056</v>
      </c>
      <c r="R185" t="s">
        <v>11</v>
      </c>
      <c r="S185" t="s">
        <v>3518</v>
      </c>
      <c r="T185" t="s">
        <v>3519</v>
      </c>
      <c r="U185">
        <v>0</v>
      </c>
      <c r="V185" t="s">
        <v>14</v>
      </c>
      <c r="W185" t="s">
        <v>15</v>
      </c>
      <c r="X185" t="s">
        <v>3518</v>
      </c>
      <c r="Y185" t="s">
        <v>3519</v>
      </c>
      <c r="Z185">
        <v>0</v>
      </c>
      <c r="AA185" t="s">
        <v>18</v>
      </c>
    </row>
    <row r="186" spans="1:27" x14ac:dyDescent="0.3">
      <c r="A186" t="s">
        <v>1219</v>
      </c>
      <c r="B186" t="s">
        <v>3268</v>
      </c>
      <c r="C186" t="s">
        <v>3892</v>
      </c>
      <c r="D186" t="s">
        <v>1224</v>
      </c>
      <c r="E186">
        <v>167</v>
      </c>
      <c r="F186" t="s">
        <v>5</v>
      </c>
      <c r="G186">
        <v>88</v>
      </c>
      <c r="H186" t="s">
        <v>6</v>
      </c>
      <c r="I186">
        <v>-16.8281159018482</v>
      </c>
      <c r="J186" t="s">
        <v>7</v>
      </c>
      <c r="K186">
        <v>-0.100767161088911</v>
      </c>
      <c r="L186" t="s">
        <v>8</v>
      </c>
      <c r="M186">
        <v>1.3669376020819299</v>
      </c>
      <c r="N186" t="s">
        <v>9</v>
      </c>
      <c r="O186">
        <v>-1.7356787960133999</v>
      </c>
      <c r="P186" t="s">
        <v>10</v>
      </c>
      <c r="Q186">
        <v>0.450680379414238</v>
      </c>
      <c r="R186" t="s">
        <v>11</v>
      </c>
      <c r="S186" t="s">
        <v>3439</v>
      </c>
      <c r="T186" t="s">
        <v>720</v>
      </c>
      <c r="U186">
        <v>0</v>
      </c>
      <c r="V186" t="s">
        <v>14</v>
      </c>
      <c r="W186" t="s">
        <v>15</v>
      </c>
      <c r="X186" t="s">
        <v>3439</v>
      </c>
      <c r="Y186" t="s">
        <v>720</v>
      </c>
      <c r="Z186">
        <v>0</v>
      </c>
      <c r="AA186" t="s">
        <v>18</v>
      </c>
    </row>
    <row r="187" spans="1:27" x14ac:dyDescent="0.3">
      <c r="A187" t="s">
        <v>1220</v>
      </c>
      <c r="B187" t="s">
        <v>3235</v>
      </c>
      <c r="C187" t="s">
        <v>3893</v>
      </c>
      <c r="D187" t="s">
        <v>1224</v>
      </c>
      <c r="E187">
        <v>139</v>
      </c>
      <c r="F187" t="s">
        <v>5</v>
      </c>
      <c r="G187">
        <v>61</v>
      </c>
      <c r="H187" t="s">
        <v>6</v>
      </c>
      <c r="I187">
        <v>-16.831636134317598</v>
      </c>
      <c r="J187" t="s">
        <v>7</v>
      </c>
      <c r="K187">
        <v>-0.121090907441133</v>
      </c>
      <c r="L187" t="s">
        <v>8</v>
      </c>
      <c r="M187">
        <v>1.70396958184637</v>
      </c>
      <c r="N187" t="s">
        <v>9</v>
      </c>
      <c r="O187">
        <v>-1.54838180290956</v>
      </c>
      <c r="P187" t="s">
        <v>10</v>
      </c>
      <c r="Q187">
        <v>0.40060484740603602</v>
      </c>
      <c r="R187" t="s">
        <v>11</v>
      </c>
      <c r="S187" t="s">
        <v>3513</v>
      </c>
      <c r="T187" t="s">
        <v>2186</v>
      </c>
      <c r="U187">
        <v>0</v>
      </c>
      <c r="V187" t="s">
        <v>14</v>
      </c>
      <c r="W187" t="s">
        <v>15</v>
      </c>
      <c r="X187" t="s">
        <v>3514</v>
      </c>
      <c r="Y187" t="s">
        <v>2793</v>
      </c>
      <c r="Z187">
        <v>0</v>
      </c>
      <c r="AA187" t="s">
        <v>18</v>
      </c>
    </row>
    <row r="188" spans="1:27" x14ac:dyDescent="0.3">
      <c r="A188" t="s">
        <v>1220</v>
      </c>
      <c r="B188" t="s">
        <v>3227</v>
      </c>
      <c r="C188" t="s">
        <v>3894</v>
      </c>
      <c r="D188" t="s">
        <v>1224</v>
      </c>
      <c r="E188">
        <v>140</v>
      </c>
      <c r="F188" t="s">
        <v>5</v>
      </c>
      <c r="G188">
        <v>69</v>
      </c>
      <c r="H188" t="s">
        <v>6</v>
      </c>
      <c r="I188">
        <v>-16.958308634848699</v>
      </c>
      <c r="J188" t="s">
        <v>7</v>
      </c>
      <c r="K188">
        <v>-0.121130775963205</v>
      </c>
      <c r="L188" t="s">
        <v>8</v>
      </c>
      <c r="M188">
        <v>1.31987958500219</v>
      </c>
      <c r="N188" t="s">
        <v>9</v>
      </c>
      <c r="O188">
        <v>-1.5432857142857099</v>
      </c>
      <c r="P188" t="s">
        <v>10</v>
      </c>
      <c r="Q188">
        <v>0.326554029159346</v>
      </c>
      <c r="R188" t="s">
        <v>11</v>
      </c>
      <c r="S188" t="s">
        <v>3510</v>
      </c>
      <c r="T188" t="s">
        <v>3303</v>
      </c>
      <c r="U188">
        <v>0</v>
      </c>
      <c r="V188" t="s">
        <v>14</v>
      </c>
      <c r="W188" t="s">
        <v>15</v>
      </c>
      <c r="X188" t="s">
        <v>3510</v>
      </c>
      <c r="Y188" t="s">
        <v>3303</v>
      </c>
      <c r="Z188">
        <v>0</v>
      </c>
      <c r="AA188" t="s">
        <v>18</v>
      </c>
    </row>
    <row r="189" spans="1:27" x14ac:dyDescent="0.3">
      <c r="A189" t="s">
        <v>1223</v>
      </c>
      <c r="B189" t="s">
        <v>3270</v>
      </c>
      <c r="C189" t="s">
        <v>3895</v>
      </c>
      <c r="D189" t="s">
        <v>1224</v>
      </c>
      <c r="E189">
        <v>370</v>
      </c>
      <c r="F189" t="s">
        <v>5</v>
      </c>
      <c r="G189">
        <v>123</v>
      </c>
      <c r="H189" t="s">
        <v>6</v>
      </c>
      <c r="I189">
        <v>-17.0360228649498</v>
      </c>
      <c r="J189" t="s">
        <v>7</v>
      </c>
      <c r="K189">
        <v>-4.6043305040404901E-2</v>
      </c>
      <c r="L189" t="s">
        <v>8</v>
      </c>
      <c r="M189">
        <v>3.3784091768694999</v>
      </c>
      <c r="N189" t="s">
        <v>9</v>
      </c>
      <c r="O189">
        <v>-1.751337455951</v>
      </c>
      <c r="P189" t="s">
        <v>10</v>
      </c>
      <c r="Q189">
        <v>1.1523645552245401</v>
      </c>
      <c r="R189" t="s">
        <v>11</v>
      </c>
      <c r="S189" t="s">
        <v>3654</v>
      </c>
      <c r="T189" t="s">
        <v>1959</v>
      </c>
      <c r="U189">
        <v>0</v>
      </c>
      <c r="V189" t="s">
        <v>14</v>
      </c>
      <c r="W189" t="s">
        <v>15</v>
      </c>
      <c r="X189" t="s">
        <v>3656</v>
      </c>
      <c r="Y189" t="s">
        <v>3132</v>
      </c>
      <c r="Z189">
        <v>0</v>
      </c>
      <c r="AA189" t="s">
        <v>18</v>
      </c>
    </row>
    <row r="190" spans="1:27" x14ac:dyDescent="0.3">
      <c r="A190" t="s">
        <v>3292</v>
      </c>
      <c r="B190" t="s">
        <v>3240</v>
      </c>
      <c r="C190" t="s">
        <v>3896</v>
      </c>
      <c r="D190" t="s">
        <v>1224</v>
      </c>
      <c r="E190">
        <v>155</v>
      </c>
      <c r="F190" t="s">
        <v>5</v>
      </c>
      <c r="G190">
        <v>78</v>
      </c>
      <c r="H190" t="s">
        <v>6</v>
      </c>
      <c r="I190">
        <v>-17.11</v>
      </c>
      <c r="J190" t="s">
        <v>7</v>
      </c>
      <c r="K190">
        <v>-0.11038709677419301</v>
      </c>
      <c r="L190" t="s">
        <v>8</v>
      </c>
      <c r="M190">
        <v>0.73166666666666602</v>
      </c>
      <c r="N190" t="s">
        <v>9</v>
      </c>
      <c r="O190">
        <v>-0.963376623376624</v>
      </c>
      <c r="P190" t="s">
        <v>10</v>
      </c>
      <c r="Q190">
        <v>0.26414929280454602</v>
      </c>
      <c r="R190" t="s">
        <v>11</v>
      </c>
      <c r="S190" t="s">
        <v>3484</v>
      </c>
      <c r="T190" t="s">
        <v>3485</v>
      </c>
      <c r="U190">
        <v>0</v>
      </c>
      <c r="V190" t="s">
        <v>14</v>
      </c>
      <c r="W190" t="s">
        <v>15</v>
      </c>
      <c r="X190" t="s">
        <v>638</v>
      </c>
      <c r="Y190" t="s">
        <v>2655</v>
      </c>
      <c r="Z190">
        <v>0</v>
      </c>
      <c r="AA190" t="s">
        <v>18</v>
      </c>
    </row>
    <row r="191" spans="1:27" x14ac:dyDescent="0.3">
      <c r="A191" t="s">
        <v>1222</v>
      </c>
      <c r="B191" t="s">
        <v>3233</v>
      </c>
      <c r="C191" t="s">
        <v>3897</v>
      </c>
      <c r="D191" t="s">
        <v>1224</v>
      </c>
      <c r="E191">
        <v>127</v>
      </c>
      <c r="F191" t="s">
        <v>5</v>
      </c>
      <c r="G191">
        <v>64</v>
      </c>
      <c r="H191" t="s">
        <v>6</v>
      </c>
      <c r="I191">
        <v>-17.158959531497398</v>
      </c>
      <c r="J191" t="s">
        <v>7</v>
      </c>
      <c r="K191">
        <v>-0.13510991757084601</v>
      </c>
      <c r="L191" t="s">
        <v>8</v>
      </c>
      <c r="M191">
        <v>1.1223144309328601</v>
      </c>
      <c r="N191" t="s">
        <v>9</v>
      </c>
      <c r="O191">
        <v>-1.4124933827174599</v>
      </c>
      <c r="P191" t="s">
        <v>10</v>
      </c>
      <c r="Q191">
        <v>0.29251987264238699</v>
      </c>
      <c r="R191" t="s">
        <v>11</v>
      </c>
      <c r="S191" t="s">
        <v>840</v>
      </c>
      <c r="T191" t="s">
        <v>3572</v>
      </c>
      <c r="U191">
        <v>0</v>
      </c>
      <c r="V191" t="s">
        <v>14</v>
      </c>
      <c r="W191" t="s">
        <v>15</v>
      </c>
      <c r="X191" t="s">
        <v>2662</v>
      </c>
      <c r="Y191" t="s">
        <v>3573</v>
      </c>
      <c r="Z191">
        <v>0</v>
      </c>
      <c r="AA191" t="s">
        <v>18</v>
      </c>
    </row>
    <row r="192" spans="1:27" x14ac:dyDescent="0.3">
      <c r="A192" t="s">
        <v>3292</v>
      </c>
      <c r="B192" t="s">
        <v>3211</v>
      </c>
      <c r="C192" t="s">
        <v>3898</v>
      </c>
      <c r="D192" t="s">
        <v>1224</v>
      </c>
      <c r="E192">
        <v>165</v>
      </c>
      <c r="F192" t="s">
        <v>5</v>
      </c>
      <c r="G192">
        <v>77</v>
      </c>
      <c r="H192" t="s">
        <v>6</v>
      </c>
      <c r="I192">
        <v>-17.25</v>
      </c>
      <c r="J192" t="s">
        <v>7</v>
      </c>
      <c r="K192">
        <v>-0.104545454545454</v>
      </c>
      <c r="L192" t="s">
        <v>8</v>
      </c>
      <c r="M192">
        <v>1.6803896103896001</v>
      </c>
      <c r="N192" t="s">
        <v>9</v>
      </c>
      <c r="O192">
        <v>-1.6663636363636301</v>
      </c>
      <c r="P192" t="s">
        <v>10</v>
      </c>
      <c r="Q192">
        <v>0.52486359456635301</v>
      </c>
      <c r="R192" t="s">
        <v>11</v>
      </c>
      <c r="S192" t="s">
        <v>3451</v>
      </c>
      <c r="T192" t="s">
        <v>2698</v>
      </c>
      <c r="U192">
        <v>0</v>
      </c>
      <c r="V192" t="s">
        <v>14</v>
      </c>
      <c r="W192" t="s">
        <v>15</v>
      </c>
      <c r="X192" t="s">
        <v>3472</v>
      </c>
      <c r="Y192" t="s">
        <v>2655</v>
      </c>
      <c r="Z192">
        <v>0</v>
      </c>
      <c r="AA192" t="s">
        <v>18</v>
      </c>
    </row>
    <row r="193" spans="1:27" x14ac:dyDescent="0.3">
      <c r="A193" t="s">
        <v>3292</v>
      </c>
      <c r="B193" t="s">
        <v>3209</v>
      </c>
      <c r="C193" t="s">
        <v>3899</v>
      </c>
      <c r="D193" t="s">
        <v>1224</v>
      </c>
      <c r="E193">
        <v>165</v>
      </c>
      <c r="F193" t="s">
        <v>5</v>
      </c>
      <c r="G193">
        <v>89</v>
      </c>
      <c r="H193" t="s">
        <v>6</v>
      </c>
      <c r="I193">
        <v>-17.59</v>
      </c>
      <c r="J193" t="s">
        <v>7</v>
      </c>
      <c r="K193">
        <v>-0.10660606060606</v>
      </c>
      <c r="L193" t="s">
        <v>8</v>
      </c>
      <c r="M193">
        <v>1.16640449438202</v>
      </c>
      <c r="N193" t="s">
        <v>9</v>
      </c>
      <c r="O193">
        <v>-1.59736842105263</v>
      </c>
      <c r="P193" t="s">
        <v>10</v>
      </c>
      <c r="Q193">
        <v>0.36739988208896401</v>
      </c>
      <c r="R193" t="s">
        <v>11</v>
      </c>
      <c r="S193" t="s">
        <v>3386</v>
      </c>
      <c r="T193" t="s">
        <v>3030</v>
      </c>
      <c r="U193">
        <v>0</v>
      </c>
      <c r="V193" t="s">
        <v>14</v>
      </c>
      <c r="W193" t="s">
        <v>15</v>
      </c>
      <c r="X193" t="s">
        <v>3392</v>
      </c>
      <c r="Y193" t="s">
        <v>3389</v>
      </c>
      <c r="Z193">
        <v>0</v>
      </c>
      <c r="AA193" t="s">
        <v>18</v>
      </c>
    </row>
    <row r="194" spans="1:27" x14ac:dyDescent="0.3">
      <c r="A194" t="s">
        <v>1220</v>
      </c>
      <c r="B194" t="s">
        <v>3252</v>
      </c>
      <c r="C194" t="s">
        <v>3900</v>
      </c>
      <c r="D194" t="s">
        <v>1224</v>
      </c>
      <c r="E194">
        <v>139</v>
      </c>
      <c r="F194" t="s">
        <v>5</v>
      </c>
      <c r="G194">
        <v>54</v>
      </c>
      <c r="H194" t="s">
        <v>6</v>
      </c>
      <c r="I194">
        <v>-17.592019404543301</v>
      </c>
      <c r="J194" t="s">
        <v>7</v>
      </c>
      <c r="K194">
        <v>-0.126561290680167</v>
      </c>
      <c r="L194" t="s">
        <v>8</v>
      </c>
      <c r="M194">
        <v>1.45879549966317</v>
      </c>
      <c r="N194" t="s">
        <v>9</v>
      </c>
      <c r="O194">
        <v>-1.1472259093613599</v>
      </c>
      <c r="P194" t="s">
        <v>10</v>
      </c>
      <c r="Q194">
        <v>0.314198017581795</v>
      </c>
      <c r="R194" t="s">
        <v>11</v>
      </c>
      <c r="S194" t="s">
        <v>2317</v>
      </c>
      <c r="T194" t="s">
        <v>2793</v>
      </c>
      <c r="U194">
        <v>0</v>
      </c>
      <c r="V194" t="s">
        <v>14</v>
      </c>
      <c r="W194" t="s">
        <v>15</v>
      </c>
      <c r="X194" t="s">
        <v>676</v>
      </c>
      <c r="Y194" t="s">
        <v>2793</v>
      </c>
      <c r="Z194">
        <v>0</v>
      </c>
      <c r="AA194" t="s">
        <v>18</v>
      </c>
    </row>
    <row r="195" spans="1:27" x14ac:dyDescent="0.3">
      <c r="A195" t="s">
        <v>1221</v>
      </c>
      <c r="B195" t="s">
        <v>3221</v>
      </c>
      <c r="C195" t="s">
        <v>3901</v>
      </c>
      <c r="D195" t="s">
        <v>1224</v>
      </c>
      <c r="E195">
        <v>125</v>
      </c>
      <c r="F195" t="s">
        <v>5</v>
      </c>
      <c r="G195">
        <v>56</v>
      </c>
      <c r="H195" t="s">
        <v>6</v>
      </c>
      <c r="I195">
        <v>-17.739999999999899</v>
      </c>
      <c r="J195" t="s">
        <v>7</v>
      </c>
      <c r="K195">
        <v>-0.14191999999999899</v>
      </c>
      <c r="L195" t="s">
        <v>8</v>
      </c>
      <c r="M195">
        <v>1.3471428571428501</v>
      </c>
      <c r="N195" t="s">
        <v>9</v>
      </c>
      <c r="O195">
        <v>-1.35043478260869</v>
      </c>
      <c r="P195" t="s">
        <v>10</v>
      </c>
      <c r="Q195">
        <v>0.334663188059661</v>
      </c>
      <c r="R195" t="s">
        <v>11</v>
      </c>
      <c r="S195" t="s">
        <v>3540</v>
      </c>
      <c r="T195" t="s">
        <v>3333</v>
      </c>
      <c r="U195">
        <v>0</v>
      </c>
      <c r="V195" t="s">
        <v>14</v>
      </c>
      <c r="W195" t="s">
        <v>15</v>
      </c>
      <c r="X195" t="s">
        <v>3540</v>
      </c>
      <c r="Y195" t="s">
        <v>3333</v>
      </c>
      <c r="Z195">
        <v>0</v>
      </c>
      <c r="AA195" t="s">
        <v>18</v>
      </c>
    </row>
    <row r="196" spans="1:27" x14ac:dyDescent="0.3">
      <c r="A196" t="s">
        <v>1223</v>
      </c>
      <c r="B196" t="s">
        <v>3232</v>
      </c>
      <c r="C196" t="s">
        <v>3902</v>
      </c>
      <c r="D196" t="s">
        <v>1224</v>
      </c>
      <c r="E196">
        <v>370</v>
      </c>
      <c r="F196" t="s">
        <v>5</v>
      </c>
      <c r="G196">
        <v>222</v>
      </c>
      <c r="H196" t="s">
        <v>6</v>
      </c>
      <c r="I196">
        <v>-18.0201435097126</v>
      </c>
      <c r="J196" t="s">
        <v>7</v>
      </c>
      <c r="K196">
        <v>-4.8703090566790799E-2</v>
      </c>
      <c r="L196" t="s">
        <v>8</v>
      </c>
      <c r="M196">
        <v>0.95314457317061696</v>
      </c>
      <c r="N196" t="s">
        <v>9</v>
      </c>
      <c r="O196">
        <v>-1.5514745861729</v>
      </c>
      <c r="P196" t="s">
        <v>10</v>
      </c>
      <c r="Q196">
        <v>0.58697146264154498</v>
      </c>
      <c r="R196" t="s">
        <v>11</v>
      </c>
      <c r="S196" t="s">
        <v>235</v>
      </c>
      <c r="T196" t="s">
        <v>77</v>
      </c>
      <c r="U196">
        <v>0</v>
      </c>
      <c r="V196" t="s">
        <v>14</v>
      </c>
      <c r="W196" t="s">
        <v>15</v>
      </c>
      <c r="X196" t="s">
        <v>235</v>
      </c>
      <c r="Y196" t="s">
        <v>77</v>
      </c>
      <c r="Z196">
        <v>0</v>
      </c>
      <c r="AA196" t="s">
        <v>18</v>
      </c>
    </row>
    <row r="197" spans="1:27" x14ac:dyDescent="0.3">
      <c r="A197" t="s">
        <v>1219</v>
      </c>
      <c r="B197" t="s">
        <v>3226</v>
      </c>
      <c r="C197" t="s">
        <v>3903</v>
      </c>
      <c r="D197" t="s">
        <v>1224</v>
      </c>
      <c r="E197">
        <v>178</v>
      </c>
      <c r="F197" t="s">
        <v>5</v>
      </c>
      <c r="G197">
        <v>108</v>
      </c>
      <c r="H197" t="s">
        <v>6</v>
      </c>
      <c r="I197">
        <v>-18.059999999999899</v>
      </c>
      <c r="J197" t="s">
        <v>7</v>
      </c>
      <c r="K197">
        <v>-0.101460674157303</v>
      </c>
      <c r="L197" t="s">
        <v>8</v>
      </c>
      <c r="M197">
        <v>0.78185185185185102</v>
      </c>
      <c r="N197" t="s">
        <v>9</v>
      </c>
      <c r="O197">
        <v>-1.46428571428571</v>
      </c>
      <c r="P197" t="s">
        <v>10</v>
      </c>
      <c r="Q197">
        <v>0.30153978582492902</v>
      </c>
      <c r="R197" t="s">
        <v>11</v>
      </c>
      <c r="S197" t="s">
        <v>3410</v>
      </c>
      <c r="T197" t="s">
        <v>3411</v>
      </c>
      <c r="U197">
        <v>0</v>
      </c>
      <c r="V197" t="s">
        <v>14</v>
      </c>
      <c r="W197" t="s">
        <v>15</v>
      </c>
      <c r="X197" t="s">
        <v>2800</v>
      </c>
      <c r="Y197" t="s">
        <v>3411</v>
      </c>
      <c r="Z197">
        <v>0</v>
      </c>
      <c r="AA197" t="s">
        <v>18</v>
      </c>
    </row>
    <row r="198" spans="1:27" x14ac:dyDescent="0.3">
      <c r="A198" t="s">
        <v>1222</v>
      </c>
      <c r="B198" t="s">
        <v>3249</v>
      </c>
      <c r="C198" t="s">
        <v>3904</v>
      </c>
      <c r="D198" t="s">
        <v>1224</v>
      </c>
      <c r="E198">
        <v>128</v>
      </c>
      <c r="F198" t="s">
        <v>5</v>
      </c>
      <c r="G198">
        <v>50</v>
      </c>
      <c r="H198" t="s">
        <v>6</v>
      </c>
      <c r="I198">
        <v>-18.16</v>
      </c>
      <c r="J198" t="s">
        <v>7</v>
      </c>
      <c r="K198">
        <v>-0.141875</v>
      </c>
      <c r="L198" t="s">
        <v>8</v>
      </c>
      <c r="M198">
        <v>1.5476000000000001</v>
      </c>
      <c r="N198" t="s">
        <v>9</v>
      </c>
      <c r="O198">
        <v>-1.22487179487179</v>
      </c>
      <c r="P198" t="s">
        <v>10</v>
      </c>
      <c r="Q198">
        <v>0.41275132098832301</v>
      </c>
      <c r="R198" t="s">
        <v>11</v>
      </c>
      <c r="S198" t="s">
        <v>3582</v>
      </c>
      <c r="T198" t="s">
        <v>3511</v>
      </c>
      <c r="U198">
        <v>0</v>
      </c>
      <c r="V198" t="s">
        <v>14</v>
      </c>
      <c r="W198" t="s">
        <v>15</v>
      </c>
      <c r="X198" t="s">
        <v>3582</v>
      </c>
      <c r="Y198" t="s">
        <v>3511</v>
      </c>
      <c r="Z198">
        <v>0</v>
      </c>
      <c r="AA198" t="s">
        <v>18</v>
      </c>
    </row>
    <row r="199" spans="1:27" x14ac:dyDescent="0.3">
      <c r="A199" t="s">
        <v>3292</v>
      </c>
      <c r="B199" t="s">
        <v>3235</v>
      </c>
      <c r="C199" t="s">
        <v>3905</v>
      </c>
      <c r="D199" t="s">
        <v>1224</v>
      </c>
      <c r="E199">
        <v>157</v>
      </c>
      <c r="F199" t="s">
        <v>5</v>
      </c>
      <c r="G199">
        <v>71</v>
      </c>
      <c r="H199" t="s">
        <v>6</v>
      </c>
      <c r="I199">
        <v>-18.1750067818089</v>
      </c>
      <c r="J199" t="s">
        <v>7</v>
      </c>
      <c r="K199">
        <v>-0.11576437440642599</v>
      </c>
      <c r="L199" t="s">
        <v>8</v>
      </c>
      <c r="M199">
        <v>1.5959280660628901</v>
      </c>
      <c r="N199" t="s">
        <v>9</v>
      </c>
      <c r="O199">
        <v>-1.52890580781714</v>
      </c>
      <c r="P199" t="s">
        <v>10</v>
      </c>
      <c r="Q199">
        <v>0.54548679615107398</v>
      </c>
      <c r="R199" t="s">
        <v>11</v>
      </c>
      <c r="S199" t="s">
        <v>3481</v>
      </c>
      <c r="T199" t="s">
        <v>2793</v>
      </c>
      <c r="U199">
        <v>0</v>
      </c>
      <c r="V199" t="s">
        <v>14</v>
      </c>
      <c r="W199" t="s">
        <v>15</v>
      </c>
      <c r="X199" t="s">
        <v>3420</v>
      </c>
      <c r="Y199" t="s">
        <v>3398</v>
      </c>
      <c r="Z199">
        <v>0</v>
      </c>
      <c r="AA199" t="s">
        <v>18</v>
      </c>
    </row>
    <row r="200" spans="1:27" x14ac:dyDescent="0.3">
      <c r="A200" t="s">
        <v>3292</v>
      </c>
      <c r="B200" t="s">
        <v>3202</v>
      </c>
      <c r="C200" t="s">
        <v>3906</v>
      </c>
      <c r="D200" t="s">
        <v>1224</v>
      </c>
      <c r="E200">
        <v>155</v>
      </c>
      <c r="F200" t="s">
        <v>5</v>
      </c>
      <c r="G200">
        <v>91</v>
      </c>
      <c r="H200" t="s">
        <v>6</v>
      </c>
      <c r="I200">
        <v>-18.22</v>
      </c>
      <c r="J200" t="s">
        <v>7</v>
      </c>
      <c r="K200">
        <v>-0.117548387096774</v>
      </c>
      <c r="L200" t="s">
        <v>8</v>
      </c>
      <c r="M200">
        <v>0.84857142857142798</v>
      </c>
      <c r="N200" t="s">
        <v>9</v>
      </c>
      <c r="O200">
        <v>-1.49124999999999</v>
      </c>
      <c r="P200" t="s">
        <v>10</v>
      </c>
      <c r="Q200">
        <v>0.28194952337270801</v>
      </c>
      <c r="R200" t="s">
        <v>11</v>
      </c>
      <c r="S200" t="s">
        <v>3386</v>
      </c>
      <c r="T200" t="s">
        <v>3030</v>
      </c>
      <c r="U200">
        <v>0</v>
      </c>
      <c r="V200" t="s">
        <v>14</v>
      </c>
      <c r="W200" t="s">
        <v>15</v>
      </c>
      <c r="X200" t="s">
        <v>3387</v>
      </c>
      <c r="Y200" t="s">
        <v>3388</v>
      </c>
      <c r="Z200">
        <v>0</v>
      </c>
      <c r="AA200" t="s">
        <v>18</v>
      </c>
    </row>
    <row r="201" spans="1:27" x14ac:dyDescent="0.3">
      <c r="A201" t="s">
        <v>1219</v>
      </c>
      <c r="B201" t="s">
        <v>3286</v>
      </c>
      <c r="C201" t="s">
        <v>3907</v>
      </c>
      <c r="D201" t="s">
        <v>1224</v>
      </c>
      <c r="E201">
        <v>167</v>
      </c>
      <c r="F201" t="s">
        <v>5</v>
      </c>
      <c r="G201">
        <v>86</v>
      </c>
      <c r="H201" t="s">
        <v>6</v>
      </c>
      <c r="I201">
        <v>-18.222124348443099</v>
      </c>
      <c r="J201" t="s">
        <v>7</v>
      </c>
      <c r="K201">
        <v>-0.109114517056545</v>
      </c>
      <c r="L201" t="s">
        <v>8</v>
      </c>
      <c r="M201">
        <v>1.2269466600566701</v>
      </c>
      <c r="N201" t="s">
        <v>9</v>
      </c>
      <c r="O201">
        <v>-1.5276486063372401</v>
      </c>
      <c r="P201" t="s">
        <v>10</v>
      </c>
      <c r="Q201">
        <v>0.37285472468860398</v>
      </c>
      <c r="R201" t="s">
        <v>11</v>
      </c>
      <c r="S201" t="s">
        <v>3460</v>
      </c>
      <c r="T201" t="s">
        <v>2169</v>
      </c>
      <c r="U201">
        <v>0</v>
      </c>
      <c r="V201" t="s">
        <v>14</v>
      </c>
      <c r="W201" t="s">
        <v>15</v>
      </c>
      <c r="X201" t="s">
        <v>3461</v>
      </c>
      <c r="Y201" t="s">
        <v>2169</v>
      </c>
      <c r="Z201">
        <v>0</v>
      </c>
      <c r="AA201" t="s">
        <v>18</v>
      </c>
    </row>
    <row r="202" spans="1:27" x14ac:dyDescent="0.3">
      <c r="A202" t="s">
        <v>1219</v>
      </c>
      <c r="B202" t="s">
        <v>3253</v>
      </c>
      <c r="C202" t="s">
        <v>3908</v>
      </c>
      <c r="D202" t="s">
        <v>1224</v>
      </c>
      <c r="E202">
        <v>167</v>
      </c>
      <c r="F202" t="s">
        <v>5</v>
      </c>
      <c r="G202">
        <v>67</v>
      </c>
      <c r="H202" t="s">
        <v>6</v>
      </c>
      <c r="I202">
        <v>-18.309107003128801</v>
      </c>
      <c r="J202" t="s">
        <v>7</v>
      </c>
      <c r="K202">
        <v>-0.10963537127622</v>
      </c>
      <c r="L202" t="s">
        <v>8</v>
      </c>
      <c r="M202">
        <v>1.61748290523765</v>
      </c>
      <c r="N202" t="s">
        <v>9</v>
      </c>
      <c r="O202">
        <v>-1.26680461654051</v>
      </c>
      <c r="P202" t="s">
        <v>10</v>
      </c>
      <c r="Q202">
        <v>0.49814916844637303</v>
      </c>
      <c r="R202" t="s">
        <v>11</v>
      </c>
      <c r="S202" t="s">
        <v>3427</v>
      </c>
      <c r="T202" t="s">
        <v>635</v>
      </c>
      <c r="U202">
        <v>0</v>
      </c>
      <c r="V202" t="s">
        <v>14</v>
      </c>
      <c r="W202" t="s">
        <v>15</v>
      </c>
      <c r="X202" t="s">
        <v>3429</v>
      </c>
      <c r="Y202" t="s">
        <v>3296</v>
      </c>
      <c r="Z202">
        <v>0</v>
      </c>
      <c r="AA202" t="s">
        <v>18</v>
      </c>
    </row>
    <row r="203" spans="1:27" x14ac:dyDescent="0.3">
      <c r="A203" t="s">
        <v>1221</v>
      </c>
      <c r="B203" t="s">
        <v>3264</v>
      </c>
      <c r="C203" t="s">
        <v>3909</v>
      </c>
      <c r="D203" t="s">
        <v>1224</v>
      </c>
      <c r="E203">
        <v>130</v>
      </c>
      <c r="F203" t="s">
        <v>5</v>
      </c>
      <c r="G203">
        <v>42</v>
      </c>
      <c r="H203" t="s">
        <v>6</v>
      </c>
      <c r="I203">
        <v>-18.3799999999999</v>
      </c>
      <c r="J203" t="s">
        <v>7</v>
      </c>
      <c r="K203">
        <v>-0.141384615384615</v>
      </c>
      <c r="L203" t="s">
        <v>8</v>
      </c>
      <c r="M203">
        <v>2.62619047619047</v>
      </c>
      <c r="N203" t="s">
        <v>9</v>
      </c>
      <c r="O203">
        <v>-1.4622727272727201</v>
      </c>
      <c r="P203" t="s">
        <v>10</v>
      </c>
      <c r="Q203">
        <v>0.42046120865632602</v>
      </c>
      <c r="R203" t="s">
        <v>11</v>
      </c>
      <c r="S203" t="s">
        <v>3543</v>
      </c>
      <c r="T203" t="s">
        <v>2767</v>
      </c>
      <c r="U203">
        <v>0</v>
      </c>
      <c r="V203" t="s">
        <v>14</v>
      </c>
      <c r="W203" t="s">
        <v>15</v>
      </c>
      <c r="X203" t="s">
        <v>3543</v>
      </c>
      <c r="Y203" t="s">
        <v>2767</v>
      </c>
      <c r="Z203">
        <v>0</v>
      </c>
      <c r="AA203" t="s">
        <v>18</v>
      </c>
    </row>
    <row r="204" spans="1:27" x14ac:dyDescent="0.3">
      <c r="A204" t="s">
        <v>1220</v>
      </c>
      <c r="B204" t="s">
        <v>3281</v>
      </c>
      <c r="C204" t="s">
        <v>3910</v>
      </c>
      <c r="D204" t="s">
        <v>1224</v>
      </c>
      <c r="E204">
        <v>140</v>
      </c>
      <c r="F204" t="s">
        <v>5</v>
      </c>
      <c r="G204">
        <v>66</v>
      </c>
      <c r="H204" t="s">
        <v>6</v>
      </c>
      <c r="I204">
        <v>-18.849999999999898</v>
      </c>
      <c r="J204" t="s">
        <v>7</v>
      </c>
      <c r="K204">
        <v>-0.13464285714285601</v>
      </c>
      <c r="L204" t="s">
        <v>8</v>
      </c>
      <c r="M204">
        <v>1.6565151515151499</v>
      </c>
      <c r="N204" t="s">
        <v>9</v>
      </c>
      <c r="O204">
        <v>-1.7321621621621599</v>
      </c>
      <c r="P204" t="s">
        <v>10</v>
      </c>
      <c r="Q204">
        <v>0.40266896757577703</v>
      </c>
      <c r="R204" t="s">
        <v>11</v>
      </c>
      <c r="S204" t="s">
        <v>2657</v>
      </c>
      <c r="T204" t="s">
        <v>3303</v>
      </c>
      <c r="U204">
        <v>0</v>
      </c>
      <c r="V204" t="s">
        <v>14</v>
      </c>
      <c r="W204" t="s">
        <v>15</v>
      </c>
      <c r="X204" t="s">
        <v>2657</v>
      </c>
      <c r="Y204" t="s">
        <v>3303</v>
      </c>
      <c r="Z204">
        <v>0</v>
      </c>
      <c r="AA204" t="s">
        <v>18</v>
      </c>
    </row>
    <row r="205" spans="1:27" x14ac:dyDescent="0.3">
      <c r="A205" t="s">
        <v>1222</v>
      </c>
      <c r="B205" t="s">
        <v>3254</v>
      </c>
      <c r="C205" t="s">
        <v>3911</v>
      </c>
      <c r="D205" t="s">
        <v>1224</v>
      </c>
      <c r="E205">
        <v>127</v>
      </c>
      <c r="F205" t="s">
        <v>5</v>
      </c>
      <c r="G205">
        <v>54</v>
      </c>
      <c r="H205" t="s">
        <v>6</v>
      </c>
      <c r="I205">
        <v>-18.871002823969</v>
      </c>
      <c r="J205" t="s">
        <v>7</v>
      </c>
      <c r="K205">
        <v>-0.14859057341707799</v>
      </c>
      <c r="L205" t="s">
        <v>8</v>
      </c>
      <c r="M205">
        <v>1.38148148148148</v>
      </c>
      <c r="N205" t="s">
        <v>9</v>
      </c>
      <c r="O205">
        <v>-1.2982083725551199</v>
      </c>
      <c r="P205" t="s">
        <v>10</v>
      </c>
      <c r="Q205">
        <v>0.403395788617814</v>
      </c>
      <c r="R205" t="s">
        <v>11</v>
      </c>
      <c r="S205" t="s">
        <v>3515</v>
      </c>
      <c r="T205" t="s">
        <v>3320</v>
      </c>
      <c r="U205">
        <v>0</v>
      </c>
      <c r="V205" t="s">
        <v>14</v>
      </c>
      <c r="W205" t="s">
        <v>15</v>
      </c>
      <c r="X205" t="s">
        <v>3584</v>
      </c>
      <c r="Y205" t="s">
        <v>2793</v>
      </c>
      <c r="Z205">
        <v>0</v>
      </c>
      <c r="AA205" t="s">
        <v>18</v>
      </c>
    </row>
    <row r="206" spans="1:27" x14ac:dyDescent="0.3">
      <c r="A206" t="s">
        <v>1221</v>
      </c>
      <c r="B206" t="s">
        <v>3281</v>
      </c>
      <c r="C206" t="s">
        <v>3912</v>
      </c>
      <c r="D206" t="s">
        <v>1224</v>
      </c>
      <c r="E206">
        <v>130</v>
      </c>
      <c r="F206" t="s">
        <v>5</v>
      </c>
      <c r="G206">
        <v>61</v>
      </c>
      <c r="H206" t="s">
        <v>6</v>
      </c>
      <c r="I206">
        <v>-19.0199999999999</v>
      </c>
      <c r="J206" t="s">
        <v>7</v>
      </c>
      <c r="K206">
        <v>-0.146307692307691</v>
      </c>
      <c r="L206" t="s">
        <v>8</v>
      </c>
      <c r="M206">
        <v>1.5962295081967199</v>
      </c>
      <c r="N206" t="s">
        <v>9</v>
      </c>
      <c r="O206">
        <v>-1.6868115942028901</v>
      </c>
      <c r="P206" t="s">
        <v>10</v>
      </c>
      <c r="Q206">
        <v>0.35964744943751698</v>
      </c>
      <c r="R206" t="s">
        <v>11</v>
      </c>
      <c r="S206" t="s">
        <v>2657</v>
      </c>
      <c r="T206" t="s">
        <v>3303</v>
      </c>
      <c r="U206">
        <v>0</v>
      </c>
      <c r="V206" t="s">
        <v>14</v>
      </c>
      <c r="W206" t="s">
        <v>15</v>
      </c>
      <c r="X206" t="s">
        <v>2657</v>
      </c>
      <c r="Y206" t="s">
        <v>3303</v>
      </c>
      <c r="Z206">
        <v>0</v>
      </c>
      <c r="AA206" t="s">
        <v>18</v>
      </c>
    </row>
    <row r="207" spans="1:27" x14ac:dyDescent="0.3">
      <c r="A207" t="s">
        <v>1222</v>
      </c>
      <c r="B207" t="s">
        <v>3244</v>
      </c>
      <c r="C207" t="s">
        <v>3913</v>
      </c>
      <c r="D207" t="s">
        <v>1224</v>
      </c>
      <c r="E207">
        <v>128</v>
      </c>
      <c r="F207" t="s">
        <v>5</v>
      </c>
      <c r="G207">
        <v>65</v>
      </c>
      <c r="H207" t="s">
        <v>6</v>
      </c>
      <c r="I207">
        <v>-19.09</v>
      </c>
      <c r="J207" t="s">
        <v>7</v>
      </c>
      <c r="K207">
        <v>-0.149140625</v>
      </c>
      <c r="L207" t="s">
        <v>8</v>
      </c>
      <c r="M207">
        <v>0.77369230769230701</v>
      </c>
      <c r="N207" t="s">
        <v>9</v>
      </c>
      <c r="O207">
        <v>-1.1012698412698401</v>
      </c>
      <c r="P207" t="s">
        <v>10</v>
      </c>
      <c r="Q207">
        <v>0.24533026492196999</v>
      </c>
      <c r="R207" t="s">
        <v>11</v>
      </c>
      <c r="S207" t="s">
        <v>3577</v>
      </c>
      <c r="T207" t="s">
        <v>3333</v>
      </c>
      <c r="U207">
        <v>0</v>
      </c>
      <c r="V207" t="s">
        <v>14</v>
      </c>
      <c r="W207" t="s">
        <v>15</v>
      </c>
      <c r="X207" t="s">
        <v>3578</v>
      </c>
      <c r="Y207" t="s">
        <v>3579</v>
      </c>
      <c r="Z207">
        <v>0</v>
      </c>
      <c r="AA207" t="s">
        <v>18</v>
      </c>
    </row>
    <row r="208" spans="1:27" x14ac:dyDescent="0.3">
      <c r="A208" t="s">
        <v>1221</v>
      </c>
      <c r="B208" t="s">
        <v>3241</v>
      </c>
      <c r="C208" t="s">
        <v>3914</v>
      </c>
      <c r="D208" t="s">
        <v>1224</v>
      </c>
      <c r="E208">
        <v>125</v>
      </c>
      <c r="F208" t="s">
        <v>5</v>
      </c>
      <c r="G208">
        <v>48</v>
      </c>
      <c r="H208" t="s">
        <v>6</v>
      </c>
      <c r="I208">
        <v>-19.219999999999899</v>
      </c>
      <c r="J208" t="s">
        <v>7</v>
      </c>
      <c r="K208">
        <v>-0.15375999999999901</v>
      </c>
      <c r="L208" t="s">
        <v>8</v>
      </c>
      <c r="M208">
        <v>1.2749999999999899</v>
      </c>
      <c r="N208" t="s">
        <v>9</v>
      </c>
      <c r="O208">
        <v>-1.04441558441558</v>
      </c>
      <c r="P208" t="s">
        <v>10</v>
      </c>
      <c r="Q208">
        <v>0.39435140414978598</v>
      </c>
      <c r="R208" t="s">
        <v>11</v>
      </c>
      <c r="S208" t="s">
        <v>3335</v>
      </c>
      <c r="T208" t="s">
        <v>2757</v>
      </c>
      <c r="U208">
        <v>0</v>
      </c>
      <c r="V208" t="s">
        <v>14</v>
      </c>
      <c r="W208" t="s">
        <v>15</v>
      </c>
      <c r="X208" t="s">
        <v>3516</v>
      </c>
      <c r="Y208" t="s">
        <v>3333</v>
      </c>
      <c r="Z208">
        <v>0</v>
      </c>
      <c r="AA208" t="s">
        <v>18</v>
      </c>
    </row>
    <row r="209" spans="1:27" x14ac:dyDescent="0.3">
      <c r="A209" t="s">
        <v>1219</v>
      </c>
      <c r="B209" t="s">
        <v>3245</v>
      </c>
      <c r="C209" t="s">
        <v>3915</v>
      </c>
      <c r="D209" t="s">
        <v>1224</v>
      </c>
      <c r="E209">
        <v>178</v>
      </c>
      <c r="F209" t="s">
        <v>5</v>
      </c>
      <c r="G209">
        <v>92</v>
      </c>
      <c r="H209" t="s">
        <v>6</v>
      </c>
      <c r="I209">
        <v>-19.4499999999999</v>
      </c>
      <c r="J209" t="s">
        <v>7</v>
      </c>
      <c r="K209">
        <v>-0.109269662921348</v>
      </c>
      <c r="L209" t="s">
        <v>8</v>
      </c>
      <c r="M209">
        <v>0.87793478260869495</v>
      </c>
      <c r="N209" t="s">
        <v>9</v>
      </c>
      <c r="O209">
        <v>-1.1653488372092999</v>
      </c>
      <c r="P209" t="s">
        <v>10</v>
      </c>
      <c r="Q209">
        <v>0.33331270612048602</v>
      </c>
      <c r="R209" t="s">
        <v>11</v>
      </c>
      <c r="S209" t="s">
        <v>3422</v>
      </c>
      <c r="T209" t="s">
        <v>603</v>
      </c>
      <c r="U209">
        <v>0</v>
      </c>
      <c r="V209" t="s">
        <v>14</v>
      </c>
      <c r="W209" t="s">
        <v>15</v>
      </c>
      <c r="X209" t="s">
        <v>3425</v>
      </c>
      <c r="Y209" t="s">
        <v>603</v>
      </c>
      <c r="Z209">
        <v>0</v>
      </c>
      <c r="AA209" t="s">
        <v>18</v>
      </c>
    </row>
    <row r="210" spans="1:27" x14ac:dyDescent="0.3">
      <c r="A210" t="s">
        <v>1222</v>
      </c>
      <c r="B210" t="s">
        <v>3253</v>
      </c>
      <c r="C210" t="s">
        <v>3916</v>
      </c>
      <c r="D210" t="s">
        <v>1224</v>
      </c>
      <c r="E210">
        <v>127</v>
      </c>
      <c r="F210" t="s">
        <v>5</v>
      </c>
      <c r="G210">
        <v>56</v>
      </c>
      <c r="H210" t="s">
        <v>6</v>
      </c>
      <c r="I210">
        <v>-19.691002823969001</v>
      </c>
      <c r="J210" t="s">
        <v>7</v>
      </c>
      <c r="K210">
        <v>-0.15504726633046401</v>
      </c>
      <c r="L210" t="s">
        <v>8</v>
      </c>
      <c r="M210">
        <v>1.2532142857142801</v>
      </c>
      <c r="N210" t="s">
        <v>9</v>
      </c>
      <c r="O210">
        <v>-1.28387146891384</v>
      </c>
      <c r="P210" t="s">
        <v>10</v>
      </c>
      <c r="Q210">
        <v>0.36778348659823501</v>
      </c>
      <c r="R210" t="s">
        <v>11</v>
      </c>
      <c r="S210" t="s">
        <v>3583</v>
      </c>
      <c r="T210" t="s">
        <v>2071</v>
      </c>
      <c r="U210">
        <v>0</v>
      </c>
      <c r="V210" t="s">
        <v>14</v>
      </c>
      <c r="W210" t="s">
        <v>15</v>
      </c>
      <c r="X210" t="s">
        <v>3584</v>
      </c>
      <c r="Y210" t="s">
        <v>2793</v>
      </c>
      <c r="Z210">
        <v>0</v>
      </c>
      <c r="AA210" t="s">
        <v>18</v>
      </c>
    </row>
    <row r="211" spans="1:27" x14ac:dyDescent="0.3">
      <c r="A211" t="s">
        <v>3292</v>
      </c>
      <c r="B211" t="s">
        <v>3239</v>
      </c>
      <c r="C211" t="s">
        <v>3917</v>
      </c>
      <c r="D211" t="s">
        <v>1224</v>
      </c>
      <c r="E211">
        <v>155</v>
      </c>
      <c r="F211" t="s">
        <v>5</v>
      </c>
      <c r="G211">
        <v>82</v>
      </c>
      <c r="H211" t="s">
        <v>6</v>
      </c>
      <c r="I211">
        <v>-20.25</v>
      </c>
      <c r="J211" t="s">
        <v>7</v>
      </c>
      <c r="K211">
        <v>-0.130645161290322</v>
      </c>
      <c r="L211" t="s">
        <v>8</v>
      </c>
      <c r="M211">
        <v>0.59597560975609698</v>
      </c>
      <c r="N211" t="s">
        <v>9</v>
      </c>
      <c r="O211">
        <v>-0.94684931506849301</v>
      </c>
      <c r="P211" t="s">
        <v>10</v>
      </c>
      <c r="Q211">
        <v>0.23700265269804799</v>
      </c>
      <c r="R211" t="s">
        <v>11</v>
      </c>
      <c r="S211" t="s">
        <v>3484</v>
      </c>
      <c r="T211" t="s">
        <v>3485</v>
      </c>
      <c r="U211">
        <v>0</v>
      </c>
      <c r="V211" t="s">
        <v>14</v>
      </c>
      <c r="W211" t="s">
        <v>15</v>
      </c>
      <c r="X211" t="s">
        <v>1315</v>
      </c>
      <c r="Y211" t="s">
        <v>3486</v>
      </c>
      <c r="Z211">
        <v>0</v>
      </c>
      <c r="AA211" t="s">
        <v>18</v>
      </c>
    </row>
    <row r="212" spans="1:27" x14ac:dyDescent="0.3">
      <c r="A212" t="s">
        <v>3293</v>
      </c>
      <c r="B212" t="s">
        <v>3251</v>
      </c>
      <c r="C212" t="s">
        <v>3918</v>
      </c>
      <c r="D212" t="s">
        <v>1224</v>
      </c>
      <c r="E212">
        <v>331</v>
      </c>
      <c r="F212" t="s">
        <v>5</v>
      </c>
      <c r="G212">
        <v>171</v>
      </c>
      <c r="H212" t="s">
        <v>6</v>
      </c>
      <c r="I212">
        <v>-20.415929490228699</v>
      </c>
      <c r="J212" t="s">
        <v>7</v>
      </c>
      <c r="K212">
        <v>-6.1679545287700199E-2</v>
      </c>
      <c r="L212" t="s">
        <v>8</v>
      </c>
      <c r="M212">
        <v>0.86087597471760202</v>
      </c>
      <c r="N212" t="s">
        <v>9</v>
      </c>
      <c r="O212">
        <v>-1.05424981865999</v>
      </c>
      <c r="P212" t="s">
        <v>10</v>
      </c>
      <c r="Q212">
        <v>0.48523597117901501</v>
      </c>
      <c r="R212" t="s">
        <v>11</v>
      </c>
      <c r="S212" t="s">
        <v>2657</v>
      </c>
      <c r="T212" t="s">
        <v>3303</v>
      </c>
      <c r="U212">
        <v>0</v>
      </c>
      <c r="V212" t="s">
        <v>14</v>
      </c>
      <c r="W212" t="s">
        <v>15</v>
      </c>
      <c r="X212" t="s">
        <v>2812</v>
      </c>
      <c r="Y212" t="s">
        <v>3303</v>
      </c>
      <c r="Z212">
        <v>0</v>
      </c>
      <c r="AA212" t="s">
        <v>18</v>
      </c>
    </row>
    <row r="213" spans="1:27" x14ac:dyDescent="0.3">
      <c r="A213" t="s">
        <v>1221</v>
      </c>
      <c r="B213" t="s">
        <v>3261</v>
      </c>
      <c r="C213" t="s">
        <v>3919</v>
      </c>
      <c r="D213" t="s">
        <v>1224</v>
      </c>
      <c r="E213">
        <v>125</v>
      </c>
      <c r="F213" t="s">
        <v>5</v>
      </c>
      <c r="G213">
        <v>39</v>
      </c>
      <c r="H213" t="s">
        <v>6</v>
      </c>
      <c r="I213">
        <v>-20.559999999999899</v>
      </c>
      <c r="J213" t="s">
        <v>7</v>
      </c>
      <c r="K213">
        <v>-0.16447999999999899</v>
      </c>
      <c r="L213" t="s">
        <v>8</v>
      </c>
      <c r="M213">
        <v>2.9374358974358898</v>
      </c>
      <c r="N213" t="s">
        <v>9</v>
      </c>
      <c r="O213">
        <v>-1.57116279069767</v>
      </c>
      <c r="P213" t="s">
        <v>10</v>
      </c>
      <c r="Q213">
        <v>0.60137023596888695</v>
      </c>
      <c r="R213" t="s">
        <v>11</v>
      </c>
      <c r="S213" t="s">
        <v>3526</v>
      </c>
      <c r="T213" t="s">
        <v>2666</v>
      </c>
      <c r="U213">
        <v>0</v>
      </c>
      <c r="V213" t="s">
        <v>14</v>
      </c>
      <c r="W213" t="s">
        <v>15</v>
      </c>
      <c r="X213" t="s">
        <v>3526</v>
      </c>
      <c r="Y213" t="s">
        <v>2666</v>
      </c>
      <c r="Z213">
        <v>0</v>
      </c>
      <c r="AA213" t="s">
        <v>18</v>
      </c>
    </row>
    <row r="214" spans="1:27" x14ac:dyDescent="0.3">
      <c r="A214" t="s">
        <v>1219</v>
      </c>
      <c r="B214" t="s">
        <v>3227</v>
      </c>
      <c r="C214" t="s">
        <v>3920</v>
      </c>
      <c r="D214" t="s">
        <v>1224</v>
      </c>
      <c r="E214">
        <v>178</v>
      </c>
      <c r="F214" t="s">
        <v>5</v>
      </c>
      <c r="G214">
        <v>98</v>
      </c>
      <c r="H214" t="s">
        <v>6</v>
      </c>
      <c r="I214">
        <v>-20.659999999999901</v>
      </c>
      <c r="J214" t="s">
        <v>7</v>
      </c>
      <c r="K214">
        <v>-0.11606741573033599</v>
      </c>
      <c r="L214" t="s">
        <v>8</v>
      </c>
      <c r="M214">
        <v>0.98163265306122405</v>
      </c>
      <c r="N214" t="s">
        <v>9</v>
      </c>
      <c r="O214">
        <v>-1.46075</v>
      </c>
      <c r="P214" t="s">
        <v>10</v>
      </c>
      <c r="Q214">
        <v>0.342223600085725</v>
      </c>
      <c r="R214" t="s">
        <v>11</v>
      </c>
      <c r="S214" t="s">
        <v>3410</v>
      </c>
      <c r="T214" t="s">
        <v>3411</v>
      </c>
      <c r="U214">
        <v>0</v>
      </c>
      <c r="V214" t="s">
        <v>14</v>
      </c>
      <c r="W214" t="s">
        <v>15</v>
      </c>
      <c r="X214" t="s">
        <v>2800</v>
      </c>
      <c r="Y214" t="s">
        <v>3411</v>
      </c>
      <c r="Z214">
        <v>0</v>
      </c>
      <c r="AA214" t="s">
        <v>18</v>
      </c>
    </row>
    <row r="215" spans="1:27" x14ac:dyDescent="0.3">
      <c r="A215" t="s">
        <v>1219</v>
      </c>
      <c r="B215" t="s">
        <v>3224</v>
      </c>
      <c r="C215" t="s">
        <v>3921</v>
      </c>
      <c r="D215" t="s">
        <v>1224</v>
      </c>
      <c r="E215">
        <v>169</v>
      </c>
      <c r="F215" t="s">
        <v>5</v>
      </c>
      <c r="G215">
        <v>75</v>
      </c>
      <c r="H215" t="s">
        <v>6</v>
      </c>
      <c r="I215">
        <v>-20.909999999999901</v>
      </c>
      <c r="J215" t="s">
        <v>7</v>
      </c>
      <c r="K215">
        <v>-0.123727810650887</v>
      </c>
      <c r="L215" t="s">
        <v>8</v>
      </c>
      <c r="M215">
        <v>1.34506666666666</v>
      </c>
      <c r="N215" t="s">
        <v>9</v>
      </c>
      <c r="O215">
        <v>-1.29563829787234</v>
      </c>
      <c r="P215" t="s">
        <v>10</v>
      </c>
      <c r="Q215">
        <v>0.47889237495005299</v>
      </c>
      <c r="R215" t="s">
        <v>11</v>
      </c>
      <c r="S215" t="s">
        <v>3406</v>
      </c>
      <c r="T215" t="s">
        <v>2644</v>
      </c>
      <c r="U215">
        <v>0</v>
      </c>
      <c r="V215" t="s">
        <v>14</v>
      </c>
      <c r="W215" t="s">
        <v>15</v>
      </c>
      <c r="X215" t="s">
        <v>3407</v>
      </c>
      <c r="Y215" t="s">
        <v>2644</v>
      </c>
      <c r="Z215">
        <v>0</v>
      </c>
      <c r="AA215" t="s">
        <v>18</v>
      </c>
    </row>
    <row r="216" spans="1:27" x14ac:dyDescent="0.3">
      <c r="A216" t="s">
        <v>1220</v>
      </c>
      <c r="B216" t="s">
        <v>3239</v>
      </c>
      <c r="C216" t="s">
        <v>3922</v>
      </c>
      <c r="D216" t="s">
        <v>1224</v>
      </c>
      <c r="E216">
        <v>135</v>
      </c>
      <c r="F216" t="s">
        <v>5</v>
      </c>
      <c r="G216">
        <v>61</v>
      </c>
      <c r="H216" t="s">
        <v>6</v>
      </c>
      <c r="I216">
        <v>-20.9299999999999</v>
      </c>
      <c r="J216" t="s">
        <v>7</v>
      </c>
      <c r="K216">
        <v>-0.155037037037037</v>
      </c>
      <c r="L216" t="s">
        <v>8</v>
      </c>
      <c r="M216">
        <v>0.97836065573770403</v>
      </c>
      <c r="N216" t="s">
        <v>9</v>
      </c>
      <c r="O216">
        <v>-1.08932432432432</v>
      </c>
      <c r="P216" t="s">
        <v>10</v>
      </c>
      <c r="Q216">
        <v>0.32847635448669898</v>
      </c>
      <c r="R216" t="s">
        <v>11</v>
      </c>
      <c r="S216" t="s">
        <v>3326</v>
      </c>
      <c r="T216" t="s">
        <v>21</v>
      </c>
      <c r="U216">
        <v>0</v>
      </c>
      <c r="V216" t="s">
        <v>14</v>
      </c>
      <c r="W216" t="s">
        <v>15</v>
      </c>
      <c r="X216" t="s">
        <v>3516</v>
      </c>
      <c r="Y216" t="s">
        <v>3333</v>
      </c>
      <c r="Z216">
        <v>0</v>
      </c>
      <c r="AA216" t="s">
        <v>18</v>
      </c>
    </row>
    <row r="217" spans="1:27" x14ac:dyDescent="0.3">
      <c r="A217" t="s">
        <v>1220</v>
      </c>
      <c r="B217" t="s">
        <v>3211</v>
      </c>
      <c r="C217" t="s">
        <v>3923</v>
      </c>
      <c r="D217" t="s">
        <v>1224</v>
      </c>
      <c r="E217">
        <v>140</v>
      </c>
      <c r="F217" t="s">
        <v>5</v>
      </c>
      <c r="G217">
        <v>50</v>
      </c>
      <c r="H217" t="s">
        <v>6</v>
      </c>
      <c r="I217">
        <v>-21.11</v>
      </c>
      <c r="J217" t="s">
        <v>7</v>
      </c>
      <c r="K217">
        <v>-0.150785714285714</v>
      </c>
      <c r="L217" t="s">
        <v>8</v>
      </c>
      <c r="M217">
        <v>2.7172000000000001</v>
      </c>
      <c r="N217" t="s">
        <v>9</v>
      </c>
      <c r="O217">
        <v>-1.7441111111111101</v>
      </c>
      <c r="P217" t="s">
        <v>10</v>
      </c>
      <c r="Q217">
        <v>0.51979587493147505</v>
      </c>
      <c r="R217" t="s">
        <v>11</v>
      </c>
      <c r="S217" t="s">
        <v>2657</v>
      </c>
      <c r="T217" t="s">
        <v>3303</v>
      </c>
      <c r="U217">
        <v>0</v>
      </c>
      <c r="V217" t="s">
        <v>14</v>
      </c>
      <c r="W217" t="s">
        <v>15</v>
      </c>
      <c r="X217" t="s">
        <v>2657</v>
      </c>
      <c r="Y217" t="s">
        <v>3303</v>
      </c>
      <c r="Z217">
        <v>0</v>
      </c>
      <c r="AA217" t="s">
        <v>18</v>
      </c>
    </row>
    <row r="218" spans="1:27" x14ac:dyDescent="0.3">
      <c r="A218" t="s">
        <v>1221</v>
      </c>
      <c r="B218" t="s">
        <v>3259</v>
      </c>
      <c r="C218" t="s">
        <v>3924</v>
      </c>
      <c r="D218" t="s">
        <v>1224</v>
      </c>
      <c r="E218">
        <v>125</v>
      </c>
      <c r="F218" t="s">
        <v>5</v>
      </c>
      <c r="G218">
        <v>43</v>
      </c>
      <c r="H218" t="s">
        <v>6</v>
      </c>
      <c r="I218">
        <v>-21.299999999999901</v>
      </c>
      <c r="J218" t="s">
        <v>7</v>
      </c>
      <c r="K218">
        <v>-0.170399999999999</v>
      </c>
      <c r="L218" t="s">
        <v>8</v>
      </c>
      <c r="M218">
        <v>2.4595348837209299</v>
      </c>
      <c r="N218" t="s">
        <v>9</v>
      </c>
      <c r="O218">
        <v>-1.5495121951219499</v>
      </c>
      <c r="P218" t="s">
        <v>10</v>
      </c>
      <c r="Q218">
        <v>0.46100801413998899</v>
      </c>
      <c r="R218" t="s">
        <v>11</v>
      </c>
      <c r="S218" t="s">
        <v>3523</v>
      </c>
      <c r="T218" t="s">
        <v>730</v>
      </c>
      <c r="U218">
        <v>0</v>
      </c>
      <c r="V218" t="s">
        <v>14</v>
      </c>
      <c r="W218" t="s">
        <v>15</v>
      </c>
      <c r="X218" t="s">
        <v>3524</v>
      </c>
      <c r="Y218" t="s">
        <v>3525</v>
      </c>
      <c r="Z218">
        <v>0</v>
      </c>
      <c r="AA218" t="s">
        <v>18</v>
      </c>
    </row>
    <row r="219" spans="1:27" x14ac:dyDescent="0.3">
      <c r="A219" t="s">
        <v>3292</v>
      </c>
      <c r="B219" t="s">
        <v>3244</v>
      </c>
      <c r="C219" t="s">
        <v>3925</v>
      </c>
      <c r="D219" t="s">
        <v>1224</v>
      </c>
      <c r="E219">
        <v>165</v>
      </c>
      <c r="F219" t="s">
        <v>5</v>
      </c>
      <c r="G219">
        <v>92</v>
      </c>
      <c r="H219" t="s">
        <v>6</v>
      </c>
      <c r="I219">
        <v>-21.3599999999999</v>
      </c>
      <c r="J219" t="s">
        <v>7</v>
      </c>
      <c r="K219">
        <v>-0.12945454545454499</v>
      </c>
      <c r="L219" t="s">
        <v>8</v>
      </c>
      <c r="M219">
        <v>0.65271739130434703</v>
      </c>
      <c r="N219" t="s">
        <v>9</v>
      </c>
      <c r="O219">
        <v>-1.1152054794520501</v>
      </c>
      <c r="P219" t="s">
        <v>10</v>
      </c>
      <c r="Q219">
        <v>0.25491412180135797</v>
      </c>
      <c r="R219" t="s">
        <v>11</v>
      </c>
      <c r="S219" t="s">
        <v>3484</v>
      </c>
      <c r="T219" t="s">
        <v>3485</v>
      </c>
      <c r="U219">
        <v>0</v>
      </c>
      <c r="V219" t="s">
        <v>14</v>
      </c>
      <c r="W219" t="s">
        <v>15</v>
      </c>
      <c r="X219" t="s">
        <v>3488</v>
      </c>
      <c r="Y219" t="s">
        <v>3486</v>
      </c>
      <c r="Z219">
        <v>0</v>
      </c>
      <c r="AA219" t="s">
        <v>18</v>
      </c>
    </row>
    <row r="220" spans="1:27" x14ac:dyDescent="0.3">
      <c r="A220" t="s">
        <v>1222</v>
      </c>
      <c r="B220" t="s">
        <v>3265</v>
      </c>
      <c r="C220" t="s">
        <v>3926</v>
      </c>
      <c r="D220" t="s">
        <v>1224</v>
      </c>
      <c r="E220">
        <v>128</v>
      </c>
      <c r="F220" t="s">
        <v>5</v>
      </c>
      <c r="G220">
        <v>30</v>
      </c>
      <c r="H220" t="s">
        <v>6</v>
      </c>
      <c r="I220">
        <v>-21.599999999999898</v>
      </c>
      <c r="J220" t="s">
        <v>7</v>
      </c>
      <c r="K220">
        <v>-0.16874999999999901</v>
      </c>
      <c r="L220" t="s">
        <v>8</v>
      </c>
      <c r="M220">
        <v>4.3473333333333297</v>
      </c>
      <c r="N220" t="s">
        <v>9</v>
      </c>
      <c r="O220">
        <v>-1.55122448979591</v>
      </c>
      <c r="P220" t="s">
        <v>10</v>
      </c>
      <c r="Q220">
        <v>0.58532331877274302</v>
      </c>
      <c r="R220" t="s">
        <v>11</v>
      </c>
      <c r="S220" t="s">
        <v>3552</v>
      </c>
      <c r="T220" t="s">
        <v>2783</v>
      </c>
      <c r="U220">
        <v>0</v>
      </c>
      <c r="V220" t="s">
        <v>14</v>
      </c>
      <c r="W220" t="s">
        <v>15</v>
      </c>
      <c r="X220" t="s">
        <v>3590</v>
      </c>
      <c r="Y220" t="s">
        <v>2704</v>
      </c>
      <c r="Z220">
        <v>0</v>
      </c>
      <c r="AA220" t="s">
        <v>18</v>
      </c>
    </row>
    <row r="221" spans="1:27" x14ac:dyDescent="0.3">
      <c r="A221" t="s">
        <v>1220</v>
      </c>
      <c r="B221" t="s">
        <v>3245</v>
      </c>
      <c r="C221" t="s">
        <v>3927</v>
      </c>
      <c r="D221" t="s">
        <v>1224</v>
      </c>
      <c r="E221">
        <v>140</v>
      </c>
      <c r="F221" t="s">
        <v>5</v>
      </c>
      <c r="G221">
        <v>62</v>
      </c>
      <c r="H221" t="s">
        <v>6</v>
      </c>
      <c r="I221">
        <v>-21.883680232724299</v>
      </c>
      <c r="J221" t="s">
        <v>7</v>
      </c>
      <c r="K221">
        <v>-0.15631200166231701</v>
      </c>
      <c r="L221" t="s">
        <v>8</v>
      </c>
      <c r="M221">
        <v>1.23010193173025</v>
      </c>
      <c r="N221" t="s">
        <v>9</v>
      </c>
      <c r="O221">
        <v>-1.25833333333333</v>
      </c>
      <c r="P221" t="s">
        <v>10</v>
      </c>
      <c r="Q221">
        <v>0.30082313935368798</v>
      </c>
      <c r="R221" t="s">
        <v>11</v>
      </c>
      <c r="S221" t="s">
        <v>3332</v>
      </c>
      <c r="T221" t="s">
        <v>3333</v>
      </c>
      <c r="U221">
        <v>0</v>
      </c>
      <c r="V221" t="s">
        <v>14</v>
      </c>
      <c r="W221" t="s">
        <v>15</v>
      </c>
      <c r="X221" t="s">
        <v>3516</v>
      </c>
      <c r="Y221" t="s">
        <v>3333</v>
      </c>
      <c r="Z221">
        <v>0</v>
      </c>
      <c r="AA221" t="s">
        <v>18</v>
      </c>
    </row>
    <row r="222" spans="1:27" x14ac:dyDescent="0.3">
      <c r="A222" t="s">
        <v>1220</v>
      </c>
      <c r="B222" t="s">
        <v>3243</v>
      </c>
      <c r="C222" t="s">
        <v>3928</v>
      </c>
      <c r="D222" t="s">
        <v>1224</v>
      </c>
      <c r="E222">
        <v>135</v>
      </c>
      <c r="F222" t="s">
        <v>5</v>
      </c>
      <c r="G222">
        <v>51</v>
      </c>
      <c r="H222" t="s">
        <v>6</v>
      </c>
      <c r="I222">
        <v>-21.969999999999899</v>
      </c>
      <c r="J222" t="s">
        <v>7</v>
      </c>
      <c r="K222">
        <v>-0.16274074074073999</v>
      </c>
      <c r="L222" t="s">
        <v>8</v>
      </c>
      <c r="M222">
        <v>1.4735294117647</v>
      </c>
      <c r="N222" t="s">
        <v>9</v>
      </c>
      <c r="O222">
        <v>-1.15619047619047</v>
      </c>
      <c r="P222" t="s">
        <v>10</v>
      </c>
      <c r="Q222">
        <v>0.47813159578546499</v>
      </c>
      <c r="R222" t="s">
        <v>11</v>
      </c>
      <c r="S222" t="s">
        <v>3326</v>
      </c>
      <c r="T222" t="s">
        <v>21</v>
      </c>
      <c r="U222">
        <v>0</v>
      </c>
      <c r="V222" t="s">
        <v>14</v>
      </c>
      <c r="W222" t="s">
        <v>15</v>
      </c>
      <c r="X222" t="s">
        <v>3516</v>
      </c>
      <c r="Y222" t="s">
        <v>3333</v>
      </c>
      <c r="Z222">
        <v>0</v>
      </c>
      <c r="AA222" t="s">
        <v>18</v>
      </c>
    </row>
    <row r="223" spans="1:27" x14ac:dyDescent="0.3">
      <c r="A223" t="s">
        <v>1221</v>
      </c>
      <c r="B223" t="s">
        <v>3222</v>
      </c>
      <c r="C223" t="s">
        <v>3929</v>
      </c>
      <c r="D223" t="s">
        <v>1224</v>
      </c>
      <c r="E223">
        <v>125</v>
      </c>
      <c r="F223" t="s">
        <v>5</v>
      </c>
      <c r="G223">
        <v>50</v>
      </c>
      <c r="H223" t="s">
        <v>6</v>
      </c>
      <c r="I223">
        <v>-22.259999999999899</v>
      </c>
      <c r="J223" t="s">
        <v>7</v>
      </c>
      <c r="K223">
        <v>-0.17807999999999899</v>
      </c>
      <c r="L223" t="s">
        <v>8</v>
      </c>
      <c r="M223">
        <v>1.5469999999999999</v>
      </c>
      <c r="N223" t="s">
        <v>9</v>
      </c>
      <c r="O223">
        <v>-1.3281333333333301</v>
      </c>
      <c r="P223" t="s">
        <v>10</v>
      </c>
      <c r="Q223">
        <v>0.37067594566201501</v>
      </c>
      <c r="R223" t="s">
        <v>11</v>
      </c>
      <c r="S223" t="s">
        <v>3540</v>
      </c>
      <c r="T223" t="s">
        <v>3333</v>
      </c>
      <c r="U223">
        <v>0</v>
      </c>
      <c r="V223" t="s">
        <v>14</v>
      </c>
      <c r="W223" t="s">
        <v>15</v>
      </c>
      <c r="X223" t="s">
        <v>3540</v>
      </c>
      <c r="Y223" t="s">
        <v>3333</v>
      </c>
      <c r="Z223">
        <v>0</v>
      </c>
      <c r="AA223" t="s">
        <v>18</v>
      </c>
    </row>
    <row r="224" spans="1:27" x14ac:dyDescent="0.3">
      <c r="A224" t="s">
        <v>1221</v>
      </c>
      <c r="B224" t="s">
        <v>3245</v>
      </c>
      <c r="C224" t="s">
        <v>3930</v>
      </c>
      <c r="D224" t="s">
        <v>1224</v>
      </c>
      <c r="E224">
        <v>130</v>
      </c>
      <c r="F224" t="s">
        <v>5</v>
      </c>
      <c r="G224">
        <v>56</v>
      </c>
      <c r="H224" t="s">
        <v>6</v>
      </c>
      <c r="I224">
        <v>-22.259999999999899</v>
      </c>
      <c r="J224" t="s">
        <v>7</v>
      </c>
      <c r="K224">
        <v>-0.17123076923076799</v>
      </c>
      <c r="L224" t="s">
        <v>8</v>
      </c>
      <c r="M224">
        <v>1.23839285714285</v>
      </c>
      <c r="N224" t="s">
        <v>9</v>
      </c>
      <c r="O224">
        <v>-1.23797297297297</v>
      </c>
      <c r="P224" t="s">
        <v>10</v>
      </c>
      <c r="Q224">
        <v>0.28325081774743899</v>
      </c>
      <c r="R224" t="s">
        <v>11</v>
      </c>
      <c r="S224" t="s">
        <v>3332</v>
      </c>
      <c r="T224" t="s">
        <v>3333</v>
      </c>
      <c r="U224">
        <v>0</v>
      </c>
      <c r="V224" t="s">
        <v>14</v>
      </c>
      <c r="W224" t="s">
        <v>15</v>
      </c>
      <c r="X224" t="s">
        <v>3516</v>
      </c>
      <c r="Y224" t="s">
        <v>3333</v>
      </c>
      <c r="Z224">
        <v>0</v>
      </c>
      <c r="AA224" t="s">
        <v>18</v>
      </c>
    </row>
    <row r="225" spans="1:27" x14ac:dyDescent="0.3">
      <c r="A225" t="s">
        <v>1220</v>
      </c>
      <c r="B225" t="s">
        <v>3238</v>
      </c>
      <c r="C225" t="s">
        <v>3931</v>
      </c>
      <c r="D225" t="s">
        <v>1224</v>
      </c>
      <c r="E225">
        <v>135</v>
      </c>
      <c r="F225" t="s">
        <v>5</v>
      </c>
      <c r="G225">
        <v>65</v>
      </c>
      <c r="H225" t="s">
        <v>6</v>
      </c>
      <c r="I225">
        <v>-22.309999999999899</v>
      </c>
      <c r="J225" t="s">
        <v>7</v>
      </c>
      <c r="K225">
        <v>-0.16525925925925899</v>
      </c>
      <c r="L225" t="s">
        <v>8</v>
      </c>
      <c r="M225">
        <v>0.854615384615384</v>
      </c>
      <c r="N225" t="s">
        <v>9</v>
      </c>
      <c r="O225">
        <v>-1.1122857142857101</v>
      </c>
      <c r="P225" t="s">
        <v>10</v>
      </c>
      <c r="Q225">
        <v>0.32157793472986801</v>
      </c>
      <c r="R225" t="s">
        <v>11</v>
      </c>
      <c r="S225" t="s">
        <v>3326</v>
      </c>
      <c r="T225" t="s">
        <v>21</v>
      </c>
      <c r="U225">
        <v>0</v>
      </c>
      <c r="V225" t="s">
        <v>14</v>
      </c>
      <c r="W225" t="s">
        <v>15</v>
      </c>
      <c r="X225" t="s">
        <v>3516</v>
      </c>
      <c r="Y225" t="s">
        <v>3333</v>
      </c>
      <c r="Z225">
        <v>0</v>
      </c>
      <c r="AA225" t="s">
        <v>18</v>
      </c>
    </row>
    <row r="226" spans="1:27" x14ac:dyDescent="0.3">
      <c r="A226" t="s">
        <v>1223</v>
      </c>
      <c r="B226" t="s">
        <v>3290</v>
      </c>
      <c r="C226" t="s">
        <v>3932</v>
      </c>
      <c r="D226" t="s">
        <v>1224</v>
      </c>
      <c r="E226">
        <v>370</v>
      </c>
      <c r="F226" t="s">
        <v>5</v>
      </c>
      <c r="G226">
        <v>90</v>
      </c>
      <c r="H226" t="s">
        <v>6</v>
      </c>
      <c r="I226">
        <v>-22.321607326860502</v>
      </c>
      <c r="J226" t="s">
        <v>7</v>
      </c>
      <c r="K226">
        <v>-6.0328668450974302E-2</v>
      </c>
      <c r="L226" t="s">
        <v>8</v>
      </c>
      <c r="M226">
        <v>5.1183259598829904</v>
      </c>
      <c r="N226" t="s">
        <v>9</v>
      </c>
      <c r="O226">
        <v>-1.7248962275583199</v>
      </c>
      <c r="P226" t="s">
        <v>10</v>
      </c>
      <c r="Q226">
        <v>1.4138242832940799</v>
      </c>
      <c r="R226" t="s">
        <v>11</v>
      </c>
      <c r="S226" t="s">
        <v>3379</v>
      </c>
      <c r="T226" t="s">
        <v>2198</v>
      </c>
      <c r="U226">
        <v>0</v>
      </c>
      <c r="V226" t="s">
        <v>14</v>
      </c>
      <c r="W226" t="s">
        <v>15</v>
      </c>
      <c r="X226" t="s">
        <v>3379</v>
      </c>
      <c r="Y226" t="s">
        <v>2198</v>
      </c>
      <c r="Z226">
        <v>0</v>
      </c>
      <c r="AA226" t="s">
        <v>18</v>
      </c>
    </row>
    <row r="227" spans="1:27" x14ac:dyDescent="0.3">
      <c r="A227" t="s">
        <v>1220</v>
      </c>
      <c r="B227" t="s">
        <v>3212</v>
      </c>
      <c r="C227" t="s">
        <v>3933</v>
      </c>
      <c r="D227" t="s">
        <v>1224</v>
      </c>
      <c r="E227">
        <v>140</v>
      </c>
      <c r="F227" t="s">
        <v>5</v>
      </c>
      <c r="G227">
        <v>47</v>
      </c>
      <c r="H227" t="s">
        <v>6</v>
      </c>
      <c r="I227">
        <v>-22.35</v>
      </c>
      <c r="J227" t="s">
        <v>7</v>
      </c>
      <c r="K227">
        <v>-0.159642857142857</v>
      </c>
      <c r="L227" t="s">
        <v>8</v>
      </c>
      <c r="M227">
        <v>2.9795744680851</v>
      </c>
      <c r="N227" t="s">
        <v>9</v>
      </c>
      <c r="O227">
        <v>-1.74612903225806</v>
      </c>
      <c r="P227" t="s">
        <v>10</v>
      </c>
      <c r="Q227">
        <v>0.59247337190106497</v>
      </c>
      <c r="R227" t="s">
        <v>11</v>
      </c>
      <c r="S227" t="s">
        <v>2657</v>
      </c>
      <c r="T227" t="s">
        <v>3303</v>
      </c>
      <c r="U227">
        <v>0</v>
      </c>
      <c r="V227" t="s">
        <v>14</v>
      </c>
      <c r="W227" t="s">
        <v>15</v>
      </c>
      <c r="X227" t="s">
        <v>2657</v>
      </c>
      <c r="Y227" t="s">
        <v>3303</v>
      </c>
      <c r="Z227">
        <v>0</v>
      </c>
      <c r="AA227" t="s">
        <v>18</v>
      </c>
    </row>
    <row r="228" spans="1:27" x14ac:dyDescent="0.3">
      <c r="A228" t="s">
        <v>1219</v>
      </c>
      <c r="B228" t="s">
        <v>3202</v>
      </c>
      <c r="C228" t="s">
        <v>3934</v>
      </c>
      <c r="D228" t="s">
        <v>1224</v>
      </c>
      <c r="E228">
        <v>169</v>
      </c>
      <c r="F228" t="s">
        <v>5</v>
      </c>
      <c r="G228">
        <v>98</v>
      </c>
      <c r="H228" t="s">
        <v>6</v>
      </c>
      <c r="I228">
        <v>-22.53</v>
      </c>
      <c r="J228" t="s">
        <v>7</v>
      </c>
      <c r="K228">
        <v>-0.13331360946745499</v>
      </c>
      <c r="L228" t="s">
        <v>8</v>
      </c>
      <c r="M228">
        <v>0.86459183673469298</v>
      </c>
      <c r="N228" t="s">
        <v>9</v>
      </c>
      <c r="O228">
        <v>-1.5107042253521099</v>
      </c>
      <c r="P228" t="s">
        <v>10</v>
      </c>
      <c r="Q228">
        <v>0.300849661593871</v>
      </c>
      <c r="R228" t="s">
        <v>11</v>
      </c>
      <c r="S228" t="s">
        <v>3386</v>
      </c>
      <c r="T228" t="s">
        <v>3030</v>
      </c>
      <c r="U228">
        <v>0</v>
      </c>
      <c r="V228" t="s">
        <v>14</v>
      </c>
      <c r="W228" t="s">
        <v>15</v>
      </c>
      <c r="X228" t="s">
        <v>3387</v>
      </c>
      <c r="Y228" t="s">
        <v>3388</v>
      </c>
      <c r="Z228">
        <v>0</v>
      </c>
      <c r="AA228" t="s">
        <v>18</v>
      </c>
    </row>
    <row r="229" spans="1:27" x14ac:dyDescent="0.3">
      <c r="A229" t="s">
        <v>1219</v>
      </c>
      <c r="B229" t="s">
        <v>3211</v>
      </c>
      <c r="C229" t="s">
        <v>3935</v>
      </c>
      <c r="D229" t="s">
        <v>1224</v>
      </c>
      <c r="E229">
        <v>178</v>
      </c>
      <c r="F229" t="s">
        <v>5</v>
      </c>
      <c r="G229">
        <v>83</v>
      </c>
      <c r="H229" t="s">
        <v>6</v>
      </c>
      <c r="I229">
        <v>-22.709999999999901</v>
      </c>
      <c r="J229" t="s">
        <v>7</v>
      </c>
      <c r="K229">
        <v>-0.127584269662921</v>
      </c>
      <c r="L229" t="s">
        <v>8</v>
      </c>
      <c r="M229">
        <v>1.8378313253012</v>
      </c>
      <c r="N229" t="s">
        <v>9</v>
      </c>
      <c r="O229">
        <v>-1.8447368421052599</v>
      </c>
      <c r="P229" t="s">
        <v>10</v>
      </c>
      <c r="Q229">
        <v>0.68041581427063802</v>
      </c>
      <c r="R229" t="s">
        <v>11</v>
      </c>
      <c r="S229" t="s">
        <v>3301</v>
      </c>
      <c r="T229" t="s">
        <v>2046</v>
      </c>
      <c r="U229">
        <v>0</v>
      </c>
      <c r="V229" t="s">
        <v>14</v>
      </c>
      <c r="W229" t="s">
        <v>15</v>
      </c>
      <c r="X229" t="s">
        <v>3394</v>
      </c>
      <c r="Y229" t="s">
        <v>2046</v>
      </c>
      <c r="Z229">
        <v>0</v>
      </c>
      <c r="AA229" t="s">
        <v>18</v>
      </c>
    </row>
    <row r="230" spans="1:27" x14ac:dyDescent="0.3">
      <c r="A230" t="s">
        <v>3292</v>
      </c>
      <c r="B230" t="s">
        <v>3247</v>
      </c>
      <c r="C230" t="s">
        <v>3936</v>
      </c>
      <c r="D230" t="s">
        <v>1224</v>
      </c>
      <c r="E230">
        <v>165</v>
      </c>
      <c r="F230" t="s">
        <v>5</v>
      </c>
      <c r="G230">
        <v>71</v>
      </c>
      <c r="H230" t="s">
        <v>6</v>
      </c>
      <c r="I230">
        <v>-22.98</v>
      </c>
      <c r="J230" t="s">
        <v>7</v>
      </c>
      <c r="K230">
        <v>-0.13927272727272699</v>
      </c>
      <c r="L230" t="s">
        <v>8</v>
      </c>
      <c r="M230">
        <v>1.06774647887323</v>
      </c>
      <c r="N230" t="s">
        <v>9</v>
      </c>
      <c r="O230">
        <v>-1.0509574468085101</v>
      </c>
      <c r="P230" t="s">
        <v>10</v>
      </c>
      <c r="Q230">
        <v>0.40894193361046999</v>
      </c>
      <c r="R230" t="s">
        <v>11</v>
      </c>
      <c r="S230" t="s">
        <v>1384</v>
      </c>
      <c r="T230" t="s">
        <v>2612</v>
      </c>
      <c r="U230">
        <v>0</v>
      </c>
      <c r="V230" t="s">
        <v>14</v>
      </c>
      <c r="W230" t="s">
        <v>15</v>
      </c>
      <c r="X230" t="s">
        <v>2184</v>
      </c>
      <c r="Y230" t="s">
        <v>2655</v>
      </c>
      <c r="Z230">
        <v>0</v>
      </c>
      <c r="AA230" t="s">
        <v>18</v>
      </c>
    </row>
    <row r="231" spans="1:27" x14ac:dyDescent="0.3">
      <c r="A231" t="s">
        <v>1219</v>
      </c>
      <c r="B231" t="s">
        <v>3274</v>
      </c>
      <c r="C231" t="s">
        <v>3937</v>
      </c>
      <c r="D231" t="s">
        <v>1224</v>
      </c>
      <c r="E231">
        <v>169</v>
      </c>
      <c r="F231" t="s">
        <v>5</v>
      </c>
      <c r="G231">
        <v>105</v>
      </c>
      <c r="H231" t="s">
        <v>6</v>
      </c>
      <c r="I231">
        <v>-22.999999999999901</v>
      </c>
      <c r="J231" t="s">
        <v>7</v>
      </c>
      <c r="K231">
        <v>-0.13609467455621199</v>
      </c>
      <c r="L231" t="s">
        <v>8</v>
      </c>
      <c r="M231">
        <v>0.80828571428571405</v>
      </c>
      <c r="N231" t="s">
        <v>9</v>
      </c>
      <c r="O231">
        <v>-1.6854687499999901</v>
      </c>
      <c r="P231" t="s">
        <v>10</v>
      </c>
      <c r="Q231">
        <v>0.29861781587076802</v>
      </c>
      <c r="R231" t="s">
        <v>11</v>
      </c>
      <c r="S231" t="s">
        <v>3122</v>
      </c>
      <c r="T231" t="s">
        <v>1383</v>
      </c>
      <c r="U231">
        <v>0</v>
      </c>
      <c r="V231" t="s">
        <v>14</v>
      </c>
      <c r="W231" t="s">
        <v>15</v>
      </c>
      <c r="X231" t="s">
        <v>226</v>
      </c>
      <c r="Y231" t="s">
        <v>1383</v>
      </c>
      <c r="Z231">
        <v>0</v>
      </c>
      <c r="AA231" t="s">
        <v>18</v>
      </c>
    </row>
    <row r="232" spans="1:27" x14ac:dyDescent="0.3">
      <c r="A232" t="s">
        <v>1221</v>
      </c>
      <c r="B232" t="s">
        <v>3252</v>
      </c>
      <c r="C232" t="s">
        <v>3938</v>
      </c>
      <c r="D232" t="s">
        <v>1224</v>
      </c>
      <c r="E232">
        <v>130</v>
      </c>
      <c r="F232" t="s">
        <v>5</v>
      </c>
      <c r="G232">
        <v>50</v>
      </c>
      <c r="H232" t="s">
        <v>6</v>
      </c>
      <c r="I232">
        <v>-23.066425606723701</v>
      </c>
      <c r="J232" t="s">
        <v>7</v>
      </c>
      <c r="K232">
        <v>-0.177434043128643</v>
      </c>
      <c r="L232" t="s">
        <v>8</v>
      </c>
      <c r="M232">
        <v>1.31295627520909</v>
      </c>
      <c r="N232" t="s">
        <v>9</v>
      </c>
      <c r="O232">
        <v>-1.12296505528073</v>
      </c>
      <c r="P232" t="s">
        <v>10</v>
      </c>
      <c r="Q232">
        <v>0.27494022172327298</v>
      </c>
      <c r="R232" t="s">
        <v>11</v>
      </c>
      <c r="S232" t="s">
        <v>2317</v>
      </c>
      <c r="T232" t="s">
        <v>2793</v>
      </c>
      <c r="U232">
        <v>0</v>
      </c>
      <c r="V232" t="s">
        <v>14</v>
      </c>
      <c r="W232" t="s">
        <v>15</v>
      </c>
      <c r="X232" t="s">
        <v>676</v>
      </c>
      <c r="Y232" t="s">
        <v>2793</v>
      </c>
      <c r="Z232">
        <v>0</v>
      </c>
      <c r="AA232" t="s">
        <v>18</v>
      </c>
    </row>
    <row r="233" spans="1:27" x14ac:dyDescent="0.3">
      <c r="A233" t="s">
        <v>1222</v>
      </c>
      <c r="B233" t="s">
        <v>3284</v>
      </c>
      <c r="C233" t="s">
        <v>3939</v>
      </c>
      <c r="D233" t="s">
        <v>1224</v>
      </c>
      <c r="E233">
        <v>128</v>
      </c>
      <c r="F233" t="s">
        <v>5</v>
      </c>
      <c r="G233">
        <v>40</v>
      </c>
      <c r="H233" t="s">
        <v>6</v>
      </c>
      <c r="I233">
        <v>-23.169999999999899</v>
      </c>
      <c r="J233" t="s">
        <v>7</v>
      </c>
      <c r="K233">
        <v>-0.18101562499999899</v>
      </c>
      <c r="L233" t="s">
        <v>8</v>
      </c>
      <c r="M233">
        <v>3.3005</v>
      </c>
      <c r="N233" t="s">
        <v>9</v>
      </c>
      <c r="O233">
        <v>-1.7635227272727201</v>
      </c>
      <c r="P233" t="s">
        <v>10</v>
      </c>
      <c r="Q233">
        <v>0.57600638548683203</v>
      </c>
      <c r="R233" t="s">
        <v>11</v>
      </c>
      <c r="S233" t="s">
        <v>2181</v>
      </c>
      <c r="T233" t="s">
        <v>2554</v>
      </c>
      <c r="U233">
        <v>0</v>
      </c>
      <c r="V233" t="s">
        <v>14</v>
      </c>
      <c r="W233" t="s">
        <v>15</v>
      </c>
      <c r="X233" t="s">
        <v>3603</v>
      </c>
      <c r="Y233" t="s">
        <v>2554</v>
      </c>
      <c r="Z233">
        <v>0</v>
      </c>
      <c r="AA233" t="s">
        <v>18</v>
      </c>
    </row>
    <row r="234" spans="1:27" x14ac:dyDescent="0.3">
      <c r="A234" t="s">
        <v>1219</v>
      </c>
      <c r="B234" t="s">
        <v>3225</v>
      </c>
      <c r="C234" t="s">
        <v>3940</v>
      </c>
      <c r="D234" t="s">
        <v>1224</v>
      </c>
      <c r="E234">
        <v>169</v>
      </c>
      <c r="F234" t="s">
        <v>5</v>
      </c>
      <c r="G234">
        <v>74</v>
      </c>
      <c r="H234" t="s">
        <v>6</v>
      </c>
      <c r="I234">
        <v>-23.1799999999999</v>
      </c>
      <c r="J234" t="s">
        <v>7</v>
      </c>
      <c r="K234">
        <v>-0.13715976331360899</v>
      </c>
      <c r="L234" t="s">
        <v>8</v>
      </c>
      <c r="M234">
        <v>1.3533783783783699</v>
      </c>
      <c r="N234" t="s">
        <v>9</v>
      </c>
      <c r="O234">
        <v>-1.2982105263157799</v>
      </c>
      <c r="P234" t="s">
        <v>10</v>
      </c>
      <c r="Q234">
        <v>0.52859705677157298</v>
      </c>
      <c r="R234" t="s">
        <v>11</v>
      </c>
      <c r="S234" t="s">
        <v>3408</v>
      </c>
      <c r="T234" t="s">
        <v>2644</v>
      </c>
      <c r="U234">
        <v>0</v>
      </c>
      <c r="V234" t="s">
        <v>14</v>
      </c>
      <c r="W234" t="s">
        <v>15</v>
      </c>
      <c r="X234" t="s">
        <v>3409</v>
      </c>
      <c r="Y234" t="s">
        <v>2644</v>
      </c>
      <c r="Z234">
        <v>0</v>
      </c>
      <c r="AA234" t="s">
        <v>18</v>
      </c>
    </row>
    <row r="235" spans="1:27" x14ac:dyDescent="0.3">
      <c r="A235" t="s">
        <v>1223</v>
      </c>
      <c r="B235" t="s">
        <v>3250</v>
      </c>
      <c r="C235" t="s">
        <v>3941</v>
      </c>
      <c r="D235" t="s">
        <v>1224</v>
      </c>
      <c r="E235">
        <v>370</v>
      </c>
      <c r="F235" t="s">
        <v>5</v>
      </c>
      <c r="G235">
        <v>206</v>
      </c>
      <c r="H235" t="s">
        <v>6</v>
      </c>
      <c r="I235">
        <v>-23.435251900997098</v>
      </c>
      <c r="J235" t="s">
        <v>7</v>
      </c>
      <c r="K235">
        <v>-6.3338518651343698E-2</v>
      </c>
      <c r="L235" t="s">
        <v>8</v>
      </c>
      <c r="M235">
        <v>0.73684701286304999</v>
      </c>
      <c r="N235" t="s">
        <v>9</v>
      </c>
      <c r="O235">
        <v>-1.0750045187164701</v>
      </c>
      <c r="P235" t="s">
        <v>10</v>
      </c>
      <c r="Q235">
        <v>0.45517557969302502</v>
      </c>
      <c r="R235" t="s">
        <v>11</v>
      </c>
      <c r="S235" t="s">
        <v>2657</v>
      </c>
      <c r="T235" t="s">
        <v>3303</v>
      </c>
      <c r="U235">
        <v>0</v>
      </c>
      <c r="V235" t="s">
        <v>14</v>
      </c>
      <c r="W235" t="s">
        <v>15</v>
      </c>
      <c r="X235" t="s">
        <v>2812</v>
      </c>
      <c r="Y235" t="s">
        <v>3303</v>
      </c>
      <c r="Z235">
        <v>0</v>
      </c>
      <c r="AA235" t="s">
        <v>18</v>
      </c>
    </row>
    <row r="236" spans="1:27" x14ac:dyDescent="0.3">
      <c r="A236" t="s">
        <v>1221</v>
      </c>
      <c r="B236" t="s">
        <v>3204</v>
      </c>
      <c r="C236" t="s">
        <v>3942</v>
      </c>
      <c r="D236" t="s">
        <v>1224</v>
      </c>
      <c r="E236">
        <v>125</v>
      </c>
      <c r="F236" t="s">
        <v>5</v>
      </c>
      <c r="G236">
        <v>53</v>
      </c>
      <c r="H236" t="s">
        <v>6</v>
      </c>
      <c r="I236">
        <v>-23.649999999999899</v>
      </c>
      <c r="J236" t="s">
        <v>7</v>
      </c>
      <c r="K236">
        <v>-0.18919999999999901</v>
      </c>
      <c r="L236" t="s">
        <v>8</v>
      </c>
      <c r="M236">
        <v>1.78566037735849</v>
      </c>
      <c r="N236" t="s">
        <v>9</v>
      </c>
      <c r="O236">
        <v>-1.6429166666666599</v>
      </c>
      <c r="P236" t="s">
        <v>10</v>
      </c>
      <c r="Q236">
        <v>0.376538450891236</v>
      </c>
      <c r="R236" t="s">
        <v>11</v>
      </c>
      <c r="S236" t="s">
        <v>3504</v>
      </c>
      <c r="T236" t="s">
        <v>2769</v>
      </c>
      <c r="U236">
        <v>0</v>
      </c>
      <c r="V236" t="s">
        <v>14</v>
      </c>
      <c r="W236" t="s">
        <v>15</v>
      </c>
      <c r="X236" t="s">
        <v>3504</v>
      </c>
      <c r="Y236" t="s">
        <v>2769</v>
      </c>
      <c r="Z236">
        <v>0</v>
      </c>
      <c r="AA236" t="s">
        <v>18</v>
      </c>
    </row>
    <row r="237" spans="1:27" x14ac:dyDescent="0.3">
      <c r="A237" t="s">
        <v>3292</v>
      </c>
      <c r="B237" t="s">
        <v>3231</v>
      </c>
      <c r="C237" t="s">
        <v>3943</v>
      </c>
      <c r="D237" t="s">
        <v>1224</v>
      </c>
      <c r="E237">
        <v>165</v>
      </c>
      <c r="F237" t="s">
        <v>5</v>
      </c>
      <c r="G237">
        <v>72</v>
      </c>
      <c r="H237" t="s">
        <v>6</v>
      </c>
      <c r="I237">
        <v>-23.779999999999902</v>
      </c>
      <c r="J237" t="s">
        <v>7</v>
      </c>
      <c r="K237">
        <v>-0.14412121212121101</v>
      </c>
      <c r="L237" t="s">
        <v>8</v>
      </c>
      <c r="M237">
        <v>1.53708333333333</v>
      </c>
      <c r="N237" t="s">
        <v>9</v>
      </c>
      <c r="O237">
        <v>-1.44569892473118</v>
      </c>
      <c r="P237" t="s">
        <v>10</v>
      </c>
      <c r="Q237">
        <v>0.64825849724972495</v>
      </c>
      <c r="R237" t="s">
        <v>11</v>
      </c>
      <c r="S237" t="s">
        <v>3408</v>
      </c>
      <c r="T237" t="s">
        <v>2644</v>
      </c>
      <c r="U237">
        <v>0</v>
      </c>
      <c r="V237" t="s">
        <v>14</v>
      </c>
      <c r="W237" t="s">
        <v>15</v>
      </c>
      <c r="X237" t="s">
        <v>3409</v>
      </c>
      <c r="Y237" t="s">
        <v>2644</v>
      </c>
      <c r="Z237">
        <v>0</v>
      </c>
      <c r="AA237" t="s">
        <v>18</v>
      </c>
    </row>
    <row r="238" spans="1:27" x14ac:dyDescent="0.3">
      <c r="A238" t="s">
        <v>3292</v>
      </c>
      <c r="B238" t="s">
        <v>3238</v>
      </c>
      <c r="C238" t="s">
        <v>3944</v>
      </c>
      <c r="D238" t="s">
        <v>1224</v>
      </c>
      <c r="E238">
        <v>155</v>
      </c>
      <c r="F238" t="s">
        <v>5</v>
      </c>
      <c r="G238">
        <v>84</v>
      </c>
      <c r="H238" t="s">
        <v>6</v>
      </c>
      <c r="I238">
        <v>-23.78</v>
      </c>
      <c r="J238" t="s">
        <v>7</v>
      </c>
      <c r="K238">
        <v>-0.153419354838709</v>
      </c>
      <c r="L238" t="s">
        <v>8</v>
      </c>
      <c r="M238">
        <v>0.50761904761904697</v>
      </c>
      <c r="N238" t="s">
        <v>9</v>
      </c>
      <c r="O238">
        <v>-0.935492957746479</v>
      </c>
      <c r="P238" t="s">
        <v>10</v>
      </c>
      <c r="Q238">
        <v>0.22064853209198901</v>
      </c>
      <c r="R238" t="s">
        <v>11</v>
      </c>
      <c r="S238" t="s">
        <v>3484</v>
      </c>
      <c r="T238" t="s">
        <v>3485</v>
      </c>
      <c r="U238">
        <v>0</v>
      </c>
      <c r="V238" t="s">
        <v>14</v>
      </c>
      <c r="W238" t="s">
        <v>15</v>
      </c>
      <c r="X238" t="s">
        <v>1315</v>
      </c>
      <c r="Y238" t="s">
        <v>3486</v>
      </c>
      <c r="Z238">
        <v>0</v>
      </c>
      <c r="AA238" t="s">
        <v>18</v>
      </c>
    </row>
    <row r="239" spans="1:27" x14ac:dyDescent="0.3">
      <c r="A239" t="s">
        <v>1219</v>
      </c>
      <c r="B239" t="s">
        <v>3271</v>
      </c>
      <c r="C239" t="s">
        <v>3945</v>
      </c>
      <c r="D239" t="s">
        <v>1224</v>
      </c>
      <c r="E239">
        <v>167</v>
      </c>
      <c r="F239" t="s">
        <v>5</v>
      </c>
      <c r="G239">
        <v>37</v>
      </c>
      <c r="H239" t="s">
        <v>6</v>
      </c>
      <c r="I239">
        <v>-23.8080409381053</v>
      </c>
      <c r="J239" t="s">
        <v>7</v>
      </c>
      <c r="K239">
        <v>-0.142563119389852</v>
      </c>
      <c r="L239" t="s">
        <v>8</v>
      </c>
      <c r="M239">
        <v>5.4234665070443802</v>
      </c>
      <c r="N239" t="s">
        <v>9</v>
      </c>
      <c r="O239">
        <v>-1.7267407822980501</v>
      </c>
      <c r="P239" t="s">
        <v>10</v>
      </c>
      <c r="Q239">
        <v>0.80005197770277703</v>
      </c>
      <c r="R239" t="s">
        <v>11</v>
      </c>
      <c r="S239" t="s">
        <v>3440</v>
      </c>
      <c r="T239" t="s">
        <v>2013</v>
      </c>
      <c r="U239">
        <v>0</v>
      </c>
      <c r="V239" t="s">
        <v>14</v>
      </c>
      <c r="W239" t="s">
        <v>15</v>
      </c>
      <c r="X239" t="s">
        <v>3441</v>
      </c>
      <c r="Y239" t="s">
        <v>3442</v>
      </c>
      <c r="Z239">
        <v>0</v>
      </c>
      <c r="AA239" t="s">
        <v>18</v>
      </c>
    </row>
    <row r="240" spans="1:27" x14ac:dyDescent="0.3">
      <c r="A240" t="s">
        <v>3292</v>
      </c>
      <c r="B240" t="s">
        <v>3205</v>
      </c>
      <c r="C240" t="s">
        <v>3946</v>
      </c>
      <c r="D240" t="s">
        <v>1224</v>
      </c>
      <c r="E240">
        <v>155</v>
      </c>
      <c r="F240" t="s">
        <v>5</v>
      </c>
      <c r="G240">
        <v>72</v>
      </c>
      <c r="H240" t="s">
        <v>6</v>
      </c>
      <c r="I240">
        <v>-23.889999999999901</v>
      </c>
      <c r="J240" t="s">
        <v>7</v>
      </c>
      <c r="K240">
        <v>-0.15412903225806401</v>
      </c>
      <c r="L240" t="s">
        <v>8</v>
      </c>
      <c r="M240">
        <v>1.4284722222222199</v>
      </c>
      <c r="N240" t="s">
        <v>9</v>
      </c>
      <c r="O240">
        <v>-1.52698795180722</v>
      </c>
      <c r="P240" t="s">
        <v>10</v>
      </c>
      <c r="Q240">
        <v>0.42193748140708598</v>
      </c>
      <c r="R240" t="s">
        <v>11</v>
      </c>
      <c r="S240" t="s">
        <v>3451</v>
      </c>
      <c r="T240" t="s">
        <v>2698</v>
      </c>
      <c r="U240">
        <v>0</v>
      </c>
      <c r="V240" t="s">
        <v>14</v>
      </c>
      <c r="W240" t="s">
        <v>15</v>
      </c>
      <c r="X240" t="s">
        <v>3468</v>
      </c>
      <c r="Y240" t="s">
        <v>2655</v>
      </c>
      <c r="Z240">
        <v>0</v>
      </c>
      <c r="AA240" t="s">
        <v>18</v>
      </c>
    </row>
    <row r="241" spans="1:27" x14ac:dyDescent="0.3">
      <c r="A241" t="s">
        <v>1221</v>
      </c>
      <c r="B241" t="s">
        <v>3220</v>
      </c>
      <c r="C241" t="s">
        <v>3947</v>
      </c>
      <c r="D241" t="s">
        <v>1224</v>
      </c>
      <c r="E241">
        <v>125</v>
      </c>
      <c r="F241" t="s">
        <v>5</v>
      </c>
      <c r="G241">
        <v>64</v>
      </c>
      <c r="H241" t="s">
        <v>6</v>
      </c>
      <c r="I241">
        <v>-24.389999999999901</v>
      </c>
      <c r="J241" t="s">
        <v>7</v>
      </c>
      <c r="K241">
        <v>-0.19511999999999899</v>
      </c>
      <c r="L241" t="s">
        <v>8</v>
      </c>
      <c r="M241">
        <v>0.93203124999999998</v>
      </c>
      <c r="N241" t="s">
        <v>9</v>
      </c>
      <c r="O241">
        <v>-1.3777049180327801</v>
      </c>
      <c r="P241" t="s">
        <v>10</v>
      </c>
      <c r="Q241">
        <v>0.29517158145190697</v>
      </c>
      <c r="R241" t="s">
        <v>11</v>
      </c>
      <c r="S241" t="s">
        <v>3540</v>
      </c>
      <c r="T241" t="s">
        <v>3333</v>
      </c>
      <c r="U241">
        <v>0</v>
      </c>
      <c r="V241" t="s">
        <v>14</v>
      </c>
      <c r="W241" t="s">
        <v>15</v>
      </c>
      <c r="X241" t="s">
        <v>3540</v>
      </c>
      <c r="Y241" t="s">
        <v>3333</v>
      </c>
      <c r="Z241">
        <v>0</v>
      </c>
      <c r="AA241" t="s">
        <v>18</v>
      </c>
    </row>
    <row r="242" spans="1:27" x14ac:dyDescent="0.3">
      <c r="A242" t="s">
        <v>1222</v>
      </c>
      <c r="B242" t="s">
        <v>3243</v>
      </c>
      <c r="C242" t="s">
        <v>3948</v>
      </c>
      <c r="D242" t="s">
        <v>1224</v>
      </c>
      <c r="E242">
        <v>136</v>
      </c>
      <c r="F242" t="s">
        <v>5</v>
      </c>
      <c r="G242">
        <v>57</v>
      </c>
      <c r="H242" t="s">
        <v>6</v>
      </c>
      <c r="I242">
        <v>-24.52</v>
      </c>
      <c r="J242" t="s">
        <v>7</v>
      </c>
      <c r="K242">
        <v>-0.18029411764705799</v>
      </c>
      <c r="L242" t="s">
        <v>8</v>
      </c>
      <c r="M242">
        <v>1.22912280701754</v>
      </c>
      <c r="N242" t="s">
        <v>9</v>
      </c>
      <c r="O242">
        <v>-1.19721518987341</v>
      </c>
      <c r="P242" t="s">
        <v>10</v>
      </c>
      <c r="Q242">
        <v>0.38064830240123199</v>
      </c>
      <c r="R242" t="s">
        <v>11</v>
      </c>
      <c r="S242" t="s">
        <v>3326</v>
      </c>
      <c r="T242" t="s">
        <v>21</v>
      </c>
      <c r="U242">
        <v>0</v>
      </c>
      <c r="V242" t="s">
        <v>14</v>
      </c>
      <c r="W242" t="s">
        <v>15</v>
      </c>
      <c r="X242" t="s">
        <v>3576</v>
      </c>
      <c r="Y242" t="s">
        <v>21</v>
      </c>
      <c r="Z242">
        <v>0</v>
      </c>
      <c r="AA242" t="s">
        <v>18</v>
      </c>
    </row>
    <row r="243" spans="1:27" x14ac:dyDescent="0.3">
      <c r="A243" t="s">
        <v>3292</v>
      </c>
      <c r="B243" t="s">
        <v>3226</v>
      </c>
      <c r="C243" t="s">
        <v>3949</v>
      </c>
      <c r="D243" t="s">
        <v>1224</v>
      </c>
      <c r="E243">
        <v>165</v>
      </c>
      <c r="F243" t="s">
        <v>5</v>
      </c>
      <c r="G243">
        <v>99</v>
      </c>
      <c r="H243" t="s">
        <v>6</v>
      </c>
      <c r="I243">
        <v>-24.559999999999899</v>
      </c>
      <c r="J243" t="s">
        <v>7</v>
      </c>
      <c r="K243">
        <v>-0.14884848484848401</v>
      </c>
      <c r="L243" t="s">
        <v>8</v>
      </c>
      <c r="M243">
        <v>0.72828282828282798</v>
      </c>
      <c r="N243" t="s">
        <v>9</v>
      </c>
      <c r="O243">
        <v>-1.4645454545454499</v>
      </c>
      <c r="P243" t="s">
        <v>10</v>
      </c>
      <c r="Q243">
        <v>0.281105605006228</v>
      </c>
      <c r="R243" t="s">
        <v>11</v>
      </c>
      <c r="S243" t="s">
        <v>3410</v>
      </c>
      <c r="T243" t="s">
        <v>3411</v>
      </c>
      <c r="U243">
        <v>0</v>
      </c>
      <c r="V243" t="s">
        <v>14</v>
      </c>
      <c r="W243" t="s">
        <v>15</v>
      </c>
      <c r="X243" t="s">
        <v>2800</v>
      </c>
      <c r="Y243" t="s">
        <v>3411</v>
      </c>
      <c r="Z243">
        <v>0</v>
      </c>
      <c r="AA243" t="s">
        <v>18</v>
      </c>
    </row>
    <row r="244" spans="1:27" x14ac:dyDescent="0.3">
      <c r="A244" t="s">
        <v>3292</v>
      </c>
      <c r="B244" t="s">
        <v>3227</v>
      </c>
      <c r="C244" t="s">
        <v>3950</v>
      </c>
      <c r="D244" t="s">
        <v>1224</v>
      </c>
      <c r="E244">
        <v>165</v>
      </c>
      <c r="F244" t="s">
        <v>5</v>
      </c>
      <c r="G244">
        <v>90</v>
      </c>
      <c r="H244" t="s">
        <v>6</v>
      </c>
      <c r="I244">
        <v>-24.869999999999902</v>
      </c>
      <c r="J244" t="s">
        <v>7</v>
      </c>
      <c r="K244">
        <v>-0.15072727272727199</v>
      </c>
      <c r="L244" t="s">
        <v>8</v>
      </c>
      <c r="M244">
        <v>0.93455555555555503</v>
      </c>
      <c r="N244" t="s">
        <v>9</v>
      </c>
      <c r="O244">
        <v>-1.4530666666666601</v>
      </c>
      <c r="P244" t="s">
        <v>10</v>
      </c>
      <c r="Q244">
        <v>0.31906156648844602</v>
      </c>
      <c r="R244" t="s">
        <v>11</v>
      </c>
      <c r="S244" t="s">
        <v>3410</v>
      </c>
      <c r="T244" t="s">
        <v>3411</v>
      </c>
      <c r="U244">
        <v>0</v>
      </c>
      <c r="V244" t="s">
        <v>14</v>
      </c>
      <c r="W244" t="s">
        <v>15</v>
      </c>
      <c r="X244" t="s">
        <v>2800</v>
      </c>
      <c r="Y244" t="s">
        <v>3411</v>
      </c>
      <c r="Z244">
        <v>0</v>
      </c>
      <c r="AA244" t="s">
        <v>18</v>
      </c>
    </row>
    <row r="245" spans="1:27" x14ac:dyDescent="0.3">
      <c r="A245" t="s">
        <v>1219</v>
      </c>
      <c r="B245" t="s">
        <v>3280</v>
      </c>
      <c r="C245" t="s">
        <v>3951</v>
      </c>
      <c r="D245" t="s">
        <v>1224</v>
      </c>
      <c r="E245">
        <v>178</v>
      </c>
      <c r="F245" t="s">
        <v>5</v>
      </c>
      <c r="G245">
        <v>104</v>
      </c>
      <c r="H245" t="s">
        <v>6</v>
      </c>
      <c r="I245">
        <v>-24.9299999999999</v>
      </c>
      <c r="J245" t="s">
        <v>7</v>
      </c>
      <c r="K245">
        <v>-0.14005617977528001</v>
      </c>
      <c r="L245" t="s">
        <v>8</v>
      </c>
      <c r="M245">
        <v>0.98057692307692301</v>
      </c>
      <c r="N245" t="s">
        <v>9</v>
      </c>
      <c r="O245">
        <v>-1.7149999999999901</v>
      </c>
      <c r="P245" t="s">
        <v>10</v>
      </c>
      <c r="Q245">
        <v>0.37802456990428801</v>
      </c>
      <c r="R245" t="s">
        <v>11</v>
      </c>
      <c r="S245" t="s">
        <v>3454</v>
      </c>
      <c r="T245" t="s">
        <v>720</v>
      </c>
      <c r="U245">
        <v>0</v>
      </c>
      <c r="V245" t="s">
        <v>14</v>
      </c>
      <c r="W245" t="s">
        <v>15</v>
      </c>
      <c r="X245" t="s">
        <v>3455</v>
      </c>
      <c r="Y245" t="s">
        <v>3456</v>
      </c>
      <c r="Z245">
        <v>0</v>
      </c>
      <c r="AA245" t="s">
        <v>18</v>
      </c>
    </row>
    <row r="246" spans="1:27" x14ac:dyDescent="0.3">
      <c r="A246" t="s">
        <v>3292</v>
      </c>
      <c r="B246" t="s">
        <v>3275</v>
      </c>
      <c r="C246" t="s">
        <v>3952</v>
      </c>
      <c r="D246" t="s">
        <v>1224</v>
      </c>
      <c r="E246">
        <v>155</v>
      </c>
      <c r="F246" t="s">
        <v>5</v>
      </c>
      <c r="G246">
        <v>82</v>
      </c>
      <c r="H246" t="s">
        <v>6</v>
      </c>
      <c r="I246">
        <v>-25.069999999999901</v>
      </c>
      <c r="J246" t="s">
        <v>7</v>
      </c>
      <c r="K246">
        <v>-0.16174193548387</v>
      </c>
      <c r="L246" t="s">
        <v>8</v>
      </c>
      <c r="M246">
        <v>1.1573170731707301</v>
      </c>
      <c r="N246" t="s">
        <v>9</v>
      </c>
      <c r="O246">
        <v>-1.6434246575342399</v>
      </c>
      <c r="P246" t="s">
        <v>10</v>
      </c>
      <c r="Q246">
        <v>0.39230810915946701</v>
      </c>
      <c r="R246" t="s">
        <v>11</v>
      </c>
      <c r="S246" t="s">
        <v>3447</v>
      </c>
      <c r="T246" t="s">
        <v>729</v>
      </c>
      <c r="U246">
        <v>0</v>
      </c>
      <c r="V246" t="s">
        <v>14</v>
      </c>
      <c r="W246" t="s">
        <v>15</v>
      </c>
      <c r="X246" t="s">
        <v>3448</v>
      </c>
      <c r="Y246" t="s">
        <v>3449</v>
      </c>
      <c r="Z246">
        <v>0</v>
      </c>
      <c r="AA246" t="s">
        <v>18</v>
      </c>
    </row>
    <row r="247" spans="1:27" x14ac:dyDescent="0.3">
      <c r="A247" t="s">
        <v>3292</v>
      </c>
      <c r="B247" t="s">
        <v>3286</v>
      </c>
      <c r="C247" t="s">
        <v>3953</v>
      </c>
      <c r="D247" t="s">
        <v>1224</v>
      </c>
      <c r="E247">
        <v>157</v>
      </c>
      <c r="F247" t="s">
        <v>5</v>
      </c>
      <c r="G247">
        <v>79</v>
      </c>
      <c r="H247" t="s">
        <v>6</v>
      </c>
      <c r="I247">
        <v>-25.123263291865101</v>
      </c>
      <c r="J247" t="s">
        <v>7</v>
      </c>
      <c r="K247">
        <v>-0.160020785298504</v>
      </c>
      <c r="L247" t="s">
        <v>8</v>
      </c>
      <c r="M247">
        <v>1.16481119267442</v>
      </c>
      <c r="N247" t="s">
        <v>9</v>
      </c>
      <c r="O247">
        <v>-1.50183778863005</v>
      </c>
      <c r="P247" t="s">
        <v>10</v>
      </c>
      <c r="Q247">
        <v>0.34997449700071598</v>
      </c>
      <c r="R247" t="s">
        <v>11</v>
      </c>
      <c r="S247" t="s">
        <v>130</v>
      </c>
      <c r="T247" t="s">
        <v>1406</v>
      </c>
      <c r="U247">
        <v>0</v>
      </c>
      <c r="V247" t="s">
        <v>14</v>
      </c>
      <c r="W247" t="s">
        <v>15</v>
      </c>
      <c r="X247" t="s">
        <v>3498</v>
      </c>
      <c r="Y247" t="s">
        <v>1406</v>
      </c>
      <c r="Z247">
        <v>0</v>
      </c>
      <c r="AA247" t="s">
        <v>18</v>
      </c>
    </row>
    <row r="248" spans="1:27" x14ac:dyDescent="0.3">
      <c r="A248" t="s">
        <v>3292</v>
      </c>
      <c r="B248" t="s">
        <v>3268</v>
      </c>
      <c r="C248" t="s">
        <v>3954</v>
      </c>
      <c r="D248" t="s">
        <v>1224</v>
      </c>
      <c r="E248">
        <v>157</v>
      </c>
      <c r="F248" t="s">
        <v>5</v>
      </c>
      <c r="G248">
        <v>81</v>
      </c>
      <c r="H248" t="s">
        <v>6</v>
      </c>
      <c r="I248">
        <v>-25.365677436672499</v>
      </c>
      <c r="J248" t="s">
        <v>7</v>
      </c>
      <c r="K248">
        <v>-0.161564824437404</v>
      </c>
      <c r="L248" t="s">
        <v>8</v>
      </c>
      <c r="M248">
        <v>1.2357661937392099</v>
      </c>
      <c r="N248" t="s">
        <v>9</v>
      </c>
      <c r="O248">
        <v>-1.65082551486249</v>
      </c>
      <c r="P248" t="s">
        <v>10</v>
      </c>
      <c r="Q248">
        <v>0.393097863182583</v>
      </c>
      <c r="R248" t="s">
        <v>11</v>
      </c>
      <c r="S248" t="s">
        <v>3489</v>
      </c>
      <c r="T248" t="s">
        <v>2055</v>
      </c>
      <c r="U248">
        <v>0</v>
      </c>
      <c r="V248" t="s">
        <v>14</v>
      </c>
      <c r="W248" t="s">
        <v>15</v>
      </c>
      <c r="X248" t="s">
        <v>3489</v>
      </c>
      <c r="Y248" t="s">
        <v>2055</v>
      </c>
      <c r="Z248">
        <v>0</v>
      </c>
      <c r="AA248" t="s">
        <v>18</v>
      </c>
    </row>
    <row r="249" spans="1:27" x14ac:dyDescent="0.3">
      <c r="A249" t="s">
        <v>3292</v>
      </c>
      <c r="B249" t="s">
        <v>3206</v>
      </c>
      <c r="C249" t="s">
        <v>3955</v>
      </c>
      <c r="D249" t="s">
        <v>1224</v>
      </c>
      <c r="E249">
        <v>155</v>
      </c>
      <c r="F249" t="s">
        <v>5</v>
      </c>
      <c r="G249">
        <v>69</v>
      </c>
      <c r="H249" t="s">
        <v>6</v>
      </c>
      <c r="I249">
        <v>-25.469999999999899</v>
      </c>
      <c r="J249" t="s">
        <v>7</v>
      </c>
      <c r="K249">
        <v>-0.164322580645161</v>
      </c>
      <c r="L249" t="s">
        <v>8</v>
      </c>
      <c r="M249">
        <v>1.54652173913043</v>
      </c>
      <c r="N249" t="s">
        <v>9</v>
      </c>
      <c r="O249">
        <v>-1.53697674418604</v>
      </c>
      <c r="P249" t="s">
        <v>10</v>
      </c>
      <c r="Q249">
        <v>0.50006561631962398</v>
      </c>
      <c r="R249" t="s">
        <v>11</v>
      </c>
      <c r="S249" t="s">
        <v>3469</v>
      </c>
      <c r="T249" t="s">
        <v>2666</v>
      </c>
      <c r="U249">
        <v>0</v>
      </c>
      <c r="V249" t="s">
        <v>14</v>
      </c>
      <c r="W249" t="s">
        <v>15</v>
      </c>
      <c r="X249" t="s">
        <v>3470</v>
      </c>
      <c r="Y249" t="s">
        <v>2644</v>
      </c>
      <c r="Z249">
        <v>0</v>
      </c>
      <c r="AA249" t="s">
        <v>18</v>
      </c>
    </row>
    <row r="250" spans="1:27" x14ac:dyDescent="0.3">
      <c r="A250" t="s">
        <v>1220</v>
      </c>
      <c r="B250" t="s">
        <v>3258</v>
      </c>
      <c r="C250" t="s">
        <v>3956</v>
      </c>
      <c r="D250" t="s">
        <v>1224</v>
      </c>
      <c r="E250">
        <v>135</v>
      </c>
      <c r="F250" t="s">
        <v>5</v>
      </c>
      <c r="G250">
        <v>50</v>
      </c>
      <c r="H250" t="s">
        <v>6</v>
      </c>
      <c r="I250">
        <v>-25.889999999999901</v>
      </c>
      <c r="J250" t="s">
        <v>7</v>
      </c>
      <c r="K250">
        <v>-0.19177777777777699</v>
      </c>
      <c r="L250" t="s">
        <v>8</v>
      </c>
      <c r="M250">
        <v>2.1217999999999999</v>
      </c>
      <c r="N250" t="s">
        <v>9</v>
      </c>
      <c r="O250">
        <v>-1.55270588235294</v>
      </c>
      <c r="P250" t="s">
        <v>10</v>
      </c>
      <c r="Q250">
        <v>0.43593291044354399</v>
      </c>
      <c r="R250" t="s">
        <v>11</v>
      </c>
      <c r="S250" t="s">
        <v>3523</v>
      </c>
      <c r="T250" t="s">
        <v>730</v>
      </c>
      <c r="U250">
        <v>0</v>
      </c>
      <c r="V250" t="s">
        <v>14</v>
      </c>
      <c r="W250" t="s">
        <v>15</v>
      </c>
      <c r="X250" t="s">
        <v>3523</v>
      </c>
      <c r="Y250" t="s">
        <v>730</v>
      </c>
      <c r="Z250">
        <v>0</v>
      </c>
      <c r="AA250" t="s">
        <v>18</v>
      </c>
    </row>
    <row r="251" spans="1:27" x14ac:dyDescent="0.3">
      <c r="A251" t="s">
        <v>1223</v>
      </c>
      <c r="B251" t="s">
        <v>3217</v>
      </c>
      <c r="C251" t="s">
        <v>3957</v>
      </c>
      <c r="D251" t="s">
        <v>1224</v>
      </c>
      <c r="E251">
        <v>370</v>
      </c>
      <c r="F251" t="s">
        <v>5</v>
      </c>
      <c r="G251">
        <v>148</v>
      </c>
      <c r="H251" t="s">
        <v>6</v>
      </c>
      <c r="I251">
        <v>-26.010628687677201</v>
      </c>
      <c r="J251" t="s">
        <v>7</v>
      </c>
      <c r="K251">
        <v>-7.0298996453181606E-2</v>
      </c>
      <c r="L251" t="s">
        <v>8</v>
      </c>
      <c r="M251">
        <v>2.6392982264904399</v>
      </c>
      <c r="N251" t="s">
        <v>9</v>
      </c>
      <c r="O251">
        <v>-1.87669714508226</v>
      </c>
      <c r="P251" t="s">
        <v>10</v>
      </c>
      <c r="Q251">
        <v>1.0689549828953999</v>
      </c>
      <c r="R251" t="s">
        <v>11</v>
      </c>
      <c r="S251" t="s">
        <v>3620</v>
      </c>
      <c r="T251" t="s">
        <v>2186</v>
      </c>
      <c r="U251">
        <v>0</v>
      </c>
      <c r="V251" t="s">
        <v>14</v>
      </c>
      <c r="W251" t="s">
        <v>15</v>
      </c>
      <c r="X251" t="s">
        <v>3619</v>
      </c>
      <c r="Y251" t="s">
        <v>3333</v>
      </c>
      <c r="Z251">
        <v>0</v>
      </c>
      <c r="AA251" t="s">
        <v>18</v>
      </c>
    </row>
    <row r="252" spans="1:27" x14ac:dyDescent="0.3">
      <c r="A252" t="s">
        <v>1221</v>
      </c>
      <c r="B252" t="s">
        <v>3260</v>
      </c>
      <c r="C252" t="s">
        <v>3958</v>
      </c>
      <c r="D252" t="s">
        <v>1224</v>
      </c>
      <c r="E252">
        <v>125</v>
      </c>
      <c r="F252" t="s">
        <v>5</v>
      </c>
      <c r="G252">
        <v>39</v>
      </c>
      <c r="H252" t="s">
        <v>6</v>
      </c>
      <c r="I252">
        <v>-26.369999999999902</v>
      </c>
      <c r="J252" t="s">
        <v>7</v>
      </c>
      <c r="K252">
        <v>-0.21095999999999901</v>
      </c>
      <c r="L252" t="s">
        <v>8</v>
      </c>
      <c r="M252">
        <v>2.7884615384615299</v>
      </c>
      <c r="N252" t="s">
        <v>9</v>
      </c>
      <c r="O252">
        <v>-1.57116279069767</v>
      </c>
      <c r="P252" t="s">
        <v>10</v>
      </c>
      <c r="Q252">
        <v>0.57991454123944697</v>
      </c>
      <c r="R252" t="s">
        <v>11</v>
      </c>
      <c r="S252" t="s">
        <v>3526</v>
      </c>
      <c r="T252" t="s">
        <v>2666</v>
      </c>
      <c r="U252">
        <v>0</v>
      </c>
      <c r="V252" t="s">
        <v>14</v>
      </c>
      <c r="W252" t="s">
        <v>15</v>
      </c>
      <c r="X252" t="s">
        <v>3526</v>
      </c>
      <c r="Y252" t="s">
        <v>2666</v>
      </c>
      <c r="Z252">
        <v>0</v>
      </c>
      <c r="AA252" t="s">
        <v>18</v>
      </c>
    </row>
    <row r="253" spans="1:27" x14ac:dyDescent="0.3">
      <c r="A253" t="s">
        <v>3292</v>
      </c>
      <c r="B253" t="s">
        <v>3280</v>
      </c>
      <c r="C253" t="s">
        <v>3959</v>
      </c>
      <c r="D253" t="s">
        <v>1224</v>
      </c>
      <c r="E253">
        <v>165</v>
      </c>
      <c r="F253" t="s">
        <v>5</v>
      </c>
      <c r="G253">
        <v>96</v>
      </c>
      <c r="H253" t="s">
        <v>6</v>
      </c>
      <c r="I253">
        <v>-26.38</v>
      </c>
      <c r="J253" t="s">
        <v>7</v>
      </c>
      <c r="K253">
        <v>-0.15987878787878701</v>
      </c>
      <c r="L253" t="s">
        <v>8</v>
      </c>
      <c r="M253">
        <v>0.92499999999999905</v>
      </c>
      <c r="N253" t="s">
        <v>9</v>
      </c>
      <c r="O253">
        <v>-1.6692753623188299</v>
      </c>
      <c r="P253" t="s">
        <v>10</v>
      </c>
      <c r="Q253">
        <v>0.34097622927051002</v>
      </c>
      <c r="R253" t="s">
        <v>11</v>
      </c>
      <c r="S253" t="s">
        <v>770</v>
      </c>
      <c r="T253" t="s">
        <v>183</v>
      </c>
      <c r="U253">
        <v>0</v>
      </c>
      <c r="V253" t="s">
        <v>14</v>
      </c>
      <c r="W253" t="s">
        <v>15</v>
      </c>
      <c r="X253" t="s">
        <v>3455</v>
      </c>
      <c r="Y253" t="s">
        <v>3456</v>
      </c>
      <c r="Z253">
        <v>0</v>
      </c>
      <c r="AA253" t="s">
        <v>18</v>
      </c>
    </row>
    <row r="254" spans="1:27" x14ac:dyDescent="0.3">
      <c r="A254" t="s">
        <v>1220</v>
      </c>
      <c r="B254" t="s">
        <v>3240</v>
      </c>
      <c r="C254" t="s">
        <v>3960</v>
      </c>
      <c r="D254" t="s">
        <v>1224</v>
      </c>
      <c r="E254">
        <v>135</v>
      </c>
      <c r="F254" t="s">
        <v>5</v>
      </c>
      <c r="G254">
        <v>55</v>
      </c>
      <c r="H254" t="s">
        <v>6</v>
      </c>
      <c r="I254">
        <v>-26.479999999999901</v>
      </c>
      <c r="J254" t="s">
        <v>7</v>
      </c>
      <c r="K254">
        <v>-0.19614814814814799</v>
      </c>
      <c r="L254" t="s">
        <v>8</v>
      </c>
      <c r="M254">
        <v>1.1650909090909001</v>
      </c>
      <c r="N254" t="s">
        <v>9</v>
      </c>
      <c r="O254">
        <v>-1.1319999999999999</v>
      </c>
      <c r="P254" t="s">
        <v>10</v>
      </c>
      <c r="Q254">
        <v>0.37250355238265398</v>
      </c>
      <c r="R254" t="s">
        <v>11</v>
      </c>
      <c r="S254" t="s">
        <v>3326</v>
      </c>
      <c r="T254" t="s">
        <v>21</v>
      </c>
      <c r="U254">
        <v>0</v>
      </c>
      <c r="V254" t="s">
        <v>14</v>
      </c>
      <c r="W254" t="s">
        <v>15</v>
      </c>
      <c r="X254" t="s">
        <v>3516</v>
      </c>
      <c r="Y254" t="s">
        <v>3333</v>
      </c>
      <c r="Z254">
        <v>0</v>
      </c>
      <c r="AA254" t="s">
        <v>18</v>
      </c>
    </row>
    <row r="255" spans="1:27" x14ac:dyDescent="0.3">
      <c r="A255" t="s">
        <v>1219</v>
      </c>
      <c r="B255" t="s">
        <v>3228</v>
      </c>
      <c r="C255" t="s">
        <v>3961</v>
      </c>
      <c r="D255" t="s">
        <v>1224</v>
      </c>
      <c r="E255">
        <v>178</v>
      </c>
      <c r="F255" t="s">
        <v>5</v>
      </c>
      <c r="G255">
        <v>86</v>
      </c>
      <c r="H255" t="s">
        <v>6</v>
      </c>
      <c r="I255">
        <v>-26.6799999999999</v>
      </c>
      <c r="J255" t="s">
        <v>7</v>
      </c>
      <c r="K255">
        <v>-0.149887640449437</v>
      </c>
      <c r="L255" t="s">
        <v>8</v>
      </c>
      <c r="M255">
        <v>1.2077906976744099</v>
      </c>
      <c r="N255" t="s">
        <v>9</v>
      </c>
      <c r="O255">
        <v>-1.4190217391304301</v>
      </c>
      <c r="P255" t="s">
        <v>10</v>
      </c>
      <c r="Q255">
        <v>0.41324088772046502</v>
      </c>
      <c r="R255" t="s">
        <v>11</v>
      </c>
      <c r="S255" t="s">
        <v>3412</v>
      </c>
      <c r="T255" t="s">
        <v>2698</v>
      </c>
      <c r="U255">
        <v>0</v>
      </c>
      <c r="V255" t="s">
        <v>14</v>
      </c>
      <c r="W255" t="s">
        <v>15</v>
      </c>
      <c r="X255" t="s">
        <v>3413</v>
      </c>
      <c r="Y255" t="s">
        <v>2655</v>
      </c>
      <c r="Z255">
        <v>0</v>
      </c>
      <c r="AA255" t="s">
        <v>18</v>
      </c>
    </row>
    <row r="256" spans="1:27" x14ac:dyDescent="0.3">
      <c r="A256" t="s">
        <v>3292</v>
      </c>
      <c r="B256" t="s">
        <v>3204</v>
      </c>
      <c r="C256" t="s">
        <v>3962</v>
      </c>
      <c r="D256" t="s">
        <v>1224</v>
      </c>
      <c r="E256">
        <v>155</v>
      </c>
      <c r="F256" t="s">
        <v>5</v>
      </c>
      <c r="G256">
        <v>76</v>
      </c>
      <c r="H256" t="s">
        <v>6</v>
      </c>
      <c r="I256">
        <v>-26.689999999999898</v>
      </c>
      <c r="J256" t="s">
        <v>7</v>
      </c>
      <c r="K256">
        <v>-0.172193548387096</v>
      </c>
      <c r="L256" t="s">
        <v>8</v>
      </c>
      <c r="M256">
        <v>1.22842105263157</v>
      </c>
      <c r="N256" t="s">
        <v>9</v>
      </c>
      <c r="O256">
        <v>-1.51962025316455</v>
      </c>
      <c r="P256" t="s">
        <v>10</v>
      </c>
      <c r="Q256">
        <v>0.3521628976333</v>
      </c>
      <c r="R256" t="s">
        <v>11</v>
      </c>
      <c r="S256" t="s">
        <v>3386</v>
      </c>
      <c r="T256" t="s">
        <v>3030</v>
      </c>
      <c r="U256">
        <v>0</v>
      </c>
      <c r="V256" t="s">
        <v>14</v>
      </c>
      <c r="W256" t="s">
        <v>15</v>
      </c>
      <c r="X256" t="s">
        <v>3467</v>
      </c>
      <c r="Y256" t="s">
        <v>3389</v>
      </c>
      <c r="Z256">
        <v>0</v>
      </c>
      <c r="AA256" t="s">
        <v>18</v>
      </c>
    </row>
    <row r="257" spans="1:27" x14ac:dyDescent="0.3">
      <c r="A257" t="s">
        <v>1221</v>
      </c>
      <c r="B257" t="s">
        <v>3206</v>
      </c>
      <c r="C257" t="s">
        <v>3963</v>
      </c>
      <c r="D257" t="s">
        <v>1224</v>
      </c>
      <c r="E257">
        <v>125</v>
      </c>
      <c r="F257" t="s">
        <v>5</v>
      </c>
      <c r="G257">
        <v>48</v>
      </c>
      <c r="H257" t="s">
        <v>6</v>
      </c>
      <c r="I257">
        <v>-26.7699999999999</v>
      </c>
      <c r="J257" t="s">
        <v>7</v>
      </c>
      <c r="K257">
        <v>-0.21415999999999899</v>
      </c>
      <c r="L257" t="s">
        <v>8</v>
      </c>
      <c r="M257">
        <v>2.0995833333333298</v>
      </c>
      <c r="N257" t="s">
        <v>9</v>
      </c>
      <c r="O257">
        <v>-1.6564935064935</v>
      </c>
      <c r="P257" t="s">
        <v>10</v>
      </c>
      <c r="Q257">
        <v>0.50810772123527204</v>
      </c>
      <c r="R257" t="s">
        <v>11</v>
      </c>
      <c r="S257" t="s">
        <v>3505</v>
      </c>
      <c r="T257" t="s">
        <v>3506</v>
      </c>
      <c r="U257">
        <v>0</v>
      </c>
      <c r="V257" t="s">
        <v>14</v>
      </c>
      <c r="W257" t="s">
        <v>15</v>
      </c>
      <c r="X257" t="s">
        <v>3505</v>
      </c>
      <c r="Y257" t="s">
        <v>3506</v>
      </c>
      <c r="Z257">
        <v>0</v>
      </c>
      <c r="AA257" t="s">
        <v>18</v>
      </c>
    </row>
    <row r="258" spans="1:27" x14ac:dyDescent="0.3">
      <c r="A258" t="s">
        <v>3292</v>
      </c>
      <c r="B258" t="s">
        <v>3212</v>
      </c>
      <c r="C258" t="s">
        <v>3964</v>
      </c>
      <c r="D258" t="s">
        <v>1224</v>
      </c>
      <c r="E258">
        <v>165</v>
      </c>
      <c r="F258" t="s">
        <v>5</v>
      </c>
      <c r="G258">
        <v>72</v>
      </c>
      <c r="H258" t="s">
        <v>6</v>
      </c>
      <c r="I258">
        <v>-27.16</v>
      </c>
      <c r="J258" t="s">
        <v>7</v>
      </c>
      <c r="K258">
        <v>-0.16460606060606001</v>
      </c>
      <c r="L258" t="s">
        <v>8</v>
      </c>
      <c r="M258">
        <v>1.7822222222222199</v>
      </c>
      <c r="N258" t="s">
        <v>9</v>
      </c>
      <c r="O258">
        <v>-1.67182795698924</v>
      </c>
      <c r="P258" t="s">
        <v>10</v>
      </c>
      <c r="Q258">
        <v>0.61165824774710997</v>
      </c>
      <c r="R258" t="s">
        <v>11</v>
      </c>
      <c r="S258" t="s">
        <v>3473</v>
      </c>
      <c r="T258" t="s">
        <v>3073</v>
      </c>
      <c r="U258">
        <v>0</v>
      </c>
      <c r="V258" t="s">
        <v>14</v>
      </c>
      <c r="W258" t="s">
        <v>15</v>
      </c>
      <c r="X258" t="s">
        <v>3472</v>
      </c>
      <c r="Y258" t="s">
        <v>2655</v>
      </c>
      <c r="Z258">
        <v>0</v>
      </c>
      <c r="AA258" t="s">
        <v>18</v>
      </c>
    </row>
    <row r="259" spans="1:27" x14ac:dyDescent="0.3">
      <c r="A259" t="s">
        <v>1219</v>
      </c>
      <c r="B259" t="s">
        <v>3235</v>
      </c>
      <c r="C259" t="s">
        <v>3965</v>
      </c>
      <c r="D259" t="s">
        <v>1224</v>
      </c>
      <c r="E259">
        <v>167</v>
      </c>
      <c r="F259" t="s">
        <v>5</v>
      </c>
      <c r="G259">
        <v>73</v>
      </c>
      <c r="H259" t="s">
        <v>6</v>
      </c>
      <c r="I259">
        <v>-27.26039343551</v>
      </c>
      <c r="J259" t="s">
        <v>7</v>
      </c>
      <c r="K259">
        <v>-0.163235888835389</v>
      </c>
      <c r="L259" t="s">
        <v>8</v>
      </c>
      <c r="M259">
        <v>1.66856857584608</v>
      </c>
      <c r="N259" t="s">
        <v>9</v>
      </c>
      <c r="O259">
        <v>-1.5858074411944001</v>
      </c>
      <c r="P259" t="s">
        <v>10</v>
      </c>
      <c r="Q259">
        <v>0.56993593043858304</v>
      </c>
      <c r="R259" t="s">
        <v>11</v>
      </c>
      <c r="S259" t="s">
        <v>235</v>
      </c>
      <c r="T259" t="s">
        <v>77</v>
      </c>
      <c r="U259">
        <v>0</v>
      </c>
      <c r="V259" t="s">
        <v>14</v>
      </c>
      <c r="W259" t="s">
        <v>15</v>
      </c>
      <c r="X259" t="s">
        <v>3420</v>
      </c>
      <c r="Y259" t="s">
        <v>3398</v>
      </c>
      <c r="Z259">
        <v>0</v>
      </c>
      <c r="AA259" t="s">
        <v>18</v>
      </c>
    </row>
    <row r="260" spans="1:27" x14ac:dyDescent="0.3">
      <c r="A260" t="s">
        <v>1222</v>
      </c>
      <c r="B260" t="s">
        <v>3234</v>
      </c>
      <c r="C260" t="s">
        <v>3966</v>
      </c>
      <c r="D260" t="s">
        <v>1224</v>
      </c>
      <c r="E260">
        <v>127</v>
      </c>
      <c r="F260" t="s">
        <v>5</v>
      </c>
      <c r="G260">
        <v>56</v>
      </c>
      <c r="H260" t="s">
        <v>6</v>
      </c>
      <c r="I260">
        <v>-27.436886577426201</v>
      </c>
      <c r="J260" t="s">
        <v>7</v>
      </c>
      <c r="K260">
        <v>-0.216038476987608</v>
      </c>
      <c r="L260" t="s">
        <v>8</v>
      </c>
      <c r="M260">
        <v>1.3811998524161999</v>
      </c>
      <c r="N260" t="s">
        <v>9</v>
      </c>
      <c r="O260">
        <v>-1.47583208891174</v>
      </c>
      <c r="P260" t="s">
        <v>10</v>
      </c>
      <c r="Q260">
        <v>0.33965598849629403</v>
      </c>
      <c r="R260" t="s">
        <v>11</v>
      </c>
      <c r="S260" t="s">
        <v>3574</v>
      </c>
      <c r="T260" t="s">
        <v>3129</v>
      </c>
      <c r="U260">
        <v>0</v>
      </c>
      <c r="V260" t="s">
        <v>14</v>
      </c>
      <c r="W260" t="s">
        <v>15</v>
      </c>
      <c r="X260" t="s">
        <v>3574</v>
      </c>
      <c r="Y260" t="s">
        <v>3129</v>
      </c>
      <c r="Z260">
        <v>0</v>
      </c>
      <c r="AA260" t="s">
        <v>18</v>
      </c>
    </row>
    <row r="261" spans="1:27" x14ac:dyDescent="0.3">
      <c r="A261" t="s">
        <v>1221</v>
      </c>
      <c r="B261" t="s">
        <v>3231</v>
      </c>
      <c r="C261" t="s">
        <v>3967</v>
      </c>
      <c r="D261" t="s">
        <v>1224</v>
      </c>
      <c r="E261">
        <v>130</v>
      </c>
      <c r="F261" t="s">
        <v>5</v>
      </c>
      <c r="G261">
        <v>45</v>
      </c>
      <c r="H261" t="s">
        <v>6</v>
      </c>
      <c r="I261">
        <v>-27.5399999999999</v>
      </c>
      <c r="J261" t="s">
        <v>7</v>
      </c>
      <c r="K261">
        <v>-0.21184615384615299</v>
      </c>
      <c r="L261" t="s">
        <v>8</v>
      </c>
      <c r="M261">
        <v>2.51444444444444</v>
      </c>
      <c r="N261" t="s">
        <v>9</v>
      </c>
      <c r="O261">
        <v>-1.67488095238095</v>
      </c>
      <c r="P261" t="s">
        <v>10</v>
      </c>
      <c r="Q261">
        <v>0.65855901232502301</v>
      </c>
      <c r="R261" t="s">
        <v>11</v>
      </c>
      <c r="S261" t="s">
        <v>3512</v>
      </c>
      <c r="T261" t="s">
        <v>1232</v>
      </c>
      <c r="U261">
        <v>0</v>
      </c>
      <c r="V261" t="s">
        <v>14</v>
      </c>
      <c r="W261" t="s">
        <v>15</v>
      </c>
      <c r="X261" t="s">
        <v>3512</v>
      </c>
      <c r="Y261" t="s">
        <v>1232</v>
      </c>
      <c r="Z261">
        <v>0</v>
      </c>
      <c r="AA261" t="s">
        <v>18</v>
      </c>
    </row>
    <row r="262" spans="1:27" x14ac:dyDescent="0.3">
      <c r="A262" t="s">
        <v>1219</v>
      </c>
      <c r="B262" t="s">
        <v>3260</v>
      </c>
      <c r="C262" t="s">
        <v>3968</v>
      </c>
      <c r="D262" t="s">
        <v>1224</v>
      </c>
      <c r="E262">
        <v>169</v>
      </c>
      <c r="F262" t="s">
        <v>5</v>
      </c>
      <c r="G262">
        <v>52</v>
      </c>
      <c r="H262" t="s">
        <v>6</v>
      </c>
      <c r="I262">
        <v>-27.619999999999902</v>
      </c>
      <c r="J262" t="s">
        <v>7</v>
      </c>
      <c r="K262">
        <v>-0.16343195266272101</v>
      </c>
      <c r="L262" t="s">
        <v>8</v>
      </c>
      <c r="M262">
        <v>2.9024999999999999</v>
      </c>
      <c r="N262" t="s">
        <v>9</v>
      </c>
      <c r="O262">
        <v>-1.52606837606837</v>
      </c>
      <c r="P262" t="s">
        <v>10</v>
      </c>
      <c r="Q262">
        <v>0.620367889024106</v>
      </c>
      <c r="R262" t="s">
        <v>11</v>
      </c>
      <c r="S262" t="s">
        <v>3433</v>
      </c>
      <c r="T262" t="s">
        <v>2698</v>
      </c>
      <c r="U262">
        <v>0</v>
      </c>
      <c r="V262" t="s">
        <v>14</v>
      </c>
      <c r="W262" t="s">
        <v>15</v>
      </c>
      <c r="X262" t="s">
        <v>3431</v>
      </c>
      <c r="Y262" t="s">
        <v>3432</v>
      </c>
      <c r="Z262">
        <v>0</v>
      </c>
      <c r="AA262" t="s">
        <v>18</v>
      </c>
    </row>
    <row r="263" spans="1:27" x14ac:dyDescent="0.3">
      <c r="A263" t="s">
        <v>3292</v>
      </c>
      <c r="B263" t="s">
        <v>3228</v>
      </c>
      <c r="C263" t="s">
        <v>3969</v>
      </c>
      <c r="D263" t="s">
        <v>1224</v>
      </c>
      <c r="E263">
        <v>165</v>
      </c>
      <c r="F263" t="s">
        <v>5</v>
      </c>
      <c r="G263">
        <v>82</v>
      </c>
      <c r="H263" t="s">
        <v>6</v>
      </c>
      <c r="I263">
        <v>-27.639999999999901</v>
      </c>
      <c r="J263" t="s">
        <v>7</v>
      </c>
      <c r="K263">
        <v>-0.16751515151515101</v>
      </c>
      <c r="L263" t="s">
        <v>8</v>
      </c>
      <c r="M263">
        <v>1.10792682926829</v>
      </c>
      <c r="N263" t="s">
        <v>9</v>
      </c>
      <c r="O263">
        <v>-1.4275903614457801</v>
      </c>
      <c r="P263" t="s">
        <v>10</v>
      </c>
      <c r="Q263">
        <v>0.37166909918235203</v>
      </c>
      <c r="R263" t="s">
        <v>11</v>
      </c>
      <c r="S263" t="s">
        <v>3412</v>
      </c>
      <c r="T263" t="s">
        <v>2698</v>
      </c>
      <c r="U263">
        <v>0</v>
      </c>
      <c r="V263" t="s">
        <v>14</v>
      </c>
      <c r="W263" t="s">
        <v>15</v>
      </c>
      <c r="X263" t="s">
        <v>3413</v>
      </c>
      <c r="Y263" t="s">
        <v>2655</v>
      </c>
      <c r="Z263">
        <v>0</v>
      </c>
      <c r="AA263" t="s">
        <v>18</v>
      </c>
    </row>
    <row r="264" spans="1:27" x14ac:dyDescent="0.3">
      <c r="A264" t="s">
        <v>1220</v>
      </c>
      <c r="B264" t="s">
        <v>3246</v>
      </c>
      <c r="C264" t="s">
        <v>3970</v>
      </c>
      <c r="D264" t="s">
        <v>1224</v>
      </c>
      <c r="E264">
        <v>140</v>
      </c>
      <c r="F264" t="s">
        <v>5</v>
      </c>
      <c r="G264">
        <v>55</v>
      </c>
      <c r="H264" t="s">
        <v>6</v>
      </c>
      <c r="I264">
        <v>-27.6636802327243</v>
      </c>
      <c r="J264" t="s">
        <v>7</v>
      </c>
      <c r="K264">
        <v>-0.19759771594803099</v>
      </c>
      <c r="L264" t="s">
        <v>8</v>
      </c>
      <c r="M264">
        <v>1.48320581395046</v>
      </c>
      <c r="N264" t="s">
        <v>9</v>
      </c>
      <c r="O264">
        <v>-1.28517647058823</v>
      </c>
      <c r="P264" t="s">
        <v>10</v>
      </c>
      <c r="Q264">
        <v>0.33502653197737597</v>
      </c>
      <c r="R264" t="s">
        <v>11</v>
      </c>
      <c r="S264" t="s">
        <v>3332</v>
      </c>
      <c r="T264" t="s">
        <v>3333</v>
      </c>
      <c r="U264">
        <v>0</v>
      </c>
      <c r="V264" t="s">
        <v>14</v>
      </c>
      <c r="W264" t="s">
        <v>15</v>
      </c>
      <c r="X264" t="s">
        <v>3516</v>
      </c>
      <c r="Y264" t="s">
        <v>3333</v>
      </c>
      <c r="Z264">
        <v>0</v>
      </c>
      <c r="AA264" t="s">
        <v>18</v>
      </c>
    </row>
    <row r="265" spans="1:27" x14ac:dyDescent="0.3">
      <c r="A265" t="s">
        <v>3293</v>
      </c>
      <c r="B265" t="s">
        <v>3250</v>
      </c>
      <c r="C265" t="s">
        <v>3971</v>
      </c>
      <c r="D265" t="s">
        <v>1224</v>
      </c>
      <c r="E265">
        <v>331</v>
      </c>
      <c r="F265" t="s">
        <v>5</v>
      </c>
      <c r="G265">
        <v>187</v>
      </c>
      <c r="H265" t="s">
        <v>6</v>
      </c>
      <c r="I265">
        <v>-27.7983836394016</v>
      </c>
      <c r="J265" t="s">
        <v>7</v>
      </c>
      <c r="K265">
        <v>-8.3983032143207195E-2</v>
      </c>
      <c r="L265" t="s">
        <v>8</v>
      </c>
      <c r="M265">
        <v>0.648328008168648</v>
      </c>
      <c r="N265" t="s">
        <v>9</v>
      </c>
      <c r="O265">
        <v>-1.04220784032824</v>
      </c>
      <c r="P265" t="s">
        <v>10</v>
      </c>
      <c r="Q265">
        <v>0.41471094761886501</v>
      </c>
      <c r="R265" t="s">
        <v>11</v>
      </c>
      <c r="S265" t="s">
        <v>2657</v>
      </c>
      <c r="T265" t="s">
        <v>3303</v>
      </c>
      <c r="U265">
        <v>0</v>
      </c>
      <c r="V265" t="s">
        <v>14</v>
      </c>
      <c r="W265" t="s">
        <v>15</v>
      </c>
      <c r="X265" t="s">
        <v>2812</v>
      </c>
      <c r="Y265" t="s">
        <v>3303</v>
      </c>
      <c r="Z265">
        <v>0</v>
      </c>
      <c r="AA265" t="s">
        <v>18</v>
      </c>
    </row>
    <row r="266" spans="1:27" x14ac:dyDescent="0.3">
      <c r="A266" t="s">
        <v>1222</v>
      </c>
      <c r="B266" t="s">
        <v>3245</v>
      </c>
      <c r="C266" t="s">
        <v>3972</v>
      </c>
      <c r="D266" t="s">
        <v>1224</v>
      </c>
      <c r="E266">
        <v>128</v>
      </c>
      <c r="F266" t="s">
        <v>5</v>
      </c>
      <c r="G266">
        <v>58</v>
      </c>
      <c r="H266" t="s">
        <v>6</v>
      </c>
      <c r="I266">
        <v>-27.96</v>
      </c>
      <c r="J266" t="s">
        <v>7</v>
      </c>
      <c r="K266">
        <v>-0.21843750000000001</v>
      </c>
      <c r="L266" t="s">
        <v>8</v>
      </c>
      <c r="M266">
        <v>0.92482758620689598</v>
      </c>
      <c r="N266" t="s">
        <v>9</v>
      </c>
      <c r="O266">
        <v>-1.1657142857142799</v>
      </c>
      <c r="P266" t="s">
        <v>10</v>
      </c>
      <c r="Q266">
        <v>0.26787076490905298</v>
      </c>
      <c r="R266" t="s">
        <v>11</v>
      </c>
      <c r="S266" t="s">
        <v>3577</v>
      </c>
      <c r="T266" t="s">
        <v>3333</v>
      </c>
      <c r="U266">
        <v>0</v>
      </c>
      <c r="V266" t="s">
        <v>14</v>
      </c>
      <c r="W266" t="s">
        <v>15</v>
      </c>
      <c r="X266" t="s">
        <v>3578</v>
      </c>
      <c r="Y266" t="s">
        <v>3579</v>
      </c>
      <c r="Z266">
        <v>0</v>
      </c>
      <c r="AA266" t="s">
        <v>18</v>
      </c>
    </row>
    <row r="267" spans="1:27" x14ac:dyDescent="0.3">
      <c r="A267" t="s">
        <v>1221</v>
      </c>
      <c r="B267" t="s">
        <v>3246</v>
      </c>
      <c r="C267" t="s">
        <v>3973</v>
      </c>
      <c r="D267" t="s">
        <v>1224</v>
      </c>
      <c r="E267">
        <v>130</v>
      </c>
      <c r="F267" t="s">
        <v>5</v>
      </c>
      <c r="G267">
        <v>49</v>
      </c>
      <c r="H267" t="s">
        <v>6</v>
      </c>
      <c r="I267">
        <v>-28.0399999999999</v>
      </c>
      <c r="J267" t="s">
        <v>7</v>
      </c>
      <c r="K267">
        <v>-0.21569230769230699</v>
      </c>
      <c r="L267" t="s">
        <v>8</v>
      </c>
      <c r="M267">
        <v>1.5236734693877501</v>
      </c>
      <c r="N267" t="s">
        <v>9</v>
      </c>
      <c r="O267">
        <v>-1.2679012345678999</v>
      </c>
      <c r="P267" t="s">
        <v>10</v>
      </c>
      <c r="Q267">
        <v>0.31756160627491298</v>
      </c>
      <c r="R267" t="s">
        <v>11</v>
      </c>
      <c r="S267" t="s">
        <v>3332</v>
      </c>
      <c r="T267" t="s">
        <v>3333</v>
      </c>
      <c r="U267">
        <v>0</v>
      </c>
      <c r="V267" t="s">
        <v>14</v>
      </c>
      <c r="W267" t="s">
        <v>15</v>
      </c>
      <c r="X267" t="s">
        <v>3516</v>
      </c>
      <c r="Y267" t="s">
        <v>3333</v>
      </c>
      <c r="Z267">
        <v>0</v>
      </c>
      <c r="AA267" t="s">
        <v>18</v>
      </c>
    </row>
    <row r="268" spans="1:27" x14ac:dyDescent="0.3">
      <c r="A268" t="s">
        <v>1220</v>
      </c>
      <c r="B268" t="s">
        <v>3222</v>
      </c>
      <c r="C268" t="s">
        <v>3974</v>
      </c>
      <c r="D268" t="s">
        <v>1224</v>
      </c>
      <c r="E268">
        <v>135</v>
      </c>
      <c r="F268" t="s">
        <v>5</v>
      </c>
      <c r="G268">
        <v>53</v>
      </c>
      <c r="H268" t="s">
        <v>6</v>
      </c>
      <c r="I268">
        <v>-28.189999999999898</v>
      </c>
      <c r="J268" t="s">
        <v>7</v>
      </c>
      <c r="K268">
        <v>-0.20881481481481401</v>
      </c>
      <c r="L268" t="s">
        <v>8</v>
      </c>
      <c r="M268">
        <v>1.6</v>
      </c>
      <c r="N268" t="s">
        <v>9</v>
      </c>
      <c r="O268">
        <v>-1.37792682926829</v>
      </c>
      <c r="P268" t="s">
        <v>10</v>
      </c>
      <c r="Q268">
        <v>0.41235292396845302</v>
      </c>
      <c r="R268" t="s">
        <v>11</v>
      </c>
      <c r="S268" t="s">
        <v>3508</v>
      </c>
      <c r="T268" t="s">
        <v>21</v>
      </c>
      <c r="U268">
        <v>0</v>
      </c>
      <c r="V268" t="s">
        <v>14</v>
      </c>
      <c r="W268" t="s">
        <v>15</v>
      </c>
      <c r="X268" t="s">
        <v>3508</v>
      </c>
      <c r="Y268" t="s">
        <v>21</v>
      </c>
      <c r="Z268">
        <v>0</v>
      </c>
      <c r="AA268" t="s">
        <v>18</v>
      </c>
    </row>
    <row r="269" spans="1:27" x14ac:dyDescent="0.3">
      <c r="A269" t="s">
        <v>1222</v>
      </c>
      <c r="B269" t="s">
        <v>3252</v>
      </c>
      <c r="C269" t="s">
        <v>3975</v>
      </c>
      <c r="D269" t="s">
        <v>1224</v>
      </c>
      <c r="E269">
        <v>127</v>
      </c>
      <c r="F269" t="s">
        <v>5</v>
      </c>
      <c r="G269">
        <v>58</v>
      </c>
      <c r="H269" t="s">
        <v>6</v>
      </c>
      <c r="I269">
        <v>-28.191002823969001</v>
      </c>
      <c r="J269" t="s">
        <v>7</v>
      </c>
      <c r="K269">
        <v>-0.22197640018873199</v>
      </c>
      <c r="L269" t="s">
        <v>8</v>
      </c>
      <c r="M269">
        <v>0.99862068965517203</v>
      </c>
      <c r="N269" t="s">
        <v>9</v>
      </c>
      <c r="O269">
        <v>-1.26633827682307</v>
      </c>
      <c r="P269" t="s">
        <v>10</v>
      </c>
      <c r="Q269">
        <v>0.313222295353205</v>
      </c>
      <c r="R269" t="s">
        <v>11</v>
      </c>
      <c r="S269" t="s">
        <v>3583</v>
      </c>
      <c r="T269" t="s">
        <v>2071</v>
      </c>
      <c r="U269">
        <v>0</v>
      </c>
      <c r="V269" t="s">
        <v>14</v>
      </c>
      <c r="W269" t="s">
        <v>15</v>
      </c>
      <c r="X269" t="s">
        <v>3583</v>
      </c>
      <c r="Y269" t="s">
        <v>2071</v>
      </c>
      <c r="Z269">
        <v>0</v>
      </c>
      <c r="AA269" t="s">
        <v>18</v>
      </c>
    </row>
    <row r="270" spans="1:27" x14ac:dyDescent="0.3">
      <c r="A270" t="s">
        <v>1219</v>
      </c>
      <c r="B270" t="s">
        <v>3241</v>
      </c>
      <c r="C270" t="s">
        <v>3976</v>
      </c>
      <c r="D270" t="s">
        <v>1224</v>
      </c>
      <c r="E270">
        <v>169</v>
      </c>
      <c r="F270" t="s">
        <v>5</v>
      </c>
      <c r="G270">
        <v>76</v>
      </c>
      <c r="H270" t="s">
        <v>6</v>
      </c>
      <c r="I270">
        <v>-28.32</v>
      </c>
      <c r="J270" t="s">
        <v>7</v>
      </c>
      <c r="K270">
        <v>-0.16757396449704101</v>
      </c>
      <c r="L270" t="s">
        <v>8</v>
      </c>
      <c r="M270">
        <v>0.88565789473684198</v>
      </c>
      <c r="N270" t="s">
        <v>9</v>
      </c>
      <c r="O270">
        <v>-1.02827956989247</v>
      </c>
      <c r="P270" t="s">
        <v>10</v>
      </c>
      <c r="Q270">
        <v>0.352395732555359</v>
      </c>
      <c r="R270" t="s">
        <v>11</v>
      </c>
      <c r="S270" t="s">
        <v>3422</v>
      </c>
      <c r="T270" t="s">
        <v>603</v>
      </c>
      <c r="U270">
        <v>0</v>
      </c>
      <c r="V270" t="s">
        <v>14</v>
      </c>
      <c r="W270" t="s">
        <v>15</v>
      </c>
      <c r="X270" t="s">
        <v>3423</v>
      </c>
      <c r="Y270" t="s">
        <v>603</v>
      </c>
      <c r="Z270">
        <v>0</v>
      </c>
      <c r="AA270" t="s">
        <v>18</v>
      </c>
    </row>
    <row r="271" spans="1:27" x14ac:dyDescent="0.3">
      <c r="A271" t="s">
        <v>1222</v>
      </c>
      <c r="B271" t="s">
        <v>3248</v>
      </c>
      <c r="C271" t="s">
        <v>3977</v>
      </c>
      <c r="D271" t="s">
        <v>1224</v>
      </c>
      <c r="E271">
        <v>128</v>
      </c>
      <c r="F271" t="s">
        <v>5</v>
      </c>
      <c r="G271">
        <v>51</v>
      </c>
      <c r="H271" t="s">
        <v>6</v>
      </c>
      <c r="I271">
        <v>-28.4299999999999</v>
      </c>
      <c r="J271" t="s">
        <v>7</v>
      </c>
      <c r="K271">
        <v>-0.222109374999999</v>
      </c>
      <c r="L271" t="s">
        <v>8</v>
      </c>
      <c r="M271">
        <v>1.2856862745098001</v>
      </c>
      <c r="N271" t="s">
        <v>9</v>
      </c>
      <c r="O271">
        <v>-1.2207792207792201</v>
      </c>
      <c r="P271" t="s">
        <v>10</v>
      </c>
      <c r="Q271">
        <v>0.33053430002763401</v>
      </c>
      <c r="R271" t="s">
        <v>11</v>
      </c>
      <c r="S271" t="s">
        <v>3581</v>
      </c>
      <c r="T271" t="s">
        <v>3536</v>
      </c>
      <c r="U271">
        <v>0</v>
      </c>
      <c r="V271" t="s">
        <v>14</v>
      </c>
      <c r="W271" t="s">
        <v>15</v>
      </c>
      <c r="X271" t="s">
        <v>3581</v>
      </c>
      <c r="Y271" t="s">
        <v>3536</v>
      </c>
      <c r="Z271">
        <v>0</v>
      </c>
      <c r="AA271" t="s">
        <v>18</v>
      </c>
    </row>
    <row r="272" spans="1:27" x14ac:dyDescent="0.3">
      <c r="A272" t="s">
        <v>1220</v>
      </c>
      <c r="B272" t="s">
        <v>3221</v>
      </c>
      <c r="C272" t="s">
        <v>3978</v>
      </c>
      <c r="D272" t="s">
        <v>1224</v>
      </c>
      <c r="E272">
        <v>135</v>
      </c>
      <c r="F272" t="s">
        <v>5</v>
      </c>
      <c r="G272">
        <v>59</v>
      </c>
      <c r="H272" t="s">
        <v>6</v>
      </c>
      <c r="I272">
        <v>-28.4499999999999</v>
      </c>
      <c r="J272" t="s">
        <v>7</v>
      </c>
      <c r="K272">
        <v>-0.21074074074074001</v>
      </c>
      <c r="L272" t="s">
        <v>8</v>
      </c>
      <c r="M272">
        <v>1.3238983050847399</v>
      </c>
      <c r="N272" t="s">
        <v>9</v>
      </c>
      <c r="O272">
        <v>-1.4021052631578901</v>
      </c>
      <c r="P272" t="s">
        <v>10</v>
      </c>
      <c r="Q272">
        <v>0.36963738511330402</v>
      </c>
      <c r="R272" t="s">
        <v>11</v>
      </c>
      <c r="S272" t="s">
        <v>3508</v>
      </c>
      <c r="T272" t="s">
        <v>21</v>
      </c>
      <c r="U272">
        <v>0</v>
      </c>
      <c r="V272" t="s">
        <v>14</v>
      </c>
      <c r="W272" t="s">
        <v>15</v>
      </c>
      <c r="X272" t="s">
        <v>3508</v>
      </c>
      <c r="Y272" t="s">
        <v>21</v>
      </c>
      <c r="Z272">
        <v>0</v>
      </c>
      <c r="AA272" t="s">
        <v>18</v>
      </c>
    </row>
    <row r="273" spans="1:27" x14ac:dyDescent="0.3">
      <c r="A273" t="s">
        <v>1219</v>
      </c>
      <c r="B273" t="s">
        <v>3244</v>
      </c>
      <c r="C273" t="s">
        <v>3979</v>
      </c>
      <c r="D273" t="s">
        <v>1224</v>
      </c>
      <c r="E273">
        <v>178</v>
      </c>
      <c r="F273" t="s">
        <v>5</v>
      </c>
      <c r="G273">
        <v>100</v>
      </c>
      <c r="H273" t="s">
        <v>6</v>
      </c>
      <c r="I273">
        <v>-28.59</v>
      </c>
      <c r="J273" t="s">
        <v>7</v>
      </c>
      <c r="K273">
        <v>-0.16061797752808901</v>
      </c>
      <c r="L273" t="s">
        <v>8</v>
      </c>
      <c r="M273">
        <v>0.67809999999999904</v>
      </c>
      <c r="N273" t="s">
        <v>9</v>
      </c>
      <c r="O273">
        <v>-1.23589743589743</v>
      </c>
      <c r="P273" t="s">
        <v>10</v>
      </c>
      <c r="Q273">
        <v>0.28739625465958402</v>
      </c>
      <c r="R273" t="s">
        <v>11</v>
      </c>
      <c r="S273" t="s">
        <v>3422</v>
      </c>
      <c r="T273" t="s">
        <v>603</v>
      </c>
      <c r="U273">
        <v>0</v>
      </c>
      <c r="V273" t="s">
        <v>14</v>
      </c>
      <c r="W273" t="s">
        <v>15</v>
      </c>
      <c r="X273" t="s">
        <v>3425</v>
      </c>
      <c r="Y273" t="s">
        <v>603</v>
      </c>
      <c r="Z273">
        <v>0</v>
      </c>
      <c r="AA273" t="s">
        <v>18</v>
      </c>
    </row>
    <row r="274" spans="1:27" x14ac:dyDescent="0.3">
      <c r="A274" t="s">
        <v>1220</v>
      </c>
      <c r="B274" t="s">
        <v>3242</v>
      </c>
      <c r="C274" t="s">
        <v>3980</v>
      </c>
      <c r="D274" t="s">
        <v>1224</v>
      </c>
      <c r="E274">
        <v>135</v>
      </c>
      <c r="F274" t="s">
        <v>5</v>
      </c>
      <c r="G274">
        <v>51</v>
      </c>
      <c r="H274" t="s">
        <v>6</v>
      </c>
      <c r="I274">
        <v>-28.599999999999898</v>
      </c>
      <c r="J274" t="s">
        <v>7</v>
      </c>
      <c r="K274">
        <v>-0.21185185185185099</v>
      </c>
      <c r="L274" t="s">
        <v>8</v>
      </c>
      <c r="M274">
        <v>1.3435294117647001</v>
      </c>
      <c r="N274" t="s">
        <v>9</v>
      </c>
      <c r="O274">
        <v>-1.15619047619047</v>
      </c>
      <c r="P274" t="s">
        <v>10</v>
      </c>
      <c r="Q274">
        <v>0.456466524532608</v>
      </c>
      <c r="R274" t="s">
        <v>11</v>
      </c>
      <c r="S274" t="s">
        <v>3326</v>
      </c>
      <c r="T274" t="s">
        <v>21</v>
      </c>
      <c r="U274">
        <v>0</v>
      </c>
      <c r="V274" t="s">
        <v>14</v>
      </c>
      <c r="W274" t="s">
        <v>15</v>
      </c>
      <c r="X274" t="s">
        <v>3516</v>
      </c>
      <c r="Y274" t="s">
        <v>3333</v>
      </c>
      <c r="Z274">
        <v>0</v>
      </c>
      <c r="AA274" t="s">
        <v>18</v>
      </c>
    </row>
    <row r="275" spans="1:27" x14ac:dyDescent="0.3">
      <c r="A275" t="s">
        <v>1220</v>
      </c>
      <c r="B275" t="s">
        <v>3259</v>
      </c>
      <c r="C275" t="s">
        <v>3981</v>
      </c>
      <c r="D275" t="s">
        <v>1224</v>
      </c>
      <c r="E275">
        <v>135</v>
      </c>
      <c r="F275" t="s">
        <v>5</v>
      </c>
      <c r="G275">
        <v>44</v>
      </c>
      <c r="H275" t="s">
        <v>6</v>
      </c>
      <c r="I275">
        <v>-28.719999999999899</v>
      </c>
      <c r="J275" t="s">
        <v>7</v>
      </c>
      <c r="K275">
        <v>-0.21274074074074001</v>
      </c>
      <c r="L275" t="s">
        <v>8</v>
      </c>
      <c r="M275">
        <v>2.6261363636363599</v>
      </c>
      <c r="N275" t="s">
        <v>9</v>
      </c>
      <c r="O275">
        <v>-1.5853846153846101</v>
      </c>
      <c r="P275" t="s">
        <v>10</v>
      </c>
      <c r="Q275">
        <v>0.53758604100547802</v>
      </c>
      <c r="R275" t="s">
        <v>11</v>
      </c>
      <c r="S275" t="s">
        <v>2210</v>
      </c>
      <c r="T275" t="s">
        <v>2046</v>
      </c>
      <c r="U275">
        <v>0</v>
      </c>
      <c r="V275" t="s">
        <v>14</v>
      </c>
      <c r="W275" t="s">
        <v>15</v>
      </c>
      <c r="X275" t="s">
        <v>3524</v>
      </c>
      <c r="Y275" t="s">
        <v>3525</v>
      </c>
      <c r="Z275">
        <v>0</v>
      </c>
      <c r="AA275" t="s">
        <v>18</v>
      </c>
    </row>
    <row r="276" spans="1:27" x14ac:dyDescent="0.3">
      <c r="A276" t="s">
        <v>1221</v>
      </c>
      <c r="B276" t="s">
        <v>3280</v>
      </c>
      <c r="C276" t="s">
        <v>3982</v>
      </c>
      <c r="D276" t="s">
        <v>1224</v>
      </c>
      <c r="E276">
        <v>130</v>
      </c>
      <c r="F276" t="s">
        <v>5</v>
      </c>
      <c r="G276">
        <v>73</v>
      </c>
      <c r="H276" t="s">
        <v>6</v>
      </c>
      <c r="I276">
        <v>-28.739999999999899</v>
      </c>
      <c r="J276" t="s">
        <v>7</v>
      </c>
      <c r="K276">
        <v>-0.22107692307692201</v>
      </c>
      <c r="L276" t="s">
        <v>8</v>
      </c>
      <c r="M276">
        <v>0.92534246575342505</v>
      </c>
      <c r="N276" t="s">
        <v>9</v>
      </c>
      <c r="O276">
        <v>-1.68929824561403</v>
      </c>
      <c r="P276" t="s">
        <v>10</v>
      </c>
      <c r="Q276">
        <v>0.27486881839573701</v>
      </c>
      <c r="R276" t="s">
        <v>11</v>
      </c>
      <c r="S276" t="s">
        <v>2657</v>
      </c>
      <c r="T276" t="s">
        <v>3303</v>
      </c>
      <c r="U276">
        <v>0</v>
      </c>
      <c r="V276" t="s">
        <v>14</v>
      </c>
      <c r="W276" t="s">
        <v>15</v>
      </c>
      <c r="X276" t="s">
        <v>2657</v>
      </c>
      <c r="Y276" t="s">
        <v>3303</v>
      </c>
      <c r="Z276">
        <v>0</v>
      </c>
      <c r="AA276" t="s">
        <v>18</v>
      </c>
    </row>
    <row r="277" spans="1:27" x14ac:dyDescent="0.3">
      <c r="A277" t="s">
        <v>1221</v>
      </c>
      <c r="B277" t="s">
        <v>3207</v>
      </c>
      <c r="C277" t="s">
        <v>3983</v>
      </c>
      <c r="D277" t="s">
        <v>1224</v>
      </c>
      <c r="E277">
        <v>125</v>
      </c>
      <c r="F277" t="s">
        <v>5</v>
      </c>
      <c r="G277">
        <v>48</v>
      </c>
      <c r="H277" t="s">
        <v>6</v>
      </c>
      <c r="I277">
        <v>-28.889999999999901</v>
      </c>
      <c r="J277" t="s">
        <v>7</v>
      </c>
      <c r="K277">
        <v>-0.23111999999999899</v>
      </c>
      <c r="L277" t="s">
        <v>8</v>
      </c>
      <c r="M277">
        <v>2.0554166666666598</v>
      </c>
      <c r="N277" t="s">
        <v>9</v>
      </c>
      <c r="O277">
        <v>-1.6564935064935</v>
      </c>
      <c r="P277" t="s">
        <v>10</v>
      </c>
      <c r="Q277">
        <v>0.51115400593791604</v>
      </c>
      <c r="R277" t="s">
        <v>11</v>
      </c>
      <c r="S277" t="s">
        <v>3505</v>
      </c>
      <c r="T277" t="s">
        <v>3506</v>
      </c>
      <c r="U277">
        <v>0</v>
      </c>
      <c r="V277" t="s">
        <v>14</v>
      </c>
      <c r="W277" t="s">
        <v>15</v>
      </c>
      <c r="X277" t="s">
        <v>3505</v>
      </c>
      <c r="Y277" t="s">
        <v>3506</v>
      </c>
      <c r="Z277">
        <v>0</v>
      </c>
      <c r="AA277" t="s">
        <v>18</v>
      </c>
    </row>
    <row r="278" spans="1:27" x14ac:dyDescent="0.3">
      <c r="A278" t="s">
        <v>1219</v>
      </c>
      <c r="B278" t="s">
        <v>3278</v>
      </c>
      <c r="C278" t="s">
        <v>3984</v>
      </c>
      <c r="D278" t="s">
        <v>1224</v>
      </c>
      <c r="E278">
        <v>169</v>
      </c>
      <c r="F278" t="s">
        <v>5</v>
      </c>
      <c r="G278">
        <v>78</v>
      </c>
      <c r="H278" t="s">
        <v>6</v>
      </c>
      <c r="I278">
        <v>-29.2699999999999</v>
      </c>
      <c r="J278" t="s">
        <v>7</v>
      </c>
      <c r="K278">
        <v>-0.17319526627218801</v>
      </c>
      <c r="L278" t="s">
        <v>8</v>
      </c>
      <c r="M278">
        <v>1.55371794871794</v>
      </c>
      <c r="N278" t="s">
        <v>9</v>
      </c>
      <c r="O278">
        <v>-1.65340659340659</v>
      </c>
      <c r="P278" t="s">
        <v>10</v>
      </c>
      <c r="Q278">
        <v>0.60522356642341302</v>
      </c>
      <c r="R278" t="s">
        <v>11</v>
      </c>
      <c r="S278" t="s">
        <v>3452</v>
      </c>
      <c r="T278" t="s">
        <v>2644</v>
      </c>
      <c r="U278">
        <v>0</v>
      </c>
      <c r="V278" t="s">
        <v>14</v>
      </c>
      <c r="W278" t="s">
        <v>15</v>
      </c>
      <c r="X278" t="s">
        <v>3453</v>
      </c>
      <c r="Y278" t="s">
        <v>2644</v>
      </c>
      <c r="Z278">
        <v>0</v>
      </c>
      <c r="AA278" t="s">
        <v>18</v>
      </c>
    </row>
    <row r="279" spans="1:27" x14ac:dyDescent="0.3">
      <c r="A279" t="s">
        <v>1222</v>
      </c>
      <c r="B279" t="s">
        <v>3227</v>
      </c>
      <c r="C279" t="s">
        <v>3985</v>
      </c>
      <c r="D279" t="s">
        <v>1224</v>
      </c>
      <c r="E279">
        <v>128</v>
      </c>
      <c r="F279" t="s">
        <v>5</v>
      </c>
      <c r="G279">
        <v>59</v>
      </c>
      <c r="H279" t="s">
        <v>6</v>
      </c>
      <c r="I279">
        <v>-29.439999999999898</v>
      </c>
      <c r="J279" t="s">
        <v>7</v>
      </c>
      <c r="K279">
        <v>-0.22999999999999901</v>
      </c>
      <c r="L279" t="s">
        <v>8</v>
      </c>
      <c r="M279">
        <v>1.0889830508474501</v>
      </c>
      <c r="N279" t="s">
        <v>9</v>
      </c>
      <c r="O279">
        <v>-1.35782608695652</v>
      </c>
      <c r="P279" t="s">
        <v>10</v>
      </c>
      <c r="Q279">
        <v>0.27633877956146002</v>
      </c>
      <c r="R279" t="s">
        <v>11</v>
      </c>
      <c r="S279" t="s">
        <v>3540</v>
      </c>
      <c r="T279" t="s">
        <v>3333</v>
      </c>
      <c r="U279">
        <v>0</v>
      </c>
      <c r="V279" t="s">
        <v>14</v>
      </c>
      <c r="W279" t="s">
        <v>15</v>
      </c>
      <c r="X279" t="s">
        <v>3565</v>
      </c>
      <c r="Y279" t="s">
        <v>3411</v>
      </c>
      <c r="Z279">
        <v>0</v>
      </c>
      <c r="AA279" t="s">
        <v>18</v>
      </c>
    </row>
    <row r="280" spans="1:27" x14ac:dyDescent="0.3">
      <c r="A280" t="s">
        <v>3292</v>
      </c>
      <c r="B280" t="s">
        <v>3203</v>
      </c>
      <c r="C280" t="s">
        <v>3986</v>
      </c>
      <c r="D280" t="s">
        <v>1224</v>
      </c>
      <c r="E280">
        <v>155</v>
      </c>
      <c r="F280" t="s">
        <v>5</v>
      </c>
      <c r="G280">
        <v>80</v>
      </c>
      <c r="H280" t="s">
        <v>6</v>
      </c>
      <c r="I280">
        <v>-29.47</v>
      </c>
      <c r="J280" t="s">
        <v>7</v>
      </c>
      <c r="K280">
        <v>-0.19012903225806399</v>
      </c>
      <c r="L280" t="s">
        <v>8</v>
      </c>
      <c r="M280">
        <v>1.0371250000000001</v>
      </c>
      <c r="N280" t="s">
        <v>9</v>
      </c>
      <c r="O280">
        <v>-1.4991999999999901</v>
      </c>
      <c r="P280" t="s">
        <v>10</v>
      </c>
      <c r="Q280">
        <v>0.32478749008914598</v>
      </c>
      <c r="R280" t="s">
        <v>11</v>
      </c>
      <c r="S280" t="s">
        <v>3386</v>
      </c>
      <c r="T280" t="s">
        <v>3030</v>
      </c>
      <c r="U280">
        <v>0</v>
      </c>
      <c r="V280" t="s">
        <v>14</v>
      </c>
      <c r="W280" t="s">
        <v>15</v>
      </c>
      <c r="X280" t="s">
        <v>719</v>
      </c>
      <c r="Y280" t="s">
        <v>3389</v>
      </c>
      <c r="Z280">
        <v>0</v>
      </c>
      <c r="AA280" t="s">
        <v>18</v>
      </c>
    </row>
    <row r="281" spans="1:27" x14ac:dyDescent="0.3">
      <c r="A281" t="s">
        <v>1219</v>
      </c>
      <c r="B281" t="s">
        <v>3247</v>
      </c>
      <c r="C281" t="s">
        <v>3987</v>
      </c>
      <c r="D281" t="s">
        <v>1224</v>
      </c>
      <c r="E281">
        <v>178</v>
      </c>
      <c r="F281" t="s">
        <v>5</v>
      </c>
      <c r="G281">
        <v>76</v>
      </c>
      <c r="H281" t="s">
        <v>6</v>
      </c>
      <c r="I281">
        <v>-29.479999999999901</v>
      </c>
      <c r="J281" t="s">
        <v>7</v>
      </c>
      <c r="K281">
        <v>-0.16561797752808899</v>
      </c>
      <c r="L281" t="s">
        <v>8</v>
      </c>
      <c r="M281">
        <v>1.1443421052631499</v>
      </c>
      <c r="N281" t="s">
        <v>9</v>
      </c>
      <c r="O281">
        <v>-1.1416666666666599</v>
      </c>
      <c r="P281" t="s">
        <v>10</v>
      </c>
      <c r="Q281">
        <v>0.47295598282941798</v>
      </c>
      <c r="R281" t="s">
        <v>11</v>
      </c>
      <c r="S281" t="s">
        <v>3422</v>
      </c>
      <c r="T281" t="s">
        <v>603</v>
      </c>
      <c r="U281">
        <v>0</v>
      </c>
      <c r="V281" t="s">
        <v>14</v>
      </c>
      <c r="W281" t="s">
        <v>15</v>
      </c>
      <c r="X281" t="s">
        <v>3425</v>
      </c>
      <c r="Y281" t="s">
        <v>603</v>
      </c>
      <c r="Z281">
        <v>0</v>
      </c>
      <c r="AA281" t="s">
        <v>18</v>
      </c>
    </row>
    <row r="282" spans="1:27" x14ac:dyDescent="0.3">
      <c r="A282" t="s">
        <v>1220</v>
      </c>
      <c r="B282" t="s">
        <v>3280</v>
      </c>
      <c r="C282" t="s">
        <v>3988</v>
      </c>
      <c r="D282" t="s">
        <v>1224</v>
      </c>
      <c r="E282">
        <v>140</v>
      </c>
      <c r="F282" t="s">
        <v>5</v>
      </c>
      <c r="G282">
        <v>78</v>
      </c>
      <c r="H282" t="s">
        <v>6</v>
      </c>
      <c r="I282">
        <v>-29.569999999999901</v>
      </c>
      <c r="J282" t="s">
        <v>7</v>
      </c>
      <c r="K282">
        <v>-0.21121428571428499</v>
      </c>
      <c r="L282" t="s">
        <v>8</v>
      </c>
      <c r="M282">
        <v>1.00653846153846</v>
      </c>
      <c r="N282" t="s">
        <v>9</v>
      </c>
      <c r="O282">
        <v>-1.74322580645161</v>
      </c>
      <c r="P282" t="s">
        <v>10</v>
      </c>
      <c r="Q282">
        <v>0.322182728516965</v>
      </c>
      <c r="R282" t="s">
        <v>11</v>
      </c>
      <c r="S282" t="s">
        <v>2657</v>
      </c>
      <c r="T282" t="s">
        <v>3303</v>
      </c>
      <c r="U282">
        <v>0</v>
      </c>
      <c r="V282" t="s">
        <v>14</v>
      </c>
      <c r="W282" t="s">
        <v>15</v>
      </c>
      <c r="X282" t="s">
        <v>2657</v>
      </c>
      <c r="Y282" t="s">
        <v>3303</v>
      </c>
      <c r="Z282">
        <v>0</v>
      </c>
      <c r="AA282" t="s">
        <v>18</v>
      </c>
    </row>
    <row r="283" spans="1:27" x14ac:dyDescent="0.3">
      <c r="A283" t="s">
        <v>1221</v>
      </c>
      <c r="B283" t="s">
        <v>3236</v>
      </c>
      <c r="C283" t="s">
        <v>3989</v>
      </c>
      <c r="D283" t="s">
        <v>1224</v>
      </c>
      <c r="E283">
        <v>130</v>
      </c>
      <c r="F283" t="s">
        <v>5</v>
      </c>
      <c r="G283">
        <v>50</v>
      </c>
      <c r="H283" t="s">
        <v>6</v>
      </c>
      <c r="I283">
        <v>-29.709360451715298</v>
      </c>
      <c r="J283" t="s">
        <v>7</v>
      </c>
      <c r="K283">
        <v>-0.22853354193627201</v>
      </c>
      <c r="L283" t="s">
        <v>8</v>
      </c>
      <c r="M283">
        <v>1.89015506053099</v>
      </c>
      <c r="N283" t="s">
        <v>9</v>
      </c>
      <c r="O283">
        <v>-1.5527139184783101</v>
      </c>
      <c r="P283" t="s">
        <v>10</v>
      </c>
      <c r="Q283">
        <v>0.49064760981312999</v>
      </c>
      <c r="R283" t="s">
        <v>11</v>
      </c>
      <c r="S283" t="s">
        <v>3515</v>
      </c>
      <c r="T283" t="s">
        <v>3320</v>
      </c>
      <c r="U283">
        <v>0</v>
      </c>
      <c r="V283" t="s">
        <v>14</v>
      </c>
      <c r="W283" t="s">
        <v>15</v>
      </c>
      <c r="X283" t="s">
        <v>3514</v>
      </c>
      <c r="Y283" t="s">
        <v>2793</v>
      </c>
      <c r="Z283">
        <v>0</v>
      </c>
      <c r="AA283" t="s">
        <v>18</v>
      </c>
    </row>
    <row r="284" spans="1:27" x14ac:dyDescent="0.3">
      <c r="A284" t="s">
        <v>1223</v>
      </c>
      <c r="B284" t="s">
        <v>3253</v>
      </c>
      <c r="C284" t="s">
        <v>3990</v>
      </c>
      <c r="D284" t="s">
        <v>1224</v>
      </c>
      <c r="E284">
        <v>370</v>
      </c>
      <c r="F284" t="s">
        <v>5</v>
      </c>
      <c r="G284">
        <v>158</v>
      </c>
      <c r="H284" t="s">
        <v>6</v>
      </c>
      <c r="I284">
        <v>-29.731733661379401</v>
      </c>
      <c r="J284" t="s">
        <v>7</v>
      </c>
      <c r="K284">
        <v>-8.03560369226472E-2</v>
      </c>
      <c r="L284" t="s">
        <v>8</v>
      </c>
      <c r="M284">
        <v>1.3831141335558499</v>
      </c>
      <c r="N284" t="s">
        <v>9</v>
      </c>
      <c r="O284">
        <v>-1.1766055296834299</v>
      </c>
      <c r="P284" t="s">
        <v>10</v>
      </c>
      <c r="Q284">
        <v>0.77789525672165705</v>
      </c>
      <c r="R284" t="s">
        <v>11</v>
      </c>
      <c r="S284" t="s">
        <v>2657</v>
      </c>
      <c r="T284" t="s">
        <v>3303</v>
      </c>
      <c r="U284">
        <v>0</v>
      </c>
      <c r="V284" t="s">
        <v>14</v>
      </c>
      <c r="W284" t="s">
        <v>15</v>
      </c>
      <c r="X284" t="s">
        <v>2812</v>
      </c>
      <c r="Y284" t="s">
        <v>3303</v>
      </c>
      <c r="Z284">
        <v>0</v>
      </c>
      <c r="AA284" t="s">
        <v>18</v>
      </c>
    </row>
    <row r="285" spans="1:27" x14ac:dyDescent="0.3">
      <c r="A285" t="s">
        <v>1221</v>
      </c>
      <c r="B285" t="s">
        <v>3276</v>
      </c>
      <c r="C285" t="s">
        <v>3991</v>
      </c>
      <c r="D285" t="s">
        <v>1224</v>
      </c>
      <c r="E285">
        <v>125</v>
      </c>
      <c r="F285" t="s">
        <v>5</v>
      </c>
      <c r="G285">
        <v>56</v>
      </c>
      <c r="H285" t="s">
        <v>6</v>
      </c>
      <c r="I285">
        <v>-30.329999999999899</v>
      </c>
      <c r="J285" t="s">
        <v>7</v>
      </c>
      <c r="K285">
        <v>-0.242639999999999</v>
      </c>
      <c r="L285" t="s">
        <v>8</v>
      </c>
      <c r="M285">
        <v>1.7992857142857099</v>
      </c>
      <c r="N285" t="s">
        <v>9</v>
      </c>
      <c r="O285">
        <v>-1.89985507246376</v>
      </c>
      <c r="P285" t="s">
        <v>10</v>
      </c>
      <c r="Q285">
        <v>0.40181986869352698</v>
      </c>
      <c r="R285" t="s">
        <v>11</v>
      </c>
      <c r="S285" t="s">
        <v>3403</v>
      </c>
      <c r="T285" t="s">
        <v>730</v>
      </c>
      <c r="U285">
        <v>0</v>
      </c>
      <c r="V285" t="s">
        <v>14</v>
      </c>
      <c r="W285" t="s">
        <v>15</v>
      </c>
      <c r="X285" t="s">
        <v>3403</v>
      </c>
      <c r="Y285" t="s">
        <v>730</v>
      </c>
      <c r="Z285">
        <v>0</v>
      </c>
      <c r="AA285" t="s">
        <v>18</v>
      </c>
    </row>
    <row r="286" spans="1:27" x14ac:dyDescent="0.3">
      <c r="A286" t="s">
        <v>3292</v>
      </c>
      <c r="B286" t="s">
        <v>3221</v>
      </c>
      <c r="C286" t="s">
        <v>3992</v>
      </c>
      <c r="D286" t="s">
        <v>1224</v>
      </c>
      <c r="E286">
        <v>155</v>
      </c>
      <c r="F286" t="s">
        <v>5</v>
      </c>
      <c r="G286">
        <v>83</v>
      </c>
      <c r="H286" t="s">
        <v>6</v>
      </c>
      <c r="I286">
        <v>-30.3599999999999</v>
      </c>
      <c r="J286" t="s">
        <v>7</v>
      </c>
      <c r="K286">
        <v>-0.19587096774193499</v>
      </c>
      <c r="L286" t="s">
        <v>8</v>
      </c>
      <c r="M286">
        <v>0.75277108433734896</v>
      </c>
      <c r="N286" t="s">
        <v>9</v>
      </c>
      <c r="O286">
        <v>-1.28944444444444</v>
      </c>
      <c r="P286" t="s">
        <v>10</v>
      </c>
      <c r="Q286">
        <v>0.26904744950308002</v>
      </c>
      <c r="R286" t="s">
        <v>11</v>
      </c>
      <c r="S286" t="s">
        <v>3403</v>
      </c>
      <c r="T286" t="s">
        <v>730</v>
      </c>
      <c r="U286">
        <v>0</v>
      </c>
      <c r="V286" t="s">
        <v>14</v>
      </c>
      <c r="W286" t="s">
        <v>15</v>
      </c>
      <c r="X286" t="s">
        <v>3404</v>
      </c>
      <c r="Y286" t="s">
        <v>3389</v>
      </c>
      <c r="Z286">
        <v>0</v>
      </c>
      <c r="AA286" t="s">
        <v>18</v>
      </c>
    </row>
    <row r="287" spans="1:27" x14ac:dyDescent="0.3">
      <c r="A287" t="s">
        <v>3292</v>
      </c>
      <c r="B287" t="s">
        <v>3222</v>
      </c>
      <c r="C287" t="s">
        <v>3993</v>
      </c>
      <c r="D287" t="s">
        <v>1224</v>
      </c>
      <c r="E287">
        <v>155</v>
      </c>
      <c r="F287" t="s">
        <v>5</v>
      </c>
      <c r="G287">
        <v>78</v>
      </c>
      <c r="H287" t="s">
        <v>6</v>
      </c>
      <c r="I287">
        <v>-30.369999999999902</v>
      </c>
      <c r="J287" t="s">
        <v>7</v>
      </c>
      <c r="K287">
        <v>-0.19593548387096699</v>
      </c>
      <c r="L287" t="s">
        <v>8</v>
      </c>
      <c r="M287">
        <v>0.88858974358974296</v>
      </c>
      <c r="N287" t="s">
        <v>9</v>
      </c>
      <c r="O287">
        <v>-1.29454545454545</v>
      </c>
      <c r="P287" t="s">
        <v>10</v>
      </c>
      <c r="Q287">
        <v>0.30257820951117897</v>
      </c>
      <c r="R287" t="s">
        <v>11</v>
      </c>
      <c r="S287" t="s">
        <v>3403</v>
      </c>
      <c r="T287" t="s">
        <v>730</v>
      </c>
      <c r="U287">
        <v>0</v>
      </c>
      <c r="V287" t="s">
        <v>14</v>
      </c>
      <c r="W287" t="s">
        <v>15</v>
      </c>
      <c r="X287" t="s">
        <v>3404</v>
      </c>
      <c r="Y287" t="s">
        <v>3389</v>
      </c>
      <c r="Z287">
        <v>0</v>
      </c>
      <c r="AA287" t="s">
        <v>18</v>
      </c>
    </row>
    <row r="288" spans="1:27" x14ac:dyDescent="0.3">
      <c r="A288" t="s">
        <v>1221</v>
      </c>
      <c r="B288" t="s">
        <v>3247</v>
      </c>
      <c r="C288" t="s">
        <v>3994</v>
      </c>
      <c r="D288" t="s">
        <v>1224</v>
      </c>
      <c r="E288">
        <v>130</v>
      </c>
      <c r="F288" t="s">
        <v>5</v>
      </c>
      <c r="G288">
        <v>43</v>
      </c>
      <c r="H288" t="s">
        <v>6</v>
      </c>
      <c r="I288">
        <v>-30.579999999999899</v>
      </c>
      <c r="J288" t="s">
        <v>7</v>
      </c>
      <c r="K288">
        <v>-0.23523076923076799</v>
      </c>
      <c r="L288" t="s">
        <v>8</v>
      </c>
      <c r="M288">
        <v>1.88046511627907</v>
      </c>
      <c r="N288" t="s">
        <v>9</v>
      </c>
      <c r="O288">
        <v>-1.2809195402298801</v>
      </c>
      <c r="P288" t="s">
        <v>10</v>
      </c>
      <c r="Q288">
        <v>0.37240472159669002</v>
      </c>
      <c r="R288" t="s">
        <v>11</v>
      </c>
      <c r="S288" t="s">
        <v>3335</v>
      </c>
      <c r="T288" t="s">
        <v>2757</v>
      </c>
      <c r="U288">
        <v>0</v>
      </c>
      <c r="V288" t="s">
        <v>14</v>
      </c>
      <c r="W288" t="s">
        <v>15</v>
      </c>
      <c r="X288" t="s">
        <v>3516</v>
      </c>
      <c r="Y288" t="s">
        <v>3333</v>
      </c>
      <c r="Z288">
        <v>0</v>
      </c>
      <c r="AA288" t="s">
        <v>18</v>
      </c>
    </row>
    <row r="289" spans="1:27" x14ac:dyDescent="0.3">
      <c r="A289" t="s">
        <v>1221</v>
      </c>
      <c r="B289" t="s">
        <v>3203</v>
      </c>
      <c r="C289" t="s">
        <v>3995</v>
      </c>
      <c r="D289" t="s">
        <v>1224</v>
      </c>
      <c r="E289">
        <v>125</v>
      </c>
      <c r="F289" t="s">
        <v>5</v>
      </c>
      <c r="G289">
        <v>58</v>
      </c>
      <c r="H289" t="s">
        <v>6</v>
      </c>
      <c r="I289">
        <v>-30.689999999999898</v>
      </c>
      <c r="J289" t="s">
        <v>7</v>
      </c>
      <c r="K289">
        <v>-0.24551999999999899</v>
      </c>
      <c r="L289" t="s">
        <v>8</v>
      </c>
      <c r="M289">
        <v>1.36793103448275</v>
      </c>
      <c r="N289" t="s">
        <v>9</v>
      </c>
      <c r="O289">
        <v>-1.64223880597014</v>
      </c>
      <c r="P289" t="s">
        <v>10</v>
      </c>
      <c r="Q289">
        <v>0.32448523241146499</v>
      </c>
      <c r="R289" t="s">
        <v>11</v>
      </c>
      <c r="S289" t="s">
        <v>3403</v>
      </c>
      <c r="T289" t="s">
        <v>730</v>
      </c>
      <c r="U289">
        <v>0</v>
      </c>
      <c r="V289" t="s">
        <v>14</v>
      </c>
      <c r="W289" t="s">
        <v>15</v>
      </c>
      <c r="X289" t="s">
        <v>3403</v>
      </c>
      <c r="Y289" t="s">
        <v>730</v>
      </c>
      <c r="Z289">
        <v>0</v>
      </c>
      <c r="AA289" t="s">
        <v>18</v>
      </c>
    </row>
    <row r="290" spans="1:27" x14ac:dyDescent="0.3">
      <c r="A290" t="s">
        <v>3293</v>
      </c>
      <c r="B290" t="s">
        <v>3268</v>
      </c>
      <c r="C290" t="s">
        <v>3996</v>
      </c>
      <c r="D290" t="s">
        <v>1224</v>
      </c>
      <c r="E290">
        <v>331</v>
      </c>
      <c r="F290" t="s">
        <v>5</v>
      </c>
      <c r="G290">
        <v>182</v>
      </c>
      <c r="H290" t="s">
        <v>6</v>
      </c>
      <c r="I290">
        <v>-30.738482608179002</v>
      </c>
      <c r="J290" t="s">
        <v>7</v>
      </c>
      <c r="K290">
        <v>-9.2865506369120901E-2</v>
      </c>
      <c r="L290" t="s">
        <v>8</v>
      </c>
      <c r="M290">
        <v>1.2090251887285599</v>
      </c>
      <c r="N290" t="s">
        <v>9</v>
      </c>
      <c r="O290">
        <v>-1.6830944091058799</v>
      </c>
      <c r="P290" t="s">
        <v>10</v>
      </c>
      <c r="Q290">
        <v>0.636694531499025</v>
      </c>
      <c r="R290" t="s">
        <v>11</v>
      </c>
      <c r="S290" t="s">
        <v>3654</v>
      </c>
      <c r="T290" t="s">
        <v>1959</v>
      </c>
      <c r="U290">
        <v>0</v>
      </c>
      <c r="V290" t="s">
        <v>14</v>
      </c>
      <c r="W290" t="s">
        <v>15</v>
      </c>
      <c r="X290" t="s">
        <v>3655</v>
      </c>
      <c r="Y290" t="s">
        <v>2123</v>
      </c>
      <c r="Z290">
        <v>0</v>
      </c>
      <c r="AA290" t="s">
        <v>18</v>
      </c>
    </row>
    <row r="291" spans="1:27" x14ac:dyDescent="0.3">
      <c r="A291" t="s">
        <v>1219</v>
      </c>
      <c r="B291" t="s">
        <v>3249</v>
      </c>
      <c r="C291" t="s">
        <v>3997</v>
      </c>
      <c r="D291" t="s">
        <v>1224</v>
      </c>
      <c r="E291">
        <v>178</v>
      </c>
      <c r="F291" t="s">
        <v>5</v>
      </c>
      <c r="G291">
        <v>73</v>
      </c>
      <c r="H291" t="s">
        <v>6</v>
      </c>
      <c r="I291">
        <v>-30.76</v>
      </c>
      <c r="J291" t="s">
        <v>7</v>
      </c>
      <c r="K291">
        <v>-0.17280898876404499</v>
      </c>
      <c r="L291" t="s">
        <v>8</v>
      </c>
      <c r="M291">
        <v>1.18602739726027</v>
      </c>
      <c r="N291" t="s">
        <v>9</v>
      </c>
      <c r="O291">
        <v>-1.1175238095238</v>
      </c>
      <c r="P291" t="s">
        <v>10</v>
      </c>
      <c r="Q291">
        <v>0.612778840599009</v>
      </c>
      <c r="R291" t="s">
        <v>11</v>
      </c>
      <c r="S291" t="s">
        <v>3406</v>
      </c>
      <c r="T291" t="s">
        <v>2644</v>
      </c>
      <c r="U291">
        <v>0</v>
      </c>
      <c r="V291" t="s">
        <v>14</v>
      </c>
      <c r="W291" t="s">
        <v>15</v>
      </c>
      <c r="X291" t="s">
        <v>3426</v>
      </c>
      <c r="Y291" t="s">
        <v>2071</v>
      </c>
      <c r="Z291">
        <v>0</v>
      </c>
      <c r="AA291" t="s">
        <v>18</v>
      </c>
    </row>
    <row r="292" spans="1:27" x14ac:dyDescent="0.3">
      <c r="A292" t="s">
        <v>3292</v>
      </c>
      <c r="B292" t="s">
        <v>3279</v>
      </c>
      <c r="C292" t="s">
        <v>3998</v>
      </c>
      <c r="D292" t="s">
        <v>1224</v>
      </c>
      <c r="E292">
        <v>155</v>
      </c>
      <c r="F292" t="s">
        <v>5</v>
      </c>
      <c r="G292">
        <v>74</v>
      </c>
      <c r="H292" t="s">
        <v>6</v>
      </c>
      <c r="I292">
        <v>-31.119999999999902</v>
      </c>
      <c r="J292" t="s">
        <v>7</v>
      </c>
      <c r="K292">
        <v>-0.20077419354838599</v>
      </c>
      <c r="L292" t="s">
        <v>8</v>
      </c>
      <c r="M292">
        <v>1.42162162162162</v>
      </c>
      <c r="N292" t="s">
        <v>9</v>
      </c>
      <c r="O292">
        <v>-1.6829629629629601</v>
      </c>
      <c r="P292" t="s">
        <v>10</v>
      </c>
      <c r="Q292">
        <v>0.61101493337138202</v>
      </c>
      <c r="R292" t="s">
        <v>11</v>
      </c>
      <c r="S292" t="s">
        <v>3452</v>
      </c>
      <c r="T292" t="s">
        <v>2644</v>
      </c>
      <c r="U292">
        <v>0</v>
      </c>
      <c r="V292" t="s">
        <v>14</v>
      </c>
      <c r="W292" t="s">
        <v>15</v>
      </c>
      <c r="X292" t="s">
        <v>3453</v>
      </c>
      <c r="Y292" t="s">
        <v>2644</v>
      </c>
      <c r="Z292">
        <v>0</v>
      </c>
      <c r="AA292" t="s">
        <v>18</v>
      </c>
    </row>
    <row r="293" spans="1:27" x14ac:dyDescent="0.3">
      <c r="A293" t="s">
        <v>1223</v>
      </c>
      <c r="B293" t="s">
        <v>3283</v>
      </c>
      <c r="C293" t="s">
        <v>3999</v>
      </c>
      <c r="D293" t="s">
        <v>1224</v>
      </c>
      <c r="E293">
        <v>376</v>
      </c>
      <c r="F293" t="s">
        <v>5</v>
      </c>
      <c r="G293">
        <v>153</v>
      </c>
      <c r="H293" t="s">
        <v>6</v>
      </c>
      <c r="I293">
        <v>-31.134200787984401</v>
      </c>
      <c r="J293" t="s">
        <v>7</v>
      </c>
      <c r="K293">
        <v>-8.2803725499958597E-2</v>
      </c>
      <c r="L293" t="s">
        <v>8</v>
      </c>
      <c r="M293">
        <v>2.3723999544968799</v>
      </c>
      <c r="N293" t="s">
        <v>9</v>
      </c>
      <c r="O293">
        <v>-1.7673156673812001</v>
      </c>
      <c r="P293" t="s">
        <v>10</v>
      </c>
      <c r="Q293">
        <v>1.26140954627794</v>
      </c>
      <c r="R293" t="s">
        <v>11</v>
      </c>
      <c r="S293" t="s">
        <v>2657</v>
      </c>
      <c r="T293" t="s">
        <v>3303</v>
      </c>
      <c r="U293">
        <v>0</v>
      </c>
      <c r="V293" t="s">
        <v>14</v>
      </c>
      <c r="W293" t="s">
        <v>15</v>
      </c>
      <c r="X293" t="s">
        <v>3660</v>
      </c>
      <c r="Y293" t="s">
        <v>832</v>
      </c>
      <c r="Z293">
        <v>0</v>
      </c>
      <c r="AA293" t="s">
        <v>18</v>
      </c>
    </row>
    <row r="294" spans="1:27" x14ac:dyDescent="0.3">
      <c r="A294" t="s">
        <v>1223</v>
      </c>
      <c r="B294" t="s">
        <v>3206</v>
      </c>
      <c r="C294" t="s">
        <v>4000</v>
      </c>
      <c r="D294" t="s">
        <v>1224</v>
      </c>
      <c r="E294">
        <v>375</v>
      </c>
      <c r="F294" t="s">
        <v>5</v>
      </c>
      <c r="G294">
        <v>172</v>
      </c>
      <c r="H294" t="s">
        <v>6</v>
      </c>
      <c r="I294">
        <v>-31.284947541411</v>
      </c>
      <c r="J294" t="s">
        <v>7</v>
      </c>
      <c r="K294">
        <v>-8.3426526777096097E-2</v>
      </c>
      <c r="L294" t="s">
        <v>8</v>
      </c>
      <c r="M294">
        <v>1.9168898398755101</v>
      </c>
      <c r="N294" t="s">
        <v>9</v>
      </c>
      <c r="O294">
        <v>-1.77827586206896</v>
      </c>
      <c r="P294" t="s">
        <v>10</v>
      </c>
      <c r="Q294">
        <v>1.34242092233842</v>
      </c>
      <c r="R294" t="s">
        <v>11</v>
      </c>
      <c r="S294" t="s">
        <v>3301</v>
      </c>
      <c r="T294" t="s">
        <v>2627</v>
      </c>
    </row>
    <row r="295" spans="1:27" x14ac:dyDescent="0.3">
      <c r="A295" t="s">
        <v>1222</v>
      </c>
      <c r="B295" t="s">
        <v>3238</v>
      </c>
      <c r="C295" t="s">
        <v>4001</v>
      </c>
      <c r="D295" t="s">
        <v>1224</v>
      </c>
      <c r="E295">
        <v>136</v>
      </c>
      <c r="F295" t="s">
        <v>5</v>
      </c>
      <c r="G295">
        <v>69</v>
      </c>
      <c r="H295" t="s">
        <v>6</v>
      </c>
      <c r="I295">
        <v>-31.47</v>
      </c>
      <c r="J295" t="s">
        <v>7</v>
      </c>
      <c r="K295">
        <v>-0.23139705882352901</v>
      </c>
      <c r="L295" t="s">
        <v>8</v>
      </c>
      <c r="M295">
        <v>0.64855072463768004</v>
      </c>
      <c r="N295" t="s">
        <v>9</v>
      </c>
      <c r="O295">
        <v>-1.1376119402985001</v>
      </c>
      <c r="P295" t="s">
        <v>10</v>
      </c>
      <c r="Q295">
        <v>0.26707531096595999</v>
      </c>
      <c r="R295" t="s">
        <v>11</v>
      </c>
      <c r="S295" t="s">
        <v>3326</v>
      </c>
      <c r="T295" t="s">
        <v>21</v>
      </c>
      <c r="U295">
        <v>0</v>
      </c>
      <c r="V295" t="s">
        <v>14</v>
      </c>
      <c r="W295" t="s">
        <v>15</v>
      </c>
      <c r="X295" t="s">
        <v>3576</v>
      </c>
      <c r="Y295" t="s">
        <v>21</v>
      </c>
      <c r="Z295">
        <v>0</v>
      </c>
      <c r="AA295" t="s">
        <v>18</v>
      </c>
    </row>
    <row r="296" spans="1:27" x14ac:dyDescent="0.3">
      <c r="A296" t="s">
        <v>1220</v>
      </c>
      <c r="B296" t="s">
        <v>3276</v>
      </c>
      <c r="C296" t="s">
        <v>4002</v>
      </c>
      <c r="D296" t="s">
        <v>1224</v>
      </c>
      <c r="E296">
        <v>135</v>
      </c>
      <c r="F296" t="s">
        <v>5</v>
      </c>
      <c r="G296">
        <v>60</v>
      </c>
      <c r="H296" t="s">
        <v>6</v>
      </c>
      <c r="I296">
        <v>-31.649999999999899</v>
      </c>
      <c r="J296" t="s">
        <v>7</v>
      </c>
      <c r="K296">
        <v>-0.23444444444444401</v>
      </c>
      <c r="L296" t="s">
        <v>8</v>
      </c>
      <c r="M296">
        <v>1.8353333333333299</v>
      </c>
      <c r="N296" t="s">
        <v>9</v>
      </c>
      <c r="O296">
        <v>-1.8902666666666601</v>
      </c>
      <c r="P296" t="s">
        <v>10</v>
      </c>
      <c r="Q296">
        <v>0.44556915136248199</v>
      </c>
      <c r="R296" t="s">
        <v>11</v>
      </c>
      <c r="S296" t="s">
        <v>3403</v>
      </c>
      <c r="T296" t="s">
        <v>730</v>
      </c>
      <c r="U296">
        <v>0</v>
      </c>
      <c r="V296" t="s">
        <v>14</v>
      </c>
      <c r="W296" t="s">
        <v>15</v>
      </c>
      <c r="X296" t="s">
        <v>3403</v>
      </c>
      <c r="Y296" t="s">
        <v>730</v>
      </c>
      <c r="Z296">
        <v>0</v>
      </c>
      <c r="AA296" t="s">
        <v>18</v>
      </c>
    </row>
    <row r="297" spans="1:27" x14ac:dyDescent="0.3">
      <c r="A297" t="s">
        <v>1221</v>
      </c>
      <c r="B297" t="s">
        <v>3205</v>
      </c>
      <c r="C297" t="s">
        <v>4003</v>
      </c>
      <c r="D297" t="s">
        <v>1224</v>
      </c>
      <c r="E297">
        <v>125</v>
      </c>
      <c r="F297" t="s">
        <v>5</v>
      </c>
      <c r="G297">
        <v>49</v>
      </c>
      <c r="H297" t="s">
        <v>6</v>
      </c>
      <c r="I297">
        <v>-31.649999999999899</v>
      </c>
      <c r="J297" t="s">
        <v>7</v>
      </c>
      <c r="K297">
        <v>-0.25319999999999898</v>
      </c>
      <c r="L297" t="s">
        <v>8</v>
      </c>
      <c r="M297">
        <v>1.92530612244897</v>
      </c>
      <c r="N297" t="s">
        <v>9</v>
      </c>
      <c r="O297">
        <v>-1.6577631578947301</v>
      </c>
      <c r="P297" t="s">
        <v>10</v>
      </c>
      <c r="Q297">
        <v>0.438329442595981</v>
      </c>
      <c r="R297" t="s">
        <v>11</v>
      </c>
      <c r="S297" t="s">
        <v>3504</v>
      </c>
      <c r="T297" t="s">
        <v>2769</v>
      </c>
      <c r="U297">
        <v>0</v>
      </c>
      <c r="V297" t="s">
        <v>14</v>
      </c>
      <c r="W297" t="s">
        <v>15</v>
      </c>
      <c r="X297" t="s">
        <v>3504</v>
      </c>
      <c r="Y297" t="s">
        <v>2769</v>
      </c>
      <c r="Z297">
        <v>0</v>
      </c>
      <c r="AA297" t="s">
        <v>18</v>
      </c>
    </row>
    <row r="298" spans="1:27" x14ac:dyDescent="0.3">
      <c r="A298" t="s">
        <v>1221</v>
      </c>
      <c r="B298" t="s">
        <v>3213</v>
      </c>
      <c r="C298" t="s">
        <v>4004</v>
      </c>
      <c r="D298" t="s">
        <v>1224</v>
      </c>
      <c r="E298">
        <v>130</v>
      </c>
      <c r="F298" t="s">
        <v>5</v>
      </c>
      <c r="G298">
        <v>41</v>
      </c>
      <c r="H298" t="s">
        <v>6</v>
      </c>
      <c r="I298">
        <v>-31.76</v>
      </c>
      <c r="J298" t="s">
        <v>7</v>
      </c>
      <c r="K298">
        <v>-0.244307692307692</v>
      </c>
      <c r="L298" t="s">
        <v>8</v>
      </c>
      <c r="M298">
        <v>3.1078048780487699</v>
      </c>
      <c r="N298" t="s">
        <v>9</v>
      </c>
      <c r="O298">
        <v>-1.78853932584269</v>
      </c>
      <c r="P298" t="s">
        <v>10</v>
      </c>
      <c r="Q298">
        <v>0.64643419267792002</v>
      </c>
      <c r="R298" t="s">
        <v>11</v>
      </c>
      <c r="S298" t="s">
        <v>2657</v>
      </c>
      <c r="T298" t="s">
        <v>3303</v>
      </c>
      <c r="U298">
        <v>0</v>
      </c>
      <c r="V298" t="s">
        <v>14</v>
      </c>
      <c r="W298" t="s">
        <v>15</v>
      </c>
      <c r="X298" t="s">
        <v>2657</v>
      </c>
      <c r="Y298" t="s">
        <v>3303</v>
      </c>
      <c r="Z298">
        <v>0</v>
      </c>
      <c r="AA298" t="s">
        <v>18</v>
      </c>
    </row>
    <row r="299" spans="1:27" x14ac:dyDescent="0.3">
      <c r="A299" t="s">
        <v>1223</v>
      </c>
      <c r="B299" t="s">
        <v>3215</v>
      </c>
      <c r="C299" t="s">
        <v>4005</v>
      </c>
      <c r="D299" t="s">
        <v>1224</v>
      </c>
      <c r="E299">
        <v>370</v>
      </c>
      <c r="F299" t="s">
        <v>5</v>
      </c>
      <c r="G299">
        <v>196</v>
      </c>
      <c r="H299" t="s">
        <v>6</v>
      </c>
      <c r="I299">
        <v>-32.104001913354502</v>
      </c>
      <c r="J299" t="s">
        <v>7</v>
      </c>
      <c r="K299">
        <v>-8.6767572738796095E-2</v>
      </c>
      <c r="L299" t="s">
        <v>8</v>
      </c>
      <c r="M299">
        <v>1.45711514305856</v>
      </c>
      <c r="N299" t="s">
        <v>9</v>
      </c>
      <c r="O299">
        <v>-1.8258538503036399</v>
      </c>
      <c r="P299" t="s">
        <v>10</v>
      </c>
      <c r="Q299">
        <v>0.78618774788005696</v>
      </c>
      <c r="R299" t="s">
        <v>11</v>
      </c>
      <c r="S299" t="s">
        <v>2657</v>
      </c>
      <c r="T299" t="s">
        <v>3303</v>
      </c>
      <c r="U299">
        <v>0</v>
      </c>
      <c r="V299" t="s">
        <v>14</v>
      </c>
      <c r="W299" t="s">
        <v>15</v>
      </c>
      <c r="X299" t="s">
        <v>3618</v>
      </c>
      <c r="Y299" t="s">
        <v>3333</v>
      </c>
      <c r="Z299">
        <v>0</v>
      </c>
      <c r="AA299" t="s">
        <v>18</v>
      </c>
    </row>
    <row r="300" spans="1:27" x14ac:dyDescent="0.3">
      <c r="A300" t="s">
        <v>3292</v>
      </c>
      <c r="B300" t="s">
        <v>3220</v>
      </c>
      <c r="C300" t="s">
        <v>4006</v>
      </c>
      <c r="D300" t="s">
        <v>1224</v>
      </c>
      <c r="E300">
        <v>155</v>
      </c>
      <c r="F300" t="s">
        <v>5</v>
      </c>
      <c r="G300">
        <v>87</v>
      </c>
      <c r="H300" t="s">
        <v>6</v>
      </c>
      <c r="I300">
        <v>-32.11</v>
      </c>
      <c r="J300" t="s">
        <v>7</v>
      </c>
      <c r="K300">
        <v>-0.20716129032257999</v>
      </c>
      <c r="L300" t="s">
        <v>8</v>
      </c>
      <c r="M300">
        <v>0.62735632183907997</v>
      </c>
      <c r="N300" t="s">
        <v>9</v>
      </c>
      <c r="O300">
        <v>-1.27485294117647</v>
      </c>
      <c r="P300" t="s">
        <v>10</v>
      </c>
      <c r="Q300">
        <v>0.247823304093542</v>
      </c>
      <c r="R300" t="s">
        <v>11</v>
      </c>
      <c r="S300" t="s">
        <v>3403</v>
      </c>
      <c r="T300" t="s">
        <v>730</v>
      </c>
      <c r="U300">
        <v>0</v>
      </c>
      <c r="V300" t="s">
        <v>14</v>
      </c>
      <c r="W300" t="s">
        <v>15</v>
      </c>
      <c r="X300" t="s">
        <v>3404</v>
      </c>
      <c r="Y300" t="s">
        <v>3389</v>
      </c>
      <c r="Z300">
        <v>0</v>
      </c>
      <c r="AA300" t="s">
        <v>18</v>
      </c>
    </row>
    <row r="301" spans="1:27" x14ac:dyDescent="0.3">
      <c r="A301" t="s">
        <v>3292</v>
      </c>
      <c r="B301" t="s">
        <v>3261</v>
      </c>
      <c r="C301" t="s">
        <v>4007</v>
      </c>
      <c r="D301" t="s">
        <v>1224</v>
      </c>
      <c r="E301">
        <v>155</v>
      </c>
      <c r="F301" t="s">
        <v>5</v>
      </c>
      <c r="G301">
        <v>47</v>
      </c>
      <c r="H301" t="s">
        <v>6</v>
      </c>
      <c r="I301">
        <v>-32.419999999999902</v>
      </c>
      <c r="J301" t="s">
        <v>7</v>
      </c>
      <c r="K301">
        <v>-0.20916129032257999</v>
      </c>
      <c r="L301" t="s">
        <v>8</v>
      </c>
      <c r="M301">
        <v>2.7357446808510599</v>
      </c>
      <c r="N301" t="s">
        <v>9</v>
      </c>
      <c r="O301">
        <v>-1.49074074074074</v>
      </c>
      <c r="P301" t="s">
        <v>10</v>
      </c>
      <c r="Q301">
        <v>0.68046076599604199</v>
      </c>
      <c r="R301" t="s">
        <v>11</v>
      </c>
      <c r="S301" t="s">
        <v>3433</v>
      </c>
      <c r="T301" t="s">
        <v>2698</v>
      </c>
      <c r="U301">
        <v>0</v>
      </c>
      <c r="V301" t="s">
        <v>14</v>
      </c>
      <c r="W301" t="s">
        <v>15</v>
      </c>
      <c r="X301" t="s">
        <v>3438</v>
      </c>
      <c r="Y301" t="s">
        <v>2644</v>
      </c>
      <c r="Z301">
        <v>0</v>
      </c>
      <c r="AA301" t="s">
        <v>18</v>
      </c>
    </row>
    <row r="302" spans="1:27" x14ac:dyDescent="0.3">
      <c r="A302" t="s">
        <v>1219</v>
      </c>
      <c r="B302" t="s">
        <v>3269</v>
      </c>
      <c r="C302" t="s">
        <v>4008</v>
      </c>
      <c r="D302" t="s">
        <v>1224</v>
      </c>
      <c r="E302">
        <v>167</v>
      </c>
      <c r="F302" t="s">
        <v>5</v>
      </c>
      <c r="G302">
        <v>66</v>
      </c>
      <c r="H302" t="s">
        <v>6</v>
      </c>
      <c r="I302">
        <v>-32.4765612529824</v>
      </c>
      <c r="J302" t="s">
        <v>7</v>
      </c>
      <c r="K302">
        <v>-0.19447042666456499</v>
      </c>
      <c r="L302" t="s">
        <v>8</v>
      </c>
      <c r="M302">
        <v>2.1492736913950901</v>
      </c>
      <c r="N302" t="s">
        <v>9</v>
      </c>
      <c r="O302">
        <v>-1.7260259889609699</v>
      </c>
      <c r="P302" t="s">
        <v>10</v>
      </c>
      <c r="Q302">
        <v>0.53179336733089</v>
      </c>
      <c r="R302" t="s">
        <v>11</v>
      </c>
      <c r="S302" t="s">
        <v>3439</v>
      </c>
      <c r="T302" t="s">
        <v>720</v>
      </c>
      <c r="U302">
        <v>0</v>
      </c>
      <c r="V302" t="s">
        <v>14</v>
      </c>
      <c r="W302" t="s">
        <v>15</v>
      </c>
      <c r="X302" t="s">
        <v>3439</v>
      </c>
      <c r="Y302" t="s">
        <v>720</v>
      </c>
      <c r="Z302">
        <v>0</v>
      </c>
      <c r="AA302" t="s">
        <v>18</v>
      </c>
    </row>
    <row r="303" spans="1:27" x14ac:dyDescent="0.3">
      <c r="A303" t="s">
        <v>1219</v>
      </c>
      <c r="B303" t="s">
        <v>3230</v>
      </c>
      <c r="C303" t="s">
        <v>4009</v>
      </c>
      <c r="D303" t="s">
        <v>1224</v>
      </c>
      <c r="E303">
        <v>178</v>
      </c>
      <c r="F303" t="s">
        <v>5</v>
      </c>
      <c r="G303">
        <v>73</v>
      </c>
      <c r="H303" t="s">
        <v>6</v>
      </c>
      <c r="I303">
        <v>-32.939999999999898</v>
      </c>
      <c r="J303" t="s">
        <v>7</v>
      </c>
      <c r="K303">
        <v>-0.18505617977527999</v>
      </c>
      <c r="L303" t="s">
        <v>8</v>
      </c>
      <c r="M303">
        <v>1.63424657534246</v>
      </c>
      <c r="N303" t="s">
        <v>9</v>
      </c>
      <c r="O303">
        <v>-1.44990476190476</v>
      </c>
      <c r="P303" t="s">
        <v>10</v>
      </c>
      <c r="Q303">
        <v>0.71836451790679501</v>
      </c>
      <c r="R303" t="s">
        <v>11</v>
      </c>
      <c r="S303" t="s">
        <v>3415</v>
      </c>
      <c r="T303" t="s">
        <v>2071</v>
      </c>
      <c r="U303">
        <v>0</v>
      </c>
      <c r="V303" t="s">
        <v>14</v>
      </c>
      <c r="W303" t="s">
        <v>15</v>
      </c>
      <c r="X303" t="s">
        <v>3416</v>
      </c>
      <c r="Y303" t="s">
        <v>2071</v>
      </c>
      <c r="Z303">
        <v>0</v>
      </c>
      <c r="AA303" t="s">
        <v>18</v>
      </c>
    </row>
    <row r="304" spans="1:27" x14ac:dyDescent="0.3">
      <c r="A304" t="s">
        <v>1222</v>
      </c>
      <c r="B304" t="s">
        <v>3242</v>
      </c>
      <c r="C304" t="s">
        <v>4010</v>
      </c>
      <c r="D304" t="s">
        <v>1224</v>
      </c>
      <c r="E304">
        <v>136</v>
      </c>
      <c r="F304" t="s">
        <v>5</v>
      </c>
      <c r="G304">
        <v>57</v>
      </c>
      <c r="H304" t="s">
        <v>6</v>
      </c>
      <c r="I304">
        <v>-33.119999999999898</v>
      </c>
      <c r="J304" t="s">
        <v>7</v>
      </c>
      <c r="K304">
        <v>-0.24352941176470499</v>
      </c>
      <c r="L304" t="s">
        <v>8</v>
      </c>
      <c r="M304">
        <v>1.07824561403508</v>
      </c>
      <c r="N304" t="s">
        <v>9</v>
      </c>
      <c r="O304">
        <v>-1.19721518987341</v>
      </c>
      <c r="P304" t="s">
        <v>10</v>
      </c>
      <c r="Q304">
        <v>0.36232563372619098</v>
      </c>
      <c r="R304" t="s">
        <v>11</v>
      </c>
      <c r="S304" t="s">
        <v>3326</v>
      </c>
      <c r="T304" t="s">
        <v>21</v>
      </c>
      <c r="U304">
        <v>0</v>
      </c>
      <c r="V304" t="s">
        <v>14</v>
      </c>
      <c r="W304" t="s">
        <v>15</v>
      </c>
      <c r="X304" t="s">
        <v>3576</v>
      </c>
      <c r="Y304" t="s">
        <v>21</v>
      </c>
      <c r="Z304">
        <v>0</v>
      </c>
      <c r="AA304" t="s">
        <v>18</v>
      </c>
    </row>
    <row r="305" spans="1:27" x14ac:dyDescent="0.3">
      <c r="A305" t="s">
        <v>1219</v>
      </c>
      <c r="B305" t="s">
        <v>3248</v>
      </c>
      <c r="C305" t="s">
        <v>4011</v>
      </c>
      <c r="D305" t="s">
        <v>1224</v>
      </c>
      <c r="E305">
        <v>178</v>
      </c>
      <c r="F305" t="s">
        <v>5</v>
      </c>
      <c r="G305">
        <v>73</v>
      </c>
      <c r="H305" t="s">
        <v>6</v>
      </c>
      <c r="I305">
        <v>-33.159999999999997</v>
      </c>
      <c r="J305" t="s">
        <v>7</v>
      </c>
      <c r="K305">
        <v>-0.18629213483146001</v>
      </c>
      <c r="L305" t="s">
        <v>8</v>
      </c>
      <c r="M305">
        <v>1.1531506849315001</v>
      </c>
      <c r="N305" t="s">
        <v>9</v>
      </c>
      <c r="O305">
        <v>-1.1175238095238</v>
      </c>
      <c r="P305" t="s">
        <v>10</v>
      </c>
      <c r="Q305">
        <v>0.58053480176126704</v>
      </c>
      <c r="R305" t="s">
        <v>11</v>
      </c>
      <c r="S305" t="s">
        <v>3406</v>
      </c>
      <c r="T305" t="s">
        <v>2644</v>
      </c>
      <c r="U305">
        <v>0</v>
      </c>
      <c r="V305" t="s">
        <v>14</v>
      </c>
      <c r="W305" t="s">
        <v>15</v>
      </c>
      <c r="X305" t="s">
        <v>3426</v>
      </c>
      <c r="Y305" t="s">
        <v>2071</v>
      </c>
      <c r="Z305">
        <v>0</v>
      </c>
      <c r="AA305" t="s">
        <v>18</v>
      </c>
    </row>
    <row r="306" spans="1:27" x14ac:dyDescent="0.3">
      <c r="A306" t="s">
        <v>1220</v>
      </c>
      <c r="B306" t="s">
        <v>3260</v>
      </c>
      <c r="C306" t="s">
        <v>4012</v>
      </c>
      <c r="D306" t="s">
        <v>1224</v>
      </c>
      <c r="E306">
        <v>135</v>
      </c>
      <c r="F306" t="s">
        <v>5</v>
      </c>
      <c r="G306">
        <v>40</v>
      </c>
      <c r="H306" t="s">
        <v>6</v>
      </c>
      <c r="I306">
        <v>-33.7899999999999</v>
      </c>
      <c r="J306" t="s">
        <v>7</v>
      </c>
      <c r="K306">
        <v>-0.25029629629629602</v>
      </c>
      <c r="L306" t="s">
        <v>8</v>
      </c>
      <c r="M306">
        <v>2.96349999999999</v>
      </c>
      <c r="N306" t="s">
        <v>9</v>
      </c>
      <c r="O306">
        <v>-1.6034736842105199</v>
      </c>
      <c r="P306" t="s">
        <v>10</v>
      </c>
      <c r="Q306">
        <v>0.65187626449556302</v>
      </c>
      <c r="R306" t="s">
        <v>11</v>
      </c>
      <c r="S306" t="s">
        <v>3526</v>
      </c>
      <c r="T306" t="s">
        <v>2666</v>
      </c>
      <c r="U306">
        <v>0</v>
      </c>
      <c r="V306" t="s">
        <v>14</v>
      </c>
      <c r="W306" t="s">
        <v>15</v>
      </c>
      <c r="X306" t="s">
        <v>3526</v>
      </c>
      <c r="Y306" t="s">
        <v>2666</v>
      </c>
      <c r="Z306">
        <v>0</v>
      </c>
      <c r="AA306" t="s">
        <v>18</v>
      </c>
    </row>
    <row r="307" spans="1:27" x14ac:dyDescent="0.3">
      <c r="A307" t="s">
        <v>1220</v>
      </c>
      <c r="B307" t="s">
        <v>3204</v>
      </c>
      <c r="C307" t="s">
        <v>4013</v>
      </c>
      <c r="D307" t="s">
        <v>1224</v>
      </c>
      <c r="E307">
        <v>135</v>
      </c>
      <c r="F307" t="s">
        <v>5</v>
      </c>
      <c r="G307">
        <v>56</v>
      </c>
      <c r="H307" t="s">
        <v>6</v>
      </c>
      <c r="I307">
        <v>-34.020000000000003</v>
      </c>
      <c r="J307" t="s">
        <v>7</v>
      </c>
      <c r="K307">
        <v>-0.252</v>
      </c>
      <c r="L307" t="s">
        <v>8</v>
      </c>
      <c r="M307">
        <v>1.7517857142857101</v>
      </c>
      <c r="N307" t="s">
        <v>9</v>
      </c>
      <c r="O307">
        <v>-1.67240506329113</v>
      </c>
      <c r="P307" t="s">
        <v>10</v>
      </c>
      <c r="Q307">
        <v>0.40583218532533699</v>
      </c>
      <c r="R307" t="s">
        <v>11</v>
      </c>
      <c r="S307" t="s">
        <v>3504</v>
      </c>
      <c r="T307" t="s">
        <v>2769</v>
      </c>
      <c r="U307">
        <v>0</v>
      </c>
      <c r="V307" t="s">
        <v>14</v>
      </c>
      <c r="W307" t="s">
        <v>15</v>
      </c>
      <c r="X307" t="s">
        <v>3504</v>
      </c>
      <c r="Y307" t="s">
        <v>2769</v>
      </c>
      <c r="Z307">
        <v>0</v>
      </c>
      <c r="AA307" t="s">
        <v>18</v>
      </c>
    </row>
    <row r="308" spans="1:27" x14ac:dyDescent="0.3">
      <c r="A308" t="s">
        <v>3293</v>
      </c>
      <c r="B308" t="s">
        <v>3242</v>
      </c>
      <c r="C308" t="s">
        <v>4014</v>
      </c>
      <c r="D308" t="s">
        <v>1224</v>
      </c>
      <c r="E308">
        <v>334</v>
      </c>
      <c r="F308" t="s">
        <v>5</v>
      </c>
      <c r="G308">
        <v>146</v>
      </c>
      <c r="H308" t="s">
        <v>6</v>
      </c>
      <c r="I308">
        <v>-34.0799999999997</v>
      </c>
      <c r="J308" t="s">
        <v>7</v>
      </c>
      <c r="K308">
        <v>-0.102035928143711</v>
      </c>
      <c r="L308" t="s">
        <v>8</v>
      </c>
      <c r="M308">
        <v>1.0621232876712301</v>
      </c>
      <c r="N308" t="s">
        <v>9</v>
      </c>
      <c r="O308">
        <v>-1.0169354838709601</v>
      </c>
      <c r="P308" t="s">
        <v>10</v>
      </c>
      <c r="Q308">
        <v>0.872347779967795</v>
      </c>
      <c r="R308" t="s">
        <v>11</v>
      </c>
      <c r="S308" t="s">
        <v>3639</v>
      </c>
      <c r="T308" t="s">
        <v>2897</v>
      </c>
      <c r="U308">
        <v>0</v>
      </c>
      <c r="V308" t="s">
        <v>14</v>
      </c>
      <c r="W308" t="s">
        <v>15</v>
      </c>
      <c r="X308" t="s">
        <v>3674</v>
      </c>
      <c r="Y308" t="s">
        <v>3567</v>
      </c>
      <c r="Z308">
        <v>0</v>
      </c>
      <c r="AA308" t="s">
        <v>18</v>
      </c>
    </row>
    <row r="309" spans="1:27" x14ac:dyDescent="0.3">
      <c r="A309" t="s">
        <v>1221</v>
      </c>
      <c r="B309" t="s">
        <v>3278</v>
      </c>
      <c r="C309" t="s">
        <v>4015</v>
      </c>
      <c r="D309" t="s">
        <v>1224</v>
      </c>
      <c r="E309">
        <v>125</v>
      </c>
      <c r="F309" t="s">
        <v>5</v>
      </c>
      <c r="G309">
        <v>51</v>
      </c>
      <c r="H309" t="s">
        <v>6</v>
      </c>
      <c r="I309">
        <v>-34.239999999999903</v>
      </c>
      <c r="J309" t="s">
        <v>7</v>
      </c>
      <c r="K309">
        <v>-0.273919999999999</v>
      </c>
      <c r="L309" t="s">
        <v>8</v>
      </c>
      <c r="M309">
        <v>2.0652941176470501</v>
      </c>
      <c r="N309" t="s">
        <v>9</v>
      </c>
      <c r="O309">
        <v>-1.88608108108108</v>
      </c>
      <c r="P309" t="s">
        <v>10</v>
      </c>
      <c r="Q309">
        <v>0.48114038298526102</v>
      </c>
      <c r="R309" t="s">
        <v>11</v>
      </c>
      <c r="S309" t="s">
        <v>3534</v>
      </c>
      <c r="T309" t="s">
        <v>2769</v>
      </c>
      <c r="U309">
        <v>0</v>
      </c>
      <c r="V309" t="s">
        <v>14</v>
      </c>
      <c r="W309" t="s">
        <v>15</v>
      </c>
      <c r="X309" t="s">
        <v>3534</v>
      </c>
      <c r="Y309" t="s">
        <v>2769</v>
      </c>
      <c r="Z309">
        <v>0</v>
      </c>
      <c r="AA309" t="s">
        <v>18</v>
      </c>
    </row>
    <row r="310" spans="1:27" x14ac:dyDescent="0.3">
      <c r="A310" t="s">
        <v>1222</v>
      </c>
      <c r="B310" t="s">
        <v>3208</v>
      </c>
      <c r="C310" t="s">
        <v>4016</v>
      </c>
      <c r="D310" t="s">
        <v>1224</v>
      </c>
      <c r="E310">
        <v>128</v>
      </c>
      <c r="F310" t="s">
        <v>5</v>
      </c>
      <c r="G310">
        <v>71</v>
      </c>
      <c r="H310" t="s">
        <v>6</v>
      </c>
      <c r="I310">
        <v>-34.309999999999903</v>
      </c>
      <c r="J310" t="s">
        <v>7</v>
      </c>
      <c r="K310">
        <v>-0.26804687499999902</v>
      </c>
      <c r="L310" t="s">
        <v>8</v>
      </c>
      <c r="M310">
        <v>0.88394366197183105</v>
      </c>
      <c r="N310" t="s">
        <v>9</v>
      </c>
      <c r="O310">
        <v>-1.7029824561403499</v>
      </c>
      <c r="P310" t="s">
        <v>10</v>
      </c>
      <c r="Q310">
        <v>0.25550030755034198</v>
      </c>
      <c r="R310" t="s">
        <v>11</v>
      </c>
      <c r="S310" t="s">
        <v>3554</v>
      </c>
      <c r="T310" t="s">
        <v>832</v>
      </c>
      <c r="U310">
        <v>0</v>
      </c>
      <c r="V310" t="s">
        <v>14</v>
      </c>
      <c r="W310" t="s">
        <v>15</v>
      </c>
      <c r="X310" t="s">
        <v>3549</v>
      </c>
      <c r="Y310" t="s">
        <v>832</v>
      </c>
      <c r="Z310">
        <v>0</v>
      </c>
      <c r="AA310" t="s">
        <v>18</v>
      </c>
    </row>
    <row r="311" spans="1:27" x14ac:dyDescent="0.3">
      <c r="A311" t="s">
        <v>1222</v>
      </c>
      <c r="B311" t="s">
        <v>3280</v>
      </c>
      <c r="C311" t="s">
        <v>4017</v>
      </c>
      <c r="D311" t="s">
        <v>1224</v>
      </c>
      <c r="E311">
        <v>128</v>
      </c>
      <c r="F311" t="s">
        <v>5</v>
      </c>
      <c r="G311">
        <v>67</v>
      </c>
      <c r="H311" t="s">
        <v>6</v>
      </c>
      <c r="I311">
        <v>-34.349999999999902</v>
      </c>
      <c r="J311" t="s">
        <v>7</v>
      </c>
      <c r="K311">
        <v>-0.26835937499999901</v>
      </c>
      <c r="L311" t="s">
        <v>8</v>
      </c>
      <c r="M311">
        <v>0.98776119402984996</v>
      </c>
      <c r="N311" t="s">
        <v>9</v>
      </c>
      <c r="O311">
        <v>-1.64803278688524</v>
      </c>
      <c r="P311" t="s">
        <v>10</v>
      </c>
      <c r="Q311">
        <v>0.28426964446641201</v>
      </c>
      <c r="R311" t="s">
        <v>11</v>
      </c>
      <c r="S311" t="s">
        <v>3554</v>
      </c>
      <c r="T311" t="s">
        <v>832</v>
      </c>
      <c r="U311">
        <v>0</v>
      </c>
      <c r="V311" t="s">
        <v>14</v>
      </c>
      <c r="W311" t="s">
        <v>15</v>
      </c>
      <c r="X311" t="s">
        <v>2848</v>
      </c>
      <c r="Y311" t="s">
        <v>3411</v>
      </c>
      <c r="Z311">
        <v>0</v>
      </c>
      <c r="AA311" t="s">
        <v>18</v>
      </c>
    </row>
    <row r="312" spans="1:27" x14ac:dyDescent="0.3">
      <c r="A312" t="s">
        <v>1222</v>
      </c>
      <c r="B312" t="s">
        <v>3228</v>
      </c>
      <c r="C312" t="s">
        <v>4018</v>
      </c>
      <c r="D312" t="s">
        <v>1224</v>
      </c>
      <c r="E312">
        <v>128</v>
      </c>
      <c r="F312" t="s">
        <v>5</v>
      </c>
      <c r="G312">
        <v>51</v>
      </c>
      <c r="H312" t="s">
        <v>6</v>
      </c>
      <c r="I312">
        <v>-34.549999999999898</v>
      </c>
      <c r="J312" t="s">
        <v>7</v>
      </c>
      <c r="K312">
        <v>-0.26992187499999898</v>
      </c>
      <c r="L312" t="s">
        <v>8</v>
      </c>
      <c r="M312">
        <v>1.41274509803921</v>
      </c>
      <c r="N312" t="s">
        <v>9</v>
      </c>
      <c r="O312">
        <v>-1.3844155844155801</v>
      </c>
      <c r="P312" t="s">
        <v>10</v>
      </c>
      <c r="Q312">
        <v>0.34324064926743703</v>
      </c>
      <c r="R312" t="s">
        <v>11</v>
      </c>
      <c r="S312" t="s">
        <v>3540</v>
      </c>
      <c r="T312" t="s">
        <v>3333</v>
      </c>
      <c r="U312">
        <v>0</v>
      </c>
      <c r="V312" t="s">
        <v>14</v>
      </c>
      <c r="W312" t="s">
        <v>15</v>
      </c>
      <c r="X312" t="s">
        <v>3565</v>
      </c>
      <c r="Y312" t="s">
        <v>3411</v>
      </c>
      <c r="Z312">
        <v>0</v>
      </c>
      <c r="AA312" t="s">
        <v>18</v>
      </c>
    </row>
    <row r="313" spans="1:27" x14ac:dyDescent="0.3">
      <c r="A313" t="s">
        <v>1222</v>
      </c>
      <c r="B313" t="s">
        <v>3215</v>
      </c>
      <c r="C313" t="s">
        <v>4019</v>
      </c>
      <c r="D313" t="s">
        <v>1224</v>
      </c>
      <c r="E313">
        <v>127</v>
      </c>
      <c r="F313" t="s">
        <v>5</v>
      </c>
      <c r="G313">
        <v>62</v>
      </c>
      <c r="H313" t="s">
        <v>6</v>
      </c>
      <c r="I313">
        <v>-34.626332454512401</v>
      </c>
      <c r="J313" t="s">
        <v>7</v>
      </c>
      <c r="K313">
        <v>-0.27264828704340499</v>
      </c>
      <c r="L313" t="s">
        <v>8</v>
      </c>
      <c r="M313">
        <v>1.3629991804733701</v>
      </c>
      <c r="N313" t="s">
        <v>9</v>
      </c>
      <c r="O313">
        <v>-1.8328043329824799</v>
      </c>
      <c r="P313" t="s">
        <v>10</v>
      </c>
      <c r="Q313">
        <v>0.33860064163965897</v>
      </c>
      <c r="R313" t="s">
        <v>11</v>
      </c>
      <c r="S313" t="s">
        <v>3558</v>
      </c>
      <c r="T313" t="s">
        <v>3120</v>
      </c>
      <c r="U313">
        <v>0</v>
      </c>
      <c r="V313" t="s">
        <v>14</v>
      </c>
      <c r="W313" t="s">
        <v>15</v>
      </c>
      <c r="X313" t="s">
        <v>2738</v>
      </c>
      <c r="Y313" t="s">
        <v>3411</v>
      </c>
      <c r="Z313">
        <v>0</v>
      </c>
      <c r="AA313" t="s">
        <v>18</v>
      </c>
    </row>
    <row r="314" spans="1:27" x14ac:dyDescent="0.3">
      <c r="A314" t="s">
        <v>1221</v>
      </c>
      <c r="B314" t="s">
        <v>3202</v>
      </c>
      <c r="C314" t="s">
        <v>4020</v>
      </c>
      <c r="D314" t="s">
        <v>1224</v>
      </c>
      <c r="E314">
        <v>125</v>
      </c>
      <c r="F314" t="s">
        <v>5</v>
      </c>
      <c r="G314">
        <v>64</v>
      </c>
      <c r="H314" t="s">
        <v>6</v>
      </c>
      <c r="I314">
        <v>-34.689999999999898</v>
      </c>
      <c r="J314" t="s">
        <v>7</v>
      </c>
      <c r="K314">
        <v>-0.27751999999999899</v>
      </c>
      <c r="L314" t="s">
        <v>8</v>
      </c>
      <c r="M314">
        <v>1.00515624999999</v>
      </c>
      <c r="N314" t="s">
        <v>9</v>
      </c>
      <c r="O314">
        <v>-1.62327868852458</v>
      </c>
      <c r="P314" t="s">
        <v>10</v>
      </c>
      <c r="Q314">
        <v>0.27463638182554001</v>
      </c>
      <c r="R314" t="s">
        <v>11</v>
      </c>
      <c r="S314" t="s">
        <v>3503</v>
      </c>
      <c r="T314" t="s">
        <v>3296</v>
      </c>
      <c r="U314">
        <v>0</v>
      </c>
      <c r="V314" t="s">
        <v>14</v>
      </c>
      <c r="W314" t="s">
        <v>15</v>
      </c>
      <c r="X314" t="s">
        <v>3503</v>
      </c>
      <c r="Y314" t="s">
        <v>3296</v>
      </c>
      <c r="Z314">
        <v>0</v>
      </c>
      <c r="AA314" t="s">
        <v>18</v>
      </c>
    </row>
    <row r="315" spans="1:27" x14ac:dyDescent="0.3">
      <c r="A315" t="s">
        <v>1222</v>
      </c>
      <c r="B315" t="s">
        <v>3226</v>
      </c>
      <c r="C315" t="s">
        <v>4021</v>
      </c>
      <c r="D315" t="s">
        <v>1224</v>
      </c>
      <c r="E315">
        <v>128</v>
      </c>
      <c r="F315" t="s">
        <v>5</v>
      </c>
      <c r="G315">
        <v>66</v>
      </c>
      <c r="H315" t="s">
        <v>6</v>
      </c>
      <c r="I315">
        <v>-34.769999999999897</v>
      </c>
      <c r="J315" t="s">
        <v>7</v>
      </c>
      <c r="K315">
        <v>-0.27164062499999903</v>
      </c>
      <c r="L315" t="s">
        <v>8</v>
      </c>
      <c r="M315">
        <v>0.69606060606060605</v>
      </c>
      <c r="N315" t="s">
        <v>9</v>
      </c>
      <c r="O315">
        <v>-1.30177419354838</v>
      </c>
      <c r="P315" t="s">
        <v>10</v>
      </c>
      <c r="Q315">
        <v>0.200287932574858</v>
      </c>
      <c r="R315" t="s">
        <v>11</v>
      </c>
      <c r="S315" t="s">
        <v>3540</v>
      </c>
      <c r="T315" t="s">
        <v>3333</v>
      </c>
      <c r="U315">
        <v>0</v>
      </c>
      <c r="V315" t="s">
        <v>14</v>
      </c>
      <c r="W315" t="s">
        <v>15</v>
      </c>
      <c r="X315" t="s">
        <v>3540</v>
      </c>
      <c r="Y315" t="s">
        <v>3333</v>
      </c>
      <c r="Z315">
        <v>0</v>
      </c>
      <c r="AA315" t="s">
        <v>18</v>
      </c>
    </row>
    <row r="316" spans="1:27" x14ac:dyDescent="0.3">
      <c r="A316" t="s">
        <v>1221</v>
      </c>
      <c r="B316" t="s">
        <v>3258</v>
      </c>
      <c r="C316" t="s">
        <v>4022</v>
      </c>
      <c r="D316" t="s">
        <v>1224</v>
      </c>
      <c r="E316">
        <v>125</v>
      </c>
      <c r="F316" t="s">
        <v>5</v>
      </c>
      <c r="G316">
        <v>46</v>
      </c>
      <c r="H316" t="s">
        <v>6</v>
      </c>
      <c r="I316">
        <v>-34.849999999999902</v>
      </c>
      <c r="J316" t="s">
        <v>7</v>
      </c>
      <c r="K316">
        <v>-0.27879999999999899</v>
      </c>
      <c r="L316" t="s">
        <v>8</v>
      </c>
      <c r="M316">
        <v>1.8719565217391301</v>
      </c>
      <c r="N316" t="s">
        <v>9</v>
      </c>
      <c r="O316">
        <v>-1.53113924050632</v>
      </c>
      <c r="P316" t="s">
        <v>10</v>
      </c>
      <c r="Q316">
        <v>0.36729177621451298</v>
      </c>
      <c r="R316" t="s">
        <v>11</v>
      </c>
      <c r="S316" t="s">
        <v>3523</v>
      </c>
      <c r="T316" t="s">
        <v>730</v>
      </c>
      <c r="U316">
        <v>0</v>
      </c>
      <c r="V316" t="s">
        <v>14</v>
      </c>
      <c r="W316" t="s">
        <v>15</v>
      </c>
      <c r="X316" t="s">
        <v>3523</v>
      </c>
      <c r="Y316" t="s">
        <v>730</v>
      </c>
      <c r="Z316">
        <v>0</v>
      </c>
      <c r="AA316" t="s">
        <v>18</v>
      </c>
    </row>
    <row r="317" spans="1:27" x14ac:dyDescent="0.3">
      <c r="A317" t="s">
        <v>1220</v>
      </c>
      <c r="B317" t="s">
        <v>3241</v>
      </c>
      <c r="C317" t="s">
        <v>4023</v>
      </c>
      <c r="D317" t="s">
        <v>1224</v>
      </c>
      <c r="E317">
        <v>135</v>
      </c>
      <c r="F317" t="s">
        <v>5</v>
      </c>
      <c r="G317">
        <v>51</v>
      </c>
      <c r="H317" t="s">
        <v>6</v>
      </c>
      <c r="I317">
        <v>-35.26</v>
      </c>
      <c r="J317" t="s">
        <v>7</v>
      </c>
      <c r="K317">
        <v>-0.26118518518518502</v>
      </c>
      <c r="L317" t="s">
        <v>8</v>
      </c>
      <c r="M317">
        <v>1.21294117647058</v>
      </c>
      <c r="N317" t="s">
        <v>9</v>
      </c>
      <c r="O317">
        <v>-1.15619047619047</v>
      </c>
      <c r="P317" t="s">
        <v>10</v>
      </c>
      <c r="Q317">
        <v>0.43537761101654698</v>
      </c>
      <c r="R317" t="s">
        <v>11</v>
      </c>
      <c r="S317" t="s">
        <v>3326</v>
      </c>
      <c r="T317" t="s">
        <v>21</v>
      </c>
      <c r="U317">
        <v>0</v>
      </c>
      <c r="V317" t="s">
        <v>14</v>
      </c>
      <c r="W317" t="s">
        <v>15</v>
      </c>
      <c r="X317" t="s">
        <v>3516</v>
      </c>
      <c r="Y317" t="s">
        <v>3333</v>
      </c>
      <c r="Z317">
        <v>0</v>
      </c>
      <c r="AA317" t="s">
        <v>18</v>
      </c>
    </row>
    <row r="318" spans="1:27" x14ac:dyDescent="0.3">
      <c r="A318" t="s">
        <v>1220</v>
      </c>
      <c r="B318" t="s">
        <v>3220</v>
      </c>
      <c r="C318" t="s">
        <v>4024</v>
      </c>
      <c r="D318" t="s">
        <v>1224</v>
      </c>
      <c r="E318">
        <v>135</v>
      </c>
      <c r="F318" t="s">
        <v>5</v>
      </c>
      <c r="G318">
        <v>67</v>
      </c>
      <c r="H318" t="s">
        <v>6</v>
      </c>
      <c r="I318">
        <v>-35.629999999999903</v>
      </c>
      <c r="J318" t="s">
        <v>7</v>
      </c>
      <c r="K318">
        <v>-0.26392592592592501</v>
      </c>
      <c r="L318" t="s">
        <v>8</v>
      </c>
      <c r="M318">
        <v>0.92223880597014896</v>
      </c>
      <c r="N318" t="s">
        <v>9</v>
      </c>
      <c r="O318">
        <v>-1.4326470588235201</v>
      </c>
      <c r="P318" t="s">
        <v>10</v>
      </c>
      <c r="Q318">
        <v>0.33187146234206899</v>
      </c>
      <c r="R318" t="s">
        <v>11</v>
      </c>
      <c r="S318" t="s">
        <v>3508</v>
      </c>
      <c r="T318" t="s">
        <v>21</v>
      </c>
      <c r="U318">
        <v>0</v>
      </c>
      <c r="V318" t="s">
        <v>14</v>
      </c>
      <c r="W318" t="s">
        <v>15</v>
      </c>
      <c r="X318" t="s">
        <v>3508</v>
      </c>
      <c r="Y318" t="s">
        <v>21</v>
      </c>
      <c r="Z318">
        <v>0</v>
      </c>
      <c r="AA318" t="s">
        <v>18</v>
      </c>
    </row>
    <row r="319" spans="1:27" x14ac:dyDescent="0.3">
      <c r="A319" t="s">
        <v>1219</v>
      </c>
      <c r="B319" t="s">
        <v>3288</v>
      </c>
      <c r="C319" t="s">
        <v>4025</v>
      </c>
      <c r="D319" t="s">
        <v>1224</v>
      </c>
      <c r="E319">
        <v>167</v>
      </c>
      <c r="F319" t="s">
        <v>5</v>
      </c>
      <c r="G319">
        <v>56</v>
      </c>
      <c r="H319" t="s">
        <v>6</v>
      </c>
      <c r="I319">
        <v>-35.642857043745401</v>
      </c>
      <c r="J319" t="s">
        <v>7</v>
      </c>
      <c r="K319">
        <v>-0.21343028169907399</v>
      </c>
      <c r="L319" t="s">
        <v>8</v>
      </c>
      <c r="M319">
        <v>2.4760383992051902</v>
      </c>
      <c r="N319" t="s">
        <v>9</v>
      </c>
      <c r="O319">
        <v>-1.57027934593906</v>
      </c>
      <c r="P319" t="s">
        <v>10</v>
      </c>
      <c r="Q319">
        <v>0.52907596279575897</v>
      </c>
      <c r="R319" t="s">
        <v>11</v>
      </c>
      <c r="S319" t="s">
        <v>3188</v>
      </c>
      <c r="T319" t="s">
        <v>3458</v>
      </c>
      <c r="U319">
        <v>0</v>
      </c>
      <c r="V319" t="s">
        <v>14</v>
      </c>
      <c r="W319" t="s">
        <v>15</v>
      </c>
      <c r="X319" t="s">
        <v>3462</v>
      </c>
      <c r="Y319" t="s">
        <v>2704</v>
      </c>
      <c r="Z319">
        <v>0</v>
      </c>
      <c r="AA319" t="s">
        <v>18</v>
      </c>
    </row>
    <row r="320" spans="1:27" x14ac:dyDescent="0.3">
      <c r="A320" t="s">
        <v>1222</v>
      </c>
      <c r="B320" t="s">
        <v>3266</v>
      </c>
      <c r="C320" t="s">
        <v>4026</v>
      </c>
      <c r="D320" t="s">
        <v>1224</v>
      </c>
      <c r="E320">
        <v>128</v>
      </c>
      <c r="F320" t="s">
        <v>5</v>
      </c>
      <c r="G320">
        <v>24</v>
      </c>
      <c r="H320" t="s">
        <v>6</v>
      </c>
      <c r="I320">
        <v>-35.939999999999898</v>
      </c>
      <c r="J320" t="s">
        <v>7</v>
      </c>
      <c r="K320">
        <v>-0.28078124999999898</v>
      </c>
      <c r="L320" t="s">
        <v>8</v>
      </c>
      <c r="M320">
        <v>5.3858333333333297</v>
      </c>
      <c r="N320" t="s">
        <v>9</v>
      </c>
      <c r="O320">
        <v>-1.5884615384615299</v>
      </c>
      <c r="P320" t="s">
        <v>10</v>
      </c>
      <c r="Q320">
        <v>0.70603899954440896</v>
      </c>
      <c r="R320" t="s">
        <v>11</v>
      </c>
      <c r="S320" t="s">
        <v>3552</v>
      </c>
      <c r="T320" t="s">
        <v>2783</v>
      </c>
      <c r="U320">
        <v>0</v>
      </c>
      <c r="V320" t="s">
        <v>14</v>
      </c>
      <c r="W320" t="s">
        <v>15</v>
      </c>
      <c r="X320" t="s">
        <v>3590</v>
      </c>
      <c r="Y320" t="s">
        <v>2704</v>
      </c>
      <c r="Z320">
        <v>0</v>
      </c>
      <c r="AA320" t="s">
        <v>18</v>
      </c>
    </row>
    <row r="321" spans="1:27" x14ac:dyDescent="0.3">
      <c r="A321" t="s">
        <v>1222</v>
      </c>
      <c r="B321" t="s">
        <v>3282</v>
      </c>
      <c r="C321" t="s">
        <v>4027</v>
      </c>
      <c r="D321" t="s">
        <v>1224</v>
      </c>
      <c r="E321">
        <v>128</v>
      </c>
      <c r="F321" t="s">
        <v>5</v>
      </c>
      <c r="G321">
        <v>48</v>
      </c>
      <c r="H321" t="s">
        <v>6</v>
      </c>
      <c r="I321">
        <v>-36.089999999999897</v>
      </c>
      <c r="J321" t="s">
        <v>7</v>
      </c>
      <c r="K321">
        <v>-0.28195312499999903</v>
      </c>
      <c r="L321" t="s">
        <v>8</v>
      </c>
      <c r="M321">
        <v>2.0433333333333299</v>
      </c>
      <c r="N321" t="s">
        <v>9</v>
      </c>
      <c r="O321">
        <v>-1.677125</v>
      </c>
      <c r="P321" t="s">
        <v>10</v>
      </c>
      <c r="Q321">
        <v>0.421568420603463</v>
      </c>
      <c r="R321" t="s">
        <v>11</v>
      </c>
      <c r="S321" t="s">
        <v>3554</v>
      </c>
      <c r="T321" t="s">
        <v>832</v>
      </c>
      <c r="U321">
        <v>0</v>
      </c>
      <c r="V321" t="s">
        <v>14</v>
      </c>
      <c r="W321" t="s">
        <v>15</v>
      </c>
      <c r="X321" t="s">
        <v>3600</v>
      </c>
      <c r="Y321" t="s">
        <v>3411</v>
      </c>
      <c r="Z321">
        <v>0</v>
      </c>
      <c r="AA321" t="s">
        <v>18</v>
      </c>
    </row>
    <row r="322" spans="1:27" x14ac:dyDescent="0.3">
      <c r="A322" t="s">
        <v>3292</v>
      </c>
      <c r="B322" t="s">
        <v>3223</v>
      </c>
      <c r="C322" t="s">
        <v>4028</v>
      </c>
      <c r="D322" t="s">
        <v>1224</v>
      </c>
      <c r="E322">
        <v>155</v>
      </c>
      <c r="F322" t="s">
        <v>5</v>
      </c>
      <c r="G322">
        <v>75</v>
      </c>
      <c r="H322" t="s">
        <v>6</v>
      </c>
      <c r="I322">
        <v>-36.119999999999898</v>
      </c>
      <c r="J322" t="s">
        <v>7</v>
      </c>
      <c r="K322">
        <v>-0.233032258064515</v>
      </c>
      <c r="L322" t="s">
        <v>8</v>
      </c>
      <c r="M322">
        <v>0.90786666666666604</v>
      </c>
      <c r="N322" t="s">
        <v>9</v>
      </c>
      <c r="O322">
        <v>-1.3026249999999899</v>
      </c>
      <c r="P322" t="s">
        <v>10</v>
      </c>
      <c r="Q322">
        <v>0.349298449940876</v>
      </c>
      <c r="R322" t="s">
        <v>11</v>
      </c>
      <c r="S322" t="s">
        <v>3403</v>
      </c>
      <c r="T322" t="s">
        <v>730</v>
      </c>
      <c r="U322">
        <v>0</v>
      </c>
      <c r="V322" t="s">
        <v>14</v>
      </c>
      <c r="W322" t="s">
        <v>15</v>
      </c>
      <c r="X322" t="s">
        <v>3405</v>
      </c>
      <c r="Y322" t="s">
        <v>2655</v>
      </c>
      <c r="Z322">
        <v>0</v>
      </c>
      <c r="AA322" t="s">
        <v>18</v>
      </c>
    </row>
    <row r="323" spans="1:27" x14ac:dyDescent="0.3">
      <c r="A323" t="s">
        <v>1219</v>
      </c>
      <c r="B323" t="s">
        <v>3239</v>
      </c>
      <c r="C323" t="s">
        <v>4029</v>
      </c>
      <c r="D323" t="s">
        <v>1224</v>
      </c>
      <c r="E323">
        <v>169</v>
      </c>
      <c r="F323" t="s">
        <v>5</v>
      </c>
      <c r="G323">
        <v>84</v>
      </c>
      <c r="H323" t="s">
        <v>6</v>
      </c>
      <c r="I323">
        <v>-36.15</v>
      </c>
      <c r="J323" t="s">
        <v>7</v>
      </c>
      <c r="K323">
        <v>-0.21390532544378699</v>
      </c>
      <c r="L323" t="s">
        <v>8</v>
      </c>
      <c r="M323">
        <v>0.60666666666666602</v>
      </c>
      <c r="N323" t="s">
        <v>9</v>
      </c>
      <c r="O323">
        <v>-1.02482352941176</v>
      </c>
      <c r="P323" t="s">
        <v>10</v>
      </c>
      <c r="Q323">
        <v>0.26909852379674198</v>
      </c>
      <c r="R323" t="s">
        <v>11</v>
      </c>
      <c r="S323" t="s">
        <v>3422</v>
      </c>
      <c r="T323" t="s">
        <v>603</v>
      </c>
      <c r="U323">
        <v>0</v>
      </c>
      <c r="V323" t="s">
        <v>14</v>
      </c>
      <c r="W323" t="s">
        <v>15</v>
      </c>
      <c r="X323" t="s">
        <v>3423</v>
      </c>
      <c r="Y323" t="s">
        <v>603</v>
      </c>
      <c r="Z323">
        <v>0</v>
      </c>
      <c r="AA323" t="s">
        <v>18</v>
      </c>
    </row>
    <row r="324" spans="1:27" x14ac:dyDescent="0.3">
      <c r="A324" t="s">
        <v>1143</v>
      </c>
      <c r="B324" t="s">
        <v>3268</v>
      </c>
      <c r="C324" t="s">
        <v>4030</v>
      </c>
      <c r="D324" t="s">
        <v>1224</v>
      </c>
      <c r="E324">
        <v>3062</v>
      </c>
      <c r="F324" t="s">
        <v>5</v>
      </c>
      <c r="G324">
        <v>1690</v>
      </c>
      <c r="H324" t="s">
        <v>6</v>
      </c>
      <c r="I324">
        <v>-36.176728620646699</v>
      </c>
      <c r="J324" t="s">
        <v>7</v>
      </c>
      <c r="K324">
        <v>-1.1814738282379699E-2</v>
      </c>
      <c r="L324" t="s">
        <v>8</v>
      </c>
      <c r="M324">
        <v>1.43472200700191</v>
      </c>
      <c r="N324" t="s">
        <v>9</v>
      </c>
      <c r="O324">
        <v>-1.7936274930421701</v>
      </c>
      <c r="P324" t="s">
        <v>10</v>
      </c>
      <c r="Q324">
        <v>2.7224571130770499</v>
      </c>
      <c r="R324" t="s">
        <v>11</v>
      </c>
      <c r="S324" t="s">
        <v>3359</v>
      </c>
      <c r="T324" t="s">
        <v>2542</v>
      </c>
      <c r="U324">
        <v>0</v>
      </c>
      <c r="V324" t="s">
        <v>14</v>
      </c>
      <c r="W324" t="s">
        <v>15</v>
      </c>
      <c r="X324" t="s">
        <v>3360</v>
      </c>
      <c r="Y324" t="s">
        <v>3361</v>
      </c>
      <c r="Z324">
        <v>0</v>
      </c>
      <c r="AA324" t="s">
        <v>18</v>
      </c>
    </row>
    <row r="325" spans="1:27" x14ac:dyDescent="0.3">
      <c r="A325" t="s">
        <v>3293</v>
      </c>
      <c r="B325" t="s">
        <v>3223</v>
      </c>
      <c r="C325" t="s">
        <v>4031</v>
      </c>
      <c r="D325" t="s">
        <v>1224</v>
      </c>
      <c r="E325">
        <v>334</v>
      </c>
      <c r="F325" t="s">
        <v>5</v>
      </c>
      <c r="G325">
        <v>159</v>
      </c>
      <c r="H325" t="s">
        <v>6</v>
      </c>
      <c r="I325">
        <v>-36.179999999999801</v>
      </c>
      <c r="J325" t="s">
        <v>7</v>
      </c>
      <c r="K325">
        <v>-0.108323353293412</v>
      </c>
      <c r="L325" t="s">
        <v>8</v>
      </c>
      <c r="M325">
        <v>1.2511320754716899</v>
      </c>
      <c r="N325" t="s">
        <v>9</v>
      </c>
      <c r="O325">
        <v>-1.34348571428571</v>
      </c>
      <c r="P325" t="s">
        <v>10</v>
      </c>
      <c r="Q325">
        <v>0.86107522603482201</v>
      </c>
      <c r="R325" t="s">
        <v>11</v>
      </c>
      <c r="S325" t="s">
        <v>3523</v>
      </c>
      <c r="T325" t="s">
        <v>730</v>
      </c>
      <c r="U325">
        <v>0</v>
      </c>
      <c r="V325" t="s">
        <v>14</v>
      </c>
      <c r="W325" t="s">
        <v>15</v>
      </c>
      <c r="X325" t="s">
        <v>3625</v>
      </c>
      <c r="Y325" t="s">
        <v>832</v>
      </c>
      <c r="Z325">
        <v>0</v>
      </c>
      <c r="AA325" t="s">
        <v>18</v>
      </c>
    </row>
    <row r="326" spans="1:27" x14ac:dyDescent="0.3">
      <c r="A326" t="s">
        <v>1219</v>
      </c>
      <c r="B326" t="s">
        <v>3240</v>
      </c>
      <c r="C326" t="s">
        <v>4032</v>
      </c>
      <c r="D326" t="s">
        <v>1224</v>
      </c>
      <c r="E326">
        <v>169</v>
      </c>
      <c r="F326" t="s">
        <v>5</v>
      </c>
      <c r="G326">
        <v>79</v>
      </c>
      <c r="H326" t="s">
        <v>6</v>
      </c>
      <c r="I326">
        <v>-36.51</v>
      </c>
      <c r="J326" t="s">
        <v>7</v>
      </c>
      <c r="K326">
        <v>-0.21603550295858001</v>
      </c>
      <c r="L326" t="s">
        <v>8</v>
      </c>
      <c r="M326">
        <v>0.72417721518987299</v>
      </c>
      <c r="N326" t="s">
        <v>9</v>
      </c>
      <c r="O326">
        <v>-1.0413333333333299</v>
      </c>
      <c r="P326" t="s">
        <v>10</v>
      </c>
      <c r="Q326">
        <v>0.296699119015504</v>
      </c>
      <c r="R326" t="s">
        <v>11</v>
      </c>
      <c r="S326" t="s">
        <v>3422</v>
      </c>
      <c r="T326" t="s">
        <v>603</v>
      </c>
      <c r="U326">
        <v>0</v>
      </c>
      <c r="V326" t="s">
        <v>14</v>
      </c>
      <c r="W326" t="s">
        <v>15</v>
      </c>
      <c r="X326" t="s">
        <v>3423</v>
      </c>
      <c r="Y326" t="s">
        <v>603</v>
      </c>
      <c r="Z326">
        <v>0</v>
      </c>
      <c r="AA326" t="s">
        <v>18</v>
      </c>
    </row>
    <row r="327" spans="1:27" x14ac:dyDescent="0.3">
      <c r="A327" t="s">
        <v>1221</v>
      </c>
      <c r="B327" t="s">
        <v>3226</v>
      </c>
      <c r="C327" t="s">
        <v>4033</v>
      </c>
      <c r="D327" t="s">
        <v>1224</v>
      </c>
      <c r="E327">
        <v>130</v>
      </c>
      <c r="F327" t="s">
        <v>5</v>
      </c>
      <c r="G327">
        <v>72</v>
      </c>
      <c r="H327" t="s">
        <v>6</v>
      </c>
      <c r="I327">
        <v>-36.549999999999898</v>
      </c>
      <c r="J327" t="s">
        <v>7</v>
      </c>
      <c r="K327">
        <v>-0.28115384615384598</v>
      </c>
      <c r="L327" t="s">
        <v>8</v>
      </c>
      <c r="M327">
        <v>0.77111111111111097</v>
      </c>
      <c r="N327" t="s">
        <v>9</v>
      </c>
      <c r="O327">
        <v>-1.6152631578947301</v>
      </c>
      <c r="P327" t="s">
        <v>10</v>
      </c>
      <c r="Q327">
        <v>0.24644851099832499</v>
      </c>
      <c r="R327" t="s">
        <v>11</v>
      </c>
      <c r="S327" t="s">
        <v>3510</v>
      </c>
      <c r="T327" t="s">
        <v>3303</v>
      </c>
      <c r="U327">
        <v>0</v>
      </c>
      <c r="V327" t="s">
        <v>14</v>
      </c>
      <c r="W327" t="s">
        <v>15</v>
      </c>
      <c r="X327" t="s">
        <v>3510</v>
      </c>
      <c r="Y327" t="s">
        <v>3303</v>
      </c>
      <c r="Z327">
        <v>0</v>
      </c>
      <c r="AA327" t="s">
        <v>18</v>
      </c>
    </row>
    <row r="328" spans="1:27" x14ac:dyDescent="0.3">
      <c r="A328" t="s">
        <v>1223</v>
      </c>
      <c r="B328" t="s">
        <v>3234</v>
      </c>
      <c r="C328" t="s">
        <v>4034</v>
      </c>
      <c r="D328" t="s">
        <v>1224</v>
      </c>
      <c r="E328">
        <v>370</v>
      </c>
      <c r="F328" t="s">
        <v>5</v>
      </c>
      <c r="G328">
        <v>179</v>
      </c>
      <c r="H328" t="s">
        <v>6</v>
      </c>
      <c r="I328">
        <v>-36.689552206394602</v>
      </c>
      <c r="J328" t="s">
        <v>7</v>
      </c>
      <c r="K328">
        <v>-9.9160951909174705E-2</v>
      </c>
      <c r="L328" t="s">
        <v>8</v>
      </c>
      <c r="M328">
        <v>1.5594891053761699</v>
      </c>
      <c r="N328" t="s">
        <v>9</v>
      </c>
      <c r="O328">
        <v>-1.65360262863209</v>
      </c>
      <c r="P328" t="s">
        <v>10</v>
      </c>
      <c r="Q328">
        <v>0.74549267886889403</v>
      </c>
      <c r="R328" t="s">
        <v>11</v>
      </c>
      <c r="S328" t="s">
        <v>235</v>
      </c>
      <c r="T328" t="s">
        <v>77</v>
      </c>
      <c r="U328">
        <v>0</v>
      </c>
      <c r="V328" t="s">
        <v>14</v>
      </c>
      <c r="W328" t="s">
        <v>15</v>
      </c>
      <c r="X328" t="s">
        <v>3633</v>
      </c>
      <c r="Y328" t="s">
        <v>3303</v>
      </c>
      <c r="Z328">
        <v>0</v>
      </c>
      <c r="AA328" t="s">
        <v>18</v>
      </c>
    </row>
    <row r="329" spans="1:27" x14ac:dyDescent="0.3">
      <c r="A329" t="s">
        <v>1219</v>
      </c>
      <c r="B329" t="s">
        <v>3203</v>
      </c>
      <c r="C329" t="s">
        <v>4035</v>
      </c>
      <c r="D329" t="s">
        <v>1224</v>
      </c>
      <c r="E329">
        <v>169</v>
      </c>
      <c r="F329" t="s">
        <v>5</v>
      </c>
      <c r="G329">
        <v>86</v>
      </c>
      <c r="H329" t="s">
        <v>6</v>
      </c>
      <c r="I329">
        <v>-36.709999999999901</v>
      </c>
      <c r="J329" t="s">
        <v>7</v>
      </c>
      <c r="K329">
        <v>-0.217218934911242</v>
      </c>
      <c r="L329" t="s">
        <v>8</v>
      </c>
      <c r="M329">
        <v>1.04313953488372</v>
      </c>
      <c r="N329" t="s">
        <v>9</v>
      </c>
      <c r="O329">
        <v>-1.5231325301204801</v>
      </c>
      <c r="P329" t="s">
        <v>10</v>
      </c>
      <c r="Q329">
        <v>0.34322663056313801</v>
      </c>
      <c r="R329" t="s">
        <v>11</v>
      </c>
      <c r="S329" t="s">
        <v>3386</v>
      </c>
      <c r="T329" t="s">
        <v>3030</v>
      </c>
      <c r="U329">
        <v>0</v>
      </c>
      <c r="V329" t="s">
        <v>14</v>
      </c>
      <c r="W329" t="s">
        <v>15</v>
      </c>
      <c r="X329" t="s">
        <v>719</v>
      </c>
      <c r="Y329" t="s">
        <v>3389</v>
      </c>
      <c r="Z329">
        <v>0</v>
      </c>
      <c r="AA329" t="s">
        <v>18</v>
      </c>
    </row>
    <row r="330" spans="1:27" x14ac:dyDescent="0.3">
      <c r="A330" t="s">
        <v>1222</v>
      </c>
      <c r="B330" t="s">
        <v>3247</v>
      </c>
      <c r="C330" t="s">
        <v>4036</v>
      </c>
      <c r="D330" t="s">
        <v>1224</v>
      </c>
      <c r="E330">
        <v>128</v>
      </c>
      <c r="F330" t="s">
        <v>5</v>
      </c>
      <c r="G330">
        <v>51</v>
      </c>
      <c r="H330" t="s">
        <v>6</v>
      </c>
      <c r="I330">
        <v>-36.979999999999897</v>
      </c>
      <c r="J330" t="s">
        <v>7</v>
      </c>
      <c r="K330">
        <v>-0.28890624999999898</v>
      </c>
      <c r="L330" t="s">
        <v>8</v>
      </c>
      <c r="M330">
        <v>1.11803921568627</v>
      </c>
      <c r="N330" t="s">
        <v>9</v>
      </c>
      <c r="O330">
        <v>-1.2207792207792201</v>
      </c>
      <c r="P330" t="s">
        <v>10</v>
      </c>
      <c r="Q330">
        <v>0.30860408000846401</v>
      </c>
      <c r="R330" t="s">
        <v>11</v>
      </c>
      <c r="S330" t="s">
        <v>3580</v>
      </c>
      <c r="T330" t="s">
        <v>3506</v>
      </c>
      <c r="U330">
        <v>0</v>
      </c>
      <c r="V330" t="s">
        <v>14</v>
      </c>
      <c r="W330" t="s">
        <v>15</v>
      </c>
      <c r="X330" t="s">
        <v>3580</v>
      </c>
      <c r="Y330" t="s">
        <v>3506</v>
      </c>
      <c r="Z330">
        <v>0</v>
      </c>
      <c r="AA330" t="s">
        <v>18</v>
      </c>
    </row>
    <row r="331" spans="1:27" x14ac:dyDescent="0.3">
      <c r="A331" t="s">
        <v>1220</v>
      </c>
      <c r="B331" t="s">
        <v>3247</v>
      </c>
      <c r="C331" t="s">
        <v>4037</v>
      </c>
      <c r="D331" t="s">
        <v>1224</v>
      </c>
      <c r="E331">
        <v>140</v>
      </c>
      <c r="F331" t="s">
        <v>5</v>
      </c>
      <c r="G331">
        <v>48</v>
      </c>
      <c r="H331" t="s">
        <v>6</v>
      </c>
      <c r="I331">
        <v>-37.077207122110202</v>
      </c>
      <c r="J331" t="s">
        <v>7</v>
      </c>
      <c r="K331">
        <v>-0.26483719372935899</v>
      </c>
      <c r="L331" t="s">
        <v>8</v>
      </c>
      <c r="M331">
        <v>1.7185998516226999</v>
      </c>
      <c r="N331" t="s">
        <v>9</v>
      </c>
      <c r="O331">
        <v>-1.29967391304347</v>
      </c>
      <c r="P331" t="s">
        <v>10</v>
      </c>
      <c r="Q331">
        <v>0.395370186665507</v>
      </c>
      <c r="R331" t="s">
        <v>11</v>
      </c>
      <c r="S331" t="s">
        <v>3335</v>
      </c>
      <c r="T331" t="s">
        <v>2757</v>
      </c>
      <c r="U331">
        <v>0</v>
      </c>
      <c r="V331" t="s">
        <v>14</v>
      </c>
      <c r="W331" t="s">
        <v>15</v>
      </c>
      <c r="X331" t="s">
        <v>3516</v>
      </c>
      <c r="Y331" t="s">
        <v>3333</v>
      </c>
      <c r="Z331">
        <v>0</v>
      </c>
      <c r="AA331" t="s">
        <v>18</v>
      </c>
    </row>
    <row r="332" spans="1:27" x14ac:dyDescent="0.3">
      <c r="A332" t="s">
        <v>1220</v>
      </c>
      <c r="B332" t="s">
        <v>3236</v>
      </c>
      <c r="C332" t="s">
        <v>4038</v>
      </c>
      <c r="D332" t="s">
        <v>1224</v>
      </c>
      <c r="E332">
        <v>139</v>
      </c>
      <c r="F332" t="s">
        <v>5</v>
      </c>
      <c r="G332">
        <v>53</v>
      </c>
      <c r="H332" t="s">
        <v>6</v>
      </c>
      <c r="I332">
        <v>-37.086707323995803</v>
      </c>
      <c r="J332" t="s">
        <v>7</v>
      </c>
      <c r="K332">
        <v>-0.26681084405752398</v>
      </c>
      <c r="L332" t="s">
        <v>8</v>
      </c>
      <c r="M332">
        <v>1.8679225947014699</v>
      </c>
      <c r="N332" t="s">
        <v>9</v>
      </c>
      <c r="O332">
        <v>-1.58240238189737</v>
      </c>
      <c r="P332" t="s">
        <v>10</v>
      </c>
      <c r="Q332">
        <v>0.51162863449919505</v>
      </c>
      <c r="R332" t="s">
        <v>11</v>
      </c>
      <c r="S332" t="s">
        <v>3515</v>
      </c>
      <c r="T332" t="s">
        <v>3320</v>
      </c>
      <c r="U332">
        <v>0</v>
      </c>
      <c r="V332" t="s">
        <v>14</v>
      </c>
      <c r="W332" t="s">
        <v>15</v>
      </c>
      <c r="X332" t="s">
        <v>3514</v>
      </c>
      <c r="Y332" t="s">
        <v>2793</v>
      </c>
      <c r="Z332">
        <v>0</v>
      </c>
      <c r="AA332" t="s">
        <v>18</v>
      </c>
    </row>
    <row r="333" spans="1:27" x14ac:dyDescent="0.3">
      <c r="A333" t="s">
        <v>1221</v>
      </c>
      <c r="B333" t="s">
        <v>3248</v>
      </c>
      <c r="C333" t="s">
        <v>4039</v>
      </c>
      <c r="D333" t="s">
        <v>1224</v>
      </c>
      <c r="E333">
        <v>130</v>
      </c>
      <c r="F333" t="s">
        <v>5</v>
      </c>
      <c r="G333">
        <v>38</v>
      </c>
      <c r="H333" t="s">
        <v>6</v>
      </c>
      <c r="I333">
        <v>-37.209999999999901</v>
      </c>
      <c r="J333" t="s">
        <v>7</v>
      </c>
      <c r="K333">
        <v>-0.28623076923076801</v>
      </c>
      <c r="L333" t="s">
        <v>8</v>
      </c>
      <c r="M333">
        <v>2.1971052631578898</v>
      </c>
      <c r="N333" t="s">
        <v>9</v>
      </c>
      <c r="O333">
        <v>-1.31195652173913</v>
      </c>
      <c r="P333" t="s">
        <v>10</v>
      </c>
      <c r="Q333">
        <v>0.477161094771619</v>
      </c>
      <c r="R333" t="s">
        <v>11</v>
      </c>
      <c r="S333" t="s">
        <v>3335</v>
      </c>
      <c r="T333" t="s">
        <v>2757</v>
      </c>
      <c r="U333">
        <v>0</v>
      </c>
      <c r="V333" t="s">
        <v>14</v>
      </c>
      <c r="W333" t="s">
        <v>15</v>
      </c>
      <c r="X333" t="s">
        <v>3516</v>
      </c>
      <c r="Y333" t="s">
        <v>3333</v>
      </c>
      <c r="Z333">
        <v>0</v>
      </c>
      <c r="AA333" t="s">
        <v>18</v>
      </c>
    </row>
    <row r="334" spans="1:27" x14ac:dyDescent="0.3">
      <c r="A334" t="s">
        <v>1219</v>
      </c>
      <c r="B334" t="s">
        <v>3291</v>
      </c>
      <c r="C334" t="s">
        <v>4040</v>
      </c>
      <c r="D334" t="s">
        <v>1224</v>
      </c>
      <c r="E334">
        <v>167</v>
      </c>
      <c r="F334" t="s">
        <v>5</v>
      </c>
      <c r="G334">
        <v>30</v>
      </c>
      <c r="H334" t="s">
        <v>6</v>
      </c>
      <c r="I334">
        <v>-37.277738758304402</v>
      </c>
      <c r="J334" t="s">
        <v>7</v>
      </c>
      <c r="K334">
        <v>-0.22321999256469699</v>
      </c>
      <c r="L334" t="s">
        <v>8</v>
      </c>
      <c r="M334">
        <v>6.28637610906011</v>
      </c>
      <c r="N334" t="s">
        <v>9</v>
      </c>
      <c r="O334">
        <v>-1.6486789929204899</v>
      </c>
      <c r="P334" t="s">
        <v>10</v>
      </c>
      <c r="Q334">
        <v>1.02129890711425</v>
      </c>
      <c r="R334" t="s">
        <v>11</v>
      </c>
      <c r="S334" t="s">
        <v>3465</v>
      </c>
      <c r="T334" t="s">
        <v>2640</v>
      </c>
      <c r="U334">
        <v>0</v>
      </c>
      <c r="V334" t="s">
        <v>14</v>
      </c>
      <c r="W334" t="s">
        <v>15</v>
      </c>
      <c r="X334" t="s">
        <v>3466</v>
      </c>
      <c r="Y334" t="s">
        <v>3398</v>
      </c>
      <c r="Z334">
        <v>0</v>
      </c>
      <c r="AA334" t="s">
        <v>18</v>
      </c>
    </row>
    <row r="335" spans="1:27" x14ac:dyDescent="0.3">
      <c r="A335" t="s">
        <v>1220</v>
      </c>
      <c r="B335" t="s">
        <v>3277</v>
      </c>
      <c r="C335" t="s">
        <v>4041</v>
      </c>
      <c r="D335" t="s">
        <v>1224</v>
      </c>
      <c r="E335">
        <v>135</v>
      </c>
      <c r="F335" t="s">
        <v>5</v>
      </c>
      <c r="G335">
        <v>54</v>
      </c>
      <c r="H335" t="s">
        <v>6</v>
      </c>
      <c r="I335">
        <v>-37.2899999999999</v>
      </c>
      <c r="J335" t="s">
        <v>7</v>
      </c>
      <c r="K335">
        <v>-0.27622222222222098</v>
      </c>
      <c r="L335" t="s">
        <v>8</v>
      </c>
      <c r="M335">
        <v>2.1359259259259198</v>
      </c>
      <c r="N335" t="s">
        <v>9</v>
      </c>
      <c r="O335">
        <v>-1.8843209876543201</v>
      </c>
      <c r="P335" t="s">
        <v>10</v>
      </c>
      <c r="Q335">
        <v>0.50775719111400797</v>
      </c>
      <c r="R335" t="s">
        <v>11</v>
      </c>
      <c r="S335" t="s">
        <v>3534</v>
      </c>
      <c r="T335" t="s">
        <v>2769</v>
      </c>
      <c r="U335">
        <v>0</v>
      </c>
      <c r="V335" t="s">
        <v>14</v>
      </c>
      <c r="W335" t="s">
        <v>15</v>
      </c>
      <c r="X335" t="s">
        <v>3534</v>
      </c>
      <c r="Y335" t="s">
        <v>2769</v>
      </c>
      <c r="Z335">
        <v>0</v>
      </c>
      <c r="AA335" t="s">
        <v>18</v>
      </c>
    </row>
    <row r="336" spans="1:27" x14ac:dyDescent="0.3">
      <c r="A336" t="s">
        <v>1221</v>
      </c>
      <c r="B336" t="s">
        <v>3210</v>
      </c>
      <c r="C336" t="s">
        <v>4042</v>
      </c>
      <c r="D336" t="s">
        <v>1224</v>
      </c>
      <c r="E336">
        <v>130</v>
      </c>
      <c r="F336" t="s">
        <v>5</v>
      </c>
      <c r="G336">
        <v>49</v>
      </c>
      <c r="H336" t="s">
        <v>6</v>
      </c>
      <c r="I336">
        <v>-37.589999999999897</v>
      </c>
      <c r="J336" t="s">
        <v>7</v>
      </c>
      <c r="K336">
        <v>-0.28915384615384498</v>
      </c>
      <c r="L336" t="s">
        <v>8</v>
      </c>
      <c r="M336">
        <v>2.12265306122449</v>
      </c>
      <c r="N336" t="s">
        <v>9</v>
      </c>
      <c r="O336">
        <v>-1.74814814814814</v>
      </c>
      <c r="P336" t="s">
        <v>10</v>
      </c>
      <c r="Q336">
        <v>0.39693387132851798</v>
      </c>
      <c r="R336" t="s">
        <v>11</v>
      </c>
      <c r="S336" t="s">
        <v>2657</v>
      </c>
      <c r="T336" t="s">
        <v>3303</v>
      </c>
      <c r="U336">
        <v>0</v>
      </c>
      <c r="V336" t="s">
        <v>14</v>
      </c>
      <c r="W336" t="s">
        <v>15</v>
      </c>
      <c r="X336" t="s">
        <v>2657</v>
      </c>
      <c r="Y336" t="s">
        <v>3303</v>
      </c>
      <c r="Z336">
        <v>0</v>
      </c>
      <c r="AA336" t="s">
        <v>18</v>
      </c>
    </row>
    <row r="337" spans="1:27" x14ac:dyDescent="0.3">
      <c r="A337" t="s">
        <v>1220</v>
      </c>
      <c r="B337" t="s">
        <v>3226</v>
      </c>
      <c r="C337" t="s">
        <v>4043</v>
      </c>
      <c r="D337" t="s">
        <v>1224</v>
      </c>
      <c r="E337">
        <v>140</v>
      </c>
      <c r="F337" t="s">
        <v>5</v>
      </c>
      <c r="G337">
        <v>76</v>
      </c>
      <c r="H337" t="s">
        <v>6</v>
      </c>
      <c r="I337">
        <v>-37.618308634848702</v>
      </c>
      <c r="J337" t="s">
        <v>7</v>
      </c>
      <c r="K337">
        <v>-0.268702204534633</v>
      </c>
      <c r="L337" t="s">
        <v>8</v>
      </c>
      <c r="M337">
        <v>0.81094330743620102</v>
      </c>
      <c r="N337" t="s">
        <v>9</v>
      </c>
      <c r="O337">
        <v>-1.57539682539682</v>
      </c>
      <c r="P337" t="s">
        <v>10</v>
      </c>
      <c r="Q337">
        <v>0.26869262173039299</v>
      </c>
      <c r="R337" t="s">
        <v>11</v>
      </c>
      <c r="S337" t="s">
        <v>3510</v>
      </c>
      <c r="T337" t="s">
        <v>3303</v>
      </c>
      <c r="U337">
        <v>0</v>
      </c>
      <c r="V337" t="s">
        <v>14</v>
      </c>
      <c r="W337" t="s">
        <v>15</v>
      </c>
      <c r="X337" t="s">
        <v>3510</v>
      </c>
      <c r="Y337" t="s">
        <v>3303</v>
      </c>
      <c r="Z337">
        <v>0</v>
      </c>
      <c r="AA337" t="s">
        <v>18</v>
      </c>
    </row>
    <row r="338" spans="1:27" x14ac:dyDescent="0.3">
      <c r="A338" t="s">
        <v>1222</v>
      </c>
      <c r="B338" t="s">
        <v>3267</v>
      </c>
      <c r="C338" t="s">
        <v>4044</v>
      </c>
      <c r="D338" t="s">
        <v>1224</v>
      </c>
      <c r="E338">
        <v>128</v>
      </c>
      <c r="F338" t="s">
        <v>5</v>
      </c>
      <c r="G338">
        <v>22</v>
      </c>
      <c r="H338" t="s">
        <v>6</v>
      </c>
      <c r="I338">
        <v>-37.659999999999897</v>
      </c>
      <c r="J338" t="s">
        <v>7</v>
      </c>
      <c r="K338">
        <v>-0.29421874999999897</v>
      </c>
      <c r="L338" t="s">
        <v>8</v>
      </c>
      <c r="M338">
        <v>5.9968181818181803</v>
      </c>
      <c r="N338" t="s">
        <v>9</v>
      </c>
      <c r="O338">
        <v>-1.59990566037735</v>
      </c>
      <c r="P338" t="s">
        <v>10</v>
      </c>
      <c r="Q338">
        <v>0.74740633850430205</v>
      </c>
      <c r="R338" t="s">
        <v>11</v>
      </c>
      <c r="S338" t="s">
        <v>3530</v>
      </c>
      <c r="T338" t="s">
        <v>2640</v>
      </c>
      <c r="U338">
        <v>0</v>
      </c>
      <c r="V338" t="s">
        <v>14</v>
      </c>
      <c r="W338" t="s">
        <v>15</v>
      </c>
      <c r="X338" t="s">
        <v>3591</v>
      </c>
      <c r="Y338" t="s">
        <v>3506</v>
      </c>
      <c r="Z338">
        <v>0</v>
      </c>
      <c r="AA338" t="s">
        <v>18</v>
      </c>
    </row>
    <row r="339" spans="1:27" x14ac:dyDescent="0.3">
      <c r="A339" t="s">
        <v>1219</v>
      </c>
      <c r="B339" t="s">
        <v>3287</v>
      </c>
      <c r="C339" t="s">
        <v>4045</v>
      </c>
      <c r="D339" t="s">
        <v>1224</v>
      </c>
      <c r="E339">
        <v>167</v>
      </c>
      <c r="F339" t="s">
        <v>5</v>
      </c>
      <c r="G339">
        <v>69</v>
      </c>
      <c r="H339" t="s">
        <v>6</v>
      </c>
      <c r="I339">
        <v>-37.867780572296802</v>
      </c>
      <c r="J339" t="s">
        <v>7</v>
      </c>
      <c r="K339">
        <v>-0.226753177079621</v>
      </c>
      <c r="L339" t="s">
        <v>8</v>
      </c>
      <c r="M339">
        <v>1.65483497148044</v>
      </c>
      <c r="N339" t="s">
        <v>9</v>
      </c>
      <c r="O339">
        <v>-1.55154483269844</v>
      </c>
      <c r="P339" t="s">
        <v>10</v>
      </c>
      <c r="Q339">
        <v>0.41060025826886498</v>
      </c>
      <c r="R339" t="s">
        <v>11</v>
      </c>
      <c r="S339" t="s">
        <v>3460</v>
      </c>
      <c r="T339" t="s">
        <v>2169</v>
      </c>
      <c r="U339">
        <v>0</v>
      </c>
      <c r="V339" t="s">
        <v>14</v>
      </c>
      <c r="W339" t="s">
        <v>15</v>
      </c>
      <c r="X339" t="s">
        <v>3461</v>
      </c>
      <c r="Y339" t="s">
        <v>2169</v>
      </c>
      <c r="Z339">
        <v>0</v>
      </c>
      <c r="AA339" t="s">
        <v>18</v>
      </c>
    </row>
    <row r="340" spans="1:27" x14ac:dyDescent="0.3">
      <c r="A340" t="s">
        <v>1220</v>
      </c>
      <c r="B340" t="s">
        <v>3205</v>
      </c>
      <c r="C340" t="s">
        <v>4046</v>
      </c>
      <c r="D340" t="s">
        <v>1224</v>
      </c>
      <c r="E340">
        <v>135</v>
      </c>
      <c r="F340" t="s">
        <v>5</v>
      </c>
      <c r="G340">
        <v>52</v>
      </c>
      <c r="H340" t="s">
        <v>6</v>
      </c>
      <c r="I340">
        <v>-38.379999999999903</v>
      </c>
      <c r="J340" t="s">
        <v>7</v>
      </c>
      <c r="K340">
        <v>-0.28429629629629599</v>
      </c>
      <c r="L340" t="s">
        <v>8</v>
      </c>
      <c r="M340">
        <v>1.9507692307692299</v>
      </c>
      <c r="N340" t="s">
        <v>9</v>
      </c>
      <c r="O340">
        <v>-1.6845783132530101</v>
      </c>
      <c r="P340" t="s">
        <v>10</v>
      </c>
      <c r="Q340">
        <v>0.47265806582334102</v>
      </c>
      <c r="R340" t="s">
        <v>11</v>
      </c>
      <c r="S340" t="s">
        <v>3504</v>
      </c>
      <c r="T340" t="s">
        <v>2769</v>
      </c>
      <c r="U340">
        <v>0</v>
      </c>
      <c r="V340" t="s">
        <v>14</v>
      </c>
      <c r="W340" t="s">
        <v>15</v>
      </c>
      <c r="X340" t="s">
        <v>3504</v>
      </c>
      <c r="Y340" t="s">
        <v>2769</v>
      </c>
      <c r="Z340">
        <v>0</v>
      </c>
      <c r="AA340" t="s">
        <v>18</v>
      </c>
    </row>
    <row r="341" spans="1:27" x14ac:dyDescent="0.3">
      <c r="A341" t="s">
        <v>1220</v>
      </c>
      <c r="B341" t="s">
        <v>3256</v>
      </c>
      <c r="C341" t="s">
        <v>4047</v>
      </c>
      <c r="D341" t="s">
        <v>1224</v>
      </c>
      <c r="E341">
        <v>135</v>
      </c>
      <c r="F341" t="s">
        <v>5</v>
      </c>
      <c r="G341">
        <v>65</v>
      </c>
      <c r="H341" t="s">
        <v>6</v>
      </c>
      <c r="I341">
        <v>-38.549999999999898</v>
      </c>
      <c r="J341" t="s">
        <v>7</v>
      </c>
      <c r="K341">
        <v>-0.28555555555555501</v>
      </c>
      <c r="L341" t="s">
        <v>8</v>
      </c>
      <c r="M341">
        <v>1.0580000000000001</v>
      </c>
      <c r="N341" t="s">
        <v>9</v>
      </c>
      <c r="O341">
        <v>-1.53314285714285</v>
      </c>
      <c r="P341" t="s">
        <v>10</v>
      </c>
      <c r="Q341">
        <v>0.32204174792811202</v>
      </c>
      <c r="R341" t="s">
        <v>11</v>
      </c>
      <c r="S341" t="s">
        <v>3523</v>
      </c>
      <c r="T341" t="s">
        <v>730</v>
      </c>
      <c r="U341">
        <v>0</v>
      </c>
      <c r="V341" t="s">
        <v>14</v>
      </c>
      <c r="W341" t="s">
        <v>15</v>
      </c>
      <c r="X341" t="s">
        <v>3523</v>
      </c>
      <c r="Y341" t="s">
        <v>730</v>
      </c>
      <c r="Z341">
        <v>0</v>
      </c>
      <c r="AA341" t="s">
        <v>18</v>
      </c>
    </row>
    <row r="342" spans="1:27" x14ac:dyDescent="0.3">
      <c r="A342" t="s">
        <v>1221</v>
      </c>
      <c r="B342" t="s">
        <v>3277</v>
      </c>
      <c r="C342" t="s">
        <v>4048</v>
      </c>
      <c r="D342" t="s">
        <v>1224</v>
      </c>
      <c r="E342">
        <v>125</v>
      </c>
      <c r="F342" t="s">
        <v>5</v>
      </c>
      <c r="G342">
        <v>51</v>
      </c>
      <c r="H342" t="s">
        <v>6</v>
      </c>
      <c r="I342">
        <v>-38.549999999999898</v>
      </c>
      <c r="J342" t="s">
        <v>7</v>
      </c>
      <c r="K342">
        <v>-0.30839999999999901</v>
      </c>
      <c r="L342" t="s">
        <v>8</v>
      </c>
      <c r="M342">
        <v>1.9807843137254899</v>
      </c>
      <c r="N342" t="s">
        <v>9</v>
      </c>
      <c r="O342">
        <v>-1.88608108108108</v>
      </c>
      <c r="P342" t="s">
        <v>10</v>
      </c>
      <c r="Q342">
        <v>0.44889576097104</v>
      </c>
      <c r="R342" t="s">
        <v>11</v>
      </c>
      <c r="S342" t="s">
        <v>3534</v>
      </c>
      <c r="T342" t="s">
        <v>2769</v>
      </c>
      <c r="U342">
        <v>0</v>
      </c>
      <c r="V342" t="s">
        <v>14</v>
      </c>
      <c r="W342" t="s">
        <v>15</v>
      </c>
      <c r="X342" t="s">
        <v>3534</v>
      </c>
      <c r="Y342" t="s">
        <v>2769</v>
      </c>
      <c r="Z342">
        <v>0</v>
      </c>
      <c r="AA342" t="s">
        <v>18</v>
      </c>
    </row>
    <row r="343" spans="1:27" x14ac:dyDescent="0.3">
      <c r="A343" t="s">
        <v>3293</v>
      </c>
      <c r="B343" t="s">
        <v>3271</v>
      </c>
      <c r="C343" t="s">
        <v>4049</v>
      </c>
      <c r="D343" t="s">
        <v>1224</v>
      </c>
      <c r="E343">
        <v>331</v>
      </c>
      <c r="F343" t="s">
        <v>5</v>
      </c>
      <c r="G343">
        <v>68</v>
      </c>
      <c r="H343" t="s">
        <v>6</v>
      </c>
      <c r="I343">
        <v>-38.661003835759402</v>
      </c>
      <c r="J343" t="s">
        <v>7</v>
      </c>
      <c r="K343">
        <v>-0.11680061581800399</v>
      </c>
      <c r="L343" t="s">
        <v>8</v>
      </c>
      <c r="M343">
        <v>5.9618697103686902</v>
      </c>
      <c r="N343" t="s">
        <v>9</v>
      </c>
      <c r="O343">
        <v>-1.68847203095372</v>
      </c>
      <c r="P343" t="s">
        <v>10</v>
      </c>
      <c r="Q343">
        <v>1.3375359445520001</v>
      </c>
      <c r="R343" t="s">
        <v>11</v>
      </c>
      <c r="S343" t="s">
        <v>3654</v>
      </c>
      <c r="T343" t="s">
        <v>1959</v>
      </c>
      <c r="U343">
        <v>0</v>
      </c>
      <c r="V343" t="s">
        <v>14</v>
      </c>
      <c r="W343" t="s">
        <v>15</v>
      </c>
      <c r="X343" t="s">
        <v>3657</v>
      </c>
      <c r="Y343" t="s">
        <v>3658</v>
      </c>
      <c r="Z343">
        <v>0</v>
      </c>
      <c r="AA343" t="s">
        <v>18</v>
      </c>
    </row>
    <row r="344" spans="1:27" x14ac:dyDescent="0.3">
      <c r="A344" t="s">
        <v>1221</v>
      </c>
      <c r="B344" t="s">
        <v>3249</v>
      </c>
      <c r="C344" t="s">
        <v>4050</v>
      </c>
      <c r="D344" t="s">
        <v>1224</v>
      </c>
      <c r="E344">
        <v>130</v>
      </c>
      <c r="F344" t="s">
        <v>5</v>
      </c>
      <c r="G344">
        <v>37</v>
      </c>
      <c r="H344" t="s">
        <v>6</v>
      </c>
      <c r="I344">
        <v>-38.689999999999898</v>
      </c>
      <c r="J344" t="s">
        <v>7</v>
      </c>
      <c r="K344">
        <v>-0.297615384615384</v>
      </c>
      <c r="L344" t="s">
        <v>8</v>
      </c>
      <c r="M344">
        <v>2.3267567567567502</v>
      </c>
      <c r="N344" t="s">
        <v>9</v>
      </c>
      <c r="O344">
        <v>-1.3417204301075201</v>
      </c>
      <c r="P344" t="s">
        <v>10</v>
      </c>
      <c r="Q344">
        <v>0.54757028833312305</v>
      </c>
      <c r="R344" t="s">
        <v>11</v>
      </c>
      <c r="S344" t="s">
        <v>3517</v>
      </c>
      <c r="T344" t="s">
        <v>1232</v>
      </c>
      <c r="U344">
        <v>0</v>
      </c>
      <c r="V344" t="s">
        <v>14</v>
      </c>
      <c r="W344" t="s">
        <v>15</v>
      </c>
      <c r="X344" t="s">
        <v>3517</v>
      </c>
      <c r="Y344" t="s">
        <v>1232</v>
      </c>
      <c r="Z344">
        <v>0</v>
      </c>
      <c r="AA344" t="s">
        <v>18</v>
      </c>
    </row>
    <row r="345" spans="1:27" x14ac:dyDescent="0.3">
      <c r="A345" t="s">
        <v>1220</v>
      </c>
      <c r="B345" t="s">
        <v>3278</v>
      </c>
      <c r="C345" t="s">
        <v>4051</v>
      </c>
      <c r="D345" t="s">
        <v>1224</v>
      </c>
      <c r="E345">
        <v>135</v>
      </c>
      <c r="F345" t="s">
        <v>5</v>
      </c>
      <c r="G345">
        <v>53</v>
      </c>
      <c r="H345" t="s">
        <v>6</v>
      </c>
      <c r="I345">
        <v>-38.799999999999898</v>
      </c>
      <c r="J345" t="s">
        <v>7</v>
      </c>
      <c r="K345">
        <v>-0.287407407407407</v>
      </c>
      <c r="L345" t="s">
        <v>8</v>
      </c>
      <c r="M345">
        <v>2.1792452830188598</v>
      </c>
      <c r="N345" t="s">
        <v>9</v>
      </c>
      <c r="O345">
        <v>-1.88170731707317</v>
      </c>
      <c r="P345" t="s">
        <v>10</v>
      </c>
      <c r="Q345">
        <v>0.54535154088482596</v>
      </c>
      <c r="R345" t="s">
        <v>11</v>
      </c>
      <c r="S345" t="s">
        <v>3528</v>
      </c>
      <c r="T345" t="s">
        <v>2046</v>
      </c>
      <c r="U345">
        <v>0</v>
      </c>
      <c r="V345" t="s">
        <v>14</v>
      </c>
      <c r="W345" t="s">
        <v>15</v>
      </c>
      <c r="X345" t="s">
        <v>3528</v>
      </c>
      <c r="Y345" t="s">
        <v>2046</v>
      </c>
      <c r="Z345">
        <v>0</v>
      </c>
      <c r="AA345" t="s">
        <v>18</v>
      </c>
    </row>
    <row r="346" spans="1:27" x14ac:dyDescent="0.3">
      <c r="A346" t="s">
        <v>1222</v>
      </c>
      <c r="B346" t="s">
        <v>3246</v>
      </c>
      <c r="C346" t="s">
        <v>4052</v>
      </c>
      <c r="D346" t="s">
        <v>1224</v>
      </c>
      <c r="E346">
        <v>128</v>
      </c>
      <c r="F346" t="s">
        <v>5</v>
      </c>
      <c r="G346">
        <v>52</v>
      </c>
      <c r="H346" t="s">
        <v>6</v>
      </c>
      <c r="I346">
        <v>-38.809999999999903</v>
      </c>
      <c r="J346" t="s">
        <v>7</v>
      </c>
      <c r="K346">
        <v>-0.30320312499999902</v>
      </c>
      <c r="L346" t="s">
        <v>8</v>
      </c>
      <c r="M346">
        <v>1.0240384615384599</v>
      </c>
      <c r="N346" t="s">
        <v>9</v>
      </c>
      <c r="O346">
        <v>-1.2113157894736799</v>
      </c>
      <c r="P346" t="s">
        <v>10</v>
      </c>
      <c r="Q346">
        <v>0.29312759022957902</v>
      </c>
      <c r="R346" t="s">
        <v>11</v>
      </c>
      <c r="S346" t="s">
        <v>3580</v>
      </c>
      <c r="T346" t="s">
        <v>3506</v>
      </c>
      <c r="U346">
        <v>0</v>
      </c>
      <c r="V346" t="s">
        <v>14</v>
      </c>
      <c r="W346" t="s">
        <v>15</v>
      </c>
      <c r="X346" t="s">
        <v>3580</v>
      </c>
      <c r="Y346" t="s">
        <v>3506</v>
      </c>
      <c r="Z346">
        <v>0</v>
      </c>
      <c r="AA346" t="s">
        <v>18</v>
      </c>
    </row>
    <row r="347" spans="1:27" x14ac:dyDescent="0.3">
      <c r="A347" t="s">
        <v>1220</v>
      </c>
      <c r="B347" t="s">
        <v>3231</v>
      </c>
      <c r="C347" t="s">
        <v>4053</v>
      </c>
      <c r="D347" t="s">
        <v>1224</v>
      </c>
      <c r="E347">
        <v>140</v>
      </c>
      <c r="F347" t="s">
        <v>5</v>
      </c>
      <c r="G347">
        <v>46</v>
      </c>
      <c r="H347" t="s">
        <v>6</v>
      </c>
      <c r="I347">
        <v>-39.0508816197313</v>
      </c>
      <c r="J347" t="s">
        <v>7</v>
      </c>
      <c r="K347">
        <v>-0.278934868712367</v>
      </c>
      <c r="L347" t="s">
        <v>8</v>
      </c>
      <c r="M347">
        <v>2.4832608695652101</v>
      </c>
      <c r="N347" t="s">
        <v>9</v>
      </c>
      <c r="O347">
        <v>-1.64818152279281</v>
      </c>
      <c r="P347" t="s">
        <v>10</v>
      </c>
      <c r="Q347">
        <v>0.69375126930132902</v>
      </c>
      <c r="R347" t="s">
        <v>11</v>
      </c>
      <c r="S347" t="s">
        <v>3512</v>
      </c>
      <c r="T347" t="s">
        <v>1232</v>
      </c>
      <c r="U347">
        <v>0</v>
      </c>
      <c r="V347" t="s">
        <v>14</v>
      </c>
      <c r="W347" t="s">
        <v>15</v>
      </c>
      <c r="X347" t="s">
        <v>3512</v>
      </c>
      <c r="Y347" t="s">
        <v>1232</v>
      </c>
      <c r="Z347">
        <v>0</v>
      </c>
      <c r="AA347" t="s">
        <v>18</v>
      </c>
    </row>
    <row r="348" spans="1:27" x14ac:dyDescent="0.3">
      <c r="A348" t="s">
        <v>1219</v>
      </c>
      <c r="B348" t="s">
        <v>3238</v>
      </c>
      <c r="C348" t="s">
        <v>4054</v>
      </c>
      <c r="D348" t="s">
        <v>1224</v>
      </c>
      <c r="E348">
        <v>169</v>
      </c>
      <c r="F348" t="s">
        <v>5</v>
      </c>
      <c r="G348">
        <v>87</v>
      </c>
      <c r="H348" t="s">
        <v>6</v>
      </c>
      <c r="I348">
        <v>-39.1</v>
      </c>
      <c r="J348" t="s">
        <v>7</v>
      </c>
      <c r="K348">
        <v>-0.23136094674556201</v>
      </c>
      <c r="L348" t="s">
        <v>8</v>
      </c>
      <c r="M348">
        <v>0.50747126436781598</v>
      </c>
      <c r="N348" t="s">
        <v>9</v>
      </c>
      <c r="O348">
        <v>-1.0152439024390201</v>
      </c>
      <c r="P348" t="s">
        <v>10</v>
      </c>
      <c r="Q348">
        <v>0.25120075827259097</v>
      </c>
      <c r="R348" t="s">
        <v>11</v>
      </c>
      <c r="S348" t="s">
        <v>3422</v>
      </c>
      <c r="T348" t="s">
        <v>603</v>
      </c>
      <c r="U348">
        <v>0</v>
      </c>
      <c r="V348" t="s">
        <v>14</v>
      </c>
      <c r="W348" t="s">
        <v>15</v>
      </c>
      <c r="X348" t="s">
        <v>3423</v>
      </c>
      <c r="Y348" t="s">
        <v>603</v>
      </c>
      <c r="Z348">
        <v>0</v>
      </c>
      <c r="AA348" t="s">
        <v>18</v>
      </c>
    </row>
    <row r="349" spans="1:27" x14ac:dyDescent="0.3">
      <c r="A349" t="s">
        <v>1222</v>
      </c>
      <c r="B349" t="s">
        <v>3264</v>
      </c>
      <c r="C349" t="s">
        <v>4055</v>
      </c>
      <c r="D349" t="s">
        <v>1224</v>
      </c>
      <c r="E349">
        <v>128</v>
      </c>
      <c r="F349" t="s">
        <v>5</v>
      </c>
      <c r="G349">
        <v>39</v>
      </c>
      <c r="H349" t="s">
        <v>6</v>
      </c>
      <c r="I349">
        <v>-39.189999999999898</v>
      </c>
      <c r="J349" t="s">
        <v>7</v>
      </c>
      <c r="K349">
        <v>-0.30617187499999898</v>
      </c>
      <c r="L349" t="s">
        <v>8</v>
      </c>
      <c r="M349">
        <v>2.5123076923076901</v>
      </c>
      <c r="N349" t="s">
        <v>9</v>
      </c>
      <c r="O349">
        <v>-1.5412359550561701</v>
      </c>
      <c r="P349" t="s">
        <v>10</v>
      </c>
      <c r="Q349">
        <v>0.41110714120789599</v>
      </c>
      <c r="R349" t="s">
        <v>11</v>
      </c>
      <c r="S349" t="s">
        <v>3587</v>
      </c>
      <c r="T349" t="s">
        <v>3047</v>
      </c>
      <c r="U349">
        <v>0</v>
      </c>
      <c r="V349" t="s">
        <v>14</v>
      </c>
      <c r="W349" t="s">
        <v>15</v>
      </c>
      <c r="X349" t="s">
        <v>3587</v>
      </c>
      <c r="Y349" t="s">
        <v>3047</v>
      </c>
      <c r="Z349">
        <v>0</v>
      </c>
      <c r="AA349" t="s">
        <v>18</v>
      </c>
    </row>
    <row r="350" spans="1:27" x14ac:dyDescent="0.3">
      <c r="A350" t="s">
        <v>3293</v>
      </c>
      <c r="B350" t="s">
        <v>3274</v>
      </c>
      <c r="C350" t="s">
        <v>4056</v>
      </c>
      <c r="D350" t="s">
        <v>1224</v>
      </c>
      <c r="E350">
        <v>334</v>
      </c>
      <c r="F350" t="s">
        <v>5</v>
      </c>
      <c r="G350">
        <v>217</v>
      </c>
      <c r="H350" t="s">
        <v>6</v>
      </c>
      <c r="I350">
        <v>-39.249999999999901</v>
      </c>
      <c r="J350" t="s">
        <v>7</v>
      </c>
      <c r="K350">
        <v>-0.11751497005988</v>
      </c>
      <c r="L350" t="s">
        <v>8</v>
      </c>
      <c r="M350">
        <v>0.78345622119815606</v>
      </c>
      <c r="N350" t="s">
        <v>9</v>
      </c>
      <c r="O350">
        <v>-1.7885470085470001</v>
      </c>
      <c r="P350" t="s">
        <v>10</v>
      </c>
      <c r="Q350">
        <v>0.606157479866127</v>
      </c>
      <c r="R350" t="s">
        <v>11</v>
      </c>
      <c r="S350" t="s">
        <v>3597</v>
      </c>
      <c r="T350" t="s">
        <v>832</v>
      </c>
      <c r="U350">
        <v>0</v>
      </c>
      <c r="V350" t="s">
        <v>14</v>
      </c>
      <c r="W350" t="s">
        <v>15</v>
      </c>
      <c r="X350" t="s">
        <v>3660</v>
      </c>
      <c r="Y350" t="s">
        <v>832</v>
      </c>
      <c r="Z350">
        <v>0</v>
      </c>
      <c r="AA350" t="s">
        <v>18</v>
      </c>
    </row>
    <row r="351" spans="1:27" x14ac:dyDescent="0.3">
      <c r="A351" t="s">
        <v>3293</v>
      </c>
      <c r="B351" t="s">
        <v>3259</v>
      </c>
      <c r="C351" t="s">
        <v>4057</v>
      </c>
      <c r="D351" t="s">
        <v>1224</v>
      </c>
      <c r="E351">
        <v>334</v>
      </c>
      <c r="F351" t="s">
        <v>5</v>
      </c>
      <c r="G351">
        <v>124</v>
      </c>
      <c r="H351" t="s">
        <v>6</v>
      </c>
      <c r="I351">
        <v>-39.549999999999898</v>
      </c>
      <c r="J351" t="s">
        <v>7</v>
      </c>
      <c r="K351">
        <v>-0.11841317365269401</v>
      </c>
      <c r="L351" t="s">
        <v>8</v>
      </c>
      <c r="M351">
        <v>2.2649193548387099</v>
      </c>
      <c r="N351" t="s">
        <v>9</v>
      </c>
      <c r="O351">
        <v>-1.52571428571428</v>
      </c>
      <c r="P351" t="s">
        <v>10</v>
      </c>
      <c r="Q351">
        <v>1.1521835717386599</v>
      </c>
      <c r="R351" t="s">
        <v>11</v>
      </c>
      <c r="S351" t="s">
        <v>3437</v>
      </c>
      <c r="T351" t="s">
        <v>2249</v>
      </c>
      <c r="U351">
        <v>0</v>
      </c>
      <c r="V351" t="s">
        <v>14</v>
      </c>
      <c r="W351" t="s">
        <v>15</v>
      </c>
      <c r="X351" t="s">
        <v>3644</v>
      </c>
      <c r="Y351" t="s">
        <v>832</v>
      </c>
      <c r="Z351">
        <v>0</v>
      </c>
      <c r="AA351" t="s">
        <v>18</v>
      </c>
    </row>
    <row r="352" spans="1:27" x14ac:dyDescent="0.3">
      <c r="A352" t="s">
        <v>1219</v>
      </c>
      <c r="B352" t="s">
        <v>3207</v>
      </c>
      <c r="C352" t="s">
        <v>4058</v>
      </c>
      <c r="D352" t="s">
        <v>1224</v>
      </c>
      <c r="E352">
        <v>169</v>
      </c>
      <c r="F352" t="s">
        <v>5</v>
      </c>
      <c r="G352">
        <v>72</v>
      </c>
      <c r="H352" t="s">
        <v>6</v>
      </c>
      <c r="I352">
        <v>-39.579999999999899</v>
      </c>
      <c r="J352" t="s">
        <v>7</v>
      </c>
      <c r="K352">
        <v>-0.23420118343195201</v>
      </c>
      <c r="L352" t="s">
        <v>8</v>
      </c>
      <c r="M352">
        <v>1.77819444444444</v>
      </c>
      <c r="N352" t="s">
        <v>9</v>
      </c>
      <c r="O352">
        <v>-1.72793814432989</v>
      </c>
      <c r="P352" t="s">
        <v>10</v>
      </c>
      <c r="Q352">
        <v>0.63535530804662699</v>
      </c>
      <c r="R352" t="s">
        <v>11</v>
      </c>
      <c r="S352" t="s">
        <v>3301</v>
      </c>
      <c r="T352" t="s">
        <v>2627</v>
      </c>
    </row>
    <row r="353" spans="1:27" x14ac:dyDescent="0.3">
      <c r="A353" t="s">
        <v>1221</v>
      </c>
      <c r="B353" t="s">
        <v>3218</v>
      </c>
      <c r="C353" t="s">
        <v>4059</v>
      </c>
      <c r="D353" t="s">
        <v>1224</v>
      </c>
      <c r="E353">
        <v>130</v>
      </c>
      <c r="F353" t="s">
        <v>5</v>
      </c>
      <c r="G353">
        <v>44</v>
      </c>
      <c r="H353" t="s">
        <v>6</v>
      </c>
      <c r="I353">
        <v>-39.681914950319999</v>
      </c>
      <c r="J353" t="s">
        <v>7</v>
      </c>
      <c r="K353">
        <v>-0.30524549961784597</v>
      </c>
      <c r="L353" t="s">
        <v>8</v>
      </c>
      <c r="M353">
        <v>2.7535462127088799</v>
      </c>
      <c r="N353" t="s">
        <v>9</v>
      </c>
      <c r="O353">
        <v>-1.8702087012733799</v>
      </c>
      <c r="P353" t="s">
        <v>10</v>
      </c>
      <c r="Q353">
        <v>0.56601718470895102</v>
      </c>
      <c r="R353" t="s">
        <v>11</v>
      </c>
      <c r="S353" t="s">
        <v>2657</v>
      </c>
      <c r="T353" t="s">
        <v>3303</v>
      </c>
      <c r="U353">
        <v>0</v>
      </c>
      <c r="V353" t="s">
        <v>14</v>
      </c>
      <c r="W353" t="s">
        <v>15</v>
      </c>
      <c r="X353" t="s">
        <v>3507</v>
      </c>
      <c r="Y353" t="s">
        <v>2793</v>
      </c>
      <c r="Z353">
        <v>0</v>
      </c>
      <c r="AA353" t="s">
        <v>18</v>
      </c>
    </row>
    <row r="354" spans="1:27" x14ac:dyDescent="0.3">
      <c r="A354" t="s">
        <v>1219</v>
      </c>
      <c r="B354" t="s">
        <v>3275</v>
      </c>
      <c r="C354" t="s">
        <v>4060</v>
      </c>
      <c r="D354" t="s">
        <v>1224</v>
      </c>
      <c r="E354">
        <v>169</v>
      </c>
      <c r="F354" t="s">
        <v>5</v>
      </c>
      <c r="G354">
        <v>85</v>
      </c>
      <c r="H354" t="s">
        <v>6</v>
      </c>
      <c r="I354">
        <v>-39.749999999999901</v>
      </c>
      <c r="J354" t="s">
        <v>7</v>
      </c>
      <c r="K354">
        <v>-0.23520710059171501</v>
      </c>
      <c r="L354" t="s">
        <v>8</v>
      </c>
      <c r="M354">
        <v>1.1525882352941099</v>
      </c>
      <c r="N354" t="s">
        <v>9</v>
      </c>
      <c r="O354">
        <v>-1.6395238095238001</v>
      </c>
      <c r="P354" t="s">
        <v>10</v>
      </c>
      <c r="Q354">
        <v>0.41025249304459299</v>
      </c>
      <c r="R354" t="s">
        <v>11</v>
      </c>
      <c r="S354" t="s">
        <v>3447</v>
      </c>
      <c r="T354" t="s">
        <v>729</v>
      </c>
      <c r="U354">
        <v>0</v>
      </c>
      <c r="V354" t="s">
        <v>14</v>
      </c>
      <c r="W354" t="s">
        <v>15</v>
      </c>
      <c r="X354" t="s">
        <v>3448</v>
      </c>
      <c r="Y354" t="s">
        <v>3449</v>
      </c>
      <c r="Z354">
        <v>0</v>
      </c>
      <c r="AA354" t="s">
        <v>18</v>
      </c>
    </row>
    <row r="355" spans="1:27" x14ac:dyDescent="0.3">
      <c r="A355" t="s">
        <v>1221</v>
      </c>
      <c r="B355" t="s">
        <v>3244</v>
      </c>
      <c r="C355" t="s">
        <v>4061</v>
      </c>
      <c r="D355" t="s">
        <v>1224</v>
      </c>
      <c r="E355">
        <v>130</v>
      </c>
      <c r="F355" t="s">
        <v>5</v>
      </c>
      <c r="G355">
        <v>60</v>
      </c>
      <c r="H355" t="s">
        <v>6</v>
      </c>
      <c r="I355">
        <v>-39.9299999999999</v>
      </c>
      <c r="J355" t="s">
        <v>7</v>
      </c>
      <c r="K355">
        <v>-0.307153846153845</v>
      </c>
      <c r="L355" t="s">
        <v>8</v>
      </c>
      <c r="M355">
        <v>0.80666666666666598</v>
      </c>
      <c r="N355" t="s">
        <v>9</v>
      </c>
      <c r="O355">
        <v>-1.2618571428571399</v>
      </c>
      <c r="P355" t="s">
        <v>10</v>
      </c>
      <c r="Q355">
        <v>0.238502421216642</v>
      </c>
      <c r="R355" t="s">
        <v>11</v>
      </c>
      <c r="S355" t="s">
        <v>3332</v>
      </c>
      <c r="T355" t="s">
        <v>3333</v>
      </c>
      <c r="U355">
        <v>0</v>
      </c>
      <c r="V355" t="s">
        <v>14</v>
      </c>
      <c r="W355" t="s">
        <v>15</v>
      </c>
      <c r="X355" t="s">
        <v>3516</v>
      </c>
      <c r="Y355" t="s">
        <v>3333</v>
      </c>
      <c r="Z355">
        <v>0</v>
      </c>
      <c r="AA355" t="s">
        <v>18</v>
      </c>
    </row>
    <row r="356" spans="1:27" x14ac:dyDescent="0.3">
      <c r="A356" t="s">
        <v>3293</v>
      </c>
      <c r="B356" t="s">
        <v>3234</v>
      </c>
      <c r="C356" t="s">
        <v>4062</v>
      </c>
      <c r="D356" t="s">
        <v>1224</v>
      </c>
      <c r="E356">
        <v>331</v>
      </c>
      <c r="F356" t="s">
        <v>5</v>
      </c>
      <c r="G356">
        <v>164</v>
      </c>
      <c r="H356" t="s">
        <v>6</v>
      </c>
      <c r="I356">
        <v>-40.006662073998498</v>
      </c>
      <c r="J356" t="s">
        <v>7</v>
      </c>
      <c r="K356">
        <v>-0.12086604856192899</v>
      </c>
      <c r="L356" t="s">
        <v>8</v>
      </c>
      <c r="M356">
        <v>1.40942733824413</v>
      </c>
      <c r="N356" t="s">
        <v>9</v>
      </c>
      <c r="O356">
        <v>-1.6236691350062</v>
      </c>
      <c r="P356" t="s">
        <v>10</v>
      </c>
      <c r="Q356">
        <v>0.67319017476080101</v>
      </c>
      <c r="R356" t="s">
        <v>11</v>
      </c>
      <c r="S356" t="s">
        <v>3672</v>
      </c>
      <c r="T356" t="s">
        <v>3303</v>
      </c>
      <c r="U356">
        <v>0</v>
      </c>
      <c r="V356" t="s">
        <v>14</v>
      </c>
      <c r="W356" t="s">
        <v>15</v>
      </c>
      <c r="X356" t="s">
        <v>3633</v>
      </c>
      <c r="Y356" t="s">
        <v>3303</v>
      </c>
      <c r="Z356">
        <v>0</v>
      </c>
      <c r="AA356" t="s">
        <v>18</v>
      </c>
    </row>
    <row r="357" spans="1:27" x14ac:dyDescent="0.3">
      <c r="A357" t="s">
        <v>1223</v>
      </c>
      <c r="B357" t="s">
        <v>3225</v>
      </c>
      <c r="C357" t="s">
        <v>4063</v>
      </c>
      <c r="D357" t="s">
        <v>1224</v>
      </c>
      <c r="E357">
        <v>375</v>
      </c>
      <c r="F357" t="s">
        <v>5</v>
      </c>
      <c r="G357">
        <v>166</v>
      </c>
      <c r="H357" t="s">
        <v>6</v>
      </c>
      <c r="I357">
        <v>-40.012146302788103</v>
      </c>
      <c r="J357" t="s">
        <v>7</v>
      </c>
      <c r="K357">
        <v>-0.10669905680743499</v>
      </c>
      <c r="L357" t="s">
        <v>8</v>
      </c>
      <c r="M357">
        <v>1.47420393793501</v>
      </c>
      <c r="N357" t="s">
        <v>9</v>
      </c>
      <c r="O357">
        <v>-1.36234449760765</v>
      </c>
      <c r="P357" t="s">
        <v>10</v>
      </c>
      <c r="Q357">
        <v>1.2783441290202699</v>
      </c>
      <c r="R357" t="s">
        <v>11</v>
      </c>
      <c r="S357" t="s">
        <v>3627</v>
      </c>
      <c r="T357" t="s">
        <v>2732</v>
      </c>
      <c r="U357">
        <v>0</v>
      </c>
      <c r="V357" t="s">
        <v>14</v>
      </c>
      <c r="W357" t="s">
        <v>15</v>
      </c>
      <c r="X357" t="s">
        <v>3626</v>
      </c>
      <c r="Y357" t="s">
        <v>2071</v>
      </c>
      <c r="Z357">
        <v>0</v>
      </c>
      <c r="AA357" t="s">
        <v>18</v>
      </c>
    </row>
    <row r="358" spans="1:27" x14ac:dyDescent="0.3">
      <c r="A358" t="s">
        <v>3293</v>
      </c>
      <c r="B358" t="s">
        <v>3231</v>
      </c>
      <c r="C358" t="s">
        <v>4064</v>
      </c>
      <c r="D358" t="s">
        <v>1224</v>
      </c>
      <c r="E358">
        <v>335</v>
      </c>
      <c r="F358" t="s">
        <v>5</v>
      </c>
      <c r="G358">
        <v>153</v>
      </c>
      <c r="H358" t="s">
        <v>6</v>
      </c>
      <c r="I358">
        <v>-40.099999999999902</v>
      </c>
      <c r="J358" t="s">
        <v>7</v>
      </c>
      <c r="K358">
        <v>-0.11970149253731301</v>
      </c>
      <c r="L358" t="s">
        <v>8</v>
      </c>
      <c r="M358">
        <v>1.58522875816993</v>
      </c>
      <c r="N358" t="s">
        <v>9</v>
      </c>
      <c r="O358">
        <v>-1.55296703296703</v>
      </c>
      <c r="P358" t="s">
        <v>10</v>
      </c>
      <c r="Q358">
        <v>1.0064720718920199</v>
      </c>
      <c r="R358" t="s">
        <v>11</v>
      </c>
      <c r="S358" t="s">
        <v>3627</v>
      </c>
      <c r="T358" t="s">
        <v>2732</v>
      </c>
      <c r="U358">
        <v>0</v>
      </c>
      <c r="V358" t="s">
        <v>14</v>
      </c>
      <c r="W358" t="s">
        <v>15</v>
      </c>
      <c r="X358" t="s">
        <v>3671</v>
      </c>
      <c r="Y358" t="s">
        <v>2644</v>
      </c>
      <c r="Z358">
        <v>0</v>
      </c>
      <c r="AA358" t="s">
        <v>18</v>
      </c>
    </row>
    <row r="359" spans="1:27" x14ac:dyDescent="0.3">
      <c r="A359" t="s">
        <v>1221</v>
      </c>
      <c r="B359" t="s">
        <v>3256</v>
      </c>
      <c r="C359" t="s">
        <v>4065</v>
      </c>
      <c r="D359" t="s">
        <v>1224</v>
      </c>
      <c r="E359">
        <v>125</v>
      </c>
      <c r="F359" t="s">
        <v>5</v>
      </c>
      <c r="G359">
        <v>60</v>
      </c>
      <c r="H359" t="s">
        <v>6</v>
      </c>
      <c r="I359">
        <v>-40.299999999999898</v>
      </c>
      <c r="J359" t="s">
        <v>7</v>
      </c>
      <c r="K359">
        <v>-0.32239999999999902</v>
      </c>
      <c r="L359" t="s">
        <v>8</v>
      </c>
      <c r="M359">
        <v>0.95933333333333304</v>
      </c>
      <c r="N359" t="s">
        <v>9</v>
      </c>
      <c r="O359">
        <v>-1.5055384615384599</v>
      </c>
      <c r="P359" t="s">
        <v>10</v>
      </c>
      <c r="Q359">
        <v>0.27796063061419701</v>
      </c>
      <c r="R359" t="s">
        <v>11</v>
      </c>
      <c r="S359" t="s">
        <v>3523</v>
      </c>
      <c r="T359" t="s">
        <v>730</v>
      </c>
      <c r="U359">
        <v>0</v>
      </c>
      <c r="V359" t="s">
        <v>14</v>
      </c>
      <c r="W359" t="s">
        <v>15</v>
      </c>
      <c r="X359" t="s">
        <v>3523</v>
      </c>
      <c r="Y359" t="s">
        <v>730</v>
      </c>
      <c r="Z359">
        <v>0</v>
      </c>
      <c r="AA359" t="s">
        <v>18</v>
      </c>
    </row>
    <row r="360" spans="1:27" x14ac:dyDescent="0.3">
      <c r="A360" t="s">
        <v>3292</v>
      </c>
      <c r="B360" t="s">
        <v>3283</v>
      </c>
      <c r="C360" t="s">
        <v>4066</v>
      </c>
      <c r="D360" t="s">
        <v>1224</v>
      </c>
      <c r="E360">
        <v>165</v>
      </c>
      <c r="F360" t="s">
        <v>5</v>
      </c>
      <c r="G360">
        <v>60</v>
      </c>
      <c r="H360" t="s">
        <v>6</v>
      </c>
      <c r="I360">
        <v>-40.489999999999903</v>
      </c>
      <c r="J360" t="s">
        <v>7</v>
      </c>
      <c r="K360">
        <v>-0.245393939393939</v>
      </c>
      <c r="L360" t="s">
        <v>8</v>
      </c>
      <c r="M360">
        <v>2.23616666666666</v>
      </c>
      <c r="N360" t="s">
        <v>9</v>
      </c>
      <c r="O360">
        <v>-1.6634285714285699</v>
      </c>
      <c r="P360" t="s">
        <v>10</v>
      </c>
      <c r="Q360">
        <v>0.64263141507348898</v>
      </c>
      <c r="R360" t="s">
        <v>11</v>
      </c>
      <c r="S360" t="s">
        <v>3451</v>
      </c>
      <c r="T360" t="s">
        <v>2698</v>
      </c>
      <c r="U360">
        <v>0</v>
      </c>
      <c r="V360" t="s">
        <v>14</v>
      </c>
      <c r="W360" t="s">
        <v>15</v>
      </c>
      <c r="X360" t="s">
        <v>3457</v>
      </c>
      <c r="Y360" t="s">
        <v>3449</v>
      </c>
      <c r="Z360">
        <v>0</v>
      </c>
      <c r="AA360" t="s">
        <v>18</v>
      </c>
    </row>
    <row r="361" spans="1:27" x14ac:dyDescent="0.3">
      <c r="A361" t="s">
        <v>1220</v>
      </c>
      <c r="B361" t="s">
        <v>3261</v>
      </c>
      <c r="C361" t="s">
        <v>4067</v>
      </c>
      <c r="D361" t="s">
        <v>1224</v>
      </c>
      <c r="E361">
        <v>135</v>
      </c>
      <c r="F361" t="s">
        <v>5</v>
      </c>
      <c r="G361">
        <v>39</v>
      </c>
      <c r="H361" t="s">
        <v>6</v>
      </c>
      <c r="I361">
        <v>-40.549999999999898</v>
      </c>
      <c r="J361" t="s">
        <v>7</v>
      </c>
      <c r="K361">
        <v>-0.30037037037037001</v>
      </c>
      <c r="L361" t="s">
        <v>8</v>
      </c>
      <c r="M361">
        <v>2.9374358974358898</v>
      </c>
      <c r="N361" t="s">
        <v>9</v>
      </c>
      <c r="O361">
        <v>-1.61572916666666</v>
      </c>
      <c r="P361" t="s">
        <v>10</v>
      </c>
      <c r="Q361">
        <v>0.68346626321382298</v>
      </c>
      <c r="R361" t="s">
        <v>11</v>
      </c>
      <c r="S361" t="s">
        <v>2649</v>
      </c>
      <c r="T361" t="s">
        <v>2071</v>
      </c>
      <c r="U361">
        <v>0</v>
      </c>
      <c r="V361" t="s">
        <v>14</v>
      </c>
      <c r="W361" t="s">
        <v>15</v>
      </c>
      <c r="X361" t="s">
        <v>2649</v>
      </c>
      <c r="Y361" t="s">
        <v>2071</v>
      </c>
      <c r="Z361">
        <v>0</v>
      </c>
      <c r="AA361" t="s">
        <v>18</v>
      </c>
    </row>
    <row r="362" spans="1:27" x14ac:dyDescent="0.3">
      <c r="A362" t="s">
        <v>1220</v>
      </c>
      <c r="B362" t="s">
        <v>3202</v>
      </c>
      <c r="C362" t="s">
        <v>4068</v>
      </c>
      <c r="D362" t="s">
        <v>1224</v>
      </c>
      <c r="E362">
        <v>135</v>
      </c>
      <c r="F362" t="s">
        <v>5</v>
      </c>
      <c r="G362">
        <v>69</v>
      </c>
      <c r="H362" t="s">
        <v>6</v>
      </c>
      <c r="I362">
        <v>-40.979999999999897</v>
      </c>
      <c r="J362" t="s">
        <v>7</v>
      </c>
      <c r="K362">
        <v>-0.30355555555555502</v>
      </c>
      <c r="L362" t="s">
        <v>8</v>
      </c>
      <c r="M362">
        <v>0.99449275362318801</v>
      </c>
      <c r="N362" t="s">
        <v>9</v>
      </c>
      <c r="O362">
        <v>-1.66060606060606</v>
      </c>
      <c r="P362" t="s">
        <v>10</v>
      </c>
      <c r="Q362">
        <v>0.302157888184517</v>
      </c>
      <c r="R362" t="s">
        <v>11</v>
      </c>
      <c r="S362" t="s">
        <v>3503</v>
      </c>
      <c r="T362" t="s">
        <v>3296</v>
      </c>
      <c r="U362">
        <v>0</v>
      </c>
      <c r="V362" t="s">
        <v>14</v>
      </c>
      <c r="W362" t="s">
        <v>15</v>
      </c>
      <c r="X362" t="s">
        <v>3503</v>
      </c>
      <c r="Y362" t="s">
        <v>3296</v>
      </c>
      <c r="Z362">
        <v>0</v>
      </c>
      <c r="AA362" t="s">
        <v>18</v>
      </c>
    </row>
    <row r="363" spans="1:27" x14ac:dyDescent="0.3">
      <c r="A363" t="s">
        <v>1219</v>
      </c>
      <c r="B363" t="s">
        <v>3220</v>
      </c>
      <c r="C363" t="s">
        <v>4069</v>
      </c>
      <c r="D363" t="s">
        <v>1224</v>
      </c>
      <c r="E363">
        <v>169</v>
      </c>
      <c r="F363" t="s">
        <v>5</v>
      </c>
      <c r="G363">
        <v>92</v>
      </c>
      <c r="H363" t="s">
        <v>6</v>
      </c>
      <c r="I363">
        <v>-41.05</v>
      </c>
      <c r="J363" t="s">
        <v>7</v>
      </c>
      <c r="K363">
        <v>-0.24289940828402301</v>
      </c>
      <c r="L363" t="s">
        <v>8</v>
      </c>
      <c r="M363">
        <v>0.62619565217391204</v>
      </c>
      <c r="N363" t="s">
        <v>9</v>
      </c>
      <c r="O363">
        <v>-1.2812987012987</v>
      </c>
      <c r="P363" t="s">
        <v>10</v>
      </c>
      <c r="Q363">
        <v>0.25892525380056902</v>
      </c>
      <c r="R363" t="s">
        <v>11</v>
      </c>
      <c r="S363" t="s">
        <v>3403</v>
      </c>
      <c r="T363" t="s">
        <v>730</v>
      </c>
      <c r="U363">
        <v>0</v>
      </c>
      <c r="V363" t="s">
        <v>14</v>
      </c>
      <c r="W363" t="s">
        <v>15</v>
      </c>
      <c r="X363" t="s">
        <v>3404</v>
      </c>
      <c r="Y363" t="s">
        <v>3389</v>
      </c>
      <c r="Z363">
        <v>0</v>
      </c>
      <c r="AA363" t="s">
        <v>18</v>
      </c>
    </row>
    <row r="364" spans="1:27" x14ac:dyDescent="0.3">
      <c r="A364" t="s">
        <v>1220</v>
      </c>
      <c r="B364" t="s">
        <v>3203</v>
      </c>
      <c r="C364" t="s">
        <v>4070</v>
      </c>
      <c r="D364" t="s">
        <v>1224</v>
      </c>
      <c r="E364">
        <v>135</v>
      </c>
      <c r="F364" t="s">
        <v>5</v>
      </c>
      <c r="G364">
        <v>61</v>
      </c>
      <c r="H364" t="s">
        <v>6</v>
      </c>
      <c r="I364">
        <v>-41.06</v>
      </c>
      <c r="J364" t="s">
        <v>7</v>
      </c>
      <c r="K364">
        <v>-0.304148148148148</v>
      </c>
      <c r="L364" t="s">
        <v>8</v>
      </c>
      <c r="M364">
        <v>1.3573770491803201</v>
      </c>
      <c r="N364" t="s">
        <v>9</v>
      </c>
      <c r="O364">
        <v>-1.6737837837837799</v>
      </c>
      <c r="P364" t="s">
        <v>10</v>
      </c>
      <c r="Q364">
        <v>0.353511880858427</v>
      </c>
      <c r="R364" t="s">
        <v>11</v>
      </c>
      <c r="S364" t="s">
        <v>3403</v>
      </c>
      <c r="T364" t="s">
        <v>730</v>
      </c>
      <c r="U364">
        <v>0</v>
      </c>
      <c r="V364" t="s">
        <v>14</v>
      </c>
      <c r="W364" t="s">
        <v>15</v>
      </c>
      <c r="X364" t="s">
        <v>3403</v>
      </c>
      <c r="Y364" t="s">
        <v>730</v>
      </c>
      <c r="Z364">
        <v>0</v>
      </c>
      <c r="AA364" t="s">
        <v>18</v>
      </c>
    </row>
    <row r="365" spans="1:27" x14ac:dyDescent="0.3">
      <c r="A365" t="s">
        <v>1220</v>
      </c>
      <c r="B365" t="s">
        <v>3274</v>
      </c>
      <c r="C365" t="s">
        <v>4071</v>
      </c>
      <c r="D365" t="s">
        <v>1224</v>
      </c>
      <c r="E365">
        <v>135</v>
      </c>
      <c r="F365" t="s">
        <v>5</v>
      </c>
      <c r="G365">
        <v>75</v>
      </c>
      <c r="H365" t="s">
        <v>6</v>
      </c>
      <c r="I365">
        <v>-41.129999999999903</v>
      </c>
      <c r="J365" t="s">
        <v>7</v>
      </c>
      <c r="K365">
        <v>-0.30466666666666598</v>
      </c>
      <c r="L365" t="s">
        <v>8</v>
      </c>
      <c r="M365">
        <v>0.94533333333333303</v>
      </c>
      <c r="N365" t="s">
        <v>9</v>
      </c>
      <c r="O365">
        <v>-1.86716666666666</v>
      </c>
      <c r="P365" t="s">
        <v>10</v>
      </c>
      <c r="Q365">
        <v>0.31924661033309198</v>
      </c>
      <c r="R365" t="s">
        <v>11</v>
      </c>
      <c r="S365" t="s">
        <v>108</v>
      </c>
      <c r="T365" t="s">
        <v>3296</v>
      </c>
      <c r="U365">
        <v>0</v>
      </c>
      <c r="V365" t="s">
        <v>14</v>
      </c>
      <c r="W365" t="s">
        <v>15</v>
      </c>
      <c r="X365" t="s">
        <v>108</v>
      </c>
      <c r="Y365" t="s">
        <v>3296</v>
      </c>
      <c r="Z365">
        <v>0</v>
      </c>
      <c r="AA365" t="s">
        <v>18</v>
      </c>
    </row>
    <row r="366" spans="1:27" x14ac:dyDescent="0.3">
      <c r="A366" t="s">
        <v>3293</v>
      </c>
      <c r="B366" t="s">
        <v>3276</v>
      </c>
      <c r="C366" t="s">
        <v>4072</v>
      </c>
      <c r="D366" t="s">
        <v>1224</v>
      </c>
      <c r="E366">
        <v>334</v>
      </c>
      <c r="F366" t="s">
        <v>5</v>
      </c>
      <c r="G366">
        <v>175</v>
      </c>
      <c r="H366" t="s">
        <v>6</v>
      </c>
      <c r="I366">
        <v>-41.149999999999899</v>
      </c>
      <c r="J366" t="s">
        <v>7</v>
      </c>
      <c r="K366">
        <v>-0.123203592814371</v>
      </c>
      <c r="L366" t="s">
        <v>8</v>
      </c>
      <c r="M366">
        <v>1.44891428571428</v>
      </c>
      <c r="N366" t="s">
        <v>9</v>
      </c>
      <c r="O366">
        <v>-1.85352201257861</v>
      </c>
      <c r="P366" t="s">
        <v>10</v>
      </c>
      <c r="Q366">
        <v>0.96978760517672802</v>
      </c>
      <c r="R366" t="s">
        <v>11</v>
      </c>
      <c r="S366" t="s">
        <v>3597</v>
      </c>
      <c r="T366" t="s">
        <v>832</v>
      </c>
      <c r="U366">
        <v>0</v>
      </c>
      <c r="V366" t="s">
        <v>14</v>
      </c>
      <c r="W366" t="s">
        <v>15</v>
      </c>
      <c r="X366" t="s">
        <v>3661</v>
      </c>
      <c r="Y366" t="s">
        <v>832</v>
      </c>
      <c r="Z366">
        <v>0</v>
      </c>
      <c r="AA366" t="s">
        <v>18</v>
      </c>
    </row>
    <row r="367" spans="1:27" x14ac:dyDescent="0.3">
      <c r="A367" t="s">
        <v>1219</v>
      </c>
      <c r="B367" t="s">
        <v>3289</v>
      </c>
      <c r="C367" t="s">
        <v>4073</v>
      </c>
      <c r="D367" t="s">
        <v>1224</v>
      </c>
      <c r="E367">
        <v>167</v>
      </c>
      <c r="F367" t="s">
        <v>5</v>
      </c>
      <c r="G367">
        <v>42</v>
      </c>
      <c r="H367" t="s">
        <v>6</v>
      </c>
      <c r="I367">
        <v>-41.182756927689702</v>
      </c>
      <c r="J367" t="s">
        <v>7</v>
      </c>
      <c r="K367">
        <v>-0.24660333489634501</v>
      </c>
      <c r="L367" t="s">
        <v>8</v>
      </c>
      <c r="M367">
        <v>3.76300631196233</v>
      </c>
      <c r="N367" t="s">
        <v>9</v>
      </c>
      <c r="O367">
        <v>-1.59383217624086</v>
      </c>
      <c r="P367" t="s">
        <v>10</v>
      </c>
      <c r="Q367">
        <v>0.71933503766784501</v>
      </c>
      <c r="R367" t="s">
        <v>11</v>
      </c>
      <c r="S367" t="s">
        <v>3463</v>
      </c>
      <c r="T367" t="s">
        <v>2698</v>
      </c>
      <c r="U367">
        <v>0</v>
      </c>
      <c r="V367" t="s">
        <v>14</v>
      </c>
      <c r="W367" t="s">
        <v>15</v>
      </c>
      <c r="X367" t="s">
        <v>3464</v>
      </c>
      <c r="Y367" t="s">
        <v>2169</v>
      </c>
      <c r="Z367">
        <v>0</v>
      </c>
      <c r="AA367" t="s">
        <v>18</v>
      </c>
    </row>
    <row r="368" spans="1:27" x14ac:dyDescent="0.3">
      <c r="A368" t="s">
        <v>1220</v>
      </c>
      <c r="B368" t="s">
        <v>3275</v>
      </c>
      <c r="C368" t="s">
        <v>4074</v>
      </c>
      <c r="D368" t="s">
        <v>1224</v>
      </c>
      <c r="E368">
        <v>135</v>
      </c>
      <c r="F368" t="s">
        <v>5</v>
      </c>
      <c r="G368">
        <v>64</v>
      </c>
      <c r="H368" t="s">
        <v>6</v>
      </c>
      <c r="I368">
        <v>-41.249999999999901</v>
      </c>
      <c r="J368" t="s">
        <v>7</v>
      </c>
      <c r="K368">
        <v>-0.30555555555555503</v>
      </c>
      <c r="L368" t="s">
        <v>8</v>
      </c>
      <c r="M368">
        <v>1.4640625</v>
      </c>
      <c r="N368" t="s">
        <v>9</v>
      </c>
      <c r="O368">
        <v>-1.90070422535211</v>
      </c>
      <c r="P368" t="s">
        <v>10</v>
      </c>
      <c r="Q368">
        <v>0.37010190109804603</v>
      </c>
      <c r="R368" t="s">
        <v>11</v>
      </c>
      <c r="S368" t="s">
        <v>3403</v>
      </c>
      <c r="T368" t="s">
        <v>730</v>
      </c>
      <c r="U368">
        <v>0</v>
      </c>
      <c r="V368" t="s">
        <v>14</v>
      </c>
      <c r="W368" t="s">
        <v>15</v>
      </c>
      <c r="X368" t="s">
        <v>3403</v>
      </c>
      <c r="Y368" t="s">
        <v>730</v>
      </c>
      <c r="Z368">
        <v>0</v>
      </c>
      <c r="AA368" t="s">
        <v>18</v>
      </c>
    </row>
    <row r="369" spans="1:27" x14ac:dyDescent="0.3">
      <c r="A369" t="s">
        <v>1220</v>
      </c>
      <c r="B369" t="s">
        <v>3206</v>
      </c>
      <c r="C369" t="s">
        <v>4075</v>
      </c>
      <c r="D369" t="s">
        <v>1224</v>
      </c>
      <c r="E369">
        <v>135</v>
      </c>
      <c r="F369" t="s">
        <v>5</v>
      </c>
      <c r="G369">
        <v>50</v>
      </c>
      <c r="H369" t="s">
        <v>6</v>
      </c>
      <c r="I369">
        <v>-41.299999999999898</v>
      </c>
      <c r="J369" t="s">
        <v>7</v>
      </c>
      <c r="K369">
        <v>-0.30592592592592499</v>
      </c>
      <c r="L369" t="s">
        <v>8</v>
      </c>
      <c r="M369">
        <v>2.03459999999999</v>
      </c>
      <c r="N369" t="s">
        <v>9</v>
      </c>
      <c r="O369">
        <v>-1.6827058823529399</v>
      </c>
      <c r="P369" t="s">
        <v>10</v>
      </c>
      <c r="Q369">
        <v>0.54672606842019</v>
      </c>
      <c r="R369" t="s">
        <v>11</v>
      </c>
      <c r="S369" t="s">
        <v>3505</v>
      </c>
      <c r="T369" t="s">
        <v>3506</v>
      </c>
      <c r="U369">
        <v>0</v>
      </c>
      <c r="V369" t="s">
        <v>14</v>
      </c>
      <c r="W369" t="s">
        <v>15</v>
      </c>
      <c r="X369" t="s">
        <v>3505</v>
      </c>
      <c r="Y369" t="s">
        <v>3506</v>
      </c>
      <c r="Z369">
        <v>0</v>
      </c>
      <c r="AA369" t="s">
        <v>18</v>
      </c>
    </row>
    <row r="370" spans="1:27" x14ac:dyDescent="0.3">
      <c r="A370" t="s">
        <v>3293</v>
      </c>
      <c r="B370" t="s">
        <v>3272</v>
      </c>
      <c r="C370" t="s">
        <v>4076</v>
      </c>
      <c r="D370" t="s">
        <v>1224</v>
      </c>
      <c r="E370">
        <v>331</v>
      </c>
      <c r="F370" t="s">
        <v>5</v>
      </c>
      <c r="G370">
        <v>53</v>
      </c>
      <c r="H370" t="s">
        <v>6</v>
      </c>
      <c r="I370">
        <v>-41.7109238407742</v>
      </c>
      <c r="J370" t="s">
        <v>7</v>
      </c>
      <c r="K370">
        <v>-0.12601487565188499</v>
      </c>
      <c r="L370" t="s">
        <v>8</v>
      </c>
      <c r="M370">
        <v>8.2003249113218093</v>
      </c>
      <c r="N370" t="s">
        <v>9</v>
      </c>
      <c r="O370">
        <v>-1.7134105904346399</v>
      </c>
      <c r="P370" t="s">
        <v>10</v>
      </c>
      <c r="Q370">
        <v>1.5554033714086899</v>
      </c>
      <c r="R370" t="s">
        <v>11</v>
      </c>
      <c r="S370" t="s">
        <v>3678</v>
      </c>
      <c r="T370" t="s">
        <v>2889</v>
      </c>
      <c r="U370">
        <v>0</v>
      </c>
      <c r="V370" t="s">
        <v>14</v>
      </c>
      <c r="W370" t="s">
        <v>15</v>
      </c>
      <c r="X370" t="s">
        <v>3657</v>
      </c>
      <c r="Y370" t="s">
        <v>3658</v>
      </c>
      <c r="Z370">
        <v>0</v>
      </c>
      <c r="AA370" t="s">
        <v>18</v>
      </c>
    </row>
    <row r="371" spans="1:27" x14ac:dyDescent="0.3">
      <c r="A371" t="s">
        <v>1221</v>
      </c>
      <c r="B371" t="s">
        <v>3255</v>
      </c>
      <c r="C371" t="s">
        <v>4077</v>
      </c>
      <c r="D371" t="s">
        <v>1224</v>
      </c>
      <c r="E371">
        <v>130</v>
      </c>
      <c r="F371" t="s">
        <v>5</v>
      </c>
      <c r="G371">
        <v>38</v>
      </c>
      <c r="H371" t="s">
        <v>6</v>
      </c>
      <c r="I371">
        <v>-41.756425606723703</v>
      </c>
      <c r="J371" t="s">
        <v>7</v>
      </c>
      <c r="K371">
        <v>-0.32120327389787401</v>
      </c>
      <c r="L371" t="s">
        <v>8</v>
      </c>
      <c r="M371">
        <v>1.8580111565521</v>
      </c>
      <c r="N371" t="s">
        <v>9</v>
      </c>
      <c r="O371">
        <v>-1.2347346105022301</v>
      </c>
      <c r="P371" t="s">
        <v>10</v>
      </c>
      <c r="Q371">
        <v>0.459814066584456</v>
      </c>
      <c r="R371" t="s">
        <v>11</v>
      </c>
      <c r="S371" t="s">
        <v>669</v>
      </c>
      <c r="T371" t="s">
        <v>1469</v>
      </c>
      <c r="U371">
        <v>0</v>
      </c>
      <c r="V371" t="s">
        <v>14</v>
      </c>
      <c r="W371" t="s">
        <v>15</v>
      </c>
      <c r="X371" t="s">
        <v>676</v>
      </c>
      <c r="Y371" t="s">
        <v>2793</v>
      </c>
      <c r="Z371">
        <v>0</v>
      </c>
      <c r="AA371" t="s">
        <v>18</v>
      </c>
    </row>
    <row r="372" spans="1:27" x14ac:dyDescent="0.3">
      <c r="A372" t="s">
        <v>3292</v>
      </c>
      <c r="B372" t="s">
        <v>3259</v>
      </c>
      <c r="C372" t="s">
        <v>4078</v>
      </c>
      <c r="D372" t="s">
        <v>1224</v>
      </c>
      <c r="E372">
        <v>155</v>
      </c>
      <c r="F372" t="s">
        <v>5</v>
      </c>
      <c r="G372">
        <v>53</v>
      </c>
      <c r="H372" t="s">
        <v>6</v>
      </c>
      <c r="I372">
        <v>-41.78</v>
      </c>
      <c r="J372" t="s">
        <v>7</v>
      </c>
      <c r="K372">
        <v>-0.26954838709677398</v>
      </c>
      <c r="L372" t="s">
        <v>8</v>
      </c>
      <c r="M372">
        <v>2.0622641509433901</v>
      </c>
      <c r="N372" t="s">
        <v>9</v>
      </c>
      <c r="O372">
        <v>-1.48117647058823</v>
      </c>
      <c r="P372" t="s">
        <v>10</v>
      </c>
      <c r="Q372">
        <v>0.48710588574639502</v>
      </c>
      <c r="R372" t="s">
        <v>11</v>
      </c>
      <c r="S372" t="s">
        <v>3386</v>
      </c>
      <c r="T372" t="s">
        <v>3030</v>
      </c>
      <c r="U372">
        <v>0</v>
      </c>
      <c r="V372" t="s">
        <v>14</v>
      </c>
      <c r="W372" t="s">
        <v>15</v>
      </c>
      <c r="X372" t="s">
        <v>3387</v>
      </c>
      <c r="Y372" t="s">
        <v>3388</v>
      </c>
      <c r="Z372">
        <v>0</v>
      </c>
      <c r="AA372" t="s">
        <v>18</v>
      </c>
    </row>
    <row r="373" spans="1:27" x14ac:dyDescent="0.3">
      <c r="A373" t="s">
        <v>1222</v>
      </c>
      <c r="B373" t="s">
        <v>3239</v>
      </c>
      <c r="C373" t="s">
        <v>4079</v>
      </c>
      <c r="D373" t="s">
        <v>1224</v>
      </c>
      <c r="E373">
        <v>136</v>
      </c>
      <c r="F373" t="s">
        <v>5</v>
      </c>
      <c r="G373">
        <v>64</v>
      </c>
      <c r="H373" t="s">
        <v>6</v>
      </c>
      <c r="I373">
        <v>-42.04</v>
      </c>
      <c r="J373" t="s">
        <v>7</v>
      </c>
      <c r="K373">
        <v>-0.309117647058823</v>
      </c>
      <c r="L373" t="s">
        <v>8</v>
      </c>
      <c r="M373">
        <v>0.65062499999999901</v>
      </c>
      <c r="N373" t="s">
        <v>9</v>
      </c>
      <c r="O373">
        <v>-1.16222222222222</v>
      </c>
      <c r="P373" t="s">
        <v>10</v>
      </c>
      <c r="Q373">
        <v>0.28074027412003799</v>
      </c>
      <c r="R373" t="s">
        <v>11</v>
      </c>
      <c r="S373" t="s">
        <v>3326</v>
      </c>
      <c r="T373" t="s">
        <v>21</v>
      </c>
      <c r="U373">
        <v>0</v>
      </c>
      <c r="V373" t="s">
        <v>14</v>
      </c>
      <c r="W373" t="s">
        <v>15</v>
      </c>
      <c r="X373" t="s">
        <v>3576</v>
      </c>
      <c r="Y373" t="s">
        <v>21</v>
      </c>
      <c r="Z373">
        <v>0</v>
      </c>
      <c r="AA373" t="s">
        <v>18</v>
      </c>
    </row>
    <row r="374" spans="1:27" x14ac:dyDescent="0.3">
      <c r="A374" t="s">
        <v>1222</v>
      </c>
      <c r="B374" t="s">
        <v>3283</v>
      </c>
      <c r="C374" t="s">
        <v>4080</v>
      </c>
      <c r="D374" t="s">
        <v>1224</v>
      </c>
      <c r="E374">
        <v>128</v>
      </c>
      <c r="F374" t="s">
        <v>5</v>
      </c>
      <c r="G374">
        <v>42</v>
      </c>
      <c r="H374" t="s">
        <v>6</v>
      </c>
      <c r="I374">
        <v>-42.159999999999897</v>
      </c>
      <c r="J374" t="s">
        <v>7</v>
      </c>
      <c r="K374">
        <v>-0.32937499999999897</v>
      </c>
      <c r="L374" t="s">
        <v>8</v>
      </c>
      <c r="M374">
        <v>2.5547619047619001</v>
      </c>
      <c r="N374" t="s">
        <v>9</v>
      </c>
      <c r="O374">
        <v>-1.7379069767441799</v>
      </c>
      <c r="P374" t="s">
        <v>10</v>
      </c>
      <c r="Q374">
        <v>0.49860550910963097</v>
      </c>
      <c r="R374" t="s">
        <v>11</v>
      </c>
      <c r="S374" t="s">
        <v>2181</v>
      </c>
      <c r="T374" t="s">
        <v>2554</v>
      </c>
      <c r="U374">
        <v>0</v>
      </c>
      <c r="V374" t="s">
        <v>14</v>
      </c>
      <c r="W374" t="s">
        <v>15</v>
      </c>
      <c r="X374" t="s">
        <v>3601</v>
      </c>
      <c r="Y374" t="s">
        <v>3602</v>
      </c>
      <c r="Z374">
        <v>0</v>
      </c>
      <c r="AA374" t="s">
        <v>18</v>
      </c>
    </row>
    <row r="375" spans="1:27" x14ac:dyDescent="0.3">
      <c r="A375" t="s">
        <v>1220</v>
      </c>
      <c r="B375" t="s">
        <v>3244</v>
      </c>
      <c r="C375" t="s">
        <v>4081</v>
      </c>
      <c r="D375" t="s">
        <v>1224</v>
      </c>
      <c r="E375">
        <v>140</v>
      </c>
      <c r="F375" t="s">
        <v>5</v>
      </c>
      <c r="G375">
        <v>66</v>
      </c>
      <c r="H375" t="s">
        <v>6</v>
      </c>
      <c r="I375">
        <v>-42.243680232724401</v>
      </c>
      <c r="J375" t="s">
        <v>7</v>
      </c>
      <c r="K375">
        <v>-0.30174057309088798</v>
      </c>
      <c r="L375" t="s">
        <v>8</v>
      </c>
      <c r="M375">
        <v>0.79736848132235705</v>
      </c>
      <c r="N375" t="s">
        <v>9</v>
      </c>
      <c r="O375">
        <v>-1.28202702702702</v>
      </c>
      <c r="P375" t="s">
        <v>10</v>
      </c>
      <c r="Q375">
        <v>0.25321279523204798</v>
      </c>
      <c r="R375" t="s">
        <v>11</v>
      </c>
      <c r="S375" t="s">
        <v>3332</v>
      </c>
      <c r="T375" t="s">
        <v>3333</v>
      </c>
      <c r="U375">
        <v>0</v>
      </c>
      <c r="V375" t="s">
        <v>14</v>
      </c>
      <c r="W375" t="s">
        <v>15</v>
      </c>
      <c r="X375" t="s">
        <v>3516</v>
      </c>
      <c r="Y375" t="s">
        <v>3333</v>
      </c>
      <c r="Z375">
        <v>0</v>
      </c>
      <c r="AA375" t="s">
        <v>18</v>
      </c>
    </row>
    <row r="376" spans="1:27" x14ac:dyDescent="0.3">
      <c r="A376" t="s">
        <v>1222</v>
      </c>
      <c r="B376" t="s">
        <v>3211</v>
      </c>
      <c r="C376" t="s">
        <v>4082</v>
      </c>
      <c r="D376" t="s">
        <v>1224</v>
      </c>
      <c r="E376">
        <v>128</v>
      </c>
      <c r="F376" t="s">
        <v>5</v>
      </c>
      <c r="G376">
        <v>47</v>
      </c>
      <c r="H376" t="s">
        <v>6</v>
      </c>
      <c r="I376">
        <v>-42.519999999999897</v>
      </c>
      <c r="J376" t="s">
        <v>7</v>
      </c>
      <c r="K376">
        <v>-0.33218749999999903</v>
      </c>
      <c r="L376" t="s">
        <v>8</v>
      </c>
      <c r="M376">
        <v>2.1778723404255298</v>
      </c>
      <c r="N376" t="s">
        <v>9</v>
      </c>
      <c r="O376">
        <v>-1.78864197530864</v>
      </c>
      <c r="P376" t="s">
        <v>10</v>
      </c>
      <c r="Q376">
        <v>0.47881545598794101</v>
      </c>
      <c r="R376" t="s">
        <v>11</v>
      </c>
      <c r="S376" t="s">
        <v>3552</v>
      </c>
      <c r="T376" t="s">
        <v>2783</v>
      </c>
      <c r="U376">
        <v>0</v>
      </c>
      <c r="V376" t="s">
        <v>14</v>
      </c>
      <c r="W376" t="s">
        <v>15</v>
      </c>
      <c r="X376" t="s">
        <v>3555</v>
      </c>
      <c r="Y376" t="s">
        <v>2704</v>
      </c>
      <c r="Z376">
        <v>0</v>
      </c>
      <c r="AA376" t="s">
        <v>18</v>
      </c>
    </row>
    <row r="377" spans="1:27" x14ac:dyDescent="0.3">
      <c r="A377" t="s">
        <v>1222</v>
      </c>
      <c r="B377" t="s">
        <v>3216</v>
      </c>
      <c r="C377" t="s">
        <v>4083</v>
      </c>
      <c r="D377" t="s">
        <v>1224</v>
      </c>
      <c r="E377">
        <v>127</v>
      </c>
      <c r="F377" t="s">
        <v>5</v>
      </c>
      <c r="G377">
        <v>50</v>
      </c>
      <c r="H377" t="s">
        <v>6</v>
      </c>
      <c r="I377">
        <v>-42.6078070660066</v>
      </c>
      <c r="J377" t="s">
        <v>7</v>
      </c>
      <c r="K377">
        <v>-0.33549454382682298</v>
      </c>
      <c r="L377" t="s">
        <v>8</v>
      </c>
      <c r="M377">
        <v>1.92299097120211</v>
      </c>
      <c r="N377" t="s">
        <v>9</v>
      </c>
      <c r="O377">
        <v>-1.8020435795598999</v>
      </c>
      <c r="P377" t="s">
        <v>10</v>
      </c>
      <c r="Q377">
        <v>0.40933685553072002</v>
      </c>
      <c r="R377" t="s">
        <v>11</v>
      </c>
      <c r="S377" t="s">
        <v>3560</v>
      </c>
      <c r="T377" t="s">
        <v>832</v>
      </c>
      <c r="U377">
        <v>0</v>
      </c>
      <c r="V377" t="s">
        <v>14</v>
      </c>
      <c r="W377" t="s">
        <v>15</v>
      </c>
      <c r="X377" t="s">
        <v>2738</v>
      </c>
      <c r="Y377" t="s">
        <v>3411</v>
      </c>
      <c r="Z377">
        <v>0</v>
      </c>
      <c r="AA377" t="s">
        <v>18</v>
      </c>
    </row>
    <row r="378" spans="1:27" x14ac:dyDescent="0.3">
      <c r="A378" t="s">
        <v>1219</v>
      </c>
      <c r="B378" t="s">
        <v>3222</v>
      </c>
      <c r="C378" t="s">
        <v>4084</v>
      </c>
      <c r="D378" t="s">
        <v>1224</v>
      </c>
      <c r="E378">
        <v>169</v>
      </c>
      <c r="F378" t="s">
        <v>5</v>
      </c>
      <c r="G378">
        <v>81</v>
      </c>
      <c r="H378" t="s">
        <v>6</v>
      </c>
      <c r="I378">
        <v>-42.779999999999902</v>
      </c>
      <c r="J378" t="s">
        <v>7</v>
      </c>
      <c r="K378">
        <v>-0.253136094674556</v>
      </c>
      <c r="L378" t="s">
        <v>8</v>
      </c>
      <c r="M378">
        <v>0.89629629629629604</v>
      </c>
      <c r="N378" t="s">
        <v>9</v>
      </c>
      <c r="O378">
        <v>-1.31113636363636</v>
      </c>
      <c r="P378" t="s">
        <v>10</v>
      </c>
      <c r="Q378">
        <v>0.31539992136992601</v>
      </c>
      <c r="R378" t="s">
        <v>11</v>
      </c>
      <c r="S378" t="s">
        <v>3403</v>
      </c>
      <c r="T378" t="s">
        <v>730</v>
      </c>
      <c r="U378">
        <v>0</v>
      </c>
      <c r="V378" t="s">
        <v>14</v>
      </c>
      <c r="W378" t="s">
        <v>15</v>
      </c>
      <c r="X378" t="s">
        <v>3404</v>
      </c>
      <c r="Y378" t="s">
        <v>3389</v>
      </c>
      <c r="Z378">
        <v>0</v>
      </c>
      <c r="AA378" t="s">
        <v>18</v>
      </c>
    </row>
    <row r="379" spans="1:27" x14ac:dyDescent="0.3">
      <c r="A379" t="s">
        <v>1221</v>
      </c>
      <c r="B379" t="s">
        <v>3274</v>
      </c>
      <c r="C379" t="s">
        <v>4085</v>
      </c>
      <c r="D379" t="s">
        <v>1224</v>
      </c>
      <c r="E379">
        <v>125</v>
      </c>
      <c r="F379" t="s">
        <v>5</v>
      </c>
      <c r="G379">
        <v>70</v>
      </c>
      <c r="H379" t="s">
        <v>6</v>
      </c>
      <c r="I379">
        <v>-42.779999999999902</v>
      </c>
      <c r="J379" t="s">
        <v>7</v>
      </c>
      <c r="K379">
        <v>-0.34223999999999899</v>
      </c>
      <c r="L379" t="s">
        <v>8</v>
      </c>
      <c r="M379">
        <v>0.86157142857142799</v>
      </c>
      <c r="N379" t="s">
        <v>9</v>
      </c>
      <c r="O379">
        <v>-1.87436363636363</v>
      </c>
      <c r="P379" t="s">
        <v>10</v>
      </c>
      <c r="Q379">
        <v>0.27501097570555999</v>
      </c>
      <c r="R379" t="s">
        <v>11</v>
      </c>
      <c r="S379" t="s">
        <v>108</v>
      </c>
      <c r="T379" t="s">
        <v>3296</v>
      </c>
      <c r="U379">
        <v>0</v>
      </c>
      <c r="V379" t="s">
        <v>14</v>
      </c>
      <c r="W379" t="s">
        <v>15</v>
      </c>
      <c r="X379" t="s">
        <v>108</v>
      </c>
      <c r="Y379" t="s">
        <v>3296</v>
      </c>
      <c r="Z379">
        <v>0</v>
      </c>
      <c r="AA379" t="s">
        <v>18</v>
      </c>
    </row>
    <row r="380" spans="1:27" x14ac:dyDescent="0.3">
      <c r="A380" t="s">
        <v>1221</v>
      </c>
      <c r="B380" t="s">
        <v>3275</v>
      </c>
      <c r="C380" t="s">
        <v>4086</v>
      </c>
      <c r="D380" t="s">
        <v>1224</v>
      </c>
      <c r="E380">
        <v>125</v>
      </c>
      <c r="F380" t="s">
        <v>5</v>
      </c>
      <c r="G380">
        <v>59</v>
      </c>
      <c r="H380" t="s">
        <v>6</v>
      </c>
      <c r="I380">
        <v>-42.899999999999899</v>
      </c>
      <c r="J380" t="s">
        <v>7</v>
      </c>
      <c r="K380">
        <v>-0.34319999999999901</v>
      </c>
      <c r="L380" t="s">
        <v>8</v>
      </c>
      <c r="M380">
        <v>1.4086440677966101</v>
      </c>
      <c r="N380" t="s">
        <v>9</v>
      </c>
      <c r="O380">
        <v>-1.90924242424242</v>
      </c>
      <c r="P380" t="s">
        <v>10</v>
      </c>
      <c r="Q380">
        <v>0.32937207448998401</v>
      </c>
      <c r="R380" t="s">
        <v>11</v>
      </c>
      <c r="S380" t="s">
        <v>3403</v>
      </c>
      <c r="T380" t="s">
        <v>730</v>
      </c>
      <c r="U380">
        <v>0</v>
      </c>
      <c r="V380" t="s">
        <v>14</v>
      </c>
      <c r="W380" t="s">
        <v>15</v>
      </c>
      <c r="X380" t="s">
        <v>3403</v>
      </c>
      <c r="Y380" t="s">
        <v>730</v>
      </c>
      <c r="Z380">
        <v>0</v>
      </c>
      <c r="AA380" t="s">
        <v>18</v>
      </c>
    </row>
    <row r="381" spans="1:27" x14ac:dyDescent="0.3">
      <c r="A381" t="s">
        <v>3292</v>
      </c>
      <c r="B381" t="s">
        <v>3287</v>
      </c>
      <c r="C381" t="s">
        <v>4087</v>
      </c>
      <c r="D381" t="s">
        <v>1224</v>
      </c>
      <c r="E381">
        <v>157</v>
      </c>
      <c r="F381" t="s">
        <v>5</v>
      </c>
      <c r="G381">
        <v>63</v>
      </c>
      <c r="H381" t="s">
        <v>6</v>
      </c>
      <c r="I381">
        <v>-42.9789195157189</v>
      </c>
      <c r="J381" t="s">
        <v>7</v>
      </c>
      <c r="K381">
        <v>-0.27375107971795398</v>
      </c>
      <c r="L381" t="s">
        <v>8</v>
      </c>
      <c r="M381">
        <v>1.6013695950564499</v>
      </c>
      <c r="N381" t="s">
        <v>9</v>
      </c>
      <c r="O381">
        <v>-1.5304808936625001</v>
      </c>
      <c r="P381" t="s">
        <v>10</v>
      </c>
      <c r="Q381">
        <v>0.38894287523590199</v>
      </c>
      <c r="R381" t="s">
        <v>11</v>
      </c>
      <c r="S381" t="s">
        <v>758</v>
      </c>
      <c r="T381" t="s">
        <v>3019</v>
      </c>
    </row>
    <row r="382" spans="1:27" x14ac:dyDescent="0.3">
      <c r="A382" t="s">
        <v>3292</v>
      </c>
      <c r="B382" t="s">
        <v>3271</v>
      </c>
      <c r="C382" t="s">
        <v>4088</v>
      </c>
      <c r="D382" t="s">
        <v>1224</v>
      </c>
      <c r="E382">
        <v>157</v>
      </c>
      <c r="F382" t="s">
        <v>5</v>
      </c>
      <c r="G382">
        <v>31</v>
      </c>
      <c r="H382" t="s">
        <v>6</v>
      </c>
      <c r="I382">
        <v>-42.9856024729295</v>
      </c>
      <c r="J382" t="s">
        <v>7</v>
      </c>
      <c r="K382">
        <v>-0.27379364632439201</v>
      </c>
      <c r="L382" t="s">
        <v>8</v>
      </c>
      <c r="M382">
        <v>5.4282197893647899</v>
      </c>
      <c r="N382" t="s">
        <v>9</v>
      </c>
      <c r="O382">
        <v>-1.67666996780347</v>
      </c>
      <c r="P382" t="s">
        <v>10</v>
      </c>
      <c r="Q382">
        <v>0.752778795021252</v>
      </c>
      <c r="R382" t="s">
        <v>11</v>
      </c>
      <c r="S382" t="s">
        <v>3440</v>
      </c>
      <c r="T382" t="s">
        <v>2013</v>
      </c>
      <c r="U382">
        <v>0</v>
      </c>
      <c r="V382" t="s">
        <v>14</v>
      </c>
      <c r="W382" t="s">
        <v>15</v>
      </c>
      <c r="X382" t="s">
        <v>3441</v>
      </c>
      <c r="Y382" t="s">
        <v>3442</v>
      </c>
      <c r="Z382">
        <v>0</v>
      </c>
      <c r="AA382" t="s">
        <v>18</v>
      </c>
    </row>
    <row r="383" spans="1:27" x14ac:dyDescent="0.3">
      <c r="A383" t="s">
        <v>1219</v>
      </c>
      <c r="B383" t="s">
        <v>3231</v>
      </c>
      <c r="C383" t="s">
        <v>4089</v>
      </c>
      <c r="D383" t="s">
        <v>1224</v>
      </c>
      <c r="E383">
        <v>178</v>
      </c>
      <c r="F383" t="s">
        <v>5</v>
      </c>
      <c r="G383">
        <v>72</v>
      </c>
      <c r="H383" t="s">
        <v>6</v>
      </c>
      <c r="I383">
        <v>-43.1099999999999</v>
      </c>
      <c r="J383" t="s">
        <v>7</v>
      </c>
      <c r="K383">
        <v>-0.24219101123595399</v>
      </c>
      <c r="L383" t="s">
        <v>8</v>
      </c>
      <c r="M383">
        <v>1.53708333333333</v>
      </c>
      <c r="N383" t="s">
        <v>9</v>
      </c>
      <c r="O383">
        <v>-1.4507547169811299</v>
      </c>
      <c r="P383" t="s">
        <v>10</v>
      </c>
      <c r="Q383">
        <v>0.73209863486960502</v>
      </c>
      <c r="R383" t="s">
        <v>11</v>
      </c>
      <c r="S383" t="s">
        <v>3415</v>
      </c>
      <c r="T383" t="s">
        <v>2071</v>
      </c>
      <c r="U383">
        <v>0</v>
      </c>
      <c r="V383" t="s">
        <v>14</v>
      </c>
      <c r="W383" t="s">
        <v>15</v>
      </c>
      <c r="X383" t="s">
        <v>3416</v>
      </c>
      <c r="Y383" t="s">
        <v>2071</v>
      </c>
      <c r="Z383">
        <v>0</v>
      </c>
      <c r="AA383" t="s">
        <v>18</v>
      </c>
    </row>
    <row r="384" spans="1:27" x14ac:dyDescent="0.3">
      <c r="A384" t="s">
        <v>1220</v>
      </c>
      <c r="B384" t="s">
        <v>3207</v>
      </c>
      <c r="C384" t="s">
        <v>4090</v>
      </c>
      <c r="D384" t="s">
        <v>1224</v>
      </c>
      <c r="E384">
        <v>135</v>
      </c>
      <c r="F384" t="s">
        <v>5</v>
      </c>
      <c r="G384">
        <v>50</v>
      </c>
      <c r="H384" t="s">
        <v>6</v>
      </c>
      <c r="I384">
        <v>-43.419999999999902</v>
      </c>
      <c r="J384" t="s">
        <v>7</v>
      </c>
      <c r="K384">
        <v>-0.32162962962962899</v>
      </c>
      <c r="L384" t="s">
        <v>8</v>
      </c>
      <c r="M384">
        <v>1.99219999999999</v>
      </c>
      <c r="N384" t="s">
        <v>9</v>
      </c>
      <c r="O384">
        <v>-1.6827058823529399</v>
      </c>
      <c r="P384" t="s">
        <v>10</v>
      </c>
      <c r="Q384">
        <v>0.54982666912639899</v>
      </c>
      <c r="R384" t="s">
        <v>11</v>
      </c>
      <c r="S384" t="s">
        <v>3505</v>
      </c>
      <c r="T384" t="s">
        <v>3506</v>
      </c>
      <c r="U384">
        <v>0</v>
      </c>
      <c r="V384" t="s">
        <v>14</v>
      </c>
      <c r="W384" t="s">
        <v>15</v>
      </c>
      <c r="X384" t="s">
        <v>3505</v>
      </c>
      <c r="Y384" t="s">
        <v>3506</v>
      </c>
      <c r="Z384">
        <v>0</v>
      </c>
      <c r="AA384" t="s">
        <v>18</v>
      </c>
    </row>
    <row r="385" spans="1:27" x14ac:dyDescent="0.3">
      <c r="A385" t="s">
        <v>1220</v>
      </c>
      <c r="B385" t="s">
        <v>3218</v>
      </c>
      <c r="C385" t="s">
        <v>4091</v>
      </c>
      <c r="D385" t="s">
        <v>1224</v>
      </c>
      <c r="E385">
        <v>139</v>
      </c>
      <c r="F385" t="s">
        <v>5</v>
      </c>
      <c r="G385">
        <v>45</v>
      </c>
      <c r="H385" t="s">
        <v>6</v>
      </c>
      <c r="I385">
        <v>-43.430926268267697</v>
      </c>
      <c r="J385" t="s">
        <v>7</v>
      </c>
      <c r="K385">
        <v>-0.31245270696595501</v>
      </c>
      <c r="L385" t="s">
        <v>8</v>
      </c>
      <c r="M385">
        <v>2.9130449342498501</v>
      </c>
      <c r="N385" t="s">
        <v>9</v>
      </c>
      <c r="O385">
        <v>-1.8565739181862799</v>
      </c>
      <c r="P385" t="s">
        <v>10</v>
      </c>
      <c r="Q385">
        <v>0.61627425077432896</v>
      </c>
      <c r="R385" t="s">
        <v>11</v>
      </c>
      <c r="S385" t="s">
        <v>2657</v>
      </c>
      <c r="T385" t="s">
        <v>3303</v>
      </c>
      <c r="U385">
        <v>0</v>
      </c>
      <c r="V385" t="s">
        <v>14</v>
      </c>
      <c r="W385" t="s">
        <v>15</v>
      </c>
      <c r="X385" t="s">
        <v>3507</v>
      </c>
      <c r="Y385" t="s">
        <v>2793</v>
      </c>
      <c r="Z385">
        <v>0</v>
      </c>
      <c r="AA385" t="s">
        <v>18</v>
      </c>
    </row>
    <row r="386" spans="1:27" x14ac:dyDescent="0.3">
      <c r="A386" t="s">
        <v>3292</v>
      </c>
      <c r="B386" t="s">
        <v>3269</v>
      </c>
      <c r="C386" t="s">
        <v>4092</v>
      </c>
      <c r="D386" t="s">
        <v>1224</v>
      </c>
      <c r="E386">
        <v>157</v>
      </c>
      <c r="F386" t="s">
        <v>5</v>
      </c>
      <c r="G386">
        <v>59</v>
      </c>
      <c r="H386" t="s">
        <v>6</v>
      </c>
      <c r="I386">
        <v>-43.464122787806602</v>
      </c>
      <c r="J386" t="s">
        <v>7</v>
      </c>
      <c r="K386">
        <v>-0.27684154641914999</v>
      </c>
      <c r="L386" t="s">
        <v>8</v>
      </c>
      <c r="M386">
        <v>2.0204850227414002</v>
      </c>
      <c r="N386" t="s">
        <v>9</v>
      </c>
      <c r="O386">
        <v>-1.6599259094851899</v>
      </c>
      <c r="P386" t="s">
        <v>10</v>
      </c>
      <c r="Q386">
        <v>0.48036368267434898</v>
      </c>
      <c r="R386" t="s">
        <v>11</v>
      </c>
      <c r="S386" t="s">
        <v>3489</v>
      </c>
      <c r="T386" t="s">
        <v>2055</v>
      </c>
      <c r="U386">
        <v>0</v>
      </c>
      <c r="V386" t="s">
        <v>14</v>
      </c>
      <c r="W386" t="s">
        <v>15</v>
      </c>
      <c r="X386" t="s">
        <v>3494</v>
      </c>
      <c r="Y386" t="s">
        <v>3495</v>
      </c>
      <c r="Z386">
        <v>0</v>
      </c>
      <c r="AA386" t="s">
        <v>18</v>
      </c>
    </row>
    <row r="387" spans="1:27" x14ac:dyDescent="0.3">
      <c r="A387" t="s">
        <v>1220</v>
      </c>
      <c r="B387" t="s">
        <v>3248</v>
      </c>
      <c r="C387" t="s">
        <v>4093</v>
      </c>
      <c r="D387" t="s">
        <v>1224</v>
      </c>
      <c r="E387">
        <v>140</v>
      </c>
      <c r="F387" t="s">
        <v>5</v>
      </c>
      <c r="G387">
        <v>43</v>
      </c>
      <c r="H387" t="s">
        <v>6</v>
      </c>
      <c r="I387">
        <v>-43.707207122110198</v>
      </c>
      <c r="J387" t="s">
        <v>7</v>
      </c>
      <c r="K387">
        <v>-0.31219433658650098</v>
      </c>
      <c r="L387" t="s">
        <v>8</v>
      </c>
      <c r="M387">
        <v>1.97959983436952</v>
      </c>
      <c r="N387" t="s">
        <v>9</v>
      </c>
      <c r="O387">
        <v>-1.3281443298969</v>
      </c>
      <c r="P387" t="s">
        <v>10</v>
      </c>
      <c r="Q387">
        <v>0.50036308694211196</v>
      </c>
      <c r="R387" t="s">
        <v>11</v>
      </c>
      <c r="S387" t="s">
        <v>3335</v>
      </c>
      <c r="T387" t="s">
        <v>2757</v>
      </c>
      <c r="U387">
        <v>0</v>
      </c>
      <c r="V387" t="s">
        <v>14</v>
      </c>
      <c r="W387" t="s">
        <v>15</v>
      </c>
      <c r="X387" t="s">
        <v>3516</v>
      </c>
      <c r="Y387" t="s">
        <v>3333</v>
      </c>
      <c r="Z387">
        <v>0</v>
      </c>
      <c r="AA387" t="s">
        <v>18</v>
      </c>
    </row>
    <row r="388" spans="1:27" x14ac:dyDescent="0.3">
      <c r="A388" t="s">
        <v>3293</v>
      </c>
      <c r="B388" t="s">
        <v>3273</v>
      </c>
      <c r="C388" t="s">
        <v>4094</v>
      </c>
      <c r="D388" t="s">
        <v>1224</v>
      </c>
      <c r="E388">
        <v>331</v>
      </c>
      <c r="F388" t="s">
        <v>5</v>
      </c>
      <c r="G388">
        <v>44</v>
      </c>
      <c r="H388" t="s">
        <v>6</v>
      </c>
      <c r="I388">
        <v>-43.804121891247497</v>
      </c>
      <c r="J388" t="s">
        <v>7</v>
      </c>
      <c r="K388">
        <v>-0.132338736831563</v>
      </c>
      <c r="L388" t="s">
        <v>8</v>
      </c>
      <c r="M388">
        <v>10.3110005056723</v>
      </c>
      <c r="N388" t="s">
        <v>9</v>
      </c>
      <c r="O388">
        <v>-1.7334081677380799</v>
      </c>
      <c r="P388" t="s">
        <v>10</v>
      </c>
      <c r="Q388">
        <v>1.7382563323532001</v>
      </c>
      <c r="R388" t="s">
        <v>11</v>
      </c>
      <c r="S388" t="s">
        <v>3679</v>
      </c>
      <c r="T388" t="s">
        <v>2587</v>
      </c>
      <c r="U388">
        <v>0</v>
      </c>
      <c r="V388" t="s">
        <v>14</v>
      </c>
      <c r="W388" t="s">
        <v>15</v>
      </c>
      <c r="X388" t="s">
        <v>3657</v>
      </c>
      <c r="Y388" t="s">
        <v>3658</v>
      </c>
      <c r="Z388">
        <v>0</v>
      </c>
      <c r="AA388" t="s">
        <v>18</v>
      </c>
    </row>
    <row r="389" spans="1:27" x14ac:dyDescent="0.3">
      <c r="A389" t="s">
        <v>1223</v>
      </c>
      <c r="B389" t="s">
        <v>3235</v>
      </c>
      <c r="C389" t="s">
        <v>4095</v>
      </c>
      <c r="D389" t="s">
        <v>1224</v>
      </c>
      <c r="E389">
        <v>370</v>
      </c>
      <c r="F389" t="s">
        <v>5</v>
      </c>
      <c r="G389">
        <v>163</v>
      </c>
      <c r="H389" t="s">
        <v>6</v>
      </c>
      <c r="I389">
        <v>-44.038262596047403</v>
      </c>
      <c r="J389" t="s">
        <v>7</v>
      </c>
      <c r="K389">
        <v>-0.119022331340668</v>
      </c>
      <c r="L389" t="s">
        <v>8</v>
      </c>
      <c r="M389">
        <v>1.85588858572198</v>
      </c>
      <c r="N389" t="s">
        <v>9</v>
      </c>
      <c r="O389">
        <v>-1.67414542062188</v>
      </c>
      <c r="P389" t="s">
        <v>10</v>
      </c>
      <c r="Q389">
        <v>0.97526600084866699</v>
      </c>
      <c r="R389" t="s">
        <v>11</v>
      </c>
      <c r="S389" t="s">
        <v>235</v>
      </c>
      <c r="T389" t="s">
        <v>77</v>
      </c>
      <c r="U389">
        <v>0</v>
      </c>
      <c r="V389" t="s">
        <v>14</v>
      </c>
      <c r="W389" t="s">
        <v>15</v>
      </c>
      <c r="X389" t="s">
        <v>3633</v>
      </c>
      <c r="Y389" t="s">
        <v>3303</v>
      </c>
      <c r="Z389">
        <v>0</v>
      </c>
      <c r="AA389" t="s">
        <v>18</v>
      </c>
    </row>
    <row r="390" spans="1:27" x14ac:dyDescent="0.3">
      <c r="A390" t="s">
        <v>1223</v>
      </c>
      <c r="B390" t="s">
        <v>3254</v>
      </c>
      <c r="C390" t="s">
        <v>4096</v>
      </c>
      <c r="D390" t="s">
        <v>1224</v>
      </c>
      <c r="E390">
        <v>370</v>
      </c>
      <c r="F390" t="s">
        <v>5</v>
      </c>
      <c r="G390">
        <v>146</v>
      </c>
      <c r="H390" t="s">
        <v>6</v>
      </c>
      <c r="I390">
        <v>-44.039468239786302</v>
      </c>
      <c r="J390" t="s">
        <v>7</v>
      </c>
      <c r="K390">
        <v>-0.11902558983726</v>
      </c>
      <c r="L390" t="s">
        <v>8</v>
      </c>
      <c r="M390">
        <v>1.5395862044669</v>
      </c>
      <c r="N390" t="s">
        <v>9</v>
      </c>
      <c r="O390">
        <v>-1.20546661027782</v>
      </c>
      <c r="P390" t="s">
        <v>10</v>
      </c>
      <c r="Q390">
        <v>0.96116487330622302</v>
      </c>
      <c r="R390" t="s">
        <v>11</v>
      </c>
      <c r="S390" t="s">
        <v>2657</v>
      </c>
      <c r="T390" t="s">
        <v>3303</v>
      </c>
      <c r="U390">
        <v>0</v>
      </c>
      <c r="V390" t="s">
        <v>14</v>
      </c>
      <c r="W390" t="s">
        <v>15</v>
      </c>
      <c r="X390" t="s">
        <v>2812</v>
      </c>
      <c r="Y390" t="s">
        <v>3303</v>
      </c>
      <c r="Z390">
        <v>0</v>
      </c>
      <c r="AA390" t="s">
        <v>18</v>
      </c>
    </row>
    <row r="391" spans="1:27" x14ac:dyDescent="0.3">
      <c r="A391" t="s">
        <v>1219</v>
      </c>
      <c r="B391" t="s">
        <v>3221</v>
      </c>
      <c r="C391" t="s">
        <v>4097</v>
      </c>
      <c r="D391" t="s">
        <v>1224</v>
      </c>
      <c r="E391">
        <v>169</v>
      </c>
      <c r="F391" t="s">
        <v>5</v>
      </c>
      <c r="G391">
        <v>86</v>
      </c>
      <c r="H391" t="s">
        <v>6</v>
      </c>
      <c r="I391">
        <v>-44.0399999999999</v>
      </c>
      <c r="J391" t="s">
        <v>7</v>
      </c>
      <c r="K391">
        <v>-0.26059171597633102</v>
      </c>
      <c r="L391" t="s">
        <v>8</v>
      </c>
      <c r="M391">
        <v>0.749999999999999</v>
      </c>
      <c r="N391" t="s">
        <v>9</v>
      </c>
      <c r="O391">
        <v>-1.3077108433734901</v>
      </c>
      <c r="P391" t="s">
        <v>10</v>
      </c>
      <c r="Q391">
        <v>0.28212916124925502</v>
      </c>
      <c r="R391" t="s">
        <v>11</v>
      </c>
      <c r="S391" t="s">
        <v>3403</v>
      </c>
      <c r="T391" t="s">
        <v>730</v>
      </c>
      <c r="U391">
        <v>0</v>
      </c>
      <c r="V391" t="s">
        <v>14</v>
      </c>
      <c r="W391" t="s">
        <v>15</v>
      </c>
      <c r="X391" t="s">
        <v>3404</v>
      </c>
      <c r="Y391" t="s">
        <v>3389</v>
      </c>
      <c r="Z391">
        <v>0</v>
      </c>
      <c r="AA391" t="s">
        <v>18</v>
      </c>
    </row>
    <row r="392" spans="1:27" x14ac:dyDescent="0.3">
      <c r="A392" t="s">
        <v>3293</v>
      </c>
      <c r="B392" t="s">
        <v>3205</v>
      </c>
      <c r="C392" t="s">
        <v>4098</v>
      </c>
      <c r="D392" t="s">
        <v>1224</v>
      </c>
      <c r="E392">
        <v>334</v>
      </c>
      <c r="F392" t="s">
        <v>5</v>
      </c>
      <c r="G392">
        <v>164</v>
      </c>
      <c r="H392" t="s">
        <v>6</v>
      </c>
      <c r="I392">
        <v>-44.049999999999798</v>
      </c>
      <c r="J392" t="s">
        <v>7</v>
      </c>
      <c r="K392">
        <v>-0.131886227544909</v>
      </c>
      <c r="L392" t="s">
        <v>8</v>
      </c>
      <c r="M392">
        <v>1.46749999999999</v>
      </c>
      <c r="N392" t="s">
        <v>9</v>
      </c>
      <c r="O392">
        <v>-1.6748235294117599</v>
      </c>
      <c r="P392" t="s">
        <v>10</v>
      </c>
      <c r="Q392">
        <v>0.87179352739224902</v>
      </c>
      <c r="R392" t="s">
        <v>11</v>
      </c>
      <c r="S392" t="s">
        <v>3668</v>
      </c>
      <c r="T392" t="s">
        <v>154</v>
      </c>
      <c r="U392">
        <v>0</v>
      </c>
      <c r="V392" t="s">
        <v>14</v>
      </c>
      <c r="W392" t="s">
        <v>15</v>
      </c>
      <c r="X392" t="s">
        <v>3669</v>
      </c>
      <c r="Y392" t="s">
        <v>832</v>
      </c>
      <c r="Z392">
        <v>0</v>
      </c>
      <c r="AA392" t="s">
        <v>18</v>
      </c>
    </row>
    <row r="393" spans="1:27" x14ac:dyDescent="0.3">
      <c r="A393" t="s">
        <v>1219</v>
      </c>
      <c r="B393" t="s">
        <v>3290</v>
      </c>
      <c r="C393" t="s">
        <v>4099</v>
      </c>
      <c r="D393" t="s">
        <v>1224</v>
      </c>
      <c r="E393">
        <v>167</v>
      </c>
      <c r="F393" t="s">
        <v>5</v>
      </c>
      <c r="G393">
        <v>33</v>
      </c>
      <c r="H393" t="s">
        <v>6</v>
      </c>
      <c r="I393">
        <v>-44.181693486513197</v>
      </c>
      <c r="J393" t="s">
        <v>7</v>
      </c>
      <c r="K393">
        <v>-0.26456103884139598</v>
      </c>
      <c r="L393" t="s">
        <v>8</v>
      </c>
      <c r="M393">
        <v>5.2459796528362004</v>
      </c>
      <c r="N393" t="s">
        <v>9</v>
      </c>
      <c r="O393">
        <v>-1.6216344927619899</v>
      </c>
      <c r="P393" t="s">
        <v>10</v>
      </c>
      <c r="Q393">
        <v>0.87894831708215404</v>
      </c>
      <c r="R393" t="s">
        <v>11</v>
      </c>
      <c r="S393" t="s">
        <v>3465</v>
      </c>
      <c r="T393" t="s">
        <v>2640</v>
      </c>
      <c r="U393">
        <v>0</v>
      </c>
      <c r="V393" t="s">
        <v>14</v>
      </c>
      <c r="W393" t="s">
        <v>15</v>
      </c>
      <c r="X393" t="s">
        <v>3466</v>
      </c>
      <c r="Y393" t="s">
        <v>3398</v>
      </c>
      <c r="Z393">
        <v>0</v>
      </c>
      <c r="AA393" t="s">
        <v>18</v>
      </c>
    </row>
    <row r="394" spans="1:27" x14ac:dyDescent="0.3">
      <c r="A394" t="s">
        <v>1221</v>
      </c>
      <c r="B394" t="s">
        <v>3257</v>
      </c>
      <c r="C394" t="s">
        <v>4100</v>
      </c>
      <c r="D394" t="s">
        <v>1224</v>
      </c>
      <c r="E394">
        <v>125</v>
      </c>
      <c r="F394" t="s">
        <v>5</v>
      </c>
      <c r="G394">
        <v>52</v>
      </c>
      <c r="H394" t="s">
        <v>6</v>
      </c>
      <c r="I394">
        <v>-44.769999999999897</v>
      </c>
      <c r="J394" t="s">
        <v>7</v>
      </c>
      <c r="K394">
        <v>-0.35815999999999898</v>
      </c>
      <c r="L394" t="s">
        <v>8</v>
      </c>
      <c r="M394">
        <v>1.2486538461538399</v>
      </c>
      <c r="N394" t="s">
        <v>9</v>
      </c>
      <c r="O394">
        <v>-1.50273972602739</v>
      </c>
      <c r="P394" t="s">
        <v>10</v>
      </c>
      <c r="Q394">
        <v>0.30565833425050598</v>
      </c>
      <c r="R394" t="s">
        <v>11</v>
      </c>
      <c r="S394" t="s">
        <v>3523</v>
      </c>
      <c r="T394" t="s">
        <v>730</v>
      </c>
      <c r="U394">
        <v>0</v>
      </c>
      <c r="V394" t="s">
        <v>14</v>
      </c>
      <c r="W394" t="s">
        <v>15</v>
      </c>
      <c r="X394" t="s">
        <v>3523</v>
      </c>
      <c r="Y394" t="s">
        <v>730</v>
      </c>
      <c r="Z394">
        <v>0</v>
      </c>
      <c r="AA394" t="s">
        <v>18</v>
      </c>
    </row>
    <row r="395" spans="1:27" x14ac:dyDescent="0.3">
      <c r="A395" t="s">
        <v>1222</v>
      </c>
      <c r="B395" t="s">
        <v>3273</v>
      </c>
      <c r="C395" t="s">
        <v>4101</v>
      </c>
      <c r="D395" t="s">
        <v>1224</v>
      </c>
      <c r="E395">
        <v>127</v>
      </c>
      <c r="F395" t="s">
        <v>5</v>
      </c>
      <c r="G395">
        <v>14</v>
      </c>
      <c r="H395" t="s">
        <v>6</v>
      </c>
      <c r="I395">
        <v>-44.978189939503999</v>
      </c>
      <c r="J395" t="s">
        <v>7</v>
      </c>
      <c r="K395">
        <v>-0.354158975901606</v>
      </c>
      <c r="L395" t="s">
        <v>8</v>
      </c>
      <c r="M395">
        <v>10.6444404923147</v>
      </c>
      <c r="N395" t="s">
        <v>9</v>
      </c>
      <c r="O395">
        <v>-1.7168173170965499</v>
      </c>
      <c r="P395" t="s">
        <v>10</v>
      </c>
      <c r="Q395">
        <v>0.83296171054753398</v>
      </c>
      <c r="R395" t="s">
        <v>11</v>
      </c>
      <c r="S395" t="s">
        <v>2664</v>
      </c>
      <c r="T395" t="s">
        <v>2793</v>
      </c>
      <c r="U395">
        <v>0</v>
      </c>
      <c r="V395" t="s">
        <v>14</v>
      </c>
      <c r="W395" t="s">
        <v>15</v>
      </c>
      <c r="X395" t="s">
        <v>3595</v>
      </c>
      <c r="Y395" t="s">
        <v>2783</v>
      </c>
      <c r="Z395">
        <v>0</v>
      </c>
      <c r="AA395" t="s">
        <v>18</v>
      </c>
    </row>
    <row r="396" spans="1:27" x14ac:dyDescent="0.3">
      <c r="A396" t="s">
        <v>1220</v>
      </c>
      <c r="B396" t="s">
        <v>3249</v>
      </c>
      <c r="C396" t="s">
        <v>4102</v>
      </c>
      <c r="D396" t="s">
        <v>1224</v>
      </c>
      <c r="E396">
        <v>140</v>
      </c>
      <c r="F396" t="s">
        <v>5</v>
      </c>
      <c r="G396">
        <v>42</v>
      </c>
      <c r="H396" t="s">
        <v>6</v>
      </c>
      <c r="I396">
        <v>-45.187207122110202</v>
      </c>
      <c r="J396" t="s">
        <v>7</v>
      </c>
      <c r="K396">
        <v>-0.32276576515792998</v>
      </c>
      <c r="L396" t="s">
        <v>8</v>
      </c>
      <c r="M396">
        <v>2.0886379256640399</v>
      </c>
      <c r="N396" t="s">
        <v>9</v>
      </c>
      <c r="O396">
        <v>-1.3562244897959099</v>
      </c>
      <c r="P396" t="s">
        <v>10</v>
      </c>
      <c r="Q396">
        <v>0.57150546057905505</v>
      </c>
      <c r="R396" t="s">
        <v>11</v>
      </c>
      <c r="S396" t="s">
        <v>3517</v>
      </c>
      <c r="T396" t="s">
        <v>1232</v>
      </c>
      <c r="U396">
        <v>0</v>
      </c>
      <c r="V396" t="s">
        <v>14</v>
      </c>
      <c r="W396" t="s">
        <v>15</v>
      </c>
      <c r="X396" t="s">
        <v>3517</v>
      </c>
      <c r="Y396" t="s">
        <v>1232</v>
      </c>
      <c r="Z396">
        <v>0</v>
      </c>
      <c r="AA396" t="s">
        <v>18</v>
      </c>
    </row>
    <row r="397" spans="1:27" x14ac:dyDescent="0.3">
      <c r="A397" t="s">
        <v>1220</v>
      </c>
      <c r="B397" t="s">
        <v>3257</v>
      </c>
      <c r="C397" t="s">
        <v>4103</v>
      </c>
      <c r="D397" t="s">
        <v>1224</v>
      </c>
      <c r="E397">
        <v>135</v>
      </c>
      <c r="F397" t="s">
        <v>5</v>
      </c>
      <c r="G397">
        <v>56</v>
      </c>
      <c r="H397" t="s">
        <v>6</v>
      </c>
      <c r="I397">
        <v>-45.339999999999897</v>
      </c>
      <c r="J397" t="s">
        <v>7</v>
      </c>
      <c r="K397">
        <v>-0.33585185185185101</v>
      </c>
      <c r="L397" t="s">
        <v>8</v>
      </c>
      <c r="M397">
        <v>1.3460714285714199</v>
      </c>
      <c r="N397" t="s">
        <v>9</v>
      </c>
      <c r="O397">
        <v>-1.5281012658227799</v>
      </c>
      <c r="P397" t="s">
        <v>10</v>
      </c>
      <c r="Q397">
        <v>0.35026553077089401</v>
      </c>
      <c r="R397" t="s">
        <v>11</v>
      </c>
      <c r="S397" t="s">
        <v>3523</v>
      </c>
      <c r="T397" t="s">
        <v>730</v>
      </c>
      <c r="U397">
        <v>0</v>
      </c>
      <c r="V397" t="s">
        <v>14</v>
      </c>
      <c r="W397" t="s">
        <v>15</v>
      </c>
      <c r="X397" t="s">
        <v>3523</v>
      </c>
      <c r="Y397" t="s">
        <v>730</v>
      </c>
      <c r="Z397">
        <v>0</v>
      </c>
      <c r="AA397" t="s">
        <v>18</v>
      </c>
    </row>
    <row r="398" spans="1:27" x14ac:dyDescent="0.3">
      <c r="A398" t="s">
        <v>3293</v>
      </c>
      <c r="B398" t="s">
        <v>3217</v>
      </c>
      <c r="C398" t="s">
        <v>4104</v>
      </c>
      <c r="D398" t="s">
        <v>1224</v>
      </c>
      <c r="E398">
        <v>331</v>
      </c>
      <c r="F398" t="s">
        <v>5</v>
      </c>
      <c r="G398">
        <v>132</v>
      </c>
      <c r="H398" t="s">
        <v>6</v>
      </c>
      <c r="I398">
        <v>-45.831138149474</v>
      </c>
      <c r="J398" t="s">
        <v>7</v>
      </c>
      <c r="K398">
        <v>-0.13846265301955901</v>
      </c>
      <c r="L398" t="s">
        <v>8</v>
      </c>
      <c r="M398">
        <v>2.4378178392210899</v>
      </c>
      <c r="N398" t="s">
        <v>9</v>
      </c>
      <c r="O398">
        <v>-1.8473522257621</v>
      </c>
      <c r="P398" t="s">
        <v>10</v>
      </c>
      <c r="Q398">
        <v>0.97708719316281301</v>
      </c>
      <c r="R398" t="s">
        <v>11</v>
      </c>
      <c r="S398" t="s">
        <v>2657</v>
      </c>
      <c r="T398" t="s">
        <v>3303</v>
      </c>
      <c r="U398">
        <v>0</v>
      </c>
      <c r="V398" t="s">
        <v>14</v>
      </c>
      <c r="W398" t="s">
        <v>15</v>
      </c>
      <c r="X398" t="s">
        <v>3619</v>
      </c>
      <c r="Y398" t="s">
        <v>3333</v>
      </c>
      <c r="Z398">
        <v>0</v>
      </c>
      <c r="AA398" t="s">
        <v>18</v>
      </c>
    </row>
    <row r="399" spans="1:27" x14ac:dyDescent="0.3">
      <c r="A399" t="s">
        <v>3293</v>
      </c>
      <c r="B399" t="s">
        <v>3235</v>
      </c>
      <c r="C399" t="s">
        <v>4105</v>
      </c>
      <c r="D399" t="s">
        <v>1224</v>
      </c>
      <c r="E399">
        <v>331</v>
      </c>
      <c r="F399" t="s">
        <v>5</v>
      </c>
      <c r="G399">
        <v>150</v>
      </c>
      <c r="H399" t="s">
        <v>6</v>
      </c>
      <c r="I399">
        <v>-45.835372463651296</v>
      </c>
      <c r="J399" t="s">
        <v>7</v>
      </c>
      <c r="K399">
        <v>-0.13847544550952001</v>
      </c>
      <c r="L399" t="s">
        <v>8</v>
      </c>
      <c r="M399">
        <v>1.6863158205492299</v>
      </c>
      <c r="N399" t="s">
        <v>9</v>
      </c>
      <c r="O399">
        <v>-1.65073340080683</v>
      </c>
      <c r="P399" t="s">
        <v>10</v>
      </c>
      <c r="Q399">
        <v>0.89829789190528797</v>
      </c>
      <c r="R399" t="s">
        <v>11</v>
      </c>
      <c r="S399" t="s">
        <v>3672</v>
      </c>
      <c r="T399" t="s">
        <v>3303</v>
      </c>
      <c r="U399">
        <v>0</v>
      </c>
      <c r="V399" t="s">
        <v>14</v>
      </c>
      <c r="W399" t="s">
        <v>15</v>
      </c>
      <c r="X399" t="s">
        <v>3633</v>
      </c>
      <c r="Y399" t="s">
        <v>3303</v>
      </c>
      <c r="Z399">
        <v>0</v>
      </c>
      <c r="AA399" t="s">
        <v>18</v>
      </c>
    </row>
    <row r="400" spans="1:27" x14ac:dyDescent="0.3">
      <c r="A400" t="s">
        <v>1220</v>
      </c>
      <c r="B400" t="s">
        <v>3213</v>
      </c>
      <c r="C400" t="s">
        <v>4106</v>
      </c>
      <c r="D400" t="s">
        <v>1224</v>
      </c>
      <c r="E400">
        <v>140</v>
      </c>
      <c r="F400" t="s">
        <v>5</v>
      </c>
      <c r="G400">
        <v>42</v>
      </c>
      <c r="H400" t="s">
        <v>6</v>
      </c>
      <c r="I400">
        <v>-45.97</v>
      </c>
      <c r="J400" t="s">
        <v>7</v>
      </c>
      <c r="K400">
        <v>-0.32835714285714201</v>
      </c>
      <c r="L400" t="s">
        <v>8</v>
      </c>
      <c r="M400">
        <v>3.0540476190476098</v>
      </c>
      <c r="N400" t="s">
        <v>9</v>
      </c>
      <c r="O400">
        <v>-1.7779591836734701</v>
      </c>
      <c r="P400" t="s">
        <v>10</v>
      </c>
      <c r="Q400">
        <v>0.68219901236384795</v>
      </c>
      <c r="R400" t="s">
        <v>11</v>
      </c>
      <c r="S400" t="s">
        <v>2657</v>
      </c>
      <c r="T400" t="s">
        <v>3303</v>
      </c>
      <c r="U400">
        <v>0</v>
      </c>
      <c r="V400" t="s">
        <v>14</v>
      </c>
      <c r="W400" t="s">
        <v>15</v>
      </c>
      <c r="X400" t="s">
        <v>2657</v>
      </c>
      <c r="Y400" t="s">
        <v>3303</v>
      </c>
      <c r="Z400">
        <v>0</v>
      </c>
      <c r="AA400" t="s">
        <v>18</v>
      </c>
    </row>
    <row r="401" spans="1:27" x14ac:dyDescent="0.3">
      <c r="A401" t="s">
        <v>1219</v>
      </c>
      <c r="B401" t="s">
        <v>3281</v>
      </c>
      <c r="C401" t="s">
        <v>4107</v>
      </c>
      <c r="D401" t="s">
        <v>1224</v>
      </c>
      <c r="E401">
        <v>178</v>
      </c>
      <c r="F401" t="s">
        <v>5</v>
      </c>
      <c r="G401">
        <v>81</v>
      </c>
      <c r="H401" t="s">
        <v>6</v>
      </c>
      <c r="I401">
        <v>-45.999999999999901</v>
      </c>
      <c r="J401" t="s">
        <v>7</v>
      </c>
      <c r="K401">
        <v>-0.25842696629213402</v>
      </c>
      <c r="L401" t="s">
        <v>8</v>
      </c>
      <c r="M401">
        <v>1.42827160493827</v>
      </c>
      <c r="N401" t="s">
        <v>9</v>
      </c>
      <c r="O401">
        <v>-1.66690721649484</v>
      </c>
      <c r="P401" t="s">
        <v>10</v>
      </c>
      <c r="Q401">
        <v>0.49272825868714598</v>
      </c>
      <c r="R401" t="s">
        <v>11</v>
      </c>
      <c r="S401" t="s">
        <v>758</v>
      </c>
      <c r="T401" t="s">
        <v>2280</v>
      </c>
      <c r="U401">
        <v>0</v>
      </c>
      <c r="V401" t="s">
        <v>14</v>
      </c>
      <c r="W401" t="s">
        <v>15</v>
      </c>
      <c r="X401" t="s">
        <v>3457</v>
      </c>
      <c r="Y401" t="s">
        <v>3449</v>
      </c>
      <c r="Z401">
        <v>0</v>
      </c>
      <c r="AA401" t="s">
        <v>18</v>
      </c>
    </row>
    <row r="402" spans="1:27" x14ac:dyDescent="0.3">
      <c r="A402" t="s">
        <v>1222</v>
      </c>
      <c r="B402" t="s">
        <v>3241</v>
      </c>
      <c r="C402" t="s">
        <v>4108</v>
      </c>
      <c r="D402" t="s">
        <v>1224</v>
      </c>
      <c r="E402">
        <v>136</v>
      </c>
      <c r="F402" t="s">
        <v>5</v>
      </c>
      <c r="G402">
        <v>57</v>
      </c>
      <c r="H402" t="s">
        <v>6</v>
      </c>
      <c r="I402">
        <v>-46.01</v>
      </c>
      <c r="J402" t="s">
        <v>7</v>
      </c>
      <c r="K402">
        <v>-0.338308823529411</v>
      </c>
      <c r="L402" t="s">
        <v>8</v>
      </c>
      <c r="M402">
        <v>0.85210526315789403</v>
      </c>
      <c r="N402" t="s">
        <v>9</v>
      </c>
      <c r="O402">
        <v>-1.19721518987341</v>
      </c>
      <c r="P402" t="s">
        <v>10</v>
      </c>
      <c r="Q402">
        <v>0.31726840868571299</v>
      </c>
      <c r="R402" t="s">
        <v>11</v>
      </c>
      <c r="S402" t="s">
        <v>3326</v>
      </c>
      <c r="T402" t="s">
        <v>21</v>
      </c>
      <c r="U402">
        <v>0</v>
      </c>
      <c r="V402" t="s">
        <v>14</v>
      </c>
      <c r="W402" t="s">
        <v>15</v>
      </c>
      <c r="X402" t="s">
        <v>3576</v>
      </c>
      <c r="Y402" t="s">
        <v>21</v>
      </c>
      <c r="Z402">
        <v>0</v>
      </c>
      <c r="AA402" t="s">
        <v>18</v>
      </c>
    </row>
    <row r="403" spans="1:27" x14ac:dyDescent="0.3">
      <c r="A403" t="s">
        <v>3293</v>
      </c>
      <c r="B403" t="s">
        <v>3232</v>
      </c>
      <c r="C403" t="s">
        <v>4109</v>
      </c>
      <c r="D403" t="s">
        <v>1224</v>
      </c>
      <c r="E403">
        <v>331</v>
      </c>
      <c r="F403" t="s">
        <v>5</v>
      </c>
      <c r="G403">
        <v>195</v>
      </c>
      <c r="H403" t="s">
        <v>6</v>
      </c>
      <c r="I403">
        <v>-46.024196318741602</v>
      </c>
      <c r="J403" t="s">
        <v>7</v>
      </c>
      <c r="K403">
        <v>-0.13904591032852401</v>
      </c>
      <c r="L403" t="s">
        <v>8</v>
      </c>
      <c r="M403">
        <v>0.81824006835563201</v>
      </c>
      <c r="N403" t="s">
        <v>9</v>
      </c>
      <c r="O403">
        <v>-1.51162507094183</v>
      </c>
      <c r="P403" t="s">
        <v>10</v>
      </c>
      <c r="Q403">
        <v>0.503134832878114</v>
      </c>
      <c r="R403" t="s">
        <v>11</v>
      </c>
      <c r="S403" t="s">
        <v>3628</v>
      </c>
      <c r="T403" t="s">
        <v>3629</v>
      </c>
      <c r="U403">
        <v>0</v>
      </c>
      <c r="V403" t="s">
        <v>14</v>
      </c>
      <c r="W403" t="s">
        <v>15</v>
      </c>
      <c r="X403" t="s">
        <v>3428</v>
      </c>
      <c r="Y403" t="s">
        <v>3296</v>
      </c>
      <c r="Z403">
        <v>0</v>
      </c>
      <c r="AA403" t="s">
        <v>18</v>
      </c>
    </row>
    <row r="404" spans="1:27" x14ac:dyDescent="0.3">
      <c r="A404" t="s">
        <v>1223</v>
      </c>
      <c r="B404" t="s">
        <v>3223</v>
      </c>
      <c r="C404" t="s">
        <v>4110</v>
      </c>
      <c r="D404" t="s">
        <v>1224</v>
      </c>
      <c r="E404">
        <v>375</v>
      </c>
      <c r="F404" t="s">
        <v>5</v>
      </c>
      <c r="G404">
        <v>173</v>
      </c>
      <c r="H404" t="s">
        <v>6</v>
      </c>
      <c r="I404">
        <v>-46.282146302788199</v>
      </c>
      <c r="J404" t="s">
        <v>7</v>
      </c>
      <c r="K404">
        <v>-0.12341905680743499</v>
      </c>
      <c r="L404" t="s">
        <v>8</v>
      </c>
      <c r="M404">
        <v>1.31097025258503</v>
      </c>
      <c r="N404" t="s">
        <v>9</v>
      </c>
      <c r="O404">
        <v>-1.35188118811881</v>
      </c>
      <c r="P404" t="s">
        <v>10</v>
      </c>
      <c r="Q404">
        <v>0.98198185383078596</v>
      </c>
      <c r="R404" t="s">
        <v>11</v>
      </c>
      <c r="S404" t="s">
        <v>3623</v>
      </c>
      <c r="T404" t="s">
        <v>21</v>
      </c>
      <c r="U404">
        <v>0</v>
      </c>
      <c r="V404" t="s">
        <v>14</v>
      </c>
      <c r="W404" t="s">
        <v>15</v>
      </c>
      <c r="X404" t="s">
        <v>3625</v>
      </c>
      <c r="Y404" t="s">
        <v>832</v>
      </c>
      <c r="Z404">
        <v>0</v>
      </c>
      <c r="AA404" t="s">
        <v>18</v>
      </c>
    </row>
    <row r="405" spans="1:27" x14ac:dyDescent="0.3">
      <c r="A405" t="s">
        <v>1223</v>
      </c>
      <c r="B405" t="s">
        <v>3286</v>
      </c>
      <c r="C405" t="s">
        <v>4111</v>
      </c>
      <c r="D405" t="s">
        <v>1224</v>
      </c>
      <c r="E405">
        <v>370</v>
      </c>
      <c r="F405" t="s">
        <v>5</v>
      </c>
      <c r="G405">
        <v>199</v>
      </c>
      <c r="H405" t="s">
        <v>6</v>
      </c>
      <c r="I405">
        <v>-46.357469937195397</v>
      </c>
      <c r="J405" t="s">
        <v>7</v>
      </c>
      <c r="K405">
        <v>-0.12529045928971699</v>
      </c>
      <c r="L405" t="s">
        <v>8</v>
      </c>
      <c r="M405">
        <v>1.2966543739254299</v>
      </c>
      <c r="N405" t="s">
        <v>9</v>
      </c>
      <c r="O405">
        <v>-1.78006836461027</v>
      </c>
      <c r="P405" t="s">
        <v>10</v>
      </c>
      <c r="Q405">
        <v>0.72493571030411696</v>
      </c>
      <c r="R405" t="s">
        <v>11</v>
      </c>
      <c r="S405" t="s">
        <v>3379</v>
      </c>
      <c r="T405" t="s">
        <v>2198</v>
      </c>
      <c r="U405">
        <v>0</v>
      </c>
      <c r="V405" t="s">
        <v>14</v>
      </c>
      <c r="W405" t="s">
        <v>15</v>
      </c>
      <c r="X405" t="s">
        <v>3379</v>
      </c>
      <c r="Y405" t="s">
        <v>2198</v>
      </c>
      <c r="Z405">
        <v>0</v>
      </c>
      <c r="AA405" t="s">
        <v>18</v>
      </c>
    </row>
    <row r="406" spans="1:27" x14ac:dyDescent="0.3">
      <c r="A406" t="s">
        <v>1220</v>
      </c>
      <c r="B406" t="s">
        <v>3254</v>
      </c>
      <c r="C406" t="s">
        <v>4112</v>
      </c>
      <c r="D406" t="s">
        <v>1224</v>
      </c>
      <c r="E406">
        <v>139</v>
      </c>
      <c r="F406" t="s">
        <v>5</v>
      </c>
      <c r="G406">
        <v>42</v>
      </c>
      <c r="H406" t="s">
        <v>6</v>
      </c>
      <c r="I406">
        <v>-46.437018133271202</v>
      </c>
      <c r="J406" t="s">
        <v>7</v>
      </c>
      <c r="K406">
        <v>-0.33407926714583602</v>
      </c>
      <c r="L406" t="s">
        <v>8</v>
      </c>
      <c r="M406">
        <v>1.6953434273566601</v>
      </c>
      <c r="N406" t="s">
        <v>9</v>
      </c>
      <c r="O406">
        <v>-1.22543168835678</v>
      </c>
      <c r="P406" t="s">
        <v>10</v>
      </c>
      <c r="Q406">
        <v>0.440949829394649</v>
      </c>
      <c r="R406" t="s">
        <v>11</v>
      </c>
      <c r="S406" t="s">
        <v>3521</v>
      </c>
      <c r="T406" t="s">
        <v>2734</v>
      </c>
      <c r="U406">
        <v>0</v>
      </c>
      <c r="V406" t="s">
        <v>14</v>
      </c>
      <c r="W406" t="s">
        <v>15</v>
      </c>
      <c r="X406" t="s">
        <v>676</v>
      </c>
      <c r="Y406" t="s">
        <v>2793</v>
      </c>
      <c r="Z406">
        <v>0</v>
      </c>
      <c r="AA406" t="s">
        <v>18</v>
      </c>
    </row>
    <row r="407" spans="1:27" x14ac:dyDescent="0.3">
      <c r="A407" t="s">
        <v>1219</v>
      </c>
      <c r="B407" t="s">
        <v>3213</v>
      </c>
      <c r="C407" t="s">
        <v>4113</v>
      </c>
      <c r="D407" t="s">
        <v>1224</v>
      </c>
      <c r="E407">
        <v>178</v>
      </c>
      <c r="F407" t="s">
        <v>5</v>
      </c>
      <c r="G407">
        <v>75</v>
      </c>
      <c r="H407" t="s">
        <v>6</v>
      </c>
      <c r="I407">
        <v>-46.47</v>
      </c>
      <c r="J407" t="s">
        <v>7</v>
      </c>
      <c r="K407">
        <v>-0.26106741573033698</v>
      </c>
      <c r="L407" t="s">
        <v>8</v>
      </c>
      <c r="M407">
        <v>1.91693333333333</v>
      </c>
      <c r="N407" t="s">
        <v>9</v>
      </c>
      <c r="O407">
        <v>-1.8469902912621301</v>
      </c>
      <c r="P407" t="s">
        <v>10</v>
      </c>
      <c r="Q407">
        <v>0.79343860617858297</v>
      </c>
      <c r="R407" t="s">
        <v>11</v>
      </c>
      <c r="S407" t="s">
        <v>3301</v>
      </c>
      <c r="T407" t="s">
        <v>2046</v>
      </c>
      <c r="U407">
        <v>0</v>
      </c>
      <c r="V407" t="s">
        <v>14</v>
      </c>
      <c r="W407" t="s">
        <v>15</v>
      </c>
      <c r="X407" t="s">
        <v>3394</v>
      </c>
      <c r="Y407" t="s">
        <v>2046</v>
      </c>
      <c r="Z407">
        <v>0</v>
      </c>
      <c r="AA407" t="s">
        <v>18</v>
      </c>
    </row>
    <row r="408" spans="1:27" x14ac:dyDescent="0.3">
      <c r="A408" t="s">
        <v>3292</v>
      </c>
      <c r="B408" t="s">
        <v>3291</v>
      </c>
      <c r="C408" t="s">
        <v>4114</v>
      </c>
      <c r="D408" t="s">
        <v>1224</v>
      </c>
      <c r="E408">
        <v>157</v>
      </c>
      <c r="F408" t="s">
        <v>5</v>
      </c>
      <c r="G408">
        <v>28</v>
      </c>
      <c r="H408" t="s">
        <v>6</v>
      </c>
      <c r="I408">
        <v>-46.582832429935301</v>
      </c>
      <c r="J408" t="s">
        <v>7</v>
      </c>
      <c r="K408">
        <v>-0.29670593904417297</v>
      </c>
      <c r="L408" t="s">
        <v>8</v>
      </c>
      <c r="M408">
        <v>5.76</v>
      </c>
      <c r="N408" t="s">
        <v>9</v>
      </c>
      <c r="O408">
        <v>-1.6113397862785599</v>
      </c>
      <c r="P408" t="s">
        <v>10</v>
      </c>
      <c r="Q408">
        <v>0.89310919118373699</v>
      </c>
      <c r="R408" t="s">
        <v>11</v>
      </c>
      <c r="S408" t="s">
        <v>852</v>
      </c>
      <c r="T408" t="s">
        <v>3502</v>
      </c>
      <c r="U408">
        <v>0</v>
      </c>
      <c r="V408" t="s">
        <v>14</v>
      </c>
      <c r="W408" t="s">
        <v>15</v>
      </c>
      <c r="X408" t="s">
        <v>3466</v>
      </c>
      <c r="Y408" t="s">
        <v>3398</v>
      </c>
      <c r="Z408">
        <v>0</v>
      </c>
      <c r="AA408" t="s">
        <v>18</v>
      </c>
    </row>
    <row r="409" spans="1:27" x14ac:dyDescent="0.3">
      <c r="A409" t="s">
        <v>1219</v>
      </c>
      <c r="B409" t="s">
        <v>3284</v>
      </c>
      <c r="C409" t="s">
        <v>4115</v>
      </c>
      <c r="D409" t="s">
        <v>1224</v>
      </c>
      <c r="E409">
        <v>178</v>
      </c>
      <c r="F409" t="s">
        <v>5</v>
      </c>
      <c r="G409">
        <v>57</v>
      </c>
      <c r="H409" t="s">
        <v>6</v>
      </c>
      <c r="I409">
        <v>-46.629999999999903</v>
      </c>
      <c r="J409" t="s">
        <v>7</v>
      </c>
      <c r="K409">
        <v>-0.26196629213483102</v>
      </c>
      <c r="L409" t="s">
        <v>8</v>
      </c>
      <c r="M409">
        <v>2.8071929824561299</v>
      </c>
      <c r="N409" t="s">
        <v>9</v>
      </c>
      <c r="O409">
        <v>-1.7077685950413199</v>
      </c>
      <c r="P409" t="s">
        <v>10</v>
      </c>
      <c r="Q409">
        <v>0.87594295763979002</v>
      </c>
      <c r="R409" t="s">
        <v>11</v>
      </c>
      <c r="S409" t="s">
        <v>3452</v>
      </c>
      <c r="T409" t="s">
        <v>2644</v>
      </c>
      <c r="U409">
        <v>0</v>
      </c>
      <c r="V409" t="s">
        <v>14</v>
      </c>
      <c r="W409" t="s">
        <v>15</v>
      </c>
      <c r="X409" t="s">
        <v>3453</v>
      </c>
      <c r="Y409" t="s">
        <v>2644</v>
      </c>
      <c r="Z409">
        <v>0</v>
      </c>
      <c r="AA409" t="s">
        <v>18</v>
      </c>
    </row>
    <row r="410" spans="1:27" x14ac:dyDescent="0.3">
      <c r="A410" t="s">
        <v>1221</v>
      </c>
      <c r="B410" t="s">
        <v>3208</v>
      </c>
      <c r="C410" t="s">
        <v>4116</v>
      </c>
      <c r="D410" t="s">
        <v>1224</v>
      </c>
      <c r="E410">
        <v>130</v>
      </c>
      <c r="F410" t="s">
        <v>5</v>
      </c>
      <c r="G410">
        <v>66</v>
      </c>
      <c r="H410" t="s">
        <v>6</v>
      </c>
      <c r="I410">
        <v>-46.75</v>
      </c>
      <c r="J410" t="s">
        <v>7</v>
      </c>
      <c r="K410">
        <v>-0.359615384615384</v>
      </c>
      <c r="L410" t="s">
        <v>8</v>
      </c>
      <c r="M410">
        <v>0.97833333333333306</v>
      </c>
      <c r="N410" t="s">
        <v>9</v>
      </c>
      <c r="O410">
        <v>-1.7393749999999899</v>
      </c>
      <c r="P410" t="s">
        <v>10</v>
      </c>
      <c r="Q410">
        <v>0.28577629045633601</v>
      </c>
      <c r="R410" t="s">
        <v>11</v>
      </c>
      <c r="S410" t="s">
        <v>2657</v>
      </c>
      <c r="T410" t="s">
        <v>3303</v>
      </c>
      <c r="U410">
        <v>0</v>
      </c>
      <c r="V410" t="s">
        <v>14</v>
      </c>
      <c r="W410" t="s">
        <v>15</v>
      </c>
      <c r="X410" t="s">
        <v>2657</v>
      </c>
      <c r="Y410" t="s">
        <v>3303</v>
      </c>
      <c r="Z410">
        <v>0</v>
      </c>
      <c r="AA410" t="s">
        <v>18</v>
      </c>
    </row>
    <row r="411" spans="1:27" x14ac:dyDescent="0.3">
      <c r="A411" t="s">
        <v>3293</v>
      </c>
      <c r="B411" t="s">
        <v>3277</v>
      </c>
      <c r="C411" t="s">
        <v>4117</v>
      </c>
      <c r="D411" t="s">
        <v>1224</v>
      </c>
      <c r="E411">
        <v>334</v>
      </c>
      <c r="F411" t="s">
        <v>5</v>
      </c>
      <c r="G411">
        <v>171</v>
      </c>
      <c r="H411" t="s">
        <v>6</v>
      </c>
      <c r="I411">
        <v>-46.839999999999897</v>
      </c>
      <c r="J411" t="s">
        <v>7</v>
      </c>
      <c r="K411">
        <v>-0.14023952095808301</v>
      </c>
      <c r="L411" t="s">
        <v>8</v>
      </c>
      <c r="M411">
        <v>1.5021052631578899</v>
      </c>
      <c r="N411" t="s">
        <v>9</v>
      </c>
      <c r="O411">
        <v>-1.8631901840490701</v>
      </c>
      <c r="P411" t="s">
        <v>10</v>
      </c>
      <c r="Q411">
        <v>1.0622549689437599</v>
      </c>
      <c r="R411" t="s">
        <v>11</v>
      </c>
      <c r="S411" t="s">
        <v>3680</v>
      </c>
      <c r="T411" t="s">
        <v>2897</v>
      </c>
      <c r="U411">
        <v>0</v>
      </c>
      <c r="V411" t="s">
        <v>14</v>
      </c>
      <c r="W411" t="s">
        <v>15</v>
      </c>
      <c r="X411" t="s">
        <v>3661</v>
      </c>
      <c r="Y411" t="s">
        <v>832</v>
      </c>
      <c r="Z411">
        <v>0</v>
      </c>
      <c r="AA411" t="s">
        <v>18</v>
      </c>
    </row>
    <row r="412" spans="1:27" x14ac:dyDescent="0.3">
      <c r="A412" t="s">
        <v>1222</v>
      </c>
      <c r="B412" t="s">
        <v>3229</v>
      </c>
      <c r="C412" t="s">
        <v>4118</v>
      </c>
      <c r="D412" t="s">
        <v>1224</v>
      </c>
      <c r="E412">
        <v>128</v>
      </c>
      <c r="F412" t="s">
        <v>5</v>
      </c>
      <c r="G412">
        <v>47</v>
      </c>
      <c r="H412" t="s">
        <v>6</v>
      </c>
      <c r="I412">
        <v>-47.019999999999897</v>
      </c>
      <c r="J412" t="s">
        <v>7</v>
      </c>
      <c r="K412">
        <v>-0.36734374999999903</v>
      </c>
      <c r="L412" t="s">
        <v>8</v>
      </c>
      <c r="M412">
        <v>1.4923404255319099</v>
      </c>
      <c r="N412" t="s">
        <v>9</v>
      </c>
      <c r="O412">
        <v>-1.44641975308641</v>
      </c>
      <c r="P412" t="s">
        <v>10</v>
      </c>
      <c r="Q412">
        <v>0.37676620084045698</v>
      </c>
      <c r="R412" t="s">
        <v>11</v>
      </c>
      <c r="S412" t="s">
        <v>3566</v>
      </c>
      <c r="T412" t="s">
        <v>3567</v>
      </c>
      <c r="U412">
        <v>0</v>
      </c>
      <c r="V412" t="s">
        <v>14</v>
      </c>
      <c r="W412" t="s">
        <v>15</v>
      </c>
      <c r="X412" t="s">
        <v>3565</v>
      </c>
      <c r="Y412" t="s">
        <v>3411</v>
      </c>
      <c r="Z412">
        <v>0</v>
      </c>
      <c r="AA412" t="s">
        <v>18</v>
      </c>
    </row>
    <row r="413" spans="1:27" x14ac:dyDescent="0.3">
      <c r="A413" t="s">
        <v>1219</v>
      </c>
      <c r="B413" t="s">
        <v>3272</v>
      </c>
      <c r="C413" t="s">
        <v>4119</v>
      </c>
      <c r="D413" t="s">
        <v>1224</v>
      </c>
      <c r="E413">
        <v>167</v>
      </c>
      <c r="F413" t="s">
        <v>5</v>
      </c>
      <c r="G413">
        <v>26</v>
      </c>
      <c r="H413" t="s">
        <v>6</v>
      </c>
      <c r="I413">
        <v>-47.389470084828801</v>
      </c>
      <c r="J413" t="s">
        <v>7</v>
      </c>
      <c r="K413">
        <v>-0.283769281945083</v>
      </c>
      <c r="L413" t="s">
        <v>8</v>
      </c>
      <c r="M413">
        <v>7.6832095111666696</v>
      </c>
      <c r="N413" t="s">
        <v>9</v>
      </c>
      <c r="O413">
        <v>-1.75285757003661</v>
      </c>
      <c r="P413" t="s">
        <v>10</v>
      </c>
      <c r="Q413">
        <v>0.98036621118360501</v>
      </c>
      <c r="R413" t="s">
        <v>11</v>
      </c>
      <c r="S413" t="s">
        <v>3443</v>
      </c>
      <c r="T413" t="s">
        <v>3019</v>
      </c>
    </row>
    <row r="414" spans="1:27" x14ac:dyDescent="0.3">
      <c r="A414" t="s">
        <v>1220</v>
      </c>
      <c r="B414" t="s">
        <v>3210</v>
      </c>
      <c r="C414" t="s">
        <v>4120</v>
      </c>
      <c r="D414" t="s">
        <v>1224</v>
      </c>
      <c r="E414">
        <v>140</v>
      </c>
      <c r="F414" t="s">
        <v>5</v>
      </c>
      <c r="G414">
        <v>51</v>
      </c>
      <c r="H414" t="s">
        <v>6</v>
      </c>
      <c r="I414">
        <v>-47.639999999999901</v>
      </c>
      <c r="J414" t="s">
        <v>7</v>
      </c>
      <c r="K414">
        <v>-0.34028571428571303</v>
      </c>
      <c r="L414" t="s">
        <v>8</v>
      </c>
      <c r="M414">
        <v>2.1052941176470501</v>
      </c>
      <c r="N414" t="s">
        <v>9</v>
      </c>
      <c r="O414">
        <v>-1.74168539325842</v>
      </c>
      <c r="P414" t="s">
        <v>10</v>
      </c>
      <c r="Q414">
        <v>0.42255135404122102</v>
      </c>
      <c r="R414" t="s">
        <v>11</v>
      </c>
      <c r="S414" t="s">
        <v>2657</v>
      </c>
      <c r="T414" t="s">
        <v>3303</v>
      </c>
      <c r="U414">
        <v>0</v>
      </c>
      <c r="V414" t="s">
        <v>14</v>
      </c>
      <c r="W414" t="s">
        <v>15</v>
      </c>
      <c r="X414" t="s">
        <v>2657</v>
      </c>
      <c r="Y414" t="s">
        <v>3303</v>
      </c>
      <c r="Z414">
        <v>0</v>
      </c>
      <c r="AA414" t="s">
        <v>18</v>
      </c>
    </row>
    <row r="415" spans="1:27" x14ac:dyDescent="0.3">
      <c r="A415" t="s">
        <v>1223</v>
      </c>
      <c r="B415" t="s">
        <v>3255</v>
      </c>
      <c r="C415" t="s">
        <v>4121</v>
      </c>
      <c r="D415" t="s">
        <v>1224</v>
      </c>
      <c r="E415">
        <v>370</v>
      </c>
      <c r="F415" t="s">
        <v>5</v>
      </c>
      <c r="G415">
        <v>142</v>
      </c>
      <c r="H415" t="s">
        <v>6</v>
      </c>
      <c r="I415">
        <v>-47.719468239786401</v>
      </c>
      <c r="J415" t="s">
        <v>7</v>
      </c>
      <c r="K415">
        <v>-0.128971535783206</v>
      </c>
      <c r="L415" t="s">
        <v>8</v>
      </c>
      <c r="M415">
        <v>1.6573914496631501</v>
      </c>
      <c r="N415" t="s">
        <v>9</v>
      </c>
      <c r="O415">
        <v>-1.2470002382905501</v>
      </c>
      <c r="P415" t="s">
        <v>10</v>
      </c>
      <c r="Q415">
        <v>1.1419726955554099</v>
      </c>
      <c r="R415" t="s">
        <v>11</v>
      </c>
      <c r="S415" t="s">
        <v>3512</v>
      </c>
      <c r="T415" t="s">
        <v>1232</v>
      </c>
      <c r="U415">
        <v>0</v>
      </c>
      <c r="V415" t="s">
        <v>14</v>
      </c>
      <c r="W415" t="s">
        <v>15</v>
      </c>
      <c r="X415" t="s">
        <v>3383</v>
      </c>
      <c r="Y415" t="s">
        <v>3320</v>
      </c>
      <c r="Z415">
        <v>0</v>
      </c>
      <c r="AA415" t="s">
        <v>18</v>
      </c>
    </row>
    <row r="416" spans="1:27" x14ac:dyDescent="0.3">
      <c r="A416" t="s">
        <v>1220</v>
      </c>
      <c r="B416" t="s">
        <v>3208</v>
      </c>
      <c r="C416" t="s">
        <v>4122</v>
      </c>
      <c r="D416" t="s">
        <v>1224</v>
      </c>
      <c r="E416">
        <v>140</v>
      </c>
      <c r="F416" t="s">
        <v>5</v>
      </c>
      <c r="G416">
        <v>72</v>
      </c>
      <c r="H416" t="s">
        <v>6</v>
      </c>
      <c r="I416">
        <v>-47.73</v>
      </c>
      <c r="J416" t="s">
        <v>7</v>
      </c>
      <c r="K416">
        <v>-0.34092857142857103</v>
      </c>
      <c r="L416" t="s">
        <v>8</v>
      </c>
      <c r="M416">
        <v>0.97402777777777705</v>
      </c>
      <c r="N416" t="s">
        <v>9</v>
      </c>
      <c r="O416">
        <v>-1.7332352941176401</v>
      </c>
      <c r="P416" t="s">
        <v>10</v>
      </c>
      <c r="Q416">
        <v>0.307347858505507</v>
      </c>
      <c r="R416" t="s">
        <v>11</v>
      </c>
      <c r="S416" t="s">
        <v>2657</v>
      </c>
      <c r="T416" t="s">
        <v>3303</v>
      </c>
      <c r="U416">
        <v>0</v>
      </c>
      <c r="V416" t="s">
        <v>14</v>
      </c>
      <c r="W416" t="s">
        <v>15</v>
      </c>
      <c r="X416" t="s">
        <v>2657</v>
      </c>
      <c r="Y416" t="s">
        <v>3303</v>
      </c>
      <c r="Z416">
        <v>0</v>
      </c>
      <c r="AA416" t="s">
        <v>18</v>
      </c>
    </row>
    <row r="417" spans="1:27" x14ac:dyDescent="0.3">
      <c r="A417" t="s">
        <v>3293</v>
      </c>
      <c r="B417" t="s">
        <v>3270</v>
      </c>
      <c r="C417" t="s">
        <v>4123</v>
      </c>
      <c r="D417" t="s">
        <v>1224</v>
      </c>
      <c r="E417">
        <v>331</v>
      </c>
      <c r="F417" t="s">
        <v>5</v>
      </c>
      <c r="G417">
        <v>106</v>
      </c>
      <c r="H417" t="s">
        <v>6</v>
      </c>
      <c r="I417">
        <v>-47.8820728189908</v>
      </c>
      <c r="J417" t="s">
        <v>7</v>
      </c>
      <c r="K417">
        <v>-0.14465883026885401</v>
      </c>
      <c r="L417" t="s">
        <v>8</v>
      </c>
      <c r="M417">
        <v>3.1162714185692102</v>
      </c>
      <c r="N417" t="s">
        <v>9</v>
      </c>
      <c r="O417">
        <v>-1.68091930305479</v>
      </c>
      <c r="P417" t="s">
        <v>10</v>
      </c>
      <c r="Q417">
        <v>0.97092920759106205</v>
      </c>
      <c r="R417" t="s">
        <v>11</v>
      </c>
      <c r="S417" t="s">
        <v>3654</v>
      </c>
      <c r="T417" t="s">
        <v>1959</v>
      </c>
      <c r="U417">
        <v>0</v>
      </c>
      <c r="V417" t="s">
        <v>14</v>
      </c>
      <c r="W417" t="s">
        <v>15</v>
      </c>
      <c r="X417" t="s">
        <v>3655</v>
      </c>
      <c r="Y417" t="s">
        <v>2123</v>
      </c>
      <c r="Z417">
        <v>0</v>
      </c>
      <c r="AA417" t="s">
        <v>18</v>
      </c>
    </row>
    <row r="418" spans="1:27" x14ac:dyDescent="0.3">
      <c r="A418" t="s">
        <v>3292</v>
      </c>
      <c r="B418" t="s">
        <v>3288</v>
      </c>
      <c r="C418" t="s">
        <v>4124</v>
      </c>
      <c r="D418" t="s">
        <v>1224</v>
      </c>
      <c r="E418">
        <v>157</v>
      </c>
      <c r="F418" t="s">
        <v>5</v>
      </c>
      <c r="G418">
        <v>51</v>
      </c>
      <c r="H418" t="s">
        <v>6</v>
      </c>
      <c r="I418">
        <v>-48.153995987167498</v>
      </c>
      <c r="J418" t="s">
        <v>7</v>
      </c>
      <c r="K418">
        <v>-0.30671335023673602</v>
      </c>
      <c r="L418" t="s">
        <v>8</v>
      </c>
      <c r="M418">
        <v>2.2749180747430602</v>
      </c>
      <c r="N418" t="s">
        <v>9</v>
      </c>
      <c r="O418">
        <v>-1.5488190358402201</v>
      </c>
      <c r="P418" t="s">
        <v>10</v>
      </c>
      <c r="Q418">
        <v>0.47949484407307702</v>
      </c>
      <c r="R418" t="s">
        <v>11</v>
      </c>
      <c r="S418" t="s">
        <v>3499</v>
      </c>
      <c r="T418" t="s">
        <v>3500</v>
      </c>
      <c r="U418">
        <v>0</v>
      </c>
      <c r="V418" t="s">
        <v>14</v>
      </c>
      <c r="W418" t="s">
        <v>15</v>
      </c>
      <c r="X418" t="s">
        <v>3462</v>
      </c>
      <c r="Y418" t="s">
        <v>2704</v>
      </c>
      <c r="Z418">
        <v>0</v>
      </c>
      <c r="AA418" t="s">
        <v>18</v>
      </c>
    </row>
    <row r="419" spans="1:27" x14ac:dyDescent="0.3">
      <c r="A419" t="s">
        <v>3292</v>
      </c>
      <c r="B419" t="s">
        <v>3281</v>
      </c>
      <c r="C419" t="s">
        <v>4125</v>
      </c>
      <c r="D419" t="s">
        <v>1224</v>
      </c>
      <c r="E419">
        <v>165</v>
      </c>
      <c r="F419" t="s">
        <v>5</v>
      </c>
      <c r="G419">
        <v>74</v>
      </c>
      <c r="H419" t="s">
        <v>6</v>
      </c>
      <c r="I419">
        <v>-48.2899999999999</v>
      </c>
      <c r="J419" t="s">
        <v>7</v>
      </c>
      <c r="K419">
        <v>-0.29266666666666602</v>
      </c>
      <c r="L419" t="s">
        <v>8</v>
      </c>
      <c r="M419">
        <v>1.3524324324324299</v>
      </c>
      <c r="N419" t="s">
        <v>9</v>
      </c>
      <c r="O419">
        <v>-1.6304395604395601</v>
      </c>
      <c r="P419" t="s">
        <v>10</v>
      </c>
      <c r="Q419">
        <v>0.45135487208979003</v>
      </c>
      <c r="R419" t="s">
        <v>11</v>
      </c>
      <c r="S419" t="s">
        <v>758</v>
      </c>
      <c r="T419" t="s">
        <v>2280</v>
      </c>
      <c r="U419">
        <v>0</v>
      </c>
      <c r="V419" t="s">
        <v>14</v>
      </c>
      <c r="W419" t="s">
        <v>15</v>
      </c>
      <c r="X419" t="s">
        <v>3457</v>
      </c>
      <c r="Y419" t="s">
        <v>3449</v>
      </c>
      <c r="Z419">
        <v>0</v>
      </c>
      <c r="AA419" t="s">
        <v>18</v>
      </c>
    </row>
    <row r="420" spans="1:27" x14ac:dyDescent="0.3">
      <c r="A420" t="s">
        <v>1219</v>
      </c>
      <c r="B420" t="s">
        <v>3204</v>
      </c>
      <c r="C420" t="s">
        <v>4126</v>
      </c>
      <c r="D420" t="s">
        <v>1224</v>
      </c>
      <c r="E420">
        <v>169</v>
      </c>
      <c r="F420" t="s">
        <v>5</v>
      </c>
      <c r="G420">
        <v>80</v>
      </c>
      <c r="H420" t="s">
        <v>6</v>
      </c>
      <c r="I420">
        <v>-48.339999999999897</v>
      </c>
      <c r="J420" t="s">
        <v>7</v>
      </c>
      <c r="K420">
        <v>-0.28603550295857899</v>
      </c>
      <c r="L420" t="s">
        <v>8</v>
      </c>
      <c r="M420">
        <v>1.2215</v>
      </c>
      <c r="N420" t="s">
        <v>9</v>
      </c>
      <c r="O420">
        <v>-1.64112359550561</v>
      </c>
      <c r="P420" t="s">
        <v>10</v>
      </c>
      <c r="Q420">
        <v>0.39918210592356201</v>
      </c>
      <c r="R420" t="s">
        <v>11</v>
      </c>
      <c r="S420" t="s">
        <v>3299</v>
      </c>
      <c r="T420" t="s">
        <v>2046</v>
      </c>
      <c r="U420">
        <v>0</v>
      </c>
      <c r="V420" t="s">
        <v>14</v>
      </c>
      <c r="W420" t="s">
        <v>15</v>
      </c>
      <c r="X420" t="s">
        <v>3299</v>
      </c>
      <c r="Y420" t="s">
        <v>2046</v>
      </c>
      <c r="Z420">
        <v>0</v>
      </c>
      <c r="AA420" t="s">
        <v>18</v>
      </c>
    </row>
    <row r="421" spans="1:27" x14ac:dyDescent="0.3">
      <c r="A421" t="s">
        <v>1223</v>
      </c>
      <c r="B421" t="s">
        <v>3265</v>
      </c>
      <c r="C421" t="s">
        <v>4127</v>
      </c>
      <c r="D421" t="s">
        <v>1224</v>
      </c>
      <c r="E421">
        <v>376</v>
      </c>
      <c r="F421" t="s">
        <v>5</v>
      </c>
      <c r="G421">
        <v>91</v>
      </c>
      <c r="H421" t="s">
        <v>6</v>
      </c>
      <c r="I421">
        <v>-48.680438400054797</v>
      </c>
      <c r="J421" t="s">
        <v>7</v>
      </c>
      <c r="K421">
        <v>-0.129469251063975</v>
      </c>
      <c r="L421" t="s">
        <v>8</v>
      </c>
      <c r="M421">
        <v>4.3989115980874001</v>
      </c>
      <c r="N421" t="s">
        <v>9</v>
      </c>
      <c r="O421">
        <v>-1.5753733116702</v>
      </c>
      <c r="P421" t="s">
        <v>10</v>
      </c>
      <c r="Q421">
        <v>1.33890637313799</v>
      </c>
      <c r="R421" t="s">
        <v>11</v>
      </c>
      <c r="S421" t="s">
        <v>3437</v>
      </c>
      <c r="T421" t="s">
        <v>2249</v>
      </c>
      <c r="U421">
        <v>0</v>
      </c>
      <c r="V421" t="s">
        <v>14</v>
      </c>
      <c r="W421" t="s">
        <v>15</v>
      </c>
      <c r="X421" t="s">
        <v>3651</v>
      </c>
      <c r="Y421" t="s">
        <v>3652</v>
      </c>
      <c r="Z421">
        <v>0</v>
      </c>
      <c r="AA421" t="s">
        <v>18</v>
      </c>
    </row>
    <row r="422" spans="1:27" x14ac:dyDescent="0.3">
      <c r="A422" t="s">
        <v>1222</v>
      </c>
      <c r="B422" t="s">
        <v>3231</v>
      </c>
      <c r="C422" t="s">
        <v>4128</v>
      </c>
      <c r="D422" t="s">
        <v>1224</v>
      </c>
      <c r="E422">
        <v>128</v>
      </c>
      <c r="F422" t="s">
        <v>5</v>
      </c>
      <c r="G422">
        <v>44</v>
      </c>
      <c r="H422" t="s">
        <v>6</v>
      </c>
      <c r="I422">
        <v>-48.979999999999897</v>
      </c>
      <c r="J422" t="s">
        <v>7</v>
      </c>
      <c r="K422">
        <v>-0.38265624999999898</v>
      </c>
      <c r="L422" t="s">
        <v>8</v>
      </c>
      <c r="M422">
        <v>1.6897727272727201</v>
      </c>
      <c r="N422" t="s">
        <v>9</v>
      </c>
      <c r="O422">
        <v>-1.4682142857142799</v>
      </c>
      <c r="P422" t="s">
        <v>10</v>
      </c>
      <c r="Q422">
        <v>0.43277580571234597</v>
      </c>
      <c r="R422" t="s">
        <v>11</v>
      </c>
      <c r="S422" t="s">
        <v>3568</v>
      </c>
      <c r="T422" t="s">
        <v>3506</v>
      </c>
      <c r="U422">
        <v>0</v>
      </c>
      <c r="V422" t="s">
        <v>14</v>
      </c>
      <c r="W422" t="s">
        <v>15</v>
      </c>
      <c r="X422" t="s">
        <v>3557</v>
      </c>
      <c r="Y422" t="s">
        <v>3506</v>
      </c>
      <c r="Z422">
        <v>0</v>
      </c>
      <c r="AA422" t="s">
        <v>18</v>
      </c>
    </row>
    <row r="423" spans="1:27" x14ac:dyDescent="0.3">
      <c r="A423" t="s">
        <v>1223</v>
      </c>
      <c r="B423" t="s">
        <v>3224</v>
      </c>
      <c r="C423" t="s">
        <v>4129</v>
      </c>
      <c r="D423" t="s">
        <v>1224</v>
      </c>
      <c r="E423">
        <v>375</v>
      </c>
      <c r="F423" t="s">
        <v>5</v>
      </c>
      <c r="G423">
        <v>167</v>
      </c>
      <c r="H423" t="s">
        <v>6</v>
      </c>
      <c r="I423">
        <v>-48.982146302788202</v>
      </c>
      <c r="J423" t="s">
        <v>7</v>
      </c>
      <c r="K423">
        <v>-0.13061905680743499</v>
      </c>
      <c r="L423" t="s">
        <v>8</v>
      </c>
      <c r="M423">
        <v>1.39615481255815</v>
      </c>
      <c r="N423" t="s">
        <v>9</v>
      </c>
      <c r="O423">
        <v>-1.3564423076923</v>
      </c>
      <c r="P423" t="s">
        <v>10</v>
      </c>
      <c r="Q423">
        <v>1.15706760721215</v>
      </c>
      <c r="R423" t="s">
        <v>11</v>
      </c>
      <c r="S423" t="s">
        <v>3623</v>
      </c>
      <c r="T423" t="s">
        <v>21</v>
      </c>
      <c r="U423">
        <v>0</v>
      </c>
      <c r="V423" t="s">
        <v>14</v>
      </c>
      <c r="W423" t="s">
        <v>15</v>
      </c>
      <c r="X423" t="s">
        <v>3626</v>
      </c>
      <c r="Y423" t="s">
        <v>2071</v>
      </c>
      <c r="Z423">
        <v>0</v>
      </c>
      <c r="AA423" t="s">
        <v>18</v>
      </c>
    </row>
    <row r="424" spans="1:27" x14ac:dyDescent="0.3">
      <c r="A424" t="s">
        <v>1222</v>
      </c>
      <c r="B424" t="s">
        <v>3285</v>
      </c>
      <c r="C424" t="s">
        <v>4130</v>
      </c>
      <c r="D424" t="s">
        <v>1224</v>
      </c>
      <c r="E424">
        <v>128</v>
      </c>
      <c r="F424" t="s">
        <v>5</v>
      </c>
      <c r="G424">
        <v>38</v>
      </c>
      <c r="H424" t="s">
        <v>6</v>
      </c>
      <c r="I424">
        <v>-49.059999999999903</v>
      </c>
      <c r="J424" t="s">
        <v>7</v>
      </c>
      <c r="K424">
        <v>-0.38328124999999902</v>
      </c>
      <c r="L424" t="s">
        <v>8</v>
      </c>
      <c r="M424">
        <v>3.0184210526315698</v>
      </c>
      <c r="N424" t="s">
        <v>9</v>
      </c>
      <c r="O424">
        <v>-1.81955555555555</v>
      </c>
      <c r="P424" t="s">
        <v>10</v>
      </c>
      <c r="Q424">
        <v>0.59888819383240699</v>
      </c>
      <c r="R424" t="s">
        <v>11</v>
      </c>
      <c r="S424" t="s">
        <v>3604</v>
      </c>
      <c r="T424" t="s">
        <v>2582</v>
      </c>
      <c r="U424">
        <v>0</v>
      </c>
      <c r="V424" t="s">
        <v>14</v>
      </c>
      <c r="W424" t="s">
        <v>15</v>
      </c>
      <c r="X424" t="s">
        <v>3603</v>
      </c>
      <c r="Y424" t="s">
        <v>2554</v>
      </c>
      <c r="Z424">
        <v>0</v>
      </c>
      <c r="AA424" t="s">
        <v>18</v>
      </c>
    </row>
    <row r="425" spans="1:27" x14ac:dyDescent="0.3">
      <c r="A425" t="s">
        <v>1222</v>
      </c>
      <c r="B425" t="s">
        <v>3212</v>
      </c>
      <c r="C425" t="s">
        <v>4131</v>
      </c>
      <c r="D425" t="s">
        <v>1224</v>
      </c>
      <c r="E425">
        <v>128</v>
      </c>
      <c r="F425" t="s">
        <v>5</v>
      </c>
      <c r="G425">
        <v>45</v>
      </c>
      <c r="H425" t="s">
        <v>6</v>
      </c>
      <c r="I425">
        <v>-49.1</v>
      </c>
      <c r="J425" t="s">
        <v>7</v>
      </c>
      <c r="K425">
        <v>-0.38359375000000001</v>
      </c>
      <c r="L425" t="s">
        <v>8</v>
      </c>
      <c r="M425">
        <v>2.2117777777777698</v>
      </c>
      <c r="N425" t="s">
        <v>9</v>
      </c>
      <c r="O425">
        <v>-1.7907228915662601</v>
      </c>
      <c r="P425" t="s">
        <v>10</v>
      </c>
      <c r="Q425">
        <v>0.515218884448995</v>
      </c>
      <c r="R425" t="s">
        <v>11</v>
      </c>
      <c r="S425" t="s">
        <v>3556</v>
      </c>
      <c r="T425" t="s">
        <v>2793</v>
      </c>
      <c r="U425">
        <v>0</v>
      </c>
      <c r="V425" t="s">
        <v>14</v>
      </c>
      <c r="W425" t="s">
        <v>15</v>
      </c>
      <c r="X425" t="s">
        <v>3555</v>
      </c>
      <c r="Y425" t="s">
        <v>2704</v>
      </c>
      <c r="Z425">
        <v>0</v>
      </c>
      <c r="AA425" t="s">
        <v>18</v>
      </c>
    </row>
    <row r="426" spans="1:27" x14ac:dyDescent="0.3">
      <c r="A426" t="s">
        <v>1219</v>
      </c>
      <c r="B426" t="s">
        <v>3279</v>
      </c>
      <c r="C426" t="s">
        <v>4132</v>
      </c>
      <c r="D426" t="s">
        <v>1224</v>
      </c>
      <c r="E426">
        <v>169</v>
      </c>
      <c r="F426" t="s">
        <v>5</v>
      </c>
      <c r="G426">
        <v>76</v>
      </c>
      <c r="H426" t="s">
        <v>6</v>
      </c>
      <c r="I426">
        <v>-49.219999999999899</v>
      </c>
      <c r="J426" t="s">
        <v>7</v>
      </c>
      <c r="K426">
        <v>-0.29124260355029502</v>
      </c>
      <c r="L426" t="s">
        <v>8</v>
      </c>
      <c r="M426">
        <v>1.40026315789473</v>
      </c>
      <c r="N426" t="s">
        <v>9</v>
      </c>
      <c r="O426">
        <v>-1.67354838709677</v>
      </c>
      <c r="P426" t="s">
        <v>10</v>
      </c>
      <c r="Q426">
        <v>0.63331637507013205</v>
      </c>
      <c r="R426" t="s">
        <v>11</v>
      </c>
      <c r="S426" t="s">
        <v>3452</v>
      </c>
      <c r="T426" t="s">
        <v>2644</v>
      </c>
      <c r="U426">
        <v>0</v>
      </c>
      <c r="V426" t="s">
        <v>14</v>
      </c>
      <c r="W426" t="s">
        <v>15</v>
      </c>
      <c r="X426" t="s">
        <v>3453</v>
      </c>
      <c r="Y426" t="s">
        <v>2644</v>
      </c>
      <c r="Z426">
        <v>0</v>
      </c>
      <c r="AA426" t="s">
        <v>18</v>
      </c>
    </row>
    <row r="427" spans="1:27" x14ac:dyDescent="0.3">
      <c r="A427" t="s">
        <v>1220</v>
      </c>
      <c r="B427" t="s">
        <v>3255</v>
      </c>
      <c r="C427" t="s">
        <v>4133</v>
      </c>
      <c r="D427" t="s">
        <v>1224</v>
      </c>
      <c r="E427">
        <v>139</v>
      </c>
      <c r="F427" t="s">
        <v>5</v>
      </c>
      <c r="G427">
        <v>40</v>
      </c>
      <c r="H427" t="s">
        <v>6</v>
      </c>
      <c r="I427">
        <v>-49.287018133271197</v>
      </c>
      <c r="J427" t="s">
        <v>7</v>
      </c>
      <c r="K427">
        <v>-0.35458286426813801</v>
      </c>
      <c r="L427" t="s">
        <v>8</v>
      </c>
      <c r="M427">
        <v>1.7871105987245</v>
      </c>
      <c r="N427" t="s">
        <v>9</v>
      </c>
      <c r="O427">
        <v>-1.23236165390052</v>
      </c>
      <c r="P427" t="s">
        <v>10</v>
      </c>
      <c r="Q427">
        <v>0.50443119811366499</v>
      </c>
      <c r="R427" t="s">
        <v>11</v>
      </c>
      <c r="S427" t="s">
        <v>3522</v>
      </c>
      <c r="T427" t="s">
        <v>2071</v>
      </c>
      <c r="U427">
        <v>0</v>
      </c>
      <c r="V427" t="s">
        <v>14</v>
      </c>
      <c r="W427" t="s">
        <v>15</v>
      </c>
      <c r="X427" t="s">
        <v>3522</v>
      </c>
      <c r="Y427" t="s">
        <v>2071</v>
      </c>
      <c r="Z427">
        <v>0</v>
      </c>
      <c r="AA427" t="s">
        <v>18</v>
      </c>
    </row>
    <row r="428" spans="1:27" x14ac:dyDescent="0.3">
      <c r="A428" t="s">
        <v>1219</v>
      </c>
      <c r="B428" t="s">
        <v>3212</v>
      </c>
      <c r="C428" t="s">
        <v>4134</v>
      </c>
      <c r="D428" t="s">
        <v>1224</v>
      </c>
      <c r="E428">
        <v>178</v>
      </c>
      <c r="F428" t="s">
        <v>5</v>
      </c>
      <c r="G428">
        <v>76</v>
      </c>
      <c r="H428" t="s">
        <v>6</v>
      </c>
      <c r="I428">
        <v>-49.34</v>
      </c>
      <c r="J428" t="s">
        <v>7</v>
      </c>
      <c r="K428">
        <v>-0.27719101123595502</v>
      </c>
      <c r="L428" t="s">
        <v>8</v>
      </c>
      <c r="M428">
        <v>1.8314473684210499</v>
      </c>
      <c r="N428" t="s">
        <v>9</v>
      </c>
      <c r="O428">
        <v>-1.8483333333333301</v>
      </c>
      <c r="P428" t="s">
        <v>10</v>
      </c>
      <c r="Q428">
        <v>0.76859580473502698</v>
      </c>
      <c r="R428" t="s">
        <v>11</v>
      </c>
      <c r="S428" t="s">
        <v>3301</v>
      </c>
      <c r="T428" t="s">
        <v>2046</v>
      </c>
      <c r="U428">
        <v>0</v>
      </c>
      <c r="V428" t="s">
        <v>14</v>
      </c>
      <c r="W428" t="s">
        <v>15</v>
      </c>
      <c r="X428" t="s">
        <v>3394</v>
      </c>
      <c r="Y428" t="s">
        <v>2046</v>
      </c>
      <c r="Z428">
        <v>0</v>
      </c>
      <c r="AA428" t="s">
        <v>18</v>
      </c>
    </row>
    <row r="429" spans="1:27" x14ac:dyDescent="0.3">
      <c r="A429" t="s">
        <v>1221</v>
      </c>
      <c r="B429" t="s">
        <v>3254</v>
      </c>
      <c r="C429" t="s">
        <v>4135</v>
      </c>
      <c r="D429" t="s">
        <v>1224</v>
      </c>
      <c r="E429">
        <v>130</v>
      </c>
      <c r="F429" t="s">
        <v>5</v>
      </c>
      <c r="G429">
        <v>39</v>
      </c>
      <c r="H429" t="s">
        <v>6</v>
      </c>
      <c r="I429">
        <v>-49.356425606723697</v>
      </c>
      <c r="J429" t="s">
        <v>7</v>
      </c>
      <c r="K429">
        <v>-0.37966481235941302</v>
      </c>
      <c r="L429" t="s">
        <v>8</v>
      </c>
      <c r="M429">
        <v>1.5480621525379501</v>
      </c>
      <c r="N429" t="s">
        <v>9</v>
      </c>
      <c r="O429">
        <v>-1.2192316617300401</v>
      </c>
      <c r="P429" t="s">
        <v>10</v>
      </c>
      <c r="Q429">
        <v>0.40695066738309299</v>
      </c>
      <c r="R429" t="s">
        <v>11</v>
      </c>
      <c r="S429" t="s">
        <v>3521</v>
      </c>
      <c r="T429" t="s">
        <v>2734</v>
      </c>
      <c r="U429">
        <v>0</v>
      </c>
      <c r="V429" t="s">
        <v>14</v>
      </c>
      <c r="W429" t="s">
        <v>15</v>
      </c>
      <c r="X429" t="s">
        <v>676</v>
      </c>
      <c r="Y429" t="s">
        <v>2793</v>
      </c>
      <c r="Z429">
        <v>0</v>
      </c>
      <c r="AA429" t="s">
        <v>18</v>
      </c>
    </row>
    <row r="430" spans="1:27" x14ac:dyDescent="0.3">
      <c r="A430" t="s">
        <v>1221</v>
      </c>
      <c r="B430" t="s">
        <v>3209</v>
      </c>
      <c r="C430" t="s">
        <v>4136</v>
      </c>
      <c r="D430" t="s">
        <v>1224</v>
      </c>
      <c r="E430">
        <v>130</v>
      </c>
      <c r="F430" t="s">
        <v>5</v>
      </c>
      <c r="G430">
        <v>56</v>
      </c>
      <c r="H430" t="s">
        <v>6</v>
      </c>
      <c r="I430">
        <v>-49.5399999999999</v>
      </c>
      <c r="J430" t="s">
        <v>7</v>
      </c>
      <c r="K430">
        <v>-0.38107692307692298</v>
      </c>
      <c r="L430" t="s">
        <v>8</v>
      </c>
      <c r="M430">
        <v>1.4408928571428501</v>
      </c>
      <c r="N430" t="s">
        <v>9</v>
      </c>
      <c r="O430">
        <v>-1.75986486486486</v>
      </c>
      <c r="P430" t="s">
        <v>10</v>
      </c>
      <c r="Q430">
        <v>0.32669018667231797</v>
      </c>
      <c r="R430" t="s">
        <v>11</v>
      </c>
      <c r="S430" t="s">
        <v>2657</v>
      </c>
      <c r="T430" t="s">
        <v>3303</v>
      </c>
      <c r="U430">
        <v>0</v>
      </c>
      <c r="V430" t="s">
        <v>14</v>
      </c>
      <c r="W430" t="s">
        <v>15</v>
      </c>
      <c r="X430" t="s">
        <v>2657</v>
      </c>
      <c r="Y430" t="s">
        <v>3303</v>
      </c>
      <c r="Z430">
        <v>0</v>
      </c>
      <c r="AA430" t="s">
        <v>18</v>
      </c>
    </row>
    <row r="431" spans="1:27" x14ac:dyDescent="0.3">
      <c r="A431" t="s">
        <v>1223</v>
      </c>
      <c r="B431" t="s">
        <v>3289</v>
      </c>
      <c r="C431" t="s">
        <v>4137</v>
      </c>
      <c r="D431" t="s">
        <v>1224</v>
      </c>
      <c r="E431">
        <v>370</v>
      </c>
      <c r="F431" t="s">
        <v>5</v>
      </c>
      <c r="G431">
        <v>102</v>
      </c>
      <c r="H431" t="s">
        <v>6</v>
      </c>
      <c r="I431">
        <v>-49.727357474839998</v>
      </c>
      <c r="J431" t="s">
        <v>7</v>
      </c>
      <c r="K431">
        <v>-0.13439826344551301</v>
      </c>
      <c r="L431" t="s">
        <v>8</v>
      </c>
      <c r="M431">
        <v>4.0338586886420504</v>
      </c>
      <c r="N431" t="s">
        <v>9</v>
      </c>
      <c r="O431">
        <v>-1.72082441685197</v>
      </c>
      <c r="P431" t="s">
        <v>10</v>
      </c>
      <c r="Q431">
        <v>1.27709397520491</v>
      </c>
      <c r="R431" t="s">
        <v>11</v>
      </c>
      <c r="S431" t="s">
        <v>3379</v>
      </c>
      <c r="T431" t="s">
        <v>2198</v>
      </c>
      <c r="U431">
        <v>0</v>
      </c>
      <c r="V431" t="s">
        <v>14</v>
      </c>
      <c r="W431" t="s">
        <v>15</v>
      </c>
      <c r="X431" t="s">
        <v>3379</v>
      </c>
      <c r="Y431" t="s">
        <v>2198</v>
      </c>
      <c r="Z431">
        <v>0</v>
      </c>
      <c r="AA431" t="s">
        <v>18</v>
      </c>
    </row>
    <row r="432" spans="1:27" x14ac:dyDescent="0.3">
      <c r="A432" t="s">
        <v>1222</v>
      </c>
      <c r="B432" t="s">
        <v>3210</v>
      </c>
      <c r="C432" t="s">
        <v>4138</v>
      </c>
      <c r="D432" t="s">
        <v>1224</v>
      </c>
      <c r="E432">
        <v>128</v>
      </c>
      <c r="F432" t="s">
        <v>5</v>
      </c>
      <c r="G432">
        <v>50</v>
      </c>
      <c r="H432" t="s">
        <v>6</v>
      </c>
      <c r="I432">
        <v>-49.729999999999897</v>
      </c>
      <c r="J432" t="s">
        <v>7</v>
      </c>
      <c r="K432">
        <v>-0.38851562499999898</v>
      </c>
      <c r="L432" t="s">
        <v>8</v>
      </c>
      <c r="M432">
        <v>1.7827999999999999</v>
      </c>
      <c r="N432" t="s">
        <v>9</v>
      </c>
      <c r="O432">
        <v>-1.7803846153846099</v>
      </c>
      <c r="P432" t="s">
        <v>10</v>
      </c>
      <c r="Q432">
        <v>0.38373108390115601</v>
      </c>
      <c r="R432" t="s">
        <v>11</v>
      </c>
      <c r="S432" t="s">
        <v>3504</v>
      </c>
      <c r="T432" t="s">
        <v>2769</v>
      </c>
      <c r="U432">
        <v>0</v>
      </c>
      <c r="V432" t="s">
        <v>14</v>
      </c>
      <c r="W432" t="s">
        <v>15</v>
      </c>
      <c r="X432" t="s">
        <v>3555</v>
      </c>
      <c r="Y432" t="s">
        <v>2704</v>
      </c>
      <c r="Z432">
        <v>0</v>
      </c>
      <c r="AA432" t="s">
        <v>18</v>
      </c>
    </row>
    <row r="433" spans="1:27" x14ac:dyDescent="0.3">
      <c r="A433" t="s">
        <v>3293</v>
      </c>
      <c r="B433" t="s">
        <v>3260</v>
      </c>
      <c r="C433" t="s">
        <v>4139</v>
      </c>
      <c r="D433" t="s">
        <v>1224</v>
      </c>
      <c r="E433">
        <v>334</v>
      </c>
      <c r="F433" t="s">
        <v>5</v>
      </c>
      <c r="G433">
        <v>118</v>
      </c>
      <c r="H433" t="s">
        <v>6</v>
      </c>
      <c r="I433">
        <v>-50.119999999999798</v>
      </c>
      <c r="J433" t="s">
        <v>7</v>
      </c>
      <c r="K433">
        <v>-0.15005988023951999</v>
      </c>
      <c r="L433" t="s">
        <v>8</v>
      </c>
      <c r="M433">
        <v>2.39516949152542</v>
      </c>
      <c r="N433" t="s">
        <v>9</v>
      </c>
      <c r="O433">
        <v>-1.54050925925925</v>
      </c>
      <c r="P433" t="s">
        <v>10</v>
      </c>
      <c r="Q433">
        <v>1.22622430344641</v>
      </c>
      <c r="R433" t="s">
        <v>11</v>
      </c>
      <c r="S433" t="s">
        <v>193</v>
      </c>
      <c r="T433" t="s">
        <v>2249</v>
      </c>
      <c r="U433">
        <v>0</v>
      </c>
      <c r="V433" t="s">
        <v>14</v>
      </c>
      <c r="W433" t="s">
        <v>15</v>
      </c>
      <c r="X433" t="s">
        <v>3675</v>
      </c>
      <c r="Y433" t="s">
        <v>2249</v>
      </c>
      <c r="Z433">
        <v>0</v>
      </c>
      <c r="AA433" t="s">
        <v>18</v>
      </c>
    </row>
    <row r="434" spans="1:27" x14ac:dyDescent="0.3">
      <c r="A434" t="s">
        <v>1223</v>
      </c>
      <c r="B434" t="s">
        <v>3274</v>
      </c>
      <c r="C434" t="s">
        <v>4140</v>
      </c>
      <c r="D434" t="s">
        <v>1224</v>
      </c>
      <c r="E434">
        <v>375</v>
      </c>
      <c r="F434" t="s">
        <v>5</v>
      </c>
      <c r="G434">
        <v>235</v>
      </c>
      <c r="H434" t="s">
        <v>6</v>
      </c>
      <c r="I434">
        <v>-50.159999999999897</v>
      </c>
      <c r="J434" t="s">
        <v>7</v>
      </c>
      <c r="K434">
        <v>-0.13375999999999899</v>
      </c>
      <c r="L434" t="s">
        <v>8</v>
      </c>
      <c r="M434">
        <v>0.85170212765957398</v>
      </c>
      <c r="N434" t="s">
        <v>9</v>
      </c>
      <c r="O434">
        <v>-1.78792857142857</v>
      </c>
      <c r="P434" t="s">
        <v>10</v>
      </c>
      <c r="Q434">
        <v>0.71492802980662695</v>
      </c>
      <c r="R434" t="s">
        <v>11</v>
      </c>
      <c r="S434" t="s">
        <v>3597</v>
      </c>
      <c r="T434" t="s">
        <v>832</v>
      </c>
      <c r="U434">
        <v>0</v>
      </c>
      <c r="V434" t="s">
        <v>14</v>
      </c>
      <c r="W434" t="s">
        <v>15</v>
      </c>
      <c r="X434" t="s">
        <v>3660</v>
      </c>
      <c r="Y434" t="s">
        <v>832</v>
      </c>
      <c r="Z434">
        <v>0</v>
      </c>
      <c r="AA434" t="s">
        <v>18</v>
      </c>
    </row>
    <row r="435" spans="1:27" x14ac:dyDescent="0.3">
      <c r="A435" t="s">
        <v>1223</v>
      </c>
      <c r="B435" t="s">
        <v>3207</v>
      </c>
      <c r="C435" t="s">
        <v>4141</v>
      </c>
      <c r="D435" t="s">
        <v>1224</v>
      </c>
      <c r="E435">
        <v>375</v>
      </c>
      <c r="F435" t="s">
        <v>5</v>
      </c>
      <c r="G435">
        <v>169</v>
      </c>
      <c r="H435" t="s">
        <v>6</v>
      </c>
      <c r="I435">
        <v>-50.264947541410997</v>
      </c>
      <c r="J435" t="s">
        <v>7</v>
      </c>
      <c r="K435">
        <v>-0.13403986011042901</v>
      </c>
      <c r="L435" t="s">
        <v>8</v>
      </c>
      <c r="M435">
        <v>1.8702074109975599</v>
      </c>
      <c r="N435" t="s">
        <v>9</v>
      </c>
      <c r="O435">
        <v>-1.77830097087378</v>
      </c>
      <c r="P435" t="s">
        <v>10</v>
      </c>
      <c r="Q435">
        <v>1.4302436886682901</v>
      </c>
      <c r="R435" t="s">
        <v>11</v>
      </c>
      <c r="S435" t="s">
        <v>3301</v>
      </c>
      <c r="T435" t="s">
        <v>2627</v>
      </c>
    </row>
    <row r="436" spans="1:27" x14ac:dyDescent="0.3">
      <c r="A436" t="s">
        <v>1223</v>
      </c>
      <c r="B436" t="s">
        <v>3282</v>
      </c>
      <c r="C436" t="s">
        <v>4142</v>
      </c>
      <c r="D436" t="s">
        <v>1224</v>
      </c>
      <c r="E436">
        <v>376</v>
      </c>
      <c r="F436" t="s">
        <v>5</v>
      </c>
      <c r="G436">
        <v>166</v>
      </c>
      <c r="H436" t="s">
        <v>6</v>
      </c>
      <c r="I436">
        <v>-50.3104384000548</v>
      </c>
      <c r="J436" t="s">
        <v>7</v>
      </c>
      <c r="K436">
        <v>-0.13380435744695399</v>
      </c>
      <c r="L436" t="s">
        <v>8</v>
      </c>
      <c r="M436">
        <v>1.8938009363009201</v>
      </c>
      <c r="N436" t="s">
        <v>9</v>
      </c>
      <c r="O436">
        <v>-1.73657806583813</v>
      </c>
      <c r="P436" t="s">
        <v>10</v>
      </c>
      <c r="Q436">
        <v>1.06232290502899</v>
      </c>
      <c r="R436" t="s">
        <v>11</v>
      </c>
      <c r="S436" t="s">
        <v>2657</v>
      </c>
      <c r="T436" t="s">
        <v>3303</v>
      </c>
      <c r="U436">
        <v>0</v>
      </c>
      <c r="V436" t="s">
        <v>14</v>
      </c>
      <c r="W436" t="s">
        <v>15</v>
      </c>
      <c r="X436" t="s">
        <v>3660</v>
      </c>
      <c r="Y436" t="s">
        <v>832</v>
      </c>
      <c r="Z436">
        <v>0</v>
      </c>
      <c r="AA436" t="s">
        <v>18</v>
      </c>
    </row>
    <row r="437" spans="1:27" x14ac:dyDescent="0.3">
      <c r="A437" t="s">
        <v>1219</v>
      </c>
      <c r="B437" t="s">
        <v>3282</v>
      </c>
      <c r="C437" t="s">
        <v>4143</v>
      </c>
      <c r="D437" t="s">
        <v>1224</v>
      </c>
      <c r="E437">
        <v>178</v>
      </c>
      <c r="F437" t="s">
        <v>5</v>
      </c>
      <c r="G437">
        <v>72</v>
      </c>
      <c r="H437" t="s">
        <v>6</v>
      </c>
      <c r="I437">
        <v>-50.319999999999901</v>
      </c>
      <c r="J437" t="s">
        <v>7</v>
      </c>
      <c r="K437">
        <v>-0.28269662921348199</v>
      </c>
      <c r="L437" t="s">
        <v>8</v>
      </c>
      <c r="M437">
        <v>1.7958333333333301</v>
      </c>
      <c r="N437" t="s">
        <v>9</v>
      </c>
      <c r="O437">
        <v>-1.69452830188679</v>
      </c>
      <c r="P437" t="s">
        <v>10</v>
      </c>
      <c r="Q437">
        <v>0.59817879880892799</v>
      </c>
      <c r="R437" t="s">
        <v>11</v>
      </c>
      <c r="S437" t="s">
        <v>3188</v>
      </c>
      <c r="T437" t="s">
        <v>3458</v>
      </c>
      <c r="U437">
        <v>0</v>
      </c>
      <c r="V437" t="s">
        <v>14</v>
      </c>
      <c r="W437" t="s">
        <v>15</v>
      </c>
      <c r="X437" t="s">
        <v>3457</v>
      </c>
      <c r="Y437" t="s">
        <v>3449</v>
      </c>
      <c r="Z437">
        <v>0</v>
      </c>
      <c r="AA437" t="s">
        <v>18</v>
      </c>
    </row>
    <row r="438" spans="1:27" x14ac:dyDescent="0.3">
      <c r="A438" t="s">
        <v>3293</v>
      </c>
      <c r="B438" t="s">
        <v>3230</v>
      </c>
      <c r="C438" t="s">
        <v>4144</v>
      </c>
      <c r="D438" t="s">
        <v>1224</v>
      </c>
      <c r="E438">
        <v>335</v>
      </c>
      <c r="F438" t="s">
        <v>5</v>
      </c>
      <c r="G438">
        <v>155</v>
      </c>
      <c r="H438" t="s">
        <v>6</v>
      </c>
      <c r="I438">
        <v>-50.919999999999902</v>
      </c>
      <c r="J438" t="s">
        <v>7</v>
      </c>
      <c r="K438">
        <v>-0.151999999999999</v>
      </c>
      <c r="L438" t="s">
        <v>8</v>
      </c>
      <c r="M438">
        <v>1.45064516129032</v>
      </c>
      <c r="N438" t="s">
        <v>9</v>
      </c>
      <c r="O438">
        <v>-1.53205555555555</v>
      </c>
      <c r="P438" t="s">
        <v>10</v>
      </c>
      <c r="Q438">
        <v>0.87023009825777797</v>
      </c>
      <c r="R438" t="s">
        <v>11</v>
      </c>
      <c r="S438" t="s">
        <v>3541</v>
      </c>
      <c r="T438" t="s">
        <v>3506</v>
      </c>
      <c r="U438">
        <v>0</v>
      </c>
      <c r="V438" t="s">
        <v>14</v>
      </c>
      <c r="W438" t="s">
        <v>15</v>
      </c>
      <c r="X438" t="s">
        <v>3671</v>
      </c>
      <c r="Y438" t="s">
        <v>2644</v>
      </c>
      <c r="Z438">
        <v>0</v>
      </c>
      <c r="AA438" t="s">
        <v>18</v>
      </c>
    </row>
    <row r="439" spans="1:27" x14ac:dyDescent="0.3">
      <c r="A439" t="s">
        <v>1223</v>
      </c>
      <c r="B439" t="s">
        <v>3202</v>
      </c>
      <c r="C439" t="s">
        <v>4145</v>
      </c>
      <c r="D439" t="s">
        <v>1224</v>
      </c>
      <c r="E439">
        <v>375</v>
      </c>
      <c r="F439" t="s">
        <v>5</v>
      </c>
      <c r="G439">
        <v>222</v>
      </c>
      <c r="H439" t="s">
        <v>6</v>
      </c>
      <c r="I439">
        <v>-51.124947541411103</v>
      </c>
      <c r="J439" t="s">
        <v>7</v>
      </c>
      <c r="K439">
        <v>-0.13633319344376299</v>
      </c>
      <c r="L439" t="s">
        <v>8</v>
      </c>
      <c r="M439">
        <v>0.88786059666030903</v>
      </c>
      <c r="N439" t="s">
        <v>9</v>
      </c>
      <c r="O439">
        <v>-1.6224183006535899</v>
      </c>
      <c r="P439" t="s">
        <v>10</v>
      </c>
      <c r="Q439">
        <v>0.67157421937246997</v>
      </c>
      <c r="R439" t="s">
        <v>11</v>
      </c>
      <c r="S439" t="s">
        <v>3611</v>
      </c>
      <c r="T439" t="s">
        <v>21</v>
      </c>
      <c r="U439">
        <v>0</v>
      </c>
      <c r="V439" t="s">
        <v>14</v>
      </c>
      <c r="W439" t="s">
        <v>15</v>
      </c>
      <c r="X439" t="s">
        <v>3612</v>
      </c>
      <c r="Y439" t="s">
        <v>785</v>
      </c>
      <c r="Z439">
        <v>0</v>
      </c>
      <c r="AA439" t="s">
        <v>18</v>
      </c>
    </row>
    <row r="440" spans="1:27" x14ac:dyDescent="0.3">
      <c r="A440" t="s">
        <v>3292</v>
      </c>
      <c r="B440" t="s">
        <v>3282</v>
      </c>
      <c r="C440" t="s">
        <v>4146</v>
      </c>
      <c r="D440" t="s">
        <v>1224</v>
      </c>
      <c r="E440">
        <v>165</v>
      </c>
      <c r="F440" t="s">
        <v>5</v>
      </c>
      <c r="G440">
        <v>66</v>
      </c>
      <c r="H440" t="s">
        <v>6</v>
      </c>
      <c r="I440">
        <v>-51.459999999999901</v>
      </c>
      <c r="J440" t="s">
        <v>7</v>
      </c>
      <c r="K440">
        <v>-0.31187878787878698</v>
      </c>
      <c r="L440" t="s">
        <v>8</v>
      </c>
      <c r="M440">
        <v>1.71060606060606</v>
      </c>
      <c r="N440" t="s">
        <v>9</v>
      </c>
      <c r="O440">
        <v>-1.66020202020202</v>
      </c>
      <c r="P440" t="s">
        <v>10</v>
      </c>
      <c r="Q440">
        <v>0.55851832642368204</v>
      </c>
      <c r="R440" t="s">
        <v>11</v>
      </c>
      <c r="S440" t="s">
        <v>3496</v>
      </c>
      <c r="T440" t="s">
        <v>2169</v>
      </c>
      <c r="U440">
        <v>0</v>
      </c>
      <c r="V440" t="s">
        <v>14</v>
      </c>
      <c r="W440" t="s">
        <v>15</v>
      </c>
      <c r="X440" t="s">
        <v>3457</v>
      </c>
      <c r="Y440" t="s">
        <v>3449</v>
      </c>
      <c r="Z440">
        <v>0</v>
      </c>
      <c r="AA440" t="s">
        <v>18</v>
      </c>
    </row>
    <row r="441" spans="1:27" x14ac:dyDescent="0.3">
      <c r="A441" t="s">
        <v>1223</v>
      </c>
      <c r="B441" t="s">
        <v>3233</v>
      </c>
      <c r="C441" t="s">
        <v>4147</v>
      </c>
      <c r="D441" t="s">
        <v>1224</v>
      </c>
      <c r="E441">
        <v>370</v>
      </c>
      <c r="F441" t="s">
        <v>5</v>
      </c>
      <c r="G441">
        <v>192</v>
      </c>
      <c r="H441" t="s">
        <v>6</v>
      </c>
      <c r="I441">
        <v>-51.8598753216462</v>
      </c>
      <c r="J441" t="s">
        <v>7</v>
      </c>
      <c r="K441">
        <v>-0.14016182519363801</v>
      </c>
      <c r="L441" t="s">
        <v>8</v>
      </c>
      <c r="M441">
        <v>1.2397770150713201</v>
      </c>
      <c r="N441" t="s">
        <v>9</v>
      </c>
      <c r="O441">
        <v>-1.6286351809850499</v>
      </c>
      <c r="P441" t="s">
        <v>10</v>
      </c>
      <c r="Q441">
        <v>0.66959262686111198</v>
      </c>
      <c r="R441" t="s">
        <v>11</v>
      </c>
      <c r="S441" t="s">
        <v>235</v>
      </c>
      <c r="T441" t="s">
        <v>77</v>
      </c>
      <c r="U441">
        <v>0</v>
      </c>
      <c r="V441" t="s">
        <v>14</v>
      </c>
      <c r="W441" t="s">
        <v>15</v>
      </c>
      <c r="X441" t="s">
        <v>3633</v>
      </c>
      <c r="Y441" t="s">
        <v>3303</v>
      </c>
      <c r="Z441">
        <v>0</v>
      </c>
      <c r="AA441" t="s">
        <v>18</v>
      </c>
    </row>
    <row r="442" spans="1:27" x14ac:dyDescent="0.3">
      <c r="A442" t="s">
        <v>1223</v>
      </c>
      <c r="B442" t="s">
        <v>3243</v>
      </c>
      <c r="C442" t="s">
        <v>4148</v>
      </c>
      <c r="D442" t="s">
        <v>1224</v>
      </c>
      <c r="E442">
        <v>375</v>
      </c>
      <c r="F442" t="s">
        <v>5</v>
      </c>
      <c r="G442">
        <v>156</v>
      </c>
      <c r="H442" t="s">
        <v>6</v>
      </c>
      <c r="I442">
        <v>-52.328447513126299</v>
      </c>
      <c r="J442" t="s">
        <v>7</v>
      </c>
      <c r="K442">
        <v>-0.13954252670167</v>
      </c>
      <c r="L442" t="s">
        <v>8</v>
      </c>
      <c r="M442">
        <v>1.13179487179487</v>
      </c>
      <c r="N442" t="s">
        <v>9</v>
      </c>
      <c r="O442">
        <v>-1.05478547241072</v>
      </c>
      <c r="P442" t="s">
        <v>10</v>
      </c>
      <c r="Q442">
        <v>1.0680309180079499</v>
      </c>
      <c r="R442" t="s">
        <v>11</v>
      </c>
      <c r="S442" t="s">
        <v>3508</v>
      </c>
      <c r="T442" t="s">
        <v>21</v>
      </c>
      <c r="U442">
        <v>0</v>
      </c>
      <c r="V442" t="s">
        <v>14</v>
      </c>
      <c r="W442" t="s">
        <v>15</v>
      </c>
      <c r="X442" t="s">
        <v>3638</v>
      </c>
      <c r="Y442" t="s">
        <v>2071</v>
      </c>
      <c r="Z442">
        <v>0</v>
      </c>
      <c r="AA442" t="s">
        <v>18</v>
      </c>
    </row>
    <row r="443" spans="1:27" x14ac:dyDescent="0.3">
      <c r="A443" t="s">
        <v>1219</v>
      </c>
      <c r="B443" t="s">
        <v>3223</v>
      </c>
      <c r="C443" t="s">
        <v>4149</v>
      </c>
      <c r="D443" t="s">
        <v>1224</v>
      </c>
      <c r="E443">
        <v>169</v>
      </c>
      <c r="F443" t="s">
        <v>5</v>
      </c>
      <c r="G443">
        <v>77</v>
      </c>
      <c r="H443" t="s">
        <v>6</v>
      </c>
      <c r="I443">
        <v>-52.519999999999897</v>
      </c>
      <c r="J443" t="s">
        <v>7</v>
      </c>
      <c r="K443">
        <v>-0.31076923076923002</v>
      </c>
      <c r="L443" t="s">
        <v>8</v>
      </c>
      <c r="M443">
        <v>0.89519480519480499</v>
      </c>
      <c r="N443" t="s">
        <v>9</v>
      </c>
      <c r="O443">
        <v>-1.3201086956521699</v>
      </c>
      <c r="P443" t="s">
        <v>10</v>
      </c>
      <c r="Q443">
        <v>0.36380140007355199</v>
      </c>
      <c r="R443" t="s">
        <v>11</v>
      </c>
      <c r="S443" t="s">
        <v>3403</v>
      </c>
      <c r="T443" t="s">
        <v>730</v>
      </c>
      <c r="U443">
        <v>0</v>
      </c>
      <c r="V443" t="s">
        <v>14</v>
      </c>
      <c r="W443" t="s">
        <v>15</v>
      </c>
      <c r="X443" t="s">
        <v>3405</v>
      </c>
      <c r="Y443" t="s">
        <v>2655</v>
      </c>
      <c r="Z443">
        <v>0</v>
      </c>
      <c r="AA443" t="s">
        <v>18</v>
      </c>
    </row>
    <row r="444" spans="1:27" x14ac:dyDescent="0.3">
      <c r="A444" t="s">
        <v>3293</v>
      </c>
      <c r="B444" t="s">
        <v>3290</v>
      </c>
      <c r="C444" t="s">
        <v>4150</v>
      </c>
      <c r="D444" t="s">
        <v>1224</v>
      </c>
      <c r="E444">
        <v>331</v>
      </c>
      <c r="F444" t="s">
        <v>5</v>
      </c>
      <c r="G444">
        <v>78</v>
      </c>
      <c r="H444" t="s">
        <v>6</v>
      </c>
      <c r="I444">
        <v>-52.895546250831401</v>
      </c>
      <c r="J444" t="s">
        <v>7</v>
      </c>
      <c r="K444">
        <v>-0.15980527568226999</v>
      </c>
      <c r="L444" t="s">
        <v>8</v>
      </c>
      <c r="M444">
        <v>4.6099909351950004</v>
      </c>
      <c r="N444" t="s">
        <v>9</v>
      </c>
      <c r="O444">
        <v>-1.63033533279067</v>
      </c>
      <c r="P444" t="s">
        <v>10</v>
      </c>
      <c r="Q444">
        <v>1.22094313201629</v>
      </c>
      <c r="R444" t="s">
        <v>11</v>
      </c>
      <c r="S444" t="s">
        <v>2657</v>
      </c>
      <c r="T444" t="s">
        <v>3303</v>
      </c>
      <c r="U444">
        <v>0</v>
      </c>
      <c r="V444" t="s">
        <v>14</v>
      </c>
      <c r="W444" t="s">
        <v>15</v>
      </c>
      <c r="X444" t="s">
        <v>3682</v>
      </c>
      <c r="Y444" t="s">
        <v>3398</v>
      </c>
      <c r="Z444">
        <v>0</v>
      </c>
      <c r="AA444" t="s">
        <v>18</v>
      </c>
    </row>
    <row r="445" spans="1:27" x14ac:dyDescent="0.3">
      <c r="A445" t="s">
        <v>3292</v>
      </c>
      <c r="B445" t="s">
        <v>3290</v>
      </c>
      <c r="C445" t="s">
        <v>4151</v>
      </c>
      <c r="D445" t="s">
        <v>1224</v>
      </c>
      <c r="E445">
        <v>157</v>
      </c>
      <c r="F445" t="s">
        <v>5</v>
      </c>
      <c r="G445">
        <v>30</v>
      </c>
      <c r="H445" t="s">
        <v>6</v>
      </c>
      <c r="I445">
        <v>-52.962832429935297</v>
      </c>
      <c r="J445" t="s">
        <v>7</v>
      </c>
      <c r="K445">
        <v>-0.33734288171933302</v>
      </c>
      <c r="L445" t="s">
        <v>8</v>
      </c>
      <c r="M445">
        <v>4.9626666666666601</v>
      </c>
      <c r="N445" t="s">
        <v>9</v>
      </c>
      <c r="O445">
        <v>-1.5893136411805899</v>
      </c>
      <c r="P445" t="s">
        <v>10</v>
      </c>
      <c r="Q445">
        <v>0.79620912825811696</v>
      </c>
      <c r="R445" t="s">
        <v>11</v>
      </c>
      <c r="S445" t="s">
        <v>3463</v>
      </c>
      <c r="T445" t="s">
        <v>2698</v>
      </c>
      <c r="U445">
        <v>0</v>
      </c>
      <c r="V445" t="s">
        <v>14</v>
      </c>
      <c r="W445" t="s">
        <v>15</v>
      </c>
      <c r="X445" t="s">
        <v>3466</v>
      </c>
      <c r="Y445" t="s">
        <v>3398</v>
      </c>
      <c r="Z445">
        <v>0</v>
      </c>
      <c r="AA445" t="s">
        <v>18</v>
      </c>
    </row>
    <row r="446" spans="1:27" x14ac:dyDescent="0.3">
      <c r="A446" t="s">
        <v>1219</v>
      </c>
      <c r="B446" t="s">
        <v>3229</v>
      </c>
      <c r="C446" t="s">
        <v>4152</v>
      </c>
      <c r="D446" t="s">
        <v>1224</v>
      </c>
      <c r="E446">
        <v>178</v>
      </c>
      <c r="F446" t="s">
        <v>5</v>
      </c>
      <c r="G446">
        <v>78</v>
      </c>
      <c r="H446" t="s">
        <v>6</v>
      </c>
      <c r="I446">
        <v>-53.089999999999897</v>
      </c>
      <c r="J446" t="s">
        <v>7</v>
      </c>
      <c r="K446">
        <v>-0.29825842696629101</v>
      </c>
      <c r="L446" t="s">
        <v>8</v>
      </c>
      <c r="M446">
        <v>1.19333333333333</v>
      </c>
      <c r="N446" t="s">
        <v>9</v>
      </c>
      <c r="O446">
        <v>-1.46169999999999</v>
      </c>
      <c r="P446" t="s">
        <v>10</v>
      </c>
      <c r="Q446">
        <v>0.51427826312473301</v>
      </c>
      <c r="R446" t="s">
        <v>11</v>
      </c>
      <c r="S446" t="s">
        <v>1384</v>
      </c>
      <c r="T446" t="s">
        <v>3073</v>
      </c>
      <c r="U446">
        <v>0</v>
      </c>
      <c r="V446" t="s">
        <v>14</v>
      </c>
      <c r="W446" t="s">
        <v>15</v>
      </c>
      <c r="X446" t="s">
        <v>3414</v>
      </c>
      <c r="Y446" t="s">
        <v>2655</v>
      </c>
      <c r="Z446">
        <v>0</v>
      </c>
      <c r="AA446" t="s">
        <v>18</v>
      </c>
    </row>
    <row r="447" spans="1:27" x14ac:dyDescent="0.3">
      <c r="A447" t="s">
        <v>1219</v>
      </c>
      <c r="B447" t="s">
        <v>3270</v>
      </c>
      <c r="C447" t="s">
        <v>4153</v>
      </c>
      <c r="D447" t="s">
        <v>1224</v>
      </c>
      <c r="E447">
        <v>167</v>
      </c>
      <c r="F447" t="s">
        <v>5</v>
      </c>
      <c r="G447">
        <v>48</v>
      </c>
      <c r="H447" t="s">
        <v>6</v>
      </c>
      <c r="I447">
        <v>-53.415416960603999</v>
      </c>
      <c r="J447" t="s">
        <v>7</v>
      </c>
      <c r="K447">
        <v>-0.31985279617128098</v>
      </c>
      <c r="L447" t="s">
        <v>8</v>
      </c>
      <c r="M447">
        <v>3.20685032472141</v>
      </c>
      <c r="N447" t="s">
        <v>9</v>
      </c>
      <c r="O447">
        <v>-1.74238850880026</v>
      </c>
      <c r="P447" t="s">
        <v>10</v>
      </c>
      <c r="Q447">
        <v>0.61865636569915305</v>
      </c>
      <c r="R447" t="s">
        <v>11</v>
      </c>
      <c r="S447" t="s">
        <v>3440</v>
      </c>
      <c r="T447" t="s">
        <v>2013</v>
      </c>
      <c r="U447">
        <v>0</v>
      </c>
      <c r="V447" t="s">
        <v>14</v>
      </c>
      <c r="W447" t="s">
        <v>15</v>
      </c>
      <c r="X447" t="s">
        <v>3440</v>
      </c>
      <c r="Y447" t="s">
        <v>2013</v>
      </c>
      <c r="Z447">
        <v>0</v>
      </c>
      <c r="AA447" t="s">
        <v>18</v>
      </c>
    </row>
    <row r="448" spans="1:27" x14ac:dyDescent="0.3">
      <c r="A448" t="s">
        <v>1222</v>
      </c>
      <c r="B448" t="s">
        <v>3209</v>
      </c>
      <c r="C448" t="s">
        <v>4154</v>
      </c>
      <c r="D448" t="s">
        <v>1224</v>
      </c>
      <c r="E448">
        <v>128</v>
      </c>
      <c r="F448" t="s">
        <v>5</v>
      </c>
      <c r="G448">
        <v>58</v>
      </c>
      <c r="H448" t="s">
        <v>6</v>
      </c>
      <c r="I448">
        <v>-53.709999999999901</v>
      </c>
      <c r="J448" t="s">
        <v>7</v>
      </c>
      <c r="K448">
        <v>-0.41960937499999901</v>
      </c>
      <c r="L448" t="s">
        <v>8</v>
      </c>
      <c r="M448">
        <v>1.1686206896551701</v>
      </c>
      <c r="N448" t="s">
        <v>9</v>
      </c>
      <c r="O448">
        <v>-1.7355714285714201</v>
      </c>
      <c r="P448" t="s">
        <v>10</v>
      </c>
      <c r="Q448">
        <v>0.29120325412835701</v>
      </c>
      <c r="R448" t="s">
        <v>11</v>
      </c>
      <c r="S448" t="s">
        <v>3554</v>
      </c>
      <c r="T448" t="s">
        <v>832</v>
      </c>
      <c r="U448">
        <v>0</v>
      </c>
      <c r="V448" t="s">
        <v>14</v>
      </c>
      <c r="W448" t="s">
        <v>15</v>
      </c>
      <c r="X448" t="s">
        <v>3549</v>
      </c>
      <c r="Y448" t="s">
        <v>832</v>
      </c>
      <c r="Z448">
        <v>0</v>
      </c>
      <c r="AA448" t="s">
        <v>18</v>
      </c>
    </row>
    <row r="449" spans="1:27" x14ac:dyDescent="0.3">
      <c r="A449" t="s">
        <v>1223</v>
      </c>
      <c r="B449" t="s">
        <v>3287</v>
      </c>
      <c r="C449" t="s">
        <v>4155</v>
      </c>
      <c r="D449" t="s">
        <v>1224</v>
      </c>
      <c r="E449">
        <v>370</v>
      </c>
      <c r="F449" t="s">
        <v>5</v>
      </c>
      <c r="G449">
        <v>165</v>
      </c>
      <c r="H449" t="s">
        <v>6</v>
      </c>
      <c r="I449">
        <v>-54.519579695006698</v>
      </c>
      <c r="J449" t="s">
        <v>7</v>
      </c>
      <c r="K449">
        <v>-0.14735021539191001</v>
      </c>
      <c r="L449" t="s">
        <v>8</v>
      </c>
      <c r="M449">
        <v>1.80056247782086</v>
      </c>
      <c r="N449" t="s">
        <v>9</v>
      </c>
      <c r="O449">
        <v>-1.7151823830997499</v>
      </c>
      <c r="P449" t="s">
        <v>10</v>
      </c>
      <c r="Q449">
        <v>0.80927802222643297</v>
      </c>
      <c r="R449" t="s">
        <v>11</v>
      </c>
      <c r="S449" t="s">
        <v>3379</v>
      </c>
      <c r="T449" t="s">
        <v>2198</v>
      </c>
      <c r="U449">
        <v>0</v>
      </c>
      <c r="V449" t="s">
        <v>14</v>
      </c>
      <c r="W449" t="s">
        <v>15</v>
      </c>
      <c r="X449" t="s">
        <v>3379</v>
      </c>
      <c r="Y449" t="s">
        <v>2198</v>
      </c>
      <c r="Z449">
        <v>0</v>
      </c>
      <c r="AA449" t="s">
        <v>18</v>
      </c>
    </row>
    <row r="450" spans="1:27" x14ac:dyDescent="0.3">
      <c r="A450" t="s">
        <v>3293</v>
      </c>
      <c r="B450" t="s">
        <v>3286</v>
      </c>
      <c r="C450" t="s">
        <v>4156</v>
      </c>
      <c r="D450" t="s">
        <v>1224</v>
      </c>
      <c r="E450">
        <v>331</v>
      </c>
      <c r="F450" t="s">
        <v>5</v>
      </c>
      <c r="G450">
        <v>178</v>
      </c>
      <c r="H450" t="s">
        <v>6</v>
      </c>
      <c r="I450">
        <v>-54.575160030860999</v>
      </c>
      <c r="J450" t="s">
        <v>7</v>
      </c>
      <c r="K450">
        <v>-0.164879637555471</v>
      </c>
      <c r="L450" t="s">
        <v>8</v>
      </c>
      <c r="M450">
        <v>1.1045529539168899</v>
      </c>
      <c r="N450" t="s">
        <v>9</v>
      </c>
      <c r="O450">
        <v>-1.64173585508541</v>
      </c>
      <c r="P450" t="s">
        <v>10</v>
      </c>
      <c r="Q450">
        <v>0.57440633924818396</v>
      </c>
      <c r="R450" t="s">
        <v>11</v>
      </c>
      <c r="S450" t="s">
        <v>2657</v>
      </c>
      <c r="T450" t="s">
        <v>3303</v>
      </c>
      <c r="U450">
        <v>0</v>
      </c>
      <c r="V450" t="s">
        <v>14</v>
      </c>
      <c r="W450" t="s">
        <v>15</v>
      </c>
      <c r="X450" t="s">
        <v>3617</v>
      </c>
      <c r="Y450" t="s">
        <v>3296</v>
      </c>
      <c r="Z450">
        <v>0</v>
      </c>
      <c r="AA450" t="s">
        <v>18</v>
      </c>
    </row>
    <row r="451" spans="1:27" x14ac:dyDescent="0.3">
      <c r="A451" t="s">
        <v>1222</v>
      </c>
      <c r="B451" t="s">
        <v>3230</v>
      </c>
      <c r="C451" t="s">
        <v>4157</v>
      </c>
      <c r="D451" t="s">
        <v>1224</v>
      </c>
      <c r="E451">
        <v>128</v>
      </c>
      <c r="F451" t="s">
        <v>5</v>
      </c>
      <c r="G451">
        <v>44</v>
      </c>
      <c r="H451" t="s">
        <v>6</v>
      </c>
      <c r="I451">
        <v>-54.879999999999903</v>
      </c>
      <c r="J451" t="s">
        <v>7</v>
      </c>
      <c r="K451">
        <v>-0.42874999999999902</v>
      </c>
      <c r="L451" t="s">
        <v>8</v>
      </c>
      <c r="M451">
        <v>1.55568181818181</v>
      </c>
      <c r="N451" t="s">
        <v>9</v>
      </c>
      <c r="O451">
        <v>-1.4682142857142799</v>
      </c>
      <c r="P451" t="s">
        <v>10</v>
      </c>
      <c r="Q451">
        <v>0.42205809691261298</v>
      </c>
      <c r="R451" t="s">
        <v>11</v>
      </c>
      <c r="S451" t="s">
        <v>3568</v>
      </c>
      <c r="T451" t="s">
        <v>3506</v>
      </c>
      <c r="U451">
        <v>0</v>
      </c>
      <c r="V451" t="s">
        <v>14</v>
      </c>
      <c r="W451" t="s">
        <v>15</v>
      </c>
      <c r="X451" t="s">
        <v>3557</v>
      </c>
      <c r="Y451" t="s">
        <v>3506</v>
      </c>
      <c r="Z451">
        <v>0</v>
      </c>
      <c r="AA451" t="s">
        <v>18</v>
      </c>
    </row>
    <row r="452" spans="1:27" x14ac:dyDescent="0.3">
      <c r="A452" t="s">
        <v>1222</v>
      </c>
      <c r="B452" t="s">
        <v>3235</v>
      </c>
      <c r="C452" t="s">
        <v>4158</v>
      </c>
      <c r="D452" t="s">
        <v>1224</v>
      </c>
      <c r="E452">
        <v>127</v>
      </c>
      <c r="F452" t="s">
        <v>5</v>
      </c>
      <c r="G452">
        <v>47</v>
      </c>
      <c r="H452" t="s">
        <v>6</v>
      </c>
      <c r="I452">
        <v>-55.058284841564799</v>
      </c>
      <c r="J452" t="s">
        <v>7</v>
      </c>
      <c r="K452">
        <v>-0.43352980190208501</v>
      </c>
      <c r="L452" t="s">
        <v>8</v>
      </c>
      <c r="M452">
        <v>1.4702047456921501</v>
      </c>
      <c r="N452" t="s">
        <v>9</v>
      </c>
      <c r="O452">
        <v>-1.55197384861369</v>
      </c>
      <c r="P452" t="s">
        <v>10</v>
      </c>
      <c r="Q452">
        <v>0.44209695274208</v>
      </c>
      <c r="R452" t="s">
        <v>11</v>
      </c>
      <c r="S452" t="s">
        <v>3574</v>
      </c>
      <c r="T452" t="s">
        <v>3129</v>
      </c>
      <c r="U452">
        <v>0</v>
      </c>
      <c r="V452" t="s">
        <v>14</v>
      </c>
      <c r="W452" t="s">
        <v>15</v>
      </c>
      <c r="X452" t="s">
        <v>3575</v>
      </c>
      <c r="Y452" t="s">
        <v>2793</v>
      </c>
      <c r="Z452">
        <v>0</v>
      </c>
      <c r="AA452" t="s">
        <v>18</v>
      </c>
    </row>
    <row r="453" spans="1:27" x14ac:dyDescent="0.3">
      <c r="A453" t="s">
        <v>1222</v>
      </c>
      <c r="B453" t="s">
        <v>3256</v>
      </c>
      <c r="C453" t="s">
        <v>4159</v>
      </c>
      <c r="D453" t="s">
        <v>1224</v>
      </c>
      <c r="E453">
        <v>136</v>
      </c>
      <c r="F453" t="s">
        <v>5</v>
      </c>
      <c r="G453">
        <v>69</v>
      </c>
      <c r="H453" t="s">
        <v>6</v>
      </c>
      <c r="I453">
        <v>-55.139999999999901</v>
      </c>
      <c r="J453" t="s">
        <v>7</v>
      </c>
      <c r="K453">
        <v>-0.40544117647058697</v>
      </c>
      <c r="L453" t="s">
        <v>8</v>
      </c>
      <c r="M453">
        <v>0.96202898550724603</v>
      </c>
      <c r="N453" t="s">
        <v>9</v>
      </c>
      <c r="O453">
        <v>-1.81373134328358</v>
      </c>
      <c r="P453" t="s">
        <v>10</v>
      </c>
      <c r="Q453">
        <v>0.29723167689249402</v>
      </c>
      <c r="R453" t="s">
        <v>11</v>
      </c>
      <c r="S453" t="s">
        <v>3523</v>
      </c>
      <c r="T453" t="s">
        <v>730</v>
      </c>
      <c r="U453">
        <v>0</v>
      </c>
      <c r="V453" t="s">
        <v>14</v>
      </c>
      <c r="W453" t="s">
        <v>15</v>
      </c>
      <c r="X453" t="s">
        <v>3586</v>
      </c>
      <c r="Y453" t="s">
        <v>730</v>
      </c>
      <c r="Z453">
        <v>0</v>
      </c>
      <c r="AA453" t="s">
        <v>18</v>
      </c>
    </row>
    <row r="454" spans="1:27" x14ac:dyDescent="0.3">
      <c r="A454" t="s">
        <v>3293</v>
      </c>
      <c r="B454" t="s">
        <v>3241</v>
      </c>
      <c r="C454" t="s">
        <v>4160</v>
      </c>
      <c r="D454" t="s">
        <v>1224</v>
      </c>
      <c r="E454">
        <v>334</v>
      </c>
      <c r="F454" t="s">
        <v>5</v>
      </c>
      <c r="G454">
        <v>150</v>
      </c>
      <c r="H454" t="s">
        <v>6</v>
      </c>
      <c r="I454">
        <v>-55.209999999999702</v>
      </c>
      <c r="J454" t="s">
        <v>7</v>
      </c>
      <c r="K454">
        <v>-0.165299401197604</v>
      </c>
      <c r="L454" t="s">
        <v>8</v>
      </c>
      <c r="M454">
        <v>0.86280000000000001</v>
      </c>
      <c r="N454" t="s">
        <v>9</v>
      </c>
      <c r="O454">
        <v>-1.01445054945054</v>
      </c>
      <c r="P454" t="s">
        <v>10</v>
      </c>
      <c r="Q454">
        <v>0.65583631549848398</v>
      </c>
      <c r="R454" t="s">
        <v>11</v>
      </c>
      <c r="S454" t="s">
        <v>3639</v>
      </c>
      <c r="T454" t="s">
        <v>2897</v>
      </c>
      <c r="U454">
        <v>0</v>
      </c>
      <c r="V454" t="s">
        <v>14</v>
      </c>
      <c r="W454" t="s">
        <v>15</v>
      </c>
      <c r="X454" t="s">
        <v>3674</v>
      </c>
      <c r="Y454" t="s">
        <v>3567</v>
      </c>
      <c r="Z454">
        <v>0</v>
      </c>
      <c r="AA454" t="s">
        <v>18</v>
      </c>
    </row>
    <row r="455" spans="1:27" x14ac:dyDescent="0.3">
      <c r="A455" t="s">
        <v>3293</v>
      </c>
      <c r="B455" t="s">
        <v>3239</v>
      </c>
      <c r="C455" t="s">
        <v>4161</v>
      </c>
      <c r="D455" t="s">
        <v>1224</v>
      </c>
      <c r="E455">
        <v>334</v>
      </c>
      <c r="F455" t="s">
        <v>5</v>
      </c>
      <c r="G455">
        <v>160</v>
      </c>
      <c r="H455" t="s">
        <v>6</v>
      </c>
      <c r="I455">
        <v>-55.269999999999797</v>
      </c>
      <c r="J455" t="s">
        <v>7</v>
      </c>
      <c r="K455">
        <v>-0.165479041916167</v>
      </c>
      <c r="L455" t="s">
        <v>8</v>
      </c>
      <c r="M455">
        <v>0.72643749999999996</v>
      </c>
      <c r="N455" t="s">
        <v>9</v>
      </c>
      <c r="O455">
        <v>-0.99709302325581295</v>
      </c>
      <c r="P455" t="s">
        <v>10</v>
      </c>
      <c r="Q455">
        <v>0.563286507370098</v>
      </c>
      <c r="R455" t="s">
        <v>11</v>
      </c>
      <c r="S455" t="s">
        <v>3540</v>
      </c>
      <c r="T455" t="s">
        <v>3333</v>
      </c>
      <c r="U455">
        <v>0</v>
      </c>
      <c r="V455" t="s">
        <v>14</v>
      </c>
      <c r="W455" t="s">
        <v>15</v>
      </c>
      <c r="X455" t="s">
        <v>3636</v>
      </c>
      <c r="Y455" t="s">
        <v>3485</v>
      </c>
      <c r="Z455">
        <v>0</v>
      </c>
      <c r="AA455" t="s">
        <v>18</v>
      </c>
    </row>
    <row r="456" spans="1:27" x14ac:dyDescent="0.3">
      <c r="A456" t="s">
        <v>3293</v>
      </c>
      <c r="B456" t="s">
        <v>3269</v>
      </c>
      <c r="C456" t="s">
        <v>4162</v>
      </c>
      <c r="D456" t="s">
        <v>1224</v>
      </c>
      <c r="E456">
        <v>331</v>
      </c>
      <c r="F456" t="s">
        <v>5</v>
      </c>
      <c r="G456">
        <v>141</v>
      </c>
      <c r="H456" t="s">
        <v>6</v>
      </c>
      <c r="I456">
        <v>-55.741381498395803</v>
      </c>
      <c r="J456" t="s">
        <v>7</v>
      </c>
      <c r="K456">
        <v>-0.168402965251951</v>
      </c>
      <c r="L456" t="s">
        <v>8</v>
      </c>
      <c r="M456">
        <v>1.87757477402055</v>
      </c>
      <c r="N456" t="s">
        <v>9</v>
      </c>
      <c r="O456">
        <v>-1.6867338138699599</v>
      </c>
      <c r="P456" t="s">
        <v>10</v>
      </c>
      <c r="Q456">
        <v>0.76350774097116203</v>
      </c>
      <c r="R456" t="s">
        <v>11</v>
      </c>
      <c r="S456" t="s">
        <v>3654</v>
      </c>
      <c r="T456" t="s">
        <v>1959</v>
      </c>
      <c r="U456">
        <v>0</v>
      </c>
      <c r="V456" t="s">
        <v>14</v>
      </c>
      <c r="W456" t="s">
        <v>15</v>
      </c>
      <c r="X456" t="s">
        <v>3655</v>
      </c>
      <c r="Y456" t="s">
        <v>2123</v>
      </c>
      <c r="Z456">
        <v>0</v>
      </c>
      <c r="AA456" t="s">
        <v>18</v>
      </c>
    </row>
    <row r="457" spans="1:27" x14ac:dyDescent="0.3">
      <c r="A457" t="s">
        <v>3293</v>
      </c>
      <c r="B457" t="s">
        <v>3202</v>
      </c>
      <c r="C457" t="s">
        <v>4163</v>
      </c>
      <c r="D457" t="s">
        <v>1224</v>
      </c>
      <c r="E457">
        <v>334</v>
      </c>
      <c r="F457" t="s">
        <v>5</v>
      </c>
      <c r="G457">
        <v>198</v>
      </c>
      <c r="H457" t="s">
        <v>6</v>
      </c>
      <c r="I457">
        <v>-56.169999999999902</v>
      </c>
      <c r="J457" t="s">
        <v>7</v>
      </c>
      <c r="K457">
        <v>-0.16817365269460999</v>
      </c>
      <c r="L457" t="s">
        <v>8</v>
      </c>
      <c r="M457">
        <v>0.83782828282828303</v>
      </c>
      <c r="N457" t="s">
        <v>9</v>
      </c>
      <c r="O457">
        <v>-1.63279411764705</v>
      </c>
      <c r="P457" t="s">
        <v>10</v>
      </c>
      <c r="Q457">
        <v>0.57728292499337597</v>
      </c>
      <c r="R457" t="s">
        <v>11</v>
      </c>
      <c r="S457" t="s">
        <v>3403</v>
      </c>
      <c r="T457" t="s">
        <v>730</v>
      </c>
      <c r="U457">
        <v>0</v>
      </c>
      <c r="V457" t="s">
        <v>14</v>
      </c>
      <c r="W457" t="s">
        <v>15</v>
      </c>
      <c r="X457" t="s">
        <v>3612</v>
      </c>
      <c r="Y457" t="s">
        <v>785</v>
      </c>
      <c r="Z457">
        <v>0</v>
      </c>
      <c r="AA457" t="s">
        <v>18</v>
      </c>
    </row>
    <row r="458" spans="1:27" x14ac:dyDescent="0.3">
      <c r="A458" t="s">
        <v>1223</v>
      </c>
      <c r="B458" t="s">
        <v>3280</v>
      </c>
      <c r="C458" t="s">
        <v>4164</v>
      </c>
      <c r="D458" t="s">
        <v>1224</v>
      </c>
      <c r="E458">
        <v>376</v>
      </c>
      <c r="F458" t="s">
        <v>5</v>
      </c>
      <c r="G458">
        <v>220</v>
      </c>
      <c r="H458" t="s">
        <v>6</v>
      </c>
      <c r="I458">
        <v>-56.690438400054703</v>
      </c>
      <c r="J458" t="s">
        <v>7</v>
      </c>
      <c r="K458">
        <v>-0.15077244255333699</v>
      </c>
      <c r="L458" t="s">
        <v>8</v>
      </c>
      <c r="M458">
        <v>0.94564070648160603</v>
      </c>
      <c r="N458" t="s">
        <v>9</v>
      </c>
      <c r="O458">
        <v>-1.69699611426928</v>
      </c>
      <c r="P458" t="s">
        <v>10</v>
      </c>
      <c r="Q458">
        <v>0.68207011179541599</v>
      </c>
      <c r="R458" t="s">
        <v>11</v>
      </c>
      <c r="S458" t="s">
        <v>2657</v>
      </c>
      <c r="T458" t="s">
        <v>3303</v>
      </c>
      <c r="U458">
        <v>0</v>
      </c>
      <c r="V458" t="s">
        <v>14</v>
      </c>
      <c r="W458" t="s">
        <v>15</v>
      </c>
      <c r="X458" t="s">
        <v>3665</v>
      </c>
      <c r="Y458" t="s">
        <v>3296</v>
      </c>
      <c r="Z458">
        <v>0</v>
      </c>
      <c r="AA458" t="s">
        <v>18</v>
      </c>
    </row>
    <row r="459" spans="1:27" x14ac:dyDescent="0.3">
      <c r="A459" t="s">
        <v>3293</v>
      </c>
      <c r="B459" t="s">
        <v>3213</v>
      </c>
      <c r="C459" t="s">
        <v>4165</v>
      </c>
      <c r="D459" t="s">
        <v>1224</v>
      </c>
      <c r="E459">
        <v>335</v>
      </c>
      <c r="F459" t="s">
        <v>5</v>
      </c>
      <c r="G459">
        <v>141</v>
      </c>
      <c r="H459" t="s">
        <v>6</v>
      </c>
      <c r="I459">
        <v>-57.099999999999902</v>
      </c>
      <c r="J459" t="s">
        <v>7</v>
      </c>
      <c r="K459">
        <v>-0.17044776119402899</v>
      </c>
      <c r="L459" t="s">
        <v>8</v>
      </c>
      <c r="M459">
        <v>2.0839007092198498</v>
      </c>
      <c r="N459" t="s">
        <v>9</v>
      </c>
      <c r="O459">
        <v>-1.80891752577319</v>
      </c>
      <c r="P459" t="s">
        <v>10</v>
      </c>
      <c r="Q459">
        <v>1.0389849426782301</v>
      </c>
      <c r="R459" t="s">
        <v>11</v>
      </c>
      <c r="S459" t="s">
        <v>2657</v>
      </c>
      <c r="T459" t="s">
        <v>3303</v>
      </c>
      <c r="U459">
        <v>0</v>
      </c>
      <c r="V459" t="s">
        <v>14</v>
      </c>
      <c r="W459" t="s">
        <v>15</v>
      </c>
      <c r="X459" t="s">
        <v>3670</v>
      </c>
      <c r="Y459" t="s">
        <v>2644</v>
      </c>
      <c r="Z459">
        <v>0</v>
      </c>
      <c r="AA459" t="s">
        <v>18</v>
      </c>
    </row>
    <row r="460" spans="1:27" x14ac:dyDescent="0.3">
      <c r="A460" t="s">
        <v>3292</v>
      </c>
      <c r="B460" t="s">
        <v>3229</v>
      </c>
      <c r="C460" t="s">
        <v>4166</v>
      </c>
      <c r="D460" t="s">
        <v>1224</v>
      </c>
      <c r="E460">
        <v>165</v>
      </c>
      <c r="F460" t="s">
        <v>5</v>
      </c>
      <c r="G460">
        <v>75</v>
      </c>
      <c r="H460" t="s">
        <v>6</v>
      </c>
      <c r="I460">
        <v>-57.299999999999898</v>
      </c>
      <c r="J460" t="s">
        <v>7</v>
      </c>
      <c r="K460">
        <v>-0.34727272727272601</v>
      </c>
      <c r="L460" t="s">
        <v>8</v>
      </c>
      <c r="M460">
        <v>1.0035999999999901</v>
      </c>
      <c r="N460" t="s">
        <v>9</v>
      </c>
      <c r="O460">
        <v>-1.4729999999999901</v>
      </c>
      <c r="P460" t="s">
        <v>10</v>
      </c>
      <c r="Q460">
        <v>0.44575502337466899</v>
      </c>
      <c r="R460" t="s">
        <v>11</v>
      </c>
      <c r="S460" t="s">
        <v>1384</v>
      </c>
      <c r="T460" t="s">
        <v>3073</v>
      </c>
      <c r="U460">
        <v>0</v>
      </c>
      <c r="V460" t="s">
        <v>14</v>
      </c>
      <c r="W460" t="s">
        <v>15</v>
      </c>
      <c r="X460" t="s">
        <v>3414</v>
      </c>
      <c r="Y460" t="s">
        <v>2655</v>
      </c>
      <c r="Z460">
        <v>0</v>
      </c>
      <c r="AA460" t="s">
        <v>18</v>
      </c>
    </row>
    <row r="461" spans="1:27" x14ac:dyDescent="0.3">
      <c r="A461" t="s">
        <v>1222</v>
      </c>
      <c r="B461" t="s">
        <v>3274</v>
      </c>
      <c r="C461" t="s">
        <v>4167</v>
      </c>
      <c r="D461" t="s">
        <v>1224</v>
      </c>
      <c r="E461">
        <v>136</v>
      </c>
      <c r="F461" t="s">
        <v>5</v>
      </c>
      <c r="G461">
        <v>73</v>
      </c>
      <c r="H461" t="s">
        <v>6</v>
      </c>
      <c r="I461">
        <v>-57.39</v>
      </c>
      <c r="J461" t="s">
        <v>7</v>
      </c>
      <c r="K461">
        <v>-0.42198529411764701</v>
      </c>
      <c r="L461" t="s">
        <v>8</v>
      </c>
      <c r="M461">
        <v>0.88986301369862897</v>
      </c>
      <c r="N461" t="s">
        <v>9</v>
      </c>
      <c r="O461">
        <v>-1.94206349206349</v>
      </c>
      <c r="P461" t="s">
        <v>10</v>
      </c>
      <c r="Q461">
        <v>0.28475360394084598</v>
      </c>
      <c r="R461" t="s">
        <v>11</v>
      </c>
      <c r="S461" t="s">
        <v>3403</v>
      </c>
      <c r="T461" t="s">
        <v>730</v>
      </c>
      <c r="U461">
        <v>0</v>
      </c>
      <c r="V461" t="s">
        <v>14</v>
      </c>
      <c r="W461" t="s">
        <v>15</v>
      </c>
      <c r="X461" t="s">
        <v>3596</v>
      </c>
      <c r="Y461" t="s">
        <v>618</v>
      </c>
      <c r="Z461">
        <v>0</v>
      </c>
      <c r="AA461" t="s">
        <v>18</v>
      </c>
    </row>
    <row r="462" spans="1:27" x14ac:dyDescent="0.3">
      <c r="A462" t="s">
        <v>1222</v>
      </c>
      <c r="B462" t="s">
        <v>3206</v>
      </c>
      <c r="C462" t="s">
        <v>4168</v>
      </c>
      <c r="D462" t="s">
        <v>1224</v>
      </c>
      <c r="E462">
        <v>136</v>
      </c>
      <c r="F462" t="s">
        <v>5</v>
      </c>
      <c r="G462">
        <v>49</v>
      </c>
      <c r="H462" t="s">
        <v>6</v>
      </c>
      <c r="I462">
        <v>-57.779999999999902</v>
      </c>
      <c r="J462" t="s">
        <v>7</v>
      </c>
      <c r="K462">
        <v>-0.42485294117646999</v>
      </c>
      <c r="L462" t="s">
        <v>8</v>
      </c>
      <c r="M462">
        <v>2.0114285714285698</v>
      </c>
      <c r="N462" t="s">
        <v>9</v>
      </c>
      <c r="O462">
        <v>-1.7970114942528701</v>
      </c>
      <c r="P462" t="s">
        <v>10</v>
      </c>
      <c r="Q462">
        <v>0.52254591386640503</v>
      </c>
      <c r="R462" t="s">
        <v>11</v>
      </c>
      <c r="S462" t="s">
        <v>3552</v>
      </c>
      <c r="T462" t="s">
        <v>2783</v>
      </c>
      <c r="U462">
        <v>0</v>
      </c>
      <c r="V462" t="s">
        <v>14</v>
      </c>
      <c r="W462" t="s">
        <v>15</v>
      </c>
      <c r="X462" t="s">
        <v>3553</v>
      </c>
      <c r="Y462" t="s">
        <v>2783</v>
      </c>
      <c r="Z462">
        <v>0</v>
      </c>
      <c r="AA462" t="s">
        <v>18</v>
      </c>
    </row>
    <row r="463" spans="1:27" x14ac:dyDescent="0.3">
      <c r="A463" t="s">
        <v>1219</v>
      </c>
      <c r="B463" t="s">
        <v>3205</v>
      </c>
      <c r="C463" t="s">
        <v>4169</v>
      </c>
      <c r="D463" t="s">
        <v>1224</v>
      </c>
      <c r="E463">
        <v>169</v>
      </c>
      <c r="F463" t="s">
        <v>5</v>
      </c>
      <c r="G463">
        <v>75</v>
      </c>
      <c r="H463" t="s">
        <v>6</v>
      </c>
      <c r="I463">
        <v>-57.799999999999898</v>
      </c>
      <c r="J463" t="s">
        <v>7</v>
      </c>
      <c r="K463">
        <v>-0.34201183431952598</v>
      </c>
      <c r="L463" t="s">
        <v>8</v>
      </c>
      <c r="M463">
        <v>1.3915999999999999</v>
      </c>
      <c r="N463" t="s">
        <v>9</v>
      </c>
      <c r="O463">
        <v>-1.7252127659574401</v>
      </c>
      <c r="P463" t="s">
        <v>10</v>
      </c>
      <c r="Q463">
        <v>0.53244373026373804</v>
      </c>
      <c r="R463" t="s">
        <v>11</v>
      </c>
      <c r="S463" t="s">
        <v>3301</v>
      </c>
      <c r="T463" t="s">
        <v>2627</v>
      </c>
    </row>
    <row r="464" spans="1:27" x14ac:dyDescent="0.3">
      <c r="A464" t="s">
        <v>1223</v>
      </c>
      <c r="B464" t="s">
        <v>3259</v>
      </c>
      <c r="C464" t="s">
        <v>4170</v>
      </c>
      <c r="D464" t="s">
        <v>1224</v>
      </c>
      <c r="E464">
        <v>375</v>
      </c>
      <c r="F464" t="s">
        <v>5</v>
      </c>
      <c r="G464">
        <v>135</v>
      </c>
      <c r="H464" t="s">
        <v>6</v>
      </c>
      <c r="I464">
        <v>-58.269999999999897</v>
      </c>
      <c r="J464" t="s">
        <v>7</v>
      </c>
      <c r="K464">
        <v>-0.15538666666666601</v>
      </c>
      <c r="L464" t="s">
        <v>8</v>
      </c>
      <c r="M464">
        <v>2.4009629629629599</v>
      </c>
      <c r="N464" t="s">
        <v>9</v>
      </c>
      <c r="O464">
        <v>-1.5933333333333299</v>
      </c>
      <c r="P464" t="s">
        <v>10</v>
      </c>
      <c r="Q464">
        <v>1.33211148587283</v>
      </c>
      <c r="R464" t="s">
        <v>11</v>
      </c>
      <c r="S464" t="s">
        <v>3645</v>
      </c>
      <c r="T464" t="s">
        <v>2834</v>
      </c>
      <c r="U464">
        <v>0</v>
      </c>
      <c r="V464" t="s">
        <v>14</v>
      </c>
      <c r="W464" t="s">
        <v>15</v>
      </c>
      <c r="X464" t="s">
        <v>3644</v>
      </c>
      <c r="Y464" t="s">
        <v>832</v>
      </c>
      <c r="Z464">
        <v>0</v>
      </c>
      <c r="AA464" t="s">
        <v>18</v>
      </c>
    </row>
    <row r="465" spans="1:27" x14ac:dyDescent="0.3">
      <c r="A465" t="s">
        <v>3293</v>
      </c>
      <c r="B465" t="s">
        <v>3215</v>
      </c>
      <c r="C465" t="s">
        <v>4171</v>
      </c>
      <c r="D465" t="s">
        <v>1224</v>
      </c>
      <c r="E465">
        <v>331</v>
      </c>
      <c r="F465" t="s">
        <v>5</v>
      </c>
      <c r="G465">
        <v>171</v>
      </c>
      <c r="H465" t="s">
        <v>6</v>
      </c>
      <c r="I465">
        <v>-58.323280030492299</v>
      </c>
      <c r="J465" t="s">
        <v>7</v>
      </c>
      <c r="K465">
        <v>-0.176203262932</v>
      </c>
      <c r="L465" t="s">
        <v>8</v>
      </c>
      <c r="M465">
        <v>1.34994254782995</v>
      </c>
      <c r="N465" t="s">
        <v>9</v>
      </c>
      <c r="O465">
        <v>-1.8072715981838401</v>
      </c>
      <c r="P465" t="s">
        <v>10</v>
      </c>
      <c r="Q465">
        <v>0.71473644042590001</v>
      </c>
      <c r="R465" t="s">
        <v>11</v>
      </c>
      <c r="S465" t="s">
        <v>2657</v>
      </c>
      <c r="T465" t="s">
        <v>3303</v>
      </c>
      <c r="U465">
        <v>0</v>
      </c>
      <c r="V465" t="s">
        <v>14</v>
      </c>
      <c r="W465" t="s">
        <v>15</v>
      </c>
      <c r="X465" t="s">
        <v>3618</v>
      </c>
      <c r="Y465" t="s">
        <v>3333</v>
      </c>
      <c r="Z465">
        <v>0</v>
      </c>
      <c r="AA465" t="s">
        <v>18</v>
      </c>
    </row>
    <row r="466" spans="1:27" x14ac:dyDescent="0.3">
      <c r="A466" t="s">
        <v>3293</v>
      </c>
      <c r="B466" t="s">
        <v>3204</v>
      </c>
      <c r="C466" t="s">
        <v>4172</v>
      </c>
      <c r="D466" t="s">
        <v>1224</v>
      </c>
      <c r="E466">
        <v>334</v>
      </c>
      <c r="F466" t="s">
        <v>5</v>
      </c>
      <c r="G466">
        <v>168</v>
      </c>
      <c r="H466" t="s">
        <v>6</v>
      </c>
      <c r="I466">
        <v>-58.389999999999802</v>
      </c>
      <c r="J466" t="s">
        <v>7</v>
      </c>
      <c r="K466">
        <v>-0.17482035928143599</v>
      </c>
      <c r="L466" t="s">
        <v>8</v>
      </c>
      <c r="M466">
        <v>1.30708333333333</v>
      </c>
      <c r="N466" t="s">
        <v>9</v>
      </c>
      <c r="O466">
        <v>-1.6745783132530101</v>
      </c>
      <c r="P466" t="s">
        <v>10</v>
      </c>
      <c r="Q466">
        <v>0.75945516927655299</v>
      </c>
      <c r="R466" t="s">
        <v>11</v>
      </c>
      <c r="S466" t="s">
        <v>3668</v>
      </c>
      <c r="T466" t="s">
        <v>154</v>
      </c>
      <c r="U466">
        <v>0</v>
      </c>
      <c r="V466" t="s">
        <v>14</v>
      </c>
      <c r="W466" t="s">
        <v>15</v>
      </c>
      <c r="X466" t="s">
        <v>3669</v>
      </c>
      <c r="Y466" t="s">
        <v>832</v>
      </c>
      <c r="Z466">
        <v>0</v>
      </c>
      <c r="AA466" t="s">
        <v>18</v>
      </c>
    </row>
    <row r="467" spans="1:27" x14ac:dyDescent="0.3">
      <c r="A467" t="s">
        <v>1223</v>
      </c>
      <c r="B467" t="s">
        <v>3229</v>
      </c>
      <c r="C467" t="s">
        <v>4173</v>
      </c>
      <c r="D467" t="s">
        <v>1224</v>
      </c>
      <c r="E467">
        <v>376</v>
      </c>
      <c r="F467" t="s">
        <v>5</v>
      </c>
      <c r="G467">
        <v>177</v>
      </c>
      <c r="H467" t="s">
        <v>6</v>
      </c>
      <c r="I467">
        <v>-58.432146302788198</v>
      </c>
      <c r="J467" t="s">
        <v>7</v>
      </c>
      <c r="K467">
        <v>-0.155404644422309</v>
      </c>
      <c r="L467" t="s">
        <v>8</v>
      </c>
      <c r="M467">
        <v>1.3845641451819799</v>
      </c>
      <c r="N467" t="s">
        <v>9</v>
      </c>
      <c r="O467">
        <v>-1.5251256281407</v>
      </c>
      <c r="P467" t="s">
        <v>10</v>
      </c>
      <c r="Q467">
        <v>0.89090953575229903</v>
      </c>
      <c r="R467" t="s">
        <v>11</v>
      </c>
      <c r="S467" t="s">
        <v>3628</v>
      </c>
      <c r="T467" t="s">
        <v>3629</v>
      </c>
      <c r="U467">
        <v>0</v>
      </c>
      <c r="V467" t="s">
        <v>14</v>
      </c>
      <c r="W467" t="s">
        <v>15</v>
      </c>
      <c r="X467" t="s">
        <v>3630</v>
      </c>
      <c r="Y467" t="s">
        <v>3296</v>
      </c>
      <c r="Z467">
        <v>0</v>
      </c>
      <c r="AA467" t="s">
        <v>18</v>
      </c>
    </row>
    <row r="468" spans="1:27" x14ac:dyDescent="0.3">
      <c r="A468" t="s">
        <v>3292</v>
      </c>
      <c r="B468" t="s">
        <v>3273</v>
      </c>
      <c r="C468" t="s">
        <v>4174</v>
      </c>
      <c r="D468" t="s">
        <v>1224</v>
      </c>
      <c r="E468">
        <v>157</v>
      </c>
      <c r="F468" t="s">
        <v>5</v>
      </c>
      <c r="G468">
        <v>18</v>
      </c>
      <c r="H468" t="s">
        <v>6</v>
      </c>
      <c r="I468">
        <v>-58.457031619653002</v>
      </c>
      <c r="J468" t="s">
        <v>7</v>
      </c>
      <c r="K468">
        <v>-0.37233778101689802</v>
      </c>
      <c r="L468" t="s">
        <v>8</v>
      </c>
      <c r="M468">
        <v>9.9783333333333299</v>
      </c>
      <c r="N468" t="s">
        <v>9</v>
      </c>
      <c r="O468">
        <v>-1.7127124576953401</v>
      </c>
      <c r="P468" t="s">
        <v>10</v>
      </c>
      <c r="Q468">
        <v>1.0083754815120101</v>
      </c>
      <c r="R468" t="s">
        <v>11</v>
      </c>
      <c r="S468" t="s">
        <v>3443</v>
      </c>
      <c r="T468" t="s">
        <v>3019</v>
      </c>
    </row>
    <row r="469" spans="1:27" x14ac:dyDescent="0.3">
      <c r="A469" t="s">
        <v>1222</v>
      </c>
      <c r="B469" t="s">
        <v>3222</v>
      </c>
      <c r="C469" t="s">
        <v>4175</v>
      </c>
      <c r="D469" t="s">
        <v>1224</v>
      </c>
      <c r="E469">
        <v>136</v>
      </c>
      <c r="F469" t="s">
        <v>5</v>
      </c>
      <c r="G469">
        <v>54</v>
      </c>
      <c r="H469" t="s">
        <v>6</v>
      </c>
      <c r="I469">
        <v>-58.54</v>
      </c>
      <c r="J469" t="s">
        <v>7</v>
      </c>
      <c r="K469">
        <v>-0.43044117647058799</v>
      </c>
      <c r="L469" t="s">
        <v>8</v>
      </c>
      <c r="M469">
        <v>1.0609259259259201</v>
      </c>
      <c r="N469" t="s">
        <v>9</v>
      </c>
      <c r="O469">
        <v>-1.43</v>
      </c>
      <c r="P469" t="s">
        <v>10</v>
      </c>
      <c r="Q469">
        <v>0.37019679920223603</v>
      </c>
      <c r="R469" t="s">
        <v>11</v>
      </c>
      <c r="S469" t="s">
        <v>3564</v>
      </c>
      <c r="T469" t="s">
        <v>21</v>
      </c>
      <c r="U469">
        <v>0</v>
      </c>
      <c r="V469" t="s">
        <v>14</v>
      </c>
      <c r="W469" t="s">
        <v>15</v>
      </c>
      <c r="X469" t="s">
        <v>2690</v>
      </c>
      <c r="Y469" t="s">
        <v>21</v>
      </c>
      <c r="Z469">
        <v>0</v>
      </c>
      <c r="AA469" t="s">
        <v>18</v>
      </c>
    </row>
    <row r="470" spans="1:27" x14ac:dyDescent="0.3">
      <c r="A470" t="s">
        <v>1222</v>
      </c>
      <c r="B470" t="s">
        <v>3220</v>
      </c>
      <c r="C470" t="s">
        <v>4176</v>
      </c>
      <c r="D470" t="s">
        <v>1224</v>
      </c>
      <c r="E470">
        <v>136</v>
      </c>
      <c r="F470" t="s">
        <v>5</v>
      </c>
      <c r="G470">
        <v>65</v>
      </c>
      <c r="H470" t="s">
        <v>6</v>
      </c>
      <c r="I470">
        <v>-59</v>
      </c>
      <c r="J470" t="s">
        <v>7</v>
      </c>
      <c r="K470">
        <v>-0.433823529411764</v>
      </c>
      <c r="L470" t="s">
        <v>8</v>
      </c>
      <c r="M470">
        <v>0.61415384615384605</v>
      </c>
      <c r="N470" t="s">
        <v>9</v>
      </c>
      <c r="O470">
        <v>-1.3932394366197101</v>
      </c>
      <c r="P470" t="s">
        <v>10</v>
      </c>
      <c r="Q470">
        <v>0.29654185408549699</v>
      </c>
      <c r="R470" t="s">
        <v>11</v>
      </c>
      <c r="S470" t="s">
        <v>3564</v>
      </c>
      <c r="T470" t="s">
        <v>21</v>
      </c>
      <c r="U470">
        <v>0</v>
      </c>
      <c r="V470" t="s">
        <v>14</v>
      </c>
      <c r="W470" t="s">
        <v>15</v>
      </c>
      <c r="X470" t="s">
        <v>2690</v>
      </c>
      <c r="Y470" t="s">
        <v>21</v>
      </c>
      <c r="Z470">
        <v>0</v>
      </c>
      <c r="AA470" t="s">
        <v>18</v>
      </c>
    </row>
    <row r="471" spans="1:27" x14ac:dyDescent="0.3">
      <c r="A471" t="s">
        <v>1222</v>
      </c>
      <c r="B471" t="s">
        <v>3224</v>
      </c>
      <c r="C471" t="s">
        <v>4177</v>
      </c>
      <c r="D471" t="s">
        <v>1224</v>
      </c>
      <c r="E471">
        <v>136</v>
      </c>
      <c r="F471" t="s">
        <v>5</v>
      </c>
      <c r="G471">
        <v>49</v>
      </c>
      <c r="H471" t="s">
        <v>6</v>
      </c>
      <c r="I471">
        <v>-59.089999999999897</v>
      </c>
      <c r="J471" t="s">
        <v>7</v>
      </c>
      <c r="K471">
        <v>-0.43448529411764603</v>
      </c>
      <c r="L471" t="s">
        <v>8</v>
      </c>
      <c r="M471">
        <v>1.42224489795918</v>
      </c>
      <c r="N471" t="s">
        <v>9</v>
      </c>
      <c r="O471">
        <v>-1.4974418604651101</v>
      </c>
      <c r="P471" t="s">
        <v>10</v>
      </c>
      <c r="Q471">
        <v>0.48122324183179899</v>
      </c>
      <c r="R471" t="s">
        <v>11</v>
      </c>
      <c r="S471" t="s">
        <v>3564</v>
      </c>
      <c r="T471" t="s">
        <v>21</v>
      </c>
      <c r="U471">
        <v>0</v>
      </c>
      <c r="V471" t="s">
        <v>14</v>
      </c>
      <c r="W471" t="s">
        <v>15</v>
      </c>
      <c r="X471" t="s">
        <v>2690</v>
      </c>
      <c r="Y471" t="s">
        <v>21</v>
      </c>
      <c r="Z471">
        <v>0</v>
      </c>
      <c r="AA471" t="s">
        <v>18</v>
      </c>
    </row>
    <row r="472" spans="1:27" x14ac:dyDescent="0.3">
      <c r="A472" t="s">
        <v>1222</v>
      </c>
      <c r="B472" t="s">
        <v>3225</v>
      </c>
      <c r="C472" t="s">
        <v>4178</v>
      </c>
      <c r="D472" t="s">
        <v>1224</v>
      </c>
      <c r="E472">
        <v>136</v>
      </c>
      <c r="F472" t="s">
        <v>5</v>
      </c>
      <c r="G472">
        <v>49</v>
      </c>
      <c r="H472" t="s">
        <v>6</v>
      </c>
      <c r="I472">
        <v>-59.089999999999897</v>
      </c>
      <c r="J472" t="s">
        <v>7</v>
      </c>
      <c r="K472">
        <v>-0.43448529411764603</v>
      </c>
      <c r="L472" t="s">
        <v>8</v>
      </c>
      <c r="M472">
        <v>1.42224489795918</v>
      </c>
      <c r="N472" t="s">
        <v>9</v>
      </c>
      <c r="O472">
        <v>-1.4974418604651101</v>
      </c>
      <c r="P472" t="s">
        <v>10</v>
      </c>
      <c r="Q472">
        <v>0.48122324183179899</v>
      </c>
      <c r="R472" t="s">
        <v>11</v>
      </c>
      <c r="S472" t="s">
        <v>3564</v>
      </c>
      <c r="T472" t="s">
        <v>21</v>
      </c>
      <c r="U472">
        <v>0</v>
      </c>
      <c r="V472" t="s">
        <v>14</v>
      </c>
      <c r="W472" t="s">
        <v>15</v>
      </c>
      <c r="X472" t="s">
        <v>2690</v>
      </c>
      <c r="Y472" t="s">
        <v>21</v>
      </c>
      <c r="Z472">
        <v>0</v>
      </c>
      <c r="AA472" t="s">
        <v>18</v>
      </c>
    </row>
    <row r="473" spans="1:27" x14ac:dyDescent="0.3">
      <c r="A473" t="s">
        <v>1219</v>
      </c>
      <c r="B473" t="s">
        <v>3266</v>
      </c>
      <c r="C473" t="s">
        <v>4179</v>
      </c>
      <c r="D473" t="s">
        <v>1224</v>
      </c>
      <c r="E473">
        <v>178</v>
      </c>
      <c r="F473" t="s">
        <v>5</v>
      </c>
      <c r="G473">
        <v>33</v>
      </c>
      <c r="H473" t="s">
        <v>6</v>
      </c>
      <c r="I473">
        <v>-59.09</v>
      </c>
      <c r="J473" t="s">
        <v>7</v>
      </c>
      <c r="K473">
        <v>-0.33196629213483098</v>
      </c>
      <c r="L473" t="s">
        <v>8</v>
      </c>
      <c r="M473">
        <v>5.3987878787878696</v>
      </c>
      <c r="N473" t="s">
        <v>9</v>
      </c>
      <c r="O473">
        <v>-1.63620689655172</v>
      </c>
      <c r="P473" t="s">
        <v>10</v>
      </c>
      <c r="Q473">
        <v>0.72827091621263895</v>
      </c>
      <c r="R473" t="s">
        <v>11</v>
      </c>
      <c r="S473" t="s">
        <v>3433</v>
      </c>
      <c r="T473" t="s">
        <v>2698</v>
      </c>
      <c r="U473">
        <v>0</v>
      </c>
      <c r="V473" t="s">
        <v>14</v>
      </c>
      <c r="W473" t="s">
        <v>15</v>
      </c>
      <c r="X473" t="s">
        <v>3436</v>
      </c>
      <c r="Y473" t="s">
        <v>2169</v>
      </c>
      <c r="Z473">
        <v>0</v>
      </c>
      <c r="AA473" t="s">
        <v>18</v>
      </c>
    </row>
    <row r="474" spans="1:27" x14ac:dyDescent="0.3">
      <c r="A474" t="s">
        <v>1219</v>
      </c>
      <c r="B474" t="s">
        <v>3206</v>
      </c>
      <c r="C474" t="s">
        <v>4180</v>
      </c>
      <c r="D474" t="s">
        <v>1224</v>
      </c>
      <c r="E474">
        <v>169</v>
      </c>
      <c r="F474" t="s">
        <v>5</v>
      </c>
      <c r="G474">
        <v>72</v>
      </c>
      <c r="H474" t="s">
        <v>6</v>
      </c>
      <c r="I474">
        <v>-59.379999999999903</v>
      </c>
      <c r="J474" t="s">
        <v>7</v>
      </c>
      <c r="K474">
        <v>-0.35136094674556101</v>
      </c>
      <c r="L474" t="s">
        <v>8</v>
      </c>
      <c r="M474">
        <v>1.5031944444444401</v>
      </c>
      <c r="N474" t="s">
        <v>9</v>
      </c>
      <c r="O474">
        <v>-1.72793814432989</v>
      </c>
      <c r="P474" t="s">
        <v>10</v>
      </c>
      <c r="Q474">
        <v>0.59694930645316102</v>
      </c>
      <c r="R474" t="s">
        <v>11</v>
      </c>
      <c r="S474" t="s">
        <v>3301</v>
      </c>
      <c r="T474" t="s">
        <v>2627</v>
      </c>
    </row>
    <row r="475" spans="1:27" x14ac:dyDescent="0.3">
      <c r="A475" t="s">
        <v>1219</v>
      </c>
      <c r="B475" t="s">
        <v>3261</v>
      </c>
      <c r="C475" t="s">
        <v>4181</v>
      </c>
      <c r="D475" t="s">
        <v>1224</v>
      </c>
      <c r="E475">
        <v>169</v>
      </c>
      <c r="F475" t="s">
        <v>5</v>
      </c>
      <c r="G475">
        <v>47</v>
      </c>
      <c r="H475" t="s">
        <v>6</v>
      </c>
      <c r="I475">
        <v>-59.409999999999897</v>
      </c>
      <c r="J475" t="s">
        <v>7</v>
      </c>
      <c r="K475">
        <v>-0.35153846153846102</v>
      </c>
      <c r="L475" t="s">
        <v>8</v>
      </c>
      <c r="M475">
        <v>2.7357446808510599</v>
      </c>
      <c r="N475" t="s">
        <v>9</v>
      </c>
      <c r="O475">
        <v>-1.5409016393442601</v>
      </c>
      <c r="P475" t="s">
        <v>10</v>
      </c>
      <c r="Q475">
        <v>0.71489379317178903</v>
      </c>
      <c r="R475" t="s">
        <v>11</v>
      </c>
      <c r="S475" t="s">
        <v>1387</v>
      </c>
      <c r="T475" t="s">
        <v>2627</v>
      </c>
    </row>
    <row r="476" spans="1:27" x14ac:dyDescent="0.3">
      <c r="A476" t="s">
        <v>1220</v>
      </c>
      <c r="B476" t="s">
        <v>3209</v>
      </c>
      <c r="C476" t="s">
        <v>4182</v>
      </c>
      <c r="D476" t="s">
        <v>1224</v>
      </c>
      <c r="E476">
        <v>140</v>
      </c>
      <c r="F476" t="s">
        <v>5</v>
      </c>
      <c r="G476">
        <v>58</v>
      </c>
      <c r="H476" t="s">
        <v>6</v>
      </c>
      <c r="I476">
        <v>-59.589999999999897</v>
      </c>
      <c r="J476" t="s">
        <v>7</v>
      </c>
      <c r="K476">
        <v>-0.42564285714285699</v>
      </c>
      <c r="L476" t="s">
        <v>8</v>
      </c>
      <c r="M476">
        <v>1.4491379310344801</v>
      </c>
      <c r="N476" t="s">
        <v>9</v>
      </c>
      <c r="O476">
        <v>-1.7517073170731701</v>
      </c>
      <c r="P476" t="s">
        <v>10</v>
      </c>
      <c r="Q476">
        <v>0.35194133486205098</v>
      </c>
      <c r="R476" t="s">
        <v>11</v>
      </c>
      <c r="S476" t="s">
        <v>2657</v>
      </c>
      <c r="T476" t="s">
        <v>3303</v>
      </c>
      <c r="U476">
        <v>0</v>
      </c>
      <c r="V476" t="s">
        <v>14</v>
      </c>
      <c r="W476" t="s">
        <v>15</v>
      </c>
      <c r="X476" t="s">
        <v>2657</v>
      </c>
      <c r="Y476" t="s">
        <v>3303</v>
      </c>
      <c r="Z476">
        <v>0</v>
      </c>
      <c r="AA476" t="s">
        <v>18</v>
      </c>
    </row>
    <row r="477" spans="1:27" x14ac:dyDescent="0.3">
      <c r="A477" t="s">
        <v>1223</v>
      </c>
      <c r="B477" t="s">
        <v>3208</v>
      </c>
      <c r="C477" t="s">
        <v>4183</v>
      </c>
      <c r="D477" t="s">
        <v>1224</v>
      </c>
      <c r="E477">
        <v>376</v>
      </c>
      <c r="F477" t="s">
        <v>5</v>
      </c>
      <c r="G477">
        <v>221</v>
      </c>
      <c r="H477" t="s">
        <v>6</v>
      </c>
      <c r="I477">
        <v>-59.612818520093199</v>
      </c>
      <c r="J477" t="s">
        <v>7</v>
      </c>
      <c r="K477">
        <v>-0.15854473010663001</v>
      </c>
      <c r="L477" t="s">
        <v>8</v>
      </c>
      <c r="M477">
        <v>0.95740806099505305</v>
      </c>
      <c r="N477" t="s">
        <v>9</v>
      </c>
      <c r="O477">
        <v>-1.7496774193548299</v>
      </c>
      <c r="P477" t="s">
        <v>10</v>
      </c>
      <c r="Q477">
        <v>0.68246144368810402</v>
      </c>
      <c r="R477" t="s">
        <v>11</v>
      </c>
      <c r="S477" t="s">
        <v>2657</v>
      </c>
      <c r="T477" t="s">
        <v>3303</v>
      </c>
      <c r="U477">
        <v>0</v>
      </c>
      <c r="V477" t="s">
        <v>14</v>
      </c>
      <c r="W477" t="s">
        <v>15</v>
      </c>
      <c r="X477" t="s">
        <v>3615</v>
      </c>
      <c r="Y477" t="s">
        <v>3296</v>
      </c>
      <c r="Z477">
        <v>0</v>
      </c>
      <c r="AA477" t="s">
        <v>18</v>
      </c>
    </row>
    <row r="478" spans="1:27" x14ac:dyDescent="0.3">
      <c r="A478" t="s">
        <v>1222</v>
      </c>
      <c r="B478" t="s">
        <v>3213</v>
      </c>
      <c r="C478" t="s">
        <v>4184</v>
      </c>
      <c r="D478" t="s">
        <v>1224</v>
      </c>
      <c r="E478">
        <v>128</v>
      </c>
      <c r="F478" t="s">
        <v>5</v>
      </c>
      <c r="G478">
        <v>44</v>
      </c>
      <c r="H478" t="s">
        <v>6</v>
      </c>
      <c r="I478">
        <v>-59.6799999999999</v>
      </c>
      <c r="J478" t="s">
        <v>7</v>
      </c>
      <c r="K478">
        <v>-0.466249999999999</v>
      </c>
      <c r="L478" t="s">
        <v>8</v>
      </c>
      <c r="M478">
        <v>2.0729545454545399</v>
      </c>
      <c r="N478" t="s">
        <v>9</v>
      </c>
      <c r="O478">
        <v>-1.7963095238095199</v>
      </c>
      <c r="P478" t="s">
        <v>10</v>
      </c>
      <c r="Q478">
        <v>0.53613927974473496</v>
      </c>
      <c r="R478" t="s">
        <v>11</v>
      </c>
      <c r="S478" t="s">
        <v>3556</v>
      </c>
      <c r="T478" t="s">
        <v>2793</v>
      </c>
      <c r="U478">
        <v>0</v>
      </c>
      <c r="V478" t="s">
        <v>14</v>
      </c>
      <c r="W478" t="s">
        <v>15</v>
      </c>
      <c r="X478" t="s">
        <v>3557</v>
      </c>
      <c r="Y478" t="s">
        <v>3506</v>
      </c>
      <c r="Z478">
        <v>0</v>
      </c>
      <c r="AA478" t="s">
        <v>18</v>
      </c>
    </row>
    <row r="479" spans="1:27" x14ac:dyDescent="0.3">
      <c r="A479" t="s">
        <v>1223</v>
      </c>
      <c r="B479" t="s">
        <v>3260</v>
      </c>
      <c r="C479" t="s">
        <v>4185</v>
      </c>
      <c r="D479" t="s">
        <v>1224</v>
      </c>
      <c r="E479">
        <v>375</v>
      </c>
      <c r="F479" t="s">
        <v>5</v>
      </c>
      <c r="G479">
        <v>128</v>
      </c>
      <c r="H479" t="s">
        <v>6</v>
      </c>
      <c r="I479">
        <v>-60.019999999999897</v>
      </c>
      <c r="J479" t="s">
        <v>7</v>
      </c>
      <c r="K479">
        <v>-0.16005333333333299</v>
      </c>
      <c r="L479" t="s">
        <v>8</v>
      </c>
      <c r="M479">
        <v>2.6524218749999999</v>
      </c>
      <c r="N479" t="s">
        <v>9</v>
      </c>
      <c r="O479">
        <v>-1.6175303643724599</v>
      </c>
      <c r="P479" t="s">
        <v>10</v>
      </c>
      <c r="Q479">
        <v>1.42935556795813</v>
      </c>
      <c r="R479" t="s">
        <v>11</v>
      </c>
      <c r="S479" t="s">
        <v>3646</v>
      </c>
      <c r="T479" t="s">
        <v>2834</v>
      </c>
      <c r="U479">
        <v>0</v>
      </c>
      <c r="V479" t="s">
        <v>14</v>
      </c>
      <c r="W479" t="s">
        <v>15</v>
      </c>
      <c r="X479" t="s">
        <v>3647</v>
      </c>
      <c r="Y479" t="s">
        <v>2834</v>
      </c>
      <c r="Z479">
        <v>0</v>
      </c>
      <c r="AA479" t="s">
        <v>18</v>
      </c>
    </row>
    <row r="480" spans="1:27" x14ac:dyDescent="0.3">
      <c r="A480" t="s">
        <v>1223</v>
      </c>
      <c r="B480" t="s">
        <v>3216</v>
      </c>
      <c r="C480" t="s">
        <v>4186</v>
      </c>
      <c r="D480" t="s">
        <v>1224</v>
      </c>
      <c r="E480">
        <v>370</v>
      </c>
      <c r="F480" t="s">
        <v>5</v>
      </c>
      <c r="G480">
        <v>165</v>
      </c>
      <c r="H480" t="s">
        <v>6</v>
      </c>
      <c r="I480">
        <v>-60.051365613463702</v>
      </c>
      <c r="J480" t="s">
        <v>7</v>
      </c>
      <c r="K480">
        <v>-0.16230098814449601</v>
      </c>
      <c r="L480" t="s">
        <v>8</v>
      </c>
      <c r="M480">
        <v>1.9405398872589401</v>
      </c>
      <c r="N480" t="s">
        <v>9</v>
      </c>
      <c r="O480">
        <v>-1.8548314488350699</v>
      </c>
      <c r="P480" t="s">
        <v>10</v>
      </c>
      <c r="Q480">
        <v>0.914400061846391</v>
      </c>
      <c r="R480" t="s">
        <v>11</v>
      </c>
      <c r="S480" t="s">
        <v>2657</v>
      </c>
      <c r="T480" t="s">
        <v>3303</v>
      </c>
      <c r="U480">
        <v>0</v>
      </c>
      <c r="V480" t="s">
        <v>14</v>
      </c>
      <c r="W480" t="s">
        <v>15</v>
      </c>
      <c r="X480" t="s">
        <v>3619</v>
      </c>
      <c r="Y480" t="s">
        <v>3333</v>
      </c>
      <c r="Z480">
        <v>0</v>
      </c>
      <c r="AA480" t="s">
        <v>18</v>
      </c>
    </row>
    <row r="481" spans="1:27" x14ac:dyDescent="0.3">
      <c r="A481" t="s">
        <v>3293</v>
      </c>
      <c r="B481" t="s">
        <v>3249</v>
      </c>
      <c r="C481" t="s">
        <v>4187</v>
      </c>
      <c r="D481" t="s">
        <v>1224</v>
      </c>
      <c r="E481">
        <v>335</v>
      </c>
      <c r="F481" t="s">
        <v>5</v>
      </c>
      <c r="G481">
        <v>137</v>
      </c>
      <c r="H481" t="s">
        <v>6</v>
      </c>
      <c r="I481">
        <v>-60.199999999999903</v>
      </c>
      <c r="J481" t="s">
        <v>7</v>
      </c>
      <c r="K481">
        <v>-0.17970149253731299</v>
      </c>
      <c r="L481" t="s">
        <v>8</v>
      </c>
      <c r="M481">
        <v>1.23759124087591</v>
      </c>
      <c r="N481" t="s">
        <v>9</v>
      </c>
      <c r="O481">
        <v>-1.1603535353535299</v>
      </c>
      <c r="P481" t="s">
        <v>10</v>
      </c>
      <c r="Q481">
        <v>0.848959546911077</v>
      </c>
      <c r="R481" t="s">
        <v>11</v>
      </c>
      <c r="S481" t="s">
        <v>3641</v>
      </c>
      <c r="T481" t="s">
        <v>1331</v>
      </c>
      <c r="U481">
        <v>0</v>
      </c>
      <c r="V481" t="s">
        <v>14</v>
      </c>
      <c r="W481" t="s">
        <v>15</v>
      </c>
      <c r="X481" t="s">
        <v>3636</v>
      </c>
      <c r="Y481" t="s">
        <v>3485</v>
      </c>
      <c r="Z481">
        <v>0</v>
      </c>
      <c r="AA481" t="s">
        <v>18</v>
      </c>
    </row>
    <row r="482" spans="1:27" x14ac:dyDescent="0.3">
      <c r="A482" t="s">
        <v>1223</v>
      </c>
      <c r="B482" t="s">
        <v>3228</v>
      </c>
      <c r="C482" t="s">
        <v>4188</v>
      </c>
      <c r="D482" t="s">
        <v>1224</v>
      </c>
      <c r="E482">
        <v>376</v>
      </c>
      <c r="F482" t="s">
        <v>5</v>
      </c>
      <c r="G482">
        <v>185</v>
      </c>
      <c r="H482" t="s">
        <v>6</v>
      </c>
      <c r="I482">
        <v>-60.462146302788199</v>
      </c>
      <c r="J482" t="s">
        <v>7</v>
      </c>
      <c r="K482">
        <v>-0.16080358059252101</v>
      </c>
      <c r="L482" t="s">
        <v>8</v>
      </c>
      <c r="M482">
        <v>1.24431272268763</v>
      </c>
      <c r="N482" t="s">
        <v>9</v>
      </c>
      <c r="O482">
        <v>-1.5217801047120401</v>
      </c>
      <c r="P482" t="s">
        <v>10</v>
      </c>
      <c r="Q482">
        <v>0.78111071160855505</v>
      </c>
      <c r="R482" t="s">
        <v>11</v>
      </c>
      <c r="S482" t="s">
        <v>3628</v>
      </c>
      <c r="T482" t="s">
        <v>3629</v>
      </c>
      <c r="U482">
        <v>0</v>
      </c>
      <c r="V482" t="s">
        <v>14</v>
      </c>
      <c r="W482" t="s">
        <v>15</v>
      </c>
      <c r="X482" t="s">
        <v>3630</v>
      </c>
      <c r="Y482" t="s">
        <v>3296</v>
      </c>
      <c r="Z482">
        <v>0</v>
      </c>
      <c r="AA482" t="s">
        <v>18</v>
      </c>
    </row>
    <row r="483" spans="1:27" x14ac:dyDescent="0.3">
      <c r="A483" t="s">
        <v>3293</v>
      </c>
      <c r="B483" t="s">
        <v>3236</v>
      </c>
      <c r="C483" t="s">
        <v>4189</v>
      </c>
      <c r="D483" t="s">
        <v>1224</v>
      </c>
      <c r="E483">
        <v>331</v>
      </c>
      <c r="F483" t="s">
        <v>5</v>
      </c>
      <c r="G483">
        <v>139</v>
      </c>
      <c r="H483" t="s">
        <v>6</v>
      </c>
      <c r="I483">
        <v>-60.624496684448999</v>
      </c>
      <c r="J483" t="s">
        <v>7</v>
      </c>
      <c r="K483">
        <v>-0.18315557910709601</v>
      </c>
      <c r="L483" t="s">
        <v>8</v>
      </c>
      <c r="M483">
        <v>1.9083327256229301</v>
      </c>
      <c r="N483" t="s">
        <v>9</v>
      </c>
      <c r="O483">
        <v>-1.6973059663856001</v>
      </c>
      <c r="P483" t="s">
        <v>10</v>
      </c>
      <c r="Q483">
        <v>1.0872680861910999</v>
      </c>
      <c r="R483" t="s">
        <v>11</v>
      </c>
      <c r="S483" t="s">
        <v>3673</v>
      </c>
      <c r="T483" t="s">
        <v>3545</v>
      </c>
      <c r="U483">
        <v>0</v>
      </c>
      <c r="V483" t="s">
        <v>14</v>
      </c>
      <c r="W483" t="s">
        <v>15</v>
      </c>
      <c r="X483" t="s">
        <v>3633</v>
      </c>
      <c r="Y483" t="s">
        <v>3303</v>
      </c>
      <c r="Z483">
        <v>0</v>
      </c>
      <c r="AA483" t="s">
        <v>18</v>
      </c>
    </row>
    <row r="484" spans="1:27" x14ac:dyDescent="0.3">
      <c r="A484" t="s">
        <v>1223</v>
      </c>
      <c r="B484" t="s">
        <v>3276</v>
      </c>
      <c r="C484" t="s">
        <v>4190</v>
      </c>
      <c r="D484" t="s">
        <v>1224</v>
      </c>
      <c r="E484">
        <v>375</v>
      </c>
      <c r="F484" t="s">
        <v>5</v>
      </c>
      <c r="G484">
        <v>186</v>
      </c>
      <c r="H484" t="s">
        <v>6</v>
      </c>
      <c r="I484">
        <v>-60.839999999999897</v>
      </c>
      <c r="J484" t="s">
        <v>7</v>
      </c>
      <c r="K484">
        <v>-0.162239999999999</v>
      </c>
      <c r="L484" t="s">
        <v>8</v>
      </c>
      <c r="M484">
        <v>1.5484408602150499</v>
      </c>
      <c r="N484" t="s">
        <v>9</v>
      </c>
      <c r="O484">
        <v>-1.8457671957671899</v>
      </c>
      <c r="P484" t="s">
        <v>10</v>
      </c>
      <c r="Q484">
        <v>1.1124760958172399</v>
      </c>
      <c r="R484" t="s">
        <v>11</v>
      </c>
      <c r="S484" t="s">
        <v>3597</v>
      </c>
      <c r="T484" t="s">
        <v>832</v>
      </c>
      <c r="U484">
        <v>0</v>
      </c>
      <c r="V484" t="s">
        <v>14</v>
      </c>
      <c r="W484" t="s">
        <v>15</v>
      </c>
      <c r="X484" t="s">
        <v>3661</v>
      </c>
      <c r="Y484" t="s">
        <v>832</v>
      </c>
      <c r="Z484">
        <v>0</v>
      </c>
      <c r="AA484" t="s">
        <v>18</v>
      </c>
    </row>
    <row r="485" spans="1:27" x14ac:dyDescent="0.3">
      <c r="A485" t="s">
        <v>1222</v>
      </c>
      <c r="B485" t="s">
        <v>3240</v>
      </c>
      <c r="C485" t="s">
        <v>4191</v>
      </c>
      <c r="D485" t="s">
        <v>1224</v>
      </c>
      <c r="E485">
        <v>136</v>
      </c>
      <c r="F485" t="s">
        <v>5</v>
      </c>
      <c r="G485">
        <v>57</v>
      </c>
      <c r="H485" t="s">
        <v>6</v>
      </c>
      <c r="I485">
        <v>-61.17</v>
      </c>
      <c r="J485" t="s">
        <v>7</v>
      </c>
      <c r="K485">
        <v>-0.44977941176470498</v>
      </c>
      <c r="L485" t="s">
        <v>8</v>
      </c>
      <c r="M485">
        <v>0.58614035087719296</v>
      </c>
      <c r="N485" t="s">
        <v>9</v>
      </c>
      <c r="O485">
        <v>-1.19721518987341</v>
      </c>
      <c r="P485" t="s">
        <v>10</v>
      </c>
      <c r="Q485">
        <v>0.292339754220727</v>
      </c>
      <c r="R485" t="s">
        <v>11</v>
      </c>
      <c r="S485" t="s">
        <v>3326</v>
      </c>
      <c r="T485" t="s">
        <v>21</v>
      </c>
      <c r="U485">
        <v>0</v>
      </c>
      <c r="V485" t="s">
        <v>14</v>
      </c>
      <c r="W485" t="s">
        <v>15</v>
      </c>
      <c r="X485" t="s">
        <v>3576</v>
      </c>
      <c r="Y485" t="s">
        <v>21</v>
      </c>
      <c r="Z485">
        <v>0</v>
      </c>
      <c r="AA485" t="s">
        <v>18</v>
      </c>
    </row>
    <row r="486" spans="1:27" x14ac:dyDescent="0.3">
      <c r="A486" t="s">
        <v>1223</v>
      </c>
      <c r="B486" t="s">
        <v>3284</v>
      </c>
      <c r="C486" t="s">
        <v>4192</v>
      </c>
      <c r="D486" t="s">
        <v>1224</v>
      </c>
      <c r="E486">
        <v>376</v>
      </c>
      <c r="F486" t="s">
        <v>5</v>
      </c>
      <c r="G486">
        <v>138</v>
      </c>
      <c r="H486" t="s">
        <v>6</v>
      </c>
      <c r="I486">
        <v>-61.794200787984401</v>
      </c>
      <c r="J486" t="s">
        <v>7</v>
      </c>
      <c r="K486">
        <v>-0.16434627869144799</v>
      </c>
      <c r="L486" t="s">
        <v>8</v>
      </c>
      <c r="M486">
        <v>2.6440376307103102</v>
      </c>
      <c r="N486" t="s">
        <v>9</v>
      </c>
      <c r="O486">
        <v>-1.7927369488487701</v>
      </c>
      <c r="P486" t="s">
        <v>10</v>
      </c>
      <c r="Q486">
        <v>1.4612573359658301</v>
      </c>
      <c r="R486" t="s">
        <v>11</v>
      </c>
      <c r="S486" t="s">
        <v>3663</v>
      </c>
      <c r="T486" t="s">
        <v>2557</v>
      </c>
      <c r="U486">
        <v>0</v>
      </c>
      <c r="V486" t="s">
        <v>14</v>
      </c>
      <c r="W486" t="s">
        <v>15</v>
      </c>
      <c r="X486" t="s">
        <v>3666</v>
      </c>
      <c r="Y486" t="s">
        <v>2857</v>
      </c>
      <c r="Z486">
        <v>0</v>
      </c>
      <c r="AA486" t="s">
        <v>18</v>
      </c>
    </row>
    <row r="487" spans="1:27" x14ac:dyDescent="0.3">
      <c r="A487" t="s">
        <v>3293</v>
      </c>
      <c r="B487" t="s">
        <v>3240</v>
      </c>
      <c r="C487" t="s">
        <v>4193</v>
      </c>
      <c r="D487" t="s">
        <v>1224</v>
      </c>
      <c r="E487">
        <v>334</v>
      </c>
      <c r="F487" t="s">
        <v>5</v>
      </c>
      <c r="G487">
        <v>153</v>
      </c>
      <c r="H487" t="s">
        <v>6</v>
      </c>
      <c r="I487">
        <v>-61.979999999999798</v>
      </c>
      <c r="J487" t="s">
        <v>7</v>
      </c>
      <c r="K487">
        <v>-0.185568862275448</v>
      </c>
      <c r="L487" t="s">
        <v>8</v>
      </c>
      <c r="M487">
        <v>0.77542483660130701</v>
      </c>
      <c r="N487" t="s">
        <v>9</v>
      </c>
      <c r="O487">
        <v>-1.0090502793295999</v>
      </c>
      <c r="P487" t="s">
        <v>10</v>
      </c>
      <c r="Q487">
        <v>0.59659188632339599</v>
      </c>
      <c r="R487" t="s">
        <v>11</v>
      </c>
      <c r="S487" t="s">
        <v>3580</v>
      </c>
      <c r="T487" t="s">
        <v>3506</v>
      </c>
      <c r="U487">
        <v>0</v>
      </c>
      <c r="V487" t="s">
        <v>14</v>
      </c>
      <c r="W487" t="s">
        <v>15</v>
      </c>
      <c r="X487" t="s">
        <v>3636</v>
      </c>
      <c r="Y487" t="s">
        <v>3485</v>
      </c>
      <c r="Z487">
        <v>0</v>
      </c>
      <c r="AA487" t="s">
        <v>18</v>
      </c>
    </row>
    <row r="488" spans="1:27" x14ac:dyDescent="0.3">
      <c r="A488" t="s">
        <v>1222</v>
      </c>
      <c r="B488" t="s">
        <v>3202</v>
      </c>
      <c r="C488" t="s">
        <v>4194</v>
      </c>
      <c r="D488" t="s">
        <v>1224</v>
      </c>
      <c r="E488">
        <v>136</v>
      </c>
      <c r="F488" t="s">
        <v>5</v>
      </c>
      <c r="G488">
        <v>69</v>
      </c>
      <c r="H488" t="s">
        <v>6</v>
      </c>
      <c r="I488">
        <v>-62.29</v>
      </c>
      <c r="J488" t="s">
        <v>7</v>
      </c>
      <c r="K488">
        <v>-0.45801470588235299</v>
      </c>
      <c r="L488" t="s">
        <v>8</v>
      </c>
      <c r="M488">
        <v>0.78231884057971002</v>
      </c>
      <c r="N488" t="s">
        <v>9</v>
      </c>
      <c r="O488">
        <v>-1.7353731343283501</v>
      </c>
      <c r="P488" t="s">
        <v>10</v>
      </c>
      <c r="Q488">
        <v>0.26196389298140599</v>
      </c>
      <c r="R488" t="s">
        <v>11</v>
      </c>
      <c r="S488" t="s">
        <v>3403</v>
      </c>
      <c r="T488" t="s">
        <v>730</v>
      </c>
      <c r="U488">
        <v>0</v>
      </c>
      <c r="V488" t="s">
        <v>14</v>
      </c>
      <c r="W488" t="s">
        <v>15</v>
      </c>
      <c r="X488" t="s">
        <v>3549</v>
      </c>
      <c r="Y488" t="s">
        <v>832</v>
      </c>
      <c r="Z488">
        <v>0</v>
      </c>
      <c r="AA488" t="s">
        <v>18</v>
      </c>
    </row>
    <row r="489" spans="1:27" x14ac:dyDescent="0.3">
      <c r="A489" t="s">
        <v>1222</v>
      </c>
      <c r="B489" t="s">
        <v>3223</v>
      </c>
      <c r="C489" t="s">
        <v>4195</v>
      </c>
      <c r="D489" t="s">
        <v>1224</v>
      </c>
      <c r="E489">
        <v>136</v>
      </c>
      <c r="F489" t="s">
        <v>5</v>
      </c>
      <c r="G489">
        <v>51</v>
      </c>
      <c r="H489" t="s">
        <v>6</v>
      </c>
      <c r="I489">
        <v>-62.619999999999898</v>
      </c>
      <c r="J489" t="s">
        <v>7</v>
      </c>
      <c r="K489">
        <v>-0.46044117647058802</v>
      </c>
      <c r="L489" t="s">
        <v>8</v>
      </c>
      <c r="M489">
        <v>1.22588235294117</v>
      </c>
      <c r="N489" t="s">
        <v>9</v>
      </c>
      <c r="O489">
        <v>-1.4897619047619</v>
      </c>
      <c r="P489" t="s">
        <v>10</v>
      </c>
      <c r="Q489">
        <v>0.435393678799599</v>
      </c>
      <c r="R489" t="s">
        <v>11</v>
      </c>
      <c r="S489" t="s">
        <v>3564</v>
      </c>
      <c r="T489" t="s">
        <v>21</v>
      </c>
      <c r="U489">
        <v>0</v>
      </c>
      <c r="V489" t="s">
        <v>14</v>
      </c>
      <c r="W489" t="s">
        <v>15</v>
      </c>
      <c r="X489" t="s">
        <v>2690</v>
      </c>
      <c r="Y489" t="s">
        <v>21</v>
      </c>
      <c r="Z489">
        <v>0</v>
      </c>
      <c r="AA489" t="s">
        <v>18</v>
      </c>
    </row>
    <row r="490" spans="1:27" x14ac:dyDescent="0.3">
      <c r="A490" t="s">
        <v>1219</v>
      </c>
      <c r="B490" t="s">
        <v>3259</v>
      </c>
      <c r="C490" t="s">
        <v>4196</v>
      </c>
      <c r="D490" t="s">
        <v>1224</v>
      </c>
      <c r="E490">
        <v>169</v>
      </c>
      <c r="F490" t="s">
        <v>5</v>
      </c>
      <c r="G490">
        <v>54</v>
      </c>
      <c r="H490" t="s">
        <v>6</v>
      </c>
      <c r="I490">
        <v>-62.799999999999898</v>
      </c>
      <c r="J490" t="s">
        <v>7</v>
      </c>
      <c r="K490">
        <v>-0.37159763313609401</v>
      </c>
      <c r="L490" t="s">
        <v>8</v>
      </c>
      <c r="M490">
        <v>2.1037037037037001</v>
      </c>
      <c r="N490" t="s">
        <v>9</v>
      </c>
      <c r="O490">
        <v>-1.53391304347826</v>
      </c>
      <c r="P490" t="s">
        <v>10</v>
      </c>
      <c r="Q490">
        <v>0.51845075256127104</v>
      </c>
      <c r="R490" t="s">
        <v>11</v>
      </c>
      <c r="S490" t="s">
        <v>3386</v>
      </c>
      <c r="T490" t="s">
        <v>3030</v>
      </c>
      <c r="U490">
        <v>0</v>
      </c>
      <c r="V490" t="s">
        <v>14</v>
      </c>
      <c r="W490" t="s">
        <v>15</v>
      </c>
      <c r="X490" t="s">
        <v>3431</v>
      </c>
      <c r="Y490" t="s">
        <v>3432</v>
      </c>
      <c r="Z490">
        <v>0</v>
      </c>
      <c r="AA490" t="s">
        <v>18</v>
      </c>
    </row>
    <row r="491" spans="1:27" x14ac:dyDescent="0.3">
      <c r="A491" t="s">
        <v>3292</v>
      </c>
      <c r="B491" t="s">
        <v>3289</v>
      </c>
      <c r="C491" t="s">
        <v>4197</v>
      </c>
      <c r="D491" t="s">
        <v>1224</v>
      </c>
      <c r="E491">
        <v>157</v>
      </c>
      <c r="F491" t="s">
        <v>5</v>
      </c>
      <c r="G491">
        <v>37</v>
      </c>
      <c r="H491" t="s">
        <v>6</v>
      </c>
      <c r="I491">
        <v>-63.243895871111803</v>
      </c>
      <c r="J491" t="s">
        <v>7</v>
      </c>
      <c r="K491">
        <v>-0.40282736223638099</v>
      </c>
      <c r="L491" t="s">
        <v>8</v>
      </c>
      <c r="M491">
        <v>3.4015928799682</v>
      </c>
      <c r="N491" t="s">
        <v>9</v>
      </c>
      <c r="O491">
        <v>-1.5758569369161199</v>
      </c>
      <c r="P491" t="s">
        <v>10</v>
      </c>
      <c r="Q491">
        <v>0.64185328193024105</v>
      </c>
      <c r="R491" t="s">
        <v>11</v>
      </c>
      <c r="S491" t="s">
        <v>3463</v>
      </c>
      <c r="T491" t="s">
        <v>2698</v>
      </c>
      <c r="U491">
        <v>0</v>
      </c>
      <c r="V491" t="s">
        <v>14</v>
      </c>
      <c r="W491" t="s">
        <v>15</v>
      </c>
      <c r="X491" t="s">
        <v>3501</v>
      </c>
      <c r="Y491" t="s">
        <v>2086</v>
      </c>
      <c r="Z491">
        <v>0</v>
      </c>
      <c r="AA491" t="s">
        <v>18</v>
      </c>
    </row>
    <row r="492" spans="1:27" x14ac:dyDescent="0.3">
      <c r="A492" t="s">
        <v>1222</v>
      </c>
      <c r="B492" t="s">
        <v>3257</v>
      </c>
      <c r="C492" t="s">
        <v>4198</v>
      </c>
      <c r="D492" t="s">
        <v>1224</v>
      </c>
      <c r="E492">
        <v>136</v>
      </c>
      <c r="F492" t="s">
        <v>5</v>
      </c>
      <c r="G492">
        <v>59</v>
      </c>
      <c r="H492" t="s">
        <v>6</v>
      </c>
      <c r="I492">
        <v>-63.449999999999903</v>
      </c>
      <c r="J492" t="s">
        <v>7</v>
      </c>
      <c r="K492">
        <v>-0.466544117647058</v>
      </c>
      <c r="L492" t="s">
        <v>8</v>
      </c>
      <c r="M492">
        <v>1.2474576271186399</v>
      </c>
      <c r="N492" t="s">
        <v>9</v>
      </c>
      <c r="O492">
        <v>-1.7798701298701201</v>
      </c>
      <c r="P492" t="s">
        <v>10</v>
      </c>
      <c r="Q492">
        <v>0.33164182477871101</v>
      </c>
      <c r="R492" t="s">
        <v>11</v>
      </c>
      <c r="S492" t="s">
        <v>3523</v>
      </c>
      <c r="T492" t="s">
        <v>730</v>
      </c>
      <c r="U492">
        <v>0</v>
      </c>
      <c r="V492" t="s">
        <v>14</v>
      </c>
      <c r="W492" t="s">
        <v>15</v>
      </c>
      <c r="X492" t="s">
        <v>3586</v>
      </c>
      <c r="Y492" t="s">
        <v>730</v>
      </c>
      <c r="Z492">
        <v>0</v>
      </c>
      <c r="AA492" t="s">
        <v>18</v>
      </c>
    </row>
    <row r="493" spans="1:27" x14ac:dyDescent="0.3">
      <c r="A493" t="s">
        <v>1222</v>
      </c>
      <c r="B493" t="s">
        <v>3207</v>
      </c>
      <c r="C493" t="s">
        <v>4199</v>
      </c>
      <c r="D493" t="s">
        <v>1224</v>
      </c>
      <c r="E493">
        <v>136</v>
      </c>
      <c r="F493" t="s">
        <v>5</v>
      </c>
      <c r="G493">
        <v>49</v>
      </c>
      <c r="H493" t="s">
        <v>6</v>
      </c>
      <c r="I493">
        <v>-63.559999999999903</v>
      </c>
      <c r="J493" t="s">
        <v>7</v>
      </c>
      <c r="K493">
        <v>-0.46735294117647003</v>
      </c>
      <c r="L493" t="s">
        <v>8</v>
      </c>
      <c r="M493">
        <v>1.8934693877551001</v>
      </c>
      <c r="N493" t="s">
        <v>9</v>
      </c>
      <c r="O493">
        <v>-1.7970114942528701</v>
      </c>
      <c r="P493" t="s">
        <v>10</v>
      </c>
      <c r="Q493">
        <v>0.53362935566027403</v>
      </c>
      <c r="R493" t="s">
        <v>11</v>
      </c>
      <c r="S493" t="s">
        <v>3552</v>
      </c>
      <c r="T493" t="s">
        <v>2783</v>
      </c>
      <c r="U493">
        <v>0</v>
      </c>
      <c r="V493" t="s">
        <v>14</v>
      </c>
      <c r="W493" t="s">
        <v>15</v>
      </c>
      <c r="X493" t="s">
        <v>3553</v>
      </c>
      <c r="Y493" t="s">
        <v>2783</v>
      </c>
      <c r="Z493">
        <v>0</v>
      </c>
      <c r="AA493" t="s">
        <v>18</v>
      </c>
    </row>
    <row r="494" spans="1:27" x14ac:dyDescent="0.3">
      <c r="A494" t="s">
        <v>1223</v>
      </c>
      <c r="B494" t="s">
        <v>3277</v>
      </c>
      <c r="C494" t="s">
        <v>4200</v>
      </c>
      <c r="D494" t="s">
        <v>1224</v>
      </c>
      <c r="E494">
        <v>375</v>
      </c>
      <c r="F494" t="s">
        <v>5</v>
      </c>
      <c r="G494">
        <v>180</v>
      </c>
      <c r="H494" t="s">
        <v>6</v>
      </c>
      <c r="I494">
        <v>-64.05</v>
      </c>
      <c r="J494" t="s">
        <v>7</v>
      </c>
      <c r="K494">
        <v>-0.17080000000000001</v>
      </c>
      <c r="L494" t="s">
        <v>8</v>
      </c>
      <c r="M494">
        <v>1.6524444444444399</v>
      </c>
      <c r="N494" t="s">
        <v>9</v>
      </c>
      <c r="O494">
        <v>-1.85379487179487</v>
      </c>
      <c r="P494" t="s">
        <v>10</v>
      </c>
      <c r="Q494">
        <v>1.22441966071799</v>
      </c>
      <c r="R494" t="s">
        <v>11</v>
      </c>
      <c r="S494" t="s">
        <v>3662</v>
      </c>
      <c r="T494" t="s">
        <v>2834</v>
      </c>
      <c r="U494">
        <v>0</v>
      </c>
      <c r="V494" t="s">
        <v>14</v>
      </c>
      <c r="W494" t="s">
        <v>15</v>
      </c>
      <c r="X494" t="s">
        <v>3661</v>
      </c>
      <c r="Y494" t="s">
        <v>832</v>
      </c>
      <c r="Z494">
        <v>0</v>
      </c>
      <c r="AA494" t="s">
        <v>18</v>
      </c>
    </row>
    <row r="495" spans="1:27" x14ac:dyDescent="0.3">
      <c r="A495" t="s">
        <v>3293</v>
      </c>
      <c r="B495" t="s">
        <v>3218</v>
      </c>
      <c r="C495" t="s">
        <v>4201</v>
      </c>
      <c r="D495" t="s">
        <v>1224</v>
      </c>
      <c r="E495">
        <v>331</v>
      </c>
      <c r="F495" t="s">
        <v>5</v>
      </c>
      <c r="G495">
        <v>121</v>
      </c>
      <c r="H495" t="s">
        <v>6</v>
      </c>
      <c r="I495">
        <v>-64.240872322043501</v>
      </c>
      <c r="J495" t="s">
        <v>7</v>
      </c>
      <c r="K495">
        <v>-0.194081185262971</v>
      </c>
      <c r="L495" t="s">
        <v>8</v>
      </c>
      <c r="M495">
        <v>2.6728249233849302</v>
      </c>
      <c r="N495" t="s">
        <v>9</v>
      </c>
      <c r="O495">
        <v>-1.8459651811981901</v>
      </c>
      <c r="P495" t="s">
        <v>10</v>
      </c>
      <c r="Q495">
        <v>1.1719902031712801</v>
      </c>
      <c r="R495" t="s">
        <v>11</v>
      </c>
      <c r="S495" t="s">
        <v>2657</v>
      </c>
      <c r="T495" t="s">
        <v>3303</v>
      </c>
      <c r="U495">
        <v>0</v>
      </c>
      <c r="V495" t="s">
        <v>14</v>
      </c>
      <c r="W495" t="s">
        <v>15</v>
      </c>
      <c r="X495" t="s">
        <v>3619</v>
      </c>
      <c r="Y495" t="s">
        <v>3333</v>
      </c>
      <c r="Z495">
        <v>0</v>
      </c>
      <c r="AA495" t="s">
        <v>18</v>
      </c>
    </row>
    <row r="496" spans="1:27" x14ac:dyDescent="0.3">
      <c r="A496" t="s">
        <v>3293</v>
      </c>
      <c r="B496" t="s">
        <v>3279</v>
      </c>
      <c r="C496" t="s">
        <v>4202</v>
      </c>
      <c r="D496" t="s">
        <v>1224</v>
      </c>
      <c r="E496">
        <v>334</v>
      </c>
      <c r="F496" t="s">
        <v>5</v>
      </c>
      <c r="G496">
        <v>162</v>
      </c>
      <c r="H496" t="s">
        <v>6</v>
      </c>
      <c r="I496">
        <v>-64.489999999999895</v>
      </c>
      <c r="J496" t="s">
        <v>7</v>
      </c>
      <c r="K496">
        <v>-0.193083832335329</v>
      </c>
      <c r="L496" t="s">
        <v>8</v>
      </c>
      <c r="M496">
        <v>1.58716049382716</v>
      </c>
      <c r="N496" t="s">
        <v>9</v>
      </c>
      <c r="O496">
        <v>-1.8698255813953399</v>
      </c>
      <c r="P496" t="s">
        <v>10</v>
      </c>
      <c r="Q496">
        <v>1.26220475170484</v>
      </c>
      <c r="R496" t="s">
        <v>11</v>
      </c>
      <c r="S496" t="s">
        <v>3680</v>
      </c>
      <c r="T496" t="s">
        <v>2897</v>
      </c>
      <c r="U496">
        <v>0</v>
      </c>
      <c r="V496" t="s">
        <v>14</v>
      </c>
      <c r="W496" t="s">
        <v>15</v>
      </c>
      <c r="X496" t="s">
        <v>3661</v>
      </c>
      <c r="Y496" t="s">
        <v>832</v>
      </c>
      <c r="Z496">
        <v>0</v>
      </c>
      <c r="AA496" t="s">
        <v>18</v>
      </c>
    </row>
    <row r="497" spans="1:27" x14ac:dyDescent="0.3">
      <c r="A497" t="s">
        <v>3293</v>
      </c>
      <c r="B497" t="s">
        <v>3287</v>
      </c>
      <c r="C497" t="s">
        <v>4203</v>
      </c>
      <c r="D497" t="s">
        <v>1224</v>
      </c>
      <c r="E497">
        <v>331</v>
      </c>
      <c r="F497" t="s">
        <v>5</v>
      </c>
      <c r="G497">
        <v>144</v>
      </c>
      <c r="H497" t="s">
        <v>6</v>
      </c>
      <c r="I497">
        <v>-65.6534839397208</v>
      </c>
      <c r="J497" t="s">
        <v>7</v>
      </c>
      <c r="K497">
        <v>-0.19834889407770601</v>
      </c>
      <c r="L497" t="s">
        <v>8</v>
      </c>
      <c r="M497">
        <v>1.6163388894127699</v>
      </c>
      <c r="N497" t="s">
        <v>9</v>
      </c>
      <c r="O497">
        <v>-1.5957555294928301</v>
      </c>
      <c r="P497" t="s">
        <v>10</v>
      </c>
      <c r="Q497">
        <v>0.67524861526264002</v>
      </c>
      <c r="R497" t="s">
        <v>11</v>
      </c>
      <c r="S497" t="s">
        <v>2657</v>
      </c>
      <c r="T497" t="s">
        <v>3303</v>
      </c>
      <c r="U497">
        <v>0</v>
      </c>
      <c r="V497" t="s">
        <v>14</v>
      </c>
      <c r="W497" t="s">
        <v>15</v>
      </c>
      <c r="X497" t="s">
        <v>3617</v>
      </c>
      <c r="Y497" t="s">
        <v>3296</v>
      </c>
      <c r="Z497">
        <v>0</v>
      </c>
      <c r="AA497" t="s">
        <v>18</v>
      </c>
    </row>
    <row r="498" spans="1:27" x14ac:dyDescent="0.3">
      <c r="A498" t="s">
        <v>3292</v>
      </c>
      <c r="B498" t="s">
        <v>3270</v>
      </c>
      <c r="C498" t="s">
        <v>4204</v>
      </c>
      <c r="D498" t="s">
        <v>1224</v>
      </c>
      <c r="E498">
        <v>157</v>
      </c>
      <c r="F498" t="s">
        <v>5</v>
      </c>
      <c r="G498">
        <v>42</v>
      </c>
      <c r="H498" t="s">
        <v>6</v>
      </c>
      <c r="I498">
        <v>-65.992978495428204</v>
      </c>
      <c r="J498" t="s">
        <v>7</v>
      </c>
      <c r="K498">
        <v>-0.42033744264604</v>
      </c>
      <c r="L498" t="s">
        <v>8</v>
      </c>
      <c r="M498">
        <v>3.0508421022927101</v>
      </c>
      <c r="N498" t="s">
        <v>9</v>
      </c>
      <c r="O498">
        <v>-1.68807258079758</v>
      </c>
      <c r="P498" t="s">
        <v>10</v>
      </c>
      <c r="Q498">
        <v>0.57229802251569495</v>
      </c>
      <c r="R498" t="s">
        <v>11</v>
      </c>
      <c r="S498" t="s">
        <v>3440</v>
      </c>
      <c r="T498" t="s">
        <v>2013</v>
      </c>
      <c r="U498">
        <v>0</v>
      </c>
      <c r="V498" t="s">
        <v>14</v>
      </c>
      <c r="W498" t="s">
        <v>15</v>
      </c>
      <c r="X498" t="s">
        <v>3440</v>
      </c>
      <c r="Y498" t="s">
        <v>2013</v>
      </c>
      <c r="Z498">
        <v>0</v>
      </c>
      <c r="AA498" t="s">
        <v>18</v>
      </c>
    </row>
    <row r="499" spans="1:27" x14ac:dyDescent="0.3">
      <c r="A499" t="s">
        <v>1222</v>
      </c>
      <c r="B499" t="s">
        <v>3259</v>
      </c>
      <c r="C499" t="s">
        <v>4205</v>
      </c>
      <c r="D499" t="s">
        <v>1224</v>
      </c>
      <c r="E499">
        <v>136</v>
      </c>
      <c r="F499" t="s">
        <v>5</v>
      </c>
      <c r="G499">
        <v>46</v>
      </c>
      <c r="H499" t="s">
        <v>6</v>
      </c>
      <c r="I499">
        <v>-66.119999999999905</v>
      </c>
      <c r="J499" t="s">
        <v>7</v>
      </c>
      <c r="K499">
        <v>-0.48617647058823399</v>
      </c>
      <c r="L499" t="s">
        <v>8</v>
      </c>
      <c r="M499">
        <v>2.0158695652173901</v>
      </c>
      <c r="N499" t="s">
        <v>9</v>
      </c>
      <c r="O499">
        <v>-1.7649999999999999</v>
      </c>
      <c r="P499" t="s">
        <v>10</v>
      </c>
      <c r="Q499">
        <v>0.511023581599377</v>
      </c>
      <c r="R499" t="s">
        <v>11</v>
      </c>
      <c r="S499" t="s">
        <v>3552</v>
      </c>
      <c r="T499" t="s">
        <v>2783</v>
      </c>
      <c r="U499">
        <v>0</v>
      </c>
      <c r="V499" t="s">
        <v>14</v>
      </c>
      <c r="W499" t="s">
        <v>15</v>
      </c>
      <c r="X499" t="s">
        <v>3553</v>
      </c>
      <c r="Y499" t="s">
        <v>2783</v>
      </c>
      <c r="Z499">
        <v>0</v>
      </c>
      <c r="AA499" t="s">
        <v>18</v>
      </c>
    </row>
    <row r="500" spans="1:27" x14ac:dyDescent="0.3">
      <c r="A500" t="s">
        <v>3292</v>
      </c>
      <c r="B500" t="s">
        <v>3284</v>
      </c>
      <c r="C500" t="s">
        <v>4206</v>
      </c>
      <c r="D500" t="s">
        <v>1224</v>
      </c>
      <c r="E500">
        <v>165</v>
      </c>
      <c r="F500" t="s">
        <v>5</v>
      </c>
      <c r="G500">
        <v>53</v>
      </c>
      <c r="H500" t="s">
        <v>6</v>
      </c>
      <c r="I500">
        <v>-66.139999999999901</v>
      </c>
      <c r="J500" t="s">
        <v>7</v>
      </c>
      <c r="K500">
        <v>-0.40084848484848401</v>
      </c>
      <c r="L500" t="s">
        <v>8</v>
      </c>
      <c r="M500">
        <v>2.2926415094339601</v>
      </c>
      <c r="N500" t="s">
        <v>9</v>
      </c>
      <c r="O500">
        <v>-1.6754464285714199</v>
      </c>
      <c r="P500" t="s">
        <v>10</v>
      </c>
      <c r="Q500">
        <v>0.75519459478793605</v>
      </c>
      <c r="R500" t="s">
        <v>11</v>
      </c>
      <c r="S500" t="s">
        <v>3452</v>
      </c>
      <c r="T500" t="s">
        <v>2644</v>
      </c>
      <c r="U500">
        <v>0</v>
      </c>
      <c r="V500" t="s">
        <v>14</v>
      </c>
      <c r="W500" t="s">
        <v>15</v>
      </c>
      <c r="X500" t="s">
        <v>3453</v>
      </c>
      <c r="Y500" t="s">
        <v>2644</v>
      </c>
      <c r="Z500">
        <v>0</v>
      </c>
      <c r="AA500" t="s">
        <v>18</v>
      </c>
    </row>
    <row r="501" spans="1:27" x14ac:dyDescent="0.3">
      <c r="A501" t="s">
        <v>3293</v>
      </c>
      <c r="B501" t="s">
        <v>3222</v>
      </c>
      <c r="C501" t="s">
        <v>4207</v>
      </c>
      <c r="D501" t="s">
        <v>1224</v>
      </c>
      <c r="E501">
        <v>334</v>
      </c>
      <c r="F501" t="s">
        <v>5</v>
      </c>
      <c r="G501">
        <v>163</v>
      </c>
      <c r="H501" t="s">
        <v>6</v>
      </c>
      <c r="I501">
        <v>-66.169999999999902</v>
      </c>
      <c r="J501" t="s">
        <v>7</v>
      </c>
      <c r="K501">
        <v>-0.19811377245508899</v>
      </c>
      <c r="L501" t="s">
        <v>8</v>
      </c>
      <c r="M501">
        <v>0.99306748466257599</v>
      </c>
      <c r="N501" t="s">
        <v>9</v>
      </c>
      <c r="O501">
        <v>-1.3335672514619801</v>
      </c>
      <c r="P501" t="s">
        <v>10</v>
      </c>
      <c r="Q501">
        <v>0.685717372484141</v>
      </c>
      <c r="R501" t="s">
        <v>11</v>
      </c>
      <c r="S501" t="s">
        <v>3523</v>
      </c>
      <c r="T501" t="s">
        <v>730</v>
      </c>
      <c r="U501">
        <v>0</v>
      </c>
      <c r="V501" t="s">
        <v>14</v>
      </c>
      <c r="W501" t="s">
        <v>15</v>
      </c>
      <c r="X501" t="s">
        <v>3625</v>
      </c>
      <c r="Y501" t="s">
        <v>832</v>
      </c>
      <c r="Z501">
        <v>0</v>
      </c>
      <c r="AA501" t="s">
        <v>18</v>
      </c>
    </row>
    <row r="502" spans="1:27" x14ac:dyDescent="0.3">
      <c r="A502" t="s">
        <v>1222</v>
      </c>
      <c r="B502" t="s">
        <v>3217</v>
      </c>
      <c r="C502" t="s">
        <v>4208</v>
      </c>
      <c r="D502" t="s">
        <v>1224</v>
      </c>
      <c r="E502">
        <v>127</v>
      </c>
      <c r="F502" t="s">
        <v>5</v>
      </c>
      <c r="G502">
        <v>42</v>
      </c>
      <c r="H502" t="s">
        <v>6</v>
      </c>
      <c r="I502">
        <v>-66.334462300074605</v>
      </c>
      <c r="J502" t="s">
        <v>7</v>
      </c>
      <c r="K502">
        <v>-0.52231860078798897</v>
      </c>
      <c r="L502" t="s">
        <v>8</v>
      </c>
      <c r="M502">
        <v>2.17137587487173</v>
      </c>
      <c r="N502" t="s">
        <v>9</v>
      </c>
      <c r="O502">
        <v>-1.8533205769963199</v>
      </c>
      <c r="P502" t="s">
        <v>10</v>
      </c>
      <c r="Q502">
        <v>0.48716269628482001</v>
      </c>
      <c r="R502" t="s">
        <v>11</v>
      </c>
      <c r="S502" t="s">
        <v>178</v>
      </c>
      <c r="T502" t="s">
        <v>2568</v>
      </c>
      <c r="U502">
        <v>0</v>
      </c>
      <c r="V502" t="s">
        <v>14</v>
      </c>
      <c r="W502" t="s">
        <v>15</v>
      </c>
      <c r="X502" t="s">
        <v>235</v>
      </c>
      <c r="Y502" t="s">
        <v>2793</v>
      </c>
      <c r="Z502">
        <v>0</v>
      </c>
      <c r="AA502" t="s">
        <v>18</v>
      </c>
    </row>
    <row r="503" spans="1:27" x14ac:dyDescent="0.3">
      <c r="A503" t="s">
        <v>3292</v>
      </c>
      <c r="B503" t="s">
        <v>3285</v>
      </c>
      <c r="C503" t="s">
        <v>4209</v>
      </c>
      <c r="D503" t="s">
        <v>1224</v>
      </c>
      <c r="E503">
        <v>165</v>
      </c>
      <c r="F503" t="s">
        <v>5</v>
      </c>
      <c r="G503">
        <v>51</v>
      </c>
      <c r="H503" t="s">
        <v>6</v>
      </c>
      <c r="I503">
        <v>-66.589999999999904</v>
      </c>
      <c r="J503" t="s">
        <v>7</v>
      </c>
      <c r="K503">
        <v>-0.40357575757575698</v>
      </c>
      <c r="L503" t="s">
        <v>8</v>
      </c>
      <c r="M503">
        <v>2.4752941176470502</v>
      </c>
      <c r="N503" t="s">
        <v>9</v>
      </c>
      <c r="O503">
        <v>-1.6914912280701699</v>
      </c>
      <c r="P503" t="s">
        <v>10</v>
      </c>
      <c r="Q503">
        <v>0.82378261393963803</v>
      </c>
      <c r="R503" t="s">
        <v>11</v>
      </c>
      <c r="S503" t="s">
        <v>3452</v>
      </c>
      <c r="T503" t="s">
        <v>2644</v>
      </c>
      <c r="U503">
        <v>0</v>
      </c>
      <c r="V503" t="s">
        <v>14</v>
      </c>
      <c r="W503" t="s">
        <v>15</v>
      </c>
      <c r="X503" t="s">
        <v>3497</v>
      </c>
      <c r="Y503" t="s">
        <v>2655</v>
      </c>
      <c r="Z503">
        <v>0</v>
      </c>
      <c r="AA503" t="s">
        <v>18</v>
      </c>
    </row>
    <row r="504" spans="1:27" x14ac:dyDescent="0.3">
      <c r="A504" t="s">
        <v>1222</v>
      </c>
      <c r="B504" t="s">
        <v>3258</v>
      </c>
      <c r="C504" t="s">
        <v>4210</v>
      </c>
      <c r="D504" t="s">
        <v>1224</v>
      </c>
      <c r="E504">
        <v>136</v>
      </c>
      <c r="F504" t="s">
        <v>5</v>
      </c>
      <c r="G504">
        <v>51</v>
      </c>
      <c r="H504" t="s">
        <v>6</v>
      </c>
      <c r="I504">
        <v>-66.589999999999904</v>
      </c>
      <c r="J504" t="s">
        <v>7</v>
      </c>
      <c r="K504">
        <v>-0.48963235294117602</v>
      </c>
      <c r="L504" t="s">
        <v>8</v>
      </c>
      <c r="M504">
        <v>1.6147058823529401</v>
      </c>
      <c r="N504" t="s">
        <v>9</v>
      </c>
      <c r="O504">
        <v>-1.75223529411764</v>
      </c>
      <c r="P504" t="s">
        <v>10</v>
      </c>
      <c r="Q504">
        <v>0.382123064168997</v>
      </c>
      <c r="R504" t="s">
        <v>11</v>
      </c>
      <c r="S504" t="s">
        <v>3587</v>
      </c>
      <c r="T504" t="s">
        <v>3047</v>
      </c>
      <c r="U504">
        <v>0</v>
      </c>
      <c r="V504" t="s">
        <v>14</v>
      </c>
      <c r="W504" t="s">
        <v>15</v>
      </c>
      <c r="X504" t="s">
        <v>3586</v>
      </c>
      <c r="Y504" t="s">
        <v>730</v>
      </c>
      <c r="Z504">
        <v>0</v>
      </c>
      <c r="AA504" t="s">
        <v>18</v>
      </c>
    </row>
    <row r="505" spans="1:27" x14ac:dyDescent="0.3">
      <c r="A505" t="s">
        <v>1222</v>
      </c>
      <c r="B505" t="s">
        <v>3281</v>
      </c>
      <c r="C505" t="s">
        <v>4211</v>
      </c>
      <c r="D505" t="s">
        <v>1224</v>
      </c>
      <c r="E505">
        <v>128</v>
      </c>
      <c r="F505" t="s">
        <v>5</v>
      </c>
      <c r="G505">
        <v>49</v>
      </c>
      <c r="H505" t="s">
        <v>6</v>
      </c>
      <c r="I505">
        <v>-66.879999999999896</v>
      </c>
      <c r="J505" t="s">
        <v>7</v>
      </c>
      <c r="K505">
        <v>-0.52249999999999897</v>
      </c>
      <c r="L505" t="s">
        <v>8</v>
      </c>
      <c r="M505">
        <v>1.3369387755102</v>
      </c>
      <c r="N505" t="s">
        <v>9</v>
      </c>
      <c r="O505">
        <v>-1.6758227848101199</v>
      </c>
      <c r="P505" t="s">
        <v>10</v>
      </c>
      <c r="Q505">
        <v>0.332132527080853</v>
      </c>
      <c r="R505" t="s">
        <v>11</v>
      </c>
      <c r="S505" t="s">
        <v>3554</v>
      </c>
      <c r="T505" t="s">
        <v>832</v>
      </c>
      <c r="U505">
        <v>0</v>
      </c>
      <c r="V505" t="s">
        <v>14</v>
      </c>
      <c r="W505" t="s">
        <v>15</v>
      </c>
      <c r="X505" t="s">
        <v>3600</v>
      </c>
      <c r="Y505" t="s">
        <v>3411</v>
      </c>
      <c r="Z505">
        <v>0</v>
      </c>
      <c r="AA505" t="s">
        <v>18</v>
      </c>
    </row>
    <row r="506" spans="1:27" x14ac:dyDescent="0.3">
      <c r="A506" t="s">
        <v>1223</v>
      </c>
      <c r="B506" t="s">
        <v>3226</v>
      </c>
      <c r="C506" t="s">
        <v>4212</v>
      </c>
      <c r="D506" t="s">
        <v>1224</v>
      </c>
      <c r="E506">
        <v>376</v>
      </c>
      <c r="F506" t="s">
        <v>5</v>
      </c>
      <c r="G506">
        <v>218</v>
      </c>
      <c r="H506" t="s">
        <v>6</v>
      </c>
      <c r="I506">
        <v>-67.002146302788205</v>
      </c>
      <c r="J506" t="s">
        <v>7</v>
      </c>
      <c r="K506">
        <v>-0.17819719761379799</v>
      </c>
      <c r="L506" t="s">
        <v>8</v>
      </c>
      <c r="M506">
        <v>0.80017364081289699</v>
      </c>
      <c r="N506" t="s">
        <v>9</v>
      </c>
      <c r="O506">
        <v>-1.5281012658227799</v>
      </c>
      <c r="P506" t="s">
        <v>10</v>
      </c>
      <c r="Q506">
        <v>0.57390457333252798</v>
      </c>
      <c r="R506" t="s">
        <v>11</v>
      </c>
      <c r="S506" t="s">
        <v>3628</v>
      </c>
      <c r="T506" t="s">
        <v>3629</v>
      </c>
      <c r="U506">
        <v>0</v>
      </c>
      <c r="V506" t="s">
        <v>14</v>
      </c>
      <c r="W506" t="s">
        <v>15</v>
      </c>
      <c r="X506" t="s">
        <v>3630</v>
      </c>
      <c r="Y506" t="s">
        <v>3296</v>
      </c>
      <c r="Z506">
        <v>0</v>
      </c>
      <c r="AA506" t="s">
        <v>18</v>
      </c>
    </row>
    <row r="507" spans="1:27" x14ac:dyDescent="0.3">
      <c r="A507" t="s">
        <v>3293</v>
      </c>
      <c r="B507" t="s">
        <v>3238</v>
      </c>
      <c r="C507" t="s">
        <v>4213</v>
      </c>
      <c r="D507" t="s">
        <v>1224</v>
      </c>
      <c r="E507">
        <v>334</v>
      </c>
      <c r="F507" t="s">
        <v>5</v>
      </c>
      <c r="G507">
        <v>170</v>
      </c>
      <c r="H507" t="s">
        <v>6</v>
      </c>
      <c r="I507">
        <v>-67.089999999999804</v>
      </c>
      <c r="J507" t="s">
        <v>7</v>
      </c>
      <c r="K507">
        <v>-0.200868263473053</v>
      </c>
      <c r="L507" t="s">
        <v>8</v>
      </c>
      <c r="M507">
        <v>0.56576470588235295</v>
      </c>
      <c r="N507" t="s">
        <v>9</v>
      </c>
      <c r="O507">
        <v>-1.00165644171779</v>
      </c>
      <c r="P507" t="s">
        <v>10</v>
      </c>
      <c r="Q507">
        <v>0.44400447067336901</v>
      </c>
      <c r="R507" t="s">
        <v>11</v>
      </c>
      <c r="S507" t="s">
        <v>3540</v>
      </c>
      <c r="T507" t="s">
        <v>3333</v>
      </c>
      <c r="U507">
        <v>0</v>
      </c>
      <c r="V507" t="s">
        <v>14</v>
      </c>
      <c r="W507" t="s">
        <v>15</v>
      </c>
      <c r="X507" t="s">
        <v>3636</v>
      </c>
      <c r="Y507" t="s">
        <v>3485</v>
      </c>
      <c r="Z507">
        <v>0</v>
      </c>
      <c r="AA507" t="s">
        <v>18</v>
      </c>
    </row>
    <row r="508" spans="1:27" x14ac:dyDescent="0.3">
      <c r="A508" t="s">
        <v>3293</v>
      </c>
      <c r="B508" t="s">
        <v>3233</v>
      </c>
      <c r="C508" t="s">
        <v>4214</v>
      </c>
      <c r="D508" t="s">
        <v>1224</v>
      </c>
      <c r="E508">
        <v>331</v>
      </c>
      <c r="F508" t="s">
        <v>5</v>
      </c>
      <c r="G508">
        <v>172</v>
      </c>
      <c r="H508" t="s">
        <v>6</v>
      </c>
      <c r="I508">
        <v>-67.313928130675293</v>
      </c>
      <c r="J508" t="s">
        <v>7</v>
      </c>
      <c r="K508">
        <v>-0.20336534178451701</v>
      </c>
      <c r="L508" t="s">
        <v>8</v>
      </c>
      <c r="M508">
        <v>1.0897436335997901</v>
      </c>
      <c r="N508" t="s">
        <v>9</v>
      </c>
      <c r="O508">
        <v>-1.60220020823799</v>
      </c>
      <c r="P508" t="s">
        <v>10</v>
      </c>
      <c r="Q508">
        <v>0.59532434885183005</v>
      </c>
      <c r="R508" t="s">
        <v>11</v>
      </c>
      <c r="S508" t="s">
        <v>3672</v>
      </c>
      <c r="T508" t="s">
        <v>3303</v>
      </c>
      <c r="U508">
        <v>0</v>
      </c>
      <c r="V508" t="s">
        <v>14</v>
      </c>
      <c r="W508" t="s">
        <v>15</v>
      </c>
      <c r="X508" t="s">
        <v>3633</v>
      </c>
      <c r="Y508" t="s">
        <v>3303</v>
      </c>
      <c r="Z508">
        <v>0</v>
      </c>
      <c r="AA508" t="s">
        <v>18</v>
      </c>
    </row>
    <row r="509" spans="1:27" x14ac:dyDescent="0.3">
      <c r="A509" t="s">
        <v>3293</v>
      </c>
      <c r="B509" t="s">
        <v>3203</v>
      </c>
      <c r="C509" t="s">
        <v>4215</v>
      </c>
      <c r="D509" t="s">
        <v>1224</v>
      </c>
      <c r="E509">
        <v>334</v>
      </c>
      <c r="F509" t="s">
        <v>5</v>
      </c>
      <c r="G509">
        <v>179</v>
      </c>
      <c r="H509" t="s">
        <v>6</v>
      </c>
      <c r="I509">
        <v>-67.469999999999899</v>
      </c>
      <c r="J509" t="s">
        <v>7</v>
      </c>
      <c r="K509">
        <v>-0.20200598802395101</v>
      </c>
      <c r="L509" t="s">
        <v>8</v>
      </c>
      <c r="M509">
        <v>1.0565363128491601</v>
      </c>
      <c r="N509" t="s">
        <v>9</v>
      </c>
      <c r="O509">
        <v>-1.6554193548387</v>
      </c>
      <c r="P509" t="s">
        <v>10</v>
      </c>
      <c r="Q509">
        <v>0.67711858118880797</v>
      </c>
      <c r="R509" t="s">
        <v>11</v>
      </c>
      <c r="S509" t="s">
        <v>3668</v>
      </c>
      <c r="T509" t="s">
        <v>154</v>
      </c>
      <c r="U509">
        <v>0</v>
      </c>
      <c r="V509" t="s">
        <v>14</v>
      </c>
      <c r="W509" t="s">
        <v>15</v>
      </c>
      <c r="X509" t="s">
        <v>3669</v>
      </c>
      <c r="Y509" t="s">
        <v>832</v>
      </c>
      <c r="Z509">
        <v>0</v>
      </c>
      <c r="AA509" t="s">
        <v>18</v>
      </c>
    </row>
    <row r="510" spans="1:27" x14ac:dyDescent="0.3">
      <c r="A510" t="s">
        <v>1223</v>
      </c>
      <c r="B510" t="s">
        <v>3222</v>
      </c>
      <c r="C510" t="s">
        <v>4216</v>
      </c>
      <c r="D510" t="s">
        <v>1224</v>
      </c>
      <c r="E510">
        <v>375</v>
      </c>
      <c r="F510" t="s">
        <v>5</v>
      </c>
      <c r="G510">
        <v>179</v>
      </c>
      <c r="H510" t="s">
        <v>6</v>
      </c>
      <c r="I510">
        <v>-67.7421463027882</v>
      </c>
      <c r="J510" t="s">
        <v>7</v>
      </c>
      <c r="K510">
        <v>-0.18064572347410199</v>
      </c>
      <c r="L510" t="s">
        <v>8</v>
      </c>
      <c r="M510">
        <v>1.0900438754034101</v>
      </c>
      <c r="N510" t="s">
        <v>9</v>
      </c>
      <c r="O510">
        <v>-1.3411224489795901</v>
      </c>
      <c r="P510" t="s">
        <v>10</v>
      </c>
      <c r="Q510">
        <v>0.81640758196032504</v>
      </c>
      <c r="R510" t="s">
        <v>11</v>
      </c>
      <c r="S510" t="s">
        <v>3623</v>
      </c>
      <c r="T510" t="s">
        <v>21</v>
      </c>
      <c r="U510">
        <v>0</v>
      </c>
      <c r="V510" t="s">
        <v>14</v>
      </c>
      <c r="W510" t="s">
        <v>15</v>
      </c>
      <c r="X510" t="s">
        <v>3625</v>
      </c>
      <c r="Y510" t="s">
        <v>832</v>
      </c>
      <c r="Z510">
        <v>0</v>
      </c>
      <c r="AA510" t="s">
        <v>18</v>
      </c>
    </row>
    <row r="511" spans="1:27" x14ac:dyDescent="0.3">
      <c r="A511" t="s">
        <v>1222</v>
      </c>
      <c r="B511" t="s">
        <v>3236</v>
      </c>
      <c r="C511" t="s">
        <v>4217</v>
      </c>
      <c r="D511" t="s">
        <v>1224</v>
      </c>
      <c r="E511">
        <v>127</v>
      </c>
      <c r="F511" t="s">
        <v>5</v>
      </c>
      <c r="G511">
        <v>45</v>
      </c>
      <c r="H511" t="s">
        <v>6</v>
      </c>
      <c r="I511">
        <v>-67.896886577426201</v>
      </c>
      <c r="J511" t="s">
        <v>7</v>
      </c>
      <c r="K511">
        <v>-0.53462115415296196</v>
      </c>
      <c r="L511" t="s">
        <v>8</v>
      </c>
      <c r="M511">
        <v>1.3446893624815399</v>
      </c>
      <c r="N511" t="s">
        <v>9</v>
      </c>
      <c r="O511">
        <v>-1.56595009620848</v>
      </c>
      <c r="P511" t="s">
        <v>10</v>
      </c>
      <c r="Q511">
        <v>0.45467270168348001</v>
      </c>
      <c r="R511" t="s">
        <v>11</v>
      </c>
      <c r="S511" t="s">
        <v>3574</v>
      </c>
      <c r="T511" t="s">
        <v>3129</v>
      </c>
      <c r="U511">
        <v>0</v>
      </c>
      <c r="V511" t="s">
        <v>14</v>
      </c>
      <c r="W511" t="s">
        <v>15</v>
      </c>
      <c r="X511" t="s">
        <v>3575</v>
      </c>
      <c r="Y511" t="s">
        <v>2793</v>
      </c>
      <c r="Z511">
        <v>0</v>
      </c>
      <c r="AA511" t="s">
        <v>18</v>
      </c>
    </row>
    <row r="512" spans="1:27" x14ac:dyDescent="0.3">
      <c r="A512" t="s">
        <v>1222</v>
      </c>
      <c r="B512" t="s">
        <v>3203</v>
      </c>
      <c r="C512" t="s">
        <v>4218</v>
      </c>
      <c r="D512" t="s">
        <v>1224</v>
      </c>
      <c r="E512">
        <v>136</v>
      </c>
      <c r="F512" t="s">
        <v>5</v>
      </c>
      <c r="G512">
        <v>61</v>
      </c>
      <c r="H512" t="s">
        <v>6</v>
      </c>
      <c r="I512">
        <v>-67.989999999999895</v>
      </c>
      <c r="J512" t="s">
        <v>7</v>
      </c>
      <c r="K512">
        <v>-0.49992647058823497</v>
      </c>
      <c r="L512" t="s">
        <v>8</v>
      </c>
      <c r="M512">
        <v>1.0504918032786801</v>
      </c>
      <c r="N512" t="s">
        <v>9</v>
      </c>
      <c r="O512">
        <v>-1.7609333333333299</v>
      </c>
      <c r="P512" t="s">
        <v>10</v>
      </c>
      <c r="Q512">
        <v>0.30883598942125001</v>
      </c>
      <c r="R512" t="s">
        <v>11</v>
      </c>
      <c r="S512" t="s">
        <v>3403</v>
      </c>
      <c r="T512" t="s">
        <v>730</v>
      </c>
      <c r="U512">
        <v>0</v>
      </c>
      <c r="V512" t="s">
        <v>14</v>
      </c>
      <c r="W512" t="s">
        <v>15</v>
      </c>
      <c r="X512" t="s">
        <v>3550</v>
      </c>
      <c r="Y512" t="s">
        <v>730</v>
      </c>
      <c r="Z512">
        <v>0</v>
      </c>
      <c r="AA512" t="s">
        <v>18</v>
      </c>
    </row>
    <row r="513" spans="1:27" x14ac:dyDescent="0.3">
      <c r="A513" t="s">
        <v>3293</v>
      </c>
      <c r="B513" t="s">
        <v>3212</v>
      </c>
      <c r="C513" t="s">
        <v>4219</v>
      </c>
      <c r="D513" t="s">
        <v>1224</v>
      </c>
      <c r="E513">
        <v>335</v>
      </c>
      <c r="F513" t="s">
        <v>5</v>
      </c>
      <c r="G513">
        <v>141</v>
      </c>
      <c r="H513" t="s">
        <v>6</v>
      </c>
      <c r="I513">
        <v>-68.629999999999896</v>
      </c>
      <c r="J513" t="s">
        <v>7</v>
      </c>
      <c r="K513">
        <v>-0.20486567164179001</v>
      </c>
      <c r="L513" t="s">
        <v>8</v>
      </c>
      <c r="M513">
        <v>2.0021276595744602</v>
      </c>
      <c r="N513" t="s">
        <v>9</v>
      </c>
      <c r="O513">
        <v>-1.80891752577319</v>
      </c>
      <c r="P513" t="s">
        <v>10</v>
      </c>
      <c r="Q513">
        <v>0.98268107363406998</v>
      </c>
      <c r="R513" t="s">
        <v>11</v>
      </c>
      <c r="S513" t="s">
        <v>2657</v>
      </c>
      <c r="T513" t="s">
        <v>3303</v>
      </c>
      <c r="U513">
        <v>0</v>
      </c>
      <c r="V513" t="s">
        <v>14</v>
      </c>
      <c r="W513" t="s">
        <v>15</v>
      </c>
      <c r="X513" t="s">
        <v>3670</v>
      </c>
      <c r="Y513" t="s">
        <v>2644</v>
      </c>
      <c r="Z513">
        <v>0</v>
      </c>
      <c r="AA513" t="s">
        <v>18</v>
      </c>
    </row>
    <row r="514" spans="1:27" x14ac:dyDescent="0.3">
      <c r="A514" t="s">
        <v>3293</v>
      </c>
      <c r="B514" t="s">
        <v>3278</v>
      </c>
      <c r="C514" t="s">
        <v>4220</v>
      </c>
      <c r="D514" t="s">
        <v>1224</v>
      </c>
      <c r="E514">
        <v>334</v>
      </c>
      <c r="F514" t="s">
        <v>5</v>
      </c>
      <c r="G514">
        <v>163</v>
      </c>
      <c r="H514" t="s">
        <v>6</v>
      </c>
      <c r="I514">
        <v>-68.759999999999906</v>
      </c>
      <c r="J514" t="s">
        <v>7</v>
      </c>
      <c r="K514">
        <v>-0.20586826347305301</v>
      </c>
      <c r="L514" t="s">
        <v>8</v>
      </c>
      <c r="M514">
        <v>1.53889570552147</v>
      </c>
      <c r="N514" t="s">
        <v>9</v>
      </c>
      <c r="O514">
        <v>-1.8690058479532099</v>
      </c>
      <c r="P514" t="s">
        <v>10</v>
      </c>
      <c r="Q514">
        <v>1.1806255152188201</v>
      </c>
      <c r="R514" t="s">
        <v>11</v>
      </c>
      <c r="S514" t="s">
        <v>3680</v>
      </c>
      <c r="T514" t="s">
        <v>2897</v>
      </c>
      <c r="U514">
        <v>0</v>
      </c>
      <c r="V514" t="s">
        <v>14</v>
      </c>
      <c r="W514" t="s">
        <v>15</v>
      </c>
      <c r="X514" t="s">
        <v>3661</v>
      </c>
      <c r="Y514" t="s">
        <v>832</v>
      </c>
      <c r="Z514">
        <v>0</v>
      </c>
      <c r="AA514" t="s">
        <v>18</v>
      </c>
    </row>
    <row r="515" spans="1:27" x14ac:dyDescent="0.3">
      <c r="A515" t="s">
        <v>1222</v>
      </c>
      <c r="B515" t="s">
        <v>3291</v>
      </c>
      <c r="C515" t="s">
        <v>4221</v>
      </c>
      <c r="D515" t="s">
        <v>1224</v>
      </c>
      <c r="E515">
        <v>127</v>
      </c>
      <c r="F515" t="s">
        <v>5</v>
      </c>
      <c r="G515">
        <v>26</v>
      </c>
      <c r="H515" t="s">
        <v>6</v>
      </c>
      <c r="I515">
        <v>-68.879497408173805</v>
      </c>
      <c r="J515" t="s">
        <v>7</v>
      </c>
      <c r="K515">
        <v>-0.54235824730845505</v>
      </c>
      <c r="L515" t="s">
        <v>8</v>
      </c>
      <c r="M515">
        <v>4.1393141112464198</v>
      </c>
      <c r="N515" t="s">
        <v>9</v>
      </c>
      <c r="O515">
        <v>-1.7475412306988201</v>
      </c>
      <c r="P515" t="s">
        <v>10</v>
      </c>
      <c r="Q515">
        <v>0.81631406602434398</v>
      </c>
      <c r="R515" t="s">
        <v>11</v>
      </c>
      <c r="S515" t="s">
        <v>3538</v>
      </c>
      <c r="T515" t="s">
        <v>2568</v>
      </c>
      <c r="U515">
        <v>0</v>
      </c>
      <c r="V515" t="s">
        <v>14</v>
      </c>
      <c r="W515" t="s">
        <v>15</v>
      </c>
      <c r="X515" t="s">
        <v>3610</v>
      </c>
      <c r="Y515" t="s">
        <v>2793</v>
      </c>
      <c r="Z515">
        <v>0</v>
      </c>
      <c r="AA515" t="s">
        <v>18</v>
      </c>
    </row>
    <row r="516" spans="1:27" x14ac:dyDescent="0.3">
      <c r="A516" t="s">
        <v>1223</v>
      </c>
      <c r="B516" t="s">
        <v>3273</v>
      </c>
      <c r="C516" t="s">
        <v>4222</v>
      </c>
      <c r="D516" t="s">
        <v>1224</v>
      </c>
      <c r="E516">
        <v>370</v>
      </c>
      <c r="F516" t="s">
        <v>5</v>
      </c>
      <c r="G516">
        <v>50</v>
      </c>
      <c r="H516" t="s">
        <v>6</v>
      </c>
      <c r="I516">
        <v>-69.109308561861198</v>
      </c>
      <c r="J516" t="s">
        <v>7</v>
      </c>
      <c r="K516">
        <v>-0.18678191503205699</v>
      </c>
      <c r="L516" t="s">
        <v>8</v>
      </c>
      <c r="M516">
        <v>10.403996013636901</v>
      </c>
      <c r="N516" t="s">
        <v>9</v>
      </c>
      <c r="O516">
        <v>-1.8415909663865899</v>
      </c>
      <c r="P516" t="s">
        <v>10</v>
      </c>
      <c r="Q516">
        <v>1.99688101716086</v>
      </c>
      <c r="R516" t="s">
        <v>11</v>
      </c>
      <c r="S516" t="s">
        <v>3356</v>
      </c>
      <c r="T516" t="s">
        <v>2914</v>
      </c>
      <c r="U516">
        <v>0</v>
      </c>
      <c r="V516" t="s">
        <v>14</v>
      </c>
      <c r="W516" t="s">
        <v>15</v>
      </c>
      <c r="X516" t="s">
        <v>3659</v>
      </c>
      <c r="Y516" t="s">
        <v>2198</v>
      </c>
      <c r="Z516">
        <v>0</v>
      </c>
      <c r="AA516" t="s">
        <v>18</v>
      </c>
    </row>
    <row r="517" spans="1:27" x14ac:dyDescent="0.3">
      <c r="A517" t="s">
        <v>1223</v>
      </c>
      <c r="B517" t="s">
        <v>3227</v>
      </c>
      <c r="C517" t="s">
        <v>4223</v>
      </c>
      <c r="D517" t="s">
        <v>1224</v>
      </c>
      <c r="E517">
        <v>376</v>
      </c>
      <c r="F517" t="s">
        <v>5</v>
      </c>
      <c r="G517">
        <v>200</v>
      </c>
      <c r="H517" t="s">
        <v>6</v>
      </c>
      <c r="I517">
        <v>-69.232146302788195</v>
      </c>
      <c r="J517" t="s">
        <v>7</v>
      </c>
      <c r="K517">
        <v>-0.184128048677628</v>
      </c>
      <c r="L517" t="s">
        <v>8</v>
      </c>
      <c r="M517">
        <v>1.0094892684860499</v>
      </c>
      <c r="N517" t="s">
        <v>9</v>
      </c>
      <c r="O517">
        <v>-1.5405113636363601</v>
      </c>
      <c r="P517" t="s">
        <v>10</v>
      </c>
      <c r="Q517">
        <v>0.64210686173520004</v>
      </c>
      <c r="R517" t="s">
        <v>11</v>
      </c>
      <c r="S517" t="s">
        <v>3628</v>
      </c>
      <c r="T517" t="s">
        <v>3629</v>
      </c>
      <c r="U517">
        <v>0</v>
      </c>
      <c r="V517" t="s">
        <v>14</v>
      </c>
      <c r="W517" t="s">
        <v>15</v>
      </c>
      <c r="X517" t="s">
        <v>3630</v>
      </c>
      <c r="Y517" t="s">
        <v>3296</v>
      </c>
      <c r="Z517">
        <v>0</v>
      </c>
      <c r="AA517" t="s">
        <v>18</v>
      </c>
    </row>
    <row r="518" spans="1:27" x14ac:dyDescent="0.3">
      <c r="A518" t="s">
        <v>3292</v>
      </c>
      <c r="B518" t="s">
        <v>3256</v>
      </c>
      <c r="C518" t="s">
        <v>4224</v>
      </c>
      <c r="D518" t="s">
        <v>1224</v>
      </c>
      <c r="E518">
        <v>155</v>
      </c>
      <c r="F518" t="s">
        <v>5</v>
      </c>
      <c r="G518">
        <v>68</v>
      </c>
      <c r="H518" t="s">
        <v>6</v>
      </c>
      <c r="I518">
        <v>-69.439999999999898</v>
      </c>
      <c r="J518" t="s">
        <v>7</v>
      </c>
      <c r="K518">
        <v>-0.44799999999999901</v>
      </c>
      <c r="L518" t="s">
        <v>8</v>
      </c>
      <c r="M518">
        <v>0.84499999999999997</v>
      </c>
      <c r="N518" t="s">
        <v>9</v>
      </c>
      <c r="O518">
        <v>-1.4586206896551701</v>
      </c>
      <c r="P518" t="s">
        <v>10</v>
      </c>
      <c r="Q518">
        <v>0.283705615483554</v>
      </c>
      <c r="R518" t="s">
        <v>11</v>
      </c>
      <c r="S518" t="s">
        <v>3386</v>
      </c>
      <c r="T518" t="s">
        <v>3030</v>
      </c>
      <c r="U518">
        <v>0</v>
      </c>
      <c r="V518" t="s">
        <v>14</v>
      </c>
      <c r="W518" t="s">
        <v>15</v>
      </c>
      <c r="X518" t="s">
        <v>3387</v>
      </c>
      <c r="Y518" t="s">
        <v>3388</v>
      </c>
      <c r="Z518">
        <v>0</v>
      </c>
      <c r="AA518" t="s">
        <v>18</v>
      </c>
    </row>
    <row r="519" spans="1:27" x14ac:dyDescent="0.3">
      <c r="A519" t="s">
        <v>3292</v>
      </c>
      <c r="B519" t="s">
        <v>3258</v>
      </c>
      <c r="C519" t="s">
        <v>4225</v>
      </c>
      <c r="D519" t="s">
        <v>1224</v>
      </c>
      <c r="E519">
        <v>155</v>
      </c>
      <c r="F519" t="s">
        <v>5</v>
      </c>
      <c r="G519">
        <v>54</v>
      </c>
      <c r="H519" t="s">
        <v>6</v>
      </c>
      <c r="I519">
        <v>-69.47</v>
      </c>
      <c r="J519" t="s">
        <v>7</v>
      </c>
      <c r="K519">
        <v>-0.44819354838709602</v>
      </c>
      <c r="L519" t="s">
        <v>8</v>
      </c>
      <c r="M519">
        <v>1.48277777777777</v>
      </c>
      <c r="N519" t="s">
        <v>9</v>
      </c>
      <c r="O519">
        <v>-1.4805940594059399</v>
      </c>
      <c r="P519" t="s">
        <v>10</v>
      </c>
      <c r="Q519">
        <v>0.38870666483216698</v>
      </c>
      <c r="R519" t="s">
        <v>11</v>
      </c>
      <c r="S519" t="s">
        <v>3386</v>
      </c>
      <c r="T519" t="s">
        <v>3030</v>
      </c>
      <c r="U519">
        <v>0</v>
      </c>
      <c r="V519" t="s">
        <v>14</v>
      </c>
      <c r="W519" t="s">
        <v>15</v>
      </c>
      <c r="X519" t="s">
        <v>3387</v>
      </c>
      <c r="Y519" t="s">
        <v>3388</v>
      </c>
      <c r="Z519">
        <v>0</v>
      </c>
      <c r="AA519" t="s">
        <v>18</v>
      </c>
    </row>
    <row r="520" spans="1:27" x14ac:dyDescent="0.3">
      <c r="A520" t="s">
        <v>1223</v>
      </c>
      <c r="B520" t="s">
        <v>3239</v>
      </c>
      <c r="C520" t="s">
        <v>4226</v>
      </c>
      <c r="D520" t="s">
        <v>1224</v>
      </c>
      <c r="E520">
        <v>375</v>
      </c>
      <c r="F520" t="s">
        <v>5</v>
      </c>
      <c r="G520">
        <v>177</v>
      </c>
      <c r="H520" t="s">
        <v>6</v>
      </c>
      <c r="I520">
        <v>-69.675542304519794</v>
      </c>
      <c r="J520" t="s">
        <v>7</v>
      </c>
      <c r="K520">
        <v>-0.18580144614538599</v>
      </c>
      <c r="L520" t="s">
        <v>8</v>
      </c>
      <c r="M520">
        <v>0.74720032596316399</v>
      </c>
      <c r="N520" t="s">
        <v>9</v>
      </c>
      <c r="O520">
        <v>-1.0302551020408099</v>
      </c>
      <c r="P520" t="s">
        <v>10</v>
      </c>
      <c r="Q520">
        <v>0.63608567415002104</v>
      </c>
      <c r="R520" t="s">
        <v>11</v>
      </c>
      <c r="S520" t="s">
        <v>3508</v>
      </c>
      <c r="T520" t="s">
        <v>21</v>
      </c>
      <c r="U520">
        <v>0</v>
      </c>
      <c r="V520" t="s">
        <v>14</v>
      </c>
      <c r="W520" t="s">
        <v>15</v>
      </c>
      <c r="X520" t="s">
        <v>3637</v>
      </c>
      <c r="Y520" t="s">
        <v>21</v>
      </c>
      <c r="Z520">
        <v>0</v>
      </c>
      <c r="AA520" t="s">
        <v>18</v>
      </c>
    </row>
    <row r="521" spans="1:27" x14ac:dyDescent="0.3">
      <c r="A521" t="s">
        <v>1222</v>
      </c>
      <c r="B521" t="s">
        <v>3221</v>
      </c>
      <c r="C521" t="s">
        <v>4227</v>
      </c>
      <c r="D521" t="s">
        <v>1224</v>
      </c>
      <c r="E521">
        <v>136</v>
      </c>
      <c r="F521" t="s">
        <v>5</v>
      </c>
      <c r="G521">
        <v>57</v>
      </c>
      <c r="H521" t="s">
        <v>6</v>
      </c>
      <c r="I521">
        <v>-69.790000000000006</v>
      </c>
      <c r="J521" t="s">
        <v>7</v>
      </c>
      <c r="K521">
        <v>-0.51316176470588204</v>
      </c>
      <c r="L521" t="s">
        <v>8</v>
      </c>
      <c r="M521">
        <v>0.71877192982456095</v>
      </c>
      <c r="N521" t="s">
        <v>9</v>
      </c>
      <c r="O521">
        <v>-1.42</v>
      </c>
      <c r="P521" t="s">
        <v>10</v>
      </c>
      <c r="Q521">
        <v>0.31347478128977202</v>
      </c>
      <c r="R521" t="s">
        <v>11</v>
      </c>
      <c r="S521" t="s">
        <v>3564</v>
      </c>
      <c r="T521" t="s">
        <v>21</v>
      </c>
      <c r="U521">
        <v>0</v>
      </c>
      <c r="V521" t="s">
        <v>14</v>
      </c>
      <c r="W521" t="s">
        <v>15</v>
      </c>
      <c r="X521" t="s">
        <v>2690</v>
      </c>
      <c r="Y521" t="s">
        <v>21</v>
      </c>
      <c r="Z521">
        <v>0</v>
      </c>
      <c r="AA521" t="s">
        <v>18</v>
      </c>
    </row>
    <row r="522" spans="1:27" x14ac:dyDescent="0.3">
      <c r="A522" t="s">
        <v>1223</v>
      </c>
      <c r="B522" t="s">
        <v>3242</v>
      </c>
      <c r="C522" t="s">
        <v>4228</v>
      </c>
      <c r="D522" t="s">
        <v>1224</v>
      </c>
      <c r="E522">
        <v>375</v>
      </c>
      <c r="F522" t="s">
        <v>5</v>
      </c>
      <c r="G522">
        <v>156</v>
      </c>
      <c r="H522" t="s">
        <v>6</v>
      </c>
      <c r="I522">
        <v>-70.678447513126301</v>
      </c>
      <c r="J522" t="s">
        <v>7</v>
      </c>
      <c r="K522">
        <v>-0.188475860035003</v>
      </c>
      <c r="L522" t="s">
        <v>8</v>
      </c>
      <c r="M522">
        <v>1.01416666666666</v>
      </c>
      <c r="N522" t="s">
        <v>9</v>
      </c>
      <c r="O522">
        <v>-1.05478547241072</v>
      </c>
      <c r="P522" t="s">
        <v>10</v>
      </c>
      <c r="Q522">
        <v>0.99204561953338399</v>
      </c>
      <c r="R522" t="s">
        <v>11</v>
      </c>
      <c r="S522" t="s">
        <v>3508</v>
      </c>
      <c r="T522" t="s">
        <v>21</v>
      </c>
      <c r="U522">
        <v>0</v>
      </c>
      <c r="V522" t="s">
        <v>14</v>
      </c>
      <c r="W522" t="s">
        <v>15</v>
      </c>
      <c r="X522" t="s">
        <v>3638</v>
      </c>
      <c r="Y522" t="s">
        <v>2071</v>
      </c>
      <c r="Z522">
        <v>0</v>
      </c>
      <c r="AA522" t="s">
        <v>18</v>
      </c>
    </row>
    <row r="523" spans="1:27" x14ac:dyDescent="0.3">
      <c r="A523" t="s">
        <v>1221</v>
      </c>
      <c r="B523" t="s">
        <v>3237</v>
      </c>
      <c r="C523" t="s">
        <v>4229</v>
      </c>
      <c r="D523" t="s">
        <v>1224</v>
      </c>
      <c r="E523">
        <v>130</v>
      </c>
      <c r="F523" t="s">
        <v>5</v>
      </c>
      <c r="G523">
        <v>46</v>
      </c>
      <c r="H523" t="s">
        <v>6</v>
      </c>
      <c r="I523">
        <v>-70.834098150704307</v>
      </c>
      <c r="J523" t="s">
        <v>7</v>
      </c>
      <c r="K523">
        <v>-0.54487767808234</v>
      </c>
      <c r="L523" t="s">
        <v>8</v>
      </c>
      <c r="M523">
        <v>1.4248481592947899</v>
      </c>
      <c r="N523" t="s">
        <v>9</v>
      </c>
      <c r="O523">
        <v>-1.6235370652174299</v>
      </c>
      <c r="P523" t="s">
        <v>10</v>
      </c>
      <c r="Q523">
        <v>0.52016079589786601</v>
      </c>
      <c r="R523" t="s">
        <v>11</v>
      </c>
      <c r="S523" t="s">
        <v>3515</v>
      </c>
      <c r="T523" t="s">
        <v>3320</v>
      </c>
      <c r="U523">
        <v>0</v>
      </c>
      <c r="V523" t="s">
        <v>14</v>
      </c>
      <c r="W523" t="s">
        <v>15</v>
      </c>
      <c r="X523" t="s">
        <v>3514</v>
      </c>
      <c r="Y523" t="s">
        <v>2793</v>
      </c>
      <c r="Z523">
        <v>0</v>
      </c>
      <c r="AA523" t="s">
        <v>18</v>
      </c>
    </row>
    <row r="524" spans="1:27" x14ac:dyDescent="0.3">
      <c r="A524" t="s">
        <v>1223</v>
      </c>
      <c r="B524" t="s">
        <v>3246</v>
      </c>
      <c r="C524" t="s">
        <v>4230</v>
      </c>
      <c r="D524" t="s">
        <v>1224</v>
      </c>
      <c r="E524">
        <v>376</v>
      </c>
      <c r="F524" t="s">
        <v>5</v>
      </c>
      <c r="G524">
        <v>158</v>
      </c>
      <c r="H524" t="s">
        <v>6</v>
      </c>
      <c r="I524">
        <v>-71.128447513126403</v>
      </c>
      <c r="J524" t="s">
        <v>7</v>
      </c>
      <c r="K524">
        <v>-0.18917140296044199</v>
      </c>
      <c r="L524" t="s">
        <v>8</v>
      </c>
      <c r="M524">
        <v>1.10443037974683</v>
      </c>
      <c r="N524" t="s">
        <v>9</v>
      </c>
      <c r="O524">
        <v>-1.12673599776663</v>
      </c>
      <c r="P524" t="s">
        <v>10</v>
      </c>
      <c r="Q524">
        <v>0.70311710796342197</v>
      </c>
      <c r="R524" t="s">
        <v>11</v>
      </c>
      <c r="S524" t="s">
        <v>3332</v>
      </c>
      <c r="T524" t="s">
        <v>3333</v>
      </c>
      <c r="U524">
        <v>0</v>
      </c>
      <c r="V524" t="s">
        <v>14</v>
      </c>
      <c r="W524" t="s">
        <v>15</v>
      </c>
      <c r="X524" t="s">
        <v>3636</v>
      </c>
      <c r="Y524" t="s">
        <v>3485</v>
      </c>
      <c r="Z524">
        <v>0</v>
      </c>
      <c r="AA524" t="s">
        <v>18</v>
      </c>
    </row>
    <row r="525" spans="1:27" x14ac:dyDescent="0.3">
      <c r="A525" t="s">
        <v>3292</v>
      </c>
      <c r="B525" t="s">
        <v>3272</v>
      </c>
      <c r="C525" t="s">
        <v>4231</v>
      </c>
      <c r="D525" t="s">
        <v>1224</v>
      </c>
      <c r="E525">
        <v>157</v>
      </c>
      <c r="F525" t="s">
        <v>5</v>
      </c>
      <c r="G525">
        <v>21</v>
      </c>
      <c r="H525" t="s">
        <v>6</v>
      </c>
      <c r="I525">
        <v>-71.217031619653099</v>
      </c>
      <c r="J525" t="s">
        <v>7</v>
      </c>
      <c r="K525">
        <v>-0.453611666367217</v>
      </c>
      <c r="L525" t="s">
        <v>8</v>
      </c>
      <c r="M525">
        <v>7.63904761904762</v>
      </c>
      <c r="N525" t="s">
        <v>9</v>
      </c>
      <c r="O525">
        <v>-1.70321346779156</v>
      </c>
      <c r="P525" t="s">
        <v>10</v>
      </c>
      <c r="Q525">
        <v>0.89495442637328504</v>
      </c>
      <c r="R525" t="s">
        <v>11</v>
      </c>
      <c r="S525" t="s">
        <v>3443</v>
      </c>
      <c r="T525" t="s">
        <v>3019</v>
      </c>
    </row>
    <row r="526" spans="1:27" x14ac:dyDescent="0.3">
      <c r="A526" t="s">
        <v>1223</v>
      </c>
      <c r="B526" t="s">
        <v>3241</v>
      </c>
      <c r="C526" t="s">
        <v>4232</v>
      </c>
      <c r="D526" t="s">
        <v>1224</v>
      </c>
      <c r="E526">
        <v>375</v>
      </c>
      <c r="F526" t="s">
        <v>5</v>
      </c>
      <c r="G526">
        <v>163</v>
      </c>
      <c r="H526" t="s">
        <v>6</v>
      </c>
      <c r="I526">
        <v>-71.368447513126398</v>
      </c>
      <c r="J526" t="s">
        <v>7</v>
      </c>
      <c r="K526">
        <v>-0.190315860035003</v>
      </c>
      <c r="L526" t="s">
        <v>8</v>
      </c>
      <c r="M526">
        <v>0.91423312883435504</v>
      </c>
      <c r="N526" t="s">
        <v>9</v>
      </c>
      <c r="O526">
        <v>-1.04946879768155</v>
      </c>
      <c r="P526" t="s">
        <v>10</v>
      </c>
      <c r="Q526">
        <v>0.75710849311126704</v>
      </c>
      <c r="R526" t="s">
        <v>11</v>
      </c>
      <c r="S526" t="s">
        <v>3508</v>
      </c>
      <c r="T526" t="s">
        <v>21</v>
      </c>
      <c r="U526">
        <v>0</v>
      </c>
      <c r="V526" t="s">
        <v>14</v>
      </c>
      <c r="W526" t="s">
        <v>15</v>
      </c>
      <c r="X526" t="s">
        <v>3637</v>
      </c>
      <c r="Y526" t="s">
        <v>21</v>
      </c>
      <c r="Z526">
        <v>0</v>
      </c>
      <c r="AA526" t="s">
        <v>18</v>
      </c>
    </row>
    <row r="527" spans="1:27" x14ac:dyDescent="0.3">
      <c r="A527" t="s">
        <v>3293</v>
      </c>
      <c r="B527" t="s">
        <v>3282</v>
      </c>
      <c r="C527" t="s">
        <v>4233</v>
      </c>
      <c r="D527" t="s">
        <v>1224</v>
      </c>
      <c r="E527">
        <v>335</v>
      </c>
      <c r="F527" t="s">
        <v>5</v>
      </c>
      <c r="G527">
        <v>148</v>
      </c>
      <c r="H527" t="s">
        <v>6</v>
      </c>
      <c r="I527">
        <v>-71.489999999999995</v>
      </c>
      <c r="J527" t="s">
        <v>7</v>
      </c>
      <c r="K527">
        <v>-0.21340298507462699</v>
      </c>
      <c r="L527" t="s">
        <v>8</v>
      </c>
      <c r="M527">
        <v>1.6612162162162101</v>
      </c>
      <c r="N527" t="s">
        <v>9</v>
      </c>
      <c r="O527">
        <v>-1.6970588235294</v>
      </c>
      <c r="P527" t="s">
        <v>10</v>
      </c>
      <c r="Q527">
        <v>0.914921954261249</v>
      </c>
      <c r="R527" t="s">
        <v>11</v>
      </c>
      <c r="S527" t="s">
        <v>2657</v>
      </c>
      <c r="T527" t="s">
        <v>3303</v>
      </c>
      <c r="U527">
        <v>0</v>
      </c>
      <c r="V527" t="s">
        <v>14</v>
      </c>
      <c r="W527" t="s">
        <v>15</v>
      </c>
      <c r="X527" t="s">
        <v>3660</v>
      </c>
      <c r="Y527" t="s">
        <v>832</v>
      </c>
      <c r="Z527">
        <v>0</v>
      </c>
      <c r="AA527" t="s">
        <v>18</v>
      </c>
    </row>
    <row r="528" spans="1:27" x14ac:dyDescent="0.3">
      <c r="A528" t="s">
        <v>1143</v>
      </c>
      <c r="B528" t="s">
        <v>3251</v>
      </c>
      <c r="C528" t="s">
        <v>4234</v>
      </c>
      <c r="D528" t="s">
        <v>1224</v>
      </c>
      <c r="E528">
        <v>3062</v>
      </c>
      <c r="F528" t="s">
        <v>5</v>
      </c>
      <c r="G528">
        <v>1650</v>
      </c>
      <c r="H528" t="s">
        <v>6</v>
      </c>
      <c r="I528">
        <v>-71.520818743604707</v>
      </c>
      <c r="J528" t="s">
        <v>7</v>
      </c>
      <c r="K528">
        <v>-2.3357550210190901E-2</v>
      </c>
      <c r="L528" t="s">
        <v>8</v>
      </c>
      <c r="M528">
        <v>1.0023874225576099</v>
      </c>
      <c r="N528" t="s">
        <v>9</v>
      </c>
      <c r="O528">
        <v>-1.22546879684919</v>
      </c>
      <c r="P528" t="s">
        <v>10</v>
      </c>
      <c r="Q528">
        <v>2.8015221021483998</v>
      </c>
      <c r="R528" t="s">
        <v>11</v>
      </c>
      <c r="S528" t="s">
        <v>3340</v>
      </c>
      <c r="T528" t="s">
        <v>3091</v>
      </c>
      <c r="U528">
        <v>0</v>
      </c>
      <c r="V528" t="s">
        <v>14</v>
      </c>
      <c r="W528" t="s">
        <v>15</v>
      </c>
      <c r="X528" t="s">
        <v>3341</v>
      </c>
      <c r="Y528" t="s">
        <v>3091</v>
      </c>
      <c r="Z528">
        <v>0</v>
      </c>
      <c r="AA528" t="s">
        <v>18</v>
      </c>
    </row>
    <row r="529" spans="1:27" x14ac:dyDescent="0.3">
      <c r="A529" t="s">
        <v>3293</v>
      </c>
      <c r="B529" t="s">
        <v>3216</v>
      </c>
      <c r="C529" t="s">
        <v>4235</v>
      </c>
      <c r="D529" t="s">
        <v>1224</v>
      </c>
      <c r="E529">
        <v>331</v>
      </c>
      <c r="F529" t="s">
        <v>5</v>
      </c>
      <c r="G529">
        <v>147</v>
      </c>
      <c r="H529" t="s">
        <v>6</v>
      </c>
      <c r="I529">
        <v>-71.870306661773</v>
      </c>
      <c r="J529" t="s">
        <v>7</v>
      </c>
      <c r="K529">
        <v>-0.21713083583617199</v>
      </c>
      <c r="L529" t="s">
        <v>8</v>
      </c>
      <c r="M529">
        <v>1.8121528371960001</v>
      </c>
      <c r="N529" t="s">
        <v>9</v>
      </c>
      <c r="O529">
        <v>-1.83835203113905</v>
      </c>
      <c r="P529" t="s">
        <v>10</v>
      </c>
      <c r="Q529">
        <v>0.834392969882644</v>
      </c>
      <c r="R529" t="s">
        <v>11</v>
      </c>
      <c r="S529" t="s">
        <v>2657</v>
      </c>
      <c r="T529" t="s">
        <v>3303</v>
      </c>
      <c r="U529">
        <v>0</v>
      </c>
      <c r="V529" t="s">
        <v>14</v>
      </c>
      <c r="W529" t="s">
        <v>15</v>
      </c>
      <c r="X529" t="s">
        <v>3619</v>
      </c>
      <c r="Y529" t="s">
        <v>3333</v>
      </c>
      <c r="Z529">
        <v>0</v>
      </c>
      <c r="AA529" t="s">
        <v>18</v>
      </c>
    </row>
    <row r="530" spans="1:27" x14ac:dyDescent="0.3">
      <c r="A530" t="s">
        <v>3293</v>
      </c>
      <c r="B530" t="s">
        <v>3248</v>
      </c>
      <c r="C530" t="s">
        <v>4236</v>
      </c>
      <c r="D530" t="s">
        <v>1224</v>
      </c>
      <c r="E530">
        <v>335</v>
      </c>
      <c r="F530" t="s">
        <v>5</v>
      </c>
      <c r="G530">
        <v>139</v>
      </c>
      <c r="H530" t="s">
        <v>6</v>
      </c>
      <c r="I530">
        <v>-72.169999999999902</v>
      </c>
      <c r="J530" t="s">
        <v>7</v>
      </c>
      <c r="K530">
        <v>-0.21543283582089501</v>
      </c>
      <c r="L530" t="s">
        <v>8</v>
      </c>
      <c r="M530">
        <v>1.11158273381294</v>
      </c>
      <c r="N530" t="s">
        <v>9</v>
      </c>
      <c r="O530">
        <v>-1.15653061224489</v>
      </c>
      <c r="P530" t="s">
        <v>10</v>
      </c>
      <c r="Q530">
        <v>0.75287320194177598</v>
      </c>
      <c r="R530" t="s">
        <v>11</v>
      </c>
      <c r="S530" t="s">
        <v>3639</v>
      </c>
      <c r="T530" t="s">
        <v>2897</v>
      </c>
      <c r="U530">
        <v>0</v>
      </c>
      <c r="V530" t="s">
        <v>14</v>
      </c>
      <c r="W530" t="s">
        <v>15</v>
      </c>
      <c r="X530" t="s">
        <v>3636</v>
      </c>
      <c r="Y530" t="s">
        <v>3485</v>
      </c>
      <c r="Z530">
        <v>0</v>
      </c>
      <c r="AA530" t="s">
        <v>18</v>
      </c>
    </row>
    <row r="531" spans="1:27" x14ac:dyDescent="0.3">
      <c r="A531" t="s">
        <v>1222</v>
      </c>
      <c r="B531" t="s">
        <v>3260</v>
      </c>
      <c r="C531" t="s">
        <v>4237</v>
      </c>
      <c r="D531" t="s">
        <v>1224</v>
      </c>
      <c r="E531">
        <v>136</v>
      </c>
      <c r="F531" t="s">
        <v>5</v>
      </c>
      <c r="G531">
        <v>42</v>
      </c>
      <c r="H531" t="s">
        <v>6</v>
      </c>
      <c r="I531">
        <v>-73.119999999999905</v>
      </c>
      <c r="J531" t="s">
        <v>7</v>
      </c>
      <c r="K531">
        <v>-0.53764705882352803</v>
      </c>
      <c r="L531" t="s">
        <v>8</v>
      </c>
      <c r="M531">
        <v>2.2283333333333299</v>
      </c>
      <c r="N531" t="s">
        <v>9</v>
      </c>
      <c r="O531">
        <v>-1.77351063829787</v>
      </c>
      <c r="P531" t="s">
        <v>10</v>
      </c>
      <c r="Q531">
        <v>0.61519993809148499</v>
      </c>
      <c r="R531" t="s">
        <v>11</v>
      </c>
      <c r="S531" t="s">
        <v>3588</v>
      </c>
      <c r="T531" t="s">
        <v>2631</v>
      </c>
      <c r="U531">
        <v>0</v>
      </c>
      <c r="V531" t="s">
        <v>14</v>
      </c>
      <c r="W531" t="s">
        <v>15</v>
      </c>
      <c r="X531" t="s">
        <v>3553</v>
      </c>
      <c r="Y531" t="s">
        <v>2783</v>
      </c>
      <c r="Z531">
        <v>0</v>
      </c>
      <c r="AA531" t="s">
        <v>18</v>
      </c>
    </row>
    <row r="532" spans="1:27" x14ac:dyDescent="0.3">
      <c r="A532" t="s">
        <v>3293</v>
      </c>
      <c r="B532" t="s">
        <v>3275</v>
      </c>
      <c r="C532" t="s">
        <v>4238</v>
      </c>
      <c r="D532" t="s">
        <v>1224</v>
      </c>
      <c r="E532">
        <v>334</v>
      </c>
      <c r="F532" t="s">
        <v>5</v>
      </c>
      <c r="G532">
        <v>185</v>
      </c>
      <c r="H532" t="s">
        <v>6</v>
      </c>
      <c r="I532">
        <v>-73.279999999999902</v>
      </c>
      <c r="J532" t="s">
        <v>7</v>
      </c>
      <c r="K532">
        <v>-0.21940119760478999</v>
      </c>
      <c r="L532" t="s">
        <v>8</v>
      </c>
      <c r="M532">
        <v>1.10475675675675</v>
      </c>
      <c r="N532" t="s">
        <v>9</v>
      </c>
      <c r="O532">
        <v>-1.8634899328859</v>
      </c>
      <c r="P532" t="s">
        <v>10</v>
      </c>
      <c r="Q532">
        <v>0.81849223692919804</v>
      </c>
      <c r="R532" t="s">
        <v>11</v>
      </c>
      <c r="S532" t="s">
        <v>3597</v>
      </c>
      <c r="T532" t="s">
        <v>832</v>
      </c>
      <c r="U532">
        <v>0</v>
      </c>
      <c r="V532" t="s">
        <v>14</v>
      </c>
      <c r="W532" t="s">
        <v>15</v>
      </c>
      <c r="X532" t="s">
        <v>3661</v>
      </c>
      <c r="Y532" t="s">
        <v>832</v>
      </c>
      <c r="Z532">
        <v>0</v>
      </c>
      <c r="AA532" t="s">
        <v>18</v>
      </c>
    </row>
    <row r="533" spans="1:27" x14ac:dyDescent="0.3">
      <c r="A533" t="s">
        <v>1222</v>
      </c>
      <c r="B533" t="s">
        <v>3261</v>
      </c>
      <c r="C533" t="s">
        <v>4239</v>
      </c>
      <c r="D533" t="s">
        <v>1224</v>
      </c>
      <c r="E533">
        <v>136</v>
      </c>
      <c r="F533" t="s">
        <v>5</v>
      </c>
      <c r="G533">
        <v>41</v>
      </c>
      <c r="H533" t="s">
        <v>6</v>
      </c>
      <c r="I533">
        <v>-73.319999999999894</v>
      </c>
      <c r="J533" t="s">
        <v>7</v>
      </c>
      <c r="K533">
        <v>-0.53911764705882204</v>
      </c>
      <c r="L533" t="s">
        <v>8</v>
      </c>
      <c r="M533">
        <v>2.3412195121951198</v>
      </c>
      <c r="N533" t="s">
        <v>9</v>
      </c>
      <c r="O533">
        <v>-1.7822105263157799</v>
      </c>
      <c r="P533" t="s">
        <v>10</v>
      </c>
      <c r="Q533">
        <v>0.63498982965331496</v>
      </c>
      <c r="R533" t="s">
        <v>11</v>
      </c>
      <c r="S533" t="s">
        <v>1339</v>
      </c>
      <c r="T533" t="s">
        <v>2554</v>
      </c>
      <c r="U533">
        <v>0</v>
      </c>
      <c r="V533" t="s">
        <v>14</v>
      </c>
      <c r="W533" t="s">
        <v>15</v>
      </c>
      <c r="X533" t="s">
        <v>3553</v>
      </c>
      <c r="Y533" t="s">
        <v>2783</v>
      </c>
      <c r="Z533">
        <v>0</v>
      </c>
      <c r="AA533" t="s">
        <v>18</v>
      </c>
    </row>
    <row r="534" spans="1:27" x14ac:dyDescent="0.3">
      <c r="A534" t="s">
        <v>3293</v>
      </c>
      <c r="B534" t="s">
        <v>3261</v>
      </c>
      <c r="C534" t="s">
        <v>4240</v>
      </c>
      <c r="D534" t="s">
        <v>1224</v>
      </c>
      <c r="E534">
        <v>334</v>
      </c>
      <c r="F534" t="s">
        <v>5</v>
      </c>
      <c r="G534">
        <v>112</v>
      </c>
      <c r="H534" t="s">
        <v>6</v>
      </c>
      <c r="I534">
        <v>-74.579999999999799</v>
      </c>
      <c r="J534" t="s">
        <v>7</v>
      </c>
      <c r="K534">
        <v>-0.22329341317365201</v>
      </c>
      <c r="L534" t="s">
        <v>8</v>
      </c>
      <c r="M534">
        <v>2.42330357142857</v>
      </c>
      <c r="N534" t="s">
        <v>9</v>
      </c>
      <c r="O534">
        <v>-1.55851351351351</v>
      </c>
      <c r="P534" t="s">
        <v>10</v>
      </c>
      <c r="Q534">
        <v>1.3500506694172001</v>
      </c>
      <c r="R534" t="s">
        <v>11</v>
      </c>
      <c r="S534" t="s">
        <v>193</v>
      </c>
      <c r="T534" t="s">
        <v>2249</v>
      </c>
      <c r="U534">
        <v>0</v>
      </c>
      <c r="V534" t="s">
        <v>14</v>
      </c>
      <c r="W534" t="s">
        <v>15</v>
      </c>
      <c r="X534" t="s">
        <v>3438</v>
      </c>
      <c r="Y534" t="s">
        <v>2644</v>
      </c>
      <c r="Z534">
        <v>0</v>
      </c>
      <c r="AA534" t="s">
        <v>18</v>
      </c>
    </row>
    <row r="535" spans="1:27" x14ac:dyDescent="0.3">
      <c r="A535" t="s">
        <v>3292</v>
      </c>
      <c r="B535" t="s">
        <v>3257</v>
      </c>
      <c r="C535" t="s">
        <v>4241</v>
      </c>
      <c r="D535" t="s">
        <v>1224</v>
      </c>
      <c r="E535">
        <v>155</v>
      </c>
      <c r="F535" t="s">
        <v>5</v>
      </c>
      <c r="G535">
        <v>59</v>
      </c>
      <c r="H535" t="s">
        <v>6</v>
      </c>
      <c r="I535">
        <v>-74.64</v>
      </c>
      <c r="J535" t="s">
        <v>7</v>
      </c>
      <c r="K535">
        <v>-0.481548387096774</v>
      </c>
      <c r="L535" t="s">
        <v>8</v>
      </c>
      <c r="M535">
        <v>1.11559322033898</v>
      </c>
      <c r="N535" t="s">
        <v>9</v>
      </c>
      <c r="O535">
        <v>-1.463125</v>
      </c>
      <c r="P535" t="s">
        <v>10</v>
      </c>
      <c r="Q535">
        <v>0.33506529407768898</v>
      </c>
      <c r="R535" t="s">
        <v>11</v>
      </c>
      <c r="S535" t="s">
        <v>3386</v>
      </c>
      <c r="T535" t="s">
        <v>3030</v>
      </c>
      <c r="U535">
        <v>0</v>
      </c>
      <c r="V535" t="s">
        <v>14</v>
      </c>
      <c r="W535" t="s">
        <v>15</v>
      </c>
      <c r="X535" t="s">
        <v>3387</v>
      </c>
      <c r="Y535" t="s">
        <v>3388</v>
      </c>
      <c r="Z535">
        <v>0</v>
      </c>
      <c r="AA535" t="s">
        <v>18</v>
      </c>
    </row>
    <row r="536" spans="1:27" x14ac:dyDescent="0.3">
      <c r="A536" t="s">
        <v>1222</v>
      </c>
      <c r="B536" t="s">
        <v>3218</v>
      </c>
      <c r="C536" t="s">
        <v>4242</v>
      </c>
      <c r="D536" t="s">
        <v>1224</v>
      </c>
      <c r="E536">
        <v>127</v>
      </c>
      <c r="F536" t="s">
        <v>5</v>
      </c>
      <c r="G536">
        <v>39</v>
      </c>
      <c r="H536" t="s">
        <v>6</v>
      </c>
      <c r="I536">
        <v>-74.834462300074506</v>
      </c>
      <c r="J536" t="s">
        <v>7</v>
      </c>
      <c r="K536">
        <v>-0.58924773464625602</v>
      </c>
      <c r="L536" t="s">
        <v>8</v>
      </c>
      <c r="M536">
        <v>2.2694304293490402</v>
      </c>
      <c r="N536" t="s">
        <v>9</v>
      </c>
      <c r="O536">
        <v>-1.8561619209623501</v>
      </c>
      <c r="P536" t="s">
        <v>10</v>
      </c>
      <c r="Q536">
        <v>0.54392019715723505</v>
      </c>
      <c r="R536" t="s">
        <v>11</v>
      </c>
      <c r="S536" t="s">
        <v>3556</v>
      </c>
      <c r="T536" t="s">
        <v>2793</v>
      </c>
      <c r="U536">
        <v>0</v>
      </c>
      <c r="V536" t="s">
        <v>14</v>
      </c>
      <c r="W536" t="s">
        <v>15</v>
      </c>
      <c r="X536" t="s">
        <v>3561</v>
      </c>
      <c r="Y536" t="s">
        <v>2793</v>
      </c>
      <c r="Z536">
        <v>0</v>
      </c>
      <c r="AA536" t="s">
        <v>18</v>
      </c>
    </row>
    <row r="537" spans="1:27" x14ac:dyDescent="0.3">
      <c r="A537" t="s">
        <v>3293</v>
      </c>
      <c r="B537" t="s">
        <v>3280</v>
      </c>
      <c r="C537" t="s">
        <v>4243</v>
      </c>
      <c r="D537" t="s">
        <v>1224</v>
      </c>
      <c r="E537">
        <v>335</v>
      </c>
      <c r="F537" t="s">
        <v>5</v>
      </c>
      <c r="G537">
        <v>196</v>
      </c>
      <c r="H537" t="s">
        <v>6</v>
      </c>
      <c r="I537">
        <v>-74.900000000000006</v>
      </c>
      <c r="J537" t="s">
        <v>7</v>
      </c>
      <c r="K537">
        <v>-0.22358208955223799</v>
      </c>
      <c r="L537" t="s">
        <v>8</v>
      </c>
      <c r="M537">
        <v>0.78831632653061201</v>
      </c>
      <c r="N537" t="s">
        <v>9</v>
      </c>
      <c r="O537">
        <v>-1.6504316546762501</v>
      </c>
      <c r="P537" t="s">
        <v>10</v>
      </c>
      <c r="Q537">
        <v>0.56136492601664101</v>
      </c>
      <c r="R537" t="s">
        <v>11</v>
      </c>
      <c r="S537" t="s">
        <v>2657</v>
      </c>
      <c r="T537" t="s">
        <v>3303</v>
      </c>
      <c r="U537">
        <v>0</v>
      </c>
      <c r="V537" t="s">
        <v>14</v>
      </c>
      <c r="W537" t="s">
        <v>15</v>
      </c>
      <c r="X537" t="s">
        <v>3665</v>
      </c>
      <c r="Y537" t="s">
        <v>3296</v>
      </c>
      <c r="Z537">
        <v>0</v>
      </c>
      <c r="AA537" t="s">
        <v>18</v>
      </c>
    </row>
    <row r="538" spans="1:27" x14ac:dyDescent="0.3">
      <c r="A538" t="s">
        <v>1223</v>
      </c>
      <c r="B538" t="s">
        <v>3231</v>
      </c>
      <c r="C538" t="s">
        <v>4244</v>
      </c>
      <c r="D538" t="s">
        <v>1224</v>
      </c>
      <c r="E538">
        <v>376</v>
      </c>
      <c r="F538" t="s">
        <v>5</v>
      </c>
      <c r="G538">
        <v>165</v>
      </c>
      <c r="H538" t="s">
        <v>6</v>
      </c>
      <c r="I538">
        <v>-75.022146302788201</v>
      </c>
      <c r="J538" t="s">
        <v>7</v>
      </c>
      <c r="K538">
        <v>-0.19952698484784101</v>
      </c>
      <c r="L538" t="s">
        <v>8</v>
      </c>
      <c r="M538">
        <v>1.5332597193770401</v>
      </c>
      <c r="N538" t="s">
        <v>9</v>
      </c>
      <c r="O538">
        <v>-1.5545497630331699</v>
      </c>
      <c r="P538" t="s">
        <v>10</v>
      </c>
      <c r="Q538">
        <v>1.19837738320274</v>
      </c>
      <c r="R538" t="s">
        <v>11</v>
      </c>
      <c r="S538" t="s">
        <v>3627</v>
      </c>
      <c r="T538" t="s">
        <v>2732</v>
      </c>
      <c r="U538">
        <v>0</v>
      </c>
      <c r="V538" t="s">
        <v>14</v>
      </c>
      <c r="W538" t="s">
        <v>15</v>
      </c>
      <c r="X538" t="s">
        <v>3632</v>
      </c>
      <c r="Y538" t="s">
        <v>2071</v>
      </c>
      <c r="Z538">
        <v>0</v>
      </c>
      <c r="AA538" t="s">
        <v>18</v>
      </c>
    </row>
    <row r="539" spans="1:27" x14ac:dyDescent="0.3">
      <c r="A539" t="s">
        <v>1223</v>
      </c>
      <c r="B539" t="s">
        <v>3275</v>
      </c>
      <c r="C539" t="s">
        <v>4245</v>
      </c>
      <c r="D539" t="s">
        <v>1224</v>
      </c>
      <c r="E539">
        <v>375</v>
      </c>
      <c r="F539" t="s">
        <v>5</v>
      </c>
      <c r="G539">
        <v>202</v>
      </c>
      <c r="H539" t="s">
        <v>6</v>
      </c>
      <c r="I539">
        <v>-75.339999999999904</v>
      </c>
      <c r="J539" t="s">
        <v>7</v>
      </c>
      <c r="K539">
        <v>-0.20090666666666601</v>
      </c>
      <c r="L539" t="s">
        <v>8</v>
      </c>
      <c r="M539">
        <v>1.2154950495049499</v>
      </c>
      <c r="N539" t="s">
        <v>9</v>
      </c>
      <c r="O539">
        <v>-1.85473988439306</v>
      </c>
      <c r="P539" t="s">
        <v>10</v>
      </c>
      <c r="Q539">
        <v>0.95355144576606599</v>
      </c>
      <c r="R539" t="s">
        <v>11</v>
      </c>
      <c r="S539" t="s">
        <v>3597</v>
      </c>
      <c r="T539" t="s">
        <v>832</v>
      </c>
      <c r="U539">
        <v>0</v>
      </c>
      <c r="V539" t="s">
        <v>14</v>
      </c>
      <c r="W539" t="s">
        <v>15</v>
      </c>
      <c r="X539" t="s">
        <v>3661</v>
      </c>
      <c r="Y539" t="s">
        <v>832</v>
      </c>
      <c r="Z539">
        <v>0</v>
      </c>
      <c r="AA539" t="s">
        <v>18</v>
      </c>
    </row>
    <row r="540" spans="1:27" x14ac:dyDescent="0.3">
      <c r="A540" t="s">
        <v>1223</v>
      </c>
      <c r="B540" t="s">
        <v>3240</v>
      </c>
      <c r="C540" t="s">
        <v>4246</v>
      </c>
      <c r="D540" t="s">
        <v>1224</v>
      </c>
      <c r="E540">
        <v>375</v>
      </c>
      <c r="F540" t="s">
        <v>5</v>
      </c>
      <c r="G540">
        <v>166</v>
      </c>
      <c r="H540" t="s">
        <v>6</v>
      </c>
      <c r="I540">
        <v>-75.658447513126404</v>
      </c>
      <c r="J540" t="s">
        <v>7</v>
      </c>
      <c r="K540">
        <v>-0.20175586003500301</v>
      </c>
      <c r="L540" t="s">
        <v>8</v>
      </c>
      <c r="M540">
        <v>0.84771084337349401</v>
      </c>
      <c r="N540" t="s">
        <v>9</v>
      </c>
      <c r="O540">
        <v>-1.0453065097252401</v>
      </c>
      <c r="P540" t="s">
        <v>10</v>
      </c>
      <c r="Q540">
        <v>0.70122772806915601</v>
      </c>
      <c r="R540" t="s">
        <v>11</v>
      </c>
      <c r="S540" t="s">
        <v>3508</v>
      </c>
      <c r="T540" t="s">
        <v>21</v>
      </c>
      <c r="U540">
        <v>0</v>
      </c>
      <c r="V540" t="s">
        <v>14</v>
      </c>
      <c r="W540" t="s">
        <v>15</v>
      </c>
      <c r="X540" t="s">
        <v>3637</v>
      </c>
      <c r="Y540" t="s">
        <v>21</v>
      </c>
      <c r="Z540">
        <v>0</v>
      </c>
      <c r="AA540" t="s">
        <v>18</v>
      </c>
    </row>
    <row r="541" spans="1:27" x14ac:dyDescent="0.3">
      <c r="A541" t="s">
        <v>1223</v>
      </c>
      <c r="B541" t="s">
        <v>3238</v>
      </c>
      <c r="C541" t="s">
        <v>4247</v>
      </c>
      <c r="D541" t="s">
        <v>1224</v>
      </c>
      <c r="E541">
        <v>375</v>
      </c>
      <c r="F541" t="s">
        <v>5</v>
      </c>
      <c r="G541">
        <v>190</v>
      </c>
      <c r="H541" t="s">
        <v>6</v>
      </c>
      <c r="I541">
        <v>-75.805542304519804</v>
      </c>
      <c r="J541" t="s">
        <v>7</v>
      </c>
      <c r="K541">
        <v>-0.202148112812052</v>
      </c>
      <c r="L541" t="s">
        <v>8</v>
      </c>
      <c r="M541">
        <v>0.59133925102884199</v>
      </c>
      <c r="N541" t="s">
        <v>9</v>
      </c>
      <c r="O541">
        <v>-1.0226086956521701</v>
      </c>
      <c r="P541" t="s">
        <v>10</v>
      </c>
      <c r="Q541">
        <v>0.50359910689173804</v>
      </c>
      <c r="R541" t="s">
        <v>11</v>
      </c>
      <c r="S541" t="s">
        <v>3508</v>
      </c>
      <c r="T541" t="s">
        <v>21</v>
      </c>
      <c r="U541">
        <v>0</v>
      </c>
      <c r="V541" t="s">
        <v>14</v>
      </c>
      <c r="W541" t="s">
        <v>15</v>
      </c>
      <c r="X541" t="s">
        <v>3636</v>
      </c>
      <c r="Y541" t="s">
        <v>3485</v>
      </c>
      <c r="Z541">
        <v>0</v>
      </c>
      <c r="AA541" t="s">
        <v>18</v>
      </c>
    </row>
    <row r="542" spans="1:27" x14ac:dyDescent="0.3">
      <c r="A542" t="s">
        <v>3293</v>
      </c>
      <c r="B542" t="s">
        <v>3208</v>
      </c>
      <c r="C542" t="s">
        <v>4248</v>
      </c>
      <c r="D542" t="s">
        <v>1224</v>
      </c>
      <c r="E542">
        <v>335</v>
      </c>
      <c r="F542" t="s">
        <v>5</v>
      </c>
      <c r="G542">
        <v>194</v>
      </c>
      <c r="H542" t="s">
        <v>6</v>
      </c>
      <c r="I542">
        <v>-76.13</v>
      </c>
      <c r="J542" t="s">
        <v>7</v>
      </c>
      <c r="K542">
        <v>-0.227253731343283</v>
      </c>
      <c r="L542" t="s">
        <v>8</v>
      </c>
      <c r="M542">
        <v>0.86783505154639096</v>
      </c>
      <c r="N542" t="s">
        <v>9</v>
      </c>
      <c r="O542">
        <v>-1.7339716312056701</v>
      </c>
      <c r="P542" t="s">
        <v>10</v>
      </c>
      <c r="Q542">
        <v>0.575514850292006</v>
      </c>
      <c r="R542" t="s">
        <v>11</v>
      </c>
      <c r="S542" t="s">
        <v>2657</v>
      </c>
      <c r="T542" t="s">
        <v>3303</v>
      </c>
      <c r="U542">
        <v>0</v>
      </c>
      <c r="V542" t="s">
        <v>14</v>
      </c>
      <c r="W542" t="s">
        <v>15</v>
      </c>
      <c r="X542" t="s">
        <v>3615</v>
      </c>
      <c r="Y542" t="s">
        <v>3296</v>
      </c>
      <c r="Z542">
        <v>0</v>
      </c>
      <c r="AA542" t="s">
        <v>18</v>
      </c>
    </row>
    <row r="543" spans="1:27" x14ac:dyDescent="0.3">
      <c r="A543" t="s">
        <v>1219</v>
      </c>
      <c r="B543" t="s">
        <v>3273</v>
      </c>
      <c r="C543" t="s">
        <v>4249</v>
      </c>
      <c r="D543" t="s">
        <v>1224</v>
      </c>
      <c r="E543">
        <v>167</v>
      </c>
      <c r="F543" t="s">
        <v>5</v>
      </c>
      <c r="G543">
        <v>19</v>
      </c>
      <c r="H543" t="s">
        <v>6</v>
      </c>
      <c r="I543">
        <v>-76.329470084828799</v>
      </c>
      <c r="J543" t="s">
        <v>7</v>
      </c>
      <c r="K543">
        <v>-0.45706269511873499</v>
      </c>
      <c r="L543" t="s">
        <v>8</v>
      </c>
      <c r="M543">
        <v>10.0926315789473</v>
      </c>
      <c r="N543" t="s">
        <v>9</v>
      </c>
      <c r="O543">
        <v>-1.8114153384110001</v>
      </c>
      <c r="P543" t="s">
        <v>10</v>
      </c>
      <c r="Q543">
        <v>1.14151686855823</v>
      </c>
      <c r="R543" t="s">
        <v>11</v>
      </c>
      <c r="S543" t="s">
        <v>3444</v>
      </c>
      <c r="T543" t="s">
        <v>2198</v>
      </c>
      <c r="U543">
        <v>0</v>
      </c>
      <c r="V543" t="s">
        <v>14</v>
      </c>
      <c r="W543" t="s">
        <v>15</v>
      </c>
      <c r="X543" t="s">
        <v>3445</v>
      </c>
      <c r="Y543" t="s">
        <v>3446</v>
      </c>
      <c r="Z543">
        <v>0</v>
      </c>
      <c r="AA543" t="s">
        <v>18</v>
      </c>
    </row>
    <row r="544" spans="1:27" x14ac:dyDescent="0.3">
      <c r="A544" t="s">
        <v>1222</v>
      </c>
      <c r="B544" t="s">
        <v>3276</v>
      </c>
      <c r="C544" t="s">
        <v>4250</v>
      </c>
      <c r="D544" t="s">
        <v>1224</v>
      </c>
      <c r="E544">
        <v>136</v>
      </c>
      <c r="F544" t="s">
        <v>5</v>
      </c>
      <c r="G544">
        <v>57</v>
      </c>
      <c r="H544" t="s">
        <v>6</v>
      </c>
      <c r="I544">
        <v>-76.63</v>
      </c>
      <c r="J544" t="s">
        <v>7</v>
      </c>
      <c r="K544">
        <v>-0.56345588235294097</v>
      </c>
      <c r="L544" t="s">
        <v>8</v>
      </c>
      <c r="M544">
        <v>1.4019298245614</v>
      </c>
      <c r="N544" t="s">
        <v>9</v>
      </c>
      <c r="O544">
        <v>-1.98151898734177</v>
      </c>
      <c r="P544" t="s">
        <v>10</v>
      </c>
      <c r="Q544">
        <v>0.39360241640730098</v>
      </c>
      <c r="R544" t="s">
        <v>11</v>
      </c>
      <c r="S544" t="s">
        <v>3597</v>
      </c>
      <c r="T544" t="s">
        <v>832</v>
      </c>
      <c r="U544">
        <v>0</v>
      </c>
      <c r="V544" t="s">
        <v>14</v>
      </c>
      <c r="W544" t="s">
        <v>15</v>
      </c>
      <c r="X544" t="s">
        <v>3598</v>
      </c>
      <c r="Y544" t="s">
        <v>832</v>
      </c>
      <c r="Z544">
        <v>0</v>
      </c>
      <c r="AA544" t="s">
        <v>18</v>
      </c>
    </row>
    <row r="545" spans="1:27" x14ac:dyDescent="0.3">
      <c r="A545" t="s">
        <v>1223</v>
      </c>
      <c r="B545" t="s">
        <v>3211</v>
      </c>
      <c r="C545" t="s">
        <v>4251</v>
      </c>
      <c r="D545" t="s">
        <v>1224</v>
      </c>
      <c r="E545">
        <v>376</v>
      </c>
      <c r="F545" t="s">
        <v>5</v>
      </c>
      <c r="G545">
        <v>160</v>
      </c>
      <c r="H545" t="s">
        <v>6</v>
      </c>
      <c r="I545">
        <v>-76.852818520093095</v>
      </c>
      <c r="J545" t="s">
        <v>7</v>
      </c>
      <c r="K545">
        <v>-0.20439579393641799</v>
      </c>
      <c r="L545" t="s">
        <v>8</v>
      </c>
      <c r="M545">
        <v>2.0936698842494099</v>
      </c>
      <c r="N545" t="s">
        <v>9</v>
      </c>
      <c r="O545">
        <v>-1.9066666666666601</v>
      </c>
      <c r="P545" t="s">
        <v>10</v>
      </c>
      <c r="Q545">
        <v>1.1572075483526301</v>
      </c>
      <c r="R545" t="s">
        <v>11</v>
      </c>
      <c r="S545" t="s">
        <v>3301</v>
      </c>
      <c r="T545" t="s">
        <v>2046</v>
      </c>
      <c r="U545">
        <v>0</v>
      </c>
      <c r="V545" t="s">
        <v>14</v>
      </c>
      <c r="W545" t="s">
        <v>15</v>
      </c>
      <c r="X545" t="s">
        <v>3616</v>
      </c>
      <c r="Y545" t="s">
        <v>2046</v>
      </c>
      <c r="Z545">
        <v>0</v>
      </c>
      <c r="AA545" t="s">
        <v>18</v>
      </c>
    </row>
    <row r="546" spans="1:27" x14ac:dyDescent="0.3">
      <c r="A546" t="s">
        <v>1222</v>
      </c>
      <c r="B546" t="s">
        <v>3204</v>
      </c>
      <c r="C546" t="s">
        <v>4252</v>
      </c>
      <c r="D546" t="s">
        <v>1224</v>
      </c>
      <c r="E546">
        <v>136</v>
      </c>
      <c r="F546" t="s">
        <v>5</v>
      </c>
      <c r="G546">
        <v>53</v>
      </c>
      <c r="H546" t="s">
        <v>6</v>
      </c>
      <c r="I546">
        <v>-78.199999999999903</v>
      </c>
      <c r="J546" t="s">
        <v>7</v>
      </c>
      <c r="K546">
        <v>-0.57499999999999896</v>
      </c>
      <c r="L546" t="s">
        <v>8</v>
      </c>
      <c r="M546">
        <v>1.2954716981132</v>
      </c>
      <c r="N546" t="s">
        <v>9</v>
      </c>
      <c r="O546">
        <v>-1.7693975903614401</v>
      </c>
      <c r="P546" t="s">
        <v>10</v>
      </c>
      <c r="Q546">
        <v>0.348239775819563</v>
      </c>
      <c r="R546" t="s">
        <v>11</v>
      </c>
      <c r="S546" t="s">
        <v>3551</v>
      </c>
      <c r="T546" t="s">
        <v>2554</v>
      </c>
      <c r="U546">
        <v>0</v>
      </c>
      <c r="V546" t="s">
        <v>14</v>
      </c>
      <c r="W546" t="s">
        <v>15</v>
      </c>
      <c r="X546" t="s">
        <v>3550</v>
      </c>
      <c r="Y546" t="s">
        <v>730</v>
      </c>
      <c r="Z546">
        <v>0</v>
      </c>
      <c r="AA546" t="s">
        <v>18</v>
      </c>
    </row>
    <row r="547" spans="1:27" x14ac:dyDescent="0.3">
      <c r="A547" t="s">
        <v>1220</v>
      </c>
      <c r="B547" t="s">
        <v>3237</v>
      </c>
      <c r="C547" t="s">
        <v>4253</v>
      </c>
      <c r="D547" t="s">
        <v>1224</v>
      </c>
      <c r="E547">
        <v>139</v>
      </c>
      <c r="F547" t="s">
        <v>5</v>
      </c>
      <c r="G547">
        <v>49</v>
      </c>
      <c r="H547" t="s">
        <v>6</v>
      </c>
      <c r="I547">
        <v>-78.211445022984705</v>
      </c>
      <c r="J547" t="s">
        <v>7</v>
      </c>
      <c r="K547">
        <v>-0.56267226635240797</v>
      </c>
      <c r="L547" t="s">
        <v>8</v>
      </c>
      <c r="M547">
        <v>1.42928897592223</v>
      </c>
      <c r="N547" t="s">
        <v>9</v>
      </c>
      <c r="O547">
        <v>-1.6471844982574899</v>
      </c>
      <c r="P547" t="s">
        <v>10</v>
      </c>
      <c r="Q547">
        <v>0.54073791816681505</v>
      </c>
      <c r="R547" t="s">
        <v>11</v>
      </c>
      <c r="S547" t="s">
        <v>3515</v>
      </c>
      <c r="T547" t="s">
        <v>3320</v>
      </c>
      <c r="U547">
        <v>0</v>
      </c>
      <c r="V547" t="s">
        <v>14</v>
      </c>
      <c r="W547" t="s">
        <v>15</v>
      </c>
      <c r="X547" t="s">
        <v>3514</v>
      </c>
      <c r="Y547" t="s">
        <v>2793</v>
      </c>
      <c r="Z547">
        <v>0</v>
      </c>
      <c r="AA547" t="s">
        <v>18</v>
      </c>
    </row>
    <row r="548" spans="1:27" x14ac:dyDescent="0.3">
      <c r="A548" t="s">
        <v>1223</v>
      </c>
      <c r="B548" t="s">
        <v>3288</v>
      </c>
      <c r="C548" t="s">
        <v>4254</v>
      </c>
      <c r="D548" t="s">
        <v>1224</v>
      </c>
      <c r="E548">
        <v>370</v>
      </c>
      <c r="F548" t="s">
        <v>5</v>
      </c>
      <c r="G548">
        <v>130</v>
      </c>
      <c r="H548" t="s">
        <v>6</v>
      </c>
      <c r="I548">
        <v>-78.251066169588796</v>
      </c>
      <c r="J548" t="s">
        <v>7</v>
      </c>
      <c r="K548">
        <v>-0.211489368025915</v>
      </c>
      <c r="L548" t="s">
        <v>8</v>
      </c>
      <c r="M548">
        <v>2.52923030195862</v>
      </c>
      <c r="N548" t="s">
        <v>9</v>
      </c>
      <c r="O548">
        <v>-1.6960458559342</v>
      </c>
      <c r="P548" t="s">
        <v>10</v>
      </c>
      <c r="Q548">
        <v>0.97676269900827095</v>
      </c>
      <c r="R548" t="s">
        <v>11</v>
      </c>
      <c r="S548" t="s">
        <v>3379</v>
      </c>
      <c r="T548" t="s">
        <v>2198</v>
      </c>
      <c r="U548">
        <v>0</v>
      </c>
      <c r="V548" t="s">
        <v>14</v>
      </c>
      <c r="W548" t="s">
        <v>15</v>
      </c>
      <c r="X548" t="s">
        <v>3379</v>
      </c>
      <c r="Y548" t="s">
        <v>2198</v>
      </c>
      <c r="Z548">
        <v>0</v>
      </c>
      <c r="AA548" t="s">
        <v>18</v>
      </c>
    </row>
    <row r="549" spans="1:27" x14ac:dyDescent="0.3">
      <c r="A549" t="s">
        <v>1223</v>
      </c>
      <c r="B549" t="s">
        <v>3203</v>
      </c>
      <c r="C549" t="s">
        <v>4255</v>
      </c>
      <c r="D549" t="s">
        <v>1224</v>
      </c>
      <c r="E549">
        <v>375</v>
      </c>
      <c r="F549" t="s">
        <v>5</v>
      </c>
      <c r="G549">
        <v>198</v>
      </c>
      <c r="H549" t="s">
        <v>6</v>
      </c>
      <c r="I549">
        <v>-78.704947541411101</v>
      </c>
      <c r="J549" t="s">
        <v>7</v>
      </c>
      <c r="K549">
        <v>-0.209879860110429</v>
      </c>
      <c r="L549" t="s">
        <v>8</v>
      </c>
      <c r="M549">
        <v>1.1008335982757</v>
      </c>
      <c r="N549" t="s">
        <v>9</v>
      </c>
      <c r="O549">
        <v>-1.6761016949152501</v>
      </c>
      <c r="P549" t="s">
        <v>10</v>
      </c>
      <c r="Q549">
        <v>0.81548481769524594</v>
      </c>
      <c r="R549" t="s">
        <v>11</v>
      </c>
      <c r="S549" t="s">
        <v>3564</v>
      </c>
      <c r="T549" t="s">
        <v>21</v>
      </c>
      <c r="U549">
        <v>0</v>
      </c>
      <c r="V549" t="s">
        <v>14</v>
      </c>
      <c r="W549" t="s">
        <v>15</v>
      </c>
      <c r="X549" t="s">
        <v>3613</v>
      </c>
      <c r="Y549" t="s">
        <v>21</v>
      </c>
      <c r="Z549">
        <v>0</v>
      </c>
      <c r="AA549" t="s">
        <v>18</v>
      </c>
    </row>
    <row r="550" spans="1:27" x14ac:dyDescent="0.3">
      <c r="A550" t="s">
        <v>3293</v>
      </c>
      <c r="B550" t="s">
        <v>3220</v>
      </c>
      <c r="C550" t="s">
        <v>4256</v>
      </c>
      <c r="D550" t="s">
        <v>1224</v>
      </c>
      <c r="E550">
        <v>334</v>
      </c>
      <c r="F550" t="s">
        <v>5</v>
      </c>
      <c r="G550">
        <v>183</v>
      </c>
      <c r="H550" t="s">
        <v>6</v>
      </c>
      <c r="I550">
        <v>-78.799999999999898</v>
      </c>
      <c r="J550" t="s">
        <v>7</v>
      </c>
      <c r="K550">
        <v>-0.23592814371257401</v>
      </c>
      <c r="L550" t="s">
        <v>8</v>
      </c>
      <c r="M550">
        <v>0.67983606557376997</v>
      </c>
      <c r="N550" t="s">
        <v>9</v>
      </c>
      <c r="O550">
        <v>-1.3457615894039701</v>
      </c>
      <c r="P550" t="s">
        <v>10</v>
      </c>
      <c r="Q550">
        <v>0.54135684915385995</v>
      </c>
      <c r="R550" t="s">
        <v>11</v>
      </c>
      <c r="S550" t="s">
        <v>3523</v>
      </c>
      <c r="T550" t="s">
        <v>730</v>
      </c>
      <c r="U550">
        <v>0</v>
      </c>
      <c r="V550" t="s">
        <v>14</v>
      </c>
      <c r="W550" t="s">
        <v>15</v>
      </c>
      <c r="X550" t="s">
        <v>3624</v>
      </c>
      <c r="Y550" t="s">
        <v>832</v>
      </c>
      <c r="Z550">
        <v>0</v>
      </c>
      <c r="AA550" t="s">
        <v>18</v>
      </c>
    </row>
    <row r="551" spans="1:27" x14ac:dyDescent="0.3">
      <c r="A551" t="s">
        <v>3293</v>
      </c>
      <c r="B551" t="s">
        <v>3237</v>
      </c>
      <c r="C551" t="s">
        <v>4257</v>
      </c>
      <c r="D551" t="s">
        <v>1224</v>
      </c>
      <c r="E551">
        <v>331</v>
      </c>
      <c r="F551" t="s">
        <v>5</v>
      </c>
      <c r="G551">
        <v>134</v>
      </c>
      <c r="H551" t="s">
        <v>6</v>
      </c>
      <c r="I551">
        <v>-79.254496684449094</v>
      </c>
      <c r="J551" t="s">
        <v>7</v>
      </c>
      <c r="K551">
        <v>-0.23943956702250399</v>
      </c>
      <c r="L551" t="s">
        <v>8</v>
      </c>
      <c r="M551">
        <v>1.9589421556834801</v>
      </c>
      <c r="N551" t="s">
        <v>9</v>
      </c>
      <c r="O551">
        <v>-1.73478551038597</v>
      </c>
      <c r="P551" t="s">
        <v>10</v>
      </c>
      <c r="Q551">
        <v>1.20666666412157</v>
      </c>
      <c r="R551" t="s">
        <v>11</v>
      </c>
      <c r="S551" t="s">
        <v>3512</v>
      </c>
      <c r="T551" t="s">
        <v>1232</v>
      </c>
      <c r="U551">
        <v>0</v>
      </c>
      <c r="V551" t="s">
        <v>14</v>
      </c>
      <c r="W551" t="s">
        <v>15</v>
      </c>
      <c r="X551" t="s">
        <v>3634</v>
      </c>
      <c r="Y551" t="s">
        <v>3635</v>
      </c>
      <c r="Z551">
        <v>0</v>
      </c>
      <c r="AA551" t="s">
        <v>18</v>
      </c>
    </row>
    <row r="552" spans="1:27" x14ac:dyDescent="0.3">
      <c r="A552" t="s">
        <v>3292</v>
      </c>
      <c r="B552" t="s">
        <v>3266</v>
      </c>
      <c r="C552" t="s">
        <v>4258</v>
      </c>
      <c r="D552" t="s">
        <v>1224</v>
      </c>
      <c r="E552">
        <v>165</v>
      </c>
      <c r="F552" t="s">
        <v>5</v>
      </c>
      <c r="G552">
        <v>29</v>
      </c>
      <c r="H552" t="s">
        <v>6</v>
      </c>
      <c r="I552">
        <v>-79.62</v>
      </c>
      <c r="J552" t="s">
        <v>7</v>
      </c>
      <c r="K552">
        <v>-0.482545454545454</v>
      </c>
      <c r="L552" t="s">
        <v>8</v>
      </c>
      <c r="M552">
        <v>4.6517241379310299</v>
      </c>
      <c r="N552" t="s">
        <v>9</v>
      </c>
      <c r="O552">
        <v>-1.57735294117647</v>
      </c>
      <c r="P552" t="s">
        <v>10</v>
      </c>
      <c r="Q552">
        <v>0.64721176430275196</v>
      </c>
      <c r="R552" t="s">
        <v>11</v>
      </c>
      <c r="S552" t="s">
        <v>3433</v>
      </c>
      <c r="T552" t="s">
        <v>2698</v>
      </c>
      <c r="U552">
        <v>0</v>
      </c>
      <c r="V552" t="s">
        <v>14</v>
      </c>
      <c r="W552" t="s">
        <v>15</v>
      </c>
      <c r="X552" t="s">
        <v>3492</v>
      </c>
      <c r="Y552" t="s">
        <v>2701</v>
      </c>
      <c r="Z552">
        <v>0</v>
      </c>
      <c r="AA552" t="s">
        <v>18</v>
      </c>
    </row>
    <row r="553" spans="1:27" x14ac:dyDescent="0.3">
      <c r="A553" t="s">
        <v>3293</v>
      </c>
      <c r="B553" t="s">
        <v>3229</v>
      </c>
      <c r="C553" t="s">
        <v>4259</v>
      </c>
      <c r="D553" t="s">
        <v>1224</v>
      </c>
      <c r="E553">
        <v>335</v>
      </c>
      <c r="F553" t="s">
        <v>5</v>
      </c>
      <c r="G553">
        <v>158</v>
      </c>
      <c r="H553" t="s">
        <v>6</v>
      </c>
      <c r="I553">
        <v>-80.039999999999907</v>
      </c>
      <c r="J553" t="s">
        <v>7</v>
      </c>
      <c r="K553">
        <v>-0.23892537313432799</v>
      </c>
      <c r="L553" t="s">
        <v>8</v>
      </c>
      <c r="M553">
        <v>1.22303797468354</v>
      </c>
      <c r="N553" t="s">
        <v>9</v>
      </c>
      <c r="O553">
        <v>-1.5439548022598799</v>
      </c>
      <c r="P553" t="s">
        <v>10</v>
      </c>
      <c r="Q553">
        <v>0.74500722618856696</v>
      </c>
      <c r="R553" t="s">
        <v>11</v>
      </c>
      <c r="S553" t="s">
        <v>3628</v>
      </c>
      <c r="T553" t="s">
        <v>3629</v>
      </c>
      <c r="U553">
        <v>0</v>
      </c>
      <c r="V553" t="s">
        <v>14</v>
      </c>
      <c r="W553" t="s">
        <v>15</v>
      </c>
      <c r="X553" t="s">
        <v>3630</v>
      </c>
      <c r="Y553" t="s">
        <v>3296</v>
      </c>
      <c r="Z553">
        <v>0</v>
      </c>
      <c r="AA553" t="s">
        <v>18</v>
      </c>
    </row>
    <row r="554" spans="1:27" x14ac:dyDescent="0.3">
      <c r="A554" t="s">
        <v>1221</v>
      </c>
      <c r="B554" t="s">
        <v>3219</v>
      </c>
      <c r="C554" t="s">
        <v>4260</v>
      </c>
      <c r="D554" t="s">
        <v>1224</v>
      </c>
      <c r="E554">
        <v>130</v>
      </c>
      <c r="F554" t="s">
        <v>5</v>
      </c>
      <c r="G554">
        <v>38</v>
      </c>
      <c r="H554" t="s">
        <v>6</v>
      </c>
      <c r="I554">
        <v>-80.264894638601902</v>
      </c>
      <c r="J554" t="s">
        <v>7</v>
      </c>
      <c r="K554">
        <v>-0.61742226645078302</v>
      </c>
      <c r="L554" t="s">
        <v>8</v>
      </c>
      <c r="M554">
        <v>2.4890277281818198</v>
      </c>
      <c r="N554" t="s">
        <v>9</v>
      </c>
      <c r="O554">
        <v>-1.9005211772772901</v>
      </c>
      <c r="P554" t="s">
        <v>10</v>
      </c>
      <c r="Q554">
        <v>0.63058735978201697</v>
      </c>
      <c r="R554" t="s">
        <v>11</v>
      </c>
      <c r="S554" t="s">
        <v>2657</v>
      </c>
      <c r="T554" t="s">
        <v>3303</v>
      </c>
      <c r="U554">
        <v>0</v>
      </c>
      <c r="V554" t="s">
        <v>14</v>
      </c>
      <c r="W554" t="s">
        <v>15</v>
      </c>
      <c r="X554" t="s">
        <v>3507</v>
      </c>
      <c r="Y554" t="s">
        <v>2793</v>
      </c>
      <c r="Z554">
        <v>0</v>
      </c>
      <c r="AA554" t="s">
        <v>18</v>
      </c>
    </row>
    <row r="555" spans="1:27" x14ac:dyDescent="0.3">
      <c r="A555" t="s">
        <v>1222</v>
      </c>
      <c r="B555" t="s">
        <v>3278</v>
      </c>
      <c r="C555" t="s">
        <v>4261</v>
      </c>
      <c r="D555" t="s">
        <v>1224</v>
      </c>
      <c r="E555">
        <v>136</v>
      </c>
      <c r="F555" t="s">
        <v>5</v>
      </c>
      <c r="G555">
        <v>53</v>
      </c>
      <c r="H555" t="s">
        <v>6</v>
      </c>
      <c r="I555">
        <v>-80.869999999999905</v>
      </c>
      <c r="J555" t="s">
        <v>7</v>
      </c>
      <c r="K555">
        <v>-0.594632352941176</v>
      </c>
      <c r="L555" t="s">
        <v>8</v>
      </c>
      <c r="M555">
        <v>1.6030188679245201</v>
      </c>
      <c r="N555" t="s">
        <v>9</v>
      </c>
      <c r="O555">
        <v>-1.99795180722891</v>
      </c>
      <c r="P555" t="s">
        <v>10</v>
      </c>
      <c r="Q555">
        <v>0.46194374079825301</v>
      </c>
      <c r="R555" t="s">
        <v>11</v>
      </c>
      <c r="S555" t="s">
        <v>3599</v>
      </c>
      <c r="T555" t="s">
        <v>2631</v>
      </c>
      <c r="U555">
        <v>0</v>
      </c>
      <c r="V555" t="s">
        <v>14</v>
      </c>
      <c r="W555" t="s">
        <v>15</v>
      </c>
      <c r="X555" t="s">
        <v>3598</v>
      </c>
      <c r="Y555" t="s">
        <v>832</v>
      </c>
      <c r="Z555">
        <v>0</v>
      </c>
      <c r="AA555" t="s">
        <v>18</v>
      </c>
    </row>
    <row r="556" spans="1:27" x14ac:dyDescent="0.3">
      <c r="A556" t="s">
        <v>1223</v>
      </c>
      <c r="B556" t="s">
        <v>3220</v>
      </c>
      <c r="C556" t="s">
        <v>4262</v>
      </c>
      <c r="D556" t="s">
        <v>1224</v>
      </c>
      <c r="E556">
        <v>375</v>
      </c>
      <c r="F556" t="s">
        <v>5</v>
      </c>
      <c r="G556">
        <v>205</v>
      </c>
      <c r="H556" t="s">
        <v>6</v>
      </c>
      <c r="I556">
        <v>-81.272146302788201</v>
      </c>
      <c r="J556" t="s">
        <v>7</v>
      </c>
      <c r="K556">
        <v>-0.21672572347410099</v>
      </c>
      <c r="L556" t="s">
        <v>8</v>
      </c>
      <c r="M556">
        <v>0.716428554620545</v>
      </c>
      <c r="N556" t="s">
        <v>9</v>
      </c>
      <c r="O556">
        <v>-1.3419999999999901</v>
      </c>
      <c r="P556" t="s">
        <v>10</v>
      </c>
      <c r="Q556">
        <v>0.60925917961543197</v>
      </c>
      <c r="R556" t="s">
        <v>11</v>
      </c>
      <c r="S556" t="s">
        <v>3623</v>
      </c>
      <c r="T556" t="s">
        <v>21</v>
      </c>
      <c r="U556">
        <v>0</v>
      </c>
      <c r="V556" t="s">
        <v>14</v>
      </c>
      <c r="W556" t="s">
        <v>15</v>
      </c>
      <c r="X556" t="s">
        <v>3624</v>
      </c>
      <c r="Y556" t="s">
        <v>832</v>
      </c>
      <c r="Z556">
        <v>0</v>
      </c>
      <c r="AA556" t="s">
        <v>18</v>
      </c>
    </row>
    <row r="557" spans="1:27" x14ac:dyDescent="0.3">
      <c r="A557" t="s">
        <v>1223</v>
      </c>
      <c r="B557" t="s">
        <v>3209</v>
      </c>
      <c r="C557" t="s">
        <v>4263</v>
      </c>
      <c r="D557" t="s">
        <v>1224</v>
      </c>
      <c r="E557">
        <v>376</v>
      </c>
      <c r="F557" t="s">
        <v>5</v>
      </c>
      <c r="G557">
        <v>194</v>
      </c>
      <c r="H557" t="s">
        <v>6</v>
      </c>
      <c r="I557">
        <v>-81.402818520093106</v>
      </c>
      <c r="J557" t="s">
        <v>7</v>
      </c>
      <c r="K557">
        <v>-0.216496857766205</v>
      </c>
      <c r="L557" t="s">
        <v>8</v>
      </c>
      <c r="M557">
        <v>1.2860163993809599</v>
      </c>
      <c r="N557" t="s">
        <v>9</v>
      </c>
      <c r="O557">
        <v>-1.81807692307692</v>
      </c>
      <c r="P557" t="s">
        <v>10</v>
      </c>
      <c r="Q557">
        <v>0.78983341259728601</v>
      </c>
      <c r="R557" t="s">
        <v>11</v>
      </c>
      <c r="S557" t="s">
        <v>3564</v>
      </c>
      <c r="T557" t="s">
        <v>21</v>
      </c>
      <c r="U557">
        <v>0</v>
      </c>
      <c r="V557" t="s">
        <v>14</v>
      </c>
      <c r="W557" t="s">
        <v>15</v>
      </c>
      <c r="X557" t="s">
        <v>3613</v>
      </c>
      <c r="Y557" t="s">
        <v>21</v>
      </c>
      <c r="Z557">
        <v>0</v>
      </c>
      <c r="AA557" t="s">
        <v>18</v>
      </c>
    </row>
    <row r="558" spans="1:27" x14ac:dyDescent="0.3">
      <c r="A558" t="s">
        <v>1219</v>
      </c>
      <c r="B558" t="s">
        <v>3285</v>
      </c>
      <c r="C558" t="s">
        <v>4264</v>
      </c>
      <c r="D558" t="s">
        <v>1224</v>
      </c>
      <c r="E558">
        <v>178</v>
      </c>
      <c r="F558" t="s">
        <v>5</v>
      </c>
      <c r="G558">
        <v>52</v>
      </c>
      <c r="H558" t="s">
        <v>6</v>
      </c>
      <c r="I558">
        <v>-81.499999999999901</v>
      </c>
      <c r="J558" t="s">
        <v>7</v>
      </c>
      <c r="K558">
        <v>-0.45786516853932502</v>
      </c>
      <c r="L558" t="s">
        <v>8</v>
      </c>
      <c r="M558">
        <v>2.6298076923076898</v>
      </c>
      <c r="N558" t="s">
        <v>9</v>
      </c>
      <c r="O558">
        <v>-1.7321428571428501</v>
      </c>
      <c r="P558" t="s">
        <v>10</v>
      </c>
      <c r="Q558">
        <v>0.97660907061823798</v>
      </c>
      <c r="R558" t="s">
        <v>11</v>
      </c>
      <c r="S558" t="s">
        <v>2114</v>
      </c>
      <c r="T558" t="s">
        <v>2071</v>
      </c>
      <c r="U558">
        <v>0</v>
      </c>
      <c r="V558" t="s">
        <v>14</v>
      </c>
      <c r="W558" t="s">
        <v>15</v>
      </c>
      <c r="X558" t="s">
        <v>3459</v>
      </c>
      <c r="Y558" t="s">
        <v>2071</v>
      </c>
      <c r="Z558">
        <v>0</v>
      </c>
      <c r="AA558" t="s">
        <v>18</v>
      </c>
    </row>
    <row r="559" spans="1:27" x14ac:dyDescent="0.3">
      <c r="A559" t="s">
        <v>1223</v>
      </c>
      <c r="B559" t="s">
        <v>3205</v>
      </c>
      <c r="C559" t="s">
        <v>4265</v>
      </c>
      <c r="D559" t="s">
        <v>1224</v>
      </c>
      <c r="E559">
        <v>375</v>
      </c>
      <c r="F559" t="s">
        <v>5</v>
      </c>
      <c r="G559">
        <v>175</v>
      </c>
      <c r="H559" t="s">
        <v>6</v>
      </c>
      <c r="I559">
        <v>-81.594947541411202</v>
      </c>
      <c r="J559" t="s">
        <v>7</v>
      </c>
      <c r="K559">
        <v>-0.217586526777096</v>
      </c>
      <c r="L559" t="s">
        <v>8</v>
      </c>
      <c r="M559">
        <v>1.5624860140490699</v>
      </c>
      <c r="N559" t="s">
        <v>9</v>
      </c>
      <c r="O559">
        <v>-1.77514999999999</v>
      </c>
      <c r="P559" t="s">
        <v>10</v>
      </c>
      <c r="Q559">
        <v>1.12063569645521</v>
      </c>
      <c r="R559" t="s">
        <v>11</v>
      </c>
      <c r="S559" t="s">
        <v>3301</v>
      </c>
      <c r="T559" t="s">
        <v>2627</v>
      </c>
    </row>
    <row r="560" spans="1:27" x14ac:dyDescent="0.3">
      <c r="A560" t="s">
        <v>3292</v>
      </c>
      <c r="B560" t="s">
        <v>3262</v>
      </c>
      <c r="C560" t="s">
        <v>4266</v>
      </c>
      <c r="D560" t="s">
        <v>1224</v>
      </c>
      <c r="E560">
        <v>165</v>
      </c>
      <c r="F560" t="s">
        <v>5</v>
      </c>
      <c r="G560">
        <v>65</v>
      </c>
      <c r="H560" t="s">
        <v>6</v>
      </c>
      <c r="I560">
        <v>-81.779999999999902</v>
      </c>
      <c r="J560" t="s">
        <v>7</v>
      </c>
      <c r="K560">
        <v>-0.49563636363636299</v>
      </c>
      <c r="L560" t="s">
        <v>8</v>
      </c>
      <c r="M560">
        <v>1.0452307692307601</v>
      </c>
      <c r="N560" t="s">
        <v>9</v>
      </c>
      <c r="O560">
        <v>-1.4972000000000001</v>
      </c>
      <c r="P560" t="s">
        <v>10</v>
      </c>
      <c r="Q560">
        <v>0.31854442227588198</v>
      </c>
      <c r="R560" t="s">
        <v>11</v>
      </c>
      <c r="S560" t="s">
        <v>3489</v>
      </c>
      <c r="T560" t="s">
        <v>2055</v>
      </c>
      <c r="U560">
        <v>0</v>
      </c>
      <c r="V560" t="s">
        <v>14</v>
      </c>
      <c r="W560" t="s">
        <v>15</v>
      </c>
      <c r="X560" t="s">
        <v>3490</v>
      </c>
      <c r="Y560" t="s">
        <v>3389</v>
      </c>
      <c r="Z560">
        <v>0</v>
      </c>
      <c r="AA560" t="s">
        <v>18</v>
      </c>
    </row>
    <row r="561" spans="1:27" x14ac:dyDescent="0.3">
      <c r="A561" t="s">
        <v>3293</v>
      </c>
      <c r="B561" t="s">
        <v>3246</v>
      </c>
      <c r="C561" t="s">
        <v>4267</v>
      </c>
      <c r="D561" t="s">
        <v>1224</v>
      </c>
      <c r="E561">
        <v>335</v>
      </c>
      <c r="F561" t="s">
        <v>5</v>
      </c>
      <c r="G561">
        <v>145</v>
      </c>
      <c r="H561" t="s">
        <v>6</v>
      </c>
      <c r="I561">
        <v>-82.379999999999896</v>
      </c>
      <c r="J561" t="s">
        <v>7</v>
      </c>
      <c r="K561">
        <v>-0.245910447761193</v>
      </c>
      <c r="L561" t="s">
        <v>8</v>
      </c>
      <c r="M561">
        <v>0.93986206896551705</v>
      </c>
      <c r="N561" t="s">
        <v>9</v>
      </c>
      <c r="O561">
        <v>-1.1508421052631499</v>
      </c>
      <c r="P561" t="s">
        <v>10</v>
      </c>
      <c r="Q561">
        <v>0.59827044843127197</v>
      </c>
      <c r="R561" t="s">
        <v>11</v>
      </c>
      <c r="S561" t="s">
        <v>3332</v>
      </c>
      <c r="T561" t="s">
        <v>3333</v>
      </c>
      <c r="U561">
        <v>0</v>
      </c>
      <c r="V561" t="s">
        <v>14</v>
      </c>
      <c r="W561" t="s">
        <v>15</v>
      </c>
      <c r="X561" t="s">
        <v>3636</v>
      </c>
      <c r="Y561" t="s">
        <v>3485</v>
      </c>
      <c r="Z561">
        <v>0</v>
      </c>
      <c r="AA561" t="s">
        <v>18</v>
      </c>
    </row>
    <row r="562" spans="1:27" x14ac:dyDescent="0.3">
      <c r="A562" t="s">
        <v>3293</v>
      </c>
      <c r="B562" t="s">
        <v>3221</v>
      </c>
      <c r="C562" t="s">
        <v>4268</v>
      </c>
      <c r="D562" t="s">
        <v>1224</v>
      </c>
      <c r="E562">
        <v>334</v>
      </c>
      <c r="F562" t="s">
        <v>5</v>
      </c>
      <c r="G562">
        <v>169</v>
      </c>
      <c r="H562" t="s">
        <v>6</v>
      </c>
      <c r="I562">
        <v>-82.589999999999904</v>
      </c>
      <c r="J562" t="s">
        <v>7</v>
      </c>
      <c r="K562">
        <v>-0.247275449101796</v>
      </c>
      <c r="L562" t="s">
        <v>8</v>
      </c>
      <c r="M562">
        <v>0.82047337278106502</v>
      </c>
      <c r="N562" t="s">
        <v>9</v>
      </c>
      <c r="O562">
        <v>-1.3409090909090899</v>
      </c>
      <c r="P562" t="s">
        <v>10</v>
      </c>
      <c r="Q562">
        <v>0.59258852689540698</v>
      </c>
      <c r="R562" t="s">
        <v>11</v>
      </c>
      <c r="S562" t="s">
        <v>3523</v>
      </c>
      <c r="T562" t="s">
        <v>730</v>
      </c>
      <c r="U562">
        <v>0</v>
      </c>
      <c r="V562" t="s">
        <v>14</v>
      </c>
      <c r="W562" t="s">
        <v>15</v>
      </c>
      <c r="X562" t="s">
        <v>3625</v>
      </c>
      <c r="Y562" t="s">
        <v>832</v>
      </c>
      <c r="Z562">
        <v>0</v>
      </c>
      <c r="AA562" t="s">
        <v>18</v>
      </c>
    </row>
    <row r="563" spans="1:27" x14ac:dyDescent="0.3">
      <c r="A563" t="s">
        <v>1222</v>
      </c>
      <c r="B563" t="s">
        <v>3277</v>
      </c>
      <c r="C563" t="s">
        <v>4269</v>
      </c>
      <c r="D563" t="s">
        <v>1224</v>
      </c>
      <c r="E563">
        <v>136</v>
      </c>
      <c r="F563" t="s">
        <v>5</v>
      </c>
      <c r="G563">
        <v>54</v>
      </c>
      <c r="H563" t="s">
        <v>6</v>
      </c>
      <c r="I563">
        <v>-82.97</v>
      </c>
      <c r="J563" t="s">
        <v>7</v>
      </c>
      <c r="K563">
        <v>-0.61007352941176396</v>
      </c>
      <c r="L563" t="s">
        <v>8</v>
      </c>
      <c r="M563">
        <v>1.4714814814814801</v>
      </c>
      <c r="N563" t="s">
        <v>9</v>
      </c>
      <c r="O563">
        <v>-1.9808536585365799</v>
      </c>
      <c r="P563" t="s">
        <v>10</v>
      </c>
      <c r="Q563">
        <v>0.431702572937882</v>
      </c>
      <c r="R563" t="s">
        <v>11</v>
      </c>
      <c r="S563" t="s">
        <v>3599</v>
      </c>
      <c r="T563" t="s">
        <v>2631</v>
      </c>
      <c r="U563">
        <v>0</v>
      </c>
      <c r="V563" t="s">
        <v>14</v>
      </c>
      <c r="W563" t="s">
        <v>15</v>
      </c>
      <c r="X563" t="s">
        <v>3598</v>
      </c>
      <c r="Y563" t="s">
        <v>832</v>
      </c>
      <c r="Z563">
        <v>0</v>
      </c>
      <c r="AA563" t="s">
        <v>18</v>
      </c>
    </row>
    <row r="564" spans="1:27" x14ac:dyDescent="0.3">
      <c r="A564" t="s">
        <v>1219</v>
      </c>
      <c r="B564" t="s">
        <v>3256</v>
      </c>
      <c r="C564" t="s">
        <v>4270</v>
      </c>
      <c r="D564" t="s">
        <v>1224</v>
      </c>
      <c r="E564">
        <v>169</v>
      </c>
      <c r="F564" t="s">
        <v>5</v>
      </c>
      <c r="G564">
        <v>72</v>
      </c>
      <c r="H564" t="s">
        <v>6</v>
      </c>
      <c r="I564">
        <v>-82.999999999999901</v>
      </c>
      <c r="J564" t="s">
        <v>7</v>
      </c>
      <c r="K564">
        <v>-0.49112426035502899</v>
      </c>
      <c r="L564" t="s">
        <v>8</v>
      </c>
      <c r="M564">
        <v>0.868611111111111</v>
      </c>
      <c r="N564" t="s">
        <v>9</v>
      </c>
      <c r="O564">
        <v>-1.50041237113402</v>
      </c>
      <c r="P564" t="s">
        <v>10</v>
      </c>
      <c r="Q564">
        <v>0.30585634369119402</v>
      </c>
      <c r="R564" t="s">
        <v>11</v>
      </c>
      <c r="S564" t="s">
        <v>3386</v>
      </c>
      <c r="T564" t="s">
        <v>3030</v>
      </c>
      <c r="U564">
        <v>0</v>
      </c>
      <c r="V564" t="s">
        <v>14</v>
      </c>
      <c r="W564" t="s">
        <v>15</v>
      </c>
      <c r="X564" t="s">
        <v>3387</v>
      </c>
      <c r="Y564" t="s">
        <v>3388</v>
      </c>
      <c r="Z564">
        <v>0</v>
      </c>
      <c r="AA564" t="s">
        <v>18</v>
      </c>
    </row>
    <row r="565" spans="1:27" x14ac:dyDescent="0.3">
      <c r="A565" t="s">
        <v>1223</v>
      </c>
      <c r="B565" t="s">
        <v>3281</v>
      </c>
      <c r="C565" t="s">
        <v>4271</v>
      </c>
      <c r="D565" t="s">
        <v>1224</v>
      </c>
      <c r="E565">
        <v>376</v>
      </c>
      <c r="F565" t="s">
        <v>5</v>
      </c>
      <c r="G565">
        <v>182</v>
      </c>
      <c r="H565" t="s">
        <v>6</v>
      </c>
      <c r="I565">
        <v>-83.540438400054796</v>
      </c>
      <c r="J565" t="s">
        <v>7</v>
      </c>
      <c r="K565">
        <v>-0.22218201702142201</v>
      </c>
      <c r="L565" t="s">
        <v>8</v>
      </c>
      <c r="M565">
        <v>1.3665437111316101</v>
      </c>
      <c r="N565" t="s">
        <v>9</v>
      </c>
      <c r="O565">
        <v>-1.71263605064952</v>
      </c>
      <c r="P565" t="s">
        <v>10</v>
      </c>
      <c r="Q565">
        <v>0.84421931361147895</v>
      </c>
      <c r="R565" t="s">
        <v>11</v>
      </c>
      <c r="S565" t="s">
        <v>2657</v>
      </c>
      <c r="T565" t="s">
        <v>3303</v>
      </c>
      <c r="U565">
        <v>0</v>
      </c>
      <c r="V565" t="s">
        <v>14</v>
      </c>
      <c r="W565" t="s">
        <v>15</v>
      </c>
      <c r="X565" t="s">
        <v>3660</v>
      </c>
      <c r="Y565" t="s">
        <v>832</v>
      </c>
      <c r="Z565">
        <v>0</v>
      </c>
      <c r="AA565" t="s">
        <v>18</v>
      </c>
    </row>
    <row r="566" spans="1:27" x14ac:dyDescent="0.3">
      <c r="A566" t="s">
        <v>1222</v>
      </c>
      <c r="B566" t="s">
        <v>3275</v>
      </c>
      <c r="C566" t="s">
        <v>4272</v>
      </c>
      <c r="D566" t="s">
        <v>1224</v>
      </c>
      <c r="E566">
        <v>136</v>
      </c>
      <c r="F566" t="s">
        <v>5</v>
      </c>
      <c r="G566">
        <v>60</v>
      </c>
      <c r="H566" t="s">
        <v>6</v>
      </c>
      <c r="I566">
        <v>-83.58</v>
      </c>
      <c r="J566" t="s">
        <v>7</v>
      </c>
      <c r="K566">
        <v>-0.61455882352941105</v>
      </c>
      <c r="L566" t="s">
        <v>8</v>
      </c>
      <c r="M566">
        <v>1.15099999999999</v>
      </c>
      <c r="N566" t="s">
        <v>9</v>
      </c>
      <c r="O566">
        <v>-2.00842105263157</v>
      </c>
      <c r="P566" t="s">
        <v>10</v>
      </c>
      <c r="Q566">
        <v>0.36760251884035799</v>
      </c>
      <c r="R566" t="s">
        <v>11</v>
      </c>
      <c r="S566" t="s">
        <v>3597</v>
      </c>
      <c r="T566" t="s">
        <v>832</v>
      </c>
      <c r="U566">
        <v>0</v>
      </c>
      <c r="V566" t="s">
        <v>14</v>
      </c>
      <c r="W566" t="s">
        <v>15</v>
      </c>
      <c r="X566" t="s">
        <v>3598</v>
      </c>
      <c r="Y566" t="s">
        <v>832</v>
      </c>
      <c r="Z566">
        <v>0</v>
      </c>
      <c r="AA566" t="s">
        <v>18</v>
      </c>
    </row>
    <row r="567" spans="1:27" x14ac:dyDescent="0.3">
      <c r="A567" t="s">
        <v>1219</v>
      </c>
      <c r="B567" t="s">
        <v>3262</v>
      </c>
      <c r="C567" t="s">
        <v>4273</v>
      </c>
      <c r="D567" t="s">
        <v>1224</v>
      </c>
      <c r="E567">
        <v>178</v>
      </c>
      <c r="F567" t="s">
        <v>5</v>
      </c>
      <c r="G567">
        <v>73</v>
      </c>
      <c r="H567" t="s">
        <v>6</v>
      </c>
      <c r="I567">
        <v>-84.409999999999897</v>
      </c>
      <c r="J567" t="s">
        <v>7</v>
      </c>
      <c r="K567">
        <v>-0.47421348314606698</v>
      </c>
      <c r="L567" t="s">
        <v>8</v>
      </c>
      <c r="M567">
        <v>1.07123287671232</v>
      </c>
      <c r="N567" t="s">
        <v>9</v>
      </c>
      <c r="O567">
        <v>-1.54866666666666</v>
      </c>
      <c r="P567" t="s">
        <v>10</v>
      </c>
      <c r="Q567">
        <v>0.342870058166723</v>
      </c>
      <c r="R567" t="s">
        <v>11</v>
      </c>
      <c r="S567" t="s">
        <v>3434</v>
      </c>
      <c r="T567" t="s">
        <v>2169</v>
      </c>
      <c r="U567">
        <v>0</v>
      </c>
      <c r="V567" t="s">
        <v>14</v>
      </c>
      <c r="W567" t="s">
        <v>15</v>
      </c>
      <c r="X567" t="s">
        <v>3435</v>
      </c>
      <c r="Y567" t="s">
        <v>2169</v>
      </c>
      <c r="Z567">
        <v>0</v>
      </c>
      <c r="AA567" t="s">
        <v>18</v>
      </c>
    </row>
    <row r="568" spans="1:27" x14ac:dyDescent="0.3">
      <c r="A568" t="s">
        <v>3293</v>
      </c>
      <c r="B568" t="s">
        <v>3285</v>
      </c>
      <c r="C568" t="s">
        <v>4274</v>
      </c>
      <c r="D568" t="s">
        <v>1224</v>
      </c>
      <c r="E568">
        <v>335</v>
      </c>
      <c r="F568" t="s">
        <v>5</v>
      </c>
      <c r="G568">
        <v>125</v>
      </c>
      <c r="H568" t="s">
        <v>6</v>
      </c>
      <c r="I568">
        <v>-84.619999999999905</v>
      </c>
      <c r="J568" t="s">
        <v>7</v>
      </c>
      <c r="K568">
        <v>-0.25259701492537201</v>
      </c>
      <c r="L568" t="s">
        <v>8</v>
      </c>
      <c r="M568">
        <v>2.25448</v>
      </c>
      <c r="N568" t="s">
        <v>9</v>
      </c>
      <c r="O568">
        <v>-1.74490476190476</v>
      </c>
      <c r="P568" t="s">
        <v>10</v>
      </c>
      <c r="Q568">
        <v>1.24028007039094</v>
      </c>
      <c r="R568" t="s">
        <v>11</v>
      </c>
      <c r="S568" t="s">
        <v>2657</v>
      </c>
      <c r="T568" t="s">
        <v>3303</v>
      </c>
      <c r="U568">
        <v>0</v>
      </c>
      <c r="V568" t="s">
        <v>14</v>
      </c>
      <c r="W568" t="s">
        <v>15</v>
      </c>
      <c r="X568" t="s">
        <v>3666</v>
      </c>
      <c r="Y568" t="s">
        <v>2857</v>
      </c>
      <c r="Z568">
        <v>0</v>
      </c>
      <c r="AA568" t="s">
        <v>18</v>
      </c>
    </row>
    <row r="569" spans="1:27" x14ac:dyDescent="0.3">
      <c r="A569" t="s">
        <v>1223</v>
      </c>
      <c r="B569" t="s">
        <v>3258</v>
      </c>
      <c r="C569" t="s">
        <v>4275</v>
      </c>
      <c r="D569" t="s">
        <v>1224</v>
      </c>
      <c r="E569">
        <v>375</v>
      </c>
      <c r="F569" t="s">
        <v>5</v>
      </c>
      <c r="G569">
        <v>147</v>
      </c>
      <c r="H569" t="s">
        <v>6</v>
      </c>
      <c r="I569">
        <v>-84.639999999999901</v>
      </c>
      <c r="J569" t="s">
        <v>7</v>
      </c>
      <c r="K569">
        <v>-0.225706666666666</v>
      </c>
      <c r="L569" t="s">
        <v>8</v>
      </c>
      <c r="M569">
        <v>1.8553741496598599</v>
      </c>
      <c r="N569" t="s">
        <v>9</v>
      </c>
      <c r="O569">
        <v>-1.56745614035087</v>
      </c>
      <c r="P569" t="s">
        <v>10</v>
      </c>
      <c r="Q569">
        <v>0.98865429582964903</v>
      </c>
      <c r="R569" t="s">
        <v>11</v>
      </c>
      <c r="S569" t="s">
        <v>3523</v>
      </c>
      <c r="T569" t="s">
        <v>730</v>
      </c>
      <c r="U569">
        <v>0</v>
      </c>
      <c r="V569" t="s">
        <v>14</v>
      </c>
      <c r="W569" t="s">
        <v>15</v>
      </c>
      <c r="X569" t="s">
        <v>3644</v>
      </c>
      <c r="Y569" t="s">
        <v>832</v>
      </c>
      <c r="Z569">
        <v>0</v>
      </c>
      <c r="AA569" t="s">
        <v>18</v>
      </c>
    </row>
    <row r="570" spans="1:27" x14ac:dyDescent="0.3">
      <c r="A570" t="s">
        <v>1223</v>
      </c>
      <c r="B570" t="s">
        <v>3245</v>
      </c>
      <c r="C570" t="s">
        <v>4276</v>
      </c>
      <c r="D570" t="s">
        <v>1224</v>
      </c>
      <c r="E570">
        <v>376</v>
      </c>
      <c r="F570" t="s">
        <v>5</v>
      </c>
      <c r="G570">
        <v>170</v>
      </c>
      <c r="H570" t="s">
        <v>6</v>
      </c>
      <c r="I570">
        <v>-84.675542304519794</v>
      </c>
      <c r="J570" t="s">
        <v>7</v>
      </c>
      <c r="K570">
        <v>-0.22520091038436099</v>
      </c>
      <c r="L570" t="s">
        <v>8</v>
      </c>
      <c r="M570">
        <v>0.84784975114988204</v>
      </c>
      <c r="N570" t="s">
        <v>9</v>
      </c>
      <c r="O570">
        <v>-1.1107281553398001</v>
      </c>
      <c r="P570" t="s">
        <v>10</v>
      </c>
      <c r="Q570">
        <v>0.54826632538309095</v>
      </c>
      <c r="R570" t="s">
        <v>11</v>
      </c>
      <c r="S570" t="s">
        <v>3332</v>
      </c>
      <c r="T570" t="s">
        <v>3333</v>
      </c>
      <c r="U570">
        <v>0</v>
      </c>
      <c r="V570" t="s">
        <v>14</v>
      </c>
      <c r="W570" t="s">
        <v>15</v>
      </c>
      <c r="X570" t="s">
        <v>3636</v>
      </c>
      <c r="Y570" t="s">
        <v>3485</v>
      </c>
      <c r="Z570">
        <v>0</v>
      </c>
      <c r="AA570" t="s">
        <v>18</v>
      </c>
    </row>
    <row r="571" spans="1:27" x14ac:dyDescent="0.3">
      <c r="A571" t="s">
        <v>3293</v>
      </c>
      <c r="B571" t="s">
        <v>3228</v>
      </c>
      <c r="C571" t="s">
        <v>4277</v>
      </c>
      <c r="D571" t="s">
        <v>1224</v>
      </c>
      <c r="E571">
        <v>335</v>
      </c>
      <c r="F571" t="s">
        <v>5</v>
      </c>
      <c r="G571">
        <v>164</v>
      </c>
      <c r="H571" t="s">
        <v>6</v>
      </c>
      <c r="I571">
        <v>-85.739999999999895</v>
      </c>
      <c r="J571" t="s">
        <v>7</v>
      </c>
      <c r="K571">
        <v>-0.25594029850746203</v>
      </c>
      <c r="L571" t="s">
        <v>8</v>
      </c>
      <c r="M571">
        <v>1.08408536585365</v>
      </c>
      <c r="N571" t="s">
        <v>9</v>
      </c>
      <c r="O571">
        <v>-1.54111111111111</v>
      </c>
      <c r="P571" t="s">
        <v>10</v>
      </c>
      <c r="Q571">
        <v>0.65210669811212596</v>
      </c>
      <c r="R571" t="s">
        <v>11</v>
      </c>
      <c r="S571" t="s">
        <v>3628</v>
      </c>
      <c r="T571" t="s">
        <v>3629</v>
      </c>
      <c r="U571">
        <v>0</v>
      </c>
      <c r="V571" t="s">
        <v>14</v>
      </c>
      <c r="W571" t="s">
        <v>15</v>
      </c>
      <c r="X571" t="s">
        <v>3630</v>
      </c>
      <c r="Y571" t="s">
        <v>3296</v>
      </c>
      <c r="Z571">
        <v>0</v>
      </c>
      <c r="AA571" t="s">
        <v>18</v>
      </c>
    </row>
    <row r="572" spans="1:27" x14ac:dyDescent="0.3">
      <c r="A572" t="s">
        <v>1223</v>
      </c>
      <c r="B572" t="s">
        <v>3278</v>
      </c>
      <c r="C572" t="s">
        <v>4278</v>
      </c>
      <c r="D572" t="s">
        <v>1224</v>
      </c>
      <c r="E572">
        <v>375</v>
      </c>
      <c r="F572" t="s">
        <v>5</v>
      </c>
      <c r="G572">
        <v>170</v>
      </c>
      <c r="H572" t="s">
        <v>6</v>
      </c>
      <c r="I572">
        <v>-85.84</v>
      </c>
      <c r="J572" t="s">
        <v>7</v>
      </c>
      <c r="K572">
        <v>-0.22890666666666601</v>
      </c>
      <c r="L572" t="s">
        <v>8</v>
      </c>
      <c r="M572">
        <v>1.7410000000000001</v>
      </c>
      <c r="N572" t="s">
        <v>9</v>
      </c>
      <c r="O572">
        <v>-1.86248780487804</v>
      </c>
      <c r="P572" t="s">
        <v>10</v>
      </c>
      <c r="Q572">
        <v>1.3850947464174399</v>
      </c>
      <c r="R572" t="s">
        <v>11</v>
      </c>
      <c r="S572" t="s">
        <v>3663</v>
      </c>
      <c r="T572" t="s">
        <v>2557</v>
      </c>
      <c r="U572">
        <v>0</v>
      </c>
      <c r="V572" t="s">
        <v>14</v>
      </c>
      <c r="W572" t="s">
        <v>15</v>
      </c>
      <c r="X572" t="s">
        <v>3661</v>
      </c>
      <c r="Y572" t="s">
        <v>832</v>
      </c>
      <c r="Z572">
        <v>0</v>
      </c>
      <c r="AA572" t="s">
        <v>18</v>
      </c>
    </row>
    <row r="573" spans="1:27" x14ac:dyDescent="0.3">
      <c r="A573" t="s">
        <v>1223</v>
      </c>
      <c r="B573" t="s">
        <v>3230</v>
      </c>
      <c r="C573" t="s">
        <v>4279</v>
      </c>
      <c r="D573" t="s">
        <v>1224</v>
      </c>
      <c r="E573">
        <v>376</v>
      </c>
      <c r="F573" t="s">
        <v>5</v>
      </c>
      <c r="G573">
        <v>167</v>
      </c>
      <c r="H573" t="s">
        <v>6</v>
      </c>
      <c r="I573">
        <v>-85.842146302788194</v>
      </c>
      <c r="J573" t="s">
        <v>7</v>
      </c>
      <c r="K573">
        <v>-0.22830358059252101</v>
      </c>
      <c r="L573" t="s">
        <v>8</v>
      </c>
      <c r="M573">
        <v>1.40896918381563</v>
      </c>
      <c r="N573" t="s">
        <v>9</v>
      </c>
      <c r="O573">
        <v>-1.53655502392344</v>
      </c>
      <c r="P573" t="s">
        <v>10</v>
      </c>
      <c r="Q573">
        <v>1.0820380965768699</v>
      </c>
      <c r="R573" t="s">
        <v>11</v>
      </c>
      <c r="S573" t="s">
        <v>3631</v>
      </c>
      <c r="T573" t="s">
        <v>2631</v>
      </c>
      <c r="U573">
        <v>0</v>
      </c>
      <c r="V573" t="s">
        <v>14</v>
      </c>
      <c r="W573" t="s">
        <v>15</v>
      </c>
      <c r="X573" t="s">
        <v>3632</v>
      </c>
      <c r="Y573" t="s">
        <v>2071</v>
      </c>
      <c r="Z573">
        <v>0</v>
      </c>
      <c r="AA573" t="s">
        <v>18</v>
      </c>
    </row>
    <row r="574" spans="1:27" x14ac:dyDescent="0.3">
      <c r="A574" t="s">
        <v>3293</v>
      </c>
      <c r="B574" t="s">
        <v>3289</v>
      </c>
      <c r="C574" t="s">
        <v>4280</v>
      </c>
      <c r="D574" t="s">
        <v>1224</v>
      </c>
      <c r="E574">
        <v>331</v>
      </c>
      <c r="F574" t="s">
        <v>5</v>
      </c>
      <c r="G574">
        <v>87</v>
      </c>
      <c r="H574" t="s">
        <v>6</v>
      </c>
      <c r="I574">
        <v>-86.4012963988108</v>
      </c>
      <c r="J574" t="s">
        <v>7</v>
      </c>
      <c r="K574">
        <v>-0.261031106945047</v>
      </c>
      <c r="L574" t="s">
        <v>8</v>
      </c>
      <c r="M574">
        <v>3.5653280781290801</v>
      </c>
      <c r="N574" t="s">
        <v>9</v>
      </c>
      <c r="O574">
        <v>-1.6253477016231199</v>
      </c>
      <c r="P574" t="s">
        <v>10</v>
      </c>
      <c r="Q574">
        <v>1.0993177221288799</v>
      </c>
      <c r="R574" t="s">
        <v>11</v>
      </c>
      <c r="S574" t="s">
        <v>2657</v>
      </c>
      <c r="T574" t="s">
        <v>3303</v>
      </c>
      <c r="U574">
        <v>0</v>
      </c>
      <c r="V574" t="s">
        <v>14</v>
      </c>
      <c r="W574" t="s">
        <v>15</v>
      </c>
      <c r="X574" t="s">
        <v>3681</v>
      </c>
      <c r="Y574" t="s">
        <v>3500</v>
      </c>
      <c r="Z574">
        <v>0</v>
      </c>
      <c r="AA574" t="s">
        <v>18</v>
      </c>
    </row>
    <row r="575" spans="1:27" x14ac:dyDescent="0.3">
      <c r="A575" t="s">
        <v>1223</v>
      </c>
      <c r="B575" t="s">
        <v>3236</v>
      </c>
      <c r="C575" t="s">
        <v>4281</v>
      </c>
      <c r="D575" t="s">
        <v>1224</v>
      </c>
      <c r="E575">
        <v>370</v>
      </c>
      <c r="F575" t="s">
        <v>5</v>
      </c>
      <c r="G575">
        <v>148</v>
      </c>
      <c r="H575" t="s">
        <v>6</v>
      </c>
      <c r="I575">
        <v>-86.629448328476599</v>
      </c>
      <c r="J575" t="s">
        <v>7</v>
      </c>
      <c r="K575">
        <v>-0.234133644131017</v>
      </c>
      <c r="L575" t="s">
        <v>8</v>
      </c>
      <c r="M575">
        <v>1.9999088760696999</v>
      </c>
      <c r="N575" t="s">
        <v>9</v>
      </c>
      <c r="O575">
        <v>-1.7234953242648301</v>
      </c>
      <c r="P575" t="s">
        <v>10</v>
      </c>
      <c r="Q575">
        <v>1.1872418017696</v>
      </c>
      <c r="R575" t="s">
        <v>11</v>
      </c>
      <c r="S575" t="s">
        <v>235</v>
      </c>
      <c r="T575" t="s">
        <v>77</v>
      </c>
      <c r="U575">
        <v>0</v>
      </c>
      <c r="V575" t="s">
        <v>14</v>
      </c>
      <c r="W575" t="s">
        <v>15</v>
      </c>
      <c r="X575" t="s">
        <v>3633</v>
      </c>
      <c r="Y575" t="s">
        <v>3303</v>
      </c>
      <c r="Z575">
        <v>0</v>
      </c>
      <c r="AA575" t="s">
        <v>18</v>
      </c>
    </row>
    <row r="576" spans="1:27" x14ac:dyDescent="0.3">
      <c r="A576" t="s">
        <v>3293</v>
      </c>
      <c r="B576" t="s">
        <v>3258</v>
      </c>
      <c r="C576" t="s">
        <v>4282</v>
      </c>
      <c r="D576" t="s">
        <v>1224</v>
      </c>
      <c r="E576">
        <v>334</v>
      </c>
      <c r="F576" t="s">
        <v>5</v>
      </c>
      <c r="G576">
        <v>132</v>
      </c>
      <c r="H576" t="s">
        <v>6</v>
      </c>
      <c r="I576">
        <v>-86.769999999999897</v>
      </c>
      <c r="J576" t="s">
        <v>7</v>
      </c>
      <c r="K576">
        <v>-0.259790419161676</v>
      </c>
      <c r="L576" t="s">
        <v>8</v>
      </c>
      <c r="M576">
        <v>1.6589393939393899</v>
      </c>
      <c r="N576" t="s">
        <v>9</v>
      </c>
      <c r="O576">
        <v>-1.5136138613861301</v>
      </c>
      <c r="P576" t="s">
        <v>10</v>
      </c>
      <c r="Q576">
        <v>0.81382562209034703</v>
      </c>
      <c r="R576" t="s">
        <v>11</v>
      </c>
      <c r="S576" t="s">
        <v>3523</v>
      </c>
      <c r="T576" t="s">
        <v>730</v>
      </c>
      <c r="U576">
        <v>0</v>
      </c>
      <c r="V576" t="s">
        <v>14</v>
      </c>
      <c r="W576" t="s">
        <v>15</v>
      </c>
      <c r="X576" t="s">
        <v>3644</v>
      </c>
      <c r="Y576" t="s">
        <v>832</v>
      </c>
      <c r="Z576">
        <v>0</v>
      </c>
      <c r="AA576" t="s">
        <v>18</v>
      </c>
    </row>
    <row r="577" spans="1:27" x14ac:dyDescent="0.3">
      <c r="A577" t="s">
        <v>3293</v>
      </c>
      <c r="B577" t="s">
        <v>3288</v>
      </c>
      <c r="C577" t="s">
        <v>4283</v>
      </c>
      <c r="D577" t="s">
        <v>1224</v>
      </c>
      <c r="E577">
        <v>331</v>
      </c>
      <c r="F577" t="s">
        <v>5</v>
      </c>
      <c r="G577">
        <v>114</v>
      </c>
      <c r="H577" t="s">
        <v>6</v>
      </c>
      <c r="I577">
        <v>-86.844970414302793</v>
      </c>
      <c r="J577" t="s">
        <v>7</v>
      </c>
      <c r="K577">
        <v>-0.26237151182568802</v>
      </c>
      <c r="L577" t="s">
        <v>8</v>
      </c>
      <c r="M577">
        <v>2.2636836007861199</v>
      </c>
      <c r="N577" t="s">
        <v>9</v>
      </c>
      <c r="O577">
        <v>-1.58942350646968</v>
      </c>
      <c r="P577" t="s">
        <v>10</v>
      </c>
      <c r="Q577">
        <v>0.827537808639221</v>
      </c>
      <c r="R577" t="s">
        <v>11</v>
      </c>
      <c r="S577" t="s">
        <v>2657</v>
      </c>
      <c r="T577" t="s">
        <v>3303</v>
      </c>
      <c r="U577">
        <v>0</v>
      </c>
      <c r="V577" t="s">
        <v>14</v>
      </c>
      <c r="W577" t="s">
        <v>15</v>
      </c>
      <c r="X577" t="s">
        <v>3617</v>
      </c>
      <c r="Y577" t="s">
        <v>3296</v>
      </c>
      <c r="Z577">
        <v>0</v>
      </c>
      <c r="AA577" t="s">
        <v>18</v>
      </c>
    </row>
    <row r="578" spans="1:27" x14ac:dyDescent="0.3">
      <c r="A578" t="s">
        <v>3293</v>
      </c>
      <c r="B578" t="s">
        <v>3211</v>
      </c>
      <c r="C578" t="s">
        <v>4284</v>
      </c>
      <c r="D578" t="s">
        <v>1224</v>
      </c>
      <c r="E578">
        <v>335</v>
      </c>
      <c r="F578" t="s">
        <v>5</v>
      </c>
      <c r="G578">
        <v>144</v>
      </c>
      <c r="H578" t="s">
        <v>6</v>
      </c>
      <c r="I578">
        <v>-86.94</v>
      </c>
      <c r="J578" t="s">
        <v>7</v>
      </c>
      <c r="K578">
        <v>-0.25952238805970101</v>
      </c>
      <c r="L578" t="s">
        <v>8</v>
      </c>
      <c r="M578">
        <v>1.7918750000000001</v>
      </c>
      <c r="N578" t="s">
        <v>9</v>
      </c>
      <c r="O578">
        <v>-1.80612565445026</v>
      </c>
      <c r="P578" t="s">
        <v>10</v>
      </c>
      <c r="Q578">
        <v>0.888159988061901</v>
      </c>
      <c r="R578" t="s">
        <v>11</v>
      </c>
      <c r="S578" t="s">
        <v>2657</v>
      </c>
      <c r="T578" t="s">
        <v>3303</v>
      </c>
      <c r="U578">
        <v>0</v>
      </c>
      <c r="V578" t="s">
        <v>14</v>
      </c>
      <c r="W578" t="s">
        <v>15</v>
      </c>
      <c r="X578" t="s">
        <v>3669</v>
      </c>
      <c r="Y578" t="s">
        <v>832</v>
      </c>
      <c r="Z578">
        <v>0</v>
      </c>
      <c r="AA578" t="s">
        <v>18</v>
      </c>
    </row>
    <row r="579" spans="1:27" x14ac:dyDescent="0.3">
      <c r="A579" t="s">
        <v>3293</v>
      </c>
      <c r="B579" t="s">
        <v>3219</v>
      </c>
      <c r="C579" t="s">
        <v>4285</v>
      </c>
      <c r="D579" t="s">
        <v>1224</v>
      </c>
      <c r="E579">
        <v>331</v>
      </c>
      <c r="F579" t="s">
        <v>5</v>
      </c>
      <c r="G579">
        <v>113</v>
      </c>
      <c r="H579" t="s">
        <v>6</v>
      </c>
      <c r="I579">
        <v>-86.954076731838299</v>
      </c>
      <c r="J579" t="s">
        <v>7</v>
      </c>
      <c r="K579">
        <v>-0.262701138162653</v>
      </c>
      <c r="L579" t="s">
        <v>8</v>
      </c>
      <c r="M579">
        <v>2.8300092945381499</v>
      </c>
      <c r="N579" t="s">
        <v>9</v>
      </c>
      <c r="O579">
        <v>-1.8658033349295899</v>
      </c>
      <c r="P579" t="s">
        <v>10</v>
      </c>
      <c r="Q579">
        <v>1.3547421628774701</v>
      </c>
      <c r="R579" t="s">
        <v>11</v>
      </c>
      <c r="S579" t="s">
        <v>2657</v>
      </c>
      <c r="T579" t="s">
        <v>3303</v>
      </c>
      <c r="U579">
        <v>0</v>
      </c>
      <c r="V579" t="s">
        <v>14</v>
      </c>
      <c r="W579" t="s">
        <v>15</v>
      </c>
      <c r="X579" t="s">
        <v>3619</v>
      </c>
      <c r="Y579" t="s">
        <v>3333</v>
      </c>
      <c r="Z579">
        <v>0</v>
      </c>
      <c r="AA579" t="s">
        <v>18</v>
      </c>
    </row>
    <row r="580" spans="1:27" x14ac:dyDescent="0.3">
      <c r="A580" t="s">
        <v>1219</v>
      </c>
      <c r="B580" t="s">
        <v>3265</v>
      </c>
      <c r="C580" t="s">
        <v>4286</v>
      </c>
      <c r="D580" t="s">
        <v>1224</v>
      </c>
      <c r="E580">
        <v>178</v>
      </c>
      <c r="F580" t="s">
        <v>5</v>
      </c>
      <c r="G580">
        <v>38</v>
      </c>
      <c r="H580" t="s">
        <v>6</v>
      </c>
      <c r="I580">
        <v>-86.97</v>
      </c>
      <c r="J580" t="s">
        <v>7</v>
      </c>
      <c r="K580">
        <v>-0.48859550561797699</v>
      </c>
      <c r="L580" t="s">
        <v>8</v>
      </c>
      <c r="M580">
        <v>3.7518421052631501</v>
      </c>
      <c r="N580" t="s">
        <v>9</v>
      </c>
      <c r="O580">
        <v>-1.63957142857142</v>
      </c>
      <c r="P580" t="s">
        <v>10</v>
      </c>
      <c r="Q580">
        <v>0.61532864212045402</v>
      </c>
      <c r="R580" t="s">
        <v>11</v>
      </c>
      <c r="S580" t="s">
        <v>3437</v>
      </c>
      <c r="T580" t="s">
        <v>2249</v>
      </c>
      <c r="U580">
        <v>0</v>
      </c>
      <c r="V580" t="s">
        <v>14</v>
      </c>
      <c r="W580" t="s">
        <v>15</v>
      </c>
      <c r="X580" t="s">
        <v>3436</v>
      </c>
      <c r="Y580" t="s">
        <v>2169</v>
      </c>
      <c r="Z580">
        <v>0</v>
      </c>
      <c r="AA580" t="s">
        <v>18</v>
      </c>
    </row>
    <row r="581" spans="1:27" x14ac:dyDescent="0.3">
      <c r="A581" t="s">
        <v>3293</v>
      </c>
      <c r="B581" t="s">
        <v>3247</v>
      </c>
      <c r="C581" t="s">
        <v>4287</v>
      </c>
      <c r="D581" t="s">
        <v>1224</v>
      </c>
      <c r="E581">
        <v>335</v>
      </c>
      <c r="F581" t="s">
        <v>5</v>
      </c>
      <c r="G581">
        <v>143</v>
      </c>
      <c r="H581" t="s">
        <v>6</v>
      </c>
      <c r="I581">
        <v>-87.019999999999797</v>
      </c>
      <c r="J581" t="s">
        <v>7</v>
      </c>
      <c r="K581">
        <v>-0.25976119402984998</v>
      </c>
      <c r="L581" t="s">
        <v>8</v>
      </c>
      <c r="M581">
        <v>0.94503496503496498</v>
      </c>
      <c r="N581" t="s">
        <v>9</v>
      </c>
      <c r="O581">
        <v>-1.1570833333333299</v>
      </c>
      <c r="P581" t="s">
        <v>10</v>
      </c>
      <c r="Q581">
        <v>0.61458955892174705</v>
      </c>
      <c r="R581" t="s">
        <v>11</v>
      </c>
      <c r="S581" t="s">
        <v>3639</v>
      </c>
      <c r="T581" t="s">
        <v>2897</v>
      </c>
      <c r="U581">
        <v>0</v>
      </c>
      <c r="V581" t="s">
        <v>14</v>
      </c>
      <c r="W581" t="s">
        <v>15</v>
      </c>
      <c r="X581" t="s">
        <v>3636</v>
      </c>
      <c r="Y581" t="s">
        <v>3485</v>
      </c>
      <c r="Z581">
        <v>0</v>
      </c>
      <c r="AA581" t="s">
        <v>18</v>
      </c>
    </row>
    <row r="582" spans="1:27" x14ac:dyDescent="0.3">
      <c r="A582" t="s">
        <v>1222</v>
      </c>
      <c r="B582" t="s">
        <v>3279</v>
      </c>
      <c r="C582" t="s">
        <v>4288</v>
      </c>
      <c r="D582" t="s">
        <v>1224</v>
      </c>
      <c r="E582">
        <v>136</v>
      </c>
      <c r="F582" t="s">
        <v>5</v>
      </c>
      <c r="G582">
        <v>53</v>
      </c>
      <c r="H582" t="s">
        <v>6</v>
      </c>
      <c r="I582">
        <v>-87.47</v>
      </c>
      <c r="J582" t="s">
        <v>7</v>
      </c>
      <c r="K582">
        <v>-0.64316176470588204</v>
      </c>
      <c r="L582" t="s">
        <v>8</v>
      </c>
      <c r="M582">
        <v>1.4784905660377301</v>
      </c>
      <c r="N582" t="s">
        <v>9</v>
      </c>
      <c r="O582">
        <v>-1.99795180722891</v>
      </c>
      <c r="P582" t="s">
        <v>10</v>
      </c>
      <c r="Q582">
        <v>0.46598231604887602</v>
      </c>
      <c r="R582" t="s">
        <v>11</v>
      </c>
      <c r="S582" t="s">
        <v>3599</v>
      </c>
      <c r="T582" t="s">
        <v>2631</v>
      </c>
      <c r="U582">
        <v>0</v>
      </c>
      <c r="V582" t="s">
        <v>14</v>
      </c>
      <c r="W582" t="s">
        <v>15</v>
      </c>
      <c r="X582" t="s">
        <v>3598</v>
      </c>
      <c r="Y582" t="s">
        <v>832</v>
      </c>
      <c r="Z582">
        <v>0</v>
      </c>
      <c r="AA582" t="s">
        <v>18</v>
      </c>
    </row>
    <row r="583" spans="1:27" x14ac:dyDescent="0.3">
      <c r="A583" t="s">
        <v>1223</v>
      </c>
      <c r="B583" t="s">
        <v>3261</v>
      </c>
      <c r="C583" t="s">
        <v>4289</v>
      </c>
      <c r="D583" t="s">
        <v>1224</v>
      </c>
      <c r="E583">
        <v>375</v>
      </c>
      <c r="F583" t="s">
        <v>5</v>
      </c>
      <c r="G583">
        <v>120</v>
      </c>
      <c r="H583" t="s">
        <v>6</v>
      </c>
      <c r="I583">
        <v>-88.049999999999898</v>
      </c>
      <c r="J583" t="s">
        <v>7</v>
      </c>
      <c r="K583">
        <v>-0.23479999999999901</v>
      </c>
      <c r="L583" t="s">
        <v>8</v>
      </c>
      <c r="M583">
        <v>2.7395</v>
      </c>
      <c r="N583" t="s">
        <v>9</v>
      </c>
      <c r="O583">
        <v>-1.6344705882352899</v>
      </c>
      <c r="P583" t="s">
        <v>10</v>
      </c>
      <c r="Q583">
        <v>1.6115784674868401</v>
      </c>
      <c r="R583" t="s">
        <v>11</v>
      </c>
      <c r="S583" t="s">
        <v>3646</v>
      </c>
      <c r="T583" t="s">
        <v>2834</v>
      </c>
      <c r="U583">
        <v>0</v>
      </c>
      <c r="V583" t="s">
        <v>14</v>
      </c>
      <c r="W583" t="s">
        <v>15</v>
      </c>
      <c r="X583" t="s">
        <v>3438</v>
      </c>
      <c r="Y583" t="s">
        <v>2644</v>
      </c>
      <c r="Z583">
        <v>0</v>
      </c>
      <c r="AA583" t="s">
        <v>18</v>
      </c>
    </row>
    <row r="584" spans="1:27" x14ac:dyDescent="0.3">
      <c r="A584" t="s">
        <v>1223</v>
      </c>
      <c r="B584" t="s">
        <v>3212</v>
      </c>
      <c r="C584" t="s">
        <v>4290</v>
      </c>
      <c r="D584" t="s">
        <v>1224</v>
      </c>
      <c r="E584">
        <v>376</v>
      </c>
      <c r="F584" t="s">
        <v>5</v>
      </c>
      <c r="G584">
        <v>153</v>
      </c>
      <c r="H584" t="s">
        <v>6</v>
      </c>
      <c r="I584">
        <v>-88.122818520093105</v>
      </c>
      <c r="J584" t="s">
        <v>7</v>
      </c>
      <c r="K584">
        <v>-0.23436919819173699</v>
      </c>
      <c r="L584" t="s">
        <v>8</v>
      </c>
      <c r="M584">
        <v>2.21493498338946</v>
      </c>
      <c r="N584" t="s">
        <v>9</v>
      </c>
      <c r="O584">
        <v>-1.9148335021465499</v>
      </c>
      <c r="P584" t="s">
        <v>10</v>
      </c>
      <c r="Q584">
        <v>1.26334568000282</v>
      </c>
      <c r="R584" t="s">
        <v>11</v>
      </c>
      <c r="S584" t="s">
        <v>3301</v>
      </c>
      <c r="T584" t="s">
        <v>2046</v>
      </c>
      <c r="U584">
        <v>0</v>
      </c>
      <c r="V584" t="s">
        <v>14</v>
      </c>
      <c r="W584" t="s">
        <v>15</v>
      </c>
      <c r="X584" t="s">
        <v>3616</v>
      </c>
      <c r="Y584" t="s">
        <v>2046</v>
      </c>
      <c r="Z584">
        <v>0</v>
      </c>
      <c r="AA584" t="s">
        <v>18</v>
      </c>
    </row>
    <row r="585" spans="1:27" x14ac:dyDescent="0.3">
      <c r="A585" t="s">
        <v>1223</v>
      </c>
      <c r="B585" t="s">
        <v>3221</v>
      </c>
      <c r="C585" t="s">
        <v>4291</v>
      </c>
      <c r="D585" t="s">
        <v>1224</v>
      </c>
      <c r="E585">
        <v>375</v>
      </c>
      <c r="F585" t="s">
        <v>5</v>
      </c>
      <c r="G585">
        <v>189</v>
      </c>
      <c r="H585" t="s">
        <v>6</v>
      </c>
      <c r="I585">
        <v>-88.642146302788106</v>
      </c>
      <c r="J585" t="s">
        <v>7</v>
      </c>
      <c r="K585">
        <v>-0.23637905680743501</v>
      </c>
      <c r="L585" t="s">
        <v>8</v>
      </c>
      <c r="M585">
        <v>0.85326906718101403</v>
      </c>
      <c r="N585" t="s">
        <v>9</v>
      </c>
      <c r="O585">
        <v>-1.3436021505376301</v>
      </c>
      <c r="P585" t="s">
        <v>10</v>
      </c>
      <c r="Q585">
        <v>0.66242436516047698</v>
      </c>
      <c r="R585" t="s">
        <v>11</v>
      </c>
      <c r="S585" t="s">
        <v>3623</v>
      </c>
      <c r="T585" t="s">
        <v>21</v>
      </c>
      <c r="U585">
        <v>0</v>
      </c>
      <c r="V585" t="s">
        <v>14</v>
      </c>
      <c r="W585" t="s">
        <v>15</v>
      </c>
      <c r="X585" t="s">
        <v>3625</v>
      </c>
      <c r="Y585" t="s">
        <v>832</v>
      </c>
      <c r="Z585">
        <v>0</v>
      </c>
      <c r="AA585" t="s">
        <v>18</v>
      </c>
    </row>
    <row r="586" spans="1:27" x14ac:dyDescent="0.3">
      <c r="A586" t="s">
        <v>3293</v>
      </c>
      <c r="B586" t="s">
        <v>3265</v>
      </c>
      <c r="C586" t="s">
        <v>4292</v>
      </c>
      <c r="D586" t="s">
        <v>1224</v>
      </c>
      <c r="E586">
        <v>335</v>
      </c>
      <c r="F586" t="s">
        <v>5</v>
      </c>
      <c r="G586">
        <v>75</v>
      </c>
      <c r="H586" t="s">
        <v>6</v>
      </c>
      <c r="I586">
        <v>-89.09</v>
      </c>
      <c r="J586" t="s">
        <v>7</v>
      </c>
      <c r="K586">
        <v>-0.26594029850746198</v>
      </c>
      <c r="L586" t="s">
        <v>8</v>
      </c>
      <c r="M586">
        <v>4.0575999999999901</v>
      </c>
      <c r="N586" t="s">
        <v>9</v>
      </c>
      <c r="O586">
        <v>-1.51311538461538</v>
      </c>
      <c r="P586" t="s">
        <v>10</v>
      </c>
      <c r="Q586">
        <v>1.1427098986464399</v>
      </c>
      <c r="R586" t="s">
        <v>11</v>
      </c>
      <c r="S586" t="s">
        <v>3437</v>
      </c>
      <c r="T586" t="s">
        <v>2249</v>
      </c>
      <c r="U586">
        <v>0</v>
      </c>
      <c r="V586" t="s">
        <v>14</v>
      </c>
      <c r="W586" t="s">
        <v>15</v>
      </c>
      <c r="X586" t="s">
        <v>3651</v>
      </c>
      <c r="Y586" t="s">
        <v>3652</v>
      </c>
      <c r="Z586">
        <v>0</v>
      </c>
      <c r="AA586" t="s">
        <v>18</v>
      </c>
    </row>
    <row r="587" spans="1:27" x14ac:dyDescent="0.3">
      <c r="A587" t="s">
        <v>3293</v>
      </c>
      <c r="B587" t="s">
        <v>3209</v>
      </c>
      <c r="C587" t="s">
        <v>4293</v>
      </c>
      <c r="D587" t="s">
        <v>1224</v>
      </c>
      <c r="E587">
        <v>335</v>
      </c>
      <c r="F587" t="s">
        <v>5</v>
      </c>
      <c r="G587">
        <v>171</v>
      </c>
      <c r="H587" t="s">
        <v>6</v>
      </c>
      <c r="I587">
        <v>-89.14</v>
      </c>
      <c r="J587" t="s">
        <v>7</v>
      </c>
      <c r="K587">
        <v>-0.26608955223880598</v>
      </c>
      <c r="L587" t="s">
        <v>8</v>
      </c>
      <c r="M587">
        <v>1.18976608187134</v>
      </c>
      <c r="N587" t="s">
        <v>9</v>
      </c>
      <c r="O587">
        <v>-1.78408536585365</v>
      </c>
      <c r="P587" t="s">
        <v>10</v>
      </c>
      <c r="Q587">
        <v>0.65309688940099697</v>
      </c>
      <c r="R587" t="s">
        <v>11</v>
      </c>
      <c r="S587" t="s">
        <v>2657</v>
      </c>
      <c r="T587" t="s">
        <v>3303</v>
      </c>
      <c r="U587">
        <v>0</v>
      </c>
      <c r="V587" t="s">
        <v>14</v>
      </c>
      <c r="W587" t="s">
        <v>15</v>
      </c>
      <c r="X587" t="s">
        <v>3669</v>
      </c>
      <c r="Y587" t="s">
        <v>832</v>
      </c>
      <c r="Z587">
        <v>0</v>
      </c>
      <c r="AA587" t="s">
        <v>18</v>
      </c>
    </row>
    <row r="588" spans="1:27" x14ac:dyDescent="0.3">
      <c r="A588" t="s">
        <v>3293</v>
      </c>
      <c r="B588" t="s">
        <v>3245</v>
      </c>
      <c r="C588" t="s">
        <v>4294</v>
      </c>
      <c r="D588" t="s">
        <v>1224</v>
      </c>
      <c r="E588">
        <v>335</v>
      </c>
      <c r="F588" t="s">
        <v>5</v>
      </c>
      <c r="G588">
        <v>153</v>
      </c>
      <c r="H588" t="s">
        <v>6</v>
      </c>
      <c r="I588">
        <v>-89.259999999999906</v>
      </c>
      <c r="J588" t="s">
        <v>7</v>
      </c>
      <c r="K588">
        <v>-0.26644776119402902</v>
      </c>
      <c r="L588" t="s">
        <v>8</v>
      </c>
      <c r="M588">
        <v>0.773202614379085</v>
      </c>
      <c r="N588" t="s">
        <v>9</v>
      </c>
      <c r="O588">
        <v>-1.1404395604395601</v>
      </c>
      <c r="P588" t="s">
        <v>10</v>
      </c>
      <c r="Q588">
        <v>0.50069534420805795</v>
      </c>
      <c r="R588" t="s">
        <v>11</v>
      </c>
      <c r="S588" t="s">
        <v>3332</v>
      </c>
      <c r="T588" t="s">
        <v>3333</v>
      </c>
      <c r="U588">
        <v>0</v>
      </c>
      <c r="V588" t="s">
        <v>14</v>
      </c>
      <c r="W588" t="s">
        <v>15</v>
      </c>
      <c r="X588" t="s">
        <v>3636</v>
      </c>
      <c r="Y588" t="s">
        <v>3485</v>
      </c>
      <c r="Z588">
        <v>0</v>
      </c>
      <c r="AA588" t="s">
        <v>18</v>
      </c>
    </row>
    <row r="589" spans="1:27" x14ac:dyDescent="0.3">
      <c r="A589" t="s">
        <v>1223</v>
      </c>
      <c r="B589" t="s">
        <v>3244</v>
      </c>
      <c r="C589" t="s">
        <v>4295</v>
      </c>
      <c r="D589" t="s">
        <v>1224</v>
      </c>
      <c r="E589">
        <v>376</v>
      </c>
      <c r="F589" t="s">
        <v>5</v>
      </c>
      <c r="G589">
        <v>185</v>
      </c>
      <c r="H589" t="s">
        <v>6</v>
      </c>
      <c r="I589">
        <v>-89.875542304519797</v>
      </c>
      <c r="J589" t="s">
        <v>7</v>
      </c>
      <c r="K589">
        <v>-0.23903069761840301</v>
      </c>
      <c r="L589" t="s">
        <v>8</v>
      </c>
      <c r="M589">
        <v>0.66040247402962204</v>
      </c>
      <c r="N589" t="s">
        <v>9</v>
      </c>
      <c r="O589">
        <v>-1.1102094240837601</v>
      </c>
      <c r="P589" t="s">
        <v>10</v>
      </c>
      <c r="Q589">
        <v>0.50384359067321505</v>
      </c>
      <c r="R589" t="s">
        <v>11</v>
      </c>
      <c r="S589" t="s">
        <v>3332</v>
      </c>
      <c r="T589" t="s">
        <v>3333</v>
      </c>
      <c r="U589">
        <v>0</v>
      </c>
      <c r="V589" t="s">
        <v>14</v>
      </c>
      <c r="W589" t="s">
        <v>15</v>
      </c>
      <c r="X589" t="s">
        <v>3636</v>
      </c>
      <c r="Y589" t="s">
        <v>3485</v>
      </c>
      <c r="Z589">
        <v>0</v>
      </c>
      <c r="AA589" t="s">
        <v>18</v>
      </c>
    </row>
    <row r="590" spans="1:27" x14ac:dyDescent="0.3">
      <c r="A590" t="s">
        <v>1223</v>
      </c>
      <c r="B590" t="s">
        <v>3204</v>
      </c>
      <c r="C590" t="s">
        <v>4296</v>
      </c>
      <c r="D590" t="s">
        <v>1224</v>
      </c>
      <c r="E590">
        <v>375</v>
      </c>
      <c r="F590" t="s">
        <v>5</v>
      </c>
      <c r="G590">
        <v>182</v>
      </c>
      <c r="H590" t="s">
        <v>6</v>
      </c>
      <c r="I590">
        <v>-90.304947541411195</v>
      </c>
      <c r="J590" t="s">
        <v>7</v>
      </c>
      <c r="K590">
        <v>-0.24081319344376301</v>
      </c>
      <c r="L590" t="s">
        <v>8</v>
      </c>
      <c r="M590">
        <v>1.3392585299922399</v>
      </c>
      <c r="N590" t="s">
        <v>9</v>
      </c>
      <c r="O590">
        <v>-1.73082901554404</v>
      </c>
      <c r="P590" t="s">
        <v>10</v>
      </c>
      <c r="Q590">
        <v>0.91711355758998103</v>
      </c>
      <c r="R590" t="s">
        <v>11</v>
      </c>
      <c r="S590" t="s">
        <v>3299</v>
      </c>
      <c r="T590" t="s">
        <v>2046</v>
      </c>
      <c r="U590">
        <v>0</v>
      </c>
      <c r="V590" t="s">
        <v>14</v>
      </c>
      <c r="W590" t="s">
        <v>15</v>
      </c>
      <c r="X590" t="s">
        <v>3614</v>
      </c>
      <c r="Y590" t="s">
        <v>21</v>
      </c>
      <c r="Z590">
        <v>0</v>
      </c>
      <c r="AA590" t="s">
        <v>18</v>
      </c>
    </row>
    <row r="591" spans="1:27" x14ac:dyDescent="0.3">
      <c r="A591" t="s">
        <v>1222</v>
      </c>
      <c r="B591" t="s">
        <v>3205</v>
      </c>
      <c r="C591" t="s">
        <v>4297</v>
      </c>
      <c r="D591" t="s">
        <v>1224</v>
      </c>
      <c r="E591">
        <v>136</v>
      </c>
      <c r="F591" t="s">
        <v>5</v>
      </c>
      <c r="G591">
        <v>49</v>
      </c>
      <c r="H591" t="s">
        <v>6</v>
      </c>
      <c r="I591">
        <v>-90.4</v>
      </c>
      <c r="J591" t="s">
        <v>7</v>
      </c>
      <c r="K591">
        <v>-0.66470588235294104</v>
      </c>
      <c r="L591" t="s">
        <v>8</v>
      </c>
      <c r="M591">
        <v>1.3457142857142801</v>
      </c>
      <c r="N591" t="s">
        <v>9</v>
      </c>
      <c r="O591">
        <v>-1.7970114942528701</v>
      </c>
      <c r="P591" t="s">
        <v>10</v>
      </c>
      <c r="Q591">
        <v>0.45139095252163203</v>
      </c>
      <c r="R591" t="s">
        <v>11</v>
      </c>
      <c r="S591" t="s">
        <v>3552</v>
      </c>
      <c r="T591" t="s">
        <v>2783</v>
      </c>
      <c r="U591">
        <v>0</v>
      </c>
      <c r="V591" t="s">
        <v>14</v>
      </c>
      <c r="W591" t="s">
        <v>15</v>
      </c>
      <c r="X591" t="s">
        <v>3553</v>
      </c>
      <c r="Y591" t="s">
        <v>2783</v>
      </c>
      <c r="Z591">
        <v>0</v>
      </c>
      <c r="AA591" t="s">
        <v>18</v>
      </c>
    </row>
    <row r="592" spans="1:27" x14ac:dyDescent="0.3">
      <c r="A592" t="s">
        <v>1219</v>
      </c>
      <c r="B592" t="s">
        <v>3257</v>
      </c>
      <c r="C592" t="s">
        <v>4298</v>
      </c>
      <c r="D592" t="s">
        <v>1224</v>
      </c>
      <c r="E592">
        <v>169</v>
      </c>
      <c r="F592" t="s">
        <v>5</v>
      </c>
      <c r="G592">
        <v>62</v>
      </c>
      <c r="H592" t="s">
        <v>6</v>
      </c>
      <c r="I592">
        <v>-91.349999999999895</v>
      </c>
      <c r="J592" t="s">
        <v>7</v>
      </c>
      <c r="K592">
        <v>-0.54053254437869802</v>
      </c>
      <c r="L592" t="s">
        <v>8</v>
      </c>
      <c r="M592">
        <v>1.1301612903225799</v>
      </c>
      <c r="N592" t="s">
        <v>9</v>
      </c>
      <c r="O592">
        <v>-1.50859813084112</v>
      </c>
      <c r="P592" t="s">
        <v>10</v>
      </c>
      <c r="Q592">
        <v>0.35679877866881499</v>
      </c>
      <c r="R592" t="s">
        <v>11</v>
      </c>
      <c r="S592" t="s">
        <v>3386</v>
      </c>
      <c r="T592" t="s">
        <v>3030</v>
      </c>
      <c r="U592">
        <v>0</v>
      </c>
      <c r="V592" t="s">
        <v>14</v>
      </c>
      <c r="W592" t="s">
        <v>15</v>
      </c>
      <c r="X592" t="s">
        <v>3387</v>
      </c>
      <c r="Y592" t="s">
        <v>3388</v>
      </c>
      <c r="Z592">
        <v>0</v>
      </c>
      <c r="AA592" t="s">
        <v>18</v>
      </c>
    </row>
    <row r="593" spans="1:27" x14ac:dyDescent="0.3">
      <c r="A593" t="s">
        <v>3293</v>
      </c>
      <c r="B593" t="s">
        <v>3227</v>
      </c>
      <c r="C593" t="s">
        <v>4299</v>
      </c>
      <c r="D593" t="s">
        <v>1224</v>
      </c>
      <c r="E593">
        <v>335</v>
      </c>
      <c r="F593" t="s">
        <v>5</v>
      </c>
      <c r="G593">
        <v>172</v>
      </c>
      <c r="H593" t="s">
        <v>6</v>
      </c>
      <c r="I593">
        <v>-91.3599999999999</v>
      </c>
      <c r="J593" t="s">
        <v>7</v>
      </c>
      <c r="K593">
        <v>-0.27271641791044698</v>
      </c>
      <c r="L593" t="s">
        <v>8</v>
      </c>
      <c r="M593">
        <v>0.943662790697674</v>
      </c>
      <c r="N593" t="s">
        <v>9</v>
      </c>
      <c r="O593">
        <v>-1.5562576687116501</v>
      </c>
      <c r="P593" t="s">
        <v>10</v>
      </c>
      <c r="Q593">
        <v>0.57468183790862704</v>
      </c>
      <c r="R593" t="s">
        <v>11</v>
      </c>
      <c r="S593" t="s">
        <v>3628</v>
      </c>
      <c r="T593" t="s">
        <v>3629</v>
      </c>
      <c r="U593">
        <v>0</v>
      </c>
      <c r="V593" t="s">
        <v>14</v>
      </c>
      <c r="W593" t="s">
        <v>15</v>
      </c>
      <c r="X593" t="s">
        <v>3630</v>
      </c>
      <c r="Y593" t="s">
        <v>3296</v>
      </c>
      <c r="Z593">
        <v>0</v>
      </c>
      <c r="AA593" t="s">
        <v>18</v>
      </c>
    </row>
    <row r="594" spans="1:27" x14ac:dyDescent="0.3">
      <c r="A594" t="s">
        <v>1219</v>
      </c>
      <c r="B594" t="s">
        <v>3258</v>
      </c>
      <c r="C594" t="s">
        <v>4300</v>
      </c>
      <c r="D594" t="s">
        <v>1224</v>
      </c>
      <c r="E594">
        <v>169</v>
      </c>
      <c r="F594" t="s">
        <v>5</v>
      </c>
      <c r="G594">
        <v>55</v>
      </c>
      <c r="H594" t="s">
        <v>6</v>
      </c>
      <c r="I594">
        <v>-91.589999999999904</v>
      </c>
      <c r="J594" t="s">
        <v>7</v>
      </c>
      <c r="K594">
        <v>-0.54195266272189302</v>
      </c>
      <c r="L594" t="s">
        <v>8</v>
      </c>
      <c r="M594">
        <v>1.514</v>
      </c>
      <c r="N594" t="s">
        <v>9</v>
      </c>
      <c r="O594">
        <v>-1.5338596491228</v>
      </c>
      <c r="P594" t="s">
        <v>10</v>
      </c>
      <c r="Q594">
        <v>0.41577175860515198</v>
      </c>
      <c r="R594" t="s">
        <v>11</v>
      </c>
      <c r="S594" t="s">
        <v>3386</v>
      </c>
      <c r="T594" t="s">
        <v>3030</v>
      </c>
      <c r="U594">
        <v>0</v>
      </c>
      <c r="V594" t="s">
        <v>14</v>
      </c>
      <c r="W594" t="s">
        <v>15</v>
      </c>
      <c r="X594" t="s">
        <v>3431</v>
      </c>
      <c r="Y594" t="s">
        <v>3432</v>
      </c>
      <c r="Z594">
        <v>0</v>
      </c>
      <c r="AA594" t="s">
        <v>18</v>
      </c>
    </row>
    <row r="595" spans="1:27" x14ac:dyDescent="0.3">
      <c r="A595" t="s">
        <v>3293</v>
      </c>
      <c r="B595" t="s">
        <v>3210</v>
      </c>
      <c r="C595" t="s">
        <v>4301</v>
      </c>
      <c r="D595" t="s">
        <v>1224</v>
      </c>
      <c r="E595">
        <v>335</v>
      </c>
      <c r="F595" t="s">
        <v>5</v>
      </c>
      <c r="G595">
        <v>153</v>
      </c>
      <c r="H595" t="s">
        <v>6</v>
      </c>
      <c r="I595">
        <v>-91.89</v>
      </c>
      <c r="J595" t="s">
        <v>7</v>
      </c>
      <c r="K595">
        <v>-0.27429850746268603</v>
      </c>
      <c r="L595" t="s">
        <v>8</v>
      </c>
      <c r="M595">
        <v>1.55084967320261</v>
      </c>
      <c r="N595" t="s">
        <v>9</v>
      </c>
      <c r="O595">
        <v>-1.8086263736263699</v>
      </c>
      <c r="P595" t="s">
        <v>10</v>
      </c>
      <c r="Q595">
        <v>0.79205050447293501</v>
      </c>
      <c r="R595" t="s">
        <v>11</v>
      </c>
      <c r="S595" t="s">
        <v>2657</v>
      </c>
      <c r="T595" t="s">
        <v>3303</v>
      </c>
      <c r="U595">
        <v>0</v>
      </c>
      <c r="V595" t="s">
        <v>14</v>
      </c>
      <c r="W595" t="s">
        <v>15</v>
      </c>
      <c r="X595" t="s">
        <v>3669</v>
      </c>
      <c r="Y595" t="s">
        <v>832</v>
      </c>
      <c r="Z595">
        <v>0</v>
      </c>
      <c r="AA595" t="s">
        <v>18</v>
      </c>
    </row>
    <row r="596" spans="1:27" x14ac:dyDescent="0.3">
      <c r="A596" t="s">
        <v>1219</v>
      </c>
      <c r="B596" t="s">
        <v>3267</v>
      </c>
      <c r="C596" t="s">
        <v>4302</v>
      </c>
      <c r="D596" t="s">
        <v>1224</v>
      </c>
      <c r="E596">
        <v>178</v>
      </c>
      <c r="F596" t="s">
        <v>5</v>
      </c>
      <c r="G596">
        <v>27</v>
      </c>
      <c r="H596" t="s">
        <v>6</v>
      </c>
      <c r="I596">
        <v>-91.98</v>
      </c>
      <c r="J596" t="s">
        <v>7</v>
      </c>
      <c r="K596">
        <v>-0.51674157303370705</v>
      </c>
      <c r="L596" t="s">
        <v>8</v>
      </c>
      <c r="M596">
        <v>5.8188888888888801</v>
      </c>
      <c r="N596" t="s">
        <v>9</v>
      </c>
      <c r="O596">
        <v>-1.64960264900662</v>
      </c>
      <c r="P596" t="s">
        <v>10</v>
      </c>
      <c r="Q596">
        <v>0.81998558646185205</v>
      </c>
      <c r="R596" t="s">
        <v>11</v>
      </c>
      <c r="S596" t="s">
        <v>1387</v>
      </c>
      <c r="T596" t="s">
        <v>2046</v>
      </c>
      <c r="U596">
        <v>0</v>
      </c>
      <c r="V596" t="s">
        <v>14</v>
      </c>
      <c r="W596" t="s">
        <v>15</v>
      </c>
      <c r="X596" t="s">
        <v>3438</v>
      </c>
      <c r="Y596" t="s">
        <v>2644</v>
      </c>
      <c r="Z596">
        <v>0</v>
      </c>
      <c r="AA596" t="s">
        <v>18</v>
      </c>
    </row>
    <row r="597" spans="1:27" x14ac:dyDescent="0.3">
      <c r="A597" t="s">
        <v>1223</v>
      </c>
      <c r="B597" t="s">
        <v>3218</v>
      </c>
      <c r="C597" t="s">
        <v>4303</v>
      </c>
      <c r="D597" t="s">
        <v>1224</v>
      </c>
      <c r="E597">
        <v>370</v>
      </c>
      <c r="F597" t="s">
        <v>5</v>
      </c>
      <c r="G597">
        <v>130</v>
      </c>
      <c r="H597" t="s">
        <v>6</v>
      </c>
      <c r="I597">
        <v>-92.098693783102206</v>
      </c>
      <c r="J597" t="s">
        <v>7</v>
      </c>
      <c r="K597">
        <v>-0.24891538860297899</v>
      </c>
      <c r="L597" t="s">
        <v>8</v>
      </c>
      <c r="M597">
        <v>2.7858432311165902</v>
      </c>
      <c r="N597" t="s">
        <v>9</v>
      </c>
      <c r="O597">
        <v>-1.89274297428441</v>
      </c>
      <c r="P597" t="s">
        <v>10</v>
      </c>
      <c r="Q597">
        <v>1.31258529343436</v>
      </c>
      <c r="R597" t="s">
        <v>11</v>
      </c>
      <c r="S597" t="s">
        <v>3621</v>
      </c>
      <c r="T597" t="s">
        <v>2186</v>
      </c>
      <c r="U597">
        <v>0</v>
      </c>
      <c r="V597" t="s">
        <v>14</v>
      </c>
      <c r="W597" t="s">
        <v>15</v>
      </c>
      <c r="X597" t="s">
        <v>3622</v>
      </c>
      <c r="Y597" t="s">
        <v>2186</v>
      </c>
      <c r="Z597">
        <v>0</v>
      </c>
      <c r="AA597" t="s">
        <v>18</v>
      </c>
    </row>
    <row r="598" spans="1:27" x14ac:dyDescent="0.3">
      <c r="A598" t="s">
        <v>1222</v>
      </c>
      <c r="B598" t="s">
        <v>3237</v>
      </c>
      <c r="C598" t="s">
        <v>4304</v>
      </c>
      <c r="D598" t="s">
        <v>1224</v>
      </c>
      <c r="E598">
        <v>127</v>
      </c>
      <c r="F598" t="s">
        <v>5</v>
      </c>
      <c r="G598">
        <v>42</v>
      </c>
      <c r="H598" t="s">
        <v>6</v>
      </c>
      <c r="I598">
        <v>-92.396886577426201</v>
      </c>
      <c r="J598" t="s">
        <v>7</v>
      </c>
      <c r="K598">
        <v>-0.72753453997973405</v>
      </c>
      <c r="L598" t="s">
        <v>8</v>
      </c>
      <c r="M598">
        <v>1.08645288837308</v>
      </c>
      <c r="N598" t="s">
        <v>9</v>
      </c>
      <c r="O598">
        <v>-1.62385773987171</v>
      </c>
      <c r="P598" t="s">
        <v>10</v>
      </c>
      <c r="Q598">
        <v>0.50925479698213705</v>
      </c>
      <c r="R598" t="s">
        <v>11</v>
      </c>
      <c r="S598" t="s">
        <v>3512</v>
      </c>
      <c r="T598" t="s">
        <v>1232</v>
      </c>
      <c r="U598">
        <v>0</v>
      </c>
      <c r="V598" t="s">
        <v>14</v>
      </c>
      <c r="W598" t="s">
        <v>15</v>
      </c>
      <c r="X598" t="s">
        <v>3575</v>
      </c>
      <c r="Y598" t="s">
        <v>2793</v>
      </c>
      <c r="Z598">
        <v>0</v>
      </c>
      <c r="AA598" t="s">
        <v>18</v>
      </c>
    </row>
    <row r="599" spans="1:27" x14ac:dyDescent="0.3">
      <c r="A599" t="s">
        <v>1223</v>
      </c>
      <c r="B599" t="s">
        <v>3279</v>
      </c>
      <c r="C599" t="s">
        <v>4305</v>
      </c>
      <c r="D599" t="s">
        <v>1224</v>
      </c>
      <c r="E599">
        <v>375</v>
      </c>
      <c r="F599" t="s">
        <v>5</v>
      </c>
      <c r="G599">
        <v>168</v>
      </c>
      <c r="H599" t="s">
        <v>6</v>
      </c>
      <c r="I599">
        <v>-93.47</v>
      </c>
      <c r="J599" t="s">
        <v>7</v>
      </c>
      <c r="K599">
        <v>-0.24925333333333299</v>
      </c>
      <c r="L599" t="s">
        <v>8</v>
      </c>
      <c r="M599">
        <v>1.74416666666666</v>
      </c>
      <c r="N599" t="s">
        <v>9</v>
      </c>
      <c r="O599">
        <v>-1.8671014492753599</v>
      </c>
      <c r="P599" t="s">
        <v>10</v>
      </c>
      <c r="Q599">
        <v>1.4688876712504699</v>
      </c>
      <c r="R599" t="s">
        <v>11</v>
      </c>
      <c r="S599" t="s">
        <v>3664</v>
      </c>
      <c r="T599" t="s">
        <v>2631</v>
      </c>
      <c r="U599">
        <v>0</v>
      </c>
      <c r="V599" t="s">
        <v>14</v>
      </c>
      <c r="W599" t="s">
        <v>15</v>
      </c>
      <c r="X599" t="s">
        <v>3661</v>
      </c>
      <c r="Y599" t="s">
        <v>832</v>
      </c>
      <c r="Z599">
        <v>0</v>
      </c>
      <c r="AA599" t="s">
        <v>18</v>
      </c>
    </row>
    <row r="600" spans="1:27" x14ac:dyDescent="0.3">
      <c r="A600" t="s">
        <v>1223</v>
      </c>
      <c r="B600" t="s">
        <v>3285</v>
      </c>
      <c r="C600" t="s">
        <v>4306</v>
      </c>
      <c r="D600" t="s">
        <v>1224</v>
      </c>
      <c r="E600">
        <v>376</v>
      </c>
      <c r="F600" t="s">
        <v>5</v>
      </c>
      <c r="G600">
        <v>132</v>
      </c>
      <c r="H600" t="s">
        <v>6</v>
      </c>
      <c r="I600">
        <v>-95.1304384000548</v>
      </c>
      <c r="J600" t="s">
        <v>7</v>
      </c>
      <c r="K600">
        <v>-0.25300648510652801</v>
      </c>
      <c r="L600" t="s">
        <v>8</v>
      </c>
      <c r="M600">
        <v>2.6287878787878798</v>
      </c>
      <c r="N600" t="s">
        <v>9</v>
      </c>
      <c r="O600">
        <v>-1.81200999344284</v>
      </c>
      <c r="P600" t="s">
        <v>10</v>
      </c>
      <c r="Q600">
        <v>1.60603897071423</v>
      </c>
      <c r="R600" t="s">
        <v>11</v>
      </c>
      <c r="S600" t="s">
        <v>2942</v>
      </c>
      <c r="T600" t="s">
        <v>811</v>
      </c>
      <c r="U600">
        <v>0</v>
      </c>
      <c r="V600" t="s">
        <v>14</v>
      </c>
      <c r="W600" t="s">
        <v>15</v>
      </c>
      <c r="X600" t="s">
        <v>3666</v>
      </c>
      <c r="Y600" t="s">
        <v>2857</v>
      </c>
      <c r="Z600">
        <v>0</v>
      </c>
      <c r="AA600" t="s">
        <v>18</v>
      </c>
    </row>
    <row r="601" spans="1:27" x14ac:dyDescent="0.3">
      <c r="A601" t="s">
        <v>1223</v>
      </c>
      <c r="B601" t="s">
        <v>3210</v>
      </c>
      <c r="C601" t="s">
        <v>4307</v>
      </c>
      <c r="D601" t="s">
        <v>1224</v>
      </c>
      <c r="E601">
        <v>376</v>
      </c>
      <c r="F601" t="s">
        <v>5</v>
      </c>
      <c r="G601">
        <v>171</v>
      </c>
      <c r="H601" t="s">
        <v>6</v>
      </c>
      <c r="I601">
        <v>-95.162818520093097</v>
      </c>
      <c r="J601" t="s">
        <v>7</v>
      </c>
      <c r="K601">
        <v>-0.253092602447056</v>
      </c>
      <c r="L601" t="s">
        <v>8</v>
      </c>
      <c r="M601">
        <v>1.6874688975433101</v>
      </c>
      <c r="N601" t="s">
        <v>9</v>
      </c>
      <c r="O601">
        <v>-1.8718048780487699</v>
      </c>
      <c r="P601" t="s">
        <v>10</v>
      </c>
      <c r="Q601">
        <v>0.94474694550051397</v>
      </c>
      <c r="R601" t="s">
        <v>11</v>
      </c>
      <c r="S601" t="s">
        <v>3299</v>
      </c>
      <c r="T601" t="s">
        <v>2046</v>
      </c>
      <c r="U601">
        <v>0</v>
      </c>
      <c r="V601" t="s">
        <v>14</v>
      </c>
      <c r="W601" t="s">
        <v>15</v>
      </c>
      <c r="X601" t="s">
        <v>3613</v>
      </c>
      <c r="Y601" t="s">
        <v>21</v>
      </c>
      <c r="Z601">
        <v>0</v>
      </c>
      <c r="AA601" t="s">
        <v>18</v>
      </c>
    </row>
    <row r="602" spans="1:27" x14ac:dyDescent="0.3">
      <c r="A602" t="s">
        <v>1223</v>
      </c>
      <c r="B602" t="s">
        <v>3249</v>
      </c>
      <c r="C602" t="s">
        <v>4308</v>
      </c>
      <c r="D602" t="s">
        <v>1224</v>
      </c>
      <c r="E602">
        <v>376</v>
      </c>
      <c r="F602" t="s">
        <v>5</v>
      </c>
      <c r="G602">
        <v>143</v>
      </c>
      <c r="H602" t="s">
        <v>6</v>
      </c>
      <c r="I602">
        <v>-95.6784475131264</v>
      </c>
      <c r="J602" t="s">
        <v>7</v>
      </c>
      <c r="K602">
        <v>-0.25446395615193201</v>
      </c>
      <c r="L602" t="s">
        <v>8</v>
      </c>
      <c r="M602">
        <v>1.2036363636363601</v>
      </c>
      <c r="N602" t="s">
        <v>9</v>
      </c>
      <c r="O602">
        <v>-1.1493495601421699</v>
      </c>
      <c r="P602" t="s">
        <v>10</v>
      </c>
      <c r="Q602">
        <v>0.98811644852589897</v>
      </c>
      <c r="R602" t="s">
        <v>11</v>
      </c>
      <c r="S602" t="s">
        <v>3641</v>
      </c>
      <c r="T602" t="s">
        <v>1331</v>
      </c>
      <c r="U602">
        <v>0</v>
      </c>
      <c r="V602" t="s">
        <v>14</v>
      </c>
      <c r="W602" t="s">
        <v>15</v>
      </c>
      <c r="X602" t="s">
        <v>3640</v>
      </c>
      <c r="Y602" t="s">
        <v>2071</v>
      </c>
      <c r="Z602">
        <v>0</v>
      </c>
      <c r="AA602" t="s">
        <v>18</v>
      </c>
    </row>
    <row r="603" spans="1:27" x14ac:dyDescent="0.3">
      <c r="A603" t="s">
        <v>1223</v>
      </c>
      <c r="B603" t="s">
        <v>3247</v>
      </c>
      <c r="C603" t="s">
        <v>4309</v>
      </c>
      <c r="D603" t="s">
        <v>1224</v>
      </c>
      <c r="E603">
        <v>376</v>
      </c>
      <c r="F603" t="s">
        <v>5</v>
      </c>
      <c r="G603">
        <v>153</v>
      </c>
      <c r="H603" t="s">
        <v>6</v>
      </c>
      <c r="I603">
        <v>-96.108447513126407</v>
      </c>
      <c r="J603" t="s">
        <v>7</v>
      </c>
      <c r="K603">
        <v>-0.25560757317320798</v>
      </c>
      <c r="L603" t="s">
        <v>8</v>
      </c>
      <c r="M603">
        <v>1.0444444444444401</v>
      </c>
      <c r="N603" t="s">
        <v>9</v>
      </c>
      <c r="O603">
        <v>-1.1475715135117699</v>
      </c>
      <c r="P603" t="s">
        <v>10</v>
      </c>
      <c r="Q603">
        <v>0.73251776370065502</v>
      </c>
      <c r="R603" t="s">
        <v>11</v>
      </c>
      <c r="S603" t="s">
        <v>3639</v>
      </c>
      <c r="T603" t="s">
        <v>2897</v>
      </c>
      <c r="U603">
        <v>0</v>
      </c>
      <c r="V603" t="s">
        <v>14</v>
      </c>
      <c r="W603" t="s">
        <v>15</v>
      </c>
      <c r="X603" t="s">
        <v>3636</v>
      </c>
      <c r="Y603" t="s">
        <v>3485</v>
      </c>
      <c r="Z603">
        <v>0</v>
      </c>
      <c r="AA603" t="s">
        <v>18</v>
      </c>
    </row>
    <row r="604" spans="1:27" x14ac:dyDescent="0.3">
      <c r="A604" t="s">
        <v>3293</v>
      </c>
      <c r="B604" t="s">
        <v>3226</v>
      </c>
      <c r="C604" t="s">
        <v>4310</v>
      </c>
      <c r="D604" t="s">
        <v>1224</v>
      </c>
      <c r="E604">
        <v>335</v>
      </c>
      <c r="F604" t="s">
        <v>5</v>
      </c>
      <c r="G604">
        <v>186</v>
      </c>
      <c r="H604" t="s">
        <v>6</v>
      </c>
      <c r="I604">
        <v>-96.1099999999999</v>
      </c>
      <c r="J604" t="s">
        <v>7</v>
      </c>
      <c r="K604">
        <v>-0.28689552238805899</v>
      </c>
      <c r="L604" t="s">
        <v>8</v>
      </c>
      <c r="M604">
        <v>0.727849462365591</v>
      </c>
      <c r="N604" t="s">
        <v>9</v>
      </c>
      <c r="O604">
        <v>-1.55362416107382</v>
      </c>
      <c r="P604" t="s">
        <v>10</v>
      </c>
      <c r="Q604">
        <v>0.51163822399232906</v>
      </c>
      <c r="R604" t="s">
        <v>11</v>
      </c>
      <c r="S604" t="s">
        <v>3628</v>
      </c>
      <c r="T604" t="s">
        <v>3629</v>
      </c>
      <c r="U604">
        <v>0</v>
      </c>
      <c r="V604" t="s">
        <v>14</v>
      </c>
      <c r="W604" t="s">
        <v>15</v>
      </c>
      <c r="X604" t="s">
        <v>3630</v>
      </c>
      <c r="Y604" t="s">
        <v>3296</v>
      </c>
      <c r="Z604">
        <v>0</v>
      </c>
      <c r="AA604" t="s">
        <v>18</v>
      </c>
    </row>
    <row r="605" spans="1:27" x14ac:dyDescent="0.3">
      <c r="A605" t="s">
        <v>3292</v>
      </c>
      <c r="B605" t="s">
        <v>3265</v>
      </c>
      <c r="C605" t="s">
        <v>4311</v>
      </c>
      <c r="D605" t="s">
        <v>1224</v>
      </c>
      <c r="E605">
        <v>165</v>
      </c>
      <c r="F605" t="s">
        <v>5</v>
      </c>
      <c r="G605">
        <v>33</v>
      </c>
      <c r="H605" t="s">
        <v>6</v>
      </c>
      <c r="I605">
        <v>-97.65</v>
      </c>
      <c r="J605" t="s">
        <v>7</v>
      </c>
      <c r="K605">
        <v>-0.59181818181818102</v>
      </c>
      <c r="L605" t="s">
        <v>8</v>
      </c>
      <c r="M605">
        <v>3.3775757575757499</v>
      </c>
      <c r="N605" t="s">
        <v>9</v>
      </c>
      <c r="O605">
        <v>-1.5841666666666601</v>
      </c>
      <c r="P605" t="s">
        <v>10</v>
      </c>
      <c r="Q605">
        <v>0.55692339092264298</v>
      </c>
      <c r="R605" t="s">
        <v>11</v>
      </c>
      <c r="S605" t="s">
        <v>3437</v>
      </c>
      <c r="T605" t="s">
        <v>2249</v>
      </c>
      <c r="U605">
        <v>0</v>
      </c>
      <c r="V605" t="s">
        <v>14</v>
      </c>
      <c r="W605" t="s">
        <v>15</v>
      </c>
      <c r="X605" t="s">
        <v>3492</v>
      </c>
      <c r="Y605" t="s">
        <v>2701</v>
      </c>
      <c r="Z605">
        <v>0</v>
      </c>
      <c r="AA605" t="s">
        <v>18</v>
      </c>
    </row>
    <row r="606" spans="1:27" x14ac:dyDescent="0.3">
      <c r="A606" t="s">
        <v>3293</v>
      </c>
      <c r="B606" t="s">
        <v>3244</v>
      </c>
      <c r="C606" t="s">
        <v>4312</v>
      </c>
      <c r="D606" t="s">
        <v>1224</v>
      </c>
      <c r="E606">
        <v>335</v>
      </c>
      <c r="F606" t="s">
        <v>5</v>
      </c>
      <c r="G606">
        <v>163</v>
      </c>
      <c r="H606" t="s">
        <v>6</v>
      </c>
      <c r="I606">
        <v>-98.499999999999801</v>
      </c>
      <c r="J606" t="s">
        <v>7</v>
      </c>
      <c r="K606">
        <v>-0.29402985074626797</v>
      </c>
      <c r="L606" t="s">
        <v>8</v>
      </c>
      <c r="M606">
        <v>0.59404907975460097</v>
      </c>
      <c r="N606" t="s">
        <v>9</v>
      </c>
      <c r="O606">
        <v>-1.13563953488372</v>
      </c>
      <c r="P606" t="s">
        <v>10</v>
      </c>
      <c r="Q606">
        <v>0.46120892489124898</v>
      </c>
      <c r="R606" t="s">
        <v>11</v>
      </c>
      <c r="S606" t="s">
        <v>3332</v>
      </c>
      <c r="T606" t="s">
        <v>3333</v>
      </c>
      <c r="U606">
        <v>0</v>
      </c>
      <c r="V606" t="s">
        <v>14</v>
      </c>
      <c r="W606" t="s">
        <v>15</v>
      </c>
      <c r="X606" t="s">
        <v>3636</v>
      </c>
      <c r="Y606" t="s">
        <v>3485</v>
      </c>
      <c r="Z606">
        <v>0</v>
      </c>
      <c r="AA606" t="s">
        <v>18</v>
      </c>
    </row>
    <row r="607" spans="1:27" x14ac:dyDescent="0.3">
      <c r="A607" t="s">
        <v>3293</v>
      </c>
      <c r="B607" t="s">
        <v>3283</v>
      </c>
      <c r="C607" t="s">
        <v>4313</v>
      </c>
      <c r="D607" t="s">
        <v>1224</v>
      </c>
      <c r="E607">
        <v>335</v>
      </c>
      <c r="F607" t="s">
        <v>5</v>
      </c>
      <c r="G607">
        <v>135</v>
      </c>
      <c r="H607" t="s">
        <v>6</v>
      </c>
      <c r="I607">
        <v>-98.799999999999898</v>
      </c>
      <c r="J607" t="s">
        <v>7</v>
      </c>
      <c r="K607">
        <v>-0.29492537313432798</v>
      </c>
      <c r="L607" t="s">
        <v>8</v>
      </c>
      <c r="M607">
        <v>1.8368888888888799</v>
      </c>
      <c r="N607" t="s">
        <v>9</v>
      </c>
      <c r="O607">
        <v>-1.73389999999999</v>
      </c>
      <c r="P607" t="s">
        <v>10</v>
      </c>
      <c r="Q607">
        <v>1.0322029654418201</v>
      </c>
      <c r="R607" t="s">
        <v>11</v>
      </c>
      <c r="S607" t="s">
        <v>2657</v>
      </c>
      <c r="T607" t="s">
        <v>3303</v>
      </c>
      <c r="U607">
        <v>0</v>
      </c>
      <c r="V607" t="s">
        <v>14</v>
      </c>
      <c r="W607" t="s">
        <v>15</v>
      </c>
      <c r="X607" t="s">
        <v>3660</v>
      </c>
      <c r="Y607" t="s">
        <v>832</v>
      </c>
      <c r="Z607">
        <v>0</v>
      </c>
      <c r="AA607" t="s">
        <v>18</v>
      </c>
    </row>
    <row r="608" spans="1:27" x14ac:dyDescent="0.3">
      <c r="A608" t="s">
        <v>1219</v>
      </c>
      <c r="B608" t="s">
        <v>3263</v>
      </c>
      <c r="C608" t="s">
        <v>4314</v>
      </c>
      <c r="D608" t="s">
        <v>1224</v>
      </c>
      <c r="E608">
        <v>178</v>
      </c>
      <c r="F608" t="s">
        <v>5</v>
      </c>
      <c r="G608">
        <v>57</v>
      </c>
      <c r="H608" t="s">
        <v>6</v>
      </c>
      <c r="I608">
        <v>-98.979999999999905</v>
      </c>
      <c r="J608" t="s">
        <v>7</v>
      </c>
      <c r="K608">
        <v>-0.55606741573033602</v>
      </c>
      <c r="L608" t="s">
        <v>8</v>
      </c>
      <c r="M608">
        <v>1.63333333333333</v>
      </c>
      <c r="N608" t="s">
        <v>9</v>
      </c>
      <c r="O608">
        <v>-1.5874380165289199</v>
      </c>
      <c r="P608" t="s">
        <v>10</v>
      </c>
      <c r="Q608">
        <v>0.41540063147996198</v>
      </c>
      <c r="R608" t="s">
        <v>11</v>
      </c>
      <c r="S608" t="s">
        <v>3434</v>
      </c>
      <c r="T608" t="s">
        <v>2169</v>
      </c>
      <c r="U608">
        <v>0</v>
      </c>
      <c r="V608" t="s">
        <v>14</v>
      </c>
      <c r="W608" t="s">
        <v>15</v>
      </c>
      <c r="X608" t="s">
        <v>3435</v>
      </c>
      <c r="Y608" t="s">
        <v>2169</v>
      </c>
      <c r="Z608">
        <v>0</v>
      </c>
      <c r="AA608" t="s">
        <v>18</v>
      </c>
    </row>
    <row r="609" spans="1:27" x14ac:dyDescent="0.3">
      <c r="A609" t="s">
        <v>1220</v>
      </c>
      <c r="B609" t="s">
        <v>3219</v>
      </c>
      <c r="C609" t="s">
        <v>4315</v>
      </c>
      <c r="D609" t="s">
        <v>1224</v>
      </c>
      <c r="E609">
        <v>139</v>
      </c>
      <c r="F609" t="s">
        <v>5</v>
      </c>
      <c r="G609">
        <v>38</v>
      </c>
      <c r="H609" t="s">
        <v>6</v>
      </c>
      <c r="I609">
        <v>-99.023905956549598</v>
      </c>
      <c r="J609" t="s">
        <v>7</v>
      </c>
      <c r="K609">
        <v>-0.71240220112625596</v>
      </c>
      <c r="L609" t="s">
        <v>8</v>
      </c>
      <c r="M609">
        <v>2.4890277281818198</v>
      </c>
      <c r="N609" t="s">
        <v>9</v>
      </c>
      <c r="O609">
        <v>-1.91690059037088</v>
      </c>
      <c r="P609" t="s">
        <v>10</v>
      </c>
      <c r="Q609">
        <v>0.70847958057331795</v>
      </c>
      <c r="R609" t="s">
        <v>11</v>
      </c>
      <c r="S609" t="s">
        <v>3312</v>
      </c>
      <c r="T609" t="s">
        <v>2631</v>
      </c>
      <c r="U609">
        <v>0</v>
      </c>
      <c r="V609" t="s">
        <v>14</v>
      </c>
      <c r="W609" t="s">
        <v>15</v>
      </c>
      <c r="X609" t="s">
        <v>3312</v>
      </c>
      <c r="Y609" t="s">
        <v>2631</v>
      </c>
      <c r="Z609">
        <v>0</v>
      </c>
      <c r="AA609" t="s">
        <v>18</v>
      </c>
    </row>
    <row r="610" spans="1:27" x14ac:dyDescent="0.3">
      <c r="A610" t="s">
        <v>3292</v>
      </c>
      <c r="B610" t="s">
        <v>3263</v>
      </c>
      <c r="C610" t="s">
        <v>4316</v>
      </c>
      <c r="D610" t="s">
        <v>1224</v>
      </c>
      <c r="E610">
        <v>165</v>
      </c>
      <c r="F610" t="s">
        <v>5</v>
      </c>
      <c r="G610">
        <v>49</v>
      </c>
      <c r="H610" t="s">
        <v>6</v>
      </c>
      <c r="I610">
        <v>-99.339999999999904</v>
      </c>
      <c r="J610" t="s">
        <v>7</v>
      </c>
      <c r="K610">
        <v>-0.60206060606060596</v>
      </c>
      <c r="L610" t="s">
        <v>8</v>
      </c>
      <c r="M610">
        <v>1.62959183673469</v>
      </c>
      <c r="N610" t="s">
        <v>9</v>
      </c>
      <c r="O610">
        <v>-1.5447413793103399</v>
      </c>
      <c r="P610" t="s">
        <v>10</v>
      </c>
      <c r="Q610">
        <v>0.39214670634753501</v>
      </c>
      <c r="R610" t="s">
        <v>11</v>
      </c>
      <c r="S610" t="s">
        <v>3489</v>
      </c>
      <c r="T610" t="s">
        <v>2055</v>
      </c>
      <c r="U610">
        <v>0</v>
      </c>
      <c r="V610" t="s">
        <v>14</v>
      </c>
      <c r="W610" t="s">
        <v>15</v>
      </c>
      <c r="X610" t="s">
        <v>3490</v>
      </c>
      <c r="Y610" t="s">
        <v>3389</v>
      </c>
      <c r="Z610">
        <v>0</v>
      </c>
      <c r="AA610" t="s">
        <v>18</v>
      </c>
    </row>
    <row r="611" spans="1:27" x14ac:dyDescent="0.3">
      <c r="A611" t="s">
        <v>3292</v>
      </c>
      <c r="B611" t="s">
        <v>3264</v>
      </c>
      <c r="C611" t="s">
        <v>4317</v>
      </c>
      <c r="D611" t="s">
        <v>1224</v>
      </c>
      <c r="E611">
        <v>165</v>
      </c>
      <c r="F611" t="s">
        <v>5</v>
      </c>
      <c r="G611">
        <v>41</v>
      </c>
      <c r="H611" t="s">
        <v>6</v>
      </c>
      <c r="I611">
        <v>-99.599999999999895</v>
      </c>
      <c r="J611" t="s">
        <v>7</v>
      </c>
      <c r="K611">
        <v>-0.60363636363636297</v>
      </c>
      <c r="L611" t="s">
        <v>8</v>
      </c>
      <c r="M611">
        <v>2.2904878048780399</v>
      </c>
      <c r="N611" t="s">
        <v>9</v>
      </c>
      <c r="O611">
        <v>-1.56056451612903</v>
      </c>
      <c r="P611" t="s">
        <v>10</v>
      </c>
      <c r="Q611">
        <v>0.43658018628525502</v>
      </c>
      <c r="R611" t="s">
        <v>11</v>
      </c>
      <c r="S611" t="s">
        <v>3489</v>
      </c>
      <c r="T611" t="s">
        <v>2055</v>
      </c>
      <c r="U611">
        <v>0</v>
      </c>
      <c r="V611" t="s">
        <v>14</v>
      </c>
      <c r="W611" t="s">
        <v>15</v>
      </c>
      <c r="X611" t="s">
        <v>3488</v>
      </c>
      <c r="Y611" t="s">
        <v>3491</v>
      </c>
      <c r="Z611">
        <v>0</v>
      </c>
      <c r="AA611" t="s">
        <v>18</v>
      </c>
    </row>
    <row r="612" spans="1:27" x14ac:dyDescent="0.3">
      <c r="A612" t="s">
        <v>1223</v>
      </c>
      <c r="B612" t="s">
        <v>3264</v>
      </c>
      <c r="C612" t="s">
        <v>4318</v>
      </c>
      <c r="D612" t="s">
        <v>1224</v>
      </c>
      <c r="E612">
        <v>376</v>
      </c>
      <c r="F612" t="s">
        <v>5</v>
      </c>
      <c r="G612">
        <v>111</v>
      </c>
      <c r="H612" t="s">
        <v>6</v>
      </c>
      <c r="I612">
        <v>-100.590438400054</v>
      </c>
      <c r="J612" t="s">
        <v>7</v>
      </c>
      <c r="K612">
        <v>-0.26752776170227299</v>
      </c>
      <c r="L612" t="s">
        <v>8</v>
      </c>
      <c r="M612">
        <v>2.8109095083419202</v>
      </c>
      <c r="N612" t="s">
        <v>9</v>
      </c>
      <c r="O612">
        <v>-1.5569863917962501</v>
      </c>
      <c r="P612" t="s">
        <v>10</v>
      </c>
      <c r="Q612">
        <v>1.0051525586104699</v>
      </c>
      <c r="R612" t="s">
        <v>11</v>
      </c>
      <c r="S612" t="s">
        <v>3434</v>
      </c>
      <c r="T612" t="s">
        <v>2169</v>
      </c>
      <c r="U612">
        <v>0</v>
      </c>
      <c r="V612" t="s">
        <v>14</v>
      </c>
      <c r="W612" t="s">
        <v>15</v>
      </c>
      <c r="X612" t="s">
        <v>3649</v>
      </c>
      <c r="Y612" t="s">
        <v>3650</v>
      </c>
      <c r="Z612">
        <v>0</v>
      </c>
      <c r="AA612" t="s">
        <v>18</v>
      </c>
    </row>
    <row r="613" spans="1:27" x14ac:dyDescent="0.3">
      <c r="A613" t="s">
        <v>1219</v>
      </c>
      <c r="B613" t="s">
        <v>3264</v>
      </c>
      <c r="C613" t="s">
        <v>4319</v>
      </c>
      <c r="D613" t="s">
        <v>1224</v>
      </c>
      <c r="E613">
        <v>178</v>
      </c>
      <c r="F613" t="s">
        <v>5</v>
      </c>
      <c r="G613">
        <v>46</v>
      </c>
      <c r="H613" t="s">
        <v>6</v>
      </c>
      <c r="I613">
        <v>-100.77999999999901</v>
      </c>
      <c r="J613" t="s">
        <v>7</v>
      </c>
      <c r="K613">
        <v>-0.56617977528089802</v>
      </c>
      <c r="L613" t="s">
        <v>8</v>
      </c>
      <c r="M613">
        <v>2.46</v>
      </c>
      <c r="N613" t="s">
        <v>9</v>
      </c>
      <c r="O613">
        <v>-1.6207575757575701</v>
      </c>
      <c r="P613" t="s">
        <v>10</v>
      </c>
      <c r="Q613">
        <v>0.48460572000625701</v>
      </c>
      <c r="R613" t="s">
        <v>11</v>
      </c>
      <c r="S613" t="s">
        <v>3434</v>
      </c>
      <c r="T613" t="s">
        <v>2169</v>
      </c>
      <c r="U613">
        <v>0</v>
      </c>
      <c r="V613" t="s">
        <v>14</v>
      </c>
      <c r="W613" t="s">
        <v>15</v>
      </c>
      <c r="X613" t="s">
        <v>3436</v>
      </c>
      <c r="Y613" t="s">
        <v>2169</v>
      </c>
      <c r="Z613">
        <v>0</v>
      </c>
      <c r="AA613" t="s">
        <v>18</v>
      </c>
    </row>
    <row r="614" spans="1:27" x14ac:dyDescent="0.3">
      <c r="A614" t="s">
        <v>3293</v>
      </c>
      <c r="B614" t="s">
        <v>3291</v>
      </c>
      <c r="C614" t="s">
        <v>4320</v>
      </c>
      <c r="D614" t="s">
        <v>1224</v>
      </c>
      <c r="E614">
        <v>331</v>
      </c>
      <c r="F614" t="s">
        <v>5</v>
      </c>
      <c r="G614">
        <v>64</v>
      </c>
      <c r="H614" t="s">
        <v>6</v>
      </c>
      <c r="I614">
        <v>-102.197726740588</v>
      </c>
      <c r="J614" t="s">
        <v>7</v>
      </c>
      <c r="K614">
        <v>-0.30875446145192798</v>
      </c>
      <c r="L614" t="s">
        <v>8</v>
      </c>
      <c r="M614">
        <v>5.4099548821164598</v>
      </c>
      <c r="N614" t="s">
        <v>9</v>
      </c>
      <c r="O614">
        <v>-1.67953123294397</v>
      </c>
      <c r="P614" t="s">
        <v>10</v>
      </c>
      <c r="Q614">
        <v>1.55145601128697</v>
      </c>
      <c r="R614" t="s">
        <v>11</v>
      </c>
      <c r="S614" t="s">
        <v>3512</v>
      </c>
      <c r="T614" t="s">
        <v>1232</v>
      </c>
      <c r="U614">
        <v>0</v>
      </c>
      <c r="V614" t="s">
        <v>14</v>
      </c>
      <c r="W614" t="s">
        <v>15</v>
      </c>
      <c r="X614" t="s">
        <v>3667</v>
      </c>
      <c r="Y614" t="s">
        <v>2793</v>
      </c>
      <c r="Z614">
        <v>0</v>
      </c>
      <c r="AA614" t="s">
        <v>18</v>
      </c>
    </row>
    <row r="615" spans="1:27" x14ac:dyDescent="0.3">
      <c r="A615" t="s">
        <v>3292</v>
      </c>
      <c r="B615" t="s">
        <v>3267</v>
      </c>
      <c r="C615" t="s">
        <v>4321</v>
      </c>
      <c r="D615" t="s">
        <v>1224</v>
      </c>
      <c r="E615">
        <v>165</v>
      </c>
      <c r="F615" t="s">
        <v>5</v>
      </c>
      <c r="G615">
        <v>24</v>
      </c>
      <c r="H615" t="s">
        <v>6</v>
      </c>
      <c r="I615">
        <v>-104.24</v>
      </c>
      <c r="J615" t="s">
        <v>7</v>
      </c>
      <c r="K615">
        <v>-0.63175757575757496</v>
      </c>
      <c r="L615" t="s">
        <v>8</v>
      </c>
      <c r="M615">
        <v>5.0187499999999998</v>
      </c>
      <c r="N615" t="s">
        <v>9</v>
      </c>
      <c r="O615">
        <v>-1.59354609929077</v>
      </c>
      <c r="P615" t="s">
        <v>10</v>
      </c>
      <c r="Q615">
        <v>0.74165863471653504</v>
      </c>
      <c r="R615" t="s">
        <v>11</v>
      </c>
      <c r="S615" t="s">
        <v>3493</v>
      </c>
      <c r="T615" t="s">
        <v>2711</v>
      </c>
      <c r="U615">
        <v>0</v>
      </c>
      <c r="V615" t="s">
        <v>14</v>
      </c>
      <c r="W615" t="s">
        <v>15</v>
      </c>
      <c r="X615" t="s">
        <v>3438</v>
      </c>
      <c r="Y615" t="s">
        <v>2644</v>
      </c>
      <c r="Z615">
        <v>0</v>
      </c>
      <c r="AA615" t="s">
        <v>18</v>
      </c>
    </row>
    <row r="616" spans="1:27" x14ac:dyDescent="0.3">
      <c r="A616" t="s">
        <v>1223</v>
      </c>
      <c r="B616" t="s">
        <v>3266</v>
      </c>
      <c r="C616" t="s">
        <v>4322</v>
      </c>
      <c r="D616" t="s">
        <v>1224</v>
      </c>
      <c r="E616">
        <v>376</v>
      </c>
      <c r="F616" t="s">
        <v>5</v>
      </c>
      <c r="G616">
        <v>74</v>
      </c>
      <c r="H616" t="s">
        <v>6</v>
      </c>
      <c r="I616">
        <v>-105.48420078798399</v>
      </c>
      <c r="J616" t="s">
        <v>7</v>
      </c>
      <c r="K616">
        <v>-0.28054308720208598</v>
      </c>
      <c r="L616" t="s">
        <v>8</v>
      </c>
      <c r="M616">
        <v>5.1904183165669302</v>
      </c>
      <c r="N616" t="s">
        <v>9</v>
      </c>
      <c r="O616">
        <v>-1.62110978878787</v>
      </c>
      <c r="P616" t="s">
        <v>10</v>
      </c>
      <c r="Q616">
        <v>1.48633780625903</v>
      </c>
      <c r="R616" t="s">
        <v>11</v>
      </c>
      <c r="S616" t="s">
        <v>3356</v>
      </c>
      <c r="T616" t="s">
        <v>2914</v>
      </c>
      <c r="U616">
        <v>0</v>
      </c>
      <c r="V616" t="s">
        <v>14</v>
      </c>
      <c r="W616" t="s">
        <v>15</v>
      </c>
      <c r="X616" t="s">
        <v>3356</v>
      </c>
      <c r="Y616" t="s">
        <v>2914</v>
      </c>
      <c r="Z616">
        <v>0</v>
      </c>
      <c r="AA616" t="s">
        <v>18</v>
      </c>
    </row>
    <row r="617" spans="1:27" x14ac:dyDescent="0.3">
      <c r="A617" t="s">
        <v>1223</v>
      </c>
      <c r="B617" t="s">
        <v>3263</v>
      </c>
      <c r="C617" t="s">
        <v>4323</v>
      </c>
      <c r="D617" t="s">
        <v>1224</v>
      </c>
      <c r="E617">
        <v>376</v>
      </c>
      <c r="F617" t="s">
        <v>5</v>
      </c>
      <c r="G617">
        <v>139</v>
      </c>
      <c r="H617" t="s">
        <v>6</v>
      </c>
      <c r="I617">
        <v>-105.770438400054</v>
      </c>
      <c r="J617" t="s">
        <v>7</v>
      </c>
      <c r="K617">
        <v>-0.28130435744695398</v>
      </c>
      <c r="L617" t="s">
        <v>8</v>
      </c>
      <c r="M617">
        <v>1.84187737716513</v>
      </c>
      <c r="N617" t="s">
        <v>9</v>
      </c>
      <c r="O617">
        <v>-1.52654596551058</v>
      </c>
      <c r="P617" t="s">
        <v>10</v>
      </c>
      <c r="Q617">
        <v>0.792697642593862</v>
      </c>
      <c r="R617" t="s">
        <v>11</v>
      </c>
      <c r="S617" t="s">
        <v>3434</v>
      </c>
      <c r="T617" t="s">
        <v>2169</v>
      </c>
      <c r="U617">
        <v>0</v>
      </c>
      <c r="V617" t="s">
        <v>14</v>
      </c>
      <c r="W617" t="s">
        <v>15</v>
      </c>
      <c r="X617" t="s">
        <v>3648</v>
      </c>
      <c r="Y617" t="s">
        <v>782</v>
      </c>
      <c r="Z617">
        <v>0</v>
      </c>
      <c r="AA617" t="s">
        <v>18</v>
      </c>
    </row>
    <row r="618" spans="1:27" x14ac:dyDescent="0.3">
      <c r="A618" t="s">
        <v>3293</v>
      </c>
      <c r="B618" t="s">
        <v>3284</v>
      </c>
      <c r="C618" t="s">
        <v>4324</v>
      </c>
      <c r="D618" t="s">
        <v>1224</v>
      </c>
      <c r="E618">
        <v>335</v>
      </c>
      <c r="F618" t="s">
        <v>5</v>
      </c>
      <c r="G618">
        <v>126</v>
      </c>
      <c r="H618" t="s">
        <v>6</v>
      </c>
      <c r="I618">
        <v>-106.13999999999901</v>
      </c>
      <c r="J618" t="s">
        <v>7</v>
      </c>
      <c r="K618">
        <v>-0.31683582089552198</v>
      </c>
      <c r="L618" t="s">
        <v>8</v>
      </c>
      <c r="M618">
        <v>2.04984126984127</v>
      </c>
      <c r="N618" t="s">
        <v>9</v>
      </c>
      <c r="O618">
        <v>-1.7436363636363601</v>
      </c>
      <c r="P618" t="s">
        <v>10</v>
      </c>
      <c r="Q618">
        <v>1.14617878184333</v>
      </c>
      <c r="R618" t="s">
        <v>11</v>
      </c>
      <c r="S618" t="s">
        <v>2657</v>
      </c>
      <c r="T618" t="s">
        <v>3303</v>
      </c>
      <c r="U618">
        <v>0</v>
      </c>
      <c r="V618" t="s">
        <v>14</v>
      </c>
      <c r="W618" t="s">
        <v>15</v>
      </c>
      <c r="X618" t="s">
        <v>3666</v>
      </c>
      <c r="Y618" t="s">
        <v>2857</v>
      </c>
      <c r="Z618">
        <v>0</v>
      </c>
      <c r="AA618" t="s">
        <v>18</v>
      </c>
    </row>
    <row r="619" spans="1:27" x14ac:dyDescent="0.3">
      <c r="A619" t="s">
        <v>1222</v>
      </c>
      <c r="B619" t="s">
        <v>3219</v>
      </c>
      <c r="C619" t="s">
        <v>4325</v>
      </c>
      <c r="D619" t="s">
        <v>1224</v>
      </c>
      <c r="E619">
        <v>127</v>
      </c>
      <c r="F619" t="s">
        <v>5</v>
      </c>
      <c r="G619">
        <v>35</v>
      </c>
      <c r="H619" t="s">
        <v>6</v>
      </c>
      <c r="I619">
        <v>-106.204462300074</v>
      </c>
      <c r="J619" t="s">
        <v>7</v>
      </c>
      <c r="K619">
        <v>-0.83625560866200399</v>
      </c>
      <c r="L619" t="s">
        <v>8</v>
      </c>
      <c r="M619">
        <v>2.0547939069889298</v>
      </c>
      <c r="N619" t="s">
        <v>9</v>
      </c>
      <c r="O619">
        <v>-1.93611140265964</v>
      </c>
      <c r="P619" t="s">
        <v>10</v>
      </c>
      <c r="Q619">
        <v>0.62336337091029304</v>
      </c>
      <c r="R619" t="s">
        <v>11</v>
      </c>
      <c r="S619" t="s">
        <v>3562</v>
      </c>
      <c r="T619" t="s">
        <v>1232</v>
      </c>
      <c r="U619">
        <v>0</v>
      </c>
      <c r="V619" t="s">
        <v>14</v>
      </c>
      <c r="W619" t="s">
        <v>15</v>
      </c>
      <c r="X619" t="s">
        <v>3563</v>
      </c>
      <c r="Y619" t="s">
        <v>2793</v>
      </c>
      <c r="Z619">
        <v>0</v>
      </c>
      <c r="AA619" t="s">
        <v>18</v>
      </c>
    </row>
    <row r="620" spans="1:27" x14ac:dyDescent="0.3">
      <c r="A620" t="s">
        <v>1223</v>
      </c>
      <c r="B620" t="s">
        <v>3248</v>
      </c>
      <c r="C620" t="s">
        <v>4326</v>
      </c>
      <c r="D620" t="s">
        <v>1224</v>
      </c>
      <c r="E620">
        <v>376</v>
      </c>
      <c r="F620" t="s">
        <v>5</v>
      </c>
      <c r="G620">
        <v>145</v>
      </c>
      <c r="H620" t="s">
        <v>6</v>
      </c>
      <c r="I620">
        <v>-107.648447513126</v>
      </c>
      <c r="J620" t="s">
        <v>7</v>
      </c>
      <c r="K620">
        <v>-0.28629906253491</v>
      </c>
      <c r="L620" t="s">
        <v>8</v>
      </c>
      <c r="M620">
        <v>1.08331034482758</v>
      </c>
      <c r="N620" t="s">
        <v>9</v>
      </c>
      <c r="O620">
        <v>-1.14601059529492</v>
      </c>
      <c r="P620" t="s">
        <v>10</v>
      </c>
      <c r="Q620">
        <v>0.90401531479867203</v>
      </c>
      <c r="R620" t="s">
        <v>11</v>
      </c>
      <c r="S620" t="s">
        <v>3415</v>
      </c>
      <c r="T620" t="s">
        <v>2071</v>
      </c>
      <c r="U620">
        <v>0</v>
      </c>
      <c r="V620" t="s">
        <v>14</v>
      </c>
      <c r="W620" t="s">
        <v>15</v>
      </c>
      <c r="X620" t="s">
        <v>3640</v>
      </c>
      <c r="Y620" t="s">
        <v>2071</v>
      </c>
      <c r="Z620">
        <v>0</v>
      </c>
      <c r="AA620" t="s">
        <v>18</v>
      </c>
    </row>
    <row r="621" spans="1:27" x14ac:dyDescent="0.3">
      <c r="A621" t="s">
        <v>3293</v>
      </c>
      <c r="B621" t="s">
        <v>3281</v>
      </c>
      <c r="C621" t="s">
        <v>4327</v>
      </c>
      <c r="D621" t="s">
        <v>1224</v>
      </c>
      <c r="E621">
        <v>335</v>
      </c>
      <c r="F621" t="s">
        <v>5</v>
      </c>
      <c r="G621">
        <v>161</v>
      </c>
      <c r="H621" t="s">
        <v>6</v>
      </c>
      <c r="I621">
        <v>-108.789999999999</v>
      </c>
      <c r="J621" t="s">
        <v>7</v>
      </c>
      <c r="K621">
        <v>-0.32474626865671602</v>
      </c>
      <c r="L621" t="s">
        <v>8</v>
      </c>
      <c r="M621">
        <v>1.1322981366459599</v>
      </c>
      <c r="N621" t="s">
        <v>9</v>
      </c>
      <c r="O621">
        <v>-1.6729310344827499</v>
      </c>
      <c r="P621" t="s">
        <v>10</v>
      </c>
      <c r="Q621">
        <v>0.68729852204342001</v>
      </c>
      <c r="R621" t="s">
        <v>11</v>
      </c>
      <c r="S621" t="s">
        <v>2657</v>
      </c>
      <c r="T621" t="s">
        <v>3303</v>
      </c>
      <c r="U621">
        <v>0</v>
      </c>
      <c r="V621" t="s">
        <v>14</v>
      </c>
      <c r="W621" t="s">
        <v>15</v>
      </c>
      <c r="X621" t="s">
        <v>3660</v>
      </c>
      <c r="Y621" t="s">
        <v>832</v>
      </c>
      <c r="Z621">
        <v>0</v>
      </c>
      <c r="AA621" t="s">
        <v>18</v>
      </c>
    </row>
    <row r="622" spans="1:27" x14ac:dyDescent="0.3">
      <c r="A622" t="s">
        <v>1223</v>
      </c>
      <c r="B622" t="s">
        <v>3257</v>
      </c>
      <c r="C622" t="s">
        <v>4328</v>
      </c>
      <c r="D622" t="s">
        <v>1224</v>
      </c>
      <c r="E622">
        <v>375</v>
      </c>
      <c r="F622" t="s">
        <v>5</v>
      </c>
      <c r="G622">
        <v>164</v>
      </c>
      <c r="H622" t="s">
        <v>6</v>
      </c>
      <c r="I622">
        <v>-109.519999999999</v>
      </c>
      <c r="J622" t="s">
        <v>7</v>
      </c>
      <c r="K622">
        <v>-0.292053333333333</v>
      </c>
      <c r="L622" t="s">
        <v>8</v>
      </c>
      <c r="M622">
        <v>1.29926829268292</v>
      </c>
      <c r="N622" t="s">
        <v>9</v>
      </c>
      <c r="O622">
        <v>-1.5289099526066301</v>
      </c>
      <c r="P622" t="s">
        <v>10</v>
      </c>
      <c r="Q622">
        <v>0.78895650783640803</v>
      </c>
      <c r="R622" t="s">
        <v>11</v>
      </c>
      <c r="S622" t="s">
        <v>3523</v>
      </c>
      <c r="T622" t="s">
        <v>730</v>
      </c>
      <c r="U622">
        <v>0</v>
      </c>
      <c r="V622" t="s">
        <v>14</v>
      </c>
      <c r="W622" t="s">
        <v>15</v>
      </c>
      <c r="X622" t="s">
        <v>3643</v>
      </c>
      <c r="Y622" t="s">
        <v>202</v>
      </c>
      <c r="Z622">
        <v>0</v>
      </c>
      <c r="AA622" t="s">
        <v>18</v>
      </c>
    </row>
    <row r="623" spans="1:27" x14ac:dyDescent="0.3">
      <c r="A623" t="s">
        <v>3293</v>
      </c>
      <c r="B623" t="s">
        <v>3257</v>
      </c>
      <c r="C623" t="s">
        <v>4329</v>
      </c>
      <c r="D623" t="s">
        <v>1224</v>
      </c>
      <c r="E623">
        <v>334</v>
      </c>
      <c r="F623" t="s">
        <v>5</v>
      </c>
      <c r="G623">
        <v>146</v>
      </c>
      <c r="H623" t="s">
        <v>6</v>
      </c>
      <c r="I623">
        <v>-115.379999999999</v>
      </c>
      <c r="J623" t="s">
        <v>7</v>
      </c>
      <c r="K623">
        <v>-0.34544910179640698</v>
      </c>
      <c r="L623" t="s">
        <v>8</v>
      </c>
      <c r="M623">
        <v>1.1145205479452001</v>
      </c>
      <c r="N623" t="s">
        <v>9</v>
      </c>
      <c r="O623">
        <v>-1.4792553191489299</v>
      </c>
      <c r="P623" t="s">
        <v>10</v>
      </c>
      <c r="Q623">
        <v>0.63627687963873603</v>
      </c>
      <c r="R623" t="s">
        <v>11</v>
      </c>
      <c r="S623" t="s">
        <v>3523</v>
      </c>
      <c r="T623" t="s">
        <v>730</v>
      </c>
      <c r="U623">
        <v>0</v>
      </c>
      <c r="V623" t="s">
        <v>14</v>
      </c>
      <c r="W623" t="s">
        <v>15</v>
      </c>
      <c r="X623" t="s">
        <v>3643</v>
      </c>
      <c r="Y623" t="s">
        <v>202</v>
      </c>
      <c r="Z623">
        <v>0</v>
      </c>
      <c r="AA623" t="s">
        <v>18</v>
      </c>
    </row>
    <row r="624" spans="1:27" x14ac:dyDescent="0.3">
      <c r="A624" t="s">
        <v>1223</v>
      </c>
      <c r="B624" t="s">
        <v>3213</v>
      </c>
      <c r="C624" t="s">
        <v>4330</v>
      </c>
      <c r="D624" t="s">
        <v>1224</v>
      </c>
      <c r="E624">
        <v>376</v>
      </c>
      <c r="F624" t="s">
        <v>5</v>
      </c>
      <c r="G624">
        <v>149</v>
      </c>
      <c r="H624" t="s">
        <v>6</v>
      </c>
      <c r="I624">
        <v>-116.582818520093</v>
      </c>
      <c r="J624" t="s">
        <v>7</v>
      </c>
      <c r="K624">
        <v>-0.31006068755343902</v>
      </c>
      <c r="L624" t="s">
        <v>8</v>
      </c>
      <c r="M624">
        <v>2.1307050500576401</v>
      </c>
      <c r="N624" t="s">
        <v>9</v>
      </c>
      <c r="O624">
        <v>-1.91214921135983</v>
      </c>
      <c r="P624" t="s">
        <v>10</v>
      </c>
      <c r="Q624">
        <v>1.36282685014866</v>
      </c>
      <c r="R624" t="s">
        <v>11</v>
      </c>
      <c r="S624" t="s">
        <v>3301</v>
      </c>
      <c r="T624" t="s">
        <v>2046</v>
      </c>
      <c r="U624">
        <v>0</v>
      </c>
      <c r="V624" t="s">
        <v>14</v>
      </c>
      <c r="W624" t="s">
        <v>15</v>
      </c>
      <c r="X624" t="s">
        <v>3616</v>
      </c>
      <c r="Y624" t="s">
        <v>2046</v>
      </c>
      <c r="Z624">
        <v>0</v>
      </c>
      <c r="AA624" t="s">
        <v>18</v>
      </c>
    </row>
    <row r="625" spans="1:27" x14ac:dyDescent="0.3">
      <c r="A625" t="s">
        <v>1223</v>
      </c>
      <c r="B625" t="s">
        <v>3262</v>
      </c>
      <c r="C625" t="s">
        <v>4331</v>
      </c>
      <c r="D625" t="s">
        <v>1224</v>
      </c>
      <c r="E625">
        <v>376</v>
      </c>
      <c r="F625" t="s">
        <v>5</v>
      </c>
      <c r="G625">
        <v>170</v>
      </c>
      <c r="H625" t="s">
        <v>6</v>
      </c>
      <c r="I625">
        <v>-120.66043840005401</v>
      </c>
      <c r="J625" t="s">
        <v>7</v>
      </c>
      <c r="K625">
        <v>-0.32090542127674099</v>
      </c>
      <c r="L625" t="s">
        <v>8</v>
      </c>
      <c r="M625">
        <v>1.10647620838796</v>
      </c>
      <c r="N625" t="s">
        <v>9</v>
      </c>
      <c r="O625">
        <v>-1.4988417176019799</v>
      </c>
      <c r="P625" t="s">
        <v>10</v>
      </c>
      <c r="Q625">
        <v>0.64470298978394303</v>
      </c>
      <c r="R625" t="s">
        <v>11</v>
      </c>
      <c r="S625" t="s">
        <v>3434</v>
      </c>
      <c r="T625" t="s">
        <v>2169</v>
      </c>
      <c r="U625">
        <v>0</v>
      </c>
      <c r="V625" t="s">
        <v>14</v>
      </c>
      <c r="W625" t="s">
        <v>15</v>
      </c>
      <c r="X625" t="s">
        <v>3648</v>
      </c>
      <c r="Y625" t="s">
        <v>782</v>
      </c>
      <c r="Z625">
        <v>0</v>
      </c>
      <c r="AA625" t="s">
        <v>18</v>
      </c>
    </row>
    <row r="626" spans="1:27" x14ac:dyDescent="0.3">
      <c r="A626" t="s">
        <v>1223</v>
      </c>
      <c r="B626" t="s">
        <v>3256</v>
      </c>
      <c r="C626" t="s">
        <v>4332</v>
      </c>
      <c r="D626" t="s">
        <v>1224</v>
      </c>
      <c r="E626">
        <v>375</v>
      </c>
      <c r="F626" t="s">
        <v>5</v>
      </c>
      <c r="G626">
        <v>182</v>
      </c>
      <c r="H626" t="s">
        <v>6</v>
      </c>
      <c r="I626">
        <v>-121.769999999999</v>
      </c>
      <c r="J626" t="s">
        <v>7</v>
      </c>
      <c r="K626">
        <v>-0.32471999999999901</v>
      </c>
      <c r="L626" t="s">
        <v>8</v>
      </c>
      <c r="M626">
        <v>0.94549450549450498</v>
      </c>
      <c r="N626" t="s">
        <v>9</v>
      </c>
      <c r="O626">
        <v>-1.5225388601036201</v>
      </c>
      <c r="P626" t="s">
        <v>10</v>
      </c>
      <c r="Q626">
        <v>0.66980446204912403</v>
      </c>
      <c r="R626" t="s">
        <v>11</v>
      </c>
      <c r="S626" t="s">
        <v>3523</v>
      </c>
      <c r="T626" t="s">
        <v>730</v>
      </c>
      <c r="U626">
        <v>0</v>
      </c>
      <c r="V626" t="s">
        <v>14</v>
      </c>
      <c r="W626" t="s">
        <v>15</v>
      </c>
      <c r="X626" t="s">
        <v>3642</v>
      </c>
      <c r="Y626" t="s">
        <v>2874</v>
      </c>
      <c r="Z626">
        <v>0</v>
      </c>
      <c r="AA626" t="s">
        <v>18</v>
      </c>
    </row>
    <row r="627" spans="1:27" x14ac:dyDescent="0.3">
      <c r="A627" t="s">
        <v>1143</v>
      </c>
      <c r="B627" t="s">
        <v>3215</v>
      </c>
      <c r="C627" t="s">
        <v>4333</v>
      </c>
      <c r="D627" t="s">
        <v>1224</v>
      </c>
      <c r="E627">
        <v>3062</v>
      </c>
      <c r="F627" t="s">
        <v>5</v>
      </c>
      <c r="G627">
        <v>1684</v>
      </c>
      <c r="H627" t="s">
        <v>6</v>
      </c>
      <c r="I627">
        <v>-122.52417991588101</v>
      </c>
      <c r="J627" t="s">
        <v>7</v>
      </c>
      <c r="K627">
        <v>-4.0014428450647101E-2</v>
      </c>
      <c r="L627" t="s">
        <v>8</v>
      </c>
      <c r="M627">
        <v>1.4598167571215299</v>
      </c>
      <c r="N627" t="s">
        <v>9</v>
      </c>
      <c r="O627">
        <v>-1.87425969419648</v>
      </c>
      <c r="P627" t="s">
        <v>10</v>
      </c>
      <c r="Q627">
        <v>3.31235568215939</v>
      </c>
      <c r="R627" t="s">
        <v>11</v>
      </c>
      <c r="S627" t="s">
        <v>3308</v>
      </c>
      <c r="T627" t="s">
        <v>2602</v>
      </c>
      <c r="U627">
        <v>0</v>
      </c>
      <c r="V627" t="s">
        <v>14</v>
      </c>
      <c r="W627" t="s">
        <v>15</v>
      </c>
      <c r="X627" t="s">
        <v>3310</v>
      </c>
      <c r="Y627" t="s">
        <v>3303</v>
      </c>
      <c r="Z627">
        <v>0</v>
      </c>
      <c r="AA627" t="s">
        <v>18</v>
      </c>
    </row>
    <row r="628" spans="1:27" x14ac:dyDescent="0.3">
      <c r="A628" t="s">
        <v>3293</v>
      </c>
      <c r="B628" t="s">
        <v>3256</v>
      </c>
      <c r="C628" t="s">
        <v>4334</v>
      </c>
      <c r="D628" t="s">
        <v>1224</v>
      </c>
      <c r="E628">
        <v>334</v>
      </c>
      <c r="F628" t="s">
        <v>5</v>
      </c>
      <c r="G628">
        <v>160</v>
      </c>
      <c r="H628" t="s">
        <v>6</v>
      </c>
      <c r="I628">
        <v>-125.379999999999</v>
      </c>
      <c r="J628" t="s">
        <v>7</v>
      </c>
      <c r="K628">
        <v>-0.37538922155688598</v>
      </c>
      <c r="L628" t="s">
        <v>8</v>
      </c>
      <c r="M628">
        <v>0.82350000000000001</v>
      </c>
      <c r="N628" t="s">
        <v>9</v>
      </c>
      <c r="O628">
        <v>-1.47781609195402</v>
      </c>
      <c r="P628" t="s">
        <v>10</v>
      </c>
      <c r="Q628">
        <v>0.54785357024817405</v>
      </c>
      <c r="R628" t="s">
        <v>11</v>
      </c>
      <c r="S628" t="s">
        <v>3523</v>
      </c>
      <c r="T628" t="s">
        <v>730</v>
      </c>
      <c r="U628">
        <v>0</v>
      </c>
      <c r="V628" t="s">
        <v>14</v>
      </c>
      <c r="W628" t="s">
        <v>15</v>
      </c>
      <c r="X628" t="s">
        <v>3642</v>
      </c>
      <c r="Y628" t="s">
        <v>2874</v>
      </c>
      <c r="Z628">
        <v>0</v>
      </c>
      <c r="AA628" t="s">
        <v>18</v>
      </c>
    </row>
    <row r="629" spans="1:27" x14ac:dyDescent="0.3">
      <c r="A629" t="s">
        <v>1143</v>
      </c>
      <c r="B629" t="s">
        <v>3250</v>
      </c>
      <c r="C629" t="s">
        <v>4335</v>
      </c>
      <c r="D629" t="s">
        <v>1224</v>
      </c>
      <c r="E629">
        <v>3062</v>
      </c>
      <c r="F629" t="s">
        <v>5</v>
      </c>
      <c r="G629">
        <v>1824</v>
      </c>
      <c r="H629" t="s">
        <v>6</v>
      </c>
      <c r="I629">
        <v>-125.985813456931</v>
      </c>
      <c r="J629" t="s">
        <v>7</v>
      </c>
      <c r="K629">
        <v>-4.1144942343870401E-2</v>
      </c>
      <c r="L629" t="s">
        <v>8</v>
      </c>
      <c r="M629">
        <v>0.75305613207910505</v>
      </c>
      <c r="N629" t="s">
        <v>9</v>
      </c>
      <c r="O629">
        <v>-1.2152027539458801</v>
      </c>
      <c r="P629" t="s">
        <v>10</v>
      </c>
      <c r="Q629">
        <v>2.21070312032478</v>
      </c>
      <c r="R629" t="s">
        <v>11</v>
      </c>
      <c r="S629" t="s">
        <v>3338</v>
      </c>
      <c r="T629" t="s">
        <v>3091</v>
      </c>
      <c r="U629">
        <v>0</v>
      </c>
      <c r="V629" t="s">
        <v>14</v>
      </c>
      <c r="W629" t="s">
        <v>15</v>
      </c>
      <c r="X629" t="s">
        <v>3339</v>
      </c>
      <c r="Y629" t="s">
        <v>3091</v>
      </c>
      <c r="Z629">
        <v>0</v>
      </c>
      <c r="AA629" t="s">
        <v>18</v>
      </c>
    </row>
    <row r="630" spans="1:27" x14ac:dyDescent="0.3">
      <c r="A630" t="s">
        <v>3293</v>
      </c>
      <c r="B630" t="s">
        <v>3262</v>
      </c>
      <c r="C630" t="s">
        <v>4336</v>
      </c>
      <c r="D630" t="s">
        <v>1224</v>
      </c>
      <c r="E630">
        <v>335</v>
      </c>
      <c r="F630" t="s">
        <v>5</v>
      </c>
      <c r="G630">
        <v>146</v>
      </c>
      <c r="H630" t="s">
        <v>6</v>
      </c>
      <c r="I630">
        <v>-127.52</v>
      </c>
      <c r="J630" t="s">
        <v>7</v>
      </c>
      <c r="K630">
        <v>-0.38065671641790999</v>
      </c>
      <c r="L630" t="s">
        <v>8</v>
      </c>
      <c r="M630">
        <v>0.97260273972602695</v>
      </c>
      <c r="N630" t="s">
        <v>9</v>
      </c>
      <c r="O630">
        <v>-1.42603174603174</v>
      </c>
      <c r="P630" t="s">
        <v>10</v>
      </c>
      <c r="Q630">
        <v>0.53472190824138699</v>
      </c>
      <c r="R630" t="s">
        <v>11</v>
      </c>
      <c r="S630" t="s">
        <v>3676</v>
      </c>
      <c r="T630" t="s">
        <v>782</v>
      </c>
      <c r="U630">
        <v>0</v>
      </c>
      <c r="V630" t="s">
        <v>14</v>
      </c>
      <c r="W630" t="s">
        <v>15</v>
      </c>
      <c r="X630" t="s">
        <v>3648</v>
      </c>
      <c r="Y630" t="s">
        <v>782</v>
      </c>
      <c r="Z630">
        <v>0</v>
      </c>
      <c r="AA630" t="s">
        <v>18</v>
      </c>
    </row>
    <row r="631" spans="1:27" x14ac:dyDescent="0.3">
      <c r="A631" t="s">
        <v>1223</v>
      </c>
      <c r="B631" t="s">
        <v>3237</v>
      </c>
      <c r="C631" t="s">
        <v>4337</v>
      </c>
      <c r="D631" t="s">
        <v>1224</v>
      </c>
      <c r="E631">
        <v>370</v>
      </c>
      <c r="F631" t="s">
        <v>5</v>
      </c>
      <c r="G631">
        <v>141</v>
      </c>
      <c r="H631" t="s">
        <v>6</v>
      </c>
      <c r="I631">
        <v>-130.477503015888</v>
      </c>
      <c r="J631" t="s">
        <v>7</v>
      </c>
      <c r="K631">
        <v>-0.35264190004294199</v>
      </c>
      <c r="L631" t="s">
        <v>8</v>
      </c>
      <c r="M631">
        <v>1.9140075268529899</v>
      </c>
      <c r="N631" t="s">
        <v>9</v>
      </c>
      <c r="O631">
        <v>-1.7482644729351899</v>
      </c>
      <c r="P631" t="s">
        <v>10</v>
      </c>
      <c r="Q631">
        <v>1.3219837890380599</v>
      </c>
      <c r="R631" t="s">
        <v>11</v>
      </c>
      <c r="S631" t="s">
        <v>3512</v>
      </c>
      <c r="T631" t="s">
        <v>1232</v>
      </c>
      <c r="U631">
        <v>0</v>
      </c>
      <c r="V631" t="s">
        <v>14</v>
      </c>
      <c r="W631" t="s">
        <v>15</v>
      </c>
      <c r="X631" t="s">
        <v>3634</v>
      </c>
      <c r="Y631" t="s">
        <v>3635</v>
      </c>
      <c r="Z631">
        <v>0</v>
      </c>
      <c r="AA631" t="s">
        <v>18</v>
      </c>
    </row>
    <row r="632" spans="1:27" x14ac:dyDescent="0.3">
      <c r="A632" t="s">
        <v>3293</v>
      </c>
      <c r="B632" t="s">
        <v>3264</v>
      </c>
      <c r="C632" t="s">
        <v>4338</v>
      </c>
      <c r="D632" t="s">
        <v>1224</v>
      </c>
      <c r="E632">
        <v>335</v>
      </c>
      <c r="F632" t="s">
        <v>5</v>
      </c>
      <c r="G632">
        <v>94</v>
      </c>
      <c r="H632" t="s">
        <v>6</v>
      </c>
      <c r="I632">
        <v>-132.01</v>
      </c>
      <c r="J632" t="s">
        <v>7</v>
      </c>
      <c r="K632">
        <v>-0.394059701492537</v>
      </c>
      <c r="L632" t="s">
        <v>8</v>
      </c>
      <c r="M632">
        <v>2.4210638297872298</v>
      </c>
      <c r="N632" t="s">
        <v>9</v>
      </c>
      <c r="O632">
        <v>-1.49207468879668</v>
      </c>
      <c r="P632" t="s">
        <v>10</v>
      </c>
      <c r="Q632">
        <v>0.80032865158425903</v>
      </c>
      <c r="R632" t="s">
        <v>11</v>
      </c>
      <c r="S632" t="s">
        <v>3676</v>
      </c>
      <c r="T632" t="s">
        <v>782</v>
      </c>
      <c r="U632">
        <v>0</v>
      </c>
      <c r="V632" t="s">
        <v>14</v>
      </c>
      <c r="W632" t="s">
        <v>15</v>
      </c>
      <c r="X632" t="s">
        <v>3648</v>
      </c>
      <c r="Y632" t="s">
        <v>782</v>
      </c>
      <c r="Z632">
        <v>0</v>
      </c>
      <c r="AA632" t="s">
        <v>18</v>
      </c>
    </row>
    <row r="633" spans="1:27" x14ac:dyDescent="0.3">
      <c r="A633" t="s">
        <v>1223</v>
      </c>
      <c r="B633" t="s">
        <v>3291</v>
      </c>
      <c r="C633" t="s">
        <v>4339</v>
      </c>
      <c r="D633" t="s">
        <v>1224</v>
      </c>
      <c r="E633">
        <v>370</v>
      </c>
      <c r="F633" t="s">
        <v>5</v>
      </c>
      <c r="G633">
        <v>69</v>
      </c>
      <c r="H633" t="s">
        <v>6</v>
      </c>
      <c r="I633">
        <v>-132.23218395374101</v>
      </c>
      <c r="J633" t="s">
        <v>7</v>
      </c>
      <c r="K633">
        <v>-0.35738428095605901</v>
      </c>
      <c r="L633" t="s">
        <v>8</v>
      </c>
      <c r="M633">
        <v>5.8598610417388004</v>
      </c>
      <c r="N633" t="s">
        <v>9</v>
      </c>
      <c r="O633">
        <v>-1.78259998615853</v>
      </c>
      <c r="P633" t="s">
        <v>10</v>
      </c>
      <c r="Q633">
        <v>1.8108894679433201</v>
      </c>
      <c r="R633" t="s">
        <v>11</v>
      </c>
      <c r="S633" t="s">
        <v>3379</v>
      </c>
      <c r="T633" t="s">
        <v>2198</v>
      </c>
      <c r="U633">
        <v>0</v>
      </c>
      <c r="V633" t="s">
        <v>14</v>
      </c>
      <c r="W633" t="s">
        <v>15</v>
      </c>
      <c r="X633" t="s">
        <v>3667</v>
      </c>
      <c r="Y633" t="s">
        <v>2793</v>
      </c>
      <c r="Z633">
        <v>0</v>
      </c>
      <c r="AA633" t="s">
        <v>18</v>
      </c>
    </row>
    <row r="634" spans="1:27" x14ac:dyDescent="0.3">
      <c r="A634" t="s">
        <v>1143</v>
      </c>
      <c r="B634" t="s">
        <v>3270</v>
      </c>
      <c r="C634" t="s">
        <v>4340</v>
      </c>
      <c r="D634" t="s">
        <v>1224</v>
      </c>
      <c r="E634">
        <v>3062</v>
      </c>
      <c r="F634" t="s">
        <v>5</v>
      </c>
      <c r="G634">
        <v>1042</v>
      </c>
      <c r="H634" t="s">
        <v>6</v>
      </c>
      <c r="I634">
        <v>-135.29335366366101</v>
      </c>
      <c r="J634" t="s">
        <v>7</v>
      </c>
      <c r="K634">
        <v>-4.4184635422489002E-2</v>
      </c>
      <c r="L634" t="s">
        <v>8</v>
      </c>
      <c r="M634">
        <v>3.2812858045361502</v>
      </c>
      <c r="N634" t="s">
        <v>9</v>
      </c>
      <c r="O634">
        <v>-1.7596005752427299</v>
      </c>
      <c r="P634" t="s">
        <v>10</v>
      </c>
      <c r="Q634">
        <v>4.6875849221541204</v>
      </c>
      <c r="R634" t="s">
        <v>11</v>
      </c>
      <c r="S634" t="s">
        <v>3359</v>
      </c>
      <c r="T634" t="s">
        <v>2542</v>
      </c>
      <c r="U634">
        <v>0</v>
      </c>
      <c r="V634" t="s">
        <v>14</v>
      </c>
      <c r="W634" t="s">
        <v>15</v>
      </c>
      <c r="X634" t="s">
        <v>3363</v>
      </c>
      <c r="Y634" t="s">
        <v>3364</v>
      </c>
      <c r="Z634">
        <v>0</v>
      </c>
      <c r="AA634" t="s">
        <v>18</v>
      </c>
    </row>
    <row r="635" spans="1:27" x14ac:dyDescent="0.3">
      <c r="A635" t="s">
        <v>1223</v>
      </c>
      <c r="B635" t="s">
        <v>3219</v>
      </c>
      <c r="C635" t="s">
        <v>4341</v>
      </c>
      <c r="D635" t="s">
        <v>1224</v>
      </c>
      <c r="E635">
        <v>370</v>
      </c>
      <c r="F635" t="s">
        <v>5</v>
      </c>
      <c r="G635">
        <v>120</v>
      </c>
      <c r="H635" t="s">
        <v>6</v>
      </c>
      <c r="I635">
        <v>-136.13827505624701</v>
      </c>
      <c r="J635" t="s">
        <v>7</v>
      </c>
      <c r="K635">
        <v>-0.367941283935803</v>
      </c>
      <c r="L635" t="s">
        <v>8</v>
      </c>
      <c r="M635">
        <v>2.84188810450053</v>
      </c>
      <c r="N635" t="s">
        <v>9</v>
      </c>
      <c r="O635">
        <v>-1.90865939038524</v>
      </c>
      <c r="P635" t="s">
        <v>10</v>
      </c>
      <c r="Q635">
        <v>1.4897051062195801</v>
      </c>
      <c r="R635" t="s">
        <v>11</v>
      </c>
      <c r="S635" t="s">
        <v>3621</v>
      </c>
      <c r="T635" t="s">
        <v>2186</v>
      </c>
      <c r="U635">
        <v>0</v>
      </c>
      <c r="V635" t="s">
        <v>14</v>
      </c>
      <c r="W635" t="s">
        <v>15</v>
      </c>
      <c r="X635" t="s">
        <v>3622</v>
      </c>
      <c r="Y635" t="s">
        <v>2186</v>
      </c>
      <c r="Z635">
        <v>0</v>
      </c>
      <c r="AA635" t="s">
        <v>18</v>
      </c>
    </row>
    <row r="636" spans="1:27" x14ac:dyDescent="0.3">
      <c r="A636" t="s">
        <v>3293</v>
      </c>
      <c r="B636" t="s">
        <v>3263</v>
      </c>
      <c r="C636" t="s">
        <v>4342</v>
      </c>
      <c r="D636" t="s">
        <v>1224</v>
      </c>
      <c r="E636">
        <v>335</v>
      </c>
      <c r="F636" t="s">
        <v>5</v>
      </c>
      <c r="G636">
        <v>118</v>
      </c>
      <c r="H636" t="s">
        <v>6</v>
      </c>
      <c r="I636">
        <v>-137.78</v>
      </c>
      <c r="J636" t="s">
        <v>7</v>
      </c>
      <c r="K636">
        <v>-0.41128358208955201</v>
      </c>
      <c r="L636" t="s">
        <v>8</v>
      </c>
      <c r="M636">
        <v>1.5216949152542301</v>
      </c>
      <c r="N636" t="s">
        <v>9</v>
      </c>
      <c r="O636">
        <v>-1.4623963133640501</v>
      </c>
      <c r="P636" t="s">
        <v>10</v>
      </c>
      <c r="Q636">
        <v>0.63306777131703895</v>
      </c>
      <c r="R636" t="s">
        <v>11</v>
      </c>
      <c r="S636" t="s">
        <v>3676</v>
      </c>
      <c r="T636" t="s">
        <v>782</v>
      </c>
      <c r="U636">
        <v>0</v>
      </c>
      <c r="V636" t="s">
        <v>14</v>
      </c>
      <c r="W636" t="s">
        <v>15</v>
      </c>
      <c r="X636" t="s">
        <v>3648</v>
      </c>
      <c r="Y636" t="s">
        <v>782</v>
      </c>
      <c r="Z636">
        <v>0</v>
      </c>
      <c r="AA636" t="s">
        <v>18</v>
      </c>
    </row>
    <row r="637" spans="1:27" x14ac:dyDescent="0.3">
      <c r="A637" t="s">
        <v>1143</v>
      </c>
      <c r="B637" t="s">
        <v>3271</v>
      </c>
      <c r="C637" t="s">
        <v>4343</v>
      </c>
      <c r="D637" t="s">
        <v>1224</v>
      </c>
      <c r="E637">
        <v>3062</v>
      </c>
      <c r="F637" t="s">
        <v>5</v>
      </c>
      <c r="G637">
        <v>709</v>
      </c>
      <c r="H637" t="s">
        <v>6</v>
      </c>
      <c r="I637">
        <v>-148.98253913075601</v>
      </c>
      <c r="J637" t="s">
        <v>7</v>
      </c>
      <c r="K637">
        <v>-4.8655303439175901E-2</v>
      </c>
      <c r="L637" t="s">
        <v>8</v>
      </c>
      <c r="M637">
        <v>5.6899813154076204</v>
      </c>
      <c r="N637" t="s">
        <v>9</v>
      </c>
      <c r="O637">
        <v>-1.77780675382693</v>
      </c>
      <c r="P637" t="s">
        <v>10</v>
      </c>
      <c r="Q637">
        <v>6.4964010141215596</v>
      </c>
      <c r="R637" t="s">
        <v>11</v>
      </c>
      <c r="S637" t="s">
        <v>3354</v>
      </c>
      <c r="T637" t="s">
        <v>2693</v>
      </c>
      <c r="U637">
        <v>0</v>
      </c>
      <c r="V637" t="s">
        <v>14</v>
      </c>
      <c r="W637" t="s">
        <v>15</v>
      </c>
      <c r="X637" t="s">
        <v>3365</v>
      </c>
      <c r="Y637" t="s">
        <v>2693</v>
      </c>
      <c r="Z637">
        <v>0</v>
      </c>
      <c r="AA637" t="s">
        <v>18</v>
      </c>
    </row>
    <row r="638" spans="1:27" x14ac:dyDescent="0.3">
      <c r="A638" t="s">
        <v>1143</v>
      </c>
      <c r="B638" t="s">
        <v>3252</v>
      </c>
      <c r="C638" t="s">
        <v>4344</v>
      </c>
      <c r="D638" t="s">
        <v>1224</v>
      </c>
      <c r="E638">
        <v>3062</v>
      </c>
      <c r="F638" t="s">
        <v>5</v>
      </c>
      <c r="G638">
        <v>1473</v>
      </c>
      <c r="H638" t="s">
        <v>6</v>
      </c>
      <c r="I638">
        <v>-149.96353606555701</v>
      </c>
      <c r="J638" t="s">
        <v>7</v>
      </c>
      <c r="K638">
        <v>-4.8975681275492199E-2</v>
      </c>
      <c r="L638" t="s">
        <v>8</v>
      </c>
      <c r="M638">
        <v>1.24716233729028</v>
      </c>
      <c r="N638" t="s">
        <v>9</v>
      </c>
      <c r="O638">
        <v>-1.25364899614772</v>
      </c>
      <c r="P638" t="s">
        <v>10</v>
      </c>
      <c r="Q638">
        <v>3.5038941950795701</v>
      </c>
      <c r="R638" t="s">
        <v>11</v>
      </c>
      <c r="S638" t="s">
        <v>3340</v>
      </c>
      <c r="T638" t="s">
        <v>3091</v>
      </c>
      <c r="U638">
        <v>0</v>
      </c>
      <c r="V638" t="s">
        <v>14</v>
      </c>
      <c r="W638" t="s">
        <v>15</v>
      </c>
      <c r="X638" t="s">
        <v>3341</v>
      </c>
      <c r="Y638" t="s">
        <v>3091</v>
      </c>
      <c r="Z638">
        <v>0</v>
      </c>
      <c r="AA638" t="s">
        <v>18</v>
      </c>
    </row>
    <row r="639" spans="1:27" x14ac:dyDescent="0.3">
      <c r="A639" t="s">
        <v>1143</v>
      </c>
      <c r="B639" t="s">
        <v>3233</v>
      </c>
      <c r="C639" t="s">
        <v>4345</v>
      </c>
      <c r="D639" t="s">
        <v>1224</v>
      </c>
      <c r="E639">
        <v>3062</v>
      </c>
      <c r="F639" t="s">
        <v>5</v>
      </c>
      <c r="G639">
        <v>1687</v>
      </c>
      <c r="H639" t="s">
        <v>6</v>
      </c>
      <c r="I639">
        <v>-152.28288382865301</v>
      </c>
      <c r="J639" t="s">
        <v>7</v>
      </c>
      <c r="K639">
        <v>-4.9733142987803201E-2</v>
      </c>
      <c r="L639" t="s">
        <v>8</v>
      </c>
      <c r="M639">
        <v>1.22187094594013</v>
      </c>
      <c r="N639" t="s">
        <v>9</v>
      </c>
      <c r="O639">
        <v>-1.6098757597306499</v>
      </c>
      <c r="P639" t="s">
        <v>10</v>
      </c>
      <c r="Q639">
        <v>3.1187325407686299</v>
      </c>
      <c r="R639" t="s">
        <v>11</v>
      </c>
      <c r="S639" t="s">
        <v>3321</v>
      </c>
      <c r="T639" t="s">
        <v>2602</v>
      </c>
      <c r="U639">
        <v>0</v>
      </c>
      <c r="V639" t="s">
        <v>14</v>
      </c>
      <c r="W639" t="s">
        <v>15</v>
      </c>
      <c r="X639" t="s">
        <v>3323</v>
      </c>
      <c r="Y639" t="s">
        <v>3303</v>
      </c>
      <c r="Z639">
        <v>0</v>
      </c>
      <c r="AA639" t="s">
        <v>18</v>
      </c>
    </row>
    <row r="640" spans="1:27" x14ac:dyDescent="0.3">
      <c r="A640" t="s">
        <v>1143</v>
      </c>
      <c r="B640" t="s">
        <v>3286</v>
      </c>
      <c r="C640" t="s">
        <v>4346</v>
      </c>
      <c r="D640" t="s">
        <v>1224</v>
      </c>
      <c r="E640">
        <v>3062</v>
      </c>
      <c r="F640" t="s">
        <v>5</v>
      </c>
      <c r="G640">
        <v>1735</v>
      </c>
      <c r="H640" t="s">
        <v>6</v>
      </c>
      <c r="I640">
        <v>-152.64014265790601</v>
      </c>
      <c r="J640" t="s">
        <v>7</v>
      </c>
      <c r="K640">
        <v>-4.98498179810275E-2</v>
      </c>
      <c r="L640" t="s">
        <v>8</v>
      </c>
      <c r="M640">
        <v>1.26456216142967</v>
      </c>
      <c r="N640" t="s">
        <v>9</v>
      </c>
      <c r="O640">
        <v>-1.76972510764584</v>
      </c>
      <c r="P640" t="s">
        <v>10</v>
      </c>
      <c r="Q640">
        <v>2.8073385774458401</v>
      </c>
      <c r="R640" t="s">
        <v>11</v>
      </c>
      <c r="S640" t="s">
        <v>3379</v>
      </c>
      <c r="T640" t="s">
        <v>2198</v>
      </c>
      <c r="U640">
        <v>0</v>
      </c>
      <c r="V640" t="s">
        <v>14</v>
      </c>
      <c r="W640" t="s">
        <v>15</v>
      </c>
      <c r="X640" t="s">
        <v>3380</v>
      </c>
      <c r="Y640" t="s">
        <v>3303</v>
      </c>
      <c r="Z640">
        <v>0</v>
      </c>
      <c r="AA640" t="s">
        <v>18</v>
      </c>
    </row>
    <row r="641" spans="1:27" x14ac:dyDescent="0.3">
      <c r="A641" t="s">
        <v>1223</v>
      </c>
      <c r="B641" t="s">
        <v>3267</v>
      </c>
      <c r="C641" t="s">
        <v>4347</v>
      </c>
      <c r="D641" t="s">
        <v>1224</v>
      </c>
      <c r="E641">
        <v>376</v>
      </c>
      <c r="F641" t="s">
        <v>5</v>
      </c>
      <c r="G641">
        <v>63</v>
      </c>
      <c r="H641" t="s">
        <v>6</v>
      </c>
      <c r="I641">
        <v>-156.114200787984</v>
      </c>
      <c r="J641" t="s">
        <v>7</v>
      </c>
      <c r="K641">
        <v>-0.41519734252123502</v>
      </c>
      <c r="L641" t="s">
        <v>8</v>
      </c>
      <c r="M641">
        <v>5.7177777777777701</v>
      </c>
      <c r="N641" t="s">
        <v>9</v>
      </c>
      <c r="O641">
        <v>-1.6496300344664001</v>
      </c>
      <c r="P641" t="s">
        <v>10</v>
      </c>
      <c r="Q641">
        <v>1.6866402941832199</v>
      </c>
      <c r="R641" t="s">
        <v>11</v>
      </c>
      <c r="S641" t="s">
        <v>3356</v>
      </c>
      <c r="T641" t="s">
        <v>2914</v>
      </c>
      <c r="U641">
        <v>0</v>
      </c>
      <c r="V641" t="s">
        <v>14</v>
      </c>
      <c r="W641" t="s">
        <v>15</v>
      </c>
      <c r="X641" t="s">
        <v>3653</v>
      </c>
      <c r="Y641" t="s">
        <v>2857</v>
      </c>
      <c r="Z641">
        <v>0</v>
      </c>
      <c r="AA641" t="s">
        <v>18</v>
      </c>
    </row>
    <row r="642" spans="1:27" x14ac:dyDescent="0.3">
      <c r="A642" t="s">
        <v>3293</v>
      </c>
      <c r="B642" t="s">
        <v>3266</v>
      </c>
      <c r="C642" t="s">
        <v>4348</v>
      </c>
      <c r="D642" t="s">
        <v>1224</v>
      </c>
      <c r="E642">
        <v>335</v>
      </c>
      <c r="F642" t="s">
        <v>5</v>
      </c>
      <c r="G642">
        <v>61</v>
      </c>
      <c r="H642" t="s">
        <v>6</v>
      </c>
      <c r="I642">
        <v>-157.46</v>
      </c>
      <c r="J642" t="s">
        <v>7</v>
      </c>
      <c r="K642">
        <v>-0.47002985074626902</v>
      </c>
      <c r="L642" t="s">
        <v>8</v>
      </c>
      <c r="M642">
        <v>4.3468852459016301</v>
      </c>
      <c r="N642" t="s">
        <v>9</v>
      </c>
      <c r="O642">
        <v>-1.54240875912408</v>
      </c>
      <c r="P642" t="s">
        <v>10</v>
      </c>
      <c r="Q642">
        <v>1.2143538092536501</v>
      </c>
      <c r="R642" t="s">
        <v>11</v>
      </c>
      <c r="S642" t="s">
        <v>3677</v>
      </c>
      <c r="T642" t="s">
        <v>2711</v>
      </c>
      <c r="U642">
        <v>0</v>
      </c>
      <c r="V642" t="s">
        <v>14</v>
      </c>
      <c r="W642" t="s">
        <v>15</v>
      </c>
      <c r="X642" t="s">
        <v>3675</v>
      </c>
      <c r="Y642" t="s">
        <v>2249</v>
      </c>
      <c r="Z642">
        <v>0</v>
      </c>
      <c r="AA642" t="s">
        <v>18</v>
      </c>
    </row>
    <row r="643" spans="1:27" x14ac:dyDescent="0.3">
      <c r="A643" t="s">
        <v>1143</v>
      </c>
      <c r="B643" t="s">
        <v>3287</v>
      </c>
      <c r="C643" t="s">
        <v>4349</v>
      </c>
      <c r="D643" t="s">
        <v>1224</v>
      </c>
      <c r="E643">
        <v>3062</v>
      </c>
      <c r="F643" t="s">
        <v>5</v>
      </c>
      <c r="G643">
        <v>1462</v>
      </c>
      <c r="H643" t="s">
        <v>6</v>
      </c>
      <c r="I643">
        <v>-167.90718849663099</v>
      </c>
      <c r="J643" t="s">
        <v>7</v>
      </c>
      <c r="K643">
        <v>-5.4835789842139701E-2</v>
      </c>
      <c r="L643" t="s">
        <v>8</v>
      </c>
      <c r="M643">
        <v>1.77108853460256</v>
      </c>
      <c r="N643" t="s">
        <v>9</v>
      </c>
      <c r="O643">
        <v>-1.7243518612167399</v>
      </c>
      <c r="P643" t="s">
        <v>10</v>
      </c>
      <c r="Q643">
        <v>3.5230393994405702</v>
      </c>
      <c r="R643" t="s">
        <v>11</v>
      </c>
      <c r="S643" t="s">
        <v>3379</v>
      </c>
      <c r="T643" t="s">
        <v>2198</v>
      </c>
      <c r="U643">
        <v>0</v>
      </c>
      <c r="V643" t="s">
        <v>14</v>
      </c>
      <c r="W643" t="s">
        <v>15</v>
      </c>
      <c r="X643" t="s">
        <v>3380</v>
      </c>
      <c r="Y643" t="s">
        <v>3303</v>
      </c>
      <c r="Z643">
        <v>0</v>
      </c>
      <c r="AA643" t="s">
        <v>18</v>
      </c>
    </row>
    <row r="644" spans="1:27" x14ac:dyDescent="0.3">
      <c r="A644" t="s">
        <v>3293</v>
      </c>
      <c r="B644" t="s">
        <v>3267</v>
      </c>
      <c r="C644" t="s">
        <v>4350</v>
      </c>
      <c r="D644" t="s">
        <v>1224</v>
      </c>
      <c r="E644">
        <v>335</v>
      </c>
      <c r="F644" t="s">
        <v>5</v>
      </c>
      <c r="G644">
        <v>55</v>
      </c>
      <c r="H644" t="s">
        <v>6</v>
      </c>
      <c r="I644">
        <v>-178.89999999999901</v>
      </c>
      <c r="J644" t="s">
        <v>7</v>
      </c>
      <c r="K644">
        <v>-0.53402985074626796</v>
      </c>
      <c r="L644" t="s">
        <v>8</v>
      </c>
      <c r="M644">
        <v>4.6719999999999997</v>
      </c>
      <c r="N644" t="s">
        <v>9</v>
      </c>
      <c r="O644">
        <v>-1.5566428571428499</v>
      </c>
      <c r="P644" t="s">
        <v>10</v>
      </c>
      <c r="Q644">
        <v>1.3209991480268199</v>
      </c>
      <c r="R644" t="s">
        <v>11</v>
      </c>
      <c r="S644" t="s">
        <v>3677</v>
      </c>
      <c r="T644" t="s">
        <v>2711</v>
      </c>
      <c r="U644">
        <v>0</v>
      </c>
      <c r="V644" t="s">
        <v>14</v>
      </c>
      <c r="W644" t="s">
        <v>15</v>
      </c>
      <c r="X644" t="s">
        <v>3653</v>
      </c>
      <c r="Y644" t="s">
        <v>2857</v>
      </c>
      <c r="Z644">
        <v>0</v>
      </c>
      <c r="AA644" t="s">
        <v>18</v>
      </c>
    </row>
    <row r="645" spans="1:27" x14ac:dyDescent="0.3">
      <c r="A645" t="s">
        <v>1143</v>
      </c>
      <c r="B645" t="s">
        <v>3234</v>
      </c>
      <c r="C645" t="s">
        <v>4351</v>
      </c>
      <c r="D645" t="s">
        <v>1224</v>
      </c>
      <c r="E645">
        <v>3062</v>
      </c>
      <c r="F645" t="s">
        <v>5</v>
      </c>
      <c r="G645">
        <v>1494</v>
      </c>
      <c r="H645" t="s">
        <v>6</v>
      </c>
      <c r="I645">
        <v>-234.200214755616</v>
      </c>
      <c r="J645" t="s">
        <v>7</v>
      </c>
      <c r="K645">
        <v>-7.6486027026654399E-2</v>
      </c>
      <c r="L645" t="s">
        <v>8</v>
      </c>
      <c r="M645">
        <v>1.5484993229194901</v>
      </c>
      <c r="N645" t="s">
        <v>9</v>
      </c>
      <c r="O645">
        <v>-1.6247820173452401</v>
      </c>
      <c r="P645" t="s">
        <v>10</v>
      </c>
      <c r="Q645">
        <v>3.8349861984348599</v>
      </c>
      <c r="R645" t="s">
        <v>11</v>
      </c>
      <c r="S645" t="s">
        <v>3321</v>
      </c>
      <c r="T645" t="s">
        <v>2602</v>
      </c>
      <c r="U645">
        <v>0</v>
      </c>
      <c r="V645" t="s">
        <v>14</v>
      </c>
      <c r="W645" t="s">
        <v>15</v>
      </c>
      <c r="X645" t="s">
        <v>3323</v>
      </c>
      <c r="Y645" t="s">
        <v>3303</v>
      </c>
      <c r="Z645">
        <v>0</v>
      </c>
      <c r="AA645" t="s">
        <v>18</v>
      </c>
    </row>
    <row r="646" spans="1:27" x14ac:dyDescent="0.3">
      <c r="A646" t="s">
        <v>1143</v>
      </c>
      <c r="B646" t="s">
        <v>3288</v>
      </c>
      <c r="C646" t="s">
        <v>4352</v>
      </c>
      <c r="D646" t="s">
        <v>1224</v>
      </c>
      <c r="E646">
        <v>3062</v>
      </c>
      <c r="F646" t="s">
        <v>5</v>
      </c>
      <c r="G646">
        <v>1164</v>
      </c>
      <c r="H646" t="s">
        <v>6</v>
      </c>
      <c r="I646">
        <v>-244.78462793880601</v>
      </c>
      <c r="J646" t="s">
        <v>7</v>
      </c>
      <c r="K646">
        <v>-7.9942726302679901E-2</v>
      </c>
      <c r="L646" t="s">
        <v>8</v>
      </c>
      <c r="M646">
        <v>2.6012355153923399</v>
      </c>
      <c r="N646" t="s">
        <v>9</v>
      </c>
      <c r="O646">
        <v>-1.72515696776779</v>
      </c>
      <c r="P646" t="s">
        <v>10</v>
      </c>
      <c r="Q646">
        <v>4.7061202751474802</v>
      </c>
      <c r="R646" t="s">
        <v>11</v>
      </c>
      <c r="S646" t="s">
        <v>3379</v>
      </c>
      <c r="T646" t="s">
        <v>2198</v>
      </c>
      <c r="U646">
        <v>0</v>
      </c>
      <c r="V646" t="s">
        <v>14</v>
      </c>
      <c r="W646" t="s">
        <v>15</v>
      </c>
      <c r="X646" t="s">
        <v>3381</v>
      </c>
      <c r="Y646" t="s">
        <v>3303</v>
      </c>
      <c r="Z646">
        <v>0</v>
      </c>
      <c r="AA646" t="s">
        <v>18</v>
      </c>
    </row>
    <row r="647" spans="1:27" x14ac:dyDescent="0.3">
      <c r="A647" t="s">
        <v>1143</v>
      </c>
      <c r="B647" t="s">
        <v>3263</v>
      </c>
      <c r="C647" t="s">
        <v>4353</v>
      </c>
      <c r="D647" t="s">
        <v>1224</v>
      </c>
      <c r="E647">
        <v>3050</v>
      </c>
      <c r="F647" t="s">
        <v>5</v>
      </c>
      <c r="G647">
        <v>1335</v>
      </c>
      <c r="H647" t="s">
        <v>6</v>
      </c>
      <c r="I647">
        <v>-251.60704404901799</v>
      </c>
      <c r="J647" t="s">
        <v>7</v>
      </c>
      <c r="K647">
        <v>-8.2494112802956807E-2</v>
      </c>
      <c r="L647" t="s">
        <v>8</v>
      </c>
      <c r="M647">
        <v>1.83025793990785</v>
      </c>
      <c r="N647" t="s">
        <v>9</v>
      </c>
      <c r="O647">
        <v>-1.5714293841550999</v>
      </c>
      <c r="P647" t="s">
        <v>10</v>
      </c>
      <c r="Q647">
        <v>3.4057022323825001</v>
      </c>
      <c r="R647" t="s">
        <v>11</v>
      </c>
      <c r="S647" t="s">
        <v>3344</v>
      </c>
      <c r="T647" t="s">
        <v>647</v>
      </c>
      <c r="U647">
        <v>0</v>
      </c>
      <c r="V647" t="s">
        <v>14</v>
      </c>
      <c r="W647" t="s">
        <v>15</v>
      </c>
      <c r="X647" t="s">
        <v>3353</v>
      </c>
      <c r="Y647" t="s">
        <v>782</v>
      </c>
      <c r="Z647">
        <v>0</v>
      </c>
      <c r="AA647" t="s">
        <v>18</v>
      </c>
    </row>
    <row r="648" spans="1:27" x14ac:dyDescent="0.3">
      <c r="A648" t="s">
        <v>1143</v>
      </c>
      <c r="B648" t="s">
        <v>3289</v>
      </c>
      <c r="C648" t="s">
        <v>4354</v>
      </c>
      <c r="D648" t="s">
        <v>1224</v>
      </c>
      <c r="E648">
        <v>3062</v>
      </c>
      <c r="F648" t="s">
        <v>5</v>
      </c>
      <c r="G648">
        <v>900</v>
      </c>
      <c r="H648" t="s">
        <v>6</v>
      </c>
      <c r="I648">
        <v>-258.76716604732798</v>
      </c>
      <c r="J648" t="s">
        <v>7</v>
      </c>
      <c r="K648">
        <v>-8.4509198578487404E-2</v>
      </c>
      <c r="L648" t="s">
        <v>8</v>
      </c>
      <c r="M648">
        <v>3.9060664157676399</v>
      </c>
      <c r="N648" t="s">
        <v>9</v>
      </c>
      <c r="O648">
        <v>-1.7465187136687601</v>
      </c>
      <c r="P648" t="s">
        <v>10</v>
      </c>
      <c r="Q648">
        <v>6.3085496358021897</v>
      </c>
      <c r="R648" t="s">
        <v>11</v>
      </c>
      <c r="S648" t="s">
        <v>3379</v>
      </c>
      <c r="T648" t="s">
        <v>2198</v>
      </c>
      <c r="U648">
        <v>0</v>
      </c>
      <c r="V648" t="s">
        <v>14</v>
      </c>
      <c r="W648" t="s">
        <v>15</v>
      </c>
      <c r="X648" t="s">
        <v>3382</v>
      </c>
      <c r="Y648" t="s">
        <v>3303</v>
      </c>
      <c r="Z648">
        <v>0</v>
      </c>
      <c r="AA648" t="s">
        <v>18</v>
      </c>
    </row>
    <row r="649" spans="1:27" x14ac:dyDescent="0.3">
      <c r="A649" t="s">
        <v>1143</v>
      </c>
      <c r="B649" t="s">
        <v>3262</v>
      </c>
      <c r="C649" t="s">
        <v>4355</v>
      </c>
      <c r="D649" t="s">
        <v>1224</v>
      </c>
      <c r="E649">
        <v>3050</v>
      </c>
      <c r="F649" t="s">
        <v>5</v>
      </c>
      <c r="G649">
        <v>1586</v>
      </c>
      <c r="H649" t="s">
        <v>6</v>
      </c>
      <c r="I649">
        <v>-274.359366079079</v>
      </c>
      <c r="J649" t="s">
        <v>7</v>
      </c>
      <c r="K649">
        <v>-8.9953890517730895E-2</v>
      </c>
      <c r="L649" t="s">
        <v>8</v>
      </c>
      <c r="M649">
        <v>1.26602271610777</v>
      </c>
      <c r="N649" t="s">
        <v>9</v>
      </c>
      <c r="O649">
        <v>-1.55892854769536</v>
      </c>
      <c r="P649" t="s">
        <v>10</v>
      </c>
      <c r="Q649">
        <v>2.6809969833923399</v>
      </c>
      <c r="R649" t="s">
        <v>11</v>
      </c>
      <c r="S649" t="s">
        <v>3344</v>
      </c>
      <c r="T649" t="s">
        <v>647</v>
      </c>
      <c r="U649">
        <v>0</v>
      </c>
      <c r="V649" t="s">
        <v>14</v>
      </c>
      <c r="W649" t="s">
        <v>15</v>
      </c>
      <c r="X649" t="s">
        <v>3352</v>
      </c>
      <c r="Y649" t="s">
        <v>782</v>
      </c>
      <c r="Z649">
        <v>0</v>
      </c>
      <c r="AA649" t="s">
        <v>18</v>
      </c>
    </row>
    <row r="650" spans="1:27" x14ac:dyDescent="0.3">
      <c r="A650" t="s">
        <v>1143</v>
      </c>
      <c r="B650" t="s">
        <v>3253</v>
      </c>
      <c r="C650" t="s">
        <v>4356</v>
      </c>
      <c r="D650" t="s">
        <v>1224</v>
      </c>
      <c r="E650">
        <v>3062</v>
      </c>
      <c r="F650" t="s">
        <v>5</v>
      </c>
      <c r="G650">
        <v>1335</v>
      </c>
      <c r="H650" t="s">
        <v>6</v>
      </c>
      <c r="I650">
        <v>-291.99483134231502</v>
      </c>
      <c r="J650" t="s">
        <v>7</v>
      </c>
      <c r="K650">
        <v>-9.5360820164048093E-2</v>
      </c>
      <c r="L650" t="s">
        <v>8</v>
      </c>
      <c r="M650">
        <v>1.4471767612245501</v>
      </c>
      <c r="N650" t="s">
        <v>9</v>
      </c>
      <c r="O650">
        <v>-1.2907578685879799</v>
      </c>
      <c r="P650" t="s">
        <v>10</v>
      </c>
      <c r="Q650">
        <v>4.3851543586696904</v>
      </c>
      <c r="R650" t="s">
        <v>11</v>
      </c>
      <c r="S650" t="s">
        <v>3340</v>
      </c>
      <c r="T650" t="s">
        <v>3091</v>
      </c>
      <c r="U650">
        <v>0</v>
      </c>
      <c r="V650" t="s">
        <v>14</v>
      </c>
      <c r="W650" t="s">
        <v>15</v>
      </c>
      <c r="X650" t="s">
        <v>3341</v>
      </c>
      <c r="Y650" t="s">
        <v>3091</v>
      </c>
      <c r="Z650">
        <v>0</v>
      </c>
      <c r="AA650" t="s">
        <v>18</v>
      </c>
    </row>
    <row r="651" spans="1:27" x14ac:dyDescent="0.3">
      <c r="A651" t="s">
        <v>1143</v>
      </c>
      <c r="B651" t="s">
        <v>3264</v>
      </c>
      <c r="C651" t="s">
        <v>4357</v>
      </c>
      <c r="D651" t="s">
        <v>1224</v>
      </c>
      <c r="E651">
        <v>3050</v>
      </c>
      <c r="F651" t="s">
        <v>5</v>
      </c>
      <c r="G651">
        <v>1030</v>
      </c>
      <c r="H651" t="s">
        <v>6</v>
      </c>
      <c r="I651">
        <v>-295.96647497095802</v>
      </c>
      <c r="J651" t="s">
        <v>7</v>
      </c>
      <c r="K651">
        <v>-9.7038188515068305E-2</v>
      </c>
      <c r="L651" t="s">
        <v>8</v>
      </c>
      <c r="M651">
        <v>2.82142225131558</v>
      </c>
      <c r="N651" t="s">
        <v>9</v>
      </c>
      <c r="O651">
        <v>-1.58516405634951</v>
      </c>
      <c r="P651" t="s">
        <v>10</v>
      </c>
      <c r="Q651">
        <v>4.59225281682951</v>
      </c>
      <c r="R651" t="s">
        <v>11</v>
      </c>
      <c r="S651" t="s">
        <v>3344</v>
      </c>
      <c r="T651" t="s">
        <v>647</v>
      </c>
      <c r="U651">
        <v>0</v>
      </c>
      <c r="V651" t="s">
        <v>14</v>
      </c>
      <c r="W651" t="s">
        <v>15</v>
      </c>
      <c r="X651" t="s">
        <v>3353</v>
      </c>
      <c r="Y651" t="s">
        <v>782</v>
      </c>
      <c r="Z651">
        <v>0</v>
      </c>
      <c r="AA651" t="s">
        <v>18</v>
      </c>
    </row>
    <row r="652" spans="1:27" x14ac:dyDescent="0.3">
      <c r="A652" t="s">
        <v>1143</v>
      </c>
      <c r="B652" t="s">
        <v>3208</v>
      </c>
      <c r="C652" t="s">
        <v>4358</v>
      </c>
      <c r="D652" t="s">
        <v>1224</v>
      </c>
      <c r="E652">
        <v>3050</v>
      </c>
      <c r="F652" t="s">
        <v>5</v>
      </c>
      <c r="G652">
        <v>1886</v>
      </c>
      <c r="H652" t="s">
        <v>6</v>
      </c>
      <c r="I652">
        <v>-306.12837966307302</v>
      </c>
      <c r="J652" t="s">
        <v>7</v>
      </c>
      <c r="K652">
        <v>-0.100369960545269</v>
      </c>
      <c r="L652" t="s">
        <v>8</v>
      </c>
      <c r="M652">
        <v>0.92932473313177599</v>
      </c>
      <c r="N652" t="s">
        <v>9</v>
      </c>
      <c r="O652">
        <v>-1.7687584418811</v>
      </c>
      <c r="P652" t="s">
        <v>10</v>
      </c>
      <c r="Q652">
        <v>2.6865815437077001</v>
      </c>
      <c r="R652" t="s">
        <v>11</v>
      </c>
      <c r="S652" t="s">
        <v>3294</v>
      </c>
      <c r="T652" t="s">
        <v>2610</v>
      </c>
      <c r="U652">
        <v>0</v>
      </c>
      <c r="V652" t="s">
        <v>14</v>
      </c>
      <c r="W652" t="s">
        <v>15</v>
      </c>
      <c r="X652" t="s">
        <v>3302</v>
      </c>
      <c r="Y652" t="s">
        <v>3303</v>
      </c>
      <c r="Z652">
        <v>0</v>
      </c>
      <c r="AA652" t="s">
        <v>18</v>
      </c>
    </row>
    <row r="653" spans="1:27" x14ac:dyDescent="0.3">
      <c r="A653" t="s">
        <v>1143</v>
      </c>
      <c r="B653" t="s">
        <v>3265</v>
      </c>
      <c r="C653" t="s">
        <v>4359</v>
      </c>
      <c r="D653" t="s">
        <v>1224</v>
      </c>
      <c r="E653">
        <v>3050</v>
      </c>
      <c r="F653" t="s">
        <v>5</v>
      </c>
      <c r="G653">
        <v>776</v>
      </c>
      <c r="H653" t="s">
        <v>6</v>
      </c>
      <c r="I653">
        <v>-310.59402553464503</v>
      </c>
      <c r="J653" t="s">
        <v>7</v>
      </c>
      <c r="K653">
        <v>-0.10183410673267</v>
      </c>
      <c r="L653" t="s">
        <v>8</v>
      </c>
      <c r="M653">
        <v>4.3507208157546602</v>
      </c>
      <c r="N653" t="s">
        <v>9</v>
      </c>
      <c r="O653">
        <v>-1.62126357896229</v>
      </c>
      <c r="P653" t="s">
        <v>10</v>
      </c>
      <c r="Q653">
        <v>6.5232791946532496</v>
      </c>
      <c r="R653" t="s">
        <v>11</v>
      </c>
      <c r="S653" t="s">
        <v>3354</v>
      </c>
      <c r="T653" t="s">
        <v>2693</v>
      </c>
      <c r="U653">
        <v>0</v>
      </c>
      <c r="V653" t="s">
        <v>14</v>
      </c>
      <c r="W653" t="s">
        <v>15</v>
      </c>
      <c r="X653" t="s">
        <v>3355</v>
      </c>
      <c r="Y653" t="s">
        <v>2704</v>
      </c>
      <c r="Z653">
        <v>0</v>
      </c>
      <c r="AA653" t="s">
        <v>18</v>
      </c>
    </row>
    <row r="654" spans="1:27" x14ac:dyDescent="0.3">
      <c r="A654" t="s">
        <v>1143</v>
      </c>
      <c r="B654" t="s">
        <v>3216</v>
      </c>
      <c r="C654" t="s">
        <v>4360</v>
      </c>
      <c r="D654" t="s">
        <v>1224</v>
      </c>
      <c r="E654">
        <v>3062</v>
      </c>
      <c r="F654" t="s">
        <v>5</v>
      </c>
      <c r="G654">
        <v>1404</v>
      </c>
      <c r="H654" t="s">
        <v>6</v>
      </c>
      <c r="I654">
        <v>-338.43873208985201</v>
      </c>
      <c r="J654" t="s">
        <v>7</v>
      </c>
      <c r="K654">
        <v>-0.11052865189087201</v>
      </c>
      <c r="L654" t="s">
        <v>8</v>
      </c>
      <c r="M654">
        <v>1.9815828349182001</v>
      </c>
      <c r="N654" t="s">
        <v>9</v>
      </c>
      <c r="O654">
        <v>-1.8832715946378999</v>
      </c>
      <c r="P654" t="s">
        <v>10</v>
      </c>
      <c r="Q654">
        <v>4.3113921524493497</v>
      </c>
      <c r="R654" t="s">
        <v>11</v>
      </c>
      <c r="S654" t="s">
        <v>3308</v>
      </c>
      <c r="T654" t="s">
        <v>2602</v>
      </c>
      <c r="U654">
        <v>0</v>
      </c>
      <c r="V654" t="s">
        <v>14</v>
      </c>
      <c r="W654" t="s">
        <v>15</v>
      </c>
      <c r="X654" t="s">
        <v>3311</v>
      </c>
      <c r="Y654" t="s">
        <v>3303</v>
      </c>
      <c r="Z654">
        <v>0</v>
      </c>
      <c r="AA654" t="s">
        <v>18</v>
      </c>
    </row>
    <row r="655" spans="1:27" x14ac:dyDescent="0.3">
      <c r="A655" t="s">
        <v>1143</v>
      </c>
      <c r="B655" t="s">
        <v>3280</v>
      </c>
      <c r="C655" t="s">
        <v>4361</v>
      </c>
      <c r="D655" t="s">
        <v>1224</v>
      </c>
      <c r="E655">
        <v>3050</v>
      </c>
      <c r="F655" t="s">
        <v>5</v>
      </c>
      <c r="G655">
        <v>1792</v>
      </c>
      <c r="H655" t="s">
        <v>6</v>
      </c>
      <c r="I655">
        <v>-342.33433017885397</v>
      </c>
      <c r="J655" t="s">
        <v>7</v>
      </c>
      <c r="K655">
        <v>-0.112240763993066</v>
      </c>
      <c r="L655" t="s">
        <v>8</v>
      </c>
      <c r="M655">
        <v>1.00611026647714</v>
      </c>
      <c r="N655" t="s">
        <v>9</v>
      </c>
      <c r="O655">
        <v>-1.705313138081</v>
      </c>
      <c r="P655" t="s">
        <v>10</v>
      </c>
      <c r="Q655">
        <v>2.8156869020571</v>
      </c>
      <c r="R655" t="s">
        <v>11</v>
      </c>
      <c r="S655" t="s">
        <v>3367</v>
      </c>
      <c r="T655" t="s">
        <v>647</v>
      </c>
      <c r="U655">
        <v>0</v>
      </c>
      <c r="V655" t="s">
        <v>14</v>
      </c>
      <c r="W655" t="s">
        <v>15</v>
      </c>
      <c r="X655" t="s">
        <v>3373</v>
      </c>
      <c r="Y655" t="s">
        <v>3296</v>
      </c>
      <c r="Z655">
        <v>0</v>
      </c>
      <c r="AA655" t="s">
        <v>18</v>
      </c>
    </row>
    <row r="656" spans="1:27" x14ac:dyDescent="0.3">
      <c r="A656" t="s">
        <v>1143</v>
      </c>
      <c r="B656" t="s">
        <v>3244</v>
      </c>
      <c r="C656" t="s">
        <v>4362</v>
      </c>
      <c r="D656" t="s">
        <v>1224</v>
      </c>
      <c r="E656">
        <v>3050</v>
      </c>
      <c r="F656" t="s">
        <v>5</v>
      </c>
      <c r="G656">
        <v>1685</v>
      </c>
      <c r="H656" t="s">
        <v>6</v>
      </c>
      <c r="I656">
        <v>-378.34445341577202</v>
      </c>
      <c r="J656" t="s">
        <v>7</v>
      </c>
      <c r="K656">
        <v>-0.124047361775663</v>
      </c>
      <c r="L656" t="s">
        <v>8</v>
      </c>
      <c r="M656">
        <v>0.67342994607673001</v>
      </c>
      <c r="N656" t="s">
        <v>9</v>
      </c>
      <c r="O656">
        <v>-1.1109206406424801</v>
      </c>
      <c r="P656" t="s">
        <v>10</v>
      </c>
      <c r="Q656">
        <v>2.2617680327855498</v>
      </c>
      <c r="R656" t="s">
        <v>11</v>
      </c>
      <c r="S656" t="s">
        <v>3332</v>
      </c>
      <c r="T656" t="s">
        <v>3333</v>
      </c>
      <c r="U656">
        <v>0</v>
      </c>
      <c r="V656" t="s">
        <v>14</v>
      </c>
      <c r="W656" t="s">
        <v>15</v>
      </c>
      <c r="X656" t="s">
        <v>3334</v>
      </c>
      <c r="Y656" t="s">
        <v>3296</v>
      </c>
      <c r="Z656">
        <v>0</v>
      </c>
      <c r="AA656" t="s">
        <v>18</v>
      </c>
    </row>
    <row r="657" spans="1:27" x14ac:dyDescent="0.3">
      <c r="A657" t="s">
        <v>1143</v>
      </c>
      <c r="B657" t="s">
        <v>3272</v>
      </c>
      <c r="C657" t="s">
        <v>4363</v>
      </c>
      <c r="D657" t="s">
        <v>1224</v>
      </c>
      <c r="E657">
        <v>3062</v>
      </c>
      <c r="F657" t="s">
        <v>5</v>
      </c>
      <c r="G657">
        <v>500</v>
      </c>
      <c r="H657" t="s">
        <v>6</v>
      </c>
      <c r="I657">
        <v>-382.16973749710002</v>
      </c>
      <c r="J657" t="s">
        <v>7</v>
      </c>
      <c r="K657">
        <v>-0.124810495590169</v>
      </c>
      <c r="L657" t="s">
        <v>8</v>
      </c>
      <c r="M657">
        <v>8.4586311604883608</v>
      </c>
      <c r="N657" t="s">
        <v>9</v>
      </c>
      <c r="O657">
        <v>-1.7999552372136201</v>
      </c>
      <c r="P657" t="s">
        <v>10</v>
      </c>
      <c r="Q657">
        <v>8.3333733588184895</v>
      </c>
      <c r="R657" t="s">
        <v>11</v>
      </c>
      <c r="S657" t="s">
        <v>3356</v>
      </c>
      <c r="T657" t="s">
        <v>2914</v>
      </c>
      <c r="U657">
        <v>0</v>
      </c>
      <c r="V657" t="s">
        <v>14</v>
      </c>
      <c r="W657" t="s">
        <v>15</v>
      </c>
      <c r="X657" t="s">
        <v>3366</v>
      </c>
      <c r="Y657" t="s">
        <v>2783</v>
      </c>
      <c r="Z657">
        <v>0</v>
      </c>
      <c r="AA657" t="s">
        <v>18</v>
      </c>
    </row>
    <row r="658" spans="1:27" x14ac:dyDescent="0.3">
      <c r="A658" t="s">
        <v>1143</v>
      </c>
      <c r="B658" t="s">
        <v>3246</v>
      </c>
      <c r="C658" t="s">
        <v>4364</v>
      </c>
      <c r="D658" t="s">
        <v>1224</v>
      </c>
      <c r="E658">
        <v>3050</v>
      </c>
      <c r="F658" t="s">
        <v>5</v>
      </c>
      <c r="G658">
        <v>1403</v>
      </c>
      <c r="H658" t="s">
        <v>6</v>
      </c>
      <c r="I658">
        <v>-388.96085722457099</v>
      </c>
      <c r="J658" t="s">
        <v>7</v>
      </c>
      <c r="K658">
        <v>-0.12752814990969499</v>
      </c>
      <c r="L658" t="s">
        <v>8</v>
      </c>
      <c r="M658">
        <v>1.0618155672957299</v>
      </c>
      <c r="N658" t="s">
        <v>9</v>
      </c>
      <c r="O658">
        <v>-1.1427543176037001</v>
      </c>
      <c r="P658" t="s">
        <v>10</v>
      </c>
      <c r="Q658">
        <v>3.3811714104337902</v>
      </c>
      <c r="R658" t="s">
        <v>11</v>
      </c>
      <c r="S658" t="s">
        <v>3332</v>
      </c>
      <c r="T658" t="s">
        <v>3333</v>
      </c>
      <c r="U658">
        <v>0</v>
      </c>
      <c r="V658" t="s">
        <v>14</v>
      </c>
      <c r="W658" t="s">
        <v>15</v>
      </c>
      <c r="X658" t="s">
        <v>3334</v>
      </c>
      <c r="Y658" t="s">
        <v>3296</v>
      </c>
      <c r="Z658">
        <v>0</v>
      </c>
      <c r="AA658" t="s">
        <v>18</v>
      </c>
    </row>
    <row r="659" spans="1:27" x14ac:dyDescent="0.3">
      <c r="A659" t="s">
        <v>1143</v>
      </c>
      <c r="B659" t="s">
        <v>3202</v>
      </c>
      <c r="C659" t="s">
        <v>4365</v>
      </c>
      <c r="D659" t="s">
        <v>1224</v>
      </c>
      <c r="E659">
        <v>3073</v>
      </c>
      <c r="F659" t="s">
        <v>5</v>
      </c>
      <c r="G659">
        <v>1851</v>
      </c>
      <c r="H659" t="s">
        <v>6</v>
      </c>
      <c r="I659">
        <v>-389.77761932471498</v>
      </c>
      <c r="J659" t="s">
        <v>7</v>
      </c>
      <c r="K659">
        <v>-0.126839446574915</v>
      </c>
      <c r="L659" t="s">
        <v>8</v>
      </c>
      <c r="M659">
        <v>0.91762305820718804</v>
      </c>
      <c r="N659" t="s">
        <v>9</v>
      </c>
      <c r="O659">
        <v>-1.7103176904719199</v>
      </c>
      <c r="P659" t="s">
        <v>10</v>
      </c>
      <c r="Q659">
        <v>2.8548733493258101</v>
      </c>
      <c r="R659" t="s">
        <v>11</v>
      </c>
      <c r="S659" t="s">
        <v>3294</v>
      </c>
      <c r="T659" t="s">
        <v>2610</v>
      </c>
      <c r="U659">
        <v>0</v>
      </c>
      <c r="V659" t="s">
        <v>14</v>
      </c>
      <c r="W659" t="s">
        <v>15</v>
      </c>
      <c r="X659" t="s">
        <v>3295</v>
      </c>
      <c r="Y659" t="s">
        <v>3296</v>
      </c>
      <c r="Z659">
        <v>0</v>
      </c>
      <c r="AA659" t="s">
        <v>18</v>
      </c>
    </row>
    <row r="660" spans="1:27" x14ac:dyDescent="0.3">
      <c r="A660" t="s">
        <v>1143</v>
      </c>
      <c r="B660" t="s">
        <v>3245</v>
      </c>
      <c r="C660" t="s">
        <v>4366</v>
      </c>
      <c r="D660" t="s">
        <v>1224</v>
      </c>
      <c r="E660">
        <v>3050</v>
      </c>
      <c r="F660" t="s">
        <v>5</v>
      </c>
      <c r="G660">
        <v>1530</v>
      </c>
      <c r="H660" t="s">
        <v>6</v>
      </c>
      <c r="I660">
        <v>-392.76351519118498</v>
      </c>
      <c r="J660" t="s">
        <v>7</v>
      </c>
      <c r="K660">
        <v>-0.12877492301350299</v>
      </c>
      <c r="L660" t="s">
        <v>8</v>
      </c>
      <c r="M660">
        <v>0.86163369761252395</v>
      </c>
      <c r="N660" t="s">
        <v>9</v>
      </c>
      <c r="O660">
        <v>-1.1279255586937</v>
      </c>
      <c r="P660" t="s">
        <v>10</v>
      </c>
      <c r="Q660">
        <v>2.7303168499015098</v>
      </c>
      <c r="R660" t="s">
        <v>11</v>
      </c>
      <c r="S660" t="s">
        <v>3332</v>
      </c>
      <c r="T660" t="s">
        <v>3333</v>
      </c>
      <c r="U660">
        <v>0</v>
      </c>
      <c r="V660" t="s">
        <v>14</v>
      </c>
      <c r="W660" t="s">
        <v>15</v>
      </c>
      <c r="X660" t="s">
        <v>3334</v>
      </c>
      <c r="Y660" t="s">
        <v>3296</v>
      </c>
      <c r="Z660">
        <v>0</v>
      </c>
      <c r="AA660" t="s">
        <v>18</v>
      </c>
    </row>
    <row r="661" spans="1:27" x14ac:dyDescent="0.3">
      <c r="A661" t="s">
        <v>1143</v>
      </c>
      <c r="B661" t="s">
        <v>3226</v>
      </c>
      <c r="C661" t="s">
        <v>4367</v>
      </c>
      <c r="D661" t="s">
        <v>1224</v>
      </c>
      <c r="E661">
        <v>3050</v>
      </c>
      <c r="F661" t="s">
        <v>5</v>
      </c>
      <c r="G661">
        <v>1816</v>
      </c>
      <c r="H661" t="s">
        <v>6</v>
      </c>
      <c r="I661">
        <v>-399.91301751396497</v>
      </c>
      <c r="J661" t="s">
        <v>7</v>
      </c>
      <c r="K661">
        <v>-0.13111902213572599</v>
      </c>
      <c r="L661" t="s">
        <v>8</v>
      </c>
      <c r="M661">
        <v>0.81147586848226305</v>
      </c>
      <c r="N661" t="s">
        <v>9</v>
      </c>
      <c r="O661">
        <v>-1.52197660006316</v>
      </c>
      <c r="P661" t="s">
        <v>10</v>
      </c>
      <c r="Q661">
        <v>2.55559273792726</v>
      </c>
      <c r="R661" t="s">
        <v>11</v>
      </c>
      <c r="S661" t="s">
        <v>2027</v>
      </c>
      <c r="T661" t="s">
        <v>2631</v>
      </c>
      <c r="U661">
        <v>0</v>
      </c>
      <c r="V661" t="s">
        <v>14</v>
      </c>
      <c r="W661" t="s">
        <v>15</v>
      </c>
      <c r="X661" t="s">
        <v>3317</v>
      </c>
      <c r="Y661" t="s">
        <v>3296</v>
      </c>
      <c r="Z661">
        <v>0</v>
      </c>
      <c r="AA661" t="s">
        <v>18</v>
      </c>
    </row>
    <row r="662" spans="1:27" x14ac:dyDescent="0.3">
      <c r="A662" t="s">
        <v>1143</v>
      </c>
      <c r="B662" t="s">
        <v>3217</v>
      </c>
      <c r="C662" t="s">
        <v>4368</v>
      </c>
      <c r="D662" t="s">
        <v>1224</v>
      </c>
      <c r="E662">
        <v>3062</v>
      </c>
      <c r="F662" t="s">
        <v>5</v>
      </c>
      <c r="G662">
        <v>1237</v>
      </c>
      <c r="H662" t="s">
        <v>6</v>
      </c>
      <c r="I662">
        <v>-413.02103124904397</v>
      </c>
      <c r="J662" t="s">
        <v>7</v>
      </c>
      <c r="K662">
        <v>-0.13488603241314301</v>
      </c>
      <c r="L662" t="s">
        <v>8</v>
      </c>
      <c r="M662">
        <v>2.4639685230744499</v>
      </c>
      <c r="N662" t="s">
        <v>9</v>
      </c>
      <c r="O662">
        <v>-1.89745070958999</v>
      </c>
      <c r="P662" t="s">
        <v>10</v>
      </c>
      <c r="Q662">
        <v>5.3573341053260499</v>
      </c>
      <c r="R662" t="s">
        <v>11</v>
      </c>
      <c r="S662" t="s">
        <v>3308</v>
      </c>
      <c r="T662" t="s">
        <v>2602</v>
      </c>
      <c r="U662">
        <v>0</v>
      </c>
      <c r="V662" t="s">
        <v>14</v>
      </c>
      <c r="W662" t="s">
        <v>15</v>
      </c>
      <c r="X662" t="s">
        <v>3311</v>
      </c>
      <c r="Y662" t="s">
        <v>3303</v>
      </c>
      <c r="Z662">
        <v>0</v>
      </c>
      <c r="AA662" t="s">
        <v>18</v>
      </c>
    </row>
    <row r="663" spans="1:27" x14ac:dyDescent="0.3">
      <c r="A663" t="s">
        <v>1143</v>
      </c>
      <c r="B663" t="s">
        <v>3247</v>
      </c>
      <c r="C663" t="s">
        <v>4369</v>
      </c>
      <c r="D663" t="s">
        <v>1224</v>
      </c>
      <c r="E663">
        <v>3050</v>
      </c>
      <c r="F663" t="s">
        <v>5</v>
      </c>
      <c r="G663">
        <v>1320</v>
      </c>
      <c r="H663" t="s">
        <v>6</v>
      </c>
      <c r="I663">
        <v>-437.66696656750997</v>
      </c>
      <c r="J663" t="s">
        <v>7</v>
      </c>
      <c r="K663">
        <v>-0.14349736608770799</v>
      </c>
      <c r="L663" t="s">
        <v>8</v>
      </c>
      <c r="M663">
        <v>1.2024629784643699</v>
      </c>
      <c r="N663" t="s">
        <v>9</v>
      </c>
      <c r="O663">
        <v>-1.1725061367345</v>
      </c>
      <c r="P663" t="s">
        <v>10</v>
      </c>
      <c r="Q663">
        <v>4.1366494855267799</v>
      </c>
      <c r="R663" t="s">
        <v>11</v>
      </c>
      <c r="S663" t="s">
        <v>3335</v>
      </c>
      <c r="T663" t="s">
        <v>2757</v>
      </c>
      <c r="U663">
        <v>0</v>
      </c>
      <c r="V663" t="s">
        <v>14</v>
      </c>
      <c r="W663" t="s">
        <v>15</v>
      </c>
      <c r="X663" t="s">
        <v>3334</v>
      </c>
      <c r="Y663" t="s">
        <v>3296</v>
      </c>
      <c r="Z663">
        <v>0</v>
      </c>
      <c r="AA663" t="s">
        <v>18</v>
      </c>
    </row>
    <row r="664" spans="1:27" x14ac:dyDescent="0.3">
      <c r="A664" t="s">
        <v>1143</v>
      </c>
      <c r="B664" t="s">
        <v>3235</v>
      </c>
      <c r="C664" t="s">
        <v>4370</v>
      </c>
      <c r="D664" t="s">
        <v>1224</v>
      </c>
      <c r="E664">
        <v>3062</v>
      </c>
      <c r="F664" t="s">
        <v>5</v>
      </c>
      <c r="G664">
        <v>1346</v>
      </c>
      <c r="H664" t="s">
        <v>6</v>
      </c>
      <c r="I664">
        <v>-441.42057634306298</v>
      </c>
      <c r="J664" t="s">
        <v>7</v>
      </c>
      <c r="K664">
        <v>-0.14416086751896201</v>
      </c>
      <c r="L664" t="s">
        <v>8</v>
      </c>
      <c r="M664">
        <v>1.7842049066993999</v>
      </c>
      <c r="N664" t="s">
        <v>9</v>
      </c>
      <c r="O664">
        <v>-1.65673681862498</v>
      </c>
      <c r="P664" t="s">
        <v>10</v>
      </c>
      <c r="Q664">
        <v>4.8744745203841804</v>
      </c>
      <c r="R664" t="s">
        <v>11</v>
      </c>
      <c r="S664" t="s">
        <v>3321</v>
      </c>
      <c r="T664" t="s">
        <v>2602</v>
      </c>
      <c r="U664">
        <v>0</v>
      </c>
      <c r="V664" t="s">
        <v>14</v>
      </c>
      <c r="W664" t="s">
        <v>15</v>
      </c>
      <c r="X664" t="s">
        <v>3323</v>
      </c>
      <c r="Y664" t="s">
        <v>3303</v>
      </c>
      <c r="Z664">
        <v>0</v>
      </c>
      <c r="AA664" t="s">
        <v>18</v>
      </c>
    </row>
    <row r="665" spans="1:27" x14ac:dyDescent="0.3">
      <c r="A665" t="s">
        <v>1143</v>
      </c>
      <c r="B665" t="s">
        <v>3227</v>
      </c>
      <c r="C665" t="s">
        <v>4371</v>
      </c>
      <c r="D665" t="s">
        <v>1224</v>
      </c>
      <c r="E665">
        <v>3050</v>
      </c>
      <c r="F665" t="s">
        <v>5</v>
      </c>
      <c r="G665">
        <v>1623</v>
      </c>
      <c r="H665" t="s">
        <v>6</v>
      </c>
      <c r="I665">
        <v>-444.32881714880801</v>
      </c>
      <c r="J665" t="s">
        <v>7</v>
      </c>
      <c r="K665">
        <v>-0.14568157939305099</v>
      </c>
      <c r="L665" t="s">
        <v>8</v>
      </c>
      <c r="M665">
        <v>1.0771385081268099</v>
      </c>
      <c r="N665" t="s">
        <v>9</v>
      </c>
      <c r="O665">
        <v>-1.5396942526956601</v>
      </c>
      <c r="P665" t="s">
        <v>10</v>
      </c>
      <c r="Q665">
        <v>3.0746074765773099</v>
      </c>
      <c r="R665" t="s">
        <v>11</v>
      </c>
      <c r="S665" t="s">
        <v>2027</v>
      </c>
      <c r="T665" t="s">
        <v>2631</v>
      </c>
      <c r="U665">
        <v>0</v>
      </c>
      <c r="V665" t="s">
        <v>14</v>
      </c>
      <c r="W665" t="s">
        <v>15</v>
      </c>
      <c r="X665" t="s">
        <v>3318</v>
      </c>
      <c r="Y665" t="s">
        <v>3296</v>
      </c>
      <c r="Z665">
        <v>0</v>
      </c>
      <c r="AA665" t="s">
        <v>18</v>
      </c>
    </row>
    <row r="666" spans="1:27" x14ac:dyDescent="0.3">
      <c r="A666" t="s">
        <v>1143</v>
      </c>
      <c r="B666" t="s">
        <v>3230</v>
      </c>
      <c r="C666" t="s">
        <v>4372</v>
      </c>
      <c r="D666" t="s">
        <v>1224</v>
      </c>
      <c r="E666">
        <v>3050</v>
      </c>
      <c r="F666" t="s">
        <v>5</v>
      </c>
      <c r="G666">
        <v>1310</v>
      </c>
      <c r="H666" t="s">
        <v>6</v>
      </c>
      <c r="I666">
        <v>-453.61425454406998</v>
      </c>
      <c r="J666" t="s">
        <v>7</v>
      </c>
      <c r="K666">
        <v>-0.14872598509641599</v>
      </c>
      <c r="L666" t="s">
        <v>8</v>
      </c>
      <c r="M666">
        <v>1.7449890785294599</v>
      </c>
      <c r="N666" t="s">
        <v>9</v>
      </c>
      <c r="O666">
        <v>-1.5771732570049899</v>
      </c>
      <c r="P666" t="s">
        <v>10</v>
      </c>
      <c r="Q666">
        <v>5.7854405956864099</v>
      </c>
      <c r="R666" t="s">
        <v>11</v>
      </c>
      <c r="S666" t="s">
        <v>2027</v>
      </c>
      <c r="T666" t="s">
        <v>2631</v>
      </c>
      <c r="U666">
        <v>0</v>
      </c>
      <c r="V666" t="s">
        <v>14</v>
      </c>
      <c r="W666" t="s">
        <v>15</v>
      </c>
      <c r="X666" t="s">
        <v>3318</v>
      </c>
      <c r="Y666" t="s">
        <v>3296</v>
      </c>
      <c r="Z666">
        <v>0</v>
      </c>
      <c r="AA666" t="s">
        <v>18</v>
      </c>
    </row>
    <row r="667" spans="1:27" x14ac:dyDescent="0.3">
      <c r="A667" t="s">
        <v>1143</v>
      </c>
      <c r="B667" t="s">
        <v>3243</v>
      </c>
      <c r="C667" t="s">
        <v>4373</v>
      </c>
      <c r="D667" t="s">
        <v>1224</v>
      </c>
      <c r="E667">
        <v>3073</v>
      </c>
      <c r="F667" t="s">
        <v>5</v>
      </c>
      <c r="G667">
        <v>1320</v>
      </c>
      <c r="H667" t="s">
        <v>6</v>
      </c>
      <c r="I667">
        <v>-456.099690175153</v>
      </c>
      <c r="J667" t="s">
        <v>7</v>
      </c>
      <c r="K667">
        <v>-0.14842163689396401</v>
      </c>
      <c r="L667" t="s">
        <v>8</v>
      </c>
      <c r="M667">
        <v>1.0827605468076</v>
      </c>
      <c r="N667" t="s">
        <v>9</v>
      </c>
      <c r="O667">
        <v>-1.0779551812242301</v>
      </c>
      <c r="P667" t="s">
        <v>10</v>
      </c>
      <c r="Q667">
        <v>5.4982272213335603</v>
      </c>
      <c r="R667" t="s">
        <v>11</v>
      </c>
      <c r="S667" t="s">
        <v>3331</v>
      </c>
      <c r="T667" t="s">
        <v>647</v>
      </c>
      <c r="U667">
        <v>0</v>
      </c>
      <c r="V667" t="s">
        <v>14</v>
      </c>
      <c r="W667" t="s">
        <v>15</v>
      </c>
      <c r="X667" t="s">
        <v>3329</v>
      </c>
      <c r="Y667" t="s">
        <v>3330</v>
      </c>
      <c r="Z667">
        <v>0</v>
      </c>
      <c r="AA667" t="s">
        <v>18</v>
      </c>
    </row>
    <row r="668" spans="1:27" x14ac:dyDescent="0.3">
      <c r="A668" t="s">
        <v>1143</v>
      </c>
      <c r="B668" t="s">
        <v>3241</v>
      </c>
      <c r="C668" t="s">
        <v>4374</v>
      </c>
      <c r="D668" t="s">
        <v>1224</v>
      </c>
      <c r="E668">
        <v>3073</v>
      </c>
      <c r="F668" t="s">
        <v>5</v>
      </c>
      <c r="G668">
        <v>1363</v>
      </c>
      <c r="H668" t="s">
        <v>6</v>
      </c>
      <c r="I668">
        <v>-459.783614266759</v>
      </c>
      <c r="J668" t="s">
        <v>7</v>
      </c>
      <c r="K668">
        <v>-0.14962044069858699</v>
      </c>
      <c r="L668" t="s">
        <v>8</v>
      </c>
      <c r="M668">
        <v>0.99240242024361602</v>
      </c>
      <c r="N668" t="s">
        <v>9</v>
      </c>
      <c r="O668">
        <v>-1.0623845914764301</v>
      </c>
      <c r="P668" t="s">
        <v>10</v>
      </c>
      <c r="Q668">
        <v>4.0070678786225704</v>
      </c>
      <c r="R668" t="s">
        <v>11</v>
      </c>
      <c r="S668" t="s">
        <v>3326</v>
      </c>
      <c r="T668" t="s">
        <v>21</v>
      </c>
      <c r="U668">
        <v>0</v>
      </c>
      <c r="V668" t="s">
        <v>14</v>
      </c>
      <c r="W668" t="s">
        <v>15</v>
      </c>
      <c r="X668" t="s">
        <v>3328</v>
      </c>
      <c r="Y668" t="s">
        <v>21</v>
      </c>
      <c r="Z668">
        <v>0</v>
      </c>
      <c r="AA668" t="s">
        <v>18</v>
      </c>
    </row>
    <row r="669" spans="1:27" x14ac:dyDescent="0.3">
      <c r="A669" t="s">
        <v>1143</v>
      </c>
      <c r="B669" t="s">
        <v>3228</v>
      </c>
      <c r="C669" t="s">
        <v>4375</v>
      </c>
      <c r="D669" t="s">
        <v>1224</v>
      </c>
      <c r="E669">
        <v>3050</v>
      </c>
      <c r="F669" t="s">
        <v>5</v>
      </c>
      <c r="G669">
        <v>1469</v>
      </c>
      <c r="H669" t="s">
        <v>6</v>
      </c>
      <c r="I669">
        <v>-462.50914767929498</v>
      </c>
      <c r="J669" t="s">
        <v>7</v>
      </c>
      <c r="K669">
        <v>-0.15164234350140801</v>
      </c>
      <c r="L669" t="s">
        <v>8</v>
      </c>
      <c r="M669">
        <v>1.34466045968477</v>
      </c>
      <c r="N669" t="s">
        <v>9</v>
      </c>
      <c r="O669">
        <v>-1.5448766558658</v>
      </c>
      <c r="P669" t="s">
        <v>10</v>
      </c>
      <c r="Q669">
        <v>3.8449429391584</v>
      </c>
      <c r="R669" t="s">
        <v>11</v>
      </c>
      <c r="S669" t="s">
        <v>2027</v>
      </c>
      <c r="T669" t="s">
        <v>2631</v>
      </c>
      <c r="U669">
        <v>0</v>
      </c>
      <c r="V669" t="s">
        <v>14</v>
      </c>
      <c r="W669" t="s">
        <v>15</v>
      </c>
      <c r="X669" t="s">
        <v>3318</v>
      </c>
      <c r="Y669" t="s">
        <v>3296</v>
      </c>
      <c r="Z669">
        <v>0</v>
      </c>
      <c r="AA669" t="s">
        <v>18</v>
      </c>
    </row>
    <row r="670" spans="1:27" x14ac:dyDescent="0.3">
      <c r="A670" t="s">
        <v>1143</v>
      </c>
      <c r="B670" t="s">
        <v>3209</v>
      </c>
      <c r="C670" t="s">
        <v>4376</v>
      </c>
      <c r="D670" t="s">
        <v>1224</v>
      </c>
      <c r="E670">
        <v>3050</v>
      </c>
      <c r="F670" t="s">
        <v>5</v>
      </c>
      <c r="G670">
        <v>1618</v>
      </c>
      <c r="H670" t="s">
        <v>6</v>
      </c>
      <c r="I670">
        <v>-462.99096508653503</v>
      </c>
      <c r="J670" t="s">
        <v>7</v>
      </c>
      <c r="K670">
        <v>-0.15180031642181399</v>
      </c>
      <c r="L670" t="s">
        <v>8</v>
      </c>
      <c r="M670">
        <v>1.3080190901093001</v>
      </c>
      <c r="N670" t="s">
        <v>9</v>
      </c>
      <c r="O670">
        <v>-1.8012331374884001</v>
      </c>
      <c r="P670" t="s">
        <v>10</v>
      </c>
      <c r="Q670">
        <v>3.35765493079592</v>
      </c>
      <c r="R670" t="s">
        <v>11</v>
      </c>
      <c r="S670" t="s">
        <v>3297</v>
      </c>
      <c r="T670" t="s">
        <v>2046</v>
      </c>
      <c r="U670">
        <v>0</v>
      </c>
      <c r="V670" t="s">
        <v>14</v>
      </c>
      <c r="W670" t="s">
        <v>15</v>
      </c>
      <c r="X670" t="s">
        <v>3304</v>
      </c>
      <c r="Y670" t="s">
        <v>782</v>
      </c>
      <c r="Z670">
        <v>0</v>
      </c>
      <c r="AA670" t="s">
        <v>18</v>
      </c>
    </row>
    <row r="671" spans="1:27" x14ac:dyDescent="0.3">
      <c r="A671" t="s">
        <v>1143</v>
      </c>
      <c r="B671" t="s">
        <v>3238</v>
      </c>
      <c r="C671" t="s">
        <v>4377</v>
      </c>
      <c r="D671" t="s">
        <v>1224</v>
      </c>
      <c r="E671">
        <v>3073</v>
      </c>
      <c r="F671" t="s">
        <v>5</v>
      </c>
      <c r="G671">
        <v>1624</v>
      </c>
      <c r="H671" t="s">
        <v>6</v>
      </c>
      <c r="I671">
        <v>-465.606272233374</v>
      </c>
      <c r="J671" t="s">
        <v>7</v>
      </c>
      <c r="K671">
        <v>-0.15151522038183299</v>
      </c>
      <c r="L671" t="s">
        <v>8</v>
      </c>
      <c r="M671">
        <v>0.62346883824649502</v>
      </c>
      <c r="N671" t="s">
        <v>9</v>
      </c>
      <c r="O671">
        <v>-1.0222127700869099</v>
      </c>
      <c r="P671" t="s">
        <v>10</v>
      </c>
      <c r="Q671">
        <v>2.5231126636302901</v>
      </c>
      <c r="R671" t="s">
        <v>11</v>
      </c>
      <c r="S671" t="s">
        <v>3326</v>
      </c>
      <c r="T671" t="s">
        <v>21</v>
      </c>
      <c r="U671">
        <v>0</v>
      </c>
      <c r="V671" t="s">
        <v>14</v>
      </c>
      <c r="W671" t="s">
        <v>15</v>
      </c>
      <c r="X671" t="s">
        <v>3327</v>
      </c>
      <c r="Y671" t="s">
        <v>21</v>
      </c>
      <c r="Z671">
        <v>0</v>
      </c>
      <c r="AA671" t="s">
        <v>18</v>
      </c>
    </row>
    <row r="672" spans="1:27" x14ac:dyDescent="0.3">
      <c r="A672" t="s">
        <v>1143</v>
      </c>
      <c r="B672" t="s">
        <v>3248</v>
      </c>
      <c r="C672" t="s">
        <v>4378</v>
      </c>
      <c r="D672" t="s">
        <v>1224</v>
      </c>
      <c r="E672">
        <v>3050</v>
      </c>
      <c r="F672" t="s">
        <v>5</v>
      </c>
      <c r="G672">
        <v>1265</v>
      </c>
      <c r="H672" t="s">
        <v>6</v>
      </c>
      <c r="I672">
        <v>-466.01739994194202</v>
      </c>
      <c r="J672" t="s">
        <v>7</v>
      </c>
      <c r="K672">
        <v>-0.15279259014489899</v>
      </c>
      <c r="L672" t="s">
        <v>8</v>
      </c>
      <c r="M672">
        <v>1.3118816531308899</v>
      </c>
      <c r="N672" t="s">
        <v>9</v>
      </c>
      <c r="O672">
        <v>-1.19278770547279</v>
      </c>
      <c r="P672" t="s">
        <v>10</v>
      </c>
      <c r="Q672">
        <v>5.1902775845592499</v>
      </c>
      <c r="R672" t="s">
        <v>11</v>
      </c>
      <c r="S672" t="s">
        <v>2891</v>
      </c>
      <c r="T672" t="s">
        <v>2757</v>
      </c>
      <c r="U672">
        <v>0</v>
      </c>
      <c r="V672" t="s">
        <v>14</v>
      </c>
      <c r="W672" t="s">
        <v>15</v>
      </c>
      <c r="X672" t="s">
        <v>3336</v>
      </c>
      <c r="Y672" t="s">
        <v>2757</v>
      </c>
      <c r="Z672">
        <v>0</v>
      </c>
      <c r="AA672" t="s">
        <v>18</v>
      </c>
    </row>
    <row r="673" spans="1:27" x14ac:dyDescent="0.3">
      <c r="A673" t="s">
        <v>1143</v>
      </c>
      <c r="B673" t="s">
        <v>3242</v>
      </c>
      <c r="C673" t="s">
        <v>4379</v>
      </c>
      <c r="D673" t="s">
        <v>1224</v>
      </c>
      <c r="E673">
        <v>3073</v>
      </c>
      <c r="F673" t="s">
        <v>5</v>
      </c>
      <c r="G673">
        <v>1329</v>
      </c>
      <c r="H673" t="s">
        <v>6</v>
      </c>
      <c r="I673">
        <v>-500.86467447653899</v>
      </c>
      <c r="J673" t="s">
        <v>7</v>
      </c>
      <c r="K673">
        <v>-0.16298882996307801</v>
      </c>
      <c r="L673" t="s">
        <v>8</v>
      </c>
      <c r="M673">
        <v>1.0296335828399601</v>
      </c>
      <c r="N673" t="s">
        <v>9</v>
      </c>
      <c r="O673">
        <v>-1.07428029084531</v>
      </c>
      <c r="P673" t="s">
        <v>10</v>
      </c>
      <c r="Q673">
        <v>5.0055555053680099</v>
      </c>
      <c r="R673" t="s">
        <v>11</v>
      </c>
      <c r="S673" t="s">
        <v>2515</v>
      </c>
      <c r="T673" t="s">
        <v>2666</v>
      </c>
      <c r="U673">
        <v>0</v>
      </c>
      <c r="V673" t="s">
        <v>14</v>
      </c>
      <c r="W673" t="s">
        <v>15</v>
      </c>
      <c r="X673" t="s">
        <v>3329</v>
      </c>
      <c r="Y673" t="s">
        <v>3330</v>
      </c>
      <c r="Z673">
        <v>0</v>
      </c>
      <c r="AA673" t="s">
        <v>18</v>
      </c>
    </row>
    <row r="674" spans="1:27" x14ac:dyDescent="0.3">
      <c r="A674" t="s">
        <v>1143</v>
      </c>
      <c r="B674" t="s">
        <v>3282</v>
      </c>
      <c r="C674" t="s">
        <v>4380</v>
      </c>
      <c r="D674" t="s">
        <v>1224</v>
      </c>
      <c r="E674">
        <v>3050</v>
      </c>
      <c r="F674" t="s">
        <v>5</v>
      </c>
      <c r="G674">
        <v>1281</v>
      </c>
      <c r="H674" t="s">
        <v>6</v>
      </c>
      <c r="I674">
        <v>-505.76376110079201</v>
      </c>
      <c r="J674" t="s">
        <v>7</v>
      </c>
      <c r="K674">
        <v>-0.16582418396747201</v>
      </c>
      <c r="L674" t="s">
        <v>8</v>
      </c>
      <c r="M674">
        <v>1.9823982446052699</v>
      </c>
      <c r="N674" t="s">
        <v>9</v>
      </c>
      <c r="O674">
        <v>-1.7214335287960101</v>
      </c>
      <c r="P674" t="s">
        <v>10</v>
      </c>
      <c r="Q674">
        <v>4.63832716100484</v>
      </c>
      <c r="R674" t="s">
        <v>11</v>
      </c>
      <c r="S674" t="s">
        <v>3367</v>
      </c>
      <c r="T674" t="s">
        <v>647</v>
      </c>
      <c r="U674">
        <v>0</v>
      </c>
      <c r="V674" t="s">
        <v>14</v>
      </c>
      <c r="W674" t="s">
        <v>15</v>
      </c>
      <c r="X674" t="s">
        <v>3374</v>
      </c>
      <c r="Y674" t="s">
        <v>782</v>
      </c>
      <c r="Z674">
        <v>0</v>
      </c>
      <c r="AA674" t="s">
        <v>18</v>
      </c>
    </row>
    <row r="675" spans="1:27" x14ac:dyDescent="0.3">
      <c r="A675" t="s">
        <v>1143</v>
      </c>
      <c r="B675" t="s">
        <v>3249</v>
      </c>
      <c r="C675" t="s">
        <v>4381</v>
      </c>
      <c r="D675" t="s">
        <v>1224</v>
      </c>
      <c r="E675">
        <v>3050</v>
      </c>
      <c r="F675" t="s">
        <v>5</v>
      </c>
      <c r="G675">
        <v>1238</v>
      </c>
      <c r="H675" t="s">
        <v>6</v>
      </c>
      <c r="I675">
        <v>-510.10241564055599</v>
      </c>
      <c r="J675" t="s">
        <v>7</v>
      </c>
      <c r="K675">
        <v>-0.167246693652641</v>
      </c>
      <c r="L675" t="s">
        <v>8</v>
      </c>
      <c r="M675">
        <v>1.35437898336213</v>
      </c>
      <c r="N675" t="s">
        <v>9</v>
      </c>
      <c r="O675">
        <v>-1.2088577098081099</v>
      </c>
      <c r="P675" t="s">
        <v>10</v>
      </c>
      <c r="Q675">
        <v>5.9535557503902101</v>
      </c>
      <c r="R675" t="s">
        <v>11</v>
      </c>
      <c r="S675" t="s">
        <v>3331</v>
      </c>
      <c r="T675" t="s">
        <v>647</v>
      </c>
      <c r="U675">
        <v>0</v>
      </c>
      <c r="V675" t="s">
        <v>14</v>
      </c>
      <c r="W675" t="s">
        <v>15</v>
      </c>
      <c r="X675" t="s">
        <v>3337</v>
      </c>
      <c r="Y675" t="s">
        <v>2757</v>
      </c>
      <c r="Z675">
        <v>0</v>
      </c>
      <c r="AA675" t="s">
        <v>18</v>
      </c>
    </row>
    <row r="676" spans="1:27" x14ac:dyDescent="0.3">
      <c r="A676" t="s">
        <v>1143</v>
      </c>
      <c r="B676" t="s">
        <v>3281</v>
      </c>
      <c r="C676" t="s">
        <v>4382</v>
      </c>
      <c r="D676" t="s">
        <v>1224</v>
      </c>
      <c r="E676">
        <v>3050</v>
      </c>
      <c r="F676" t="s">
        <v>5</v>
      </c>
      <c r="G676">
        <v>1467</v>
      </c>
      <c r="H676" t="s">
        <v>6</v>
      </c>
      <c r="I676">
        <v>-511.173761100793</v>
      </c>
      <c r="J676" t="s">
        <v>7</v>
      </c>
      <c r="K676">
        <v>-0.167597954459276</v>
      </c>
      <c r="L676" t="s">
        <v>8</v>
      </c>
      <c r="M676">
        <v>1.49516712106687</v>
      </c>
      <c r="N676" t="s">
        <v>9</v>
      </c>
      <c r="O676">
        <v>-1.70851795812122</v>
      </c>
      <c r="P676" t="s">
        <v>10</v>
      </c>
      <c r="Q676">
        <v>3.7074732131097599</v>
      </c>
      <c r="R676" t="s">
        <v>11</v>
      </c>
      <c r="S676" t="s">
        <v>3367</v>
      </c>
      <c r="T676" t="s">
        <v>647</v>
      </c>
      <c r="U676">
        <v>0</v>
      </c>
      <c r="V676" t="s">
        <v>14</v>
      </c>
      <c r="W676" t="s">
        <v>15</v>
      </c>
      <c r="X676" t="s">
        <v>3373</v>
      </c>
      <c r="Y676" t="s">
        <v>3296</v>
      </c>
      <c r="Z676">
        <v>0</v>
      </c>
      <c r="AA676" t="s">
        <v>18</v>
      </c>
    </row>
    <row r="677" spans="1:27" x14ac:dyDescent="0.3">
      <c r="A677" t="s">
        <v>1143</v>
      </c>
      <c r="B677" t="s">
        <v>3239</v>
      </c>
      <c r="C677" t="s">
        <v>4383</v>
      </c>
      <c r="D677" t="s">
        <v>1224</v>
      </c>
      <c r="E677">
        <v>3073</v>
      </c>
      <c r="F677" t="s">
        <v>5</v>
      </c>
      <c r="G677">
        <v>1497</v>
      </c>
      <c r="H677" t="s">
        <v>6</v>
      </c>
      <c r="I677">
        <v>-518.12627223337404</v>
      </c>
      <c r="J677" t="s">
        <v>7</v>
      </c>
      <c r="K677">
        <v>-0.16860601114005</v>
      </c>
      <c r="L677" t="s">
        <v>8</v>
      </c>
      <c r="M677">
        <v>0.74339572031550305</v>
      </c>
      <c r="N677" t="s">
        <v>9</v>
      </c>
      <c r="O677">
        <v>-1.0375252325354101</v>
      </c>
      <c r="P677" t="s">
        <v>10</v>
      </c>
      <c r="Q677">
        <v>2.89133017070154</v>
      </c>
      <c r="R677" t="s">
        <v>11</v>
      </c>
      <c r="S677" t="s">
        <v>3326</v>
      </c>
      <c r="T677" t="s">
        <v>21</v>
      </c>
      <c r="U677">
        <v>0</v>
      </c>
      <c r="V677" t="s">
        <v>14</v>
      </c>
      <c r="W677" t="s">
        <v>15</v>
      </c>
      <c r="X677" t="s">
        <v>3328</v>
      </c>
      <c r="Y677" t="s">
        <v>21</v>
      </c>
      <c r="Z677">
        <v>0</v>
      </c>
      <c r="AA677" t="s">
        <v>18</v>
      </c>
    </row>
    <row r="678" spans="1:27" x14ac:dyDescent="0.3">
      <c r="A678" t="s">
        <v>1143</v>
      </c>
      <c r="B678" t="s">
        <v>3240</v>
      </c>
      <c r="C678" t="s">
        <v>4384</v>
      </c>
      <c r="D678" t="s">
        <v>1224</v>
      </c>
      <c r="E678">
        <v>3073</v>
      </c>
      <c r="F678" t="s">
        <v>5</v>
      </c>
      <c r="G678">
        <v>1411</v>
      </c>
      <c r="H678" t="s">
        <v>6</v>
      </c>
      <c r="I678">
        <v>-521.38361426675999</v>
      </c>
      <c r="J678" t="s">
        <v>7</v>
      </c>
      <c r="K678">
        <v>-0.16966599878514799</v>
      </c>
      <c r="L678" t="s">
        <v>8</v>
      </c>
      <c r="M678">
        <v>0.86222856044794305</v>
      </c>
      <c r="N678" t="s">
        <v>9</v>
      </c>
      <c r="O678">
        <v>-1.04824373525862</v>
      </c>
      <c r="P678" t="s">
        <v>10</v>
      </c>
      <c r="Q678">
        <v>3.3502910579691698</v>
      </c>
      <c r="R678" t="s">
        <v>11</v>
      </c>
      <c r="S678" t="s">
        <v>3326</v>
      </c>
      <c r="T678" t="s">
        <v>21</v>
      </c>
      <c r="U678">
        <v>0</v>
      </c>
      <c r="V678" t="s">
        <v>14</v>
      </c>
      <c r="W678" t="s">
        <v>15</v>
      </c>
      <c r="X678" t="s">
        <v>3328</v>
      </c>
      <c r="Y678" t="s">
        <v>21</v>
      </c>
      <c r="Z678">
        <v>0</v>
      </c>
      <c r="AA678" t="s">
        <v>18</v>
      </c>
    </row>
    <row r="679" spans="1:27" x14ac:dyDescent="0.3">
      <c r="A679" t="s">
        <v>1143</v>
      </c>
      <c r="B679" t="s">
        <v>3229</v>
      </c>
      <c r="C679" t="s">
        <v>4385</v>
      </c>
      <c r="D679" t="s">
        <v>1224</v>
      </c>
      <c r="E679">
        <v>3050</v>
      </c>
      <c r="F679" t="s">
        <v>5</v>
      </c>
      <c r="G679">
        <v>1370</v>
      </c>
      <c r="H679" t="s">
        <v>6</v>
      </c>
      <c r="I679">
        <v>-543.06172066417696</v>
      </c>
      <c r="J679" t="s">
        <v>7</v>
      </c>
      <c r="K679">
        <v>-0.17805302316858199</v>
      </c>
      <c r="L679" t="s">
        <v>8</v>
      </c>
      <c r="M679">
        <v>1.5194193605195501</v>
      </c>
      <c r="N679" t="s">
        <v>9</v>
      </c>
      <c r="O679">
        <v>-1.56509615061178</v>
      </c>
      <c r="P679" t="s">
        <v>10</v>
      </c>
      <c r="Q679">
        <v>4.7119592346941799</v>
      </c>
      <c r="R679" t="s">
        <v>11</v>
      </c>
      <c r="S679" t="s">
        <v>2027</v>
      </c>
      <c r="T679" t="s">
        <v>2631</v>
      </c>
      <c r="U679">
        <v>0</v>
      </c>
      <c r="V679" t="s">
        <v>14</v>
      </c>
      <c r="W679" t="s">
        <v>15</v>
      </c>
      <c r="X679" t="s">
        <v>3318</v>
      </c>
      <c r="Y679" t="s">
        <v>3296</v>
      </c>
      <c r="Z679">
        <v>0</v>
      </c>
      <c r="AA679" t="s">
        <v>18</v>
      </c>
    </row>
    <row r="680" spans="1:27" x14ac:dyDescent="0.3">
      <c r="A680" t="s">
        <v>1143</v>
      </c>
      <c r="B680" t="s">
        <v>3211</v>
      </c>
      <c r="C680" t="s">
        <v>4386</v>
      </c>
      <c r="D680" t="s">
        <v>1224</v>
      </c>
      <c r="E680">
        <v>3050</v>
      </c>
      <c r="F680" t="s">
        <v>5</v>
      </c>
      <c r="G680">
        <v>1308</v>
      </c>
      <c r="H680" t="s">
        <v>6</v>
      </c>
      <c r="I680">
        <v>-547.29982051521597</v>
      </c>
      <c r="J680" t="s">
        <v>7</v>
      </c>
      <c r="K680">
        <v>-0.17944256410334899</v>
      </c>
      <c r="L680" t="s">
        <v>8</v>
      </c>
      <c r="M680">
        <v>2.0413500673871998</v>
      </c>
      <c r="N680" t="s">
        <v>9</v>
      </c>
      <c r="O680">
        <v>-1.84694931610659</v>
      </c>
      <c r="P680" t="s">
        <v>10</v>
      </c>
      <c r="Q680">
        <v>5.2637688976166901</v>
      </c>
      <c r="R680" t="s">
        <v>11</v>
      </c>
      <c r="S680" t="s">
        <v>3301</v>
      </c>
      <c r="T680" t="s">
        <v>2046</v>
      </c>
      <c r="U680">
        <v>0</v>
      </c>
      <c r="V680" t="s">
        <v>14</v>
      </c>
      <c r="W680" t="s">
        <v>15</v>
      </c>
      <c r="X680" t="s">
        <v>3306</v>
      </c>
      <c r="Y680" t="s">
        <v>2046</v>
      </c>
      <c r="Z680">
        <v>0</v>
      </c>
      <c r="AA680" t="s">
        <v>18</v>
      </c>
    </row>
    <row r="681" spans="1:27" x14ac:dyDescent="0.3">
      <c r="A681" t="s">
        <v>1143</v>
      </c>
      <c r="B681" t="s">
        <v>3266</v>
      </c>
      <c r="C681" t="s">
        <v>4387</v>
      </c>
      <c r="D681" t="s">
        <v>1224</v>
      </c>
      <c r="E681">
        <v>3050</v>
      </c>
      <c r="F681" t="s">
        <v>5</v>
      </c>
      <c r="G681">
        <v>618</v>
      </c>
      <c r="H681" t="s">
        <v>6</v>
      </c>
      <c r="I681">
        <v>-552.27297379615698</v>
      </c>
      <c r="J681" t="s">
        <v>7</v>
      </c>
      <c r="K681">
        <v>-0.181073106162674</v>
      </c>
      <c r="L681" t="s">
        <v>8</v>
      </c>
      <c r="M681">
        <v>5.59480478502394</v>
      </c>
      <c r="N681" t="s">
        <v>9</v>
      </c>
      <c r="O681">
        <v>-1.64879207686717</v>
      </c>
      <c r="P681" t="s">
        <v>10</v>
      </c>
      <c r="Q681">
        <v>8.2723249239436392</v>
      </c>
      <c r="R681" t="s">
        <v>11</v>
      </c>
      <c r="S681" t="s">
        <v>3356</v>
      </c>
      <c r="T681" t="s">
        <v>2914</v>
      </c>
      <c r="U681">
        <v>0</v>
      </c>
      <c r="V681" t="s">
        <v>14</v>
      </c>
      <c r="W681" t="s">
        <v>15</v>
      </c>
      <c r="X681" t="s">
        <v>3357</v>
      </c>
      <c r="Y681" t="s">
        <v>2612</v>
      </c>
      <c r="Z681">
        <v>0</v>
      </c>
      <c r="AA681" t="s">
        <v>18</v>
      </c>
    </row>
    <row r="682" spans="1:27" x14ac:dyDescent="0.3">
      <c r="A682" t="s">
        <v>1143</v>
      </c>
      <c r="B682" t="s">
        <v>3283</v>
      </c>
      <c r="C682" t="s">
        <v>4388</v>
      </c>
      <c r="D682" t="s">
        <v>1224</v>
      </c>
      <c r="E682">
        <v>3050</v>
      </c>
      <c r="F682" t="s">
        <v>5</v>
      </c>
      <c r="G682">
        <v>1113</v>
      </c>
      <c r="H682" t="s">
        <v>6</v>
      </c>
      <c r="I682">
        <v>-553.898092566782</v>
      </c>
      <c r="J682" t="s">
        <v>7</v>
      </c>
      <c r="K682">
        <v>-0.18160593198910799</v>
      </c>
      <c r="L682" t="s">
        <v>8</v>
      </c>
      <c r="M682">
        <v>2.5340681220785002</v>
      </c>
      <c r="N682" t="s">
        <v>9</v>
      </c>
      <c r="O682">
        <v>-1.7420319630563501</v>
      </c>
      <c r="P682" t="s">
        <v>10</v>
      </c>
      <c r="Q682">
        <v>6.05853646153881</v>
      </c>
      <c r="R682" t="s">
        <v>11</v>
      </c>
      <c r="S682" t="s">
        <v>3367</v>
      </c>
      <c r="T682" t="s">
        <v>647</v>
      </c>
      <c r="U682">
        <v>0</v>
      </c>
      <c r="V682" t="s">
        <v>14</v>
      </c>
      <c r="W682" t="s">
        <v>15</v>
      </c>
      <c r="X682" t="s">
        <v>3374</v>
      </c>
      <c r="Y682" t="s">
        <v>782</v>
      </c>
      <c r="Z682">
        <v>0</v>
      </c>
      <c r="AA682" t="s">
        <v>18</v>
      </c>
    </row>
    <row r="683" spans="1:27" x14ac:dyDescent="0.3">
      <c r="A683" t="s">
        <v>1143</v>
      </c>
      <c r="B683" t="s">
        <v>3203</v>
      </c>
      <c r="C683" t="s">
        <v>4389</v>
      </c>
      <c r="D683" t="s">
        <v>1224</v>
      </c>
      <c r="E683">
        <v>3073</v>
      </c>
      <c r="F683" t="s">
        <v>5</v>
      </c>
      <c r="G683">
        <v>1626</v>
      </c>
      <c r="H683" t="s">
        <v>6</v>
      </c>
      <c r="I683">
        <v>-562.26790783457204</v>
      </c>
      <c r="J683" t="s">
        <v>7</v>
      </c>
      <c r="K683">
        <v>-0.182970357251732</v>
      </c>
      <c r="L683" t="s">
        <v>8</v>
      </c>
      <c r="M683">
        <v>1.21292419793866</v>
      </c>
      <c r="N683" t="s">
        <v>9</v>
      </c>
      <c r="O683">
        <v>-1.7539672343825901</v>
      </c>
      <c r="P683" t="s">
        <v>10</v>
      </c>
      <c r="Q683">
        <v>3.6602349149858302</v>
      </c>
      <c r="R683" t="s">
        <v>11</v>
      </c>
      <c r="S683" t="s">
        <v>3297</v>
      </c>
      <c r="T683" t="s">
        <v>2046</v>
      </c>
      <c r="U683">
        <v>0</v>
      </c>
      <c r="V683" t="s">
        <v>14</v>
      </c>
      <c r="W683" t="s">
        <v>15</v>
      </c>
      <c r="X683" t="s">
        <v>3298</v>
      </c>
      <c r="Y683" t="s">
        <v>21</v>
      </c>
      <c r="Z683">
        <v>0</v>
      </c>
      <c r="AA683" t="s">
        <v>18</v>
      </c>
    </row>
    <row r="684" spans="1:27" x14ac:dyDescent="0.3">
      <c r="A684" t="s">
        <v>1143</v>
      </c>
      <c r="B684" t="s">
        <v>3212</v>
      </c>
      <c r="C684" t="s">
        <v>4390</v>
      </c>
      <c r="D684" t="s">
        <v>1224</v>
      </c>
      <c r="E684">
        <v>3050</v>
      </c>
      <c r="F684" t="s">
        <v>5</v>
      </c>
      <c r="G684">
        <v>1239</v>
      </c>
      <c r="H684" t="s">
        <v>6</v>
      </c>
      <c r="I684">
        <v>-572.49201274142399</v>
      </c>
      <c r="J684" t="s">
        <v>7</v>
      </c>
      <c r="K684">
        <v>-0.18770229925948301</v>
      </c>
      <c r="L684" t="s">
        <v>8</v>
      </c>
      <c r="M684">
        <v>2.2536178199967498</v>
      </c>
      <c r="N684" t="s">
        <v>9</v>
      </c>
      <c r="O684">
        <v>-1.8579373228699101</v>
      </c>
      <c r="P684" t="s">
        <v>10</v>
      </c>
      <c r="Q684">
        <v>6.2011525115468302</v>
      </c>
      <c r="R684" t="s">
        <v>11</v>
      </c>
      <c r="S684" t="s">
        <v>3301</v>
      </c>
      <c r="T684" t="s">
        <v>2046</v>
      </c>
      <c r="U684">
        <v>0</v>
      </c>
      <c r="V684" t="s">
        <v>14</v>
      </c>
      <c r="W684" t="s">
        <v>15</v>
      </c>
      <c r="X684" t="s">
        <v>3306</v>
      </c>
      <c r="Y684" t="s">
        <v>2046</v>
      </c>
      <c r="Z684">
        <v>0</v>
      </c>
      <c r="AA684" t="s">
        <v>18</v>
      </c>
    </row>
    <row r="685" spans="1:27" x14ac:dyDescent="0.3">
      <c r="A685" t="s">
        <v>1143</v>
      </c>
      <c r="B685" t="s">
        <v>3222</v>
      </c>
      <c r="C685" t="s">
        <v>4391</v>
      </c>
      <c r="D685" t="s">
        <v>1224</v>
      </c>
      <c r="E685">
        <v>3073</v>
      </c>
      <c r="F685" t="s">
        <v>5</v>
      </c>
      <c r="G685">
        <v>1454</v>
      </c>
      <c r="H685" t="s">
        <v>6</v>
      </c>
      <c r="I685">
        <v>-583.30290472869206</v>
      </c>
      <c r="J685" t="s">
        <v>7</v>
      </c>
      <c r="K685">
        <v>-0.18981545874672701</v>
      </c>
      <c r="L685" t="s">
        <v>8</v>
      </c>
      <c r="M685">
        <v>1.18920219219111</v>
      </c>
      <c r="N685" t="s">
        <v>9</v>
      </c>
      <c r="O685">
        <v>-1.43005744723226</v>
      </c>
      <c r="P685" t="s">
        <v>10</v>
      </c>
      <c r="Q685">
        <v>4.0684001777776997</v>
      </c>
      <c r="R685" t="s">
        <v>11</v>
      </c>
      <c r="S685" t="s">
        <v>2027</v>
      </c>
      <c r="T685" t="s">
        <v>2631</v>
      </c>
      <c r="U685">
        <v>0</v>
      </c>
      <c r="V685" t="s">
        <v>14</v>
      </c>
      <c r="W685" t="s">
        <v>15</v>
      </c>
      <c r="X685" t="s">
        <v>3315</v>
      </c>
      <c r="Y685" t="s">
        <v>21</v>
      </c>
      <c r="Z685">
        <v>0</v>
      </c>
      <c r="AA685" t="s">
        <v>18</v>
      </c>
    </row>
    <row r="686" spans="1:27" x14ac:dyDescent="0.3">
      <c r="A686" t="s">
        <v>1143</v>
      </c>
      <c r="B686" t="s">
        <v>3224</v>
      </c>
      <c r="C686" t="s">
        <v>4392</v>
      </c>
      <c r="D686" t="s">
        <v>1224</v>
      </c>
      <c r="E686">
        <v>3073</v>
      </c>
      <c r="F686" t="s">
        <v>5</v>
      </c>
      <c r="G686">
        <v>1348</v>
      </c>
      <c r="H686" t="s">
        <v>6</v>
      </c>
      <c r="I686">
        <v>-583.76543860858396</v>
      </c>
      <c r="J686" t="s">
        <v>7</v>
      </c>
      <c r="K686">
        <v>-0.18996597416485</v>
      </c>
      <c r="L686" t="s">
        <v>8</v>
      </c>
      <c r="M686">
        <v>1.43023082819561</v>
      </c>
      <c r="N686" t="s">
        <v>9</v>
      </c>
      <c r="O686">
        <v>-1.45775774522128</v>
      </c>
      <c r="P686" t="s">
        <v>10</v>
      </c>
      <c r="Q686">
        <v>5.9531346761389301</v>
      </c>
      <c r="R686" t="s">
        <v>11</v>
      </c>
      <c r="S686" t="s">
        <v>2027</v>
      </c>
      <c r="T686" t="s">
        <v>2631</v>
      </c>
      <c r="U686">
        <v>0</v>
      </c>
      <c r="V686" t="s">
        <v>14</v>
      </c>
      <c r="W686" t="s">
        <v>15</v>
      </c>
      <c r="X686" t="s">
        <v>3315</v>
      </c>
      <c r="Y686" t="s">
        <v>21</v>
      </c>
      <c r="Z686">
        <v>0</v>
      </c>
      <c r="AA686" t="s">
        <v>18</v>
      </c>
    </row>
    <row r="687" spans="1:27" x14ac:dyDescent="0.3">
      <c r="A687" t="s">
        <v>1143</v>
      </c>
      <c r="B687" t="s">
        <v>3220</v>
      </c>
      <c r="C687" t="s">
        <v>4393</v>
      </c>
      <c r="D687" t="s">
        <v>1224</v>
      </c>
      <c r="E687">
        <v>3073</v>
      </c>
      <c r="F687" t="s">
        <v>5</v>
      </c>
      <c r="G687">
        <v>1710</v>
      </c>
      <c r="H687" t="s">
        <v>6</v>
      </c>
      <c r="I687">
        <v>-606.42677456336298</v>
      </c>
      <c r="J687" t="s">
        <v>7</v>
      </c>
      <c r="K687">
        <v>-0.197340310629145</v>
      </c>
      <c r="L687" t="s">
        <v>8</v>
      </c>
      <c r="M687">
        <v>0.76327716335247098</v>
      </c>
      <c r="N687" t="s">
        <v>9</v>
      </c>
      <c r="O687">
        <v>-1.4035467870015299</v>
      </c>
      <c r="P687" t="s">
        <v>10</v>
      </c>
      <c r="Q687">
        <v>2.81615001918995</v>
      </c>
      <c r="R687" t="s">
        <v>11</v>
      </c>
      <c r="S687" t="s">
        <v>2027</v>
      </c>
      <c r="T687" t="s">
        <v>2631</v>
      </c>
      <c r="U687">
        <v>0</v>
      </c>
      <c r="V687" t="s">
        <v>14</v>
      </c>
      <c r="W687" t="s">
        <v>15</v>
      </c>
      <c r="X687" t="s">
        <v>3313</v>
      </c>
      <c r="Y687" t="s">
        <v>21</v>
      </c>
      <c r="Z687">
        <v>0</v>
      </c>
      <c r="AA687" t="s">
        <v>18</v>
      </c>
    </row>
    <row r="688" spans="1:27" x14ac:dyDescent="0.3">
      <c r="A688" t="s">
        <v>1143</v>
      </c>
      <c r="B688" t="s">
        <v>3210</v>
      </c>
      <c r="C688" t="s">
        <v>4394</v>
      </c>
      <c r="D688" t="s">
        <v>1224</v>
      </c>
      <c r="E688">
        <v>3050</v>
      </c>
      <c r="F688" t="s">
        <v>5</v>
      </c>
      <c r="G688">
        <v>1418</v>
      </c>
      <c r="H688" t="s">
        <v>6</v>
      </c>
      <c r="I688">
        <v>-606.60028768779205</v>
      </c>
      <c r="J688" t="s">
        <v>7</v>
      </c>
      <c r="K688">
        <v>-0.198885340225505</v>
      </c>
      <c r="L688" t="s">
        <v>8</v>
      </c>
      <c r="M688">
        <v>1.6821545434312499</v>
      </c>
      <c r="N688" t="s">
        <v>9</v>
      </c>
      <c r="O688">
        <v>-1.8332692587459001</v>
      </c>
      <c r="P688" t="s">
        <v>10</v>
      </c>
      <c r="Q688">
        <v>4.1639042831866302</v>
      </c>
      <c r="R688" t="s">
        <v>11</v>
      </c>
      <c r="S688" t="s">
        <v>3299</v>
      </c>
      <c r="T688" t="s">
        <v>2046</v>
      </c>
      <c r="U688">
        <v>0</v>
      </c>
      <c r="V688" t="s">
        <v>14</v>
      </c>
      <c r="W688" t="s">
        <v>15</v>
      </c>
      <c r="X688" t="s">
        <v>3305</v>
      </c>
      <c r="Y688" t="s">
        <v>782</v>
      </c>
      <c r="Z688">
        <v>0</v>
      </c>
      <c r="AA688" t="s">
        <v>18</v>
      </c>
    </row>
    <row r="689" spans="1:27" x14ac:dyDescent="0.3">
      <c r="A689" t="s">
        <v>1143</v>
      </c>
      <c r="B689" t="s">
        <v>3221</v>
      </c>
      <c r="C689" t="s">
        <v>4395</v>
      </c>
      <c r="D689" t="s">
        <v>1224</v>
      </c>
      <c r="E689">
        <v>3073</v>
      </c>
      <c r="F689" t="s">
        <v>5</v>
      </c>
      <c r="G689">
        <v>1566</v>
      </c>
      <c r="H689" t="s">
        <v>6</v>
      </c>
      <c r="I689">
        <v>-607.64257419820501</v>
      </c>
      <c r="J689" t="s">
        <v>7</v>
      </c>
      <c r="K689">
        <v>-0.19773594995060301</v>
      </c>
      <c r="L689" t="s">
        <v>8</v>
      </c>
      <c r="M689">
        <v>0.97643012187660005</v>
      </c>
      <c r="N689" t="s">
        <v>9</v>
      </c>
      <c r="O689">
        <v>-1.4197555781109299</v>
      </c>
      <c r="P689" t="s">
        <v>10</v>
      </c>
      <c r="Q689">
        <v>3.3572234569748902</v>
      </c>
      <c r="R689" t="s">
        <v>11</v>
      </c>
      <c r="S689" t="s">
        <v>2027</v>
      </c>
      <c r="T689" t="s">
        <v>2631</v>
      </c>
      <c r="U689">
        <v>0</v>
      </c>
      <c r="V689" t="s">
        <v>14</v>
      </c>
      <c r="W689" t="s">
        <v>15</v>
      </c>
      <c r="X689" t="s">
        <v>3314</v>
      </c>
      <c r="Y689" t="s">
        <v>21</v>
      </c>
      <c r="Z689">
        <v>0</v>
      </c>
      <c r="AA689" t="s">
        <v>18</v>
      </c>
    </row>
    <row r="690" spans="1:27" x14ac:dyDescent="0.3">
      <c r="A690" t="s">
        <v>1143</v>
      </c>
      <c r="B690" t="s">
        <v>3223</v>
      </c>
      <c r="C690" t="s">
        <v>4396</v>
      </c>
      <c r="D690" t="s">
        <v>1224</v>
      </c>
      <c r="E690">
        <v>3073</v>
      </c>
      <c r="F690" t="s">
        <v>5</v>
      </c>
      <c r="G690">
        <v>1385</v>
      </c>
      <c r="H690" t="s">
        <v>6</v>
      </c>
      <c r="I690">
        <v>-613.98290472869303</v>
      </c>
      <c r="J690" t="s">
        <v>7</v>
      </c>
      <c r="K690">
        <v>-0.19979918800152699</v>
      </c>
      <c r="L690" t="s">
        <v>8</v>
      </c>
      <c r="M690">
        <v>1.3232563086251801</v>
      </c>
      <c r="N690" t="s">
        <v>9</v>
      </c>
      <c r="O690">
        <v>-1.4511820238283299</v>
      </c>
      <c r="P690" t="s">
        <v>10</v>
      </c>
      <c r="Q690">
        <v>4.97665068392691</v>
      </c>
      <c r="R690" t="s">
        <v>11</v>
      </c>
      <c r="S690" t="s">
        <v>2027</v>
      </c>
      <c r="T690" t="s">
        <v>2631</v>
      </c>
      <c r="U690">
        <v>0</v>
      </c>
      <c r="V690" t="s">
        <v>14</v>
      </c>
      <c r="W690" t="s">
        <v>15</v>
      </c>
      <c r="X690" t="s">
        <v>3315</v>
      </c>
      <c r="Y690" t="s">
        <v>21</v>
      </c>
      <c r="Z690">
        <v>0</v>
      </c>
      <c r="AA690" t="s">
        <v>18</v>
      </c>
    </row>
    <row r="691" spans="1:27" x14ac:dyDescent="0.3">
      <c r="A691" t="s">
        <v>1143</v>
      </c>
      <c r="B691" t="s">
        <v>3207</v>
      </c>
      <c r="C691" t="s">
        <v>4397</v>
      </c>
      <c r="D691" t="s">
        <v>1224</v>
      </c>
      <c r="E691">
        <v>3073</v>
      </c>
      <c r="F691" t="s">
        <v>5</v>
      </c>
      <c r="G691">
        <v>1332</v>
      </c>
      <c r="H691" t="s">
        <v>6</v>
      </c>
      <c r="I691">
        <v>-624.58790783456698</v>
      </c>
      <c r="J691" t="s">
        <v>7</v>
      </c>
      <c r="K691">
        <v>-0.20325021406917201</v>
      </c>
      <c r="L691" t="s">
        <v>8</v>
      </c>
      <c r="M691">
        <v>1.8942606871765999</v>
      </c>
      <c r="N691" t="s">
        <v>9</v>
      </c>
      <c r="O691">
        <v>-1.81008806391824</v>
      </c>
      <c r="P691" t="s">
        <v>10</v>
      </c>
      <c r="Q691">
        <v>6.9280102192910897</v>
      </c>
      <c r="R691" t="s">
        <v>11</v>
      </c>
      <c r="S691" t="s">
        <v>3301</v>
      </c>
      <c r="T691" t="s">
        <v>2627</v>
      </c>
    </row>
    <row r="692" spans="1:27" x14ac:dyDescent="0.3">
      <c r="A692" t="s">
        <v>1143</v>
      </c>
      <c r="B692" t="s">
        <v>3206</v>
      </c>
      <c r="C692" t="s">
        <v>4398</v>
      </c>
      <c r="D692" t="s">
        <v>1224</v>
      </c>
      <c r="E692">
        <v>3073</v>
      </c>
      <c r="F692" t="s">
        <v>5</v>
      </c>
      <c r="G692">
        <v>1348</v>
      </c>
      <c r="H692" t="s">
        <v>6</v>
      </c>
      <c r="I692">
        <v>-626.39790783456704</v>
      </c>
      <c r="J692" t="s">
        <v>7</v>
      </c>
      <c r="K692">
        <v>-0.20383921504541699</v>
      </c>
      <c r="L692" t="s">
        <v>8</v>
      </c>
      <c r="M692">
        <v>1.8429267324326699</v>
      </c>
      <c r="N692" t="s">
        <v>9</v>
      </c>
      <c r="O692">
        <v>-1.80537617130227</v>
      </c>
      <c r="P692" t="s">
        <v>10</v>
      </c>
      <c r="Q692">
        <v>6.2577317681745503</v>
      </c>
      <c r="R692" t="s">
        <v>11</v>
      </c>
      <c r="S692" t="s">
        <v>3301</v>
      </c>
      <c r="T692" t="s">
        <v>2627</v>
      </c>
    </row>
    <row r="693" spans="1:27" x14ac:dyDescent="0.3">
      <c r="A693" t="s">
        <v>1143</v>
      </c>
      <c r="B693" t="s">
        <v>3256</v>
      </c>
      <c r="C693" t="s">
        <v>4399</v>
      </c>
      <c r="D693" t="s">
        <v>1224</v>
      </c>
      <c r="E693">
        <v>3073</v>
      </c>
      <c r="F693" t="s">
        <v>5</v>
      </c>
      <c r="G693">
        <v>1586</v>
      </c>
      <c r="H693" t="s">
        <v>6</v>
      </c>
      <c r="I693">
        <v>-630.70999999999799</v>
      </c>
      <c r="J693" t="s">
        <v>7</v>
      </c>
      <c r="K693">
        <v>-0.205242434103481</v>
      </c>
      <c r="L693" t="s">
        <v>8</v>
      </c>
      <c r="M693">
        <v>1.1073581336695999</v>
      </c>
      <c r="N693" t="s">
        <v>9</v>
      </c>
      <c r="O693">
        <v>-1.6052320107599201</v>
      </c>
      <c r="P693" t="s">
        <v>10</v>
      </c>
      <c r="Q693">
        <v>3.1610044799400101</v>
      </c>
      <c r="R693" t="s">
        <v>11</v>
      </c>
      <c r="S693" t="s">
        <v>3344</v>
      </c>
      <c r="T693" t="s">
        <v>647</v>
      </c>
      <c r="U693">
        <v>0</v>
      </c>
      <c r="V693" t="s">
        <v>14</v>
      </c>
      <c r="W693" t="s">
        <v>15</v>
      </c>
      <c r="X693" t="s">
        <v>3345</v>
      </c>
      <c r="Y693" t="s">
        <v>593</v>
      </c>
      <c r="Z693">
        <v>0</v>
      </c>
      <c r="AA693" t="s">
        <v>18</v>
      </c>
    </row>
    <row r="694" spans="1:27" x14ac:dyDescent="0.3">
      <c r="A694" t="s">
        <v>1143</v>
      </c>
      <c r="B694" t="s">
        <v>3236</v>
      </c>
      <c r="C694" t="s">
        <v>4400</v>
      </c>
      <c r="D694" t="s">
        <v>1224</v>
      </c>
      <c r="E694">
        <v>3062</v>
      </c>
      <c r="F694" t="s">
        <v>5</v>
      </c>
      <c r="G694">
        <v>1239</v>
      </c>
      <c r="H694" t="s">
        <v>6</v>
      </c>
      <c r="I694">
        <v>-640.19667341198897</v>
      </c>
      <c r="J694" t="s">
        <v>7</v>
      </c>
      <c r="K694">
        <v>-0.20907794690136799</v>
      </c>
      <c r="L694" t="s">
        <v>8</v>
      </c>
      <c r="M694">
        <v>1.9598276230732401</v>
      </c>
      <c r="N694" t="s">
        <v>9</v>
      </c>
      <c r="O694">
        <v>-1.6831722975313901</v>
      </c>
      <c r="P694" t="s">
        <v>10</v>
      </c>
      <c r="Q694">
        <v>5.8928756675488501</v>
      </c>
      <c r="R694" t="s">
        <v>11</v>
      </c>
      <c r="S694" t="s">
        <v>3321</v>
      </c>
      <c r="T694" t="s">
        <v>2602</v>
      </c>
      <c r="U694">
        <v>0</v>
      </c>
      <c r="V694" t="s">
        <v>14</v>
      </c>
      <c r="W694" t="s">
        <v>15</v>
      </c>
      <c r="X694" t="s">
        <v>3323</v>
      </c>
      <c r="Y694" t="s">
        <v>3303</v>
      </c>
      <c r="Z694">
        <v>0</v>
      </c>
      <c r="AA694" t="s">
        <v>18</v>
      </c>
    </row>
    <row r="695" spans="1:27" x14ac:dyDescent="0.3">
      <c r="A695" t="s">
        <v>1143</v>
      </c>
      <c r="B695" t="s">
        <v>3257</v>
      </c>
      <c r="C695" t="s">
        <v>4401</v>
      </c>
      <c r="D695" t="s">
        <v>1224</v>
      </c>
      <c r="E695">
        <v>3073</v>
      </c>
      <c r="F695" t="s">
        <v>5</v>
      </c>
      <c r="G695">
        <v>1405</v>
      </c>
      <c r="H695" t="s">
        <v>6</v>
      </c>
      <c r="I695">
        <v>-662.30999999999597</v>
      </c>
      <c r="J695" t="s">
        <v>7</v>
      </c>
      <c r="K695">
        <v>-0.21552554506996199</v>
      </c>
      <c r="L695" t="s">
        <v>8</v>
      </c>
      <c r="M695">
        <v>1.43646975088968</v>
      </c>
      <c r="N695" t="s">
        <v>9</v>
      </c>
      <c r="O695">
        <v>-1.6080083983203299</v>
      </c>
      <c r="P695" t="s">
        <v>10</v>
      </c>
      <c r="Q695">
        <v>3.8376136027642902</v>
      </c>
      <c r="R695" t="s">
        <v>11</v>
      </c>
      <c r="S695" t="s">
        <v>3344</v>
      </c>
      <c r="T695" t="s">
        <v>647</v>
      </c>
      <c r="U695">
        <v>0</v>
      </c>
      <c r="V695" t="s">
        <v>14</v>
      </c>
      <c r="W695" t="s">
        <v>15</v>
      </c>
      <c r="X695" t="s">
        <v>3346</v>
      </c>
      <c r="Y695" t="s">
        <v>601</v>
      </c>
      <c r="Z695">
        <v>0</v>
      </c>
      <c r="AA695" t="s">
        <v>18</v>
      </c>
    </row>
    <row r="696" spans="1:27" x14ac:dyDescent="0.3">
      <c r="A696" t="s">
        <v>1143</v>
      </c>
      <c r="B696" t="s">
        <v>3231</v>
      </c>
      <c r="C696" t="s">
        <v>4402</v>
      </c>
      <c r="D696" t="s">
        <v>1224</v>
      </c>
      <c r="E696">
        <v>3050</v>
      </c>
      <c r="F696" t="s">
        <v>5</v>
      </c>
      <c r="G696">
        <v>1272</v>
      </c>
      <c r="H696" t="s">
        <v>6</v>
      </c>
      <c r="I696">
        <v>-670.09882141063599</v>
      </c>
      <c r="J696" t="s">
        <v>7</v>
      </c>
      <c r="K696">
        <v>-0.219704531610044</v>
      </c>
      <c r="L696" t="s">
        <v>8</v>
      </c>
      <c r="M696">
        <v>1.7096416481221</v>
      </c>
      <c r="N696" t="s">
        <v>9</v>
      </c>
      <c r="O696">
        <v>-1.60268337905462</v>
      </c>
      <c r="P696" t="s">
        <v>10</v>
      </c>
      <c r="Q696">
        <v>6.6086535424212203</v>
      </c>
      <c r="R696" t="s">
        <v>11</v>
      </c>
      <c r="S696" t="s">
        <v>3316</v>
      </c>
      <c r="T696" t="s">
        <v>647</v>
      </c>
      <c r="U696">
        <v>0</v>
      </c>
      <c r="V696" t="s">
        <v>14</v>
      </c>
      <c r="W696" t="s">
        <v>15</v>
      </c>
      <c r="X696" t="s">
        <v>3319</v>
      </c>
      <c r="Y696" t="s">
        <v>3320</v>
      </c>
      <c r="Z696">
        <v>0</v>
      </c>
      <c r="AA696" t="s">
        <v>18</v>
      </c>
    </row>
    <row r="697" spans="1:27" x14ac:dyDescent="0.3">
      <c r="A697" t="s">
        <v>1143</v>
      </c>
      <c r="B697" t="s">
        <v>3225</v>
      </c>
      <c r="C697" t="s">
        <v>4403</v>
      </c>
      <c r="D697" t="s">
        <v>1224</v>
      </c>
      <c r="E697">
        <v>3073</v>
      </c>
      <c r="F697" t="s">
        <v>5</v>
      </c>
      <c r="G697">
        <v>1331</v>
      </c>
      <c r="H697" t="s">
        <v>6</v>
      </c>
      <c r="I697">
        <v>-684.88000547515105</v>
      </c>
      <c r="J697" t="s">
        <v>7</v>
      </c>
      <c r="K697">
        <v>-0.222870161234998</v>
      </c>
      <c r="L697" t="s">
        <v>8</v>
      </c>
      <c r="M697">
        <v>1.3987224943241101</v>
      </c>
      <c r="N697" t="s">
        <v>9</v>
      </c>
      <c r="O697">
        <v>-1.46355152035664</v>
      </c>
      <c r="P697" t="s">
        <v>10</v>
      </c>
      <c r="Q697">
        <v>6.5432843039273498</v>
      </c>
      <c r="R697" t="s">
        <v>11</v>
      </c>
      <c r="S697" t="s">
        <v>3316</v>
      </c>
      <c r="T697" t="s">
        <v>647</v>
      </c>
      <c r="U697">
        <v>0</v>
      </c>
      <c r="V697" t="s">
        <v>14</v>
      </c>
      <c r="W697" t="s">
        <v>15</v>
      </c>
      <c r="X697" t="s">
        <v>3315</v>
      </c>
      <c r="Y697" t="s">
        <v>21</v>
      </c>
      <c r="Z697">
        <v>0</v>
      </c>
      <c r="AA697" t="s">
        <v>18</v>
      </c>
    </row>
    <row r="698" spans="1:27" x14ac:dyDescent="0.3">
      <c r="A698" t="s">
        <v>1143</v>
      </c>
      <c r="B698" t="s">
        <v>3205</v>
      </c>
      <c r="C698" t="s">
        <v>4404</v>
      </c>
      <c r="D698" t="s">
        <v>1224</v>
      </c>
      <c r="E698">
        <v>3073</v>
      </c>
      <c r="F698" t="s">
        <v>5</v>
      </c>
      <c r="G698">
        <v>1389</v>
      </c>
      <c r="H698" t="s">
        <v>6</v>
      </c>
      <c r="I698">
        <v>-697.32790783456699</v>
      </c>
      <c r="J698" t="s">
        <v>7</v>
      </c>
      <c r="K698">
        <v>-0.226920894186321</v>
      </c>
      <c r="L698" t="s">
        <v>8</v>
      </c>
      <c r="M698">
        <v>1.6781024645343301</v>
      </c>
      <c r="N698" t="s">
        <v>9</v>
      </c>
      <c r="O698">
        <v>-1.80036398993625</v>
      </c>
      <c r="P698" t="s">
        <v>10</v>
      </c>
      <c r="Q698">
        <v>5.2707808847308497</v>
      </c>
      <c r="R698" t="s">
        <v>11</v>
      </c>
      <c r="S698" t="s">
        <v>3301</v>
      </c>
      <c r="T698" t="s">
        <v>2627</v>
      </c>
    </row>
    <row r="699" spans="1:27" x14ac:dyDescent="0.3">
      <c r="A699" t="s">
        <v>1143</v>
      </c>
      <c r="B699" t="s">
        <v>3254</v>
      </c>
      <c r="C699" t="s">
        <v>4405</v>
      </c>
      <c r="D699" t="s">
        <v>1224</v>
      </c>
      <c r="E699">
        <v>3062</v>
      </c>
      <c r="F699" t="s">
        <v>5</v>
      </c>
      <c r="G699">
        <v>1227</v>
      </c>
      <c r="H699" t="s">
        <v>6</v>
      </c>
      <c r="I699">
        <v>-699.74674272987102</v>
      </c>
      <c r="J699" t="s">
        <v>7</v>
      </c>
      <c r="K699">
        <v>-0.22852604269427501</v>
      </c>
      <c r="L699" t="s">
        <v>8</v>
      </c>
      <c r="M699">
        <v>1.42099144455143</v>
      </c>
      <c r="N699" t="s">
        <v>9</v>
      </c>
      <c r="O699">
        <v>-1.33440919999698</v>
      </c>
      <c r="P699" t="s">
        <v>10</v>
      </c>
      <c r="Q699">
        <v>5.5110323635133902</v>
      </c>
      <c r="R699" t="s">
        <v>11</v>
      </c>
      <c r="S699" t="s">
        <v>3340</v>
      </c>
      <c r="T699" t="s">
        <v>3091</v>
      </c>
      <c r="U699">
        <v>0</v>
      </c>
      <c r="V699" t="s">
        <v>14</v>
      </c>
      <c r="W699" t="s">
        <v>15</v>
      </c>
      <c r="X699" t="s">
        <v>3342</v>
      </c>
      <c r="Y699" t="s">
        <v>2793</v>
      </c>
      <c r="Z699">
        <v>0</v>
      </c>
      <c r="AA699" t="s">
        <v>18</v>
      </c>
    </row>
    <row r="700" spans="1:27" x14ac:dyDescent="0.3">
      <c r="A700" t="s">
        <v>1143</v>
      </c>
      <c r="B700" t="s">
        <v>3290</v>
      </c>
      <c r="C700" t="s">
        <v>4406</v>
      </c>
      <c r="D700" t="s">
        <v>1224</v>
      </c>
      <c r="E700">
        <v>3062</v>
      </c>
      <c r="F700" t="s">
        <v>5</v>
      </c>
      <c r="G700">
        <v>692</v>
      </c>
      <c r="H700" t="s">
        <v>6</v>
      </c>
      <c r="I700">
        <v>-706.52007452342605</v>
      </c>
      <c r="J700" t="s">
        <v>7</v>
      </c>
      <c r="K700">
        <v>-0.23073810402463199</v>
      </c>
      <c r="L700" t="s">
        <v>8</v>
      </c>
      <c r="M700">
        <v>5.0498796906131398</v>
      </c>
      <c r="N700" t="s">
        <v>9</v>
      </c>
      <c r="O700">
        <v>-1.7733376194291699</v>
      </c>
      <c r="P700" t="s">
        <v>10</v>
      </c>
      <c r="Q700">
        <v>7.8545625142029296</v>
      </c>
      <c r="R700" t="s">
        <v>11</v>
      </c>
      <c r="S700" t="s">
        <v>3379</v>
      </c>
      <c r="T700" t="s">
        <v>2198</v>
      </c>
      <c r="U700">
        <v>0</v>
      </c>
      <c r="V700" t="s">
        <v>14</v>
      </c>
      <c r="W700" t="s">
        <v>15</v>
      </c>
      <c r="X700" t="s">
        <v>3382</v>
      </c>
      <c r="Y700" t="s">
        <v>3303</v>
      </c>
      <c r="Z700">
        <v>0</v>
      </c>
      <c r="AA700" t="s">
        <v>18</v>
      </c>
    </row>
    <row r="701" spans="1:27" x14ac:dyDescent="0.3">
      <c r="A701" t="s">
        <v>1143</v>
      </c>
      <c r="B701" t="s">
        <v>3204</v>
      </c>
      <c r="C701" t="s">
        <v>4407</v>
      </c>
      <c r="D701" t="s">
        <v>1224</v>
      </c>
      <c r="E701">
        <v>3073</v>
      </c>
      <c r="F701" t="s">
        <v>5</v>
      </c>
      <c r="G701">
        <v>1474</v>
      </c>
      <c r="H701" t="s">
        <v>6</v>
      </c>
      <c r="I701">
        <v>-724.41790783456997</v>
      </c>
      <c r="J701" t="s">
        <v>7</v>
      </c>
      <c r="K701">
        <v>-0.235736383935753</v>
      </c>
      <c r="L701" t="s">
        <v>8</v>
      </c>
      <c r="M701">
        <v>1.4429540863217001</v>
      </c>
      <c r="N701" t="s">
        <v>9</v>
      </c>
      <c r="O701">
        <v>-1.7854303262822599</v>
      </c>
      <c r="P701" t="s">
        <v>10</v>
      </c>
      <c r="Q701">
        <v>4.2748171588930797</v>
      </c>
      <c r="R701" t="s">
        <v>11</v>
      </c>
      <c r="S701" t="s">
        <v>3299</v>
      </c>
      <c r="T701" t="s">
        <v>2046</v>
      </c>
      <c r="U701">
        <v>0</v>
      </c>
      <c r="V701" t="s">
        <v>14</v>
      </c>
      <c r="W701" t="s">
        <v>15</v>
      </c>
      <c r="X701" t="s">
        <v>3300</v>
      </c>
      <c r="Y701" t="s">
        <v>21</v>
      </c>
      <c r="Z701">
        <v>0</v>
      </c>
      <c r="AA701" t="s">
        <v>18</v>
      </c>
    </row>
    <row r="702" spans="1:27" x14ac:dyDescent="0.3">
      <c r="A702" t="s">
        <v>1143</v>
      </c>
      <c r="B702" t="s">
        <v>3274</v>
      </c>
      <c r="C702" t="s">
        <v>4408</v>
      </c>
      <c r="D702" t="s">
        <v>1224</v>
      </c>
      <c r="E702">
        <v>3073</v>
      </c>
      <c r="F702" t="s">
        <v>5</v>
      </c>
      <c r="G702">
        <v>1795</v>
      </c>
      <c r="H702" t="s">
        <v>6</v>
      </c>
      <c r="I702">
        <v>-729.31038588666502</v>
      </c>
      <c r="J702" t="s">
        <v>7</v>
      </c>
      <c r="K702">
        <v>-0.23732846921140999</v>
      </c>
      <c r="L702" t="s">
        <v>8</v>
      </c>
      <c r="M702">
        <v>0.91481456712714404</v>
      </c>
      <c r="N702" t="s">
        <v>9</v>
      </c>
      <c r="O702">
        <v>-1.8555575382471701</v>
      </c>
      <c r="P702" t="s">
        <v>10</v>
      </c>
      <c r="Q702">
        <v>3.37284916118002</v>
      </c>
      <c r="R702" t="s">
        <v>11</v>
      </c>
      <c r="S702" t="s">
        <v>3367</v>
      </c>
      <c r="T702" t="s">
        <v>647</v>
      </c>
      <c r="U702">
        <v>0</v>
      </c>
      <c r="V702" t="s">
        <v>14</v>
      </c>
      <c r="W702" t="s">
        <v>15</v>
      </c>
      <c r="X702" t="s">
        <v>3368</v>
      </c>
      <c r="Y702" t="s">
        <v>3296</v>
      </c>
      <c r="Z702">
        <v>0</v>
      </c>
      <c r="AA702" t="s">
        <v>18</v>
      </c>
    </row>
    <row r="703" spans="1:27" x14ac:dyDescent="0.3">
      <c r="A703" t="s">
        <v>1143</v>
      </c>
      <c r="B703" t="s">
        <v>3218</v>
      </c>
      <c r="C703" t="s">
        <v>4409</v>
      </c>
      <c r="D703" t="s">
        <v>1224</v>
      </c>
      <c r="E703">
        <v>3062</v>
      </c>
      <c r="F703" t="s">
        <v>5</v>
      </c>
      <c r="G703">
        <v>1111</v>
      </c>
      <c r="H703" t="s">
        <v>6</v>
      </c>
      <c r="I703">
        <v>-733.235615441135</v>
      </c>
      <c r="J703" t="s">
        <v>7</v>
      </c>
      <c r="K703">
        <v>-0.23946297042492901</v>
      </c>
      <c r="L703" t="s">
        <v>8</v>
      </c>
      <c r="M703">
        <v>2.7017141252201902</v>
      </c>
      <c r="N703" t="s">
        <v>9</v>
      </c>
      <c r="O703">
        <v>-1.9153025684927001</v>
      </c>
      <c r="P703" t="s">
        <v>10</v>
      </c>
      <c r="Q703">
        <v>6.3555729147755802</v>
      </c>
      <c r="R703" t="s">
        <v>11</v>
      </c>
      <c r="S703" t="s">
        <v>3308</v>
      </c>
      <c r="T703" t="s">
        <v>2602</v>
      </c>
      <c r="U703">
        <v>0</v>
      </c>
      <c r="V703" t="s">
        <v>14</v>
      </c>
      <c r="W703" t="s">
        <v>15</v>
      </c>
      <c r="X703" t="s">
        <v>3311</v>
      </c>
      <c r="Y703" t="s">
        <v>3303</v>
      </c>
      <c r="Z703">
        <v>0</v>
      </c>
      <c r="AA703" t="s">
        <v>18</v>
      </c>
    </row>
    <row r="704" spans="1:27" x14ac:dyDescent="0.3">
      <c r="A704" t="s">
        <v>1143</v>
      </c>
      <c r="B704" t="s">
        <v>3258</v>
      </c>
      <c r="C704" t="s">
        <v>4410</v>
      </c>
      <c r="D704" t="s">
        <v>1224</v>
      </c>
      <c r="E704">
        <v>3073</v>
      </c>
      <c r="F704" t="s">
        <v>5</v>
      </c>
      <c r="G704">
        <v>1204</v>
      </c>
      <c r="H704" t="s">
        <v>6</v>
      </c>
      <c r="I704">
        <v>-744.67999999999699</v>
      </c>
      <c r="J704" t="s">
        <v>7</v>
      </c>
      <c r="K704">
        <v>-0.24232997071265699</v>
      </c>
      <c r="L704" t="s">
        <v>8</v>
      </c>
      <c r="M704">
        <v>1.9089617940199299</v>
      </c>
      <c r="N704" t="s">
        <v>9</v>
      </c>
      <c r="O704">
        <v>-1.6290524625267599</v>
      </c>
      <c r="P704" t="s">
        <v>10</v>
      </c>
      <c r="Q704">
        <v>4.8019933343822396</v>
      </c>
      <c r="R704" t="s">
        <v>11</v>
      </c>
      <c r="S704" t="s">
        <v>3344</v>
      </c>
      <c r="T704" t="s">
        <v>647</v>
      </c>
      <c r="U704">
        <v>0</v>
      </c>
      <c r="V704" t="s">
        <v>14</v>
      </c>
      <c r="W704" t="s">
        <v>15</v>
      </c>
      <c r="X704" t="s">
        <v>3346</v>
      </c>
      <c r="Y704" t="s">
        <v>601</v>
      </c>
      <c r="Z704">
        <v>0</v>
      </c>
      <c r="AA704" t="s">
        <v>18</v>
      </c>
    </row>
    <row r="705" spans="1:27" x14ac:dyDescent="0.3">
      <c r="A705" t="s">
        <v>1143</v>
      </c>
      <c r="B705" s="10" t="s">
        <v>3683</v>
      </c>
      <c r="C705" s="10" t="s">
        <v>4411</v>
      </c>
      <c r="D705" t="s">
        <v>1224</v>
      </c>
      <c r="E705">
        <v>3050</v>
      </c>
      <c r="F705" t="s">
        <v>5</v>
      </c>
      <c r="G705">
        <v>1201</v>
      </c>
      <c r="H705" t="s">
        <v>6</v>
      </c>
      <c r="I705">
        <v>-763.42201274142406</v>
      </c>
      <c r="J705" t="s">
        <v>7</v>
      </c>
      <c r="K705">
        <v>-0.250302299259483</v>
      </c>
      <c r="L705" t="s">
        <v>8</v>
      </c>
      <c r="M705">
        <v>2.25147583595002</v>
      </c>
      <c r="N705" t="s">
        <v>9</v>
      </c>
      <c r="O705">
        <v>-1.87530799984717</v>
      </c>
      <c r="P705" t="s">
        <v>10</v>
      </c>
      <c r="Q705">
        <v>6.7712941971124696</v>
      </c>
      <c r="R705" t="s">
        <v>11</v>
      </c>
      <c r="S705" t="s">
        <v>3301</v>
      </c>
      <c r="T705" t="s">
        <v>2046</v>
      </c>
      <c r="U705">
        <v>0</v>
      </c>
      <c r="V705" t="s">
        <v>14</v>
      </c>
      <c r="W705" t="s">
        <v>15</v>
      </c>
      <c r="X705" t="s">
        <v>3307</v>
      </c>
      <c r="Y705" t="s">
        <v>2793</v>
      </c>
      <c r="Z705">
        <v>0</v>
      </c>
      <c r="AA705" t="s">
        <v>18</v>
      </c>
    </row>
    <row r="706" spans="1:27" x14ac:dyDescent="0.3">
      <c r="A706" t="s">
        <v>1143</v>
      </c>
      <c r="B706" t="s">
        <v>3267</v>
      </c>
      <c r="C706" t="s">
        <v>4412</v>
      </c>
      <c r="D706" t="s">
        <v>1224</v>
      </c>
      <c r="E706">
        <v>3050</v>
      </c>
      <c r="F706" t="s">
        <v>5</v>
      </c>
      <c r="G706">
        <v>541</v>
      </c>
      <c r="H706" t="s">
        <v>6</v>
      </c>
      <c r="I706">
        <v>-776.217808689197</v>
      </c>
      <c r="J706" t="s">
        <v>7</v>
      </c>
      <c r="K706">
        <v>-0.254497642193179</v>
      </c>
      <c r="L706" t="s">
        <v>8</v>
      </c>
      <c r="M706">
        <v>6.3117995689940898</v>
      </c>
      <c r="N706" t="s">
        <v>9</v>
      </c>
      <c r="O706">
        <v>-1.6703472999262701</v>
      </c>
      <c r="P706" t="s">
        <v>10</v>
      </c>
      <c r="Q706">
        <v>9.2913110065776099</v>
      </c>
      <c r="R706" t="s">
        <v>11</v>
      </c>
      <c r="S706" t="s">
        <v>3356</v>
      </c>
      <c r="T706" t="s">
        <v>2914</v>
      </c>
      <c r="U706">
        <v>0</v>
      </c>
      <c r="V706" t="s">
        <v>14</v>
      </c>
      <c r="W706" t="s">
        <v>15</v>
      </c>
      <c r="X706" t="s">
        <v>3358</v>
      </c>
      <c r="Y706" t="s">
        <v>2554</v>
      </c>
      <c r="Z706">
        <v>0</v>
      </c>
      <c r="AA706" t="s">
        <v>18</v>
      </c>
    </row>
    <row r="707" spans="1:27" x14ac:dyDescent="0.3">
      <c r="A707" t="s">
        <v>1143</v>
      </c>
      <c r="B707" t="s">
        <v>3259</v>
      </c>
      <c r="C707" t="s">
        <v>4413</v>
      </c>
      <c r="D707" t="s">
        <v>1224</v>
      </c>
      <c r="E707">
        <v>3073</v>
      </c>
      <c r="F707" t="s">
        <v>5</v>
      </c>
      <c r="G707">
        <v>1050</v>
      </c>
      <c r="H707" t="s">
        <v>6</v>
      </c>
      <c r="I707">
        <v>-805.43999999999699</v>
      </c>
      <c r="J707" t="s">
        <v>7</v>
      </c>
      <c r="K707">
        <v>-0.26210218027985599</v>
      </c>
      <c r="L707" t="s">
        <v>8</v>
      </c>
      <c r="M707">
        <v>2.4411523809523801</v>
      </c>
      <c r="N707" t="s">
        <v>9</v>
      </c>
      <c r="O707">
        <v>-1.66599901088031</v>
      </c>
      <c r="P707" t="s">
        <v>10</v>
      </c>
      <c r="Q707">
        <v>6.4306767829068097</v>
      </c>
      <c r="R707" t="s">
        <v>11</v>
      </c>
      <c r="S707" t="s">
        <v>3347</v>
      </c>
      <c r="T707" t="s">
        <v>2587</v>
      </c>
      <c r="U707">
        <v>0</v>
      </c>
      <c r="V707" t="s">
        <v>14</v>
      </c>
      <c r="W707" t="s">
        <v>15</v>
      </c>
      <c r="X707" t="s">
        <v>3348</v>
      </c>
      <c r="Y707" t="s">
        <v>2783</v>
      </c>
      <c r="Z707">
        <v>0</v>
      </c>
      <c r="AA707" t="s">
        <v>18</v>
      </c>
    </row>
    <row r="708" spans="1:27" x14ac:dyDescent="0.3">
      <c r="A708" t="s">
        <v>1143</v>
      </c>
      <c r="B708" t="s">
        <v>3273</v>
      </c>
      <c r="C708" t="s">
        <v>4414</v>
      </c>
      <c r="D708" t="s">
        <v>1224</v>
      </c>
      <c r="E708">
        <v>3062</v>
      </c>
      <c r="F708" t="s">
        <v>5</v>
      </c>
      <c r="G708">
        <v>364</v>
      </c>
      <c r="H708" t="s">
        <v>6</v>
      </c>
      <c r="I708">
        <v>-824.293931501565</v>
      </c>
      <c r="J708" t="s">
        <v>7</v>
      </c>
      <c r="K708">
        <v>-0.269201153331667</v>
      </c>
      <c r="L708" t="s">
        <v>8</v>
      </c>
      <c r="M708">
        <v>11.2407039817131</v>
      </c>
      <c r="N708" t="s">
        <v>9</v>
      </c>
      <c r="O708">
        <v>-1.8220571463473501</v>
      </c>
      <c r="P708" t="s">
        <v>10</v>
      </c>
      <c r="Q708">
        <v>9.6157152414397</v>
      </c>
      <c r="R708" t="s">
        <v>11</v>
      </c>
      <c r="S708" t="s">
        <v>3356</v>
      </c>
      <c r="T708" t="s">
        <v>2914</v>
      </c>
      <c r="U708">
        <v>0</v>
      </c>
      <c r="V708" t="s">
        <v>14</v>
      </c>
      <c r="W708" t="s">
        <v>15</v>
      </c>
      <c r="X708" t="s">
        <v>3366</v>
      </c>
      <c r="Y708" t="s">
        <v>2783</v>
      </c>
      <c r="Z708">
        <v>0</v>
      </c>
      <c r="AA708" t="s">
        <v>18</v>
      </c>
    </row>
    <row r="709" spans="1:27" x14ac:dyDescent="0.3">
      <c r="A709" t="s">
        <v>1143</v>
      </c>
      <c r="B709" t="s">
        <v>3255</v>
      </c>
      <c r="C709" t="s">
        <v>4415</v>
      </c>
      <c r="D709" t="s">
        <v>1224</v>
      </c>
      <c r="E709">
        <v>3062</v>
      </c>
      <c r="F709" t="s">
        <v>5</v>
      </c>
      <c r="G709">
        <v>1188</v>
      </c>
      <c r="H709" t="s">
        <v>6</v>
      </c>
      <c r="I709">
        <v>-838.70940935827105</v>
      </c>
      <c r="J709" t="s">
        <v>7</v>
      </c>
      <c r="K709">
        <v>-0.27390901677278601</v>
      </c>
      <c r="L709" t="s">
        <v>8</v>
      </c>
      <c r="M709">
        <v>1.4369411560852701</v>
      </c>
      <c r="N709" t="s">
        <v>9</v>
      </c>
      <c r="O709">
        <v>-1.3613879694051201</v>
      </c>
      <c r="P709" t="s">
        <v>10</v>
      </c>
      <c r="Q709">
        <v>6.3306473061880597</v>
      </c>
      <c r="R709" t="s">
        <v>11</v>
      </c>
      <c r="S709" t="s">
        <v>3340</v>
      </c>
      <c r="T709" t="s">
        <v>3091</v>
      </c>
      <c r="U709">
        <v>0</v>
      </c>
      <c r="V709" t="s">
        <v>14</v>
      </c>
      <c r="W709" t="s">
        <v>15</v>
      </c>
      <c r="X709" t="s">
        <v>3343</v>
      </c>
      <c r="Y709" t="s">
        <v>3320</v>
      </c>
      <c r="Z709">
        <v>0</v>
      </c>
      <c r="AA709" t="s">
        <v>18</v>
      </c>
    </row>
    <row r="710" spans="1:27" x14ac:dyDescent="0.3">
      <c r="A710" t="s">
        <v>1143</v>
      </c>
      <c r="B710" t="s">
        <v>3284</v>
      </c>
      <c r="C710" t="s">
        <v>4416</v>
      </c>
      <c r="D710" t="s">
        <v>1224</v>
      </c>
      <c r="E710">
        <v>3050</v>
      </c>
      <c r="F710" t="s">
        <v>5</v>
      </c>
      <c r="G710">
        <v>979</v>
      </c>
      <c r="H710" t="s">
        <v>6</v>
      </c>
      <c r="I710">
        <v>-843.38292745982199</v>
      </c>
      <c r="J710" t="s">
        <v>7</v>
      </c>
      <c r="K710">
        <v>-0.27651899260977703</v>
      </c>
      <c r="L710" t="s">
        <v>8</v>
      </c>
      <c r="M710">
        <v>2.8729448263333301</v>
      </c>
      <c r="N710" t="s">
        <v>9</v>
      </c>
      <c r="O710">
        <v>-1.76532878437477</v>
      </c>
      <c r="P710" t="s">
        <v>10</v>
      </c>
      <c r="Q710">
        <v>7.3378670278076399</v>
      </c>
      <c r="R710" t="s">
        <v>11</v>
      </c>
      <c r="S710" t="s">
        <v>3375</v>
      </c>
      <c r="T710" t="s">
        <v>647</v>
      </c>
      <c r="U710">
        <v>0</v>
      </c>
      <c r="V710" t="s">
        <v>14</v>
      </c>
      <c r="W710" t="s">
        <v>15</v>
      </c>
      <c r="X710" t="s">
        <v>3376</v>
      </c>
      <c r="Y710" t="s">
        <v>2554</v>
      </c>
      <c r="Z710">
        <v>0</v>
      </c>
      <c r="AA710" t="s">
        <v>18</v>
      </c>
    </row>
    <row r="711" spans="1:27" x14ac:dyDescent="0.3">
      <c r="A711" t="s">
        <v>1143</v>
      </c>
      <c r="B711" t="s">
        <v>3260</v>
      </c>
      <c r="C711" t="s">
        <v>4417</v>
      </c>
      <c r="D711" t="s">
        <v>1224</v>
      </c>
      <c r="E711">
        <v>3073</v>
      </c>
      <c r="F711" t="s">
        <v>5</v>
      </c>
      <c r="G711">
        <v>964</v>
      </c>
      <c r="H711" t="s">
        <v>6</v>
      </c>
      <c r="I711">
        <v>-932.05999999999597</v>
      </c>
      <c r="J711" t="s">
        <v>7</v>
      </c>
      <c r="K711">
        <v>-0.30330621542466502</v>
      </c>
      <c r="L711" t="s">
        <v>8</v>
      </c>
      <c r="M711">
        <v>2.71179460580912</v>
      </c>
      <c r="N711" t="s">
        <v>9</v>
      </c>
      <c r="O711">
        <v>-1.6822722960151799</v>
      </c>
      <c r="P711" t="s">
        <v>10</v>
      </c>
      <c r="Q711">
        <v>7.7283984533894801</v>
      </c>
      <c r="R711" t="s">
        <v>11</v>
      </c>
      <c r="S711" t="s">
        <v>3349</v>
      </c>
      <c r="T711" t="s">
        <v>647</v>
      </c>
      <c r="U711">
        <v>0</v>
      </c>
      <c r="V711" t="s">
        <v>14</v>
      </c>
      <c r="W711" t="s">
        <v>15</v>
      </c>
      <c r="X711" t="s">
        <v>3350</v>
      </c>
      <c r="Y711" t="s">
        <v>2783</v>
      </c>
      <c r="Z711">
        <v>0</v>
      </c>
      <c r="AA711" t="s">
        <v>18</v>
      </c>
    </row>
    <row r="712" spans="1:27" x14ac:dyDescent="0.3">
      <c r="A712" t="s">
        <v>1143</v>
      </c>
      <c r="B712" t="s">
        <v>3285</v>
      </c>
      <c r="C712" t="s">
        <v>4418</v>
      </c>
      <c r="D712" t="s">
        <v>1224</v>
      </c>
      <c r="E712">
        <v>3050</v>
      </c>
      <c r="F712" t="s">
        <v>5</v>
      </c>
      <c r="G712">
        <v>925</v>
      </c>
      <c r="H712" t="s">
        <v>6</v>
      </c>
      <c r="I712">
        <v>-1029.01916507188</v>
      </c>
      <c r="J712" t="s">
        <v>7</v>
      </c>
      <c r="K712">
        <v>-0.33738333281045502</v>
      </c>
      <c r="L712" t="s">
        <v>8</v>
      </c>
      <c r="M712">
        <v>3.0000163947102201</v>
      </c>
      <c r="N712" t="s">
        <v>9</v>
      </c>
      <c r="O712">
        <v>-1.7901338024371101</v>
      </c>
      <c r="P712" t="s">
        <v>10</v>
      </c>
      <c r="Q712">
        <v>8.3119582088766499</v>
      </c>
      <c r="R712" t="s">
        <v>11</v>
      </c>
      <c r="S712" t="s">
        <v>3377</v>
      </c>
      <c r="T712" t="s">
        <v>691</v>
      </c>
      <c r="U712">
        <v>0</v>
      </c>
      <c r="V712" t="s">
        <v>14</v>
      </c>
      <c r="W712" t="s">
        <v>15</v>
      </c>
      <c r="X712" t="s">
        <v>3378</v>
      </c>
      <c r="Y712" t="s">
        <v>2582</v>
      </c>
      <c r="Z712">
        <v>0</v>
      </c>
      <c r="AA712" t="s">
        <v>18</v>
      </c>
    </row>
    <row r="713" spans="1:27" x14ac:dyDescent="0.3">
      <c r="A713" t="s">
        <v>1143</v>
      </c>
      <c r="B713" t="s">
        <v>3275</v>
      </c>
      <c r="C713" t="s">
        <v>4419</v>
      </c>
      <c r="D713" t="s">
        <v>1224</v>
      </c>
      <c r="E713">
        <v>3073</v>
      </c>
      <c r="F713" t="s">
        <v>5</v>
      </c>
      <c r="G713">
        <v>1493</v>
      </c>
      <c r="H713" t="s">
        <v>6</v>
      </c>
      <c r="I713">
        <v>-1035.9303858866599</v>
      </c>
      <c r="J713" t="s">
        <v>7</v>
      </c>
      <c r="K713">
        <v>-0.33710718707668802</v>
      </c>
      <c r="L713" t="s">
        <v>8</v>
      </c>
      <c r="M713">
        <v>1.2934307756150201</v>
      </c>
      <c r="N713" t="s">
        <v>9</v>
      </c>
      <c r="O713">
        <v>-1.8778623632151199</v>
      </c>
      <c r="P713" t="s">
        <v>10</v>
      </c>
      <c r="Q713">
        <v>4.4643895537124596</v>
      </c>
      <c r="R713" t="s">
        <v>11</v>
      </c>
      <c r="S713" t="s">
        <v>3367</v>
      </c>
      <c r="T713" t="s">
        <v>647</v>
      </c>
      <c r="U713">
        <v>0</v>
      </c>
      <c r="V713" t="s">
        <v>14</v>
      </c>
      <c r="W713" t="s">
        <v>15</v>
      </c>
      <c r="X713" t="s">
        <v>3368</v>
      </c>
      <c r="Y713" t="s">
        <v>3296</v>
      </c>
      <c r="Z713">
        <v>0</v>
      </c>
      <c r="AA713" t="s">
        <v>18</v>
      </c>
    </row>
    <row r="714" spans="1:27" x14ac:dyDescent="0.3">
      <c r="A714" t="s">
        <v>1143</v>
      </c>
      <c r="B714" t="s">
        <v>3276</v>
      </c>
      <c r="C714" t="s">
        <v>4420</v>
      </c>
      <c r="D714" t="s">
        <v>1224</v>
      </c>
      <c r="E714">
        <v>3073</v>
      </c>
      <c r="F714" t="s">
        <v>5</v>
      </c>
      <c r="G714">
        <v>1371</v>
      </c>
      <c r="H714" t="s">
        <v>6</v>
      </c>
      <c r="I714">
        <v>-1055.13038588666</v>
      </c>
      <c r="J714" t="s">
        <v>7</v>
      </c>
      <c r="K714">
        <v>-0.34335515323353699</v>
      </c>
      <c r="L714" t="s">
        <v>8</v>
      </c>
      <c r="M714">
        <v>1.56316713930943</v>
      </c>
      <c r="N714" t="s">
        <v>9</v>
      </c>
      <c r="O714">
        <v>-1.8791025463454101</v>
      </c>
      <c r="P714" t="s">
        <v>10</v>
      </c>
      <c r="Q714">
        <v>5.0098867275592598</v>
      </c>
      <c r="R714" t="s">
        <v>11</v>
      </c>
      <c r="S714" t="s">
        <v>3369</v>
      </c>
      <c r="T714" t="s">
        <v>2542</v>
      </c>
      <c r="U714">
        <v>0</v>
      </c>
      <c r="V714" t="s">
        <v>14</v>
      </c>
      <c r="W714" t="s">
        <v>15</v>
      </c>
      <c r="X714" t="s">
        <v>3368</v>
      </c>
      <c r="Y714" t="s">
        <v>3296</v>
      </c>
      <c r="Z714">
        <v>0</v>
      </c>
      <c r="AA714" t="s">
        <v>18</v>
      </c>
    </row>
    <row r="715" spans="1:27" x14ac:dyDescent="0.3">
      <c r="A715" t="s">
        <v>1143</v>
      </c>
      <c r="B715" t="s">
        <v>3277</v>
      </c>
      <c r="C715" t="s">
        <v>4421</v>
      </c>
      <c r="D715" t="s">
        <v>1224</v>
      </c>
      <c r="E715">
        <v>3073</v>
      </c>
      <c r="F715" t="s">
        <v>5</v>
      </c>
      <c r="G715">
        <v>1288</v>
      </c>
      <c r="H715" t="s">
        <v>6</v>
      </c>
      <c r="I715">
        <v>-1087.9003858866499</v>
      </c>
      <c r="J715" t="s">
        <v>7</v>
      </c>
      <c r="K715">
        <v>-0.354018999637702</v>
      </c>
      <c r="L715" t="s">
        <v>8</v>
      </c>
      <c r="M715">
        <v>1.7556616055848</v>
      </c>
      <c r="N715" t="s">
        <v>9</v>
      </c>
      <c r="O715">
        <v>-1.87629833830806</v>
      </c>
      <c r="P715" t="s">
        <v>10</v>
      </c>
      <c r="Q715">
        <v>5.6365590306307096</v>
      </c>
      <c r="R715" t="s">
        <v>11</v>
      </c>
      <c r="S715" t="s">
        <v>3369</v>
      </c>
      <c r="T715" t="s">
        <v>2542</v>
      </c>
      <c r="U715">
        <v>0</v>
      </c>
      <c r="V715" t="s">
        <v>14</v>
      </c>
      <c r="W715" t="s">
        <v>15</v>
      </c>
      <c r="X715" t="s">
        <v>3368</v>
      </c>
      <c r="Y715" t="s">
        <v>3296</v>
      </c>
      <c r="Z715">
        <v>0</v>
      </c>
      <c r="AA715" t="s">
        <v>18</v>
      </c>
    </row>
    <row r="716" spans="1:27" x14ac:dyDescent="0.3">
      <c r="A716" t="s">
        <v>1143</v>
      </c>
      <c r="B716" t="s">
        <v>3261</v>
      </c>
      <c r="C716" t="s">
        <v>4422</v>
      </c>
      <c r="D716" t="s">
        <v>1224</v>
      </c>
      <c r="E716">
        <v>3073</v>
      </c>
      <c r="F716" t="s">
        <v>5</v>
      </c>
      <c r="G716">
        <v>919</v>
      </c>
      <c r="H716" t="s">
        <v>6</v>
      </c>
      <c r="I716">
        <v>-1113.0899999999899</v>
      </c>
      <c r="J716" t="s">
        <v>7</v>
      </c>
      <c r="K716">
        <v>-0.36221607549625701</v>
      </c>
      <c r="L716" t="s">
        <v>8</v>
      </c>
      <c r="M716">
        <v>2.7558977149074999</v>
      </c>
      <c r="N716" t="s">
        <v>9</v>
      </c>
      <c r="O716">
        <v>-1.69333952624245</v>
      </c>
      <c r="P716" t="s">
        <v>10</v>
      </c>
      <c r="Q716">
        <v>8.5329592691708296</v>
      </c>
      <c r="R716" t="s">
        <v>11</v>
      </c>
      <c r="S716" t="s">
        <v>3351</v>
      </c>
      <c r="T716" t="s">
        <v>2631</v>
      </c>
      <c r="U716">
        <v>0</v>
      </c>
      <c r="V716" t="s">
        <v>14</v>
      </c>
      <c r="W716" t="s">
        <v>15</v>
      </c>
      <c r="X716" t="s">
        <v>3350</v>
      </c>
      <c r="Y716" t="s">
        <v>2783</v>
      </c>
      <c r="Z716">
        <v>0</v>
      </c>
      <c r="AA716" t="s">
        <v>18</v>
      </c>
    </row>
    <row r="717" spans="1:27" x14ac:dyDescent="0.3">
      <c r="A717" t="s">
        <v>1143</v>
      </c>
      <c r="B717" t="s">
        <v>3237</v>
      </c>
      <c r="C717" t="s">
        <v>4423</v>
      </c>
      <c r="D717" t="s">
        <v>1224</v>
      </c>
      <c r="E717">
        <v>3062</v>
      </c>
      <c r="F717" t="s">
        <v>5</v>
      </c>
      <c r="G717">
        <v>1175</v>
      </c>
      <c r="H717" t="s">
        <v>6</v>
      </c>
      <c r="I717">
        <v>-1122.51618341686</v>
      </c>
      <c r="J717" t="s">
        <v>7</v>
      </c>
      <c r="K717">
        <v>-0.36659574899309599</v>
      </c>
      <c r="L717" t="s">
        <v>8</v>
      </c>
      <c r="M717">
        <v>1.7991467394470699</v>
      </c>
      <c r="N717" t="s">
        <v>9</v>
      </c>
      <c r="O717">
        <v>-1.71516354121206</v>
      </c>
      <c r="P717" t="s">
        <v>10</v>
      </c>
      <c r="Q717">
        <v>6.7910292499312197</v>
      </c>
      <c r="R717" t="s">
        <v>11</v>
      </c>
      <c r="S717" t="s">
        <v>3324</v>
      </c>
      <c r="T717" t="s">
        <v>2666</v>
      </c>
      <c r="U717">
        <v>0</v>
      </c>
      <c r="V717" t="s">
        <v>14</v>
      </c>
      <c r="W717" t="s">
        <v>15</v>
      </c>
      <c r="X717" t="s">
        <v>3325</v>
      </c>
      <c r="Y717" t="s">
        <v>2793</v>
      </c>
      <c r="Z717">
        <v>0</v>
      </c>
      <c r="AA717" t="s">
        <v>18</v>
      </c>
    </row>
    <row r="718" spans="1:27" x14ac:dyDescent="0.3">
      <c r="A718" t="s">
        <v>1143</v>
      </c>
      <c r="B718" t="s">
        <v>3278</v>
      </c>
      <c r="C718" t="s">
        <v>4424</v>
      </c>
      <c r="D718" t="s">
        <v>1224</v>
      </c>
      <c r="E718">
        <v>3073</v>
      </c>
      <c r="F718" t="s">
        <v>5</v>
      </c>
      <c r="G718">
        <v>1219</v>
      </c>
      <c r="H718" t="s">
        <v>6</v>
      </c>
      <c r="I718">
        <v>-1257.2503858866501</v>
      </c>
      <c r="J718" t="s">
        <v>7</v>
      </c>
      <c r="K718">
        <v>-0.40912801363054202</v>
      </c>
      <c r="L718" t="s">
        <v>8</v>
      </c>
      <c r="M718">
        <v>1.8433323609460399</v>
      </c>
      <c r="N718" t="s">
        <v>9</v>
      </c>
      <c r="O718">
        <v>-1.8901146353181699</v>
      </c>
      <c r="P718" t="s">
        <v>10</v>
      </c>
      <c r="Q718">
        <v>6.4538214765367599</v>
      </c>
      <c r="R718" t="s">
        <v>11</v>
      </c>
      <c r="S718" t="s">
        <v>3370</v>
      </c>
      <c r="T718" t="s">
        <v>2587</v>
      </c>
      <c r="U718">
        <v>0</v>
      </c>
      <c r="V718" t="s">
        <v>14</v>
      </c>
      <c r="W718" t="s">
        <v>15</v>
      </c>
      <c r="X718" t="s">
        <v>3368</v>
      </c>
      <c r="Y718" t="s">
        <v>3296</v>
      </c>
      <c r="Z718">
        <v>0</v>
      </c>
      <c r="AA718" t="s">
        <v>18</v>
      </c>
    </row>
    <row r="719" spans="1:27" x14ac:dyDescent="0.3">
      <c r="A719" t="s">
        <v>1143</v>
      </c>
      <c r="B719" t="s">
        <v>3279</v>
      </c>
      <c r="C719" t="s">
        <v>4425</v>
      </c>
      <c r="D719" t="s">
        <v>1224</v>
      </c>
      <c r="E719">
        <v>3073</v>
      </c>
      <c r="F719" t="s">
        <v>5</v>
      </c>
      <c r="G719">
        <v>1200</v>
      </c>
      <c r="H719" t="s">
        <v>6</v>
      </c>
      <c r="I719">
        <v>-1262.7503858866501</v>
      </c>
      <c r="J719" t="s">
        <v>7</v>
      </c>
      <c r="K719">
        <v>-0.41091779560255598</v>
      </c>
      <c r="L719" t="s">
        <v>8</v>
      </c>
      <c r="M719">
        <v>1.9101846009648999</v>
      </c>
      <c r="N719" t="s">
        <v>9</v>
      </c>
      <c r="O719">
        <v>-1.89800956062175</v>
      </c>
      <c r="P719" t="s">
        <v>10</v>
      </c>
      <c r="Q719">
        <v>7.16193336140008</v>
      </c>
      <c r="R719" t="s">
        <v>11</v>
      </c>
      <c r="S719" t="s">
        <v>3371</v>
      </c>
      <c r="T719" t="s">
        <v>2631</v>
      </c>
      <c r="U719">
        <v>0</v>
      </c>
      <c r="V719" t="s">
        <v>14</v>
      </c>
      <c r="W719" t="s">
        <v>15</v>
      </c>
      <c r="X719" t="s">
        <v>3372</v>
      </c>
      <c r="Y719" t="s">
        <v>2666</v>
      </c>
      <c r="Z719">
        <v>0</v>
      </c>
      <c r="AA719" t="s">
        <v>18</v>
      </c>
    </row>
    <row r="720" spans="1:27" x14ac:dyDescent="0.3">
      <c r="A720" t="s">
        <v>1143</v>
      </c>
      <c r="B720" t="s">
        <v>3291</v>
      </c>
      <c r="C720" t="s">
        <v>4426</v>
      </c>
      <c r="D720" t="s">
        <v>1224</v>
      </c>
      <c r="E720">
        <v>3062</v>
      </c>
      <c r="F720" t="s">
        <v>5</v>
      </c>
      <c r="G720">
        <v>574</v>
      </c>
      <c r="H720" t="s">
        <v>6</v>
      </c>
      <c r="I720">
        <v>-1294.30622851109</v>
      </c>
      <c r="J720" t="s">
        <v>7</v>
      </c>
      <c r="K720">
        <v>-0.42269961741054801</v>
      </c>
      <c r="L720" t="s">
        <v>8</v>
      </c>
      <c r="M720">
        <v>5.5907295207292602</v>
      </c>
      <c r="N720" t="s">
        <v>9</v>
      </c>
      <c r="O720">
        <v>-1.8107699933291901</v>
      </c>
      <c r="P720" t="s">
        <v>10</v>
      </c>
      <c r="Q720">
        <v>9.34255643810069</v>
      </c>
      <c r="R720" t="s">
        <v>11</v>
      </c>
      <c r="S720" t="s">
        <v>3383</v>
      </c>
      <c r="T720" t="s">
        <v>647</v>
      </c>
      <c r="U720">
        <v>0</v>
      </c>
      <c r="V720" t="s">
        <v>14</v>
      </c>
      <c r="W720" t="s">
        <v>15</v>
      </c>
      <c r="X720" t="s">
        <v>3384</v>
      </c>
      <c r="Y720" t="s">
        <v>3385</v>
      </c>
      <c r="Z720">
        <v>0</v>
      </c>
      <c r="AA720" t="s">
        <v>18</v>
      </c>
    </row>
    <row r="721" spans="1:27" x14ac:dyDescent="0.3">
      <c r="A721" t="s">
        <v>1143</v>
      </c>
      <c r="B721" t="s">
        <v>3219</v>
      </c>
      <c r="C721" t="s">
        <v>4427</v>
      </c>
      <c r="D721" t="s">
        <v>1224</v>
      </c>
      <c r="E721">
        <v>3062</v>
      </c>
      <c r="F721" t="s">
        <v>5</v>
      </c>
      <c r="G721">
        <v>1025</v>
      </c>
      <c r="H721" t="s">
        <v>6</v>
      </c>
      <c r="I721">
        <v>-1343.5046347771299</v>
      </c>
      <c r="J721" t="s">
        <v>7</v>
      </c>
      <c r="K721">
        <v>-0.43876702638051301</v>
      </c>
      <c r="L721" t="s">
        <v>8</v>
      </c>
      <c r="M721">
        <v>2.5514625998381999</v>
      </c>
      <c r="N721" t="s">
        <v>9</v>
      </c>
      <c r="O721">
        <v>-1.94437809411163</v>
      </c>
      <c r="P721" t="s">
        <v>10</v>
      </c>
      <c r="Q721">
        <v>7.4943095490456697</v>
      </c>
      <c r="R721" t="s">
        <v>11</v>
      </c>
      <c r="S721" t="s">
        <v>3312</v>
      </c>
      <c r="T721" t="s">
        <v>2631</v>
      </c>
      <c r="U721">
        <v>0</v>
      </c>
      <c r="V721" t="s">
        <v>14</v>
      </c>
      <c r="W721" t="s">
        <v>15</v>
      </c>
      <c r="X721" t="s">
        <v>3311</v>
      </c>
      <c r="Y721" t="s">
        <v>3303</v>
      </c>
      <c r="Z721">
        <v>0</v>
      </c>
      <c r="AA721" t="s">
        <v>18</v>
      </c>
    </row>
    <row r="722" spans="1:27" x14ac:dyDescent="0.3">
      <c r="A722" t="s">
        <v>2641</v>
      </c>
      <c r="C722" t="s">
        <v>2641</v>
      </c>
    </row>
    <row r="723" spans="1:27" x14ac:dyDescent="0.3">
      <c r="A723" t="s">
        <v>3190</v>
      </c>
      <c r="C723" t="s">
        <v>3190</v>
      </c>
    </row>
    <row r="724" spans="1:27" x14ac:dyDescent="0.3">
      <c r="A724" t="s">
        <v>2641</v>
      </c>
      <c r="C724" t="s">
        <v>2641</v>
      </c>
    </row>
    <row r="725" spans="1:27" x14ac:dyDescent="0.3">
      <c r="A725" t="s">
        <v>3191</v>
      </c>
      <c r="C725" t="s">
        <v>3191</v>
      </c>
    </row>
    <row r="726" spans="1:27" x14ac:dyDescent="0.3">
      <c r="A726" t="s">
        <v>2641</v>
      </c>
      <c r="C726" t="s">
        <v>2641</v>
      </c>
    </row>
    <row r="727" spans="1:27" x14ac:dyDescent="0.3">
      <c r="A727" t="s">
        <v>3192</v>
      </c>
      <c r="C727" t="s">
        <v>3192</v>
      </c>
    </row>
    <row r="728" spans="1:27" x14ac:dyDescent="0.3">
      <c r="A728" t="s">
        <v>2641</v>
      </c>
      <c r="C728" t="s">
        <v>2641</v>
      </c>
    </row>
    <row r="729" spans="1:27" x14ac:dyDescent="0.3">
      <c r="A729" t="s">
        <v>3193</v>
      </c>
      <c r="C729" t="s">
        <v>3193</v>
      </c>
    </row>
    <row r="730" spans="1:27" x14ac:dyDescent="0.3">
      <c r="A730" t="s">
        <v>2641</v>
      </c>
      <c r="C730" t="s">
        <v>2641</v>
      </c>
    </row>
    <row r="731" spans="1:27" x14ac:dyDescent="0.3">
      <c r="A731" t="s">
        <v>3193</v>
      </c>
      <c r="C731" t="s">
        <v>3193</v>
      </c>
    </row>
    <row r="732" spans="1:27" x14ac:dyDescent="0.3">
      <c r="A732" t="s">
        <v>2641</v>
      </c>
      <c r="C732" t="s">
        <v>2641</v>
      </c>
    </row>
    <row r="733" spans="1:27" x14ac:dyDescent="0.3">
      <c r="A733" t="s">
        <v>3193</v>
      </c>
      <c r="C733" t="s">
        <v>3193</v>
      </c>
    </row>
    <row r="734" spans="1:27" x14ac:dyDescent="0.3">
      <c r="A734" t="s">
        <v>2641</v>
      </c>
      <c r="C734" t="s">
        <v>2641</v>
      </c>
    </row>
    <row r="735" spans="1:27" x14ac:dyDescent="0.3">
      <c r="A735" t="s">
        <v>3194</v>
      </c>
      <c r="C735" t="s">
        <v>3194</v>
      </c>
    </row>
    <row r="736" spans="1:27" x14ac:dyDescent="0.3">
      <c r="A736" t="s">
        <v>3195</v>
      </c>
      <c r="C736" t="s">
        <v>3195</v>
      </c>
    </row>
    <row r="737" spans="1:3" x14ac:dyDescent="0.3">
      <c r="A737" t="s">
        <v>3196</v>
      </c>
      <c r="C737" t="s">
        <v>3196</v>
      </c>
    </row>
    <row r="738" spans="1:3" x14ac:dyDescent="0.3">
      <c r="A738" t="s">
        <v>3195</v>
      </c>
      <c r="C738" t="s">
        <v>3195</v>
      </c>
    </row>
    <row r="739" spans="1:3" x14ac:dyDescent="0.3">
      <c r="A739" t="s">
        <v>3197</v>
      </c>
      <c r="C739" t="s">
        <v>3197</v>
      </c>
    </row>
    <row r="740" spans="1:3" x14ac:dyDescent="0.3">
      <c r="A740" t="s">
        <v>3195</v>
      </c>
      <c r="C740" t="s">
        <v>3195</v>
      </c>
    </row>
    <row r="741" spans="1:3" x14ac:dyDescent="0.3">
      <c r="A741" t="s">
        <v>3198</v>
      </c>
      <c r="C741" t="s">
        <v>3198</v>
      </c>
    </row>
    <row r="742" spans="1:3" x14ac:dyDescent="0.3">
      <c r="A742" t="s">
        <v>3199</v>
      </c>
      <c r="C742" t="s">
        <v>3199</v>
      </c>
    </row>
    <row r="743" spans="1:3" x14ac:dyDescent="0.3">
      <c r="A743" t="s">
        <v>3200</v>
      </c>
      <c r="C743" t="s">
        <v>3200</v>
      </c>
    </row>
    <row r="744" spans="1:3" x14ac:dyDescent="0.3">
      <c r="A744" t="s">
        <v>2641</v>
      </c>
      <c r="C744" t="s">
        <v>2641</v>
      </c>
    </row>
    <row r="745" spans="1:3" x14ac:dyDescent="0.3">
      <c r="A745" t="s">
        <v>3201</v>
      </c>
      <c r="C745" t="s">
        <v>3201</v>
      </c>
    </row>
    <row r="746" spans="1:3" x14ac:dyDescent="0.3">
      <c r="A746" t="s">
        <v>2641</v>
      </c>
      <c r="C746" t="s">
        <v>2641</v>
      </c>
    </row>
    <row r="747" spans="1:3" x14ac:dyDescent="0.3">
      <c r="A747" t="s">
        <v>3201</v>
      </c>
      <c r="C747" t="s">
        <v>3201</v>
      </c>
    </row>
    <row r="748" spans="1:3" x14ac:dyDescent="0.3">
      <c r="A748" t="s">
        <v>2641</v>
      </c>
      <c r="C748" t="s">
        <v>2641</v>
      </c>
    </row>
    <row r="749" spans="1:3" x14ac:dyDescent="0.3">
      <c r="A749" t="s">
        <v>3201</v>
      </c>
      <c r="C749" t="s">
        <v>3201</v>
      </c>
    </row>
  </sheetData>
  <autoFilter ref="A1:AA749" xr:uid="{11AD7225-914E-4BB9-B767-9B6D54EE422B}">
    <sortState xmlns:xlrd2="http://schemas.microsoft.com/office/spreadsheetml/2017/richdata2" ref="A2:AA749">
      <sortCondition descending="1" ref="I1:I749"/>
    </sortState>
  </autoFilter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AE3F-2516-4CDE-B2BF-1BF9DD2CCBCD}">
  <dimension ref="A1:AA33"/>
  <sheetViews>
    <sheetView zoomScale="70" zoomScaleNormal="70" workbookViewId="0">
      <selection activeCell="C31" sqref="C31"/>
    </sheetView>
  </sheetViews>
  <sheetFormatPr defaultRowHeight="16.5" x14ac:dyDescent="0.3"/>
  <cols>
    <col min="3" max="3" width="255.625" bestFit="1" customWidth="1"/>
  </cols>
  <sheetData>
    <row r="1" spans="1:27" x14ac:dyDescent="0.3">
      <c r="A1" t="s">
        <v>1954</v>
      </c>
      <c r="B1" t="s">
        <v>2559</v>
      </c>
      <c r="C1" s="16" t="str">
        <f>_xlfn.CONCAT(A1,B1)</f>
        <v xml:space="preserve">alltime_[42 70]_1 </v>
      </c>
      <c r="D1" t="s">
        <v>2540</v>
      </c>
      <c r="E1">
        <v>2319</v>
      </c>
      <c r="F1" t="s">
        <v>5</v>
      </c>
      <c r="G1">
        <v>1020</v>
      </c>
      <c r="H1" t="s">
        <v>6</v>
      </c>
      <c r="I1">
        <v>-184.396120310545</v>
      </c>
      <c r="J1" t="s">
        <v>7</v>
      </c>
      <c r="K1">
        <v>-7.9515360202909002E-2</v>
      </c>
      <c r="L1" t="s">
        <v>8</v>
      </c>
      <c r="M1">
        <v>1.1533308881531501</v>
      </c>
      <c r="N1" t="s">
        <v>9</v>
      </c>
      <c r="O1">
        <v>-1.0475701510598601</v>
      </c>
      <c r="P1" t="s">
        <v>10</v>
      </c>
      <c r="Q1">
        <v>1.86114014871953</v>
      </c>
      <c r="R1" t="s">
        <v>11</v>
      </c>
      <c r="S1" t="s">
        <v>3685</v>
      </c>
      <c r="T1" t="s">
        <v>2602</v>
      </c>
      <c r="U1">
        <v>0</v>
      </c>
      <c r="V1" t="s">
        <v>14</v>
      </c>
      <c r="W1" t="s">
        <v>15</v>
      </c>
      <c r="X1" t="s">
        <v>3686</v>
      </c>
      <c r="Y1" t="s">
        <v>2904</v>
      </c>
      <c r="Z1">
        <v>0</v>
      </c>
      <c r="AA1" t="s">
        <v>18</v>
      </c>
    </row>
    <row r="2" spans="1:27" x14ac:dyDescent="0.3">
      <c r="A2" t="s">
        <v>1954</v>
      </c>
      <c r="B2" t="s">
        <v>2562</v>
      </c>
      <c r="C2" s="16" t="str">
        <f t="shared" ref="C2:C33" si="0">_xlfn.CONCAT(A2,B2)</f>
        <v xml:space="preserve">alltime_[42 70]_2 </v>
      </c>
      <c r="D2" t="s">
        <v>2540</v>
      </c>
      <c r="E2">
        <v>2319</v>
      </c>
      <c r="F2" t="s">
        <v>5</v>
      </c>
      <c r="G2">
        <v>907</v>
      </c>
      <c r="H2" t="s">
        <v>6</v>
      </c>
      <c r="I2">
        <v>-240.82691500572599</v>
      </c>
      <c r="J2" t="s">
        <v>7</v>
      </c>
      <c r="K2">
        <v>-0.10384946744533199</v>
      </c>
      <c r="L2" t="s">
        <v>8</v>
      </c>
      <c r="M2">
        <v>1.3546968580257699</v>
      </c>
      <c r="N2" t="s">
        <v>9</v>
      </c>
      <c r="O2">
        <v>-1.04074855894837</v>
      </c>
      <c r="P2" t="s">
        <v>10</v>
      </c>
      <c r="Q2">
        <v>2.1491389492080799</v>
      </c>
      <c r="R2" t="s">
        <v>11</v>
      </c>
      <c r="S2" t="s">
        <v>3685</v>
      </c>
      <c r="T2" t="s">
        <v>2602</v>
      </c>
      <c r="U2">
        <v>0</v>
      </c>
      <c r="V2" t="s">
        <v>14</v>
      </c>
      <c r="W2" t="s">
        <v>15</v>
      </c>
      <c r="X2" t="s">
        <v>3686</v>
      </c>
      <c r="Y2" t="s">
        <v>2904</v>
      </c>
      <c r="Z2">
        <v>0</v>
      </c>
      <c r="AA2" t="s">
        <v>18</v>
      </c>
    </row>
    <row r="3" spans="1:27" x14ac:dyDescent="0.3">
      <c r="A3" t="s">
        <v>1954</v>
      </c>
      <c r="B3" t="s">
        <v>2926</v>
      </c>
      <c r="C3" s="16" t="str">
        <f t="shared" si="0"/>
        <v xml:space="preserve">alltime_[42 70]_3 </v>
      </c>
      <c r="D3" t="s">
        <v>2540</v>
      </c>
      <c r="E3">
        <v>2319</v>
      </c>
      <c r="F3" t="s">
        <v>5</v>
      </c>
      <c r="G3">
        <v>862</v>
      </c>
      <c r="H3" t="s">
        <v>6</v>
      </c>
      <c r="I3">
        <v>-339.066155340097</v>
      </c>
      <c r="J3" t="s">
        <v>7</v>
      </c>
      <c r="K3">
        <v>-0.14621222739978301</v>
      </c>
      <c r="L3" t="s">
        <v>8</v>
      </c>
      <c r="M3">
        <v>1.36906793781625</v>
      </c>
      <c r="N3" t="s">
        <v>9</v>
      </c>
      <c r="O3">
        <v>-1.0426923251459801</v>
      </c>
      <c r="P3" t="s">
        <v>10</v>
      </c>
      <c r="Q3">
        <v>2.3013624200732399</v>
      </c>
      <c r="R3" t="s">
        <v>11</v>
      </c>
      <c r="S3" t="s">
        <v>3685</v>
      </c>
      <c r="T3" t="s">
        <v>2602</v>
      </c>
      <c r="U3">
        <v>0</v>
      </c>
      <c r="V3" t="s">
        <v>14</v>
      </c>
      <c r="W3" t="s">
        <v>15</v>
      </c>
      <c r="X3" t="s">
        <v>3686</v>
      </c>
      <c r="Y3" t="s">
        <v>2904</v>
      </c>
      <c r="Z3">
        <v>0</v>
      </c>
      <c r="AA3" t="s">
        <v>18</v>
      </c>
    </row>
    <row r="4" spans="1:27" x14ac:dyDescent="0.3">
      <c r="A4" t="s">
        <v>1954</v>
      </c>
      <c r="B4" t="s">
        <v>2565</v>
      </c>
      <c r="C4" s="16" t="str">
        <f t="shared" si="0"/>
        <v xml:space="preserve">alltime_[42 70]_4 </v>
      </c>
      <c r="D4" t="s">
        <v>2540</v>
      </c>
      <c r="E4">
        <v>2319</v>
      </c>
      <c r="F4" t="s">
        <v>5</v>
      </c>
      <c r="G4">
        <v>846</v>
      </c>
      <c r="H4" t="s">
        <v>6</v>
      </c>
      <c r="I4">
        <v>-411.27019083905202</v>
      </c>
      <c r="J4" t="s">
        <v>7</v>
      </c>
      <c r="K4">
        <v>-0.17734807711903899</v>
      </c>
      <c r="L4" t="s">
        <v>8</v>
      </c>
      <c r="M4">
        <v>1.3398059270659499</v>
      </c>
      <c r="N4" t="s">
        <v>9</v>
      </c>
      <c r="O4">
        <v>-1.04870740335155</v>
      </c>
      <c r="P4" t="s">
        <v>10</v>
      </c>
      <c r="Q4">
        <v>2.4119034267205302</v>
      </c>
      <c r="R4" t="s">
        <v>11</v>
      </c>
      <c r="S4" t="s">
        <v>3685</v>
      </c>
      <c r="T4" t="s">
        <v>2602</v>
      </c>
      <c r="U4">
        <v>0</v>
      </c>
      <c r="V4" t="s">
        <v>14</v>
      </c>
      <c r="W4" t="s">
        <v>15</v>
      </c>
      <c r="X4" t="s">
        <v>3687</v>
      </c>
      <c r="Y4" t="s">
        <v>3536</v>
      </c>
      <c r="Z4">
        <v>0</v>
      </c>
      <c r="AA4" t="s">
        <v>18</v>
      </c>
    </row>
    <row r="5" spans="1:27" x14ac:dyDescent="0.3">
      <c r="A5" t="s">
        <v>1960</v>
      </c>
      <c r="B5" t="s">
        <v>2559</v>
      </c>
      <c r="C5" s="16" t="str">
        <f t="shared" si="0"/>
        <v xml:space="preserve">bbands_[42 70]_1 </v>
      </c>
      <c r="D5" t="s">
        <v>2540</v>
      </c>
      <c r="E5">
        <v>126</v>
      </c>
      <c r="F5" t="s">
        <v>5</v>
      </c>
      <c r="G5">
        <v>67</v>
      </c>
      <c r="H5" t="s">
        <v>6</v>
      </c>
      <c r="I5">
        <v>27.182675389733301</v>
      </c>
      <c r="J5" t="s">
        <v>7</v>
      </c>
      <c r="K5">
        <v>0.21573551896613699</v>
      </c>
      <c r="L5" t="s">
        <v>8</v>
      </c>
      <c r="M5">
        <v>1.2020436647013399</v>
      </c>
      <c r="N5" t="s">
        <v>9</v>
      </c>
      <c r="O5">
        <v>-0.90430932449587298</v>
      </c>
      <c r="P5" t="s">
        <v>10</v>
      </c>
      <c r="Q5">
        <v>0.24077344852503599</v>
      </c>
      <c r="R5" t="s">
        <v>11</v>
      </c>
      <c r="S5" t="s">
        <v>3688</v>
      </c>
      <c r="T5" t="s">
        <v>2920</v>
      </c>
      <c r="U5">
        <v>0</v>
      </c>
      <c r="V5" t="s">
        <v>14</v>
      </c>
      <c r="W5" t="s">
        <v>15</v>
      </c>
      <c r="X5" t="s">
        <v>3574</v>
      </c>
      <c r="Y5" t="s">
        <v>3389</v>
      </c>
      <c r="Z5">
        <v>0</v>
      </c>
      <c r="AA5" t="s">
        <v>18</v>
      </c>
    </row>
    <row r="6" spans="1:27" x14ac:dyDescent="0.3">
      <c r="A6" t="s">
        <v>1960</v>
      </c>
      <c r="B6" t="s">
        <v>2562</v>
      </c>
      <c r="C6" s="16" t="str">
        <f t="shared" si="0"/>
        <v xml:space="preserve">bbands_[42 70]_2 </v>
      </c>
      <c r="D6" t="s">
        <v>2540</v>
      </c>
      <c r="E6">
        <v>126</v>
      </c>
      <c r="F6" t="s">
        <v>5</v>
      </c>
      <c r="G6">
        <v>61</v>
      </c>
      <c r="H6" t="s">
        <v>6</v>
      </c>
      <c r="I6">
        <v>25.162675389733199</v>
      </c>
      <c r="J6" t="s">
        <v>7</v>
      </c>
      <c r="K6">
        <v>0.19970377293439001</v>
      </c>
      <c r="L6" t="s">
        <v>8</v>
      </c>
      <c r="M6">
        <v>1.3334864817989001</v>
      </c>
      <c r="N6" t="s">
        <v>9</v>
      </c>
      <c r="O6">
        <v>-0.864307692307692</v>
      </c>
      <c r="P6" t="s">
        <v>10</v>
      </c>
      <c r="Q6">
        <v>0.27320565038873601</v>
      </c>
      <c r="R6" t="s">
        <v>11</v>
      </c>
      <c r="S6" t="s">
        <v>3688</v>
      </c>
      <c r="T6" t="s">
        <v>2920</v>
      </c>
      <c r="U6">
        <v>0</v>
      </c>
      <c r="V6" t="s">
        <v>14</v>
      </c>
      <c r="W6" t="s">
        <v>15</v>
      </c>
      <c r="X6" t="s">
        <v>3574</v>
      </c>
      <c r="Y6" t="s">
        <v>3389</v>
      </c>
      <c r="Z6">
        <v>0</v>
      </c>
      <c r="AA6" t="s">
        <v>18</v>
      </c>
    </row>
    <row r="7" spans="1:27" x14ac:dyDescent="0.3">
      <c r="A7" t="s">
        <v>1960</v>
      </c>
      <c r="B7" t="s">
        <v>2926</v>
      </c>
      <c r="C7" s="16" t="str">
        <f t="shared" si="0"/>
        <v xml:space="preserve">bbands_[42 70]_3 </v>
      </c>
      <c r="D7" t="s">
        <v>2540</v>
      </c>
      <c r="E7">
        <v>126</v>
      </c>
      <c r="F7" t="s">
        <v>5</v>
      </c>
      <c r="G7">
        <v>60</v>
      </c>
      <c r="H7" t="s">
        <v>6</v>
      </c>
      <c r="I7">
        <v>38.972675389733197</v>
      </c>
      <c r="J7" t="s">
        <v>7</v>
      </c>
      <c r="K7">
        <v>0.30930694753756499</v>
      </c>
      <c r="L7" t="s">
        <v>8</v>
      </c>
      <c r="M7">
        <v>1.6208779231622199</v>
      </c>
      <c r="N7" t="s">
        <v>9</v>
      </c>
      <c r="O7">
        <v>-0.88303030303030305</v>
      </c>
      <c r="P7" t="s">
        <v>10</v>
      </c>
      <c r="Q7">
        <v>0.34700860658119598</v>
      </c>
      <c r="R7" t="s">
        <v>11</v>
      </c>
      <c r="S7" t="s">
        <v>3689</v>
      </c>
      <c r="T7" t="s">
        <v>3536</v>
      </c>
      <c r="U7">
        <v>0</v>
      </c>
      <c r="V7" t="s">
        <v>14</v>
      </c>
      <c r="W7" t="s">
        <v>15</v>
      </c>
      <c r="X7" t="s">
        <v>3689</v>
      </c>
      <c r="Y7" t="s">
        <v>3536</v>
      </c>
      <c r="Z7">
        <v>0</v>
      </c>
      <c r="AA7" t="s">
        <v>18</v>
      </c>
    </row>
    <row r="8" spans="1:27" x14ac:dyDescent="0.3">
      <c r="A8" t="s">
        <v>1960</v>
      </c>
      <c r="B8" t="s">
        <v>2565</v>
      </c>
      <c r="C8" s="16" t="str">
        <f t="shared" si="0"/>
        <v xml:space="preserve">bbands_[42 70]_4 </v>
      </c>
      <c r="D8" t="s">
        <v>2540</v>
      </c>
      <c r="E8">
        <v>126</v>
      </c>
      <c r="F8" t="s">
        <v>5</v>
      </c>
      <c r="G8">
        <v>59</v>
      </c>
      <c r="H8" t="s">
        <v>6</v>
      </c>
      <c r="I8">
        <v>34.262675389733197</v>
      </c>
      <c r="J8" t="s">
        <v>7</v>
      </c>
      <c r="K8">
        <v>0.27192599515661298</v>
      </c>
      <c r="L8" t="s">
        <v>8</v>
      </c>
      <c r="M8">
        <v>1.58733348118191</v>
      </c>
      <c r="N8" t="s">
        <v>9</v>
      </c>
      <c r="O8">
        <v>-0.88641791044776097</v>
      </c>
      <c r="P8" t="s">
        <v>10</v>
      </c>
      <c r="Q8">
        <v>0.34798979501440402</v>
      </c>
      <c r="R8" t="s">
        <v>11</v>
      </c>
      <c r="S8" t="s">
        <v>3689</v>
      </c>
      <c r="T8" t="s">
        <v>3536</v>
      </c>
      <c r="U8">
        <v>0</v>
      </c>
      <c r="V8" t="s">
        <v>14</v>
      </c>
      <c r="W8" t="s">
        <v>15</v>
      </c>
      <c r="X8" t="s">
        <v>3689</v>
      </c>
      <c r="Y8" t="s">
        <v>3536</v>
      </c>
      <c r="Z8">
        <v>0</v>
      </c>
      <c r="AA8" t="s">
        <v>18</v>
      </c>
    </row>
    <row r="9" spans="1:27" x14ac:dyDescent="0.3">
      <c r="A9" t="s">
        <v>3690</v>
      </c>
      <c r="B9" t="s">
        <v>2559</v>
      </c>
      <c r="C9" s="16" t="str">
        <f t="shared" si="0"/>
        <v xml:space="preserve">bbands_no_highvol_[42 70]_1 </v>
      </c>
      <c r="D9" t="s">
        <v>2540</v>
      </c>
      <c r="E9">
        <v>120</v>
      </c>
      <c r="F9" t="s">
        <v>5</v>
      </c>
      <c r="G9">
        <v>62</v>
      </c>
      <c r="H9" t="s">
        <v>6</v>
      </c>
      <c r="I9">
        <v>25.1526753897333</v>
      </c>
      <c r="J9" t="s">
        <v>7</v>
      </c>
      <c r="K9">
        <v>0.20960562824777701</v>
      </c>
      <c r="L9" t="s">
        <v>8</v>
      </c>
      <c r="M9">
        <v>1.2170471860482199</v>
      </c>
      <c r="N9" t="s">
        <v>9</v>
      </c>
      <c r="O9">
        <v>-0.86731465767683602</v>
      </c>
      <c r="P9" t="s">
        <v>10</v>
      </c>
      <c r="Q9">
        <v>0.23572836978976899</v>
      </c>
      <c r="R9" t="s">
        <v>11</v>
      </c>
      <c r="S9" t="s">
        <v>3691</v>
      </c>
      <c r="T9" t="s">
        <v>3485</v>
      </c>
      <c r="U9">
        <v>0</v>
      </c>
      <c r="V9" t="s">
        <v>14</v>
      </c>
      <c r="W9" t="s">
        <v>15</v>
      </c>
      <c r="X9" t="s">
        <v>3574</v>
      </c>
      <c r="Y9" t="s">
        <v>3389</v>
      </c>
      <c r="Z9">
        <v>0</v>
      </c>
      <c r="AA9" t="s">
        <v>18</v>
      </c>
    </row>
    <row r="10" spans="1:27" x14ac:dyDescent="0.3">
      <c r="A10" t="s">
        <v>3690</v>
      </c>
      <c r="B10" t="s">
        <v>2562</v>
      </c>
      <c r="C10" s="16" t="str">
        <f t="shared" si="0"/>
        <v xml:space="preserve">bbands_no_highvol_[42 70]_2 </v>
      </c>
      <c r="D10" t="s">
        <v>2540</v>
      </c>
      <c r="E10">
        <v>120</v>
      </c>
      <c r="F10" t="s">
        <v>5</v>
      </c>
      <c r="G10">
        <v>56</v>
      </c>
      <c r="H10" t="s">
        <v>6</v>
      </c>
      <c r="I10">
        <v>20.272675389733202</v>
      </c>
      <c r="J10" t="s">
        <v>7</v>
      </c>
      <c r="K10">
        <v>0.16893896158110999</v>
      </c>
      <c r="L10" t="s">
        <v>8</v>
      </c>
      <c r="M10">
        <v>1.31076206053095</v>
      </c>
      <c r="N10" t="s">
        <v>9</v>
      </c>
      <c r="O10">
        <v>-0.83015625000000004</v>
      </c>
      <c r="P10" t="s">
        <v>10</v>
      </c>
      <c r="Q10">
        <v>0.26794565672193998</v>
      </c>
      <c r="R10" t="s">
        <v>11</v>
      </c>
      <c r="S10" t="s">
        <v>3691</v>
      </c>
      <c r="T10" t="s">
        <v>3485</v>
      </c>
      <c r="U10">
        <v>0</v>
      </c>
      <c r="V10" t="s">
        <v>14</v>
      </c>
      <c r="W10" t="s">
        <v>15</v>
      </c>
      <c r="X10" t="s">
        <v>3574</v>
      </c>
      <c r="Y10" t="s">
        <v>3389</v>
      </c>
      <c r="Z10">
        <v>0</v>
      </c>
      <c r="AA10" t="s">
        <v>18</v>
      </c>
    </row>
    <row r="11" spans="1:27" x14ac:dyDescent="0.3">
      <c r="A11" t="s">
        <v>3690</v>
      </c>
      <c r="B11" t="s">
        <v>2926</v>
      </c>
      <c r="C11" s="16" t="str">
        <f t="shared" si="0"/>
        <v xml:space="preserve">bbands_no_highvol_[42 70]_3 </v>
      </c>
      <c r="D11" t="s">
        <v>2540</v>
      </c>
      <c r="E11">
        <v>120</v>
      </c>
      <c r="F11" t="s">
        <v>5</v>
      </c>
      <c r="G11">
        <v>55</v>
      </c>
      <c r="H11" t="s">
        <v>6</v>
      </c>
      <c r="I11">
        <v>33.132675389733301</v>
      </c>
      <c r="J11" t="s">
        <v>7</v>
      </c>
      <c r="K11">
        <v>0.27610562824777701</v>
      </c>
      <c r="L11" t="s">
        <v>8</v>
      </c>
      <c r="M11">
        <v>1.6065940979951501</v>
      </c>
      <c r="N11" t="s">
        <v>9</v>
      </c>
      <c r="O11">
        <v>-0.84969230769230797</v>
      </c>
      <c r="P11" t="s">
        <v>10</v>
      </c>
      <c r="Q11">
        <v>0.34134515501666701</v>
      </c>
      <c r="R11" t="s">
        <v>11</v>
      </c>
      <c r="S11" t="s">
        <v>3689</v>
      </c>
      <c r="T11" t="s">
        <v>3536</v>
      </c>
      <c r="U11">
        <v>0</v>
      </c>
      <c r="V11" t="s">
        <v>14</v>
      </c>
      <c r="W11" t="s">
        <v>15</v>
      </c>
      <c r="X11" t="s">
        <v>3689</v>
      </c>
      <c r="Y11" t="s">
        <v>3536</v>
      </c>
      <c r="Z11">
        <v>0</v>
      </c>
      <c r="AA11" t="s">
        <v>18</v>
      </c>
    </row>
    <row r="12" spans="1:27" x14ac:dyDescent="0.3">
      <c r="A12" t="s">
        <v>3690</v>
      </c>
      <c r="B12" t="s">
        <v>2565</v>
      </c>
      <c r="C12" s="16" t="str">
        <f t="shared" si="0"/>
        <v xml:space="preserve">bbands_no_highvol_[42 70]_4 </v>
      </c>
      <c r="D12" t="s">
        <v>2540</v>
      </c>
      <c r="E12">
        <v>120</v>
      </c>
      <c r="F12" t="s">
        <v>5</v>
      </c>
      <c r="G12">
        <v>55</v>
      </c>
      <c r="H12" t="s">
        <v>6</v>
      </c>
      <c r="I12">
        <v>33.132675389733301</v>
      </c>
      <c r="J12" t="s">
        <v>7</v>
      </c>
      <c r="K12">
        <v>0.27610562824777701</v>
      </c>
      <c r="L12" t="s">
        <v>8</v>
      </c>
      <c r="M12">
        <v>1.6065940979951501</v>
      </c>
      <c r="N12" t="s">
        <v>9</v>
      </c>
      <c r="O12">
        <v>-0.84969230769230797</v>
      </c>
      <c r="P12" t="s">
        <v>10</v>
      </c>
      <c r="Q12">
        <v>0.34134515501666701</v>
      </c>
      <c r="R12" t="s">
        <v>11</v>
      </c>
      <c r="S12" t="s">
        <v>3689</v>
      </c>
      <c r="T12" t="s">
        <v>3536</v>
      </c>
      <c r="U12">
        <v>0</v>
      </c>
      <c r="V12" t="s">
        <v>14</v>
      </c>
      <c r="W12" t="s">
        <v>15</v>
      </c>
      <c r="X12" t="s">
        <v>3689</v>
      </c>
      <c r="Y12" t="s">
        <v>3536</v>
      </c>
      <c r="Z12">
        <v>0</v>
      </c>
      <c r="AA12" t="s">
        <v>18</v>
      </c>
    </row>
    <row r="13" spans="1:27" x14ac:dyDescent="0.3">
      <c r="A13" t="s">
        <v>1964</v>
      </c>
      <c r="B13" t="s">
        <v>2559</v>
      </c>
      <c r="C13" s="16" t="str">
        <f t="shared" si="0"/>
        <v xml:space="preserve">psar_[42 70]_1 </v>
      </c>
      <c r="D13" t="s">
        <v>2540</v>
      </c>
      <c r="E13">
        <v>97</v>
      </c>
      <c r="F13" t="s">
        <v>5</v>
      </c>
      <c r="G13">
        <v>32</v>
      </c>
      <c r="H13" t="s">
        <v>6</v>
      </c>
      <c r="I13">
        <v>-36.880000000000003</v>
      </c>
      <c r="J13" t="s">
        <v>7</v>
      </c>
      <c r="K13">
        <v>-0.38020618556701002</v>
      </c>
      <c r="L13" t="s">
        <v>8</v>
      </c>
      <c r="M13">
        <v>1.1009374999999999</v>
      </c>
      <c r="N13" t="s">
        <v>9</v>
      </c>
      <c r="O13">
        <v>-1.1093846153846101</v>
      </c>
      <c r="P13" t="s">
        <v>10</v>
      </c>
      <c r="Q13">
        <v>0.19863859261786801</v>
      </c>
      <c r="R13" t="s">
        <v>11</v>
      </c>
      <c r="S13" t="s">
        <v>1339</v>
      </c>
      <c r="T13" t="s">
        <v>2186</v>
      </c>
      <c r="U13">
        <v>0</v>
      </c>
      <c r="V13" t="s">
        <v>14</v>
      </c>
      <c r="W13" t="s">
        <v>15</v>
      </c>
      <c r="X13" t="s">
        <v>1339</v>
      </c>
      <c r="Y13" t="s">
        <v>2186</v>
      </c>
      <c r="Z13">
        <v>0</v>
      </c>
      <c r="AA13" t="s">
        <v>18</v>
      </c>
    </row>
    <row r="14" spans="1:27" x14ac:dyDescent="0.3">
      <c r="A14" t="s">
        <v>1964</v>
      </c>
      <c r="B14" t="s">
        <v>2562</v>
      </c>
      <c r="C14" s="16" t="str">
        <f t="shared" si="0"/>
        <v xml:space="preserve">psar_[42 70]_2 </v>
      </c>
      <c r="D14" t="s">
        <v>2540</v>
      </c>
      <c r="E14">
        <v>97</v>
      </c>
      <c r="F14" t="s">
        <v>5</v>
      </c>
      <c r="G14">
        <v>29</v>
      </c>
      <c r="H14" t="s">
        <v>6</v>
      </c>
      <c r="I14">
        <v>-30.79</v>
      </c>
      <c r="J14" t="s">
        <v>7</v>
      </c>
      <c r="K14">
        <v>-0.31742268041237098</v>
      </c>
      <c r="L14" t="s">
        <v>8</v>
      </c>
      <c r="M14">
        <v>1.4862068965517199</v>
      </c>
      <c r="N14" t="s">
        <v>9</v>
      </c>
      <c r="O14">
        <v>-1.08661764705882</v>
      </c>
      <c r="P14" t="s">
        <v>10</v>
      </c>
      <c r="Q14">
        <v>0.21543034247536599</v>
      </c>
      <c r="R14" t="s">
        <v>11</v>
      </c>
      <c r="S14" t="s">
        <v>1339</v>
      </c>
      <c r="T14" t="s">
        <v>2186</v>
      </c>
      <c r="U14">
        <v>0</v>
      </c>
      <c r="V14" t="s">
        <v>14</v>
      </c>
      <c r="W14" t="s">
        <v>15</v>
      </c>
      <c r="X14" t="s">
        <v>1339</v>
      </c>
      <c r="Y14" t="s">
        <v>2186</v>
      </c>
      <c r="Z14">
        <v>0</v>
      </c>
      <c r="AA14" t="s">
        <v>18</v>
      </c>
    </row>
    <row r="15" spans="1:27" x14ac:dyDescent="0.3">
      <c r="A15" t="s">
        <v>1964</v>
      </c>
      <c r="B15" t="s">
        <v>2926</v>
      </c>
      <c r="C15" s="16" t="str">
        <f t="shared" si="0"/>
        <v xml:space="preserve">psar_[42 70]_3 </v>
      </c>
      <c r="D15" t="s">
        <v>2540</v>
      </c>
      <c r="E15">
        <v>97</v>
      </c>
      <c r="F15" t="s">
        <v>5</v>
      </c>
      <c r="G15">
        <v>26</v>
      </c>
      <c r="H15" t="s">
        <v>6</v>
      </c>
      <c r="I15">
        <v>-42.48</v>
      </c>
      <c r="J15" t="s">
        <v>7</v>
      </c>
      <c r="K15">
        <v>-0.43793814432989697</v>
      </c>
      <c r="L15" t="s">
        <v>8</v>
      </c>
      <c r="M15">
        <v>1.3853846153846101</v>
      </c>
      <c r="N15" t="s">
        <v>9</v>
      </c>
      <c r="O15">
        <v>-1.1056338028168999</v>
      </c>
      <c r="P15" t="s">
        <v>10</v>
      </c>
      <c r="Q15">
        <v>0.22094118091047399</v>
      </c>
      <c r="R15" t="s">
        <v>11</v>
      </c>
      <c r="S15" t="s">
        <v>1339</v>
      </c>
      <c r="T15" t="s">
        <v>2186</v>
      </c>
      <c r="U15">
        <v>0</v>
      </c>
      <c r="V15" t="s">
        <v>14</v>
      </c>
      <c r="W15" t="s">
        <v>15</v>
      </c>
      <c r="X15" t="s">
        <v>1339</v>
      </c>
      <c r="Y15" t="s">
        <v>2186</v>
      </c>
      <c r="Z15">
        <v>0</v>
      </c>
      <c r="AA15" t="s">
        <v>18</v>
      </c>
    </row>
    <row r="16" spans="1:27" x14ac:dyDescent="0.3">
      <c r="A16" t="s">
        <v>1964</v>
      </c>
      <c r="B16" t="s">
        <v>2565</v>
      </c>
      <c r="C16" s="16" t="str">
        <f t="shared" si="0"/>
        <v xml:space="preserve">psar_[42 70]_4 </v>
      </c>
      <c r="D16" t="s">
        <v>2540</v>
      </c>
      <c r="E16">
        <v>97</v>
      </c>
      <c r="F16" t="s">
        <v>5</v>
      </c>
      <c r="G16">
        <v>24</v>
      </c>
      <c r="H16" t="s">
        <v>6</v>
      </c>
      <c r="I16">
        <v>-47.33</v>
      </c>
      <c r="J16" t="s">
        <v>7</v>
      </c>
      <c r="K16">
        <v>-0.48793814432989702</v>
      </c>
      <c r="L16" t="s">
        <v>8</v>
      </c>
      <c r="M16">
        <v>1.4541666666666599</v>
      </c>
      <c r="N16" t="s">
        <v>9</v>
      </c>
      <c r="O16">
        <v>-1.12643835616438</v>
      </c>
      <c r="P16" t="s">
        <v>10</v>
      </c>
      <c r="Q16">
        <v>0.249710828404966</v>
      </c>
      <c r="R16" t="s">
        <v>11</v>
      </c>
      <c r="S16" t="s">
        <v>1339</v>
      </c>
      <c r="T16" t="s">
        <v>2186</v>
      </c>
      <c r="U16">
        <v>0</v>
      </c>
      <c r="V16" t="s">
        <v>14</v>
      </c>
      <c r="W16" t="s">
        <v>15</v>
      </c>
      <c r="X16" t="s">
        <v>1339</v>
      </c>
      <c r="Y16" t="s">
        <v>2186</v>
      </c>
      <c r="Z16">
        <v>0</v>
      </c>
      <c r="AA16" t="s">
        <v>18</v>
      </c>
    </row>
    <row r="17" spans="1:27" x14ac:dyDescent="0.3">
      <c r="A17" t="s">
        <v>1965</v>
      </c>
      <c r="B17" t="s">
        <v>2559</v>
      </c>
      <c r="C17" s="16" t="str">
        <f t="shared" si="0"/>
        <v xml:space="preserve">psar_no_highvol_[42 70]_1 </v>
      </c>
      <c r="D17" t="s">
        <v>2540</v>
      </c>
      <c r="E17">
        <v>90</v>
      </c>
      <c r="F17" t="s">
        <v>5</v>
      </c>
      <c r="G17">
        <v>28</v>
      </c>
      <c r="H17" t="s">
        <v>6</v>
      </c>
      <c r="I17">
        <v>-32.04</v>
      </c>
      <c r="J17" t="s">
        <v>7</v>
      </c>
      <c r="K17">
        <v>-0.35599999999999998</v>
      </c>
      <c r="L17" t="s">
        <v>8</v>
      </c>
      <c r="M17">
        <v>1.1146428571428499</v>
      </c>
      <c r="N17" t="s">
        <v>9</v>
      </c>
      <c r="O17">
        <v>-1.0201612903225801</v>
      </c>
      <c r="P17" t="s">
        <v>10</v>
      </c>
      <c r="Q17">
        <v>0.17413847890183401</v>
      </c>
      <c r="R17" t="s">
        <v>11</v>
      </c>
      <c r="S17" t="s">
        <v>3692</v>
      </c>
      <c r="T17" t="s">
        <v>3693</v>
      </c>
      <c r="U17">
        <v>0</v>
      </c>
      <c r="V17" t="s">
        <v>14</v>
      </c>
      <c r="W17" t="s">
        <v>15</v>
      </c>
      <c r="X17" t="s">
        <v>3694</v>
      </c>
      <c r="Y17" t="s">
        <v>3333</v>
      </c>
      <c r="Z17">
        <v>0</v>
      </c>
      <c r="AA17" t="s">
        <v>18</v>
      </c>
    </row>
    <row r="18" spans="1:27" x14ac:dyDescent="0.3">
      <c r="A18" t="s">
        <v>1965</v>
      </c>
      <c r="B18" t="s">
        <v>2562</v>
      </c>
      <c r="C18" s="16" t="str">
        <f t="shared" si="0"/>
        <v xml:space="preserve">psar_no_highvol_[42 70]_2 </v>
      </c>
      <c r="D18" t="s">
        <v>2540</v>
      </c>
      <c r="E18">
        <v>90</v>
      </c>
      <c r="F18" t="s">
        <v>5</v>
      </c>
      <c r="G18">
        <v>25</v>
      </c>
      <c r="H18" t="s">
        <v>6</v>
      </c>
      <c r="I18">
        <v>-28.34</v>
      </c>
      <c r="J18" t="s">
        <v>7</v>
      </c>
      <c r="K18">
        <v>-0.314888888888889</v>
      </c>
      <c r="L18" t="s">
        <v>8</v>
      </c>
      <c r="M18">
        <v>1.4676</v>
      </c>
      <c r="N18" t="s">
        <v>9</v>
      </c>
      <c r="O18">
        <v>-1.0004615384615301</v>
      </c>
      <c r="P18" t="s">
        <v>10</v>
      </c>
      <c r="Q18">
        <v>0.186892555238721</v>
      </c>
      <c r="R18" t="s">
        <v>11</v>
      </c>
      <c r="S18" t="s">
        <v>3692</v>
      </c>
      <c r="T18" t="s">
        <v>3693</v>
      </c>
      <c r="U18">
        <v>0</v>
      </c>
      <c r="V18" t="s">
        <v>14</v>
      </c>
      <c r="W18" t="s">
        <v>15</v>
      </c>
      <c r="X18" t="s">
        <v>3694</v>
      </c>
      <c r="Y18" t="s">
        <v>3333</v>
      </c>
      <c r="Z18">
        <v>0</v>
      </c>
      <c r="AA18" t="s">
        <v>18</v>
      </c>
    </row>
    <row r="19" spans="1:27" x14ac:dyDescent="0.3">
      <c r="A19" t="s">
        <v>1965</v>
      </c>
      <c r="B19" t="s">
        <v>2926</v>
      </c>
      <c r="C19" s="16" t="str">
        <f t="shared" si="0"/>
        <v xml:space="preserve">psar_no_highvol_[42 70]_3 </v>
      </c>
      <c r="D19" t="s">
        <v>2540</v>
      </c>
      <c r="E19">
        <v>90</v>
      </c>
      <c r="F19" t="s">
        <v>5</v>
      </c>
      <c r="G19">
        <v>22</v>
      </c>
      <c r="H19" t="s">
        <v>6</v>
      </c>
      <c r="I19">
        <v>-40.840000000000003</v>
      </c>
      <c r="J19" t="s">
        <v>7</v>
      </c>
      <c r="K19">
        <v>-0.453777777777778</v>
      </c>
      <c r="L19" t="s">
        <v>8</v>
      </c>
      <c r="M19">
        <v>1.30909090909091</v>
      </c>
      <c r="N19" t="s">
        <v>9</v>
      </c>
      <c r="O19">
        <v>-1.02411764705882</v>
      </c>
      <c r="P19" t="s">
        <v>10</v>
      </c>
      <c r="Q19">
        <v>0.192960116076071</v>
      </c>
      <c r="R19" t="s">
        <v>11</v>
      </c>
      <c r="S19" t="s">
        <v>3692</v>
      </c>
      <c r="T19" t="s">
        <v>3693</v>
      </c>
      <c r="U19">
        <v>0</v>
      </c>
      <c r="V19" t="s">
        <v>14</v>
      </c>
      <c r="W19" t="s">
        <v>15</v>
      </c>
      <c r="X19" t="s">
        <v>3694</v>
      </c>
      <c r="Y19" t="s">
        <v>3333</v>
      </c>
      <c r="Z19">
        <v>0</v>
      </c>
      <c r="AA19" t="s">
        <v>18</v>
      </c>
    </row>
    <row r="20" spans="1:27" x14ac:dyDescent="0.3">
      <c r="A20" t="s">
        <v>1965</v>
      </c>
      <c r="B20" t="s">
        <v>2565</v>
      </c>
      <c r="C20" s="16" t="str">
        <f t="shared" si="0"/>
        <v xml:space="preserve">psar_no_highvol_[42 70]_4 </v>
      </c>
      <c r="D20" t="s">
        <v>2540</v>
      </c>
      <c r="E20">
        <v>90</v>
      </c>
      <c r="F20" t="s">
        <v>5</v>
      </c>
      <c r="G20">
        <v>20</v>
      </c>
      <c r="H20" t="s">
        <v>6</v>
      </c>
      <c r="I20">
        <v>-44.49</v>
      </c>
      <c r="J20" t="s">
        <v>7</v>
      </c>
      <c r="K20">
        <v>-0.49433333333333401</v>
      </c>
      <c r="L20" t="s">
        <v>8</v>
      </c>
      <c r="M20">
        <v>1.444</v>
      </c>
      <c r="N20" t="s">
        <v>9</v>
      </c>
      <c r="O20">
        <v>-1.0481428571428499</v>
      </c>
      <c r="P20" t="s">
        <v>10</v>
      </c>
      <c r="Q20">
        <v>0.22487409827587901</v>
      </c>
      <c r="R20" t="s">
        <v>11</v>
      </c>
      <c r="S20" t="s">
        <v>3695</v>
      </c>
      <c r="T20" t="s">
        <v>2870</v>
      </c>
      <c r="U20">
        <v>0</v>
      </c>
      <c r="V20" t="s">
        <v>14</v>
      </c>
      <c r="W20" t="s">
        <v>15</v>
      </c>
      <c r="X20" t="s">
        <v>3695</v>
      </c>
      <c r="Y20" t="s">
        <v>2870</v>
      </c>
      <c r="Z20">
        <v>0</v>
      </c>
      <c r="AA20" t="s">
        <v>18</v>
      </c>
    </row>
    <row r="21" spans="1:27" x14ac:dyDescent="0.3">
      <c r="A21" t="s">
        <v>1966</v>
      </c>
      <c r="B21" t="s">
        <v>2559</v>
      </c>
      <c r="C21" s="16" t="str">
        <f t="shared" si="0"/>
        <v xml:space="preserve">rsi_[42 70]_1 </v>
      </c>
      <c r="D21" t="s">
        <v>2540</v>
      </c>
      <c r="E21">
        <v>98</v>
      </c>
      <c r="F21" t="s">
        <v>5</v>
      </c>
      <c r="G21">
        <v>40</v>
      </c>
      <c r="H21" t="s">
        <v>6</v>
      </c>
      <c r="I21">
        <v>-19.82</v>
      </c>
      <c r="J21" t="s">
        <v>7</v>
      </c>
      <c r="K21">
        <v>-0.20224489795918399</v>
      </c>
      <c r="L21" t="s">
        <v>8</v>
      </c>
      <c r="M21">
        <v>0.91774999999999796</v>
      </c>
      <c r="N21" t="s">
        <v>9</v>
      </c>
      <c r="O21">
        <v>-0.97465517241379196</v>
      </c>
      <c r="P21" t="s">
        <v>10</v>
      </c>
      <c r="Q21">
        <v>0.16496833331683999</v>
      </c>
      <c r="R21" t="s">
        <v>11</v>
      </c>
      <c r="S21" t="s">
        <v>845</v>
      </c>
      <c r="T21" t="s">
        <v>3129</v>
      </c>
      <c r="U21">
        <v>0</v>
      </c>
      <c r="V21" t="s">
        <v>14</v>
      </c>
      <c r="W21" t="s">
        <v>15</v>
      </c>
      <c r="X21" t="s">
        <v>845</v>
      </c>
      <c r="Y21" t="s">
        <v>3129</v>
      </c>
      <c r="Z21">
        <v>0</v>
      </c>
      <c r="AA21" t="s">
        <v>18</v>
      </c>
    </row>
    <row r="22" spans="1:27" x14ac:dyDescent="0.3">
      <c r="A22" t="s">
        <v>1966</v>
      </c>
      <c r="B22" t="s">
        <v>2562</v>
      </c>
      <c r="C22" s="16" t="str">
        <f t="shared" si="0"/>
        <v xml:space="preserve">rsi_[42 70]_2 </v>
      </c>
      <c r="D22" t="s">
        <v>2540</v>
      </c>
      <c r="E22">
        <v>98</v>
      </c>
      <c r="F22" t="s">
        <v>5</v>
      </c>
      <c r="G22">
        <v>35</v>
      </c>
      <c r="H22" t="s">
        <v>6</v>
      </c>
      <c r="I22">
        <v>-21.01</v>
      </c>
      <c r="J22" t="s">
        <v>7</v>
      </c>
      <c r="K22">
        <v>-0.21438775510204</v>
      </c>
      <c r="L22" t="s">
        <v>8</v>
      </c>
      <c r="M22">
        <v>1.1748571428571399</v>
      </c>
      <c r="N22" t="s">
        <v>9</v>
      </c>
      <c r="O22">
        <v>-0.98619047619047495</v>
      </c>
      <c r="P22" t="s">
        <v>10</v>
      </c>
      <c r="Q22">
        <v>0.19411304850376301</v>
      </c>
      <c r="R22" t="s">
        <v>11</v>
      </c>
      <c r="S22" t="s">
        <v>3696</v>
      </c>
      <c r="T22" t="s">
        <v>3697</v>
      </c>
      <c r="U22">
        <v>0</v>
      </c>
      <c r="V22" t="s">
        <v>14</v>
      </c>
      <c r="W22" t="s">
        <v>15</v>
      </c>
      <c r="X22" t="s">
        <v>3696</v>
      </c>
      <c r="Y22" t="s">
        <v>3697</v>
      </c>
      <c r="Z22">
        <v>0</v>
      </c>
      <c r="AA22" t="s">
        <v>18</v>
      </c>
    </row>
    <row r="23" spans="1:27" x14ac:dyDescent="0.3">
      <c r="A23" t="s">
        <v>1966</v>
      </c>
      <c r="B23" t="s">
        <v>2926</v>
      </c>
      <c r="C23" s="16" t="str">
        <f t="shared" si="0"/>
        <v xml:space="preserve">rsi_[42 70]_3 </v>
      </c>
      <c r="D23" t="s">
        <v>2540</v>
      </c>
      <c r="E23">
        <v>98</v>
      </c>
      <c r="F23" t="s">
        <v>5</v>
      </c>
      <c r="G23">
        <v>33</v>
      </c>
      <c r="H23" t="s">
        <v>6</v>
      </c>
      <c r="I23">
        <v>-29.909999999999901</v>
      </c>
      <c r="J23" t="s">
        <v>7</v>
      </c>
      <c r="K23">
        <v>-0.305204081632652</v>
      </c>
      <c r="L23" t="s">
        <v>8</v>
      </c>
      <c r="M23">
        <v>0.99939393939393895</v>
      </c>
      <c r="N23" t="s">
        <v>9</v>
      </c>
      <c r="O23">
        <v>-0.96753846153846002</v>
      </c>
      <c r="P23" t="s">
        <v>10</v>
      </c>
      <c r="Q23">
        <v>0.20485087911003</v>
      </c>
      <c r="R23" t="s">
        <v>11</v>
      </c>
      <c r="S23" t="s">
        <v>3696</v>
      </c>
      <c r="T23" t="s">
        <v>3697</v>
      </c>
      <c r="U23">
        <v>0</v>
      </c>
      <c r="V23" t="s">
        <v>14</v>
      </c>
      <c r="W23" t="s">
        <v>15</v>
      </c>
      <c r="X23" t="s">
        <v>3698</v>
      </c>
      <c r="Y23" t="s">
        <v>3699</v>
      </c>
      <c r="Z23">
        <v>0</v>
      </c>
      <c r="AA23" t="s">
        <v>18</v>
      </c>
    </row>
    <row r="24" spans="1:27" x14ac:dyDescent="0.3">
      <c r="A24" t="s">
        <v>1966</v>
      </c>
      <c r="B24" t="s">
        <v>2565</v>
      </c>
      <c r="C24" s="16" t="str">
        <f t="shared" si="0"/>
        <v xml:space="preserve">rsi_[42 70]_4 </v>
      </c>
      <c r="D24" t="s">
        <v>2540</v>
      </c>
      <c r="E24">
        <v>98</v>
      </c>
      <c r="F24" t="s">
        <v>5</v>
      </c>
      <c r="G24">
        <v>33</v>
      </c>
      <c r="H24" t="s">
        <v>6</v>
      </c>
      <c r="I24">
        <v>-29.909999999999901</v>
      </c>
      <c r="J24" t="s">
        <v>7</v>
      </c>
      <c r="K24">
        <v>-0.305204081632652</v>
      </c>
      <c r="L24" t="s">
        <v>8</v>
      </c>
      <c r="M24">
        <v>0.99939393939393895</v>
      </c>
      <c r="N24" t="s">
        <v>9</v>
      </c>
      <c r="O24">
        <v>-0.96753846153846002</v>
      </c>
      <c r="P24" t="s">
        <v>10</v>
      </c>
      <c r="Q24">
        <v>0.20485087911003</v>
      </c>
      <c r="R24" t="s">
        <v>11</v>
      </c>
      <c r="S24" t="s">
        <v>3696</v>
      </c>
      <c r="T24" t="s">
        <v>3697</v>
      </c>
      <c r="U24">
        <v>0</v>
      </c>
      <c r="V24" t="s">
        <v>14</v>
      </c>
      <c r="W24" t="s">
        <v>15</v>
      </c>
      <c r="X24" t="s">
        <v>3698</v>
      </c>
      <c r="Y24" t="s">
        <v>3699</v>
      </c>
      <c r="Z24">
        <v>0</v>
      </c>
      <c r="AA24" t="s">
        <v>18</v>
      </c>
    </row>
    <row r="25" spans="1:27" x14ac:dyDescent="0.3">
      <c r="A25" t="s">
        <v>1967</v>
      </c>
      <c r="B25" t="s">
        <v>2559</v>
      </c>
      <c r="C25" s="16" t="str">
        <f t="shared" si="0"/>
        <v xml:space="preserve">stoch_[42 70]_1 </v>
      </c>
      <c r="D25" t="s">
        <v>2540</v>
      </c>
      <c r="E25">
        <v>283</v>
      </c>
      <c r="F25" t="s">
        <v>5</v>
      </c>
      <c r="G25">
        <v>130</v>
      </c>
      <c r="H25" t="s">
        <v>6</v>
      </c>
      <c r="I25">
        <v>-5.2148671304481198</v>
      </c>
      <c r="J25" t="s">
        <v>7</v>
      </c>
      <c r="K25">
        <v>-1.84270923337389E-2</v>
      </c>
      <c r="L25" t="s">
        <v>8</v>
      </c>
      <c r="M25">
        <v>1.0610305287136801</v>
      </c>
      <c r="N25" t="s">
        <v>9</v>
      </c>
      <c r="O25">
        <v>-0.93561330629560402</v>
      </c>
      <c r="P25" t="s">
        <v>10</v>
      </c>
      <c r="Q25">
        <v>0.41213725967724502</v>
      </c>
      <c r="R25" t="s">
        <v>11</v>
      </c>
      <c r="S25" t="s">
        <v>3688</v>
      </c>
      <c r="T25" t="s">
        <v>2920</v>
      </c>
      <c r="U25">
        <v>0</v>
      </c>
      <c r="V25" t="s">
        <v>14</v>
      </c>
      <c r="W25" t="s">
        <v>15</v>
      </c>
      <c r="X25" t="s">
        <v>2684</v>
      </c>
      <c r="Y25" t="s">
        <v>3485</v>
      </c>
      <c r="Z25">
        <v>0</v>
      </c>
      <c r="AA25" t="s">
        <v>18</v>
      </c>
    </row>
    <row r="26" spans="1:27" x14ac:dyDescent="0.3">
      <c r="A26" t="s">
        <v>1967</v>
      </c>
      <c r="B26" t="s">
        <v>2562</v>
      </c>
      <c r="C26" s="16" t="str">
        <f t="shared" si="0"/>
        <v xml:space="preserve">stoch_[42 70]_2 </v>
      </c>
      <c r="D26" t="s">
        <v>2540</v>
      </c>
      <c r="E26">
        <v>283</v>
      </c>
      <c r="F26" t="s">
        <v>5</v>
      </c>
      <c r="G26">
        <v>117</v>
      </c>
      <c r="H26" t="s">
        <v>6</v>
      </c>
      <c r="I26">
        <v>-10.383498771441401</v>
      </c>
      <c r="J26" t="s">
        <v>7</v>
      </c>
      <c r="K26">
        <v>-3.6690808379651899E-2</v>
      </c>
      <c r="L26" t="s">
        <v>8</v>
      </c>
      <c r="M26">
        <v>1.2425574908683801</v>
      </c>
      <c r="N26" t="s">
        <v>9</v>
      </c>
      <c r="O26">
        <v>-0.93832966989784605</v>
      </c>
      <c r="P26" t="s">
        <v>10</v>
      </c>
      <c r="Q26">
        <v>0.48137335779699397</v>
      </c>
      <c r="R26" t="s">
        <v>11</v>
      </c>
      <c r="S26" t="s">
        <v>3688</v>
      </c>
      <c r="T26" t="s">
        <v>2920</v>
      </c>
      <c r="U26">
        <v>0</v>
      </c>
      <c r="V26" t="s">
        <v>14</v>
      </c>
      <c r="W26" t="s">
        <v>15</v>
      </c>
      <c r="X26" t="s">
        <v>3700</v>
      </c>
      <c r="Y26" t="s">
        <v>3701</v>
      </c>
      <c r="Z26">
        <v>0</v>
      </c>
      <c r="AA26" t="s">
        <v>18</v>
      </c>
    </row>
    <row r="27" spans="1:27" x14ac:dyDescent="0.3">
      <c r="A27" t="s">
        <v>1967</v>
      </c>
      <c r="B27" t="s">
        <v>2926</v>
      </c>
      <c r="C27" s="16" t="str">
        <f t="shared" si="0"/>
        <v xml:space="preserve">stoch_[42 70]_3 </v>
      </c>
      <c r="D27" t="s">
        <v>2540</v>
      </c>
      <c r="E27">
        <v>283</v>
      </c>
      <c r="F27" t="s">
        <v>5</v>
      </c>
      <c r="G27">
        <v>114</v>
      </c>
      <c r="H27" t="s">
        <v>6</v>
      </c>
      <c r="I27">
        <v>-3.8734987714414899</v>
      </c>
      <c r="J27" t="s">
        <v>7</v>
      </c>
      <c r="K27">
        <v>-1.36872748107473E-2</v>
      </c>
      <c r="L27" t="s">
        <v>8</v>
      </c>
      <c r="M27">
        <v>1.3591160213298299</v>
      </c>
      <c r="N27" t="s">
        <v>9</v>
      </c>
      <c r="O27">
        <v>-0.93972026747362403</v>
      </c>
      <c r="P27" t="s">
        <v>10</v>
      </c>
      <c r="Q27">
        <v>0.494586956355202</v>
      </c>
      <c r="R27" t="s">
        <v>11</v>
      </c>
      <c r="S27" t="s">
        <v>3702</v>
      </c>
      <c r="T27" t="s">
        <v>21</v>
      </c>
      <c r="U27">
        <v>0</v>
      </c>
      <c r="V27" t="s">
        <v>14</v>
      </c>
      <c r="W27" t="s">
        <v>15</v>
      </c>
      <c r="X27" t="s">
        <v>3700</v>
      </c>
      <c r="Y27" t="s">
        <v>3701</v>
      </c>
      <c r="Z27">
        <v>0</v>
      </c>
      <c r="AA27" t="s">
        <v>18</v>
      </c>
    </row>
    <row r="28" spans="1:27" x14ac:dyDescent="0.3">
      <c r="A28" t="s">
        <v>1967</v>
      </c>
      <c r="B28" t="s">
        <v>2565</v>
      </c>
      <c r="C28" s="16" t="str">
        <f t="shared" si="0"/>
        <v xml:space="preserve">stoch_[42 70]_4 </v>
      </c>
      <c r="D28" t="s">
        <v>2540</v>
      </c>
      <c r="E28">
        <v>283</v>
      </c>
      <c r="F28" t="s">
        <v>5</v>
      </c>
      <c r="G28">
        <v>112</v>
      </c>
      <c r="H28" t="s">
        <v>6</v>
      </c>
      <c r="I28">
        <v>-11.9334987714414</v>
      </c>
      <c r="J28" t="s">
        <v>7</v>
      </c>
      <c r="K28">
        <v>-4.2167840181771998E-2</v>
      </c>
      <c r="L28" t="s">
        <v>8</v>
      </c>
      <c r="M28">
        <v>1.33660023599643</v>
      </c>
      <c r="N28" t="s">
        <v>9</v>
      </c>
      <c r="O28">
        <v>-0.94522061522247003</v>
      </c>
      <c r="P28" t="s">
        <v>10</v>
      </c>
      <c r="Q28">
        <v>0.50605542455963903</v>
      </c>
      <c r="R28" t="s">
        <v>11</v>
      </c>
      <c r="S28" t="s">
        <v>3703</v>
      </c>
      <c r="T28" t="s">
        <v>3536</v>
      </c>
      <c r="U28">
        <v>0</v>
      </c>
      <c r="V28" t="s">
        <v>14</v>
      </c>
      <c r="W28" t="s">
        <v>15</v>
      </c>
      <c r="X28" t="s">
        <v>3700</v>
      </c>
      <c r="Y28" t="s">
        <v>3701</v>
      </c>
      <c r="Z28">
        <v>0</v>
      </c>
      <c r="AA28" t="s">
        <v>18</v>
      </c>
    </row>
    <row r="29" spans="1:27" x14ac:dyDescent="0.3">
      <c r="A29" t="s">
        <v>3704</v>
      </c>
      <c r="B29" t="s">
        <v>2559</v>
      </c>
      <c r="C29" s="16" t="str">
        <f t="shared" si="0"/>
        <v xml:space="preserve">stoch_no_highvol_[42 70]_1 </v>
      </c>
      <c r="D29" t="s">
        <v>2540</v>
      </c>
      <c r="E29">
        <v>259</v>
      </c>
      <c r="F29" t="s">
        <v>5</v>
      </c>
      <c r="G29">
        <v>118</v>
      </c>
      <c r="H29" t="s">
        <v>6</v>
      </c>
      <c r="I29">
        <v>-15.165749854743201</v>
      </c>
      <c r="J29" t="s">
        <v>7</v>
      </c>
      <c r="K29">
        <v>-5.8555018744182598E-2</v>
      </c>
      <c r="L29" t="s">
        <v>8</v>
      </c>
      <c r="M29">
        <v>0.96351059445132603</v>
      </c>
      <c r="N29" t="s">
        <v>9</v>
      </c>
      <c r="O29">
        <v>-0.913900709219857</v>
      </c>
      <c r="P29" t="s">
        <v>10</v>
      </c>
      <c r="Q29">
        <v>0.35975353031975599</v>
      </c>
      <c r="R29" t="s">
        <v>11</v>
      </c>
      <c r="S29" t="s">
        <v>3705</v>
      </c>
      <c r="T29" t="s">
        <v>832</v>
      </c>
      <c r="U29">
        <v>0</v>
      </c>
      <c r="V29" t="s">
        <v>14</v>
      </c>
      <c r="W29" t="s">
        <v>15</v>
      </c>
      <c r="X29" t="s">
        <v>2684</v>
      </c>
      <c r="Y29" t="s">
        <v>3485</v>
      </c>
      <c r="Z29">
        <v>0</v>
      </c>
      <c r="AA29" t="s">
        <v>18</v>
      </c>
    </row>
    <row r="30" spans="1:27" x14ac:dyDescent="0.3">
      <c r="A30" t="s">
        <v>3704</v>
      </c>
      <c r="B30" t="s">
        <v>2562</v>
      </c>
      <c r="C30" s="16" t="str">
        <f t="shared" si="0"/>
        <v xml:space="preserve">stoch_no_highvol_[42 70]_2 </v>
      </c>
      <c r="D30" t="s">
        <v>2540</v>
      </c>
      <c r="E30">
        <v>259</v>
      </c>
      <c r="F30" t="s">
        <v>5</v>
      </c>
      <c r="G30">
        <v>108</v>
      </c>
      <c r="H30" t="s">
        <v>6</v>
      </c>
      <c r="I30">
        <v>-23.975749854743299</v>
      </c>
      <c r="J30" t="s">
        <v>7</v>
      </c>
      <c r="K30">
        <v>-9.2570462759626798E-2</v>
      </c>
      <c r="L30" t="s">
        <v>8</v>
      </c>
      <c r="M30">
        <v>1.05601851851851</v>
      </c>
      <c r="N30" t="s">
        <v>9</v>
      </c>
      <c r="O30">
        <v>-0.91407781360757201</v>
      </c>
      <c r="P30" t="s">
        <v>10</v>
      </c>
      <c r="Q30">
        <v>0.39749390886694003</v>
      </c>
      <c r="R30" t="s">
        <v>11</v>
      </c>
      <c r="S30" t="s">
        <v>1428</v>
      </c>
      <c r="T30" t="s">
        <v>2775</v>
      </c>
      <c r="U30">
        <v>0</v>
      </c>
      <c r="V30" t="s">
        <v>14</v>
      </c>
      <c r="W30" t="s">
        <v>15</v>
      </c>
      <c r="X30" t="s">
        <v>2684</v>
      </c>
      <c r="Y30" t="s">
        <v>3485</v>
      </c>
      <c r="Z30">
        <v>0</v>
      </c>
      <c r="AA30" t="s">
        <v>18</v>
      </c>
    </row>
    <row r="31" spans="1:27" x14ac:dyDescent="0.3">
      <c r="A31" t="s">
        <v>3704</v>
      </c>
      <c r="B31" t="s">
        <v>2926</v>
      </c>
      <c r="C31" s="16" t="str">
        <f t="shared" si="0"/>
        <v xml:space="preserve">stoch_no_highvol_[42 70]_3 </v>
      </c>
      <c r="D31" t="s">
        <v>2540</v>
      </c>
      <c r="E31">
        <v>259</v>
      </c>
      <c r="F31" t="s">
        <v>5</v>
      </c>
      <c r="G31">
        <v>106</v>
      </c>
      <c r="H31" t="s">
        <v>6</v>
      </c>
      <c r="I31">
        <v>-14.8357498547433</v>
      </c>
      <c r="J31" t="s">
        <v>7</v>
      </c>
      <c r="K31">
        <v>-5.7280887470051597E-2</v>
      </c>
      <c r="L31" t="s">
        <v>8</v>
      </c>
      <c r="M31">
        <v>1.1760377358490499</v>
      </c>
      <c r="N31" t="s">
        <v>9</v>
      </c>
      <c r="O31">
        <v>-0.91173692715518495</v>
      </c>
      <c r="P31" t="s">
        <v>10</v>
      </c>
      <c r="Q31">
        <v>0.422621307252594</v>
      </c>
      <c r="R31" t="s">
        <v>11</v>
      </c>
      <c r="S31" t="s">
        <v>3706</v>
      </c>
      <c r="T31" t="s">
        <v>3707</v>
      </c>
      <c r="U31">
        <v>0</v>
      </c>
      <c r="V31" t="s">
        <v>14</v>
      </c>
      <c r="W31" t="s">
        <v>15</v>
      </c>
      <c r="X31" t="s">
        <v>2684</v>
      </c>
      <c r="Y31" t="s">
        <v>3485</v>
      </c>
      <c r="Z31">
        <v>0</v>
      </c>
      <c r="AA31" t="s">
        <v>18</v>
      </c>
    </row>
    <row r="32" spans="1:27" x14ac:dyDescent="0.3">
      <c r="A32" t="s">
        <v>3704</v>
      </c>
      <c r="B32" t="s">
        <v>2565</v>
      </c>
      <c r="C32" s="16" t="str">
        <f t="shared" si="0"/>
        <v xml:space="preserve">stoch_no_highvol_[42 70]_4 </v>
      </c>
      <c r="D32" t="s">
        <v>2540</v>
      </c>
      <c r="E32">
        <v>259</v>
      </c>
      <c r="F32" t="s">
        <v>5</v>
      </c>
      <c r="G32">
        <v>105</v>
      </c>
      <c r="H32" t="s">
        <v>6</v>
      </c>
      <c r="I32">
        <v>-18.1857498547433</v>
      </c>
      <c r="J32" t="s">
        <v>7</v>
      </c>
      <c r="K32">
        <v>-7.0215250404414495E-2</v>
      </c>
      <c r="L32" t="s">
        <v>8</v>
      </c>
      <c r="M32">
        <v>1.17161904761904</v>
      </c>
      <c r="N32" t="s">
        <v>9</v>
      </c>
      <c r="O32">
        <v>-0.91692045360222896</v>
      </c>
      <c r="P32" t="s">
        <v>10</v>
      </c>
      <c r="Q32">
        <v>0.43442849264718297</v>
      </c>
      <c r="R32" t="s">
        <v>11</v>
      </c>
      <c r="S32" t="s">
        <v>3703</v>
      </c>
      <c r="T32" t="s">
        <v>3536</v>
      </c>
      <c r="U32">
        <v>0</v>
      </c>
      <c r="V32" t="s">
        <v>14</v>
      </c>
      <c r="W32" t="s">
        <v>15</v>
      </c>
      <c r="X32" t="s">
        <v>2684</v>
      </c>
      <c r="Y32" t="s">
        <v>3485</v>
      </c>
      <c r="Z32">
        <v>0</v>
      </c>
      <c r="AA32" t="s">
        <v>18</v>
      </c>
    </row>
    <row r="33" spans="1:3" x14ac:dyDescent="0.3">
      <c r="A33" t="s">
        <v>3684</v>
      </c>
      <c r="C33" s="16" t="str">
        <f t="shared" si="0"/>
        <v>stoch_no_highvol_[42, 70]_4 :{'n': 259, 'win': 105, 'total_ret': -18.18574985474336, 'avg_ret': -0.07021525040441452, 'avg_win': 1.1716190476190473, 'avg_loss': -0.9169204536022295, 'vol': 0.434428492647183, 'single_strat_mdd': (-3.8699999999999957, Timestamp('2018-02-08 00:00:00')), 'net_liq_mdd': (-4.83, Timestamp('2012-10-10 00:00:00'))}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naked_call_raw</vt:lpstr>
      <vt:lpstr>naked_call_filter</vt:lpstr>
      <vt:lpstr>call_debit_raw</vt:lpstr>
      <vt:lpstr>call_debit_filter</vt:lpstr>
      <vt:lpstr>manual_filter</vt:lpstr>
      <vt:lpstr>call_bspread_raw</vt:lpstr>
      <vt:lpstr>call_bspread_filter</vt:lpstr>
      <vt:lpstr>call_calendar_raw</vt:lpstr>
      <vt:lpstr>sell_naked_call_raw</vt:lpstr>
      <vt:lpstr>sell_call_credit_raw</vt:lpstr>
      <vt:lpstr>sell_call_ratio</vt:lpstr>
      <vt:lpstr>buy_put_raw</vt:lpstr>
      <vt:lpstr>buy_put_debit</vt:lpstr>
      <vt:lpstr>buy_put_bs</vt:lpstr>
      <vt:lpstr>buy_put_calendar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 희관</dc:creator>
  <cp:lastModifiedBy>문 희관</cp:lastModifiedBy>
  <dcterms:created xsi:type="dcterms:W3CDTF">2023-11-04T02:43:29Z</dcterms:created>
  <dcterms:modified xsi:type="dcterms:W3CDTF">2023-11-12T15:38:27Z</dcterms:modified>
</cp:coreProperties>
</file>
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ld\Desktop\"/>
    </mc:Choice>
  </mc:AlternateContent>
  <xr:revisionPtr revIDLastSave="0" documentId="13_ncr:1_{11B7EF5A-A906-4861-9975-6EE9F4E448C6}" xr6:coauthVersionLast="47" xr6:coauthVersionMax="47" xr10:uidLastSave="{00000000-0000-0000-0000-000000000000}"/>
  <bookViews>
    <workbookView xWindow="-120" yWindow="-120" windowWidth="29040" windowHeight="15840" activeTab="4" xr2:uid="{F2610D8D-B618-44AD-9278-68EB8F128A9D}"/>
  </bookViews>
  <sheets>
    <sheet name="naked" sheetId="1" r:id="rId1"/>
    <sheet name="bwb" sheetId="2" r:id="rId2"/>
    <sheet name="strangle" sheetId="15" r:id="rId3"/>
    <sheet name="111type" sheetId="16" r:id="rId4"/>
    <sheet name="frontlongbackshort" sheetId="8" r:id="rId5"/>
    <sheet name="weeklyput" sheetId="12" r:id="rId6"/>
    <sheet name="weeklystrangle" sheetId="13" r:id="rId7"/>
    <sheet name="1112" sheetId="4" r:id="rId8"/>
    <sheet name="1121" sheetId="5" r:id="rId9"/>
    <sheet name="1122" sheetId="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6" i="16" l="1"/>
  <c r="W35" i="16"/>
  <c r="W34" i="16"/>
  <c r="W33" i="16"/>
  <c r="W32" i="16"/>
  <c r="W31" i="16"/>
  <c r="W30" i="16"/>
  <c r="W29" i="16"/>
  <c r="W27" i="16"/>
  <c r="W26" i="16"/>
  <c r="W25" i="16"/>
  <c r="W24" i="16"/>
  <c r="W23" i="16"/>
  <c r="W22" i="16"/>
  <c r="W21" i="16"/>
  <c r="W20" i="16"/>
  <c r="W18" i="16"/>
  <c r="W17" i="16"/>
  <c r="W16" i="16"/>
  <c r="W15" i="16"/>
  <c r="W14" i="16"/>
  <c r="W13" i="16"/>
  <c r="W12" i="16"/>
  <c r="W11" i="16"/>
  <c r="W9" i="16"/>
  <c r="W8" i="16"/>
  <c r="W7" i="16"/>
  <c r="W6" i="16"/>
  <c r="W5" i="16"/>
  <c r="W4" i="16"/>
  <c r="W3" i="16"/>
  <c r="W2" i="16"/>
  <c r="X55" i="15"/>
  <c r="W55" i="15"/>
  <c r="X54" i="15"/>
  <c r="W54" i="15"/>
  <c r="X53" i="15"/>
  <c r="W53" i="15"/>
  <c r="X52" i="15"/>
  <c r="W52" i="15"/>
  <c r="X51" i="15"/>
  <c r="W51" i="15"/>
  <c r="X47" i="15"/>
  <c r="W47" i="15"/>
  <c r="X46" i="15"/>
  <c r="W46" i="15"/>
  <c r="X45" i="15"/>
  <c r="W45" i="15"/>
  <c r="X44" i="15"/>
  <c r="W44" i="15"/>
  <c r="X43" i="15"/>
  <c r="W43" i="15"/>
  <c r="X39" i="15"/>
  <c r="W39" i="15"/>
  <c r="X38" i="15"/>
  <c r="W38" i="15"/>
  <c r="X37" i="15"/>
  <c r="W37" i="15"/>
  <c r="X36" i="15"/>
  <c r="W36" i="15"/>
  <c r="X35" i="15"/>
  <c r="W35" i="15"/>
  <c r="X31" i="15"/>
  <c r="X30" i="15"/>
  <c r="X29" i="15"/>
  <c r="X28" i="15"/>
  <c r="X27" i="15"/>
  <c r="X23" i="15"/>
  <c r="X22" i="15"/>
  <c r="X21" i="15"/>
  <c r="X20" i="15"/>
  <c r="X19" i="15"/>
  <c r="X15" i="15"/>
  <c r="X14" i="15"/>
  <c r="X13" i="15"/>
  <c r="X12" i="15"/>
  <c r="X11" i="15"/>
  <c r="X7" i="15"/>
  <c r="X6" i="15"/>
  <c r="X5" i="15"/>
  <c r="X4" i="15"/>
  <c r="X3" i="15"/>
  <c r="W31" i="15"/>
  <c r="W30" i="15"/>
  <c r="W29" i="15"/>
  <c r="W28" i="15"/>
  <c r="W27" i="15"/>
  <c r="W23" i="15"/>
  <c r="W22" i="15"/>
  <c r="W21" i="15"/>
  <c r="W20" i="15"/>
  <c r="W19" i="15"/>
  <c r="W15" i="15"/>
  <c r="W14" i="15"/>
  <c r="W13" i="15"/>
  <c r="W12" i="15"/>
  <c r="W11" i="15"/>
  <c r="W7" i="15"/>
  <c r="W6" i="15"/>
  <c r="W5" i="15"/>
  <c r="W4" i="15"/>
  <c r="W3" i="15"/>
  <c r="X49" i="8"/>
  <c r="W49" i="8"/>
  <c r="X48" i="8"/>
  <c r="W48" i="8"/>
  <c r="X47" i="8"/>
  <c r="W47" i="8"/>
  <c r="X46" i="8"/>
  <c r="W46" i="8"/>
  <c r="X45" i="8"/>
  <c r="W45" i="8"/>
  <c r="X44" i="8"/>
  <c r="W44" i="8"/>
  <c r="X43" i="8"/>
  <c r="W43" i="8"/>
  <c r="X42" i="8"/>
  <c r="W42" i="8"/>
  <c r="X39" i="8"/>
  <c r="W39" i="8"/>
  <c r="X38" i="8"/>
  <c r="W38" i="8"/>
  <c r="X37" i="8"/>
  <c r="W37" i="8"/>
  <c r="X36" i="8"/>
  <c r="W36" i="8"/>
  <c r="X35" i="8"/>
  <c r="W35" i="8"/>
  <c r="X34" i="8"/>
  <c r="W34" i="8"/>
  <c r="X33" i="8"/>
  <c r="W33" i="8"/>
  <c r="X32" i="8"/>
  <c r="W32" i="8"/>
  <c r="X3" i="8"/>
  <c r="X4" i="8"/>
  <c r="X5" i="8"/>
  <c r="X6" i="8"/>
  <c r="X7" i="8"/>
  <c r="X8" i="8"/>
  <c r="X9" i="8"/>
  <c r="X12" i="8"/>
  <c r="X13" i="8"/>
  <c r="X14" i="8"/>
  <c r="X15" i="8"/>
  <c r="X16" i="8"/>
  <c r="X17" i="8"/>
  <c r="X18" i="8"/>
  <c r="X19" i="8"/>
  <c r="X22" i="8"/>
  <c r="X23" i="8"/>
  <c r="X24" i="8"/>
  <c r="X25" i="8"/>
  <c r="X26" i="8"/>
  <c r="X27" i="8"/>
  <c r="X28" i="8"/>
  <c r="X29" i="8"/>
  <c r="X2" i="8"/>
  <c r="W29" i="8"/>
  <c r="W28" i="8"/>
  <c r="W27" i="8"/>
  <c r="W26" i="8"/>
  <c r="W25" i="8"/>
  <c r="W24" i="8"/>
  <c r="W23" i="8"/>
  <c r="W22" i="8"/>
  <c r="W19" i="8"/>
  <c r="W18" i="8"/>
  <c r="W17" i="8"/>
  <c r="W16" i="8"/>
  <c r="W15" i="8"/>
  <c r="W14" i="8"/>
  <c r="W13" i="8"/>
  <c r="W12" i="8"/>
  <c r="W9" i="8"/>
  <c r="W8" i="8"/>
  <c r="W7" i="8"/>
  <c r="W6" i="8"/>
  <c r="W5" i="8"/>
  <c r="W4" i="8"/>
  <c r="W3" i="8"/>
  <c r="W2" i="8"/>
  <c r="V8" i="2"/>
  <c r="V7" i="2"/>
  <c r="V6" i="2"/>
  <c r="V5" i="2"/>
  <c r="V4" i="2"/>
  <c r="V3" i="2"/>
  <c r="V2" i="2"/>
  <c r="V1" i="2"/>
  <c r="U8" i="2"/>
  <c r="U7" i="2"/>
  <c r="U6" i="2"/>
  <c r="U5" i="2"/>
  <c r="U4" i="2"/>
  <c r="U3" i="2"/>
  <c r="U2" i="2"/>
  <c r="U1" i="2"/>
  <c r="Y8" i="1"/>
  <c r="X8" i="1"/>
  <c r="Y5" i="1"/>
  <c r="X5" i="1"/>
  <c r="Y2" i="1"/>
  <c r="X2" i="1"/>
  <c r="Y1" i="1"/>
  <c r="X1" i="1"/>
  <c r="X4" i="1"/>
  <c r="Y4" i="1"/>
  <c r="Y48" i="1"/>
  <c r="X48" i="1"/>
  <c r="Y47" i="1"/>
  <c r="X47" i="1"/>
  <c r="Y46" i="1"/>
  <c r="X46" i="1"/>
  <c r="Y45" i="1"/>
  <c r="X45" i="1"/>
  <c r="Y44" i="1"/>
  <c r="X44" i="1"/>
  <c r="Y43" i="1"/>
  <c r="X43" i="1"/>
  <c r="Y42" i="1"/>
  <c r="X42" i="1"/>
  <c r="Y41" i="1"/>
  <c r="X41" i="1"/>
  <c r="Y38" i="1"/>
  <c r="X38" i="1"/>
  <c r="Y37" i="1"/>
  <c r="X37" i="1"/>
  <c r="Y36" i="1"/>
  <c r="X36" i="1"/>
  <c r="Y35" i="1"/>
  <c r="X35" i="1"/>
  <c r="Y34" i="1"/>
  <c r="X34" i="1"/>
  <c r="Y33" i="1"/>
  <c r="X33" i="1"/>
  <c r="Y32" i="1"/>
  <c r="X32" i="1"/>
  <c r="Y31" i="1"/>
  <c r="X31" i="1"/>
  <c r="Y28" i="1"/>
  <c r="X28" i="1"/>
  <c r="Y27" i="1"/>
  <c r="X27" i="1"/>
  <c r="Y26" i="1"/>
  <c r="X26" i="1"/>
  <c r="Y25" i="1"/>
  <c r="X25" i="1"/>
  <c r="Y24" i="1"/>
  <c r="X24" i="1"/>
  <c r="Y23" i="1"/>
  <c r="X23" i="1"/>
  <c r="Y22" i="1"/>
  <c r="X22" i="1"/>
  <c r="Y21" i="1"/>
  <c r="X21" i="1"/>
  <c r="Y18" i="1"/>
  <c r="X18" i="1"/>
  <c r="Y17" i="1"/>
  <c r="X17" i="1"/>
  <c r="Y16" i="1"/>
  <c r="X16" i="1"/>
  <c r="Y15" i="1"/>
  <c r="X15" i="1"/>
  <c r="Y14" i="1"/>
  <c r="X14" i="1"/>
  <c r="Y13" i="1"/>
  <c r="X13" i="1"/>
  <c r="Y12" i="1"/>
  <c r="X12" i="1"/>
  <c r="X11" i="1"/>
  <c r="Y11" i="1"/>
  <c r="Y7" i="1"/>
  <c r="X7" i="1"/>
</calcChain>
</file>

<file path=xl/sharedStrings.xml><?xml version="1.0" encoding="utf-8"?>
<sst xmlns="http://schemas.openxmlformats.org/spreadsheetml/2006/main" count="2898" uniqueCount="280">
  <si>
    <t>{'n'</t>
  </si>
  <si>
    <t xml:space="preserve"> 'win'</t>
  </si>
  <si>
    <t xml:space="preserve"> 'avg_ret'</t>
  </si>
  <si>
    <t xml:space="preserve"> 'avg_loss'</t>
  </si>
  <si>
    <t xml:space="preserve"> 'vol'</t>
  </si>
  <si>
    <t xml:space="preserve"> 'single_strat_mdd'</t>
  </si>
  <si>
    <t xml:space="preserve"> (-7.3360149357668405</t>
  </si>
  <si>
    <t xml:space="preserve"> Timestamp('2011-08-09 00</t>
  </si>
  <si>
    <t>00'))</t>
  </si>
  <si>
    <t xml:space="preserve"> 'net_liq_mdd'</t>
  </si>
  <si>
    <t xml:space="preserve"> (-14.16</t>
  </si>
  <si>
    <t xml:space="preserve"> Timestamp('2020-03-09 00</t>
  </si>
  <si>
    <t>00'))}</t>
  </si>
  <si>
    <t xml:space="preserve"> (-5.44</t>
  </si>
  <si>
    <t>Name</t>
  </si>
  <si>
    <t xml:space="preserve"> drawdown_date</t>
  </si>
  <si>
    <t xml:space="preserve"> dtype</t>
  </si>
  <si>
    <t xml:space="preserve"> datetime64[ns])</t>
  </si>
  <si>
    <t xml:space="preserve"> (-10.46</t>
  </si>
  <si>
    <t xml:space="preserve"> Timestamp('2022-01-03 00</t>
  </si>
  <si>
    <t xml:space="preserve"> (-5.760000000000001</t>
  </si>
  <si>
    <t xml:space="preserve"> Timestamp('2022-06-13 00</t>
  </si>
  <si>
    <t xml:space="preserve"> (-40.76070189412138</t>
  </si>
  <si>
    <t xml:space="preserve"> Timestamp('2011-08-08 00</t>
  </si>
  <si>
    <t xml:space="preserve"> (-21.810000000000002</t>
  </si>
  <si>
    <t xml:space="preserve"> Timestamp('2021-02-24 00</t>
  </si>
  <si>
    <t xml:space="preserve"> (-23.129999999999995</t>
  </si>
  <si>
    <t xml:space="preserve"> Timestamp('2021-02-22 00</t>
  </si>
  <si>
    <t xml:space="preserve"> (-9.670000000000023</t>
  </si>
  <si>
    <t xml:space="preserve"> Timestamp('2018-10-11 00</t>
  </si>
  <si>
    <t xml:space="preserve"> (-7.99</t>
  </si>
  <si>
    <t xml:space="preserve"> 2011-07-04   2011-08-05</t>
  </si>
  <si>
    <t>2011-07-04   2011-08-05</t>
  </si>
  <si>
    <t xml:space="preserve"> (-8.97512073142513</t>
  </si>
  <si>
    <t xml:space="preserve"> Timestamp('2020-03-13 00</t>
  </si>
  <si>
    <t xml:space="preserve"> (-8.05</t>
  </si>
  <si>
    <t xml:space="preserve"> 2011-07-05   2011-08-05</t>
  </si>
  <si>
    <t>2011-07-05   2011-08-05</t>
  </si>
  <si>
    <t xml:space="preserve"> (-8.74</t>
  </si>
  <si>
    <t xml:space="preserve"> (-8.65</t>
  </si>
  <si>
    <t xml:space="preserve"> (-10.250000000000002</t>
  </si>
  <si>
    <t xml:space="preserve"> (-10.74</t>
  </si>
  <si>
    <t xml:space="preserve"> (-10.569510801920607</t>
  </si>
  <si>
    <t xml:space="preserve"> (-8.8</t>
  </si>
  <si>
    <t xml:space="preserve"> 2015-08-03   2015-08-24</t>
  </si>
  <si>
    <t>2015-08-03   2015-08-24</t>
  </si>
  <si>
    <t xml:space="preserve"> (-13.164428442583887</t>
  </si>
  <si>
    <t xml:space="preserve"> (-11.870000000000001</t>
  </si>
  <si>
    <t xml:space="preserve"> (-10.171336823547549</t>
  </si>
  <si>
    <t xml:space="preserve"> (-9.48</t>
  </si>
  <si>
    <t>2015-08-03   2015-08-21</t>
  </si>
  <si>
    <t xml:space="preserve"> (-15.08</t>
  </si>
  <si>
    <t xml:space="preserve"> (-9.099226431600977</t>
  </si>
  <si>
    <t xml:space="preserve"> Timestamp('2011-08-22 00</t>
  </si>
  <si>
    <t xml:space="preserve"> Timestamp('2011-08-05 00</t>
  </si>
  <si>
    <t xml:space="preserve"> (-7.600000000000001</t>
  </si>
  <si>
    <t xml:space="preserve"> Timestamp('2022-01-27 00</t>
  </si>
  <si>
    <t xml:space="preserve"> (-13.418830328769094</t>
  </si>
  <si>
    <t xml:space="preserve"> Timestamp('2011-08-10 00</t>
  </si>
  <si>
    <t xml:space="preserve"> (-7.619999999999999</t>
  </si>
  <si>
    <t xml:space="preserve"> (-7.203326095299545</t>
  </si>
  <si>
    <t xml:space="preserve"> (-6.000000000000002</t>
  </si>
  <si>
    <t xml:space="preserve"> (-8.430000000000001</t>
  </si>
  <si>
    <t xml:space="preserve"> (-6.666588487806779</t>
  </si>
  <si>
    <t xml:space="preserve"> (-12.517976411666812</t>
  </si>
  <si>
    <t xml:space="preserve"> (-12.628294696283277</t>
  </si>
  <si>
    <t xml:space="preserve"> (-12.623800765904036</t>
  </si>
  <si>
    <t xml:space="preserve"> (-9.58</t>
  </si>
  <si>
    <t xml:space="preserve"> (-7.720888588785424</t>
  </si>
  <si>
    <t xml:space="preserve"> (-6.600000000000001</t>
  </si>
  <si>
    <t xml:space="preserve"> (-12.71</t>
  </si>
  <si>
    <t xml:space="preserve"> (-10.976078767947815</t>
  </si>
  <si>
    <t xml:space="preserve"> (-9.6</t>
  </si>
  <si>
    <t xml:space="preserve"> (-12.432650358828646</t>
  </si>
  <si>
    <t xml:space="preserve"> 'total_ret'</t>
  </si>
  <si>
    <t xml:space="preserve"> (-11.599999999999998</t>
  </si>
  <si>
    <t xml:space="preserve"> DatetimeIndex(['2020-03-13']</t>
  </si>
  <si>
    <t xml:space="preserve"> dtype='datetime64[ns]'</t>
  </si>
  <si>
    <t xml:space="preserve"> freq=None))</t>
  </si>
  <si>
    <t xml:space="preserve"> (-16.36</t>
  </si>
  <si>
    <t xml:space="preserve"> (-7.390000000000001</t>
  </si>
  <si>
    <t xml:space="preserve"> DatetimeIndex(['2021-12-27']</t>
  </si>
  <si>
    <t xml:space="preserve"> (-13.63</t>
  </si>
  <si>
    <t xml:space="preserve"> Timestamp('2021-12-27 00</t>
  </si>
  <si>
    <t xml:space="preserve"> (-12.05</t>
  </si>
  <si>
    <t xml:space="preserve"> DatetimeIndex(['2020-03-12']</t>
  </si>
  <si>
    <t xml:space="preserve"> (-24.19</t>
  </si>
  <si>
    <t xml:space="preserve"> Timestamp('2020-03-12 00</t>
  </si>
  <si>
    <t xml:space="preserve"> (-9.0</t>
  </si>
  <si>
    <t xml:space="preserve"> (-20.15</t>
  </si>
  <si>
    <t xml:space="preserve"> DatetimeIndex(['2021-12-17']</t>
  </si>
  <si>
    <t xml:space="preserve"> (-8.400000000000002</t>
  </si>
  <si>
    <t xml:space="preserve"> DatetimeIndex(['2022-01-03']</t>
  </si>
  <si>
    <t xml:space="preserve"> (-16.751892060587345</t>
  </si>
  <si>
    <t>d20</t>
    <phoneticPr fontId="2" type="noConversion"/>
  </si>
  <si>
    <t>d15</t>
    <phoneticPr fontId="2" type="noConversion"/>
  </si>
  <si>
    <t xml:space="preserve"> DatetimeIndex(['2011-08-08']</t>
  </si>
  <si>
    <t xml:space="preserve"> DatetimeIndex(['2022-05-31']</t>
  </si>
  <si>
    <t>d10</t>
    <phoneticPr fontId="2" type="noConversion"/>
  </si>
  <si>
    <t xml:space="preserve"> (-7.244007987384116</t>
  </si>
  <si>
    <t xml:space="preserve"> DatetimeIndex(['2020-03-16']</t>
  </si>
  <si>
    <t xml:space="preserve"> (-12.218198054316545</t>
  </si>
  <si>
    <t xml:space="preserve"> Timestamp('2020-03-16 00</t>
  </si>
  <si>
    <t xml:space="preserve"> (-4.079999999999999</t>
  </si>
  <si>
    <t xml:space="preserve"> (-7.26</t>
  </si>
  <si>
    <t xml:space="preserve"> (-4.209999999999999</t>
  </si>
  <si>
    <t>d5</t>
    <phoneticPr fontId="2" type="noConversion"/>
  </si>
  <si>
    <t xml:space="preserve"> (-5.6652500693368175</t>
  </si>
  <si>
    <t xml:space="preserve"> (-3.364365042506755</t>
  </si>
  <si>
    <t xml:space="preserve"> DatetimeIndex(['2011-09-05'</t>
  </si>
  <si>
    <t xml:space="preserve"> '2011-09-09'</t>
  </si>
  <si>
    <t xml:space="preserve"> '2011-09-16'</t>
  </si>
  <si>
    <t xml:space="preserve"> (-3.75</t>
  </si>
  <si>
    <t xml:space="preserve"> (-6.406281694411646</t>
  </si>
  <si>
    <t xml:space="preserve"> DatetimeIndex(['2011-08-09']</t>
  </si>
  <si>
    <t xml:space="preserve"> (-6.532754497368014</t>
  </si>
  <si>
    <t xml:space="preserve"> Timestamp('2011-08-18 00</t>
  </si>
  <si>
    <t xml:space="preserve"> '2011-09-06'</t>
  </si>
  <si>
    <t xml:space="preserve"> '2011-09-07'</t>
  </si>
  <si>
    <t xml:space="preserve"> '2011-09-08'</t>
  </si>
  <si>
    <t xml:space="preserve">               '2011-09-09'</t>
  </si>
  <si>
    <t xml:space="preserve"> '2011-09-14'</t>
  </si>
  <si>
    <t xml:space="preserve"> '2011-09-15'</t>
  </si>
  <si>
    <t xml:space="preserve">               '2011-09-19'</t>
  </si>
  <si>
    <t xml:space="preserve"> '2011-09-20']</t>
  </si>
  <si>
    <t xml:space="preserve">              dtype='datetime64[ns]'</t>
  </si>
  <si>
    <t xml:space="preserve"> (-3.8</t>
  </si>
  <si>
    <t xml:space="preserve"> Timestamp('2022-01-04 00</t>
  </si>
  <si>
    <t xml:space="preserve"> (-11.849999999999998</t>
  </si>
  <si>
    <t xml:space="preserve"> (-26.355219036248968</t>
  </si>
  <si>
    <t xml:space="preserve"> Timestamp('2022-01-10 00</t>
  </si>
  <si>
    <t xml:space="preserve"> DatetimeIndex(['2022-01-17']</t>
  </si>
  <si>
    <t>d_40_3</t>
    <phoneticPr fontId="2" type="noConversion"/>
  </si>
  <si>
    <t>d30_3</t>
    <phoneticPr fontId="2" type="noConversion"/>
  </si>
  <si>
    <t>d25_3</t>
    <phoneticPr fontId="2" type="noConversion"/>
  </si>
  <si>
    <t>d_40_4</t>
    <phoneticPr fontId="2" type="noConversion"/>
  </si>
  <si>
    <t>d25_4</t>
    <phoneticPr fontId="2" type="noConversion"/>
  </si>
  <si>
    <t xml:space="preserve"> (-27.07</t>
  </si>
  <si>
    <t xml:space="preserve"> Timestamp('2020-03-19 00</t>
  </si>
  <si>
    <t xml:space="preserve"> (-46.29</t>
  </si>
  <si>
    <t xml:space="preserve"> (-7.840000000000025</t>
  </si>
  <si>
    <t xml:space="preserve"> Timestamp('2020-08-20 00</t>
  </si>
  <si>
    <t xml:space="preserve"> (-10.71</t>
  </si>
  <si>
    <t xml:space="preserve"> (-6.49</t>
  </si>
  <si>
    <t xml:space="preserve"> (-22.02</t>
  </si>
  <si>
    <t xml:space="preserve"> (-9.650000000000025</t>
  </si>
  <si>
    <t xml:space="preserve"> (-13.65</t>
  </si>
  <si>
    <t xml:space="preserve"> (-8.23</t>
  </si>
  <si>
    <t xml:space="preserve"> (-27.06</t>
  </si>
  <si>
    <t xml:space="preserve"> (-46.269999999999996</t>
  </si>
  <si>
    <t xml:space="preserve"> (-9.640000000000025</t>
  </si>
  <si>
    <t xml:space="preserve"> (-17.47000000000005</t>
  </si>
  <si>
    <t xml:space="preserve"> (-6.8100000000000005</t>
  </si>
  <si>
    <t xml:space="preserve"> Timestamp('2020-06-03 00</t>
  </si>
  <si>
    <t xml:space="preserve"> (-10.54</t>
  </si>
  <si>
    <t xml:space="preserve"> (-27.959999999999997</t>
  </si>
  <si>
    <t xml:space="preserve"> (-49.97</t>
  </si>
  <si>
    <t xml:space="preserve"> (-10.850000000000025</t>
  </si>
  <si>
    <t xml:space="preserve"> (-20.49000000000005</t>
  </si>
  <si>
    <t xml:space="preserve"> (-8.650000000000002</t>
  </si>
  <si>
    <t xml:space="preserve"> (-13.260000000000002</t>
  </si>
  <si>
    <t xml:space="preserve"> (-44.77</t>
  </si>
  <si>
    <t xml:space="preserve"> (-26.020000000000007</t>
  </si>
  <si>
    <t xml:space="preserve"> Timestamp('2012-05-16 00</t>
  </si>
  <si>
    <t xml:space="preserve"> (-21.8</t>
  </si>
  <si>
    <t xml:space="preserve"> (-91.49999999999999</t>
  </si>
  <si>
    <t xml:space="preserve"> (-72.87939231649055</t>
  </si>
  <si>
    <t xml:space="preserve"> (-62.77999999999999</t>
  </si>
  <si>
    <t xml:space="preserve"> (-53.120000000000005</t>
  </si>
  <si>
    <t xml:space="preserve"> (-44.53</t>
  </si>
  <si>
    <t xml:space="preserve"> (-20.750000000000004</t>
  </si>
  <si>
    <t xml:space="preserve"> (-20.71</t>
  </si>
  <si>
    <t xml:space="preserve"> Timestamp('2011-03-15 00</t>
  </si>
  <si>
    <t xml:space="preserve"> (-101.46999999999998</t>
  </si>
  <si>
    <t xml:space="preserve"> (-80.89</t>
  </si>
  <si>
    <t xml:space="preserve"> (-67.23</t>
  </si>
  <si>
    <t xml:space="preserve"> (-61.68</t>
  </si>
  <si>
    <t xml:space="preserve"> (-44.959999999999994</t>
  </si>
  <si>
    <t xml:space="preserve"> Timestamp('2015-08-24 00</t>
  </si>
  <si>
    <t xml:space="preserve"> (-31.24878463298112</t>
  </si>
  <si>
    <t xml:space="preserve"> (-24.03878463298112</t>
  </si>
  <si>
    <t xml:space="preserve"> (-22.220000000000006</t>
  </si>
  <si>
    <t xml:space="preserve"> Timestamp('2022-09-26 00</t>
  </si>
  <si>
    <t xml:space="preserve"> (-98.58000000000001</t>
  </si>
  <si>
    <t xml:space="preserve"> (-75.82696400563839</t>
  </si>
  <si>
    <t xml:space="preserve"> (-60.543795428525875</t>
  </si>
  <si>
    <t xml:space="preserve"> (-54.02</t>
  </si>
  <si>
    <t xml:space="preserve"> (-53.42</t>
  </si>
  <si>
    <t xml:space="preserve"> (-26.09</t>
  </si>
  <si>
    <t xml:space="preserve"> (-20.07</t>
  </si>
  <si>
    <t xml:space="preserve"> (-104.84</t>
  </si>
  <si>
    <t xml:space="preserve"> (-61.54</t>
  </si>
  <si>
    <t xml:space="preserve"> Timestamp('2010-05-07 00</t>
  </si>
  <si>
    <t xml:space="preserve"> (-60.07</t>
  </si>
  <si>
    <t xml:space="preserve"> (-50.580000000000005</t>
  </si>
  <si>
    <t xml:space="preserve"> (-16.589999999999996</t>
  </si>
  <si>
    <t xml:space="preserve"> (-191.51999999999998</t>
  </si>
  <si>
    <t xml:space="preserve"> Timestamp('2022-11-11 00</t>
  </si>
  <si>
    <t xml:space="preserve"> (-66.6</t>
  </si>
  <si>
    <t xml:space="preserve"> (-10.020000000000001</t>
  </si>
  <si>
    <t xml:space="preserve"> Timestamp('2021-01-08 00</t>
  </si>
  <si>
    <t xml:space="preserve"> (-55.7</t>
  </si>
  <si>
    <t xml:space="preserve"> (-42.49999999999999</t>
  </si>
  <si>
    <t xml:space="preserve"> (-16.299999999999997</t>
  </si>
  <si>
    <t xml:space="preserve"> (-11.700000000000006</t>
  </si>
  <si>
    <t xml:space="preserve"> (-40.74</t>
  </si>
  <si>
    <t xml:space="preserve"> (-31.15</t>
  </si>
  <si>
    <t xml:space="preserve"> (-24.599999999999994</t>
  </si>
  <si>
    <t xml:space="preserve"> (-28.33</t>
  </si>
  <si>
    <t xml:space="preserve"> (-20.200000000000003</t>
  </si>
  <si>
    <t xml:space="preserve"> (-57.269999999999996</t>
  </si>
  <si>
    <t xml:space="preserve"> (-42.6</t>
  </si>
  <si>
    <t xml:space="preserve"> (-42.60000000000001</t>
  </si>
  <si>
    <t>25/22 PDS + 10 short</t>
    <phoneticPr fontId="2" type="noConversion"/>
  </si>
  <si>
    <t xml:space="preserve"> (-35.07878463298112</t>
  </si>
  <si>
    <t xml:space="preserve"> (-25.628784632981123</t>
  </si>
  <si>
    <t xml:space="preserve"> (-73.38000000000001</t>
  </si>
  <si>
    <t xml:space="preserve"> (-67.55392316490561</t>
  </si>
  <si>
    <t xml:space="preserve"> (-58.10392316490561</t>
  </si>
  <si>
    <t>25/22 PDS + 5 short X2</t>
    <phoneticPr fontId="2" type="noConversion"/>
  </si>
  <si>
    <t xml:space="preserve"> (-32.370000000000005</t>
  </si>
  <si>
    <t xml:space="preserve"> (-22.599999999999994</t>
  </si>
  <si>
    <t xml:space="preserve"> Timestamp('2022-01-25 00</t>
  </si>
  <si>
    <t xml:space="preserve"> (-19.839999999999996</t>
  </si>
  <si>
    <t xml:space="preserve"> (-67.5</t>
  </si>
  <si>
    <t xml:space="preserve"> (-46.43999999999998</t>
  </si>
  <si>
    <t xml:space="preserve"> (-45.20000000000001</t>
  </si>
  <si>
    <t>25/20 PDS + 13 short</t>
    <phoneticPr fontId="2" type="noConversion"/>
  </si>
  <si>
    <t>40 long / 20 short X 2</t>
    <phoneticPr fontId="2" type="noConversion"/>
  </si>
  <si>
    <t xml:space="preserve"> (-37.64</t>
  </si>
  <si>
    <t xml:space="preserve"> (-30.789999999999996</t>
  </si>
  <si>
    <t xml:space="preserve"> (-27.479999999999997</t>
  </si>
  <si>
    <t xml:space="preserve"> (-74.57</t>
  </si>
  <si>
    <t xml:space="preserve"> (-63.11000000000001</t>
  </si>
  <si>
    <t xml:space="preserve"> (-59.800000000000004</t>
  </si>
  <si>
    <t>25/20 PDS + 7short X2</t>
    <phoneticPr fontId="2" type="noConversion"/>
  </si>
  <si>
    <t xml:space="preserve"> (-11.680000000000001</t>
  </si>
  <si>
    <t xml:space="preserve"> (-165.18</t>
  </si>
  <si>
    <t xml:space="preserve"> (-57.089999999999996</t>
  </si>
  <si>
    <t xml:space="preserve"> (-8.600313417673428</t>
  </si>
  <si>
    <t xml:space="preserve"> (-8.55</t>
  </si>
  <si>
    <t xml:space="preserve"> (-43.269999999999996</t>
  </si>
  <si>
    <t xml:space="preserve"> (-36.65</t>
  </si>
  <si>
    <t xml:space="preserve"> (-9.910000000000002</t>
  </si>
  <si>
    <t xml:space="preserve"> (-108.63000000000002</t>
  </si>
  <si>
    <t xml:space="preserve"> (-8.290000000000001</t>
  </si>
  <si>
    <t xml:space="preserve"> (-47.38000000000001</t>
  </si>
  <si>
    <t xml:space="preserve"> (-7.84</t>
  </si>
  <si>
    <t xml:space="preserve"> (-34.93000000000001</t>
  </si>
  <si>
    <t xml:space="preserve"> (-31.320000000000004</t>
  </si>
  <si>
    <t xml:space="preserve"> (-6.940499725181654</t>
  </si>
  <si>
    <t xml:space="preserve"> (-47.58</t>
  </si>
  <si>
    <t xml:space="preserve"> (-6.208988205833407</t>
  </si>
  <si>
    <t xml:space="preserve"> (-22.630000000000003</t>
  </si>
  <si>
    <t xml:space="preserve"> Timestamp('2017-05-08 00</t>
  </si>
  <si>
    <t xml:space="preserve"> (-21.6</t>
  </si>
  <si>
    <t xml:space="preserve"> (-18.709999999999997</t>
  </si>
  <si>
    <t xml:space="preserve"> (-15.86</t>
  </si>
  <si>
    <t xml:space="preserve"> Timestamp('2021-01-04 00</t>
  </si>
  <si>
    <t xml:space="preserve"> (-15.499999999999996</t>
  </si>
  <si>
    <t xml:space="preserve"> (-195.57000000000008</t>
  </si>
  <si>
    <t xml:space="preserve"> (-67.35</t>
  </si>
  <si>
    <t xml:space="preserve"> (-58.77</t>
  </si>
  <si>
    <t xml:space="preserve"> (-43.41</t>
  </si>
  <si>
    <t xml:space="preserve"> (-16.83</t>
  </si>
  <si>
    <t xml:space="preserve"> (-164.75</t>
  </si>
  <si>
    <t xml:space="preserve"> (-14.49</t>
  </si>
  <si>
    <t xml:space="preserve"> (-57.11</t>
  </si>
  <si>
    <t xml:space="preserve"> (-49.209999999999994</t>
  </si>
  <si>
    <t xml:space="preserve"> (-36.56</t>
  </si>
  <si>
    <t xml:space="preserve"> (-13.940000000000003</t>
  </si>
  <si>
    <t xml:space="preserve"> (-107.36</t>
  </si>
  <si>
    <t xml:space="preserve"> (-35.56</t>
  </si>
  <si>
    <t xml:space="preserve"> (-6.750000000000001</t>
  </si>
  <si>
    <t xml:space="preserve"> (-31.6</t>
  </si>
  <si>
    <t xml:space="preserve"> (-27.070000000000004</t>
  </si>
  <si>
    <t>+25/-22/-10</t>
    <phoneticPr fontId="2" type="noConversion"/>
  </si>
  <si>
    <t>+25/-20/-12</t>
    <phoneticPr fontId="2" type="noConversion"/>
  </si>
  <si>
    <t>+25/-22/-5 x2</t>
    <phoneticPr fontId="2" type="noConversion"/>
  </si>
  <si>
    <t>+25/-20/-7 x2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</si>
</sst>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mm&quot;월&quot;\ dd&quot;일&quot;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rgb="FF000000"/>
      <name val="Consolas"/>
      <family val="3"/>
    </font>
    <font>
      <b/>
      <sz val="11"/>
      <color rgb="FFFF0000"/>
      <name val="맑은 고딕"/>
      <family val="3"/>
      <charset val="129"/>
      <scheme val="minor"/>
    </font>
    <font>
      <b/>
      <sz val="11"/>
      <color rgb="FF000000"/>
      <name val="Consolas"/>
      <family val="3"/>
    </font>
    <font>
      <b/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3" fillId="0" borderId="0" xfId="0" applyFont="1">
      <alignment vertical="center"/>
    </xf>
    <xf numFmtId="176" fontId="3" fillId="0" borderId="0" xfId="1" applyNumberFormat="1" applyFont="1">
      <alignment vertical="center"/>
    </xf>
    <xf numFmtId="176" fontId="4" fillId="0" borderId="0" xfId="1" applyNumberFormat="1" applyFont="1">
      <alignment vertical="center"/>
    </xf>
    <xf numFmtId="177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6" fillId="0" borderId="0" xfId="0" applyFont="1">
      <alignment vertical="center"/>
    </xf>
    <xf numFmtId="9" fontId="0" fillId="0" borderId="0" xfId="1" applyFont="1">
      <alignment vertical="center"/>
    </xf>
    <xf numFmtId="9" fontId="3" fillId="0" borderId="0" xfId="1" applyFont="1">
      <alignment vertical="center"/>
    </xf>
    <xf numFmtId="176" fontId="0" fillId="0" borderId="0" xfId="1" applyNumberFormat="1" applyFont="1">
      <alignment vertical="center"/>
    </xf>
    <xf numFmtId="10" fontId="0" fillId="0" borderId="0" xfId="1" applyNumberFormat="1" applyFont="1">
      <alignment vertical="center"/>
    </xf>
    <xf numFmtId="10" fontId="3" fillId="0" borderId="0" xfId="1" applyNumberFormat="1" applyFont="1">
      <alignment vertical="center"/>
    </xf>
    <xf numFmtId="0" fontId="7" fillId="0" borderId="0" xfId="0" applyFont="1">
      <alignment vertical="center"/>
    </xf>
    <xf numFmtId="176" fontId="7" fillId="0" borderId="0" xfId="1" applyNumberFormat="1" applyFont="1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0" fontId="4" fillId="0" borderId="0" xfId="0" applyFont="1">
      <alignment vertical="center"/>
    </xf>
    <xf numFmtId="0" fontId="8" fillId="0" borderId="0" xfId="0" applyFont="1">
      <alignment vertical="center"/>
    </xf>
    <xf numFmtId="0" fontId="5" fillId="0" borderId="0" xfId="0" applyFont="1">
      <alignment vertical="center"/>
    </xf>
    <xf numFmtId="0" fontId="5" fillId="2" borderId="0" xfId="0" applyFont="1" applyFill="1">
      <alignment vertical="center"/>
    </xf>
    <xf numFmtId="9" fontId="7" fillId="0" borderId="0" xfId="1" applyFont="1">
      <alignment vertical="center"/>
    </xf>
    <xf numFmtId="9" fontId="4" fillId="0" borderId="0" xfId="1" applyFont="1">
      <alignment vertical="center"/>
    </xf>
    <xf numFmtId="0" fontId="9" fillId="0" borderId="0" xfId="0" applyFont="1">
      <alignment vertical="center"/>
    </xf>
    <xf numFmtId="9" fontId="0" fillId="0" borderId="0" xfId="0" applyNumberFormat="1">
      <alignment vertical="center"/>
    </xf>
    <xf numFmtId="0" fontId="7" fillId="3" borderId="0" xfId="0" applyFont="1" applyFill="1">
      <alignment vertical="center"/>
    </xf>
    <xf numFmtId="9" fontId="7" fillId="3" borderId="0" xfId="1" applyFont="1" applyFill="1">
      <alignment vertical="center"/>
    </xf>
    <xf numFmtId="0" fontId="9" fillId="0" borderId="0" xfId="0" applyFont="1" applyFill="1">
      <alignment vertical="center"/>
    </xf>
    <xf numFmtId="9" fontId="9" fillId="0" borderId="0" xfId="1" applyFont="1" applyFill="1">
      <alignment vertical="center"/>
    </xf>
    <xf numFmtId="0" fontId="3" fillId="0" borderId="0" xfId="0" quotePrefix="1" applyFont="1">
      <alignment vertical="center"/>
    </xf>
    <xf numFmtId="176" fontId="7" fillId="3" borderId="0" xfId="1" applyNumberFormat="1" applyFont="1" applyFill="1">
      <alignment vertical="center"/>
    </xf>
    <xf numFmtId="10" fontId="7" fillId="3" borderId="0" xfId="1" applyNumberFormat="1" applyFont="1" applyFill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E9774-84F6-4C6B-AE0A-24CE3439DD86}">
  <dimension ref="A1:Y67"/>
  <sheetViews>
    <sheetView zoomScale="70" zoomScaleNormal="70" workbookViewId="0">
      <selection activeCell="H35" sqref="H35"/>
    </sheetView>
  </sheetViews>
  <sheetFormatPr defaultRowHeight="16.5" x14ac:dyDescent="0.3"/>
  <cols>
    <col min="1" max="1" width="9" customWidth="1"/>
    <col min="2" max="2" width="5.5" bestFit="1" customWidth="1"/>
    <col min="3" max="3" width="6.5" bestFit="1" customWidth="1"/>
    <col min="4" max="4" width="5.5" bestFit="1" customWidth="1"/>
    <col min="5" max="5" width="10.75" style="3" bestFit="1" customWidth="1"/>
    <col min="6" max="6" width="14.5" bestFit="1" customWidth="1"/>
    <col min="7" max="7" width="9.75" bestFit="1" customWidth="1"/>
    <col min="8" max="8" width="14.5" bestFit="1" customWidth="1"/>
    <col min="9" max="9" width="10.625" bestFit="1" customWidth="1"/>
    <col min="10" max="10" width="15.375" bestFit="1" customWidth="1"/>
    <col min="11" max="11" width="6" bestFit="1" customWidth="1"/>
    <col min="12" max="12" width="14.5" bestFit="1" customWidth="1"/>
    <col min="13" max="13" width="19" bestFit="1" customWidth="1"/>
    <col min="14" max="14" width="24.75" bestFit="1" customWidth="1"/>
    <col min="15" max="15" width="30.75" bestFit="1" customWidth="1"/>
    <col min="16" max="16" width="24.5" bestFit="1" customWidth="1"/>
    <col min="17" max="17" width="13.75" bestFit="1" customWidth="1"/>
    <col min="18" max="18" width="14.25" bestFit="1" customWidth="1"/>
    <col min="19" max="19" width="8.75" bestFit="1" customWidth="1"/>
    <col min="20" max="20" width="28.5" bestFit="1" customWidth="1"/>
    <col min="21" max="21" width="2.875" bestFit="1" customWidth="1"/>
    <col min="22" max="22" width="6.375" bestFit="1" customWidth="1"/>
    <col min="23" max="23" width="3.875" style="14" customWidth="1"/>
    <col min="24" max="24" width="9.75" style="10" customWidth="1"/>
  </cols>
  <sheetData>
    <row r="1" spans="1:25" x14ac:dyDescent="0.3">
      <c r="A1" s="6" t="s">
        <v>132</v>
      </c>
      <c r="B1">
        <v>897</v>
      </c>
      <c r="C1" t="s">
        <v>1</v>
      </c>
      <c r="D1">
        <v>747</v>
      </c>
      <c r="E1" s="3" t="s">
        <v>74</v>
      </c>
      <c r="F1">
        <v>666.47288741129603</v>
      </c>
      <c r="G1" t="s">
        <v>2</v>
      </c>
      <c r="H1">
        <v>0.74300210413745404</v>
      </c>
      <c r="I1" t="s">
        <v>3</v>
      </c>
      <c r="J1">
        <v>-12.5793573475536</v>
      </c>
      <c r="K1" t="s">
        <v>4</v>
      </c>
      <c r="L1">
        <v>5.7017269600373703</v>
      </c>
      <c r="M1" t="s">
        <v>5</v>
      </c>
      <c r="N1" t="s">
        <v>128</v>
      </c>
      <c r="O1" t="s">
        <v>131</v>
      </c>
      <c r="P1" t="s">
        <v>77</v>
      </c>
      <c r="Q1" t="s">
        <v>78</v>
      </c>
      <c r="R1" t="s">
        <v>9</v>
      </c>
      <c r="S1" t="s">
        <v>129</v>
      </c>
      <c r="T1" t="s">
        <v>130</v>
      </c>
      <c r="U1">
        <v>0</v>
      </c>
      <c r="V1" t="s">
        <v>12</v>
      </c>
      <c r="X1" s="11">
        <f>D1/B1</f>
        <v>0.83277591973244147</v>
      </c>
      <c r="Y1">
        <f t="shared" ref="Y1" si="0">H1/L1</f>
        <v>0.13031176507487202</v>
      </c>
    </row>
    <row r="2" spans="1:25" x14ac:dyDescent="0.3">
      <c r="A2" s="6" t="s">
        <v>135</v>
      </c>
      <c r="B2">
        <v>774</v>
      </c>
      <c r="C2" t="s">
        <v>1</v>
      </c>
      <c r="D2">
        <v>647</v>
      </c>
      <c r="E2" s="3" t="s">
        <v>74</v>
      </c>
      <c r="F2">
        <v>635.99955652962103</v>
      </c>
      <c r="G2" t="s">
        <v>2</v>
      </c>
      <c r="H2">
        <v>0.82170485339744403</v>
      </c>
      <c r="I2" t="s">
        <v>3</v>
      </c>
      <c r="J2">
        <v>-12.501233902115199</v>
      </c>
      <c r="K2" t="s">
        <v>4</v>
      </c>
      <c r="L2">
        <v>5.0215567947111799</v>
      </c>
      <c r="M2" t="s">
        <v>5</v>
      </c>
      <c r="N2" t="s">
        <v>128</v>
      </c>
      <c r="O2" t="s">
        <v>131</v>
      </c>
      <c r="P2" t="s">
        <v>77</v>
      </c>
      <c r="Q2" t="s">
        <v>78</v>
      </c>
      <c r="R2" t="s">
        <v>9</v>
      </c>
      <c r="S2" t="s">
        <v>129</v>
      </c>
      <c r="T2" t="s">
        <v>130</v>
      </c>
      <c r="U2">
        <v>0</v>
      </c>
      <c r="V2" t="s">
        <v>12</v>
      </c>
      <c r="X2" s="11">
        <f>D2/B2</f>
        <v>0.83591731266149871</v>
      </c>
      <c r="Y2">
        <f t="shared" ref="Y2" si="1">H2/L2</f>
        <v>0.1636354793921444</v>
      </c>
    </row>
    <row r="3" spans="1:25" ht="30" customHeight="1" x14ac:dyDescent="0.3">
      <c r="A3" s="6"/>
    </row>
    <row r="4" spans="1:25" x14ac:dyDescent="0.3">
      <c r="A4" s="6" t="s">
        <v>133</v>
      </c>
      <c r="B4">
        <v>897</v>
      </c>
      <c r="C4" t="s">
        <v>1</v>
      </c>
      <c r="D4">
        <v>769</v>
      </c>
      <c r="E4" s="3" t="s">
        <v>74</v>
      </c>
      <c r="F4">
        <v>667.51862368368802</v>
      </c>
      <c r="G4" t="s">
        <v>2</v>
      </c>
      <c r="H4">
        <v>0.74416791937980797</v>
      </c>
      <c r="I4" t="s">
        <v>3</v>
      </c>
      <c r="J4">
        <v>-9.2896641728008191</v>
      </c>
      <c r="K4" t="s">
        <v>4</v>
      </c>
      <c r="L4">
        <v>4.0301369048817799</v>
      </c>
      <c r="M4" t="s">
        <v>5</v>
      </c>
      <c r="N4" t="s">
        <v>88</v>
      </c>
      <c r="O4" t="s">
        <v>90</v>
      </c>
      <c r="P4" t="s">
        <v>77</v>
      </c>
      <c r="Q4" t="s">
        <v>78</v>
      </c>
      <c r="R4" t="s">
        <v>9</v>
      </c>
      <c r="S4" t="s">
        <v>89</v>
      </c>
      <c r="T4" t="s">
        <v>83</v>
      </c>
      <c r="U4">
        <v>0</v>
      </c>
      <c r="V4" t="s">
        <v>12</v>
      </c>
      <c r="X4" s="11">
        <f>D4/B4</f>
        <v>0.85730211817168334</v>
      </c>
      <c r="Y4">
        <f t="shared" ref="Y4" si="2">H4/L4</f>
        <v>0.18465077910340552</v>
      </c>
    </row>
    <row r="5" spans="1:25" x14ac:dyDescent="0.3">
      <c r="A5" s="6" t="s">
        <v>136</v>
      </c>
      <c r="B5">
        <v>774</v>
      </c>
      <c r="C5" t="s">
        <v>1</v>
      </c>
      <c r="D5">
        <v>664</v>
      </c>
      <c r="E5" s="3" t="s">
        <v>74</v>
      </c>
      <c r="F5">
        <v>593.76707949362401</v>
      </c>
      <c r="G5" t="s">
        <v>2</v>
      </c>
      <c r="H5">
        <v>0.76714092957832503</v>
      </c>
      <c r="I5" t="s">
        <v>3</v>
      </c>
      <c r="J5">
        <v>-9.0943364919864091</v>
      </c>
      <c r="K5" t="s">
        <v>4</v>
      </c>
      <c r="L5">
        <v>3.58886665198817</v>
      </c>
      <c r="M5" t="s">
        <v>5</v>
      </c>
      <c r="N5" t="s">
        <v>88</v>
      </c>
      <c r="O5" t="s">
        <v>90</v>
      </c>
      <c r="P5" t="s">
        <v>77</v>
      </c>
      <c r="Q5" t="s">
        <v>78</v>
      </c>
      <c r="R5" t="s">
        <v>9</v>
      </c>
      <c r="S5" t="s">
        <v>89</v>
      </c>
      <c r="T5" t="s">
        <v>83</v>
      </c>
      <c r="U5">
        <v>0</v>
      </c>
      <c r="V5" t="s">
        <v>12</v>
      </c>
      <c r="X5" s="11">
        <f>D5/B5</f>
        <v>0.8578811369509044</v>
      </c>
      <c r="Y5">
        <f t="shared" ref="Y5" si="3">H5/L5</f>
        <v>0.2137557630215495</v>
      </c>
    </row>
    <row r="6" spans="1:25" x14ac:dyDescent="0.3">
      <c r="A6" s="6"/>
      <c r="X6" s="11"/>
    </row>
    <row r="7" spans="1:25" x14ac:dyDescent="0.3">
      <c r="A7" s="6" t="s">
        <v>134</v>
      </c>
      <c r="B7">
        <v>897</v>
      </c>
      <c r="C7" t="s">
        <v>1</v>
      </c>
      <c r="D7">
        <v>783</v>
      </c>
      <c r="E7" s="3" t="s">
        <v>74</v>
      </c>
      <c r="F7">
        <v>596.05615875597096</v>
      </c>
      <c r="G7" t="s">
        <v>2</v>
      </c>
      <c r="H7">
        <v>0.66449961957187398</v>
      </c>
      <c r="I7" t="s">
        <v>3</v>
      </c>
      <c r="J7">
        <v>-8.1180633078225402</v>
      </c>
      <c r="K7" t="s">
        <v>4</v>
      </c>
      <c r="L7">
        <v>3.2710091669572599</v>
      </c>
      <c r="M7" t="s">
        <v>5</v>
      </c>
      <c r="N7" t="s">
        <v>91</v>
      </c>
      <c r="O7" t="s">
        <v>92</v>
      </c>
      <c r="P7" t="s">
        <v>77</v>
      </c>
      <c r="Q7" t="s">
        <v>78</v>
      </c>
      <c r="R7" t="s">
        <v>9</v>
      </c>
      <c r="S7" t="s">
        <v>93</v>
      </c>
      <c r="T7" t="s">
        <v>19</v>
      </c>
      <c r="U7">
        <v>0</v>
      </c>
      <c r="V7" t="s">
        <v>12</v>
      </c>
      <c r="X7" s="11">
        <f>D7/B7</f>
        <v>0.87290969899665549</v>
      </c>
      <c r="Y7">
        <f>H7/L7</f>
        <v>0.20314819850841359</v>
      </c>
    </row>
    <row r="8" spans="1:25" s="18" customFormat="1" x14ac:dyDescent="0.3">
      <c r="A8" s="17" t="s">
        <v>136</v>
      </c>
      <c r="B8" s="18">
        <v>774</v>
      </c>
      <c r="C8" s="18" t="s">
        <v>1</v>
      </c>
      <c r="D8" s="18">
        <v>675</v>
      </c>
      <c r="E8" s="2" t="s">
        <v>74</v>
      </c>
      <c r="F8" s="18">
        <v>520.40164752540102</v>
      </c>
      <c r="G8" s="18" t="s">
        <v>2</v>
      </c>
      <c r="H8" s="18">
        <v>0.67235354977441997</v>
      </c>
      <c r="I8" s="18" t="s">
        <v>3</v>
      </c>
      <c r="J8" s="18">
        <v>-7.9890354950526596</v>
      </c>
      <c r="K8" s="18" t="s">
        <v>4</v>
      </c>
      <c r="L8" s="18">
        <v>2.9522280297578898</v>
      </c>
      <c r="M8" s="18" t="s">
        <v>5</v>
      </c>
      <c r="N8" s="18" t="s">
        <v>91</v>
      </c>
      <c r="O8" s="18" t="s">
        <v>92</v>
      </c>
      <c r="P8" s="18" t="s">
        <v>77</v>
      </c>
      <c r="Q8" s="18" t="s">
        <v>78</v>
      </c>
      <c r="R8" s="18" t="s">
        <v>9</v>
      </c>
      <c r="S8" s="18" t="s">
        <v>93</v>
      </c>
      <c r="T8" s="18" t="s">
        <v>19</v>
      </c>
      <c r="U8" s="18">
        <v>0</v>
      </c>
      <c r="V8" s="18" t="s">
        <v>12</v>
      </c>
      <c r="W8" s="19"/>
      <c r="X8" s="11">
        <f>D8/B8</f>
        <v>0.87209302325581395</v>
      </c>
      <c r="Y8" s="18">
        <f>H8/L8</f>
        <v>0.22774445029219481</v>
      </c>
    </row>
    <row r="10" spans="1:25" x14ac:dyDescent="0.3">
      <c r="A10" t="s">
        <v>94</v>
      </c>
      <c r="C10" s="4"/>
      <c r="D10" s="4"/>
    </row>
    <row r="11" spans="1:25" x14ac:dyDescent="0.3">
      <c r="A11" t="s">
        <v>0</v>
      </c>
      <c r="B11">
        <v>1513</v>
      </c>
      <c r="C11" s="5" t="s">
        <v>1</v>
      </c>
      <c r="D11">
        <v>1294</v>
      </c>
      <c r="E11" s="3" t="s">
        <v>74</v>
      </c>
      <c r="F11">
        <v>606.39592542045898</v>
      </c>
      <c r="G11" t="s">
        <v>2</v>
      </c>
      <c r="H11">
        <v>0.40079043319263602</v>
      </c>
      <c r="I11" t="s">
        <v>3</v>
      </c>
      <c r="J11">
        <v>-5.61995247265454</v>
      </c>
      <c r="K11" t="s">
        <v>4</v>
      </c>
      <c r="L11">
        <v>3.3062772696943998</v>
      </c>
      <c r="M11" t="s">
        <v>5</v>
      </c>
      <c r="N11" t="s">
        <v>75</v>
      </c>
      <c r="O11" t="s">
        <v>76</v>
      </c>
      <c r="P11" t="s">
        <v>77</v>
      </c>
      <c r="Q11" t="s">
        <v>78</v>
      </c>
      <c r="R11" t="s">
        <v>9</v>
      </c>
      <c r="S11" t="s">
        <v>79</v>
      </c>
      <c r="T11" t="s">
        <v>11</v>
      </c>
      <c r="U11">
        <v>0</v>
      </c>
      <c r="V11" t="s">
        <v>12</v>
      </c>
      <c r="X11" s="10">
        <f>D11/B11</f>
        <v>0.85525446133509586</v>
      </c>
      <c r="Y11">
        <f>H11/L11</f>
        <v>0.1212210593667727</v>
      </c>
    </row>
    <row r="12" spans="1:25" x14ac:dyDescent="0.3">
      <c r="A12" t="s">
        <v>0</v>
      </c>
      <c r="B12">
        <v>1316</v>
      </c>
      <c r="C12" t="s">
        <v>1</v>
      </c>
      <c r="D12">
        <v>1124</v>
      </c>
      <c r="E12" s="3" t="s">
        <v>74</v>
      </c>
      <c r="F12">
        <v>529.90639372108797</v>
      </c>
      <c r="G12" t="s">
        <v>2</v>
      </c>
      <c r="H12">
        <v>0.40266443291875997</v>
      </c>
      <c r="I12" t="s">
        <v>3</v>
      </c>
      <c r="J12">
        <v>-5.59108730919269</v>
      </c>
      <c r="K12" t="s">
        <v>4</v>
      </c>
      <c r="L12">
        <v>3.0208331403392998</v>
      </c>
      <c r="M12" t="s">
        <v>5</v>
      </c>
      <c r="N12" t="s">
        <v>75</v>
      </c>
      <c r="O12" t="s">
        <v>76</v>
      </c>
      <c r="P12" t="s">
        <v>77</v>
      </c>
      <c r="Q12" t="s">
        <v>78</v>
      </c>
      <c r="R12" t="s">
        <v>9</v>
      </c>
      <c r="S12" t="s">
        <v>79</v>
      </c>
      <c r="T12" t="s">
        <v>11</v>
      </c>
      <c r="U12">
        <v>0</v>
      </c>
      <c r="V12" t="s">
        <v>12</v>
      </c>
      <c r="X12" s="10">
        <f t="shared" ref="X12:X18" si="4">D12/B12</f>
        <v>0.85410334346504557</v>
      </c>
      <c r="Y12">
        <f t="shared" ref="Y12:Y18" si="5">H12/L12</f>
        <v>0.13329582079251578</v>
      </c>
    </row>
    <row r="13" spans="1:25" s="24" customFormat="1" x14ac:dyDescent="0.3">
      <c r="A13" s="24" t="s">
        <v>0</v>
      </c>
      <c r="B13" s="24">
        <v>922</v>
      </c>
      <c r="C13" s="24" t="s">
        <v>1</v>
      </c>
      <c r="D13" s="24">
        <v>811</v>
      </c>
      <c r="E13" s="29" t="s">
        <v>74</v>
      </c>
      <c r="F13" s="24">
        <v>587.80031725851904</v>
      </c>
      <c r="G13" s="24" t="s">
        <v>2</v>
      </c>
      <c r="H13" s="24">
        <v>0.63752745906563901</v>
      </c>
      <c r="I13" s="24" t="s">
        <v>3</v>
      </c>
      <c r="J13" s="24">
        <v>-6.3864753456306103</v>
      </c>
      <c r="K13" s="24" t="s">
        <v>4</v>
      </c>
      <c r="L13" s="24">
        <v>2.7136417388277501</v>
      </c>
      <c r="M13" s="24" t="s">
        <v>5</v>
      </c>
      <c r="N13" s="24" t="s">
        <v>75</v>
      </c>
      <c r="O13" s="24" t="s">
        <v>76</v>
      </c>
      <c r="P13" s="24" t="s">
        <v>77</v>
      </c>
      <c r="Q13" s="24" t="s">
        <v>78</v>
      </c>
      <c r="R13" s="24" t="s">
        <v>9</v>
      </c>
      <c r="S13" s="24" t="s">
        <v>79</v>
      </c>
      <c r="T13" s="24" t="s">
        <v>11</v>
      </c>
      <c r="U13" s="24">
        <v>0</v>
      </c>
      <c r="V13" s="24" t="s">
        <v>12</v>
      </c>
      <c r="X13" s="30">
        <f t="shared" si="4"/>
        <v>0.87960954446854667</v>
      </c>
      <c r="Y13" s="24">
        <f t="shared" si="5"/>
        <v>0.23493427667465075</v>
      </c>
    </row>
    <row r="14" spans="1:25" s="24" customFormat="1" x14ac:dyDescent="0.3">
      <c r="A14" s="24" t="s">
        <v>0</v>
      </c>
      <c r="B14" s="24">
        <v>774</v>
      </c>
      <c r="C14" s="24" t="s">
        <v>1</v>
      </c>
      <c r="D14" s="24">
        <v>679</v>
      </c>
      <c r="E14" s="29" t="s">
        <v>74</v>
      </c>
      <c r="F14" s="24">
        <v>451.71645067724501</v>
      </c>
      <c r="G14" s="24" t="s">
        <v>2</v>
      </c>
      <c r="H14" s="24">
        <v>0.58361298537111805</v>
      </c>
      <c r="I14" s="24" t="s">
        <v>3</v>
      </c>
      <c r="J14" s="24">
        <v>-6.0939578664842902</v>
      </c>
      <c r="K14" s="24" t="s">
        <v>4</v>
      </c>
      <c r="L14" s="24">
        <v>2.33018242864796</v>
      </c>
      <c r="M14" s="24" t="s">
        <v>5</v>
      </c>
      <c r="N14" s="24" t="s">
        <v>80</v>
      </c>
      <c r="O14" s="24" t="s">
        <v>81</v>
      </c>
      <c r="P14" s="24" t="s">
        <v>77</v>
      </c>
      <c r="Q14" s="24" t="s">
        <v>78</v>
      </c>
      <c r="R14" s="24" t="s">
        <v>9</v>
      </c>
      <c r="S14" s="24" t="s">
        <v>82</v>
      </c>
      <c r="T14" s="24" t="s">
        <v>83</v>
      </c>
      <c r="U14" s="24">
        <v>0</v>
      </c>
      <c r="V14" s="24" t="s">
        <v>12</v>
      </c>
      <c r="X14" s="30">
        <f t="shared" si="4"/>
        <v>0.87726098191214474</v>
      </c>
      <c r="Y14" s="24">
        <f t="shared" si="5"/>
        <v>0.25045806637111556</v>
      </c>
    </row>
    <row r="15" spans="1:25" x14ac:dyDescent="0.3">
      <c r="A15" t="s">
        <v>0</v>
      </c>
      <c r="B15">
        <v>3810</v>
      </c>
      <c r="C15" t="s">
        <v>1</v>
      </c>
      <c r="D15">
        <v>3230</v>
      </c>
      <c r="E15" s="3" t="s">
        <v>74</v>
      </c>
      <c r="F15">
        <v>1381.6482296310301</v>
      </c>
      <c r="G15" t="s">
        <v>2</v>
      </c>
      <c r="H15">
        <v>0.36263733061181902</v>
      </c>
      <c r="I15" t="s">
        <v>3</v>
      </c>
      <c r="J15">
        <v>-5.5266952112676</v>
      </c>
      <c r="K15" t="s">
        <v>4</v>
      </c>
      <c r="L15">
        <v>7.9747776064420197</v>
      </c>
      <c r="M15" t="s">
        <v>5</v>
      </c>
      <c r="N15" t="s">
        <v>84</v>
      </c>
      <c r="O15" t="s">
        <v>85</v>
      </c>
      <c r="P15" t="s">
        <v>77</v>
      </c>
      <c r="Q15" t="s">
        <v>78</v>
      </c>
      <c r="R15" t="s">
        <v>9</v>
      </c>
      <c r="S15" t="s">
        <v>86</v>
      </c>
      <c r="T15" t="s">
        <v>87</v>
      </c>
      <c r="U15">
        <v>0</v>
      </c>
      <c r="V15" t="s">
        <v>12</v>
      </c>
      <c r="X15" s="10">
        <f t="shared" si="4"/>
        <v>0.84776902887139105</v>
      </c>
      <c r="Y15">
        <f t="shared" si="5"/>
        <v>4.5473033670416191E-2</v>
      </c>
    </row>
    <row r="16" spans="1:25" x14ac:dyDescent="0.3">
      <c r="A16" t="s">
        <v>0</v>
      </c>
      <c r="B16">
        <v>3344</v>
      </c>
      <c r="C16" t="s">
        <v>1</v>
      </c>
      <c r="D16">
        <v>2821</v>
      </c>
      <c r="E16" s="3" t="s">
        <v>74</v>
      </c>
      <c r="F16">
        <v>1143.8485173792999</v>
      </c>
      <c r="G16" t="s">
        <v>2</v>
      </c>
      <c r="H16">
        <v>0.34205996333113198</v>
      </c>
      <c r="I16" t="s">
        <v>3</v>
      </c>
      <c r="J16">
        <v>-5.5002424709760502</v>
      </c>
      <c r="K16" t="s">
        <v>4</v>
      </c>
      <c r="L16">
        <v>7.2184623264296004</v>
      </c>
      <c r="M16" t="s">
        <v>5</v>
      </c>
      <c r="N16" t="s">
        <v>84</v>
      </c>
      <c r="O16" t="s">
        <v>85</v>
      </c>
      <c r="P16" t="s">
        <v>77</v>
      </c>
      <c r="Q16" t="s">
        <v>78</v>
      </c>
      <c r="R16" t="s">
        <v>9</v>
      </c>
      <c r="S16" t="s">
        <v>86</v>
      </c>
      <c r="T16" t="s">
        <v>87</v>
      </c>
      <c r="U16">
        <v>0</v>
      </c>
      <c r="V16" t="s">
        <v>12</v>
      </c>
      <c r="X16" s="10">
        <f t="shared" si="4"/>
        <v>0.84360047846889952</v>
      </c>
      <c r="Y16">
        <f t="shared" si="5"/>
        <v>4.7386818391877909E-2</v>
      </c>
    </row>
    <row r="17" spans="1:25" x14ac:dyDescent="0.3">
      <c r="A17" t="s">
        <v>0</v>
      </c>
      <c r="B17">
        <v>2327</v>
      </c>
      <c r="C17" t="s">
        <v>1</v>
      </c>
      <c r="D17">
        <v>2016</v>
      </c>
      <c r="E17" s="3" t="s">
        <v>74</v>
      </c>
      <c r="F17">
        <v>1278.8408590911199</v>
      </c>
      <c r="G17" t="s">
        <v>2</v>
      </c>
      <c r="H17">
        <v>0.54956633394547705</v>
      </c>
      <c r="I17" t="s">
        <v>3</v>
      </c>
      <c r="J17">
        <v>-6.3219315557626796</v>
      </c>
      <c r="K17" t="s">
        <v>4</v>
      </c>
      <c r="L17">
        <v>6.5116029223377296</v>
      </c>
      <c r="M17" t="s">
        <v>5</v>
      </c>
      <c r="N17" t="s">
        <v>84</v>
      </c>
      <c r="O17" t="s">
        <v>85</v>
      </c>
      <c r="P17" t="s">
        <v>77</v>
      </c>
      <c r="Q17" t="s">
        <v>78</v>
      </c>
      <c r="R17" t="s">
        <v>9</v>
      </c>
      <c r="S17" t="s">
        <v>86</v>
      </c>
      <c r="T17" t="s">
        <v>87</v>
      </c>
      <c r="U17">
        <v>0</v>
      </c>
      <c r="V17" t="s">
        <v>12</v>
      </c>
      <c r="X17" s="10">
        <f t="shared" si="4"/>
        <v>0.86635152556940265</v>
      </c>
      <c r="Y17">
        <f t="shared" si="5"/>
        <v>8.4398010827751349E-2</v>
      </c>
    </row>
    <row r="18" spans="1:25" x14ac:dyDescent="0.3">
      <c r="A18" t="s">
        <v>0</v>
      </c>
      <c r="B18">
        <v>1970</v>
      </c>
      <c r="C18" t="s">
        <v>1</v>
      </c>
      <c r="D18">
        <v>1698</v>
      </c>
      <c r="E18" s="3" t="s">
        <v>74</v>
      </c>
      <c r="F18">
        <v>946.58818911813898</v>
      </c>
      <c r="G18" t="s">
        <v>2</v>
      </c>
      <c r="H18">
        <v>0.48050161884169501</v>
      </c>
      <c r="I18" t="s">
        <v>3</v>
      </c>
      <c r="J18">
        <v>-6.0618946979282899</v>
      </c>
      <c r="K18" t="s">
        <v>4</v>
      </c>
      <c r="L18">
        <v>5.5809985403569202</v>
      </c>
      <c r="M18" t="s">
        <v>5</v>
      </c>
      <c r="N18" t="s">
        <v>80</v>
      </c>
      <c r="O18" t="s">
        <v>81</v>
      </c>
      <c r="P18" t="s">
        <v>77</v>
      </c>
      <c r="Q18" t="s">
        <v>78</v>
      </c>
      <c r="R18" t="s">
        <v>9</v>
      </c>
      <c r="S18" t="s">
        <v>82</v>
      </c>
      <c r="T18" t="s">
        <v>83</v>
      </c>
      <c r="U18">
        <v>0</v>
      </c>
      <c r="V18" t="s">
        <v>12</v>
      </c>
      <c r="X18" s="10">
        <f t="shared" si="4"/>
        <v>0.86192893401015225</v>
      </c>
      <c r="Y18">
        <f t="shared" si="5"/>
        <v>8.6095994357842209E-2</v>
      </c>
    </row>
    <row r="20" spans="1:25" x14ac:dyDescent="0.3">
      <c r="A20" t="s">
        <v>95</v>
      </c>
      <c r="C20" s="4"/>
      <c r="D20" s="4"/>
    </row>
    <row r="21" spans="1:25" x14ac:dyDescent="0.3">
      <c r="A21" t="s">
        <v>0</v>
      </c>
      <c r="B21">
        <v>1513</v>
      </c>
      <c r="C21" s="5" t="s">
        <v>1</v>
      </c>
      <c r="D21">
        <v>1291</v>
      </c>
      <c r="E21" s="3" t="s">
        <v>74</v>
      </c>
      <c r="F21">
        <v>408.076272862812</v>
      </c>
      <c r="G21" t="s">
        <v>2</v>
      </c>
      <c r="H21">
        <v>0.26971333302234801</v>
      </c>
      <c r="I21" t="s">
        <v>3</v>
      </c>
      <c r="J21">
        <v>-4.2018690442072701</v>
      </c>
      <c r="K21" t="s">
        <v>4</v>
      </c>
      <c r="L21">
        <v>2.3470030022033401</v>
      </c>
      <c r="M21" t="s">
        <v>5</v>
      </c>
      <c r="N21" t="s">
        <v>6</v>
      </c>
      <c r="O21" t="s">
        <v>96</v>
      </c>
      <c r="P21" t="s">
        <v>77</v>
      </c>
      <c r="Q21" t="s">
        <v>78</v>
      </c>
      <c r="R21" t="s">
        <v>9</v>
      </c>
      <c r="S21" t="s">
        <v>10</v>
      </c>
      <c r="T21" t="s">
        <v>11</v>
      </c>
      <c r="U21">
        <v>0</v>
      </c>
      <c r="V21" t="s">
        <v>12</v>
      </c>
      <c r="X21" s="11">
        <f>D21/B21</f>
        <v>0.85327164573694647</v>
      </c>
      <c r="Y21">
        <f t="shared" ref="Y21:Y28" si="6">H21/L21</f>
        <v>0.11491818833173377</v>
      </c>
    </row>
    <row r="22" spans="1:25" x14ac:dyDescent="0.3">
      <c r="A22" t="s">
        <v>0</v>
      </c>
      <c r="B22">
        <v>1316</v>
      </c>
      <c r="C22" t="s">
        <v>1</v>
      </c>
      <c r="D22">
        <v>1121</v>
      </c>
      <c r="E22" s="3" t="s">
        <v>74</v>
      </c>
      <c r="F22">
        <v>357.26145425271397</v>
      </c>
      <c r="G22" t="s">
        <v>2</v>
      </c>
      <c r="H22">
        <v>0.27147526918899201</v>
      </c>
      <c r="I22" t="s">
        <v>3</v>
      </c>
      <c r="J22">
        <v>-4.1696662964821201</v>
      </c>
      <c r="K22" t="s">
        <v>4</v>
      </c>
      <c r="L22">
        <v>2.1412952223491799</v>
      </c>
      <c r="M22" t="s">
        <v>5</v>
      </c>
      <c r="N22" t="s">
        <v>6</v>
      </c>
      <c r="O22" t="s">
        <v>96</v>
      </c>
      <c r="P22" t="s">
        <v>77</v>
      </c>
      <c r="Q22" t="s">
        <v>78</v>
      </c>
      <c r="R22" t="s">
        <v>9</v>
      </c>
      <c r="S22" t="s">
        <v>10</v>
      </c>
      <c r="T22" t="s">
        <v>11</v>
      </c>
      <c r="U22">
        <v>0</v>
      </c>
      <c r="V22" t="s">
        <v>12</v>
      </c>
      <c r="X22" s="11">
        <f>D22/B22</f>
        <v>0.85182370820668696</v>
      </c>
      <c r="Y22">
        <f t="shared" si="6"/>
        <v>0.1267808690532457</v>
      </c>
    </row>
    <row r="23" spans="1:25" s="1" customFormat="1" x14ac:dyDescent="0.3">
      <c r="A23" s="1" t="s">
        <v>0</v>
      </c>
      <c r="B23" s="1">
        <v>922</v>
      </c>
      <c r="C23" s="1" t="s">
        <v>1</v>
      </c>
      <c r="D23" s="1">
        <v>808</v>
      </c>
      <c r="E23" s="2" t="s">
        <v>74</v>
      </c>
      <c r="F23" s="1">
        <v>406.212415054367</v>
      </c>
      <c r="G23" s="1" t="s">
        <v>2</v>
      </c>
      <c r="H23" s="1">
        <v>0.44057745667501902</v>
      </c>
      <c r="I23" s="1" t="s">
        <v>3</v>
      </c>
      <c r="J23" s="1">
        <v>-4.7911544558479902</v>
      </c>
      <c r="K23" s="1" t="s">
        <v>4</v>
      </c>
      <c r="L23" s="1">
        <v>1.9546885906985301</v>
      </c>
      <c r="M23" s="1" t="s">
        <v>5</v>
      </c>
      <c r="N23" s="1" t="s">
        <v>6</v>
      </c>
      <c r="O23" s="1" t="s">
        <v>96</v>
      </c>
      <c r="P23" s="1" t="s">
        <v>77</v>
      </c>
      <c r="Q23" s="1" t="s">
        <v>78</v>
      </c>
      <c r="R23" s="1" t="s">
        <v>9</v>
      </c>
      <c r="S23" s="1" t="s">
        <v>10</v>
      </c>
      <c r="T23" s="1" t="s">
        <v>11</v>
      </c>
      <c r="U23" s="1">
        <v>0</v>
      </c>
      <c r="V23" s="1" t="s">
        <v>12</v>
      </c>
      <c r="W23" s="15"/>
      <c r="X23" s="11">
        <f>D23/B23</f>
        <v>0.87635574837310193</v>
      </c>
      <c r="Y23" s="1">
        <f t="shared" si="6"/>
        <v>0.22539521577581506</v>
      </c>
    </row>
    <row r="24" spans="1:25" s="1" customFormat="1" x14ac:dyDescent="0.3">
      <c r="A24" s="1" t="s">
        <v>0</v>
      </c>
      <c r="B24" s="1">
        <v>774</v>
      </c>
      <c r="C24" s="1" t="s">
        <v>1</v>
      </c>
      <c r="D24" s="1">
        <v>680</v>
      </c>
      <c r="E24" s="2" t="s">
        <v>74</v>
      </c>
      <c r="F24" s="1">
        <v>329.33127917198101</v>
      </c>
      <c r="G24" s="1" t="s">
        <v>2</v>
      </c>
      <c r="H24" s="1">
        <v>0.42549260874932898</v>
      </c>
      <c r="I24" s="1" t="s">
        <v>3</v>
      </c>
      <c r="J24" s="1">
        <v>-4.5170138744795203</v>
      </c>
      <c r="K24" s="1" t="s">
        <v>4</v>
      </c>
      <c r="L24" s="1">
        <v>1.68012597549142</v>
      </c>
      <c r="M24" s="1" t="s">
        <v>5</v>
      </c>
      <c r="N24" s="1" t="s">
        <v>13</v>
      </c>
      <c r="O24" s="1" t="s">
        <v>92</v>
      </c>
      <c r="P24" s="1" t="s">
        <v>77</v>
      </c>
      <c r="Q24" s="1" t="s">
        <v>78</v>
      </c>
      <c r="R24" s="1" t="s">
        <v>9</v>
      </c>
      <c r="S24" s="1" t="s">
        <v>18</v>
      </c>
      <c r="T24" s="1" t="s">
        <v>19</v>
      </c>
      <c r="U24" s="1">
        <v>0</v>
      </c>
      <c r="V24" s="1" t="s">
        <v>12</v>
      </c>
      <c r="W24" s="15"/>
      <c r="X24" s="11">
        <f>D24/B24</f>
        <v>0.87855297157622736</v>
      </c>
      <c r="Y24" s="1">
        <f t="shared" si="6"/>
        <v>0.25325041988287617</v>
      </c>
    </row>
    <row r="25" spans="1:25" x14ac:dyDescent="0.3">
      <c r="A25" t="s">
        <v>0</v>
      </c>
      <c r="B25">
        <v>3810</v>
      </c>
      <c r="C25" t="s">
        <v>1</v>
      </c>
      <c r="D25">
        <v>3236</v>
      </c>
      <c r="E25" s="3" t="s">
        <v>74</v>
      </c>
      <c r="F25">
        <v>1044.93359865206</v>
      </c>
      <c r="G25" t="s">
        <v>2</v>
      </c>
      <c r="H25">
        <v>0.274260787047786</v>
      </c>
      <c r="I25" t="s">
        <v>3</v>
      </c>
      <c r="J25">
        <v>-4.0789186633338304</v>
      </c>
      <c r="K25" t="s">
        <v>4</v>
      </c>
      <c r="L25">
        <v>5.7021366993263598</v>
      </c>
      <c r="M25" t="s">
        <v>5</v>
      </c>
      <c r="N25" t="s">
        <v>6</v>
      </c>
      <c r="O25" t="s">
        <v>96</v>
      </c>
      <c r="P25" t="s">
        <v>77</v>
      </c>
      <c r="Q25" t="s">
        <v>78</v>
      </c>
      <c r="R25" t="s">
        <v>9</v>
      </c>
      <c r="S25" t="s">
        <v>10</v>
      </c>
      <c r="T25" t="s">
        <v>11</v>
      </c>
      <c r="U25">
        <v>0</v>
      </c>
      <c r="V25" t="s">
        <v>12</v>
      </c>
      <c r="X25" s="11">
        <f>D25/B25</f>
        <v>0.84934383202099739</v>
      </c>
      <c r="Y25">
        <f t="shared" si="6"/>
        <v>4.8097897596910764E-2</v>
      </c>
    </row>
    <row r="26" spans="1:25" x14ac:dyDescent="0.3">
      <c r="A26" t="s">
        <v>0</v>
      </c>
      <c r="B26">
        <v>3344</v>
      </c>
      <c r="C26" t="s">
        <v>1</v>
      </c>
      <c r="D26">
        <v>2827</v>
      </c>
      <c r="E26" s="3" t="s">
        <v>74</v>
      </c>
      <c r="F26">
        <v>879.93435154459598</v>
      </c>
      <c r="G26" t="s">
        <v>2</v>
      </c>
      <c r="H26">
        <v>0.26313826302170901</v>
      </c>
      <c r="I26" t="s">
        <v>3</v>
      </c>
      <c r="J26">
        <v>-4.0459924390346202</v>
      </c>
      <c r="K26" t="s">
        <v>4</v>
      </c>
      <c r="L26">
        <v>5.1486250458356499</v>
      </c>
      <c r="M26" t="s">
        <v>5</v>
      </c>
      <c r="N26" t="s">
        <v>6</v>
      </c>
      <c r="O26" t="s">
        <v>96</v>
      </c>
      <c r="P26" t="s">
        <v>77</v>
      </c>
      <c r="Q26" t="s">
        <v>78</v>
      </c>
      <c r="R26" t="s">
        <v>9</v>
      </c>
      <c r="S26" t="s">
        <v>10</v>
      </c>
      <c r="T26" t="s">
        <v>11</v>
      </c>
      <c r="U26">
        <v>0</v>
      </c>
      <c r="V26" t="s">
        <v>12</v>
      </c>
      <c r="X26" s="11">
        <f>D26/B26</f>
        <v>0.84539473684210531</v>
      </c>
      <c r="Y26">
        <f t="shared" si="6"/>
        <v>5.1108453359706686E-2</v>
      </c>
    </row>
    <row r="27" spans="1:25" x14ac:dyDescent="0.3">
      <c r="A27" t="s">
        <v>0</v>
      </c>
      <c r="B27">
        <v>2327</v>
      </c>
      <c r="C27" t="s">
        <v>1</v>
      </c>
      <c r="D27">
        <v>2018</v>
      </c>
      <c r="E27" s="3" t="s">
        <v>74</v>
      </c>
      <c r="F27">
        <v>977.69533868711005</v>
      </c>
      <c r="G27" t="s">
        <v>2</v>
      </c>
      <c r="H27">
        <v>0.42015270248693998</v>
      </c>
      <c r="I27" t="s">
        <v>3</v>
      </c>
      <c r="J27">
        <v>-4.6415688386199196</v>
      </c>
      <c r="K27" t="s">
        <v>4</v>
      </c>
      <c r="L27">
        <v>4.6722304276776701</v>
      </c>
      <c r="M27" t="s">
        <v>5</v>
      </c>
      <c r="N27" t="s">
        <v>6</v>
      </c>
      <c r="O27" t="s">
        <v>96</v>
      </c>
      <c r="P27" t="s">
        <v>77</v>
      </c>
      <c r="Q27" t="s">
        <v>78</v>
      </c>
      <c r="R27" t="s">
        <v>9</v>
      </c>
      <c r="S27" t="s">
        <v>10</v>
      </c>
      <c r="T27" t="s">
        <v>11</v>
      </c>
      <c r="U27">
        <v>0</v>
      </c>
      <c r="V27" t="s">
        <v>12</v>
      </c>
      <c r="X27" s="11">
        <f>D27/B27</f>
        <v>0.86721100128921358</v>
      </c>
      <c r="Y27">
        <f t="shared" si="6"/>
        <v>8.9925509666220954E-2</v>
      </c>
    </row>
    <row r="28" spans="1:25" x14ac:dyDescent="0.3">
      <c r="A28" t="s">
        <v>0</v>
      </c>
      <c r="B28">
        <v>1970</v>
      </c>
      <c r="C28" t="s">
        <v>1</v>
      </c>
      <c r="D28">
        <v>1704</v>
      </c>
      <c r="E28" s="3" t="s">
        <v>74</v>
      </c>
      <c r="F28">
        <v>727.18343883321904</v>
      </c>
      <c r="G28" t="s">
        <v>2</v>
      </c>
      <c r="H28">
        <v>0.36912864915391802</v>
      </c>
      <c r="I28" t="s">
        <v>3</v>
      </c>
      <c r="J28">
        <v>-4.4551368624466496</v>
      </c>
      <c r="K28" t="s">
        <v>4</v>
      </c>
      <c r="L28">
        <v>3.9703551835080999</v>
      </c>
      <c r="M28" t="s">
        <v>5</v>
      </c>
      <c r="N28" t="s">
        <v>20</v>
      </c>
      <c r="O28" t="s">
        <v>97</v>
      </c>
      <c r="P28" t="s">
        <v>77</v>
      </c>
      <c r="Q28" t="s">
        <v>78</v>
      </c>
      <c r="R28" t="s">
        <v>9</v>
      </c>
      <c r="S28" t="s">
        <v>18</v>
      </c>
      <c r="T28" t="s">
        <v>19</v>
      </c>
      <c r="U28">
        <v>0</v>
      </c>
      <c r="V28" t="s">
        <v>12</v>
      </c>
      <c r="X28" s="11">
        <f>D28/B28</f>
        <v>0.86497461928934005</v>
      </c>
      <c r="Y28">
        <f t="shared" si="6"/>
        <v>9.2971190760763572E-2</v>
      </c>
    </row>
    <row r="30" spans="1:25" x14ac:dyDescent="0.3">
      <c r="A30" t="s">
        <v>98</v>
      </c>
    </row>
    <row r="31" spans="1:25" x14ac:dyDescent="0.3">
      <c r="A31" t="s">
        <v>0</v>
      </c>
      <c r="B31">
        <v>1513</v>
      </c>
      <c r="C31" t="s">
        <v>1</v>
      </c>
      <c r="D31">
        <v>1295</v>
      </c>
      <c r="E31" s="3" t="s">
        <v>74</v>
      </c>
      <c r="F31">
        <v>313.57580003328098</v>
      </c>
      <c r="G31" t="s">
        <v>2</v>
      </c>
      <c r="H31">
        <v>0.20725432916938599</v>
      </c>
      <c r="I31" t="s">
        <v>3</v>
      </c>
      <c r="J31">
        <v>-2.8246623569454901</v>
      </c>
      <c r="K31" t="s">
        <v>4</v>
      </c>
      <c r="L31">
        <v>1.6516102861383199</v>
      </c>
      <c r="M31" t="s">
        <v>5</v>
      </c>
      <c r="N31" t="s">
        <v>99</v>
      </c>
      <c r="O31" t="s">
        <v>100</v>
      </c>
      <c r="P31" t="s">
        <v>77</v>
      </c>
      <c r="Q31" t="s">
        <v>78</v>
      </c>
      <c r="R31" t="s">
        <v>9</v>
      </c>
      <c r="S31" t="s">
        <v>101</v>
      </c>
      <c r="T31" t="s">
        <v>102</v>
      </c>
      <c r="U31">
        <v>0</v>
      </c>
      <c r="V31" t="s">
        <v>12</v>
      </c>
      <c r="X31" s="11">
        <f>D31/B31</f>
        <v>0.85591539986781229</v>
      </c>
      <c r="Y31">
        <f t="shared" ref="Y31:Y38" si="7">H31/L31</f>
        <v>0.12548621845530741</v>
      </c>
    </row>
    <row r="32" spans="1:25" x14ac:dyDescent="0.3">
      <c r="A32" t="s">
        <v>0</v>
      </c>
      <c r="B32">
        <v>1316</v>
      </c>
      <c r="C32" t="s">
        <v>1</v>
      </c>
      <c r="D32">
        <v>1126</v>
      </c>
      <c r="E32" s="3" t="s">
        <v>74</v>
      </c>
      <c r="F32">
        <v>279.40384514872602</v>
      </c>
      <c r="G32" t="s">
        <v>2</v>
      </c>
      <c r="H32">
        <v>0.21231295224067301</v>
      </c>
      <c r="I32" t="s">
        <v>3</v>
      </c>
      <c r="J32">
        <v>-2.8205780929467101</v>
      </c>
      <c r="K32" t="s">
        <v>4</v>
      </c>
      <c r="L32">
        <v>1.5289679193402299</v>
      </c>
      <c r="M32" t="s">
        <v>5</v>
      </c>
      <c r="N32" t="s">
        <v>99</v>
      </c>
      <c r="O32" t="s">
        <v>100</v>
      </c>
      <c r="P32" t="s">
        <v>77</v>
      </c>
      <c r="Q32" t="s">
        <v>78</v>
      </c>
      <c r="R32" t="s">
        <v>9</v>
      </c>
      <c r="S32" t="s">
        <v>101</v>
      </c>
      <c r="T32" t="s">
        <v>102</v>
      </c>
      <c r="U32">
        <v>0</v>
      </c>
      <c r="V32" t="s">
        <v>12</v>
      </c>
      <c r="X32" s="11">
        <f>D32/B32</f>
        <v>0.85562310030395139</v>
      </c>
      <c r="Y32">
        <f t="shared" si="7"/>
        <v>0.13886030540934363</v>
      </c>
    </row>
    <row r="33" spans="1:25" s="1" customFormat="1" x14ac:dyDescent="0.3">
      <c r="A33" s="1" t="s">
        <v>0</v>
      </c>
      <c r="B33" s="1">
        <v>922</v>
      </c>
      <c r="C33" s="1" t="s">
        <v>1</v>
      </c>
      <c r="D33" s="1">
        <v>810</v>
      </c>
      <c r="E33" s="2" t="s">
        <v>74</v>
      </c>
      <c r="F33" s="1">
        <v>306.56539996275302</v>
      </c>
      <c r="G33" s="1" t="s">
        <v>2</v>
      </c>
      <c r="H33" s="1">
        <v>0.33250043379908201</v>
      </c>
      <c r="I33" s="1" t="s">
        <v>3</v>
      </c>
      <c r="J33" s="1">
        <v>-3.2327049210398502</v>
      </c>
      <c r="K33" s="1" t="s">
        <v>4</v>
      </c>
      <c r="L33" s="1">
        <v>1.41913113750891</v>
      </c>
      <c r="M33" s="1" t="s">
        <v>5</v>
      </c>
      <c r="N33" s="1" t="s">
        <v>99</v>
      </c>
      <c r="O33" s="1" t="s">
        <v>100</v>
      </c>
      <c r="P33" s="1" t="s">
        <v>77</v>
      </c>
      <c r="Q33" s="1" t="s">
        <v>78</v>
      </c>
      <c r="R33" s="1" t="s">
        <v>9</v>
      </c>
      <c r="S33" s="1" t="s">
        <v>101</v>
      </c>
      <c r="T33" s="1" t="s">
        <v>102</v>
      </c>
      <c r="U33" s="1">
        <v>0</v>
      </c>
      <c r="V33" s="1" t="s">
        <v>12</v>
      </c>
      <c r="W33" s="15"/>
      <c r="X33" s="11">
        <f>D33/B33</f>
        <v>0.87852494577006512</v>
      </c>
      <c r="Y33" s="1">
        <f t="shared" si="7"/>
        <v>0.23429859652205287</v>
      </c>
    </row>
    <row r="34" spans="1:25" s="1" customFormat="1" x14ac:dyDescent="0.3">
      <c r="A34" s="1" t="s">
        <v>0</v>
      </c>
      <c r="B34" s="1">
        <v>774</v>
      </c>
      <c r="C34" s="1" t="s">
        <v>1</v>
      </c>
      <c r="D34" s="1">
        <v>684</v>
      </c>
      <c r="E34" s="2" t="s">
        <v>74</v>
      </c>
      <c r="F34" s="1">
        <v>251.022434936092</v>
      </c>
      <c r="G34" s="1" t="s">
        <v>2</v>
      </c>
      <c r="H34" s="1">
        <v>0.3243183913903</v>
      </c>
      <c r="I34" s="1" t="s">
        <v>3</v>
      </c>
      <c r="J34" s="1">
        <v>-3.0540719731330399</v>
      </c>
      <c r="K34" s="1" t="s">
        <v>4</v>
      </c>
      <c r="L34" s="1">
        <v>1.2025271080334601</v>
      </c>
      <c r="M34" s="1" t="s">
        <v>5</v>
      </c>
      <c r="N34" s="1" t="s">
        <v>103</v>
      </c>
      <c r="O34" s="1" t="s">
        <v>92</v>
      </c>
      <c r="P34" s="1" t="s">
        <v>77</v>
      </c>
      <c r="Q34" s="1" t="s">
        <v>78</v>
      </c>
      <c r="R34" s="1" t="s">
        <v>9</v>
      </c>
      <c r="S34" s="1" t="s">
        <v>104</v>
      </c>
      <c r="T34" s="1" t="s">
        <v>19</v>
      </c>
      <c r="U34" s="1">
        <v>0</v>
      </c>
      <c r="V34" s="1" t="s">
        <v>12</v>
      </c>
      <c r="W34" s="15"/>
      <c r="X34" s="11">
        <f>D34/B34</f>
        <v>0.88372093023255816</v>
      </c>
      <c r="Y34" s="1">
        <f t="shared" si="7"/>
        <v>0.26969736417890039</v>
      </c>
    </row>
    <row r="35" spans="1:25" x14ac:dyDescent="0.3">
      <c r="A35" t="s">
        <v>0</v>
      </c>
      <c r="B35">
        <v>3810</v>
      </c>
      <c r="C35" t="s">
        <v>1</v>
      </c>
      <c r="D35">
        <v>3238</v>
      </c>
      <c r="E35" s="3" t="s">
        <v>74</v>
      </c>
      <c r="F35">
        <v>757.53036603918201</v>
      </c>
      <c r="G35" t="s">
        <v>2</v>
      </c>
      <c r="H35">
        <v>0.19882686772681901</v>
      </c>
      <c r="I35" t="s">
        <v>3</v>
      </c>
      <c r="J35">
        <v>-2.7595760982663098</v>
      </c>
      <c r="K35" t="s">
        <v>4</v>
      </c>
      <c r="L35">
        <v>4.0168877972682999</v>
      </c>
      <c r="M35" t="s">
        <v>5</v>
      </c>
      <c r="N35" t="s">
        <v>99</v>
      </c>
      <c r="O35" t="s">
        <v>100</v>
      </c>
      <c r="P35" t="s">
        <v>77</v>
      </c>
      <c r="Q35" t="s">
        <v>78</v>
      </c>
      <c r="R35" t="s">
        <v>9</v>
      </c>
      <c r="S35" t="s">
        <v>101</v>
      </c>
      <c r="T35" t="s">
        <v>102</v>
      </c>
      <c r="U35">
        <v>0</v>
      </c>
      <c r="V35" t="s">
        <v>12</v>
      </c>
      <c r="X35" s="11">
        <f>D35/B35</f>
        <v>0.8498687664041995</v>
      </c>
      <c r="Y35">
        <f t="shared" si="7"/>
        <v>4.9497739982190189E-2</v>
      </c>
    </row>
    <row r="36" spans="1:25" x14ac:dyDescent="0.3">
      <c r="A36" t="s">
        <v>0</v>
      </c>
      <c r="B36">
        <v>3344</v>
      </c>
      <c r="C36" t="s">
        <v>1</v>
      </c>
      <c r="D36">
        <v>2830</v>
      </c>
      <c r="E36" s="3" t="s">
        <v>74</v>
      </c>
      <c r="F36">
        <v>652.26642985720002</v>
      </c>
      <c r="G36" t="s">
        <v>2</v>
      </c>
      <c r="H36">
        <v>0.19505575055538199</v>
      </c>
      <c r="I36" t="s">
        <v>3</v>
      </c>
      <c r="J36">
        <v>-2.7404688172258602</v>
      </c>
      <c r="K36" t="s">
        <v>4</v>
      </c>
      <c r="L36">
        <v>3.65847794123234</v>
      </c>
      <c r="M36" t="s">
        <v>5</v>
      </c>
      <c r="N36" t="s">
        <v>99</v>
      </c>
      <c r="O36" t="s">
        <v>100</v>
      </c>
      <c r="P36" t="s">
        <v>77</v>
      </c>
      <c r="Q36" t="s">
        <v>78</v>
      </c>
      <c r="R36" t="s">
        <v>9</v>
      </c>
      <c r="S36" t="s">
        <v>101</v>
      </c>
      <c r="T36" t="s">
        <v>102</v>
      </c>
      <c r="U36">
        <v>0</v>
      </c>
      <c r="V36" t="s">
        <v>12</v>
      </c>
      <c r="X36" s="11">
        <f>D36/B36</f>
        <v>0.8462918660287081</v>
      </c>
      <c r="Y36">
        <f t="shared" si="7"/>
        <v>5.3316093109933696E-2</v>
      </c>
    </row>
    <row r="37" spans="1:25" x14ac:dyDescent="0.3">
      <c r="A37" t="s">
        <v>0</v>
      </c>
      <c r="B37">
        <v>2327</v>
      </c>
      <c r="C37" t="s">
        <v>1</v>
      </c>
      <c r="D37">
        <v>2017</v>
      </c>
      <c r="E37" s="3" t="s">
        <v>74</v>
      </c>
      <c r="F37">
        <v>714.677663289772</v>
      </c>
      <c r="G37" t="s">
        <v>2</v>
      </c>
      <c r="H37">
        <v>0.30712404954438</v>
      </c>
      <c r="I37" t="s">
        <v>3</v>
      </c>
      <c r="J37">
        <v>-3.1503357598409001</v>
      </c>
      <c r="K37" t="s">
        <v>4</v>
      </c>
      <c r="L37">
        <v>3.41271575617181</v>
      </c>
      <c r="M37" t="s">
        <v>5</v>
      </c>
      <c r="N37" t="s">
        <v>99</v>
      </c>
      <c r="O37" t="s">
        <v>100</v>
      </c>
      <c r="P37" t="s">
        <v>77</v>
      </c>
      <c r="Q37" t="s">
        <v>78</v>
      </c>
      <c r="R37" t="s">
        <v>9</v>
      </c>
      <c r="S37" t="s">
        <v>101</v>
      </c>
      <c r="T37" t="s">
        <v>102</v>
      </c>
      <c r="U37">
        <v>0</v>
      </c>
      <c r="V37" t="s">
        <v>12</v>
      </c>
      <c r="X37" s="11">
        <f>D37/B37</f>
        <v>0.86678126342930817</v>
      </c>
      <c r="Y37">
        <f t="shared" si="7"/>
        <v>8.9994031582898149E-2</v>
      </c>
    </row>
    <row r="38" spans="1:25" x14ac:dyDescent="0.3">
      <c r="A38" t="s">
        <v>0</v>
      </c>
      <c r="B38">
        <v>1970</v>
      </c>
      <c r="C38" t="s">
        <v>1</v>
      </c>
      <c r="D38">
        <v>1707</v>
      </c>
      <c r="E38" s="3" t="s">
        <v>74</v>
      </c>
      <c r="F38">
        <v>542.09017318250801</v>
      </c>
      <c r="G38" t="s">
        <v>2</v>
      </c>
      <c r="H38">
        <v>0.27517267674238999</v>
      </c>
      <c r="I38" t="s">
        <v>3</v>
      </c>
      <c r="J38">
        <v>-2.9770234374218498</v>
      </c>
      <c r="K38" t="s">
        <v>4</v>
      </c>
      <c r="L38">
        <v>2.8484792471246601</v>
      </c>
      <c r="M38" t="s">
        <v>5</v>
      </c>
      <c r="N38" t="s">
        <v>105</v>
      </c>
      <c r="O38" t="s">
        <v>97</v>
      </c>
      <c r="P38" t="s">
        <v>77</v>
      </c>
      <c r="Q38" t="s">
        <v>78</v>
      </c>
      <c r="R38" t="s">
        <v>9</v>
      </c>
      <c r="S38" t="s">
        <v>104</v>
      </c>
      <c r="T38" t="s">
        <v>19</v>
      </c>
      <c r="U38">
        <v>0</v>
      </c>
      <c r="V38" t="s">
        <v>12</v>
      </c>
      <c r="X38" s="11">
        <f>D38/B38</f>
        <v>0.86649746192893407</v>
      </c>
      <c r="Y38">
        <f t="shared" si="7"/>
        <v>9.6603363714219612E-2</v>
      </c>
    </row>
    <row r="40" spans="1:25" x14ac:dyDescent="0.3">
      <c r="A40" t="s">
        <v>106</v>
      </c>
    </row>
    <row r="41" spans="1:25" x14ac:dyDescent="0.3">
      <c r="A41" t="s">
        <v>0</v>
      </c>
      <c r="B41">
        <v>1513</v>
      </c>
      <c r="C41" t="s">
        <v>1</v>
      </c>
      <c r="D41">
        <v>1296</v>
      </c>
      <c r="E41" s="3" t="s">
        <v>74</v>
      </c>
      <c r="F41">
        <v>214.45591517396599</v>
      </c>
      <c r="G41" t="s">
        <v>2</v>
      </c>
      <c r="H41">
        <v>0.141742177907446</v>
      </c>
      <c r="I41" t="s">
        <v>3</v>
      </c>
      <c r="J41">
        <v>-1.57498903818898</v>
      </c>
      <c r="K41" t="s">
        <v>4</v>
      </c>
      <c r="L41">
        <v>1.0914593754909501</v>
      </c>
      <c r="M41" t="s">
        <v>5</v>
      </c>
      <c r="N41" t="s">
        <v>107</v>
      </c>
      <c r="O41" t="s">
        <v>96</v>
      </c>
      <c r="P41" t="s">
        <v>77</v>
      </c>
      <c r="Q41" t="s">
        <v>78</v>
      </c>
      <c r="R41" t="s">
        <v>9</v>
      </c>
      <c r="S41" t="s">
        <v>107</v>
      </c>
      <c r="T41" t="s">
        <v>23</v>
      </c>
      <c r="U41">
        <v>0</v>
      </c>
      <c r="V41" t="s">
        <v>12</v>
      </c>
      <c r="X41" s="11">
        <f>D41/B41</f>
        <v>0.85657633840052871</v>
      </c>
      <c r="Y41">
        <f t="shared" ref="Y41:Y48" si="8">H41/L41</f>
        <v>0.12986482235647925</v>
      </c>
    </row>
    <row r="42" spans="1:25" x14ac:dyDescent="0.3">
      <c r="A42" t="s">
        <v>0</v>
      </c>
      <c r="B42">
        <v>1316</v>
      </c>
      <c r="C42" t="s">
        <v>1</v>
      </c>
      <c r="D42">
        <v>1124</v>
      </c>
      <c r="E42" s="3" t="s">
        <v>74</v>
      </c>
      <c r="F42">
        <v>190.77969675189701</v>
      </c>
      <c r="G42" t="s">
        <v>2</v>
      </c>
      <c r="H42">
        <v>0.14496937443153299</v>
      </c>
      <c r="I42" t="s">
        <v>3</v>
      </c>
      <c r="J42">
        <v>-1.57279957681037</v>
      </c>
      <c r="K42" t="s">
        <v>4</v>
      </c>
      <c r="L42">
        <v>1.0488646531672801</v>
      </c>
      <c r="M42" t="s">
        <v>5</v>
      </c>
      <c r="N42" t="s">
        <v>107</v>
      </c>
      <c r="O42" t="s">
        <v>96</v>
      </c>
      <c r="P42" t="s">
        <v>77</v>
      </c>
      <c r="Q42" t="s">
        <v>78</v>
      </c>
      <c r="R42" t="s">
        <v>9</v>
      </c>
      <c r="S42" t="s">
        <v>107</v>
      </c>
      <c r="T42" t="s">
        <v>23</v>
      </c>
      <c r="U42">
        <v>0</v>
      </c>
      <c r="V42" t="s">
        <v>12</v>
      </c>
      <c r="X42" s="11">
        <f>D42/B42</f>
        <v>0.85410334346504557</v>
      </c>
      <c r="Y42">
        <f t="shared" si="8"/>
        <v>0.13821552093853648</v>
      </c>
    </row>
    <row r="43" spans="1:25" s="1" customFormat="1" x14ac:dyDescent="0.3">
      <c r="A43" s="1" t="s">
        <v>0</v>
      </c>
      <c r="B43" s="1">
        <v>922</v>
      </c>
      <c r="C43" s="1" t="s">
        <v>1</v>
      </c>
      <c r="D43" s="1">
        <v>803</v>
      </c>
      <c r="E43" s="2" t="s">
        <v>74</v>
      </c>
      <c r="F43" s="1">
        <v>206.22533894532299</v>
      </c>
      <c r="G43" s="1" t="s">
        <v>2</v>
      </c>
      <c r="H43" s="1">
        <v>0.22367173421401601</v>
      </c>
      <c r="I43" s="1" t="s">
        <v>3</v>
      </c>
      <c r="J43" s="1">
        <v>-1.78757750949025</v>
      </c>
      <c r="K43" s="1" t="s">
        <v>4</v>
      </c>
      <c r="L43" s="1">
        <v>1.0056414962976501</v>
      </c>
      <c r="M43" s="1" t="s">
        <v>5</v>
      </c>
      <c r="N43" s="1" t="s">
        <v>107</v>
      </c>
      <c r="O43" s="1" t="s">
        <v>96</v>
      </c>
      <c r="P43" s="1" t="s">
        <v>77</v>
      </c>
      <c r="Q43" s="1" t="s">
        <v>78</v>
      </c>
      <c r="R43" s="1" t="s">
        <v>9</v>
      </c>
      <c r="S43" s="1" t="s">
        <v>107</v>
      </c>
      <c r="T43" s="1" t="s">
        <v>23</v>
      </c>
      <c r="U43" s="1">
        <v>0</v>
      </c>
      <c r="V43" s="1" t="s">
        <v>12</v>
      </c>
      <c r="W43" s="15"/>
      <c r="X43" s="11">
        <f>D43/B43</f>
        <v>0.8709327548806941</v>
      </c>
      <c r="Y43" s="1">
        <f t="shared" si="8"/>
        <v>0.22241696970290253</v>
      </c>
    </row>
    <row r="44" spans="1:25" s="1" customFormat="1" x14ac:dyDescent="0.3">
      <c r="A44" s="1" t="s">
        <v>0</v>
      </c>
      <c r="B44" s="1">
        <v>774</v>
      </c>
      <c r="C44" s="1" t="s">
        <v>1</v>
      </c>
      <c r="D44" s="1">
        <v>680</v>
      </c>
      <c r="E44" s="2" t="s">
        <v>74</v>
      </c>
      <c r="F44" s="1">
        <v>171.88945483086201</v>
      </c>
      <c r="G44" s="1" t="s">
        <v>2</v>
      </c>
      <c r="H44" s="1">
        <v>0.22207939900628201</v>
      </c>
      <c r="I44" s="1" t="s">
        <v>3</v>
      </c>
      <c r="J44" s="1">
        <v>-1.6466486128181901</v>
      </c>
      <c r="K44" s="1" t="s">
        <v>4</v>
      </c>
      <c r="L44" s="1">
        <v>0.85293702631581103</v>
      </c>
      <c r="M44" s="1" t="s">
        <v>5</v>
      </c>
      <c r="N44" s="1" t="s">
        <v>108</v>
      </c>
      <c r="O44" s="1" t="s">
        <v>109</v>
      </c>
      <c r="P44" s="1" t="s">
        <v>110</v>
      </c>
      <c r="Q44" s="1" t="s">
        <v>111</v>
      </c>
      <c r="R44" s="1" t="s">
        <v>9</v>
      </c>
      <c r="S44" s="1" t="s">
        <v>112</v>
      </c>
      <c r="T44" s="1" t="s">
        <v>19</v>
      </c>
      <c r="W44" s="15"/>
      <c r="X44" s="11">
        <f>D44/B44</f>
        <v>0.87855297157622736</v>
      </c>
      <c r="Y44" s="1">
        <f t="shared" si="8"/>
        <v>0.26037021744211891</v>
      </c>
    </row>
    <row r="45" spans="1:25" x14ac:dyDescent="0.3">
      <c r="A45" t="s">
        <v>0</v>
      </c>
      <c r="B45">
        <v>3810</v>
      </c>
      <c r="C45" t="s">
        <v>1</v>
      </c>
      <c r="D45">
        <v>3252</v>
      </c>
      <c r="E45" s="3" t="s">
        <v>74</v>
      </c>
      <c r="F45">
        <v>568.31647523318998</v>
      </c>
      <c r="G45" t="s">
        <v>2</v>
      </c>
      <c r="H45">
        <v>0.14916442919506301</v>
      </c>
      <c r="I45" t="s">
        <v>3</v>
      </c>
      <c r="J45">
        <v>-1.51577885798116</v>
      </c>
      <c r="K45" t="s">
        <v>4</v>
      </c>
      <c r="L45">
        <v>2.66514793391331</v>
      </c>
      <c r="M45" t="s">
        <v>5</v>
      </c>
      <c r="N45" t="s">
        <v>113</v>
      </c>
      <c r="O45" t="s">
        <v>114</v>
      </c>
      <c r="P45" t="s">
        <v>77</v>
      </c>
      <c r="Q45" t="s">
        <v>78</v>
      </c>
      <c r="R45" t="s">
        <v>9</v>
      </c>
      <c r="S45" t="s">
        <v>115</v>
      </c>
      <c r="T45" t="s">
        <v>116</v>
      </c>
      <c r="U45">
        <v>0</v>
      </c>
      <c r="V45" t="s">
        <v>12</v>
      </c>
      <c r="X45" s="11">
        <f>D45/B45</f>
        <v>0.85354330708661419</v>
      </c>
      <c r="Y45">
        <f t="shared" si="8"/>
        <v>5.596853641667867E-2</v>
      </c>
    </row>
    <row r="46" spans="1:25" x14ac:dyDescent="0.3">
      <c r="A46" t="s">
        <v>0</v>
      </c>
      <c r="B46">
        <v>3344</v>
      </c>
      <c r="C46" t="s">
        <v>1</v>
      </c>
      <c r="D46">
        <v>2838</v>
      </c>
      <c r="E46" s="3" t="s">
        <v>74</v>
      </c>
      <c r="F46">
        <v>503.00601484685001</v>
      </c>
      <c r="G46" t="s">
        <v>2</v>
      </c>
      <c r="H46">
        <v>0.15042045898530201</v>
      </c>
      <c r="I46" t="s">
        <v>3</v>
      </c>
      <c r="J46">
        <v>-1.4984566233785599</v>
      </c>
      <c r="K46" t="s">
        <v>4</v>
      </c>
      <c r="L46">
        <v>2.4704103356639502</v>
      </c>
      <c r="M46" t="s">
        <v>5</v>
      </c>
      <c r="N46" t="s">
        <v>113</v>
      </c>
      <c r="O46" t="s">
        <v>114</v>
      </c>
      <c r="P46" t="s">
        <v>77</v>
      </c>
      <c r="Q46" t="s">
        <v>78</v>
      </c>
      <c r="R46" t="s">
        <v>9</v>
      </c>
      <c r="S46" t="s">
        <v>115</v>
      </c>
      <c r="T46" t="s">
        <v>116</v>
      </c>
      <c r="U46">
        <v>0</v>
      </c>
      <c r="V46" t="s">
        <v>12</v>
      </c>
      <c r="X46" s="11">
        <f>D46/B46</f>
        <v>0.84868421052631582</v>
      </c>
      <c r="Y46">
        <f t="shared" si="8"/>
        <v>6.0888855917482568E-2</v>
      </c>
    </row>
    <row r="47" spans="1:25" x14ac:dyDescent="0.3">
      <c r="A47" t="s">
        <v>0</v>
      </c>
      <c r="B47">
        <v>2327</v>
      </c>
      <c r="C47" t="s">
        <v>1</v>
      </c>
      <c r="D47">
        <v>2014</v>
      </c>
      <c r="E47" s="3" t="s">
        <v>74</v>
      </c>
      <c r="F47">
        <v>530.74193713059196</v>
      </c>
      <c r="G47" t="s">
        <v>2</v>
      </c>
      <c r="H47">
        <v>0.228079904224577</v>
      </c>
      <c r="I47" t="s">
        <v>3</v>
      </c>
      <c r="J47">
        <v>-1.7342906009952299</v>
      </c>
      <c r="K47" t="s">
        <v>4</v>
      </c>
      <c r="L47">
        <v>2.4013939790949399</v>
      </c>
      <c r="M47" t="s">
        <v>5</v>
      </c>
      <c r="N47" t="s">
        <v>113</v>
      </c>
      <c r="O47" t="s">
        <v>114</v>
      </c>
      <c r="P47" t="s">
        <v>77</v>
      </c>
      <c r="Q47" t="s">
        <v>78</v>
      </c>
      <c r="R47" t="s">
        <v>9</v>
      </c>
      <c r="S47" t="s">
        <v>115</v>
      </c>
      <c r="T47" t="s">
        <v>116</v>
      </c>
      <c r="U47">
        <v>0</v>
      </c>
      <c r="V47" t="s">
        <v>12</v>
      </c>
      <c r="X47" s="11">
        <f>D47/B47</f>
        <v>0.86549204984959172</v>
      </c>
      <c r="Y47">
        <f t="shared" si="8"/>
        <v>9.4978127791649547E-2</v>
      </c>
    </row>
    <row r="48" spans="1:25" x14ac:dyDescent="0.3">
      <c r="A48" t="s">
        <v>0</v>
      </c>
      <c r="B48">
        <v>1970</v>
      </c>
      <c r="C48" t="s">
        <v>1</v>
      </c>
      <c r="D48">
        <v>1712</v>
      </c>
      <c r="E48" s="3" t="s">
        <v>74</v>
      </c>
      <c r="F48">
        <v>408.656334096178</v>
      </c>
      <c r="G48" t="s">
        <v>2</v>
      </c>
      <c r="H48">
        <v>0.20743976350059801</v>
      </c>
      <c r="I48" t="s">
        <v>3</v>
      </c>
      <c r="J48">
        <v>-1.6149751132790999</v>
      </c>
      <c r="K48" t="s">
        <v>4</v>
      </c>
      <c r="L48">
        <v>1.9439998882710801</v>
      </c>
      <c r="M48" t="s">
        <v>5</v>
      </c>
      <c r="N48" t="s">
        <v>108</v>
      </c>
      <c r="O48" t="s">
        <v>109</v>
      </c>
      <c r="P48" t="s">
        <v>117</v>
      </c>
      <c r="Q48" t="s">
        <v>118</v>
      </c>
      <c r="R48" t="s">
        <v>119</v>
      </c>
      <c r="X48" s="11">
        <f>D48/B48</f>
        <v>0.86903553299492386</v>
      </c>
      <c r="Y48">
        <f t="shared" si="8"/>
        <v>0.10670770340685928</v>
      </c>
    </row>
    <row r="49" spans="1:7" x14ac:dyDescent="0.3">
      <c r="A49" t="s">
        <v>120</v>
      </c>
      <c r="B49" t="s">
        <v>121</v>
      </c>
      <c r="C49" t="s">
        <v>122</v>
      </c>
      <c r="D49" t="s">
        <v>111</v>
      </c>
    </row>
    <row r="50" spans="1:7" x14ac:dyDescent="0.3">
      <c r="A50" t="s">
        <v>123</v>
      </c>
      <c r="B50" t="s">
        <v>124</v>
      </c>
    </row>
    <row r="51" spans="1:7" x14ac:dyDescent="0.3">
      <c r="A51" t="s">
        <v>125</v>
      </c>
      <c r="B51" t="s">
        <v>78</v>
      </c>
      <c r="C51" t="s">
        <v>9</v>
      </c>
      <c r="D51" t="s">
        <v>126</v>
      </c>
      <c r="E51" s="3" t="s">
        <v>127</v>
      </c>
      <c r="F51">
        <v>0</v>
      </c>
      <c r="G51" t="s">
        <v>12</v>
      </c>
    </row>
    <row r="57" spans="1:7" x14ac:dyDescent="0.3">
      <c r="A57" s="6"/>
    </row>
    <row r="59" spans="1:7" x14ac:dyDescent="0.3">
      <c r="A59" s="6"/>
    </row>
    <row r="62" spans="1:7" x14ac:dyDescent="0.3">
      <c r="A62" s="6"/>
    </row>
    <row r="63" spans="1:7" x14ac:dyDescent="0.3">
      <c r="B63" s="18"/>
    </row>
    <row r="64" spans="1:7" x14ac:dyDescent="0.3">
      <c r="B64" s="12"/>
    </row>
    <row r="65" spans="2:2" x14ac:dyDescent="0.3">
      <c r="B65" s="1"/>
    </row>
    <row r="66" spans="2:2" x14ac:dyDescent="0.3">
      <c r="B66" s="1"/>
    </row>
    <row r="67" spans="2:2" x14ac:dyDescent="0.3">
      <c r="B67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D132B-30DE-4C18-B429-64E54FF6E62B}">
  <dimension ref="A1:V8"/>
  <sheetViews>
    <sheetView zoomScale="85" zoomScaleNormal="85" workbookViewId="0">
      <selection activeCell="L11" sqref="L11"/>
    </sheetView>
  </sheetViews>
  <sheetFormatPr defaultRowHeight="16.5" x14ac:dyDescent="0.3"/>
  <cols>
    <col min="1" max="1" width="4" bestFit="1" customWidth="1"/>
    <col min="2" max="2" width="5.5" bestFit="1" customWidth="1"/>
    <col min="3" max="3" width="5.875" bestFit="1" customWidth="1"/>
    <col min="4" max="4" width="5.5" bestFit="1" customWidth="1"/>
    <col min="5" max="5" width="8.875" bestFit="1" customWidth="1"/>
    <col min="6" max="6" width="12.75" bestFit="1" customWidth="1"/>
    <col min="7" max="7" width="9.75" bestFit="1" customWidth="1"/>
    <col min="8" max="8" width="13.625" bestFit="1" customWidth="1"/>
    <col min="9" max="9" width="5.375" bestFit="1" customWidth="1"/>
    <col min="10" max="10" width="12.75" bestFit="1" customWidth="1"/>
    <col min="11" max="11" width="17.625" bestFit="1" customWidth="1"/>
    <col min="12" max="12" width="22" bestFit="1" customWidth="1"/>
    <col min="13" max="13" width="26.125" bestFit="1" customWidth="1"/>
    <col min="14" max="14" width="2.5" bestFit="1" customWidth="1"/>
    <col min="15" max="15" width="5.125" bestFit="1" customWidth="1"/>
    <col min="16" max="16" width="13.5" bestFit="1" customWidth="1"/>
    <col min="17" max="17" width="22" bestFit="1" customWidth="1"/>
    <col min="18" max="18" width="26.125" bestFit="1" customWidth="1"/>
    <col min="19" max="19" width="2.5" bestFit="1" customWidth="1"/>
    <col min="20" max="20" width="5.75" bestFit="1" customWidth="1"/>
  </cols>
  <sheetData>
    <row r="1" spans="1:22" x14ac:dyDescent="0.3">
      <c r="A1" t="s">
        <v>0</v>
      </c>
      <c r="B1">
        <v>1089</v>
      </c>
      <c r="C1" t="s">
        <v>1</v>
      </c>
      <c r="D1">
        <v>607</v>
      </c>
      <c r="E1" t="s">
        <v>2</v>
      </c>
      <c r="F1">
        <v>0.35035995214372201</v>
      </c>
      <c r="G1" t="s">
        <v>3</v>
      </c>
      <c r="H1">
        <v>-2.30184669999002</v>
      </c>
      <c r="I1" t="s">
        <v>4</v>
      </c>
      <c r="J1">
        <v>2.7134181694691302</v>
      </c>
      <c r="K1" t="s">
        <v>5</v>
      </c>
      <c r="L1" t="s">
        <v>22</v>
      </c>
      <c r="M1" t="s">
        <v>7</v>
      </c>
      <c r="N1">
        <v>0</v>
      </c>
      <c r="O1" t="s">
        <v>8</v>
      </c>
      <c r="P1" t="s">
        <v>9</v>
      </c>
      <c r="Q1" t="s">
        <v>22</v>
      </c>
      <c r="R1" t="s">
        <v>23</v>
      </c>
      <c r="S1">
        <v>0</v>
      </c>
      <c r="T1" t="s">
        <v>12</v>
      </c>
      <c r="U1" s="7">
        <f>D1/B1</f>
        <v>0.55739210284664831</v>
      </c>
      <c r="V1">
        <f>F1/J1</f>
        <v>0.12912125233253988</v>
      </c>
    </row>
    <row r="2" spans="1:22" x14ac:dyDescent="0.3">
      <c r="A2" t="s">
        <v>0</v>
      </c>
      <c r="B2">
        <v>938</v>
      </c>
      <c r="C2" t="s">
        <v>1</v>
      </c>
      <c r="D2">
        <v>532</v>
      </c>
      <c r="E2" t="s">
        <v>2</v>
      </c>
      <c r="F2">
        <v>0.379871416309845</v>
      </c>
      <c r="G2" t="s">
        <v>3</v>
      </c>
      <c r="H2">
        <v>-2.3445377351729499</v>
      </c>
      <c r="I2" t="s">
        <v>4</v>
      </c>
      <c r="J2">
        <v>2.4018965322391002</v>
      </c>
      <c r="K2" t="s">
        <v>5</v>
      </c>
      <c r="L2" t="s">
        <v>22</v>
      </c>
      <c r="M2" t="s">
        <v>7</v>
      </c>
      <c r="N2">
        <v>0</v>
      </c>
      <c r="O2" t="s">
        <v>8</v>
      </c>
      <c r="P2" t="s">
        <v>9</v>
      </c>
      <c r="Q2" t="s">
        <v>22</v>
      </c>
      <c r="R2" t="s">
        <v>23</v>
      </c>
      <c r="S2">
        <v>0</v>
      </c>
      <c r="T2" t="s">
        <v>12</v>
      </c>
      <c r="U2" s="7">
        <f t="shared" ref="U2:U8" si="0">D2/B2</f>
        <v>0.56716417910447758</v>
      </c>
      <c r="V2">
        <f t="shared" ref="V2:V8" si="1">F2/J2</f>
        <v>0.15815477944660697</v>
      </c>
    </row>
    <row r="3" spans="1:22" x14ac:dyDescent="0.3">
      <c r="A3" t="s">
        <v>0</v>
      </c>
      <c r="B3">
        <v>622</v>
      </c>
      <c r="C3" t="s">
        <v>1</v>
      </c>
      <c r="D3">
        <v>396</v>
      </c>
      <c r="E3" t="s">
        <v>2</v>
      </c>
      <c r="F3">
        <v>0.26034959691491799</v>
      </c>
      <c r="G3" t="s">
        <v>3</v>
      </c>
      <c r="H3">
        <v>-3.43822065846267</v>
      </c>
      <c r="I3" t="s">
        <v>4</v>
      </c>
      <c r="J3">
        <v>1.82392511955658</v>
      </c>
      <c r="K3" t="s">
        <v>5</v>
      </c>
      <c r="L3" t="s">
        <v>22</v>
      </c>
      <c r="M3" t="s">
        <v>7</v>
      </c>
      <c r="N3">
        <v>0</v>
      </c>
      <c r="O3" t="s">
        <v>8</v>
      </c>
      <c r="P3" t="s">
        <v>9</v>
      </c>
      <c r="Q3" t="s">
        <v>22</v>
      </c>
      <c r="R3" t="s">
        <v>23</v>
      </c>
      <c r="S3">
        <v>0</v>
      </c>
      <c r="T3" t="s">
        <v>12</v>
      </c>
      <c r="U3" s="7">
        <f t="shared" si="0"/>
        <v>0.63665594855305463</v>
      </c>
      <c r="V3">
        <f t="shared" si="1"/>
        <v>0.14274138456857943</v>
      </c>
    </row>
    <row r="4" spans="1:22" s="1" customFormat="1" x14ac:dyDescent="0.3">
      <c r="A4" s="1" t="s">
        <v>0</v>
      </c>
      <c r="B4" s="1">
        <v>502</v>
      </c>
      <c r="C4" s="1" t="s">
        <v>1</v>
      </c>
      <c r="D4" s="1">
        <v>319</v>
      </c>
      <c r="E4" s="1" t="s">
        <v>2</v>
      </c>
      <c r="F4" s="1">
        <v>0.27009631619355601</v>
      </c>
      <c r="G4" s="1" t="s">
        <v>3</v>
      </c>
      <c r="H4" s="1">
        <v>-3.0123074574806101</v>
      </c>
      <c r="I4" s="1" t="s">
        <v>4</v>
      </c>
      <c r="J4" s="1">
        <v>1.4587717111379399</v>
      </c>
      <c r="K4" s="1" t="s">
        <v>5</v>
      </c>
      <c r="L4" s="1" t="s">
        <v>24</v>
      </c>
      <c r="M4" s="1" t="s">
        <v>25</v>
      </c>
      <c r="N4" s="1">
        <v>0</v>
      </c>
      <c r="O4" s="1" t="s">
        <v>8</v>
      </c>
      <c r="P4" s="1" t="s">
        <v>9</v>
      </c>
      <c r="Q4" s="1" t="s">
        <v>26</v>
      </c>
      <c r="R4" s="1" t="s">
        <v>27</v>
      </c>
      <c r="S4" s="1">
        <v>0</v>
      </c>
      <c r="T4" s="1" t="s">
        <v>12</v>
      </c>
      <c r="U4" s="8">
        <f t="shared" si="0"/>
        <v>0.63545816733067728</v>
      </c>
      <c r="V4" s="1">
        <f t="shared" si="1"/>
        <v>0.1851532451111646</v>
      </c>
    </row>
    <row r="5" spans="1:22" x14ac:dyDescent="0.3">
      <c r="A5" t="s">
        <v>0</v>
      </c>
      <c r="B5">
        <v>2766</v>
      </c>
      <c r="C5" t="s">
        <v>1</v>
      </c>
      <c r="D5">
        <v>1589</v>
      </c>
      <c r="E5" t="s">
        <v>2</v>
      </c>
      <c r="F5">
        <v>0.39799134615636</v>
      </c>
      <c r="G5" t="s">
        <v>3</v>
      </c>
      <c r="H5">
        <v>-2.41609365082599</v>
      </c>
      <c r="I5" t="s">
        <v>4</v>
      </c>
      <c r="J5">
        <v>6.5271746527208796</v>
      </c>
      <c r="K5" t="s">
        <v>5</v>
      </c>
      <c r="L5" t="s">
        <v>22</v>
      </c>
      <c r="M5" t="s">
        <v>7</v>
      </c>
      <c r="N5">
        <v>0</v>
      </c>
      <c r="O5" t="s">
        <v>8</v>
      </c>
      <c r="P5" t="s">
        <v>9</v>
      </c>
      <c r="Q5" t="s">
        <v>22</v>
      </c>
      <c r="R5" t="s">
        <v>23</v>
      </c>
      <c r="S5">
        <v>0</v>
      </c>
      <c r="T5" t="s">
        <v>12</v>
      </c>
      <c r="U5" s="7">
        <f t="shared" si="0"/>
        <v>0.57447577729573396</v>
      </c>
      <c r="V5">
        <f t="shared" si="1"/>
        <v>6.0974520727809185E-2</v>
      </c>
    </row>
    <row r="6" spans="1:22" x14ac:dyDescent="0.3">
      <c r="A6" t="s">
        <v>0</v>
      </c>
      <c r="B6">
        <v>2406</v>
      </c>
      <c r="C6" t="s">
        <v>1</v>
      </c>
      <c r="D6">
        <v>1404</v>
      </c>
      <c r="E6" t="s">
        <v>2</v>
      </c>
      <c r="F6">
        <v>0.39796944983944799</v>
      </c>
      <c r="G6" t="s">
        <v>3</v>
      </c>
      <c r="H6">
        <v>-2.4803953650037802</v>
      </c>
      <c r="I6" t="s">
        <v>4</v>
      </c>
      <c r="J6">
        <v>5.5192375218221299</v>
      </c>
      <c r="K6" t="s">
        <v>5</v>
      </c>
      <c r="L6" t="s">
        <v>22</v>
      </c>
      <c r="M6" t="s">
        <v>7</v>
      </c>
      <c r="N6">
        <v>0</v>
      </c>
      <c r="O6" t="s">
        <v>8</v>
      </c>
      <c r="P6" t="s">
        <v>9</v>
      </c>
      <c r="Q6" t="s">
        <v>22</v>
      </c>
      <c r="R6" t="s">
        <v>23</v>
      </c>
      <c r="S6">
        <v>0</v>
      </c>
      <c r="T6" t="s">
        <v>12</v>
      </c>
      <c r="U6" s="7">
        <f t="shared" si="0"/>
        <v>0.58354114713216954</v>
      </c>
      <c r="V6">
        <f t="shared" si="1"/>
        <v>7.2105874818024093E-2</v>
      </c>
    </row>
    <row r="7" spans="1:22" x14ac:dyDescent="0.3">
      <c r="A7" t="s">
        <v>0</v>
      </c>
      <c r="B7">
        <v>1585</v>
      </c>
      <c r="C7" t="s">
        <v>1</v>
      </c>
      <c r="D7">
        <v>1023</v>
      </c>
      <c r="E7" t="s">
        <v>2</v>
      </c>
      <c r="F7">
        <v>0.236759957689336</v>
      </c>
      <c r="G7" t="s">
        <v>3</v>
      </c>
      <c r="H7">
        <v>-3.7147477643051099</v>
      </c>
      <c r="I7" t="s">
        <v>4</v>
      </c>
      <c r="J7">
        <v>4.2200309368054496</v>
      </c>
      <c r="K7" t="s">
        <v>5</v>
      </c>
      <c r="L7" t="s">
        <v>22</v>
      </c>
      <c r="M7" t="s">
        <v>7</v>
      </c>
      <c r="N7">
        <v>0</v>
      </c>
      <c r="O7" t="s">
        <v>8</v>
      </c>
      <c r="P7" t="s">
        <v>9</v>
      </c>
      <c r="Q7" t="s">
        <v>22</v>
      </c>
      <c r="R7" t="s">
        <v>23</v>
      </c>
      <c r="S7">
        <v>0</v>
      </c>
      <c r="T7" t="s">
        <v>12</v>
      </c>
      <c r="U7" s="7">
        <f t="shared" si="0"/>
        <v>0.64542586750788644</v>
      </c>
      <c r="V7">
        <f t="shared" si="1"/>
        <v>5.6103844079532401E-2</v>
      </c>
    </row>
    <row r="8" spans="1:22" x14ac:dyDescent="0.3">
      <c r="A8" t="s">
        <v>0</v>
      </c>
      <c r="B8">
        <v>1296</v>
      </c>
      <c r="C8" t="s">
        <v>1</v>
      </c>
      <c r="D8">
        <v>825</v>
      </c>
      <c r="E8" t="s">
        <v>2</v>
      </c>
      <c r="F8">
        <v>0.21453867219491601</v>
      </c>
      <c r="G8" t="s">
        <v>3</v>
      </c>
      <c r="H8">
        <v>-3.3395357910980401</v>
      </c>
      <c r="I8" t="s">
        <v>4</v>
      </c>
      <c r="J8">
        <v>3.6476769537235301</v>
      </c>
      <c r="K8" t="s">
        <v>5</v>
      </c>
      <c r="L8" t="s">
        <v>24</v>
      </c>
      <c r="M8" t="s">
        <v>25</v>
      </c>
      <c r="N8">
        <v>0</v>
      </c>
      <c r="O8" t="s">
        <v>8</v>
      </c>
      <c r="P8" t="s">
        <v>9</v>
      </c>
      <c r="Q8" t="s">
        <v>26</v>
      </c>
      <c r="R8" t="s">
        <v>27</v>
      </c>
      <c r="S8">
        <v>0</v>
      </c>
      <c r="T8" t="s">
        <v>12</v>
      </c>
      <c r="U8" s="7">
        <f t="shared" si="0"/>
        <v>0.63657407407407407</v>
      </c>
      <c r="V8">
        <f t="shared" si="1"/>
        <v>5.881515137351076E-2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17080-B6F1-4747-A08C-D80EE3D0D0C5}">
  <dimension ref="A1:X55"/>
  <sheetViews>
    <sheetView topLeftCell="A10" zoomScale="70" zoomScaleNormal="70" workbookViewId="0">
      <selection activeCell="L13" sqref="L13"/>
    </sheetView>
  </sheetViews>
  <sheetFormatPr defaultRowHeight="16.5" x14ac:dyDescent="0.3"/>
  <cols>
    <col min="1" max="1" width="5.625" bestFit="1" customWidth="1"/>
    <col min="2" max="2" width="6.375" bestFit="1" customWidth="1"/>
    <col min="3" max="3" width="5.875" bestFit="1" customWidth="1"/>
    <col min="4" max="4" width="5.75" bestFit="1" customWidth="1"/>
    <col min="5" max="5" width="9.75" bestFit="1" customWidth="1"/>
    <col min="6" max="6" width="13" bestFit="1" customWidth="1"/>
    <col min="7" max="7" width="8.875" bestFit="1" customWidth="1"/>
    <col min="8" max="8" width="13" bestFit="1" customWidth="1"/>
    <col min="9" max="9" width="9.75" bestFit="1" customWidth="1"/>
    <col min="10" max="10" width="13.875" bestFit="1" customWidth="1"/>
    <col min="11" max="11" width="5.375" bestFit="1" customWidth="1"/>
    <col min="12" max="12" width="13" bestFit="1" customWidth="1"/>
    <col min="13" max="13" width="17.625" bestFit="1" customWidth="1"/>
    <col min="14" max="14" width="22" bestFit="1" customWidth="1"/>
    <col min="15" max="15" width="26.125" bestFit="1" customWidth="1"/>
    <col min="16" max="16" width="3.25" bestFit="1" customWidth="1"/>
    <col min="17" max="17" width="5.125" bestFit="1" customWidth="1"/>
    <col min="18" max="18" width="13.5" bestFit="1" customWidth="1"/>
    <col min="19" max="19" width="22" bestFit="1" customWidth="1"/>
    <col min="20" max="20" width="26.125" bestFit="1" customWidth="1"/>
    <col min="21" max="21" width="3.25" bestFit="1" customWidth="1"/>
    <col min="22" max="22" width="5.75" bestFit="1" customWidth="1"/>
    <col min="23" max="23" width="9.25" style="7" bestFit="1" customWidth="1"/>
    <col min="24" max="24" width="9.25" bestFit="1" customWidth="1"/>
  </cols>
  <sheetData>
    <row r="1" spans="1:24" x14ac:dyDescent="0.3">
      <c r="A1">
        <v>20</v>
      </c>
    </row>
    <row r="3" spans="1:24" x14ac:dyDescent="0.3">
      <c r="A3" t="s">
        <v>0</v>
      </c>
      <c r="B3">
        <v>3810</v>
      </c>
      <c r="C3" t="s">
        <v>1</v>
      </c>
      <c r="D3">
        <v>3094</v>
      </c>
      <c r="E3" t="s">
        <v>74</v>
      </c>
      <c r="F3">
        <v>620.080275115723</v>
      </c>
      <c r="G3" t="s">
        <v>2</v>
      </c>
      <c r="H3">
        <v>0.16275072837683</v>
      </c>
      <c r="I3" t="s">
        <v>3</v>
      </c>
      <c r="J3">
        <v>-8.99445167140974</v>
      </c>
      <c r="K3" t="s">
        <v>4</v>
      </c>
      <c r="L3">
        <v>11.8100912505205</v>
      </c>
      <c r="M3" t="s">
        <v>5</v>
      </c>
      <c r="N3" t="s">
        <v>195</v>
      </c>
      <c r="O3" t="s">
        <v>138</v>
      </c>
      <c r="P3">
        <v>0</v>
      </c>
      <c r="Q3" t="s">
        <v>8</v>
      </c>
      <c r="R3" t="s">
        <v>9</v>
      </c>
      <c r="S3" t="s">
        <v>196</v>
      </c>
      <c r="T3" t="s">
        <v>197</v>
      </c>
      <c r="U3">
        <v>0</v>
      </c>
      <c r="V3" t="s">
        <v>12</v>
      </c>
      <c r="W3" s="7">
        <f>D3/B3</f>
        <v>0.81207349081364832</v>
      </c>
      <c r="X3">
        <f>H3/L3</f>
        <v>1.3780649524588318E-2</v>
      </c>
    </row>
    <row r="4" spans="1:24" x14ac:dyDescent="0.3">
      <c r="A4" t="s">
        <v>0</v>
      </c>
      <c r="B4">
        <v>1513</v>
      </c>
      <c r="C4" t="s">
        <v>1</v>
      </c>
      <c r="D4">
        <v>1231</v>
      </c>
      <c r="E4" t="s">
        <v>74</v>
      </c>
      <c r="F4">
        <v>267.372411124005</v>
      </c>
      <c r="G4" t="s">
        <v>2</v>
      </c>
      <c r="H4">
        <v>0.17671672909716099</v>
      </c>
      <c r="I4" t="s">
        <v>3</v>
      </c>
      <c r="J4">
        <v>-9.0886564747907901</v>
      </c>
      <c r="K4" t="s">
        <v>4</v>
      </c>
      <c r="L4">
        <v>4.8156473595209599</v>
      </c>
      <c r="M4" t="s">
        <v>5</v>
      </c>
      <c r="N4" t="s">
        <v>195</v>
      </c>
      <c r="O4" t="s">
        <v>138</v>
      </c>
      <c r="P4">
        <v>0</v>
      </c>
      <c r="Q4" t="s">
        <v>8</v>
      </c>
      <c r="R4" t="s">
        <v>9</v>
      </c>
      <c r="S4" t="s">
        <v>198</v>
      </c>
      <c r="T4" t="s">
        <v>54</v>
      </c>
      <c r="U4">
        <v>0</v>
      </c>
      <c r="V4" t="s">
        <v>12</v>
      </c>
      <c r="W4" s="7">
        <f t="shared" ref="W4:W31" si="0">D4/B4</f>
        <v>0.813615333773959</v>
      </c>
      <c r="X4">
        <f t="shared" ref="X4:X31" si="1">H4/L4</f>
        <v>3.6696359991513168E-2</v>
      </c>
    </row>
    <row r="5" spans="1:24" s="12" customFormat="1" x14ac:dyDescent="0.3">
      <c r="A5" s="12" t="s">
        <v>0</v>
      </c>
      <c r="B5" s="12">
        <v>1054</v>
      </c>
      <c r="C5" s="12" t="s">
        <v>1</v>
      </c>
      <c r="D5" s="12">
        <v>876</v>
      </c>
      <c r="E5" s="12" t="s">
        <v>74</v>
      </c>
      <c r="F5" s="12">
        <v>444.25381342963698</v>
      </c>
      <c r="G5" s="12" t="s">
        <v>2</v>
      </c>
      <c r="H5" s="12">
        <v>0.42149318162204602</v>
      </c>
      <c r="I5" s="12" t="s">
        <v>3</v>
      </c>
      <c r="J5" s="12">
        <v>-10.1483032896466</v>
      </c>
      <c r="K5" s="12" t="s">
        <v>4</v>
      </c>
      <c r="L5" s="12">
        <v>4.2920354786209902</v>
      </c>
      <c r="M5" s="12" t="s">
        <v>5</v>
      </c>
      <c r="N5" s="12" t="s">
        <v>195</v>
      </c>
      <c r="O5" s="12" t="s">
        <v>138</v>
      </c>
      <c r="P5" s="12">
        <v>0</v>
      </c>
      <c r="Q5" s="12" t="s">
        <v>8</v>
      </c>
      <c r="R5" s="12" t="s">
        <v>9</v>
      </c>
      <c r="S5" s="12" t="s">
        <v>198</v>
      </c>
      <c r="T5" s="12" t="s">
        <v>54</v>
      </c>
      <c r="U5" s="12">
        <v>0</v>
      </c>
      <c r="V5" s="12" t="s">
        <v>12</v>
      </c>
      <c r="W5" s="20">
        <f t="shared" si="0"/>
        <v>0.83111954459203041</v>
      </c>
      <c r="X5" s="12">
        <f t="shared" si="1"/>
        <v>9.8203564188027101E-2</v>
      </c>
    </row>
    <row r="6" spans="1:24" s="12" customFormat="1" x14ac:dyDescent="0.3">
      <c r="A6" s="12" t="s">
        <v>0</v>
      </c>
      <c r="B6" s="12">
        <v>897</v>
      </c>
      <c r="C6" s="12" t="s">
        <v>1</v>
      </c>
      <c r="D6" s="12">
        <v>740</v>
      </c>
      <c r="E6" s="12" t="s">
        <v>74</v>
      </c>
      <c r="F6" s="12">
        <v>311.63863614112802</v>
      </c>
      <c r="G6" s="12" t="s">
        <v>2</v>
      </c>
      <c r="H6" s="12">
        <v>0.347423228696909</v>
      </c>
      <c r="I6" s="12" t="s">
        <v>3</v>
      </c>
      <c r="J6" s="12">
        <v>-9.7265541232565305</v>
      </c>
      <c r="K6" s="12" t="s">
        <v>4</v>
      </c>
      <c r="L6" s="12">
        <v>3.7243286179001802</v>
      </c>
      <c r="M6" s="12" t="s">
        <v>5</v>
      </c>
      <c r="N6" s="12" t="s">
        <v>199</v>
      </c>
      <c r="O6" s="12" t="s">
        <v>200</v>
      </c>
      <c r="P6" s="12">
        <v>0</v>
      </c>
      <c r="Q6" s="12" t="s">
        <v>8</v>
      </c>
      <c r="R6" s="12" t="s">
        <v>9</v>
      </c>
      <c r="S6" s="12" t="s">
        <v>201</v>
      </c>
      <c r="T6" s="12" t="s">
        <v>153</v>
      </c>
      <c r="U6" s="12">
        <v>0</v>
      </c>
      <c r="V6" s="12" t="s">
        <v>12</v>
      </c>
      <c r="W6" s="20">
        <f t="shared" si="0"/>
        <v>0.82497212931995545</v>
      </c>
      <c r="X6" s="12">
        <f t="shared" si="1"/>
        <v>9.3284794211524288E-2</v>
      </c>
    </row>
    <row r="7" spans="1:24" x14ac:dyDescent="0.3">
      <c r="A7" t="s">
        <v>0</v>
      </c>
      <c r="B7">
        <v>714</v>
      </c>
      <c r="C7" t="s">
        <v>1</v>
      </c>
      <c r="D7">
        <v>583</v>
      </c>
      <c r="E7" t="s">
        <v>74</v>
      </c>
      <c r="F7">
        <v>184.66627323156499</v>
      </c>
      <c r="G7" t="s">
        <v>2</v>
      </c>
      <c r="H7">
        <v>0.25863623701899902</v>
      </c>
      <c r="I7" t="s">
        <v>3</v>
      </c>
      <c r="J7">
        <v>-9.6545724988647095</v>
      </c>
      <c r="K7" t="s">
        <v>4</v>
      </c>
      <c r="L7">
        <v>3.1032485040974298</v>
      </c>
      <c r="M7" t="s">
        <v>5</v>
      </c>
      <c r="N7" t="s">
        <v>199</v>
      </c>
      <c r="O7" t="s">
        <v>200</v>
      </c>
      <c r="P7">
        <v>0</v>
      </c>
      <c r="Q7" t="s">
        <v>8</v>
      </c>
      <c r="R7" t="s">
        <v>9</v>
      </c>
      <c r="S7" t="s">
        <v>202</v>
      </c>
      <c r="T7" t="s">
        <v>197</v>
      </c>
      <c r="U7">
        <v>0</v>
      </c>
      <c r="V7" t="s">
        <v>12</v>
      </c>
      <c r="W7" s="7">
        <f t="shared" si="0"/>
        <v>0.81652661064425769</v>
      </c>
      <c r="X7">
        <f t="shared" si="1"/>
        <v>8.3343707949106893E-2</v>
      </c>
    </row>
    <row r="9" spans="1:24" s="12" customFormat="1" x14ac:dyDescent="0.3">
      <c r="W9" s="20"/>
    </row>
    <row r="10" spans="1:24" s="12" customFormat="1" x14ac:dyDescent="0.3">
      <c r="A10" s="22">
        <v>15</v>
      </c>
      <c r="W10" s="20"/>
    </row>
    <row r="11" spans="1:24" x14ac:dyDescent="0.3">
      <c r="A11" t="s">
        <v>0</v>
      </c>
      <c r="B11">
        <v>3810</v>
      </c>
      <c r="C11" t="s">
        <v>1</v>
      </c>
      <c r="D11">
        <v>3086</v>
      </c>
      <c r="E11" t="s">
        <v>74</v>
      </c>
      <c r="F11">
        <v>102.11913060094</v>
      </c>
      <c r="G11" t="s">
        <v>2</v>
      </c>
      <c r="H11">
        <v>2.68029214175695E-2</v>
      </c>
      <c r="I11" t="s">
        <v>3</v>
      </c>
      <c r="J11">
        <v>-6.8817803090580902</v>
      </c>
      <c r="K11" t="s">
        <v>4</v>
      </c>
      <c r="L11">
        <v>8.8344542970458804</v>
      </c>
      <c r="M11" t="s">
        <v>5</v>
      </c>
      <c r="N11" t="s">
        <v>236</v>
      </c>
      <c r="O11" t="s">
        <v>200</v>
      </c>
      <c r="P11">
        <v>0</v>
      </c>
      <c r="Q11" t="s">
        <v>8</v>
      </c>
      <c r="R11" t="s">
        <v>9</v>
      </c>
      <c r="S11" t="s">
        <v>237</v>
      </c>
      <c r="T11" t="s">
        <v>197</v>
      </c>
      <c r="U11">
        <v>0</v>
      </c>
      <c r="V11" t="s">
        <v>12</v>
      </c>
      <c r="W11" s="7">
        <f t="shared" si="0"/>
        <v>0.80997375328083987</v>
      </c>
      <c r="X11">
        <f t="shared" si="1"/>
        <v>3.0339079830354692E-3</v>
      </c>
    </row>
    <row r="12" spans="1:24" x14ac:dyDescent="0.3">
      <c r="A12" t="s">
        <v>0</v>
      </c>
      <c r="B12">
        <v>1513</v>
      </c>
      <c r="C12" t="s">
        <v>1</v>
      </c>
      <c r="D12">
        <v>1230</v>
      </c>
      <c r="E12" t="s">
        <v>74</v>
      </c>
      <c r="F12">
        <v>74.932800836845701</v>
      </c>
      <c r="G12" t="s">
        <v>2</v>
      </c>
      <c r="H12">
        <v>4.95259754374393E-2</v>
      </c>
      <c r="I12" t="s">
        <v>3</v>
      </c>
      <c r="J12">
        <v>-6.9327169750343502</v>
      </c>
      <c r="K12" t="s">
        <v>4</v>
      </c>
      <c r="L12">
        <v>3.6056234369737501</v>
      </c>
      <c r="M12" t="s">
        <v>5</v>
      </c>
      <c r="N12" t="s">
        <v>67</v>
      </c>
      <c r="O12" t="s">
        <v>29</v>
      </c>
      <c r="P12">
        <v>0</v>
      </c>
      <c r="Q12" t="s">
        <v>8</v>
      </c>
      <c r="R12" t="s">
        <v>9</v>
      </c>
      <c r="S12" t="s">
        <v>238</v>
      </c>
      <c r="T12" t="s">
        <v>197</v>
      </c>
      <c r="U12">
        <v>0</v>
      </c>
      <c r="V12" t="s">
        <v>12</v>
      </c>
      <c r="W12" s="7">
        <f t="shared" si="0"/>
        <v>0.81295439524124258</v>
      </c>
      <c r="X12">
        <f t="shared" si="1"/>
        <v>1.3735759239186424E-2</v>
      </c>
    </row>
    <row r="13" spans="1:24" s="16" customFormat="1" x14ac:dyDescent="0.3">
      <c r="A13" s="16" t="s">
        <v>0</v>
      </c>
      <c r="B13" s="16">
        <v>1054</v>
      </c>
      <c r="C13" s="16" t="s">
        <v>1</v>
      </c>
      <c r="D13" s="16">
        <v>873</v>
      </c>
      <c r="E13" s="16" t="s">
        <v>74</v>
      </c>
      <c r="F13" s="16">
        <v>214.706039123724</v>
      </c>
      <c r="G13" s="16" t="s">
        <v>2</v>
      </c>
      <c r="H13" s="16">
        <v>0.203705919472224</v>
      </c>
      <c r="I13" s="16" t="s">
        <v>3</v>
      </c>
      <c r="J13" s="16">
        <v>-7.7731030719446101</v>
      </c>
      <c r="K13" s="16" t="s">
        <v>4</v>
      </c>
      <c r="L13" s="16">
        <v>3.1785672784427499</v>
      </c>
      <c r="M13" s="16" t="s">
        <v>5</v>
      </c>
      <c r="N13" s="16" t="s">
        <v>239</v>
      </c>
      <c r="O13" s="16" t="s">
        <v>7</v>
      </c>
      <c r="P13" s="16">
        <v>0</v>
      </c>
      <c r="Q13" s="16" t="s">
        <v>8</v>
      </c>
      <c r="R13" s="16" t="s">
        <v>9</v>
      </c>
      <c r="S13" s="16" t="s">
        <v>238</v>
      </c>
      <c r="T13" s="16" t="s">
        <v>197</v>
      </c>
      <c r="U13" s="16">
        <v>0</v>
      </c>
      <c r="V13" s="16" t="s">
        <v>12</v>
      </c>
      <c r="W13" s="21">
        <f t="shared" si="0"/>
        <v>0.82827324478178366</v>
      </c>
      <c r="X13" s="16">
        <f t="shared" si="1"/>
        <v>6.4087339240471899E-2</v>
      </c>
    </row>
    <row r="14" spans="1:24" s="16" customFormat="1" x14ac:dyDescent="0.3">
      <c r="A14" s="16" t="s">
        <v>0</v>
      </c>
      <c r="B14" s="16">
        <v>897</v>
      </c>
      <c r="C14" s="16" t="s">
        <v>1</v>
      </c>
      <c r="D14" s="16">
        <v>741</v>
      </c>
      <c r="E14" s="16" t="s">
        <v>74</v>
      </c>
      <c r="F14" s="16">
        <v>144.73959974672701</v>
      </c>
      <c r="G14" s="16" t="s">
        <v>2</v>
      </c>
      <c r="H14" s="16">
        <v>0.16135964297294</v>
      </c>
      <c r="I14" s="16" t="s">
        <v>3</v>
      </c>
      <c r="J14" s="16">
        <v>-7.5608707096877801</v>
      </c>
      <c r="K14" s="16" t="s">
        <v>4</v>
      </c>
      <c r="L14" s="16">
        <v>2.7585709185727398</v>
      </c>
      <c r="M14" s="16" t="s">
        <v>5</v>
      </c>
      <c r="N14" s="16" t="s">
        <v>240</v>
      </c>
      <c r="O14" s="16" t="s">
        <v>197</v>
      </c>
      <c r="P14" s="16">
        <v>0</v>
      </c>
      <c r="Q14" s="16" t="s">
        <v>8</v>
      </c>
      <c r="R14" s="16" t="s">
        <v>9</v>
      </c>
      <c r="S14" s="16" t="s">
        <v>241</v>
      </c>
      <c r="T14" s="16" t="s">
        <v>153</v>
      </c>
      <c r="U14" s="16">
        <v>0</v>
      </c>
      <c r="V14" s="16" t="s">
        <v>12</v>
      </c>
      <c r="W14" s="21">
        <f t="shared" si="0"/>
        <v>0.82608695652173914</v>
      </c>
      <c r="X14" s="16">
        <f t="shared" si="1"/>
        <v>5.8493925926119038E-2</v>
      </c>
    </row>
    <row r="15" spans="1:24" x14ac:dyDescent="0.3">
      <c r="A15" t="s">
        <v>0</v>
      </c>
      <c r="B15">
        <v>714</v>
      </c>
      <c r="C15" t="s">
        <v>1</v>
      </c>
      <c r="D15">
        <v>584</v>
      </c>
      <c r="E15" t="s">
        <v>74</v>
      </c>
      <c r="F15">
        <v>69.553081721009903</v>
      </c>
      <c r="G15" t="s">
        <v>2</v>
      </c>
      <c r="H15">
        <v>9.7413279721302398E-2</v>
      </c>
      <c r="I15" t="s">
        <v>3</v>
      </c>
      <c r="J15">
        <v>-7.5029458083330596</v>
      </c>
      <c r="K15" t="s">
        <v>4</v>
      </c>
      <c r="L15">
        <v>2.3089455597386599</v>
      </c>
      <c r="M15" t="s">
        <v>5</v>
      </c>
      <c r="N15" t="s">
        <v>240</v>
      </c>
      <c r="O15" t="s">
        <v>197</v>
      </c>
      <c r="P15">
        <v>0</v>
      </c>
      <c r="Q15" t="s">
        <v>8</v>
      </c>
      <c r="R15" t="s">
        <v>9</v>
      </c>
      <c r="S15" t="s">
        <v>242</v>
      </c>
      <c r="T15" t="s">
        <v>197</v>
      </c>
      <c r="U15">
        <v>0</v>
      </c>
      <c r="V15" t="s">
        <v>12</v>
      </c>
      <c r="W15" s="7">
        <f t="shared" si="0"/>
        <v>0.81792717086834732</v>
      </c>
      <c r="X15">
        <f t="shared" si="1"/>
        <v>4.2189509107494159E-2</v>
      </c>
    </row>
    <row r="18" spans="1:24" x14ac:dyDescent="0.3">
      <c r="A18">
        <v>10</v>
      </c>
    </row>
    <row r="19" spans="1:24" x14ac:dyDescent="0.3">
      <c r="A19" t="s">
        <v>0</v>
      </c>
      <c r="B19">
        <v>3810</v>
      </c>
      <c r="C19" t="s">
        <v>1</v>
      </c>
      <c r="D19">
        <v>3108</v>
      </c>
      <c r="E19" t="s">
        <v>74</v>
      </c>
      <c r="F19">
        <v>27.5915888578192</v>
      </c>
      <c r="G19" t="s">
        <v>2</v>
      </c>
      <c r="H19">
        <v>7.24188683932263E-3</v>
      </c>
      <c r="I19" t="s">
        <v>3</v>
      </c>
      <c r="J19">
        <v>-4.8073610504140101</v>
      </c>
      <c r="K19" t="s">
        <v>4</v>
      </c>
      <c r="L19">
        <v>5.9553127913010799</v>
      </c>
      <c r="M19" t="s">
        <v>5</v>
      </c>
      <c r="N19" t="s">
        <v>243</v>
      </c>
      <c r="O19" t="s">
        <v>200</v>
      </c>
      <c r="P19">
        <v>0</v>
      </c>
      <c r="Q19" t="s">
        <v>8</v>
      </c>
      <c r="R19" t="s">
        <v>9</v>
      </c>
      <c r="S19" t="s">
        <v>244</v>
      </c>
      <c r="T19" t="s">
        <v>197</v>
      </c>
      <c r="U19">
        <v>0</v>
      </c>
      <c r="V19" t="s">
        <v>12</v>
      </c>
      <c r="W19" s="7">
        <f t="shared" si="0"/>
        <v>0.81574803149606301</v>
      </c>
      <c r="X19">
        <f t="shared" si="1"/>
        <v>1.216038030764874E-3</v>
      </c>
    </row>
    <row r="20" spans="1:24" x14ac:dyDescent="0.3">
      <c r="A20" t="s">
        <v>0</v>
      </c>
      <c r="B20">
        <v>1513</v>
      </c>
      <c r="C20" t="s">
        <v>1</v>
      </c>
      <c r="D20">
        <v>1244</v>
      </c>
      <c r="E20" t="s">
        <v>74</v>
      </c>
      <c r="F20">
        <v>3.1361534852719899</v>
      </c>
      <c r="G20" t="s">
        <v>2</v>
      </c>
      <c r="H20">
        <v>2.0728046829292701E-3</v>
      </c>
      <c r="I20" t="s">
        <v>3</v>
      </c>
      <c r="J20">
        <v>-5.0666563724403897</v>
      </c>
      <c r="K20" t="s">
        <v>4</v>
      </c>
      <c r="L20">
        <v>2.5235601433003301</v>
      </c>
      <c r="M20" t="s">
        <v>5</v>
      </c>
      <c r="N20" t="s">
        <v>245</v>
      </c>
      <c r="O20" t="s">
        <v>138</v>
      </c>
      <c r="P20">
        <v>0</v>
      </c>
      <c r="Q20" t="s">
        <v>8</v>
      </c>
      <c r="R20" t="s">
        <v>9</v>
      </c>
      <c r="S20" t="s">
        <v>246</v>
      </c>
      <c r="T20" t="s">
        <v>197</v>
      </c>
      <c r="U20">
        <v>0</v>
      </c>
      <c r="V20" t="s">
        <v>12</v>
      </c>
      <c r="W20" s="7">
        <f t="shared" si="0"/>
        <v>0.82220753469927299</v>
      </c>
      <c r="X20">
        <f t="shared" si="1"/>
        <v>8.213811303179172E-4</v>
      </c>
    </row>
    <row r="21" spans="1:24" x14ac:dyDescent="0.3">
      <c r="A21" t="s">
        <v>0</v>
      </c>
      <c r="B21">
        <v>1054</v>
      </c>
      <c r="C21" t="s">
        <v>1</v>
      </c>
      <c r="D21">
        <v>880</v>
      </c>
      <c r="E21" t="s">
        <v>74</v>
      </c>
      <c r="F21">
        <v>96.027923064278298</v>
      </c>
      <c r="G21" t="s">
        <v>2</v>
      </c>
      <c r="H21">
        <v>9.1108086398745999E-2</v>
      </c>
      <c r="I21" t="s">
        <v>3</v>
      </c>
      <c r="J21">
        <v>-5.7428606027559201</v>
      </c>
      <c r="K21" t="s">
        <v>4</v>
      </c>
      <c r="L21">
        <v>2.2068278591554402</v>
      </c>
      <c r="M21" t="s">
        <v>5</v>
      </c>
      <c r="N21" t="s">
        <v>245</v>
      </c>
      <c r="O21" t="s">
        <v>138</v>
      </c>
      <c r="P21">
        <v>0</v>
      </c>
      <c r="Q21" t="s">
        <v>8</v>
      </c>
      <c r="R21" t="s">
        <v>9</v>
      </c>
      <c r="S21" t="s">
        <v>246</v>
      </c>
      <c r="T21" t="s">
        <v>197</v>
      </c>
      <c r="U21">
        <v>0</v>
      </c>
      <c r="V21" t="s">
        <v>12</v>
      </c>
      <c r="W21" s="7">
        <f t="shared" si="0"/>
        <v>0.83491461100569264</v>
      </c>
      <c r="X21">
        <f t="shared" si="1"/>
        <v>4.1284636688252316E-2</v>
      </c>
    </row>
    <row r="22" spans="1:24" x14ac:dyDescent="0.3">
      <c r="A22" t="s">
        <v>0</v>
      </c>
      <c r="B22">
        <v>897</v>
      </c>
      <c r="C22" t="s">
        <v>1</v>
      </c>
      <c r="D22">
        <v>749</v>
      </c>
      <c r="E22" t="s">
        <v>74</v>
      </c>
      <c r="F22">
        <v>83.6712868005865</v>
      </c>
      <c r="G22" t="s">
        <v>2</v>
      </c>
      <c r="H22">
        <v>9.3279026533541198E-2</v>
      </c>
      <c r="I22" t="s">
        <v>3</v>
      </c>
      <c r="J22">
        <v>-5.4367137777650898</v>
      </c>
      <c r="K22" t="s">
        <v>4</v>
      </c>
      <c r="L22">
        <v>1.87527029184214</v>
      </c>
      <c r="M22" t="s">
        <v>5</v>
      </c>
      <c r="N22" t="s">
        <v>247</v>
      </c>
      <c r="O22" t="s">
        <v>197</v>
      </c>
      <c r="P22">
        <v>0</v>
      </c>
      <c r="Q22" t="s">
        <v>8</v>
      </c>
      <c r="R22" t="s">
        <v>9</v>
      </c>
      <c r="S22" t="s">
        <v>248</v>
      </c>
      <c r="T22" t="s">
        <v>197</v>
      </c>
      <c r="U22">
        <v>0</v>
      </c>
      <c r="V22" t="s">
        <v>12</v>
      </c>
      <c r="W22" s="7">
        <f t="shared" si="0"/>
        <v>0.83500557413600895</v>
      </c>
      <c r="X22">
        <f t="shared" si="1"/>
        <v>4.9741643612297687E-2</v>
      </c>
    </row>
    <row r="23" spans="1:24" x14ac:dyDescent="0.3">
      <c r="A23" t="s">
        <v>0</v>
      </c>
      <c r="B23">
        <v>714</v>
      </c>
      <c r="C23" t="s">
        <v>1</v>
      </c>
      <c r="D23">
        <v>590</v>
      </c>
      <c r="E23" t="s">
        <v>74</v>
      </c>
      <c r="F23">
        <v>31.412250377671</v>
      </c>
      <c r="G23" t="s">
        <v>2</v>
      </c>
      <c r="H23">
        <v>4.3994748428110603E-2</v>
      </c>
      <c r="I23" t="s">
        <v>3</v>
      </c>
      <c r="J23">
        <v>-5.3976414464668103</v>
      </c>
      <c r="K23" t="s">
        <v>4</v>
      </c>
      <c r="L23">
        <v>1.6056375544925301</v>
      </c>
      <c r="M23" t="s">
        <v>5</v>
      </c>
      <c r="N23" t="s">
        <v>247</v>
      </c>
      <c r="O23" t="s">
        <v>197</v>
      </c>
      <c r="P23">
        <v>0</v>
      </c>
      <c r="Q23" t="s">
        <v>8</v>
      </c>
      <c r="R23" t="s">
        <v>9</v>
      </c>
      <c r="S23" t="s">
        <v>249</v>
      </c>
      <c r="T23" t="s">
        <v>197</v>
      </c>
      <c r="U23">
        <v>0</v>
      </c>
      <c r="V23" t="s">
        <v>12</v>
      </c>
      <c r="W23" s="7">
        <f t="shared" si="0"/>
        <v>0.8263305322128851</v>
      </c>
      <c r="X23">
        <f t="shared" si="1"/>
        <v>2.7400174033681821E-2</v>
      </c>
    </row>
    <row r="26" spans="1:24" x14ac:dyDescent="0.3">
      <c r="A26">
        <v>5</v>
      </c>
    </row>
    <row r="27" spans="1:24" x14ac:dyDescent="0.3">
      <c r="A27" t="s">
        <v>0</v>
      </c>
      <c r="B27">
        <v>3810</v>
      </c>
      <c r="C27" t="s">
        <v>1</v>
      </c>
      <c r="D27">
        <v>3156</v>
      </c>
      <c r="E27" t="s">
        <v>74</v>
      </c>
      <c r="F27">
        <v>397.94939533586802</v>
      </c>
      <c r="G27" t="s">
        <v>2</v>
      </c>
      <c r="H27">
        <v>0.104448660193141</v>
      </c>
      <c r="I27" t="s">
        <v>3</v>
      </c>
      <c r="J27">
        <v>-2.5078404578631801</v>
      </c>
      <c r="K27" t="s">
        <v>4</v>
      </c>
      <c r="L27">
        <v>3.4072123641142298</v>
      </c>
      <c r="M27" t="s">
        <v>5</v>
      </c>
      <c r="N27" t="s">
        <v>250</v>
      </c>
      <c r="O27" t="s">
        <v>102</v>
      </c>
      <c r="P27">
        <v>0</v>
      </c>
      <c r="Q27" t="s">
        <v>8</v>
      </c>
      <c r="R27" t="s">
        <v>9</v>
      </c>
      <c r="S27" t="s">
        <v>251</v>
      </c>
      <c r="T27" t="s">
        <v>197</v>
      </c>
      <c r="U27">
        <v>0</v>
      </c>
      <c r="V27" t="s">
        <v>12</v>
      </c>
      <c r="W27" s="7">
        <f t="shared" si="0"/>
        <v>0.8283464566929134</v>
      </c>
      <c r="X27">
        <f t="shared" si="1"/>
        <v>3.0655165874961372E-2</v>
      </c>
    </row>
    <row r="28" spans="1:24" x14ac:dyDescent="0.3">
      <c r="A28" t="s">
        <v>0</v>
      </c>
      <c r="B28">
        <v>1513</v>
      </c>
      <c r="C28" t="s">
        <v>1</v>
      </c>
      <c r="D28">
        <v>1257</v>
      </c>
      <c r="E28" t="s">
        <v>74</v>
      </c>
      <c r="F28">
        <v>137.740847959322</v>
      </c>
      <c r="G28" t="s">
        <v>2</v>
      </c>
      <c r="H28">
        <v>9.1038233945355401E-2</v>
      </c>
      <c r="I28" t="s">
        <v>3</v>
      </c>
      <c r="J28">
        <v>-2.58824481078832</v>
      </c>
      <c r="K28" t="s">
        <v>4</v>
      </c>
      <c r="L28">
        <v>1.4548502944331001</v>
      </c>
      <c r="M28" t="s">
        <v>5</v>
      </c>
      <c r="N28" t="s">
        <v>252</v>
      </c>
      <c r="O28" t="s">
        <v>23</v>
      </c>
      <c r="P28">
        <v>0</v>
      </c>
      <c r="Q28" t="s">
        <v>8</v>
      </c>
      <c r="R28" t="s">
        <v>9</v>
      </c>
      <c r="S28" t="s">
        <v>253</v>
      </c>
      <c r="T28" t="s">
        <v>254</v>
      </c>
      <c r="U28">
        <v>0</v>
      </c>
      <c r="V28" t="s">
        <v>12</v>
      </c>
      <c r="W28" s="7">
        <f t="shared" si="0"/>
        <v>0.83079973562458687</v>
      </c>
      <c r="X28">
        <f t="shared" si="1"/>
        <v>6.2575671389494783E-2</v>
      </c>
    </row>
    <row r="29" spans="1:24" s="26" customFormat="1" x14ac:dyDescent="0.3">
      <c r="A29" s="26" t="s">
        <v>0</v>
      </c>
      <c r="B29" s="26">
        <v>1054</v>
      </c>
      <c r="C29" s="26" t="s">
        <v>1</v>
      </c>
      <c r="D29" s="26">
        <v>900</v>
      </c>
      <c r="E29" s="26" t="s">
        <v>74</v>
      </c>
      <c r="F29" s="26">
        <v>185.097754572556</v>
      </c>
      <c r="G29" s="26" t="s">
        <v>2</v>
      </c>
      <c r="H29" s="26">
        <v>0.175614567905651</v>
      </c>
      <c r="I29" s="26" t="s">
        <v>3</v>
      </c>
      <c r="J29" s="26">
        <v>-3.1299505117687798</v>
      </c>
      <c r="K29" s="26" t="s">
        <v>4</v>
      </c>
      <c r="L29" s="26">
        <v>1.3200783755910299</v>
      </c>
      <c r="M29" s="26" t="s">
        <v>5</v>
      </c>
      <c r="N29" s="26" t="s">
        <v>252</v>
      </c>
      <c r="O29" s="26" t="s">
        <v>23</v>
      </c>
      <c r="P29" s="26">
        <v>0</v>
      </c>
      <c r="Q29" s="26" t="s">
        <v>8</v>
      </c>
      <c r="R29" s="26" t="s">
        <v>9</v>
      </c>
      <c r="S29" s="26" t="s">
        <v>255</v>
      </c>
      <c r="T29" s="26" t="s">
        <v>197</v>
      </c>
      <c r="U29" s="26">
        <v>0</v>
      </c>
      <c r="V29" s="26" t="s">
        <v>12</v>
      </c>
      <c r="W29" s="27">
        <f t="shared" si="0"/>
        <v>0.85388994307400379</v>
      </c>
      <c r="X29" s="26">
        <f t="shared" si="1"/>
        <v>0.13303344040237328</v>
      </c>
    </row>
    <row r="30" spans="1:24" s="24" customFormat="1" x14ac:dyDescent="0.3">
      <c r="A30" s="24" t="s">
        <v>0</v>
      </c>
      <c r="B30" s="24">
        <v>897</v>
      </c>
      <c r="C30" s="24" t="s">
        <v>1</v>
      </c>
      <c r="D30" s="24">
        <v>775</v>
      </c>
      <c r="E30" s="24" t="s">
        <v>74</v>
      </c>
      <c r="F30" s="24">
        <v>182.836259868817</v>
      </c>
      <c r="G30" s="24" t="s">
        <v>2</v>
      </c>
      <c r="H30" s="24">
        <v>0.20383083597415499</v>
      </c>
      <c r="I30" s="24" t="s">
        <v>3</v>
      </c>
      <c r="J30" s="24">
        <v>-2.9987477867071899</v>
      </c>
      <c r="K30" s="24" t="s">
        <v>4</v>
      </c>
      <c r="L30" s="24">
        <v>1.1249494373311399</v>
      </c>
      <c r="M30" s="24" t="s">
        <v>5</v>
      </c>
      <c r="N30" s="24" t="s">
        <v>252</v>
      </c>
      <c r="O30" s="24" t="s">
        <v>23</v>
      </c>
      <c r="P30" s="24">
        <v>0</v>
      </c>
      <c r="Q30" s="24" t="s">
        <v>8</v>
      </c>
      <c r="R30" s="24" t="s">
        <v>9</v>
      </c>
      <c r="S30" s="24" t="s">
        <v>256</v>
      </c>
      <c r="T30" s="24" t="s">
        <v>153</v>
      </c>
      <c r="U30" s="24">
        <v>0</v>
      </c>
      <c r="V30" s="24" t="s">
        <v>12</v>
      </c>
      <c r="W30" s="25">
        <f t="shared" si="0"/>
        <v>0.86399108138238578</v>
      </c>
      <c r="X30" s="24">
        <f t="shared" si="1"/>
        <v>0.18119110887128287</v>
      </c>
    </row>
    <row r="31" spans="1:24" s="24" customFormat="1" x14ac:dyDescent="0.3">
      <c r="A31" s="24" t="s">
        <v>0</v>
      </c>
      <c r="B31" s="24">
        <v>714</v>
      </c>
      <c r="C31" s="24" t="s">
        <v>1</v>
      </c>
      <c r="D31" s="24">
        <v>616</v>
      </c>
      <c r="E31" s="24" t="s">
        <v>74</v>
      </c>
      <c r="F31" s="24">
        <v>142.594594026869</v>
      </c>
      <c r="G31" s="24" t="s">
        <v>2</v>
      </c>
      <c r="H31" s="24">
        <v>0.19971231656424199</v>
      </c>
      <c r="I31" s="24" t="s">
        <v>3</v>
      </c>
      <c r="J31" s="24">
        <v>-3.0503274747956999</v>
      </c>
      <c r="K31" s="24" t="s">
        <v>4</v>
      </c>
      <c r="L31" s="24">
        <v>0.96833265787418699</v>
      </c>
      <c r="M31" s="24" t="s">
        <v>5</v>
      </c>
      <c r="N31" s="24" t="s">
        <v>252</v>
      </c>
      <c r="O31" s="24" t="s">
        <v>23</v>
      </c>
      <c r="P31" s="24">
        <v>0</v>
      </c>
      <c r="Q31" s="24" t="s">
        <v>8</v>
      </c>
      <c r="R31" s="24" t="s">
        <v>9</v>
      </c>
      <c r="S31" s="24" t="s">
        <v>257</v>
      </c>
      <c r="T31" s="24" t="s">
        <v>258</v>
      </c>
      <c r="U31" s="24">
        <v>0</v>
      </c>
      <c r="V31" s="24" t="s">
        <v>12</v>
      </c>
      <c r="W31" s="25">
        <f t="shared" si="0"/>
        <v>0.86274509803921573</v>
      </c>
      <c r="X31" s="24">
        <f t="shared" si="1"/>
        <v>0.20624350004127415</v>
      </c>
    </row>
    <row r="34" spans="1:24" x14ac:dyDescent="0.3">
      <c r="A34" s="23">
        <v>0.06</v>
      </c>
    </row>
    <row r="35" spans="1:24" x14ac:dyDescent="0.3">
      <c r="A35" t="s">
        <v>0</v>
      </c>
      <c r="B35">
        <v>3798</v>
      </c>
      <c r="C35" t="s">
        <v>1</v>
      </c>
      <c r="D35">
        <v>3087</v>
      </c>
      <c r="E35" t="s">
        <v>74</v>
      </c>
      <c r="F35">
        <v>1266.07163182509</v>
      </c>
      <c r="G35" t="s">
        <v>2</v>
      </c>
      <c r="H35">
        <v>0.33335219374015002</v>
      </c>
      <c r="I35" t="s">
        <v>3</v>
      </c>
      <c r="J35">
        <v>-7.0735848940389801</v>
      </c>
      <c r="K35" t="s">
        <v>4</v>
      </c>
      <c r="L35">
        <v>11.3561571857829</v>
      </c>
      <c r="M35" t="s">
        <v>5</v>
      </c>
      <c r="N35" t="s">
        <v>259</v>
      </c>
      <c r="O35" t="s">
        <v>200</v>
      </c>
      <c r="P35">
        <v>0</v>
      </c>
      <c r="Q35" t="s">
        <v>8</v>
      </c>
      <c r="R35" t="s">
        <v>9</v>
      </c>
      <c r="S35" t="s">
        <v>260</v>
      </c>
      <c r="T35" t="s">
        <v>197</v>
      </c>
      <c r="U35">
        <v>0</v>
      </c>
      <c r="V35" t="s">
        <v>12</v>
      </c>
      <c r="W35" s="7">
        <f t="shared" ref="W35:W39" si="2">D35/B35</f>
        <v>0.8127962085308057</v>
      </c>
      <c r="X35">
        <f t="shared" ref="X35:X39" si="3">H35/L35</f>
        <v>2.9354313108441579E-2</v>
      </c>
    </row>
    <row r="36" spans="1:24" x14ac:dyDescent="0.3">
      <c r="A36" t="s">
        <v>0</v>
      </c>
      <c r="B36">
        <v>1509</v>
      </c>
      <c r="C36" t="s">
        <v>1</v>
      </c>
      <c r="D36">
        <v>1223</v>
      </c>
      <c r="E36" t="s">
        <v>74</v>
      </c>
      <c r="F36">
        <v>439.46161276347198</v>
      </c>
      <c r="G36" t="s">
        <v>2</v>
      </c>
      <c r="H36">
        <v>0.29122704623159201</v>
      </c>
      <c r="I36" t="s">
        <v>3</v>
      </c>
      <c r="J36">
        <v>-7.07340590377847</v>
      </c>
      <c r="K36" t="s">
        <v>4</v>
      </c>
      <c r="L36">
        <v>4.51242750864711</v>
      </c>
      <c r="M36" t="s">
        <v>5</v>
      </c>
      <c r="N36" t="s">
        <v>259</v>
      </c>
      <c r="O36" t="s">
        <v>200</v>
      </c>
      <c r="P36">
        <v>0</v>
      </c>
      <c r="Q36" t="s">
        <v>8</v>
      </c>
      <c r="R36" t="s">
        <v>9</v>
      </c>
      <c r="S36" t="s">
        <v>261</v>
      </c>
      <c r="T36" t="s">
        <v>197</v>
      </c>
      <c r="U36">
        <v>0</v>
      </c>
      <c r="V36" t="s">
        <v>12</v>
      </c>
      <c r="W36" s="7">
        <f t="shared" si="2"/>
        <v>0.81047051027170314</v>
      </c>
      <c r="X36">
        <f t="shared" si="3"/>
        <v>6.4538886369590903E-2</v>
      </c>
    </row>
    <row r="37" spans="1:24" x14ac:dyDescent="0.3">
      <c r="A37" t="s">
        <v>0</v>
      </c>
      <c r="B37">
        <v>1053</v>
      </c>
      <c r="C37" t="s">
        <v>1</v>
      </c>
      <c r="D37">
        <v>871</v>
      </c>
      <c r="E37" t="s">
        <v>74</v>
      </c>
      <c r="F37">
        <v>488.40762287631998</v>
      </c>
      <c r="G37" t="s">
        <v>2</v>
      </c>
      <c r="H37">
        <v>0.46382490301644802</v>
      </c>
      <c r="I37" t="s">
        <v>3</v>
      </c>
      <c r="J37">
        <v>-9.1765609257178298</v>
      </c>
      <c r="K37" t="s">
        <v>4</v>
      </c>
      <c r="L37">
        <v>4.3676644736323604</v>
      </c>
      <c r="M37" t="s">
        <v>5</v>
      </c>
      <c r="N37" t="s">
        <v>259</v>
      </c>
      <c r="O37" t="s">
        <v>200</v>
      </c>
      <c r="P37">
        <v>0</v>
      </c>
      <c r="Q37" t="s">
        <v>8</v>
      </c>
      <c r="R37" t="s">
        <v>9</v>
      </c>
      <c r="S37" t="s">
        <v>261</v>
      </c>
      <c r="T37" t="s">
        <v>197</v>
      </c>
      <c r="U37">
        <v>0</v>
      </c>
      <c r="V37" t="s">
        <v>12</v>
      </c>
      <c r="W37" s="7">
        <f t="shared" si="2"/>
        <v>0.8271604938271605</v>
      </c>
      <c r="X37">
        <f t="shared" si="3"/>
        <v>0.10619517726614858</v>
      </c>
    </row>
    <row r="38" spans="1:24" x14ac:dyDescent="0.3">
      <c r="A38" t="s">
        <v>0</v>
      </c>
      <c r="B38">
        <v>896</v>
      </c>
      <c r="C38" t="s">
        <v>1</v>
      </c>
      <c r="D38">
        <v>739</v>
      </c>
      <c r="E38" t="s">
        <v>74</v>
      </c>
      <c r="F38">
        <v>369.24028834655002</v>
      </c>
      <c r="G38" t="s">
        <v>2</v>
      </c>
      <c r="H38">
        <v>0.41209853610106101</v>
      </c>
      <c r="I38" t="s">
        <v>3</v>
      </c>
      <c r="J38">
        <v>-8.5034813228506003</v>
      </c>
      <c r="K38" t="s">
        <v>4</v>
      </c>
      <c r="L38">
        <v>3.6392332255780802</v>
      </c>
      <c r="M38" t="s">
        <v>5</v>
      </c>
      <c r="N38" t="s">
        <v>259</v>
      </c>
      <c r="O38" t="s">
        <v>200</v>
      </c>
      <c r="P38">
        <v>0</v>
      </c>
      <c r="Q38" t="s">
        <v>8</v>
      </c>
      <c r="R38" t="s">
        <v>9</v>
      </c>
      <c r="S38" t="s">
        <v>262</v>
      </c>
      <c r="T38" t="s">
        <v>153</v>
      </c>
      <c r="U38">
        <v>0</v>
      </c>
      <c r="V38" t="s">
        <v>12</v>
      </c>
      <c r="W38" s="7">
        <f t="shared" si="2"/>
        <v>0.8247767857142857</v>
      </c>
      <c r="X38">
        <f t="shared" si="3"/>
        <v>0.11323773733561704</v>
      </c>
    </row>
    <row r="39" spans="1:24" x14ac:dyDescent="0.3">
      <c r="A39" t="s">
        <v>0</v>
      </c>
      <c r="B39">
        <v>714</v>
      </c>
      <c r="C39" t="s">
        <v>1</v>
      </c>
      <c r="D39">
        <v>584</v>
      </c>
      <c r="E39" t="s">
        <v>74</v>
      </c>
      <c r="F39">
        <v>287.78442475879302</v>
      </c>
      <c r="G39" t="s">
        <v>2</v>
      </c>
      <c r="H39">
        <v>0.40305941842968201</v>
      </c>
      <c r="I39" t="s">
        <v>3</v>
      </c>
      <c r="J39">
        <v>-8.2081315566986301</v>
      </c>
      <c r="K39" t="s">
        <v>4</v>
      </c>
      <c r="L39">
        <v>3.0171296346042999</v>
      </c>
      <c r="M39" t="s">
        <v>5</v>
      </c>
      <c r="N39" t="s">
        <v>259</v>
      </c>
      <c r="O39" t="s">
        <v>200</v>
      </c>
      <c r="P39">
        <v>0</v>
      </c>
      <c r="Q39" t="s">
        <v>8</v>
      </c>
      <c r="R39" t="s">
        <v>9</v>
      </c>
      <c r="S39" t="s">
        <v>263</v>
      </c>
      <c r="T39" t="s">
        <v>197</v>
      </c>
      <c r="U39">
        <v>0</v>
      </c>
      <c r="V39" t="s">
        <v>12</v>
      </c>
      <c r="W39" s="7">
        <f t="shared" si="2"/>
        <v>0.81792717086834732</v>
      </c>
      <c r="X39">
        <f t="shared" si="3"/>
        <v>0.13359035482164283</v>
      </c>
    </row>
    <row r="42" spans="1:24" x14ac:dyDescent="0.3">
      <c r="A42" s="23">
        <v>0.08</v>
      </c>
    </row>
    <row r="43" spans="1:24" x14ac:dyDescent="0.3">
      <c r="A43" t="s">
        <v>0</v>
      </c>
      <c r="B43">
        <v>3540</v>
      </c>
      <c r="C43" t="s">
        <v>1</v>
      </c>
      <c r="D43">
        <v>2894</v>
      </c>
      <c r="E43" t="s">
        <v>74</v>
      </c>
      <c r="F43">
        <v>846.54852059188897</v>
      </c>
      <c r="G43" t="s">
        <v>2</v>
      </c>
      <c r="H43">
        <v>0.23913800016719999</v>
      </c>
      <c r="I43" t="s">
        <v>3</v>
      </c>
      <c r="J43">
        <v>-4.8003387553473198</v>
      </c>
      <c r="K43" t="s">
        <v>4</v>
      </c>
      <c r="L43">
        <v>7.6209664156050998</v>
      </c>
      <c r="M43" t="s">
        <v>5</v>
      </c>
      <c r="N43" t="s">
        <v>264</v>
      </c>
      <c r="O43" t="s">
        <v>138</v>
      </c>
      <c r="P43">
        <v>0</v>
      </c>
      <c r="Q43" t="s">
        <v>8</v>
      </c>
      <c r="R43" t="s">
        <v>9</v>
      </c>
      <c r="S43" t="s">
        <v>265</v>
      </c>
      <c r="T43" t="s">
        <v>197</v>
      </c>
      <c r="U43">
        <v>0</v>
      </c>
      <c r="V43" t="s">
        <v>12</v>
      </c>
      <c r="W43" s="7">
        <f t="shared" ref="W43:W47" si="4">D43/B43</f>
        <v>0.81751412429378534</v>
      </c>
      <c r="X43">
        <f t="shared" ref="X43:X47" si="5">H43/L43</f>
        <v>3.1378959980394111E-2</v>
      </c>
    </row>
    <row r="44" spans="1:24" x14ac:dyDescent="0.3">
      <c r="A44" t="s">
        <v>0</v>
      </c>
      <c r="B44">
        <v>1412</v>
      </c>
      <c r="C44" t="s">
        <v>1</v>
      </c>
      <c r="D44">
        <v>1157</v>
      </c>
      <c r="E44" t="s">
        <v>74</v>
      </c>
      <c r="F44">
        <v>292.45567551660599</v>
      </c>
      <c r="G44" t="s">
        <v>2</v>
      </c>
      <c r="H44">
        <v>0.20712158322705801</v>
      </c>
      <c r="I44" t="s">
        <v>3</v>
      </c>
      <c r="J44">
        <v>-4.9271631811246301</v>
      </c>
      <c r="K44" t="s">
        <v>4</v>
      </c>
      <c r="L44">
        <v>3.0688057954693502</v>
      </c>
      <c r="M44" t="s">
        <v>5</v>
      </c>
      <c r="N44" t="s">
        <v>266</v>
      </c>
      <c r="O44" t="s">
        <v>200</v>
      </c>
      <c r="P44">
        <v>0</v>
      </c>
      <c r="Q44" t="s">
        <v>8</v>
      </c>
      <c r="R44" t="s">
        <v>9</v>
      </c>
      <c r="S44" t="s">
        <v>267</v>
      </c>
      <c r="T44" t="s">
        <v>197</v>
      </c>
      <c r="U44">
        <v>0</v>
      </c>
      <c r="V44" t="s">
        <v>12</v>
      </c>
      <c r="W44" s="7">
        <f t="shared" si="4"/>
        <v>0.81940509915014159</v>
      </c>
      <c r="X44">
        <f t="shared" si="5"/>
        <v>6.7492567803685455E-2</v>
      </c>
    </row>
    <row r="45" spans="1:24" x14ac:dyDescent="0.3">
      <c r="A45" t="s">
        <v>0</v>
      </c>
      <c r="B45">
        <v>988</v>
      </c>
      <c r="C45" t="s">
        <v>1</v>
      </c>
      <c r="D45">
        <v>833</v>
      </c>
      <c r="E45" t="s">
        <v>74</v>
      </c>
      <c r="F45">
        <v>316.219051342613</v>
      </c>
      <c r="G45" t="s">
        <v>2</v>
      </c>
      <c r="H45">
        <v>0.32005976856539797</v>
      </c>
      <c r="I45" t="s">
        <v>3</v>
      </c>
      <c r="J45">
        <v>-6.9751331478868401</v>
      </c>
      <c r="K45" t="s">
        <v>4</v>
      </c>
      <c r="L45">
        <v>3.0522682105830699</v>
      </c>
      <c r="M45" t="s">
        <v>5</v>
      </c>
      <c r="N45" t="s">
        <v>266</v>
      </c>
      <c r="O45" t="s">
        <v>200</v>
      </c>
      <c r="P45">
        <v>0</v>
      </c>
      <c r="Q45" t="s">
        <v>8</v>
      </c>
      <c r="R45" t="s">
        <v>9</v>
      </c>
      <c r="S45" t="s">
        <v>267</v>
      </c>
      <c r="T45" t="s">
        <v>197</v>
      </c>
      <c r="U45">
        <v>0</v>
      </c>
      <c r="V45" t="s">
        <v>12</v>
      </c>
      <c r="W45" s="7">
        <f t="shared" si="4"/>
        <v>0.84311740890688258</v>
      </c>
      <c r="X45">
        <f t="shared" si="5"/>
        <v>0.104859647476477</v>
      </c>
    </row>
    <row r="46" spans="1:24" x14ac:dyDescent="0.3">
      <c r="A46" t="s">
        <v>0</v>
      </c>
      <c r="B46">
        <v>834</v>
      </c>
      <c r="C46" t="s">
        <v>1</v>
      </c>
      <c r="D46">
        <v>708</v>
      </c>
      <c r="E46" t="s">
        <v>74</v>
      </c>
      <c r="F46">
        <v>271.58261655228301</v>
      </c>
      <c r="G46" t="s">
        <v>2</v>
      </c>
      <c r="H46">
        <v>0.32563862895957202</v>
      </c>
      <c r="I46" t="s">
        <v>3</v>
      </c>
      <c r="J46">
        <v>-6.40284783233919</v>
      </c>
      <c r="K46" t="s">
        <v>4</v>
      </c>
      <c r="L46">
        <v>2.4915204036610099</v>
      </c>
      <c r="M46" t="s">
        <v>5</v>
      </c>
      <c r="N46" t="s">
        <v>266</v>
      </c>
      <c r="O46" t="s">
        <v>200</v>
      </c>
      <c r="P46">
        <v>0</v>
      </c>
      <c r="Q46" t="s">
        <v>8</v>
      </c>
      <c r="R46" t="s">
        <v>9</v>
      </c>
      <c r="S46" t="s">
        <v>268</v>
      </c>
      <c r="T46" t="s">
        <v>153</v>
      </c>
      <c r="U46">
        <v>0</v>
      </c>
      <c r="V46" t="s">
        <v>12</v>
      </c>
      <c r="W46" s="7">
        <f t="shared" si="4"/>
        <v>0.84892086330935257</v>
      </c>
      <c r="X46">
        <f t="shared" si="5"/>
        <v>0.13069876067684719</v>
      </c>
    </row>
    <row r="47" spans="1:24" x14ac:dyDescent="0.3">
      <c r="A47" t="s">
        <v>0</v>
      </c>
      <c r="B47">
        <v>660</v>
      </c>
      <c r="C47" t="s">
        <v>1</v>
      </c>
      <c r="D47">
        <v>559</v>
      </c>
      <c r="E47" t="s">
        <v>74</v>
      </c>
      <c r="F47">
        <v>206.88905932888599</v>
      </c>
      <c r="G47" t="s">
        <v>2</v>
      </c>
      <c r="H47">
        <v>0.31346827171043401</v>
      </c>
      <c r="I47" t="s">
        <v>3</v>
      </c>
      <c r="J47">
        <v>-6.3435472961696098</v>
      </c>
      <c r="K47" t="s">
        <v>4</v>
      </c>
      <c r="L47">
        <v>2.00112685688676</v>
      </c>
      <c r="M47" t="s">
        <v>5</v>
      </c>
      <c r="N47" t="s">
        <v>266</v>
      </c>
      <c r="O47" t="s">
        <v>200</v>
      </c>
      <c r="P47">
        <v>0</v>
      </c>
      <c r="Q47" t="s">
        <v>8</v>
      </c>
      <c r="R47" t="s">
        <v>9</v>
      </c>
      <c r="S47" t="s">
        <v>269</v>
      </c>
      <c r="T47" t="s">
        <v>197</v>
      </c>
      <c r="U47">
        <v>0</v>
      </c>
      <c r="V47" t="s">
        <v>12</v>
      </c>
      <c r="W47" s="7">
        <f t="shared" si="4"/>
        <v>0.84696969696969693</v>
      </c>
      <c r="X47">
        <f t="shared" si="5"/>
        <v>0.1566458771125136</v>
      </c>
    </row>
    <row r="50" spans="1:24" x14ac:dyDescent="0.3">
      <c r="A50" s="23">
        <v>0.1</v>
      </c>
    </row>
    <row r="51" spans="1:24" x14ac:dyDescent="0.3">
      <c r="A51" t="s">
        <v>0</v>
      </c>
      <c r="B51">
        <v>3092</v>
      </c>
      <c r="C51" t="s">
        <v>1</v>
      </c>
      <c r="D51">
        <v>2553</v>
      </c>
      <c r="E51" t="s">
        <v>74</v>
      </c>
      <c r="F51">
        <v>673.491392246038</v>
      </c>
      <c r="G51" t="s">
        <v>2</v>
      </c>
      <c r="H51">
        <v>0.21781739723351801</v>
      </c>
      <c r="I51" t="s">
        <v>3</v>
      </c>
      <c r="J51">
        <v>-3.1903010942579701</v>
      </c>
      <c r="K51" t="s">
        <v>4</v>
      </c>
      <c r="L51">
        <v>5.0026542428703999</v>
      </c>
      <c r="M51" t="s">
        <v>5</v>
      </c>
      <c r="N51" t="s">
        <v>270</v>
      </c>
      <c r="O51" t="s">
        <v>138</v>
      </c>
      <c r="P51">
        <v>0</v>
      </c>
      <c r="Q51" t="s">
        <v>8</v>
      </c>
      <c r="R51" t="s">
        <v>9</v>
      </c>
      <c r="S51" t="s">
        <v>271</v>
      </c>
      <c r="T51" t="s">
        <v>197</v>
      </c>
      <c r="U51">
        <v>0</v>
      </c>
      <c r="V51" t="s">
        <v>12</v>
      </c>
      <c r="W51" s="7">
        <f t="shared" ref="W51:W55" si="6">D51/B51</f>
        <v>0.8256791720569211</v>
      </c>
      <c r="X51">
        <f t="shared" ref="X51:X55" si="7">H51/L51</f>
        <v>4.3540366105441604E-2</v>
      </c>
    </row>
    <row r="52" spans="1:24" x14ac:dyDescent="0.3">
      <c r="A52" t="s">
        <v>0</v>
      </c>
      <c r="B52">
        <v>1230</v>
      </c>
      <c r="C52" t="s">
        <v>1</v>
      </c>
      <c r="D52">
        <v>1018</v>
      </c>
      <c r="E52" t="s">
        <v>74</v>
      </c>
      <c r="F52">
        <v>262.60401222539201</v>
      </c>
      <c r="G52" t="s">
        <v>2</v>
      </c>
      <c r="H52">
        <v>0.213499196931213</v>
      </c>
      <c r="I52" t="s">
        <v>3</v>
      </c>
      <c r="J52">
        <v>-3.14057028725066</v>
      </c>
      <c r="K52" t="s">
        <v>4</v>
      </c>
      <c r="L52">
        <v>1.9675251750731999</v>
      </c>
      <c r="M52" t="s">
        <v>5</v>
      </c>
      <c r="N52" t="s">
        <v>47</v>
      </c>
      <c r="O52" t="s">
        <v>138</v>
      </c>
      <c r="P52">
        <v>0</v>
      </c>
      <c r="Q52" t="s">
        <v>8</v>
      </c>
      <c r="R52" t="s">
        <v>9</v>
      </c>
      <c r="S52" t="s">
        <v>272</v>
      </c>
      <c r="T52" t="s">
        <v>197</v>
      </c>
      <c r="U52">
        <v>0</v>
      </c>
      <c r="V52" t="s">
        <v>12</v>
      </c>
      <c r="W52" s="7">
        <f t="shared" si="6"/>
        <v>0.82764227642276422</v>
      </c>
      <c r="X52">
        <f t="shared" si="7"/>
        <v>0.10851154518176366</v>
      </c>
    </row>
    <row r="53" spans="1:24" x14ac:dyDescent="0.3">
      <c r="A53" t="s">
        <v>0</v>
      </c>
      <c r="B53">
        <v>843</v>
      </c>
      <c r="C53" t="s">
        <v>1</v>
      </c>
      <c r="D53">
        <v>719</v>
      </c>
      <c r="E53" t="s">
        <v>74</v>
      </c>
      <c r="F53">
        <v>277.75170554046002</v>
      </c>
      <c r="G53" t="s">
        <v>2</v>
      </c>
      <c r="H53">
        <v>0.32948007774669102</v>
      </c>
      <c r="I53" t="s">
        <v>3</v>
      </c>
      <c r="J53">
        <v>-4.6030354266095399</v>
      </c>
      <c r="K53" t="s">
        <v>4</v>
      </c>
      <c r="L53">
        <v>1.9608709780798499</v>
      </c>
      <c r="M53" t="s">
        <v>5</v>
      </c>
      <c r="N53" t="s">
        <v>47</v>
      </c>
      <c r="O53" t="s">
        <v>138</v>
      </c>
      <c r="P53">
        <v>0</v>
      </c>
      <c r="Q53" t="s">
        <v>8</v>
      </c>
      <c r="R53" t="s">
        <v>9</v>
      </c>
      <c r="S53" t="s">
        <v>272</v>
      </c>
      <c r="T53" t="s">
        <v>197</v>
      </c>
      <c r="U53">
        <v>0</v>
      </c>
      <c r="V53" t="s">
        <v>12</v>
      </c>
      <c r="W53" s="7">
        <f t="shared" si="6"/>
        <v>0.85290628706998817</v>
      </c>
      <c r="X53">
        <f t="shared" si="7"/>
        <v>0.16802741303730695</v>
      </c>
    </row>
    <row r="54" spans="1:24" x14ac:dyDescent="0.3">
      <c r="A54" t="s">
        <v>0</v>
      </c>
      <c r="B54">
        <v>697</v>
      </c>
      <c r="C54" t="s">
        <v>1</v>
      </c>
      <c r="D54">
        <v>597</v>
      </c>
      <c r="E54" t="s">
        <v>74</v>
      </c>
      <c r="F54">
        <v>221.69651283296801</v>
      </c>
      <c r="G54" t="s">
        <v>2</v>
      </c>
      <c r="H54">
        <v>0.31807247178331199</v>
      </c>
      <c r="I54" t="s">
        <v>3</v>
      </c>
      <c r="J54">
        <v>-4.1045157756272399</v>
      </c>
      <c r="K54" t="s">
        <v>4</v>
      </c>
      <c r="L54">
        <v>1.55045751028996</v>
      </c>
      <c r="M54" t="s">
        <v>5</v>
      </c>
      <c r="N54" t="s">
        <v>273</v>
      </c>
      <c r="O54" t="s">
        <v>197</v>
      </c>
      <c r="P54">
        <v>0</v>
      </c>
      <c r="Q54" t="s">
        <v>8</v>
      </c>
      <c r="R54" t="s">
        <v>9</v>
      </c>
      <c r="S54" t="s">
        <v>274</v>
      </c>
      <c r="T54" t="s">
        <v>153</v>
      </c>
      <c r="U54">
        <v>0</v>
      </c>
      <c r="V54" t="s">
        <v>12</v>
      </c>
      <c r="W54" s="7">
        <f t="shared" si="6"/>
        <v>0.85652797704447636</v>
      </c>
      <c r="X54">
        <f t="shared" si="7"/>
        <v>0.20514749335106089</v>
      </c>
    </row>
    <row r="55" spans="1:24" x14ac:dyDescent="0.3">
      <c r="A55" t="s">
        <v>0</v>
      </c>
      <c r="B55">
        <v>555</v>
      </c>
      <c r="C55" t="s">
        <v>1</v>
      </c>
      <c r="D55">
        <v>470</v>
      </c>
      <c r="E55" t="s">
        <v>74</v>
      </c>
      <c r="F55">
        <v>159.18003990034299</v>
      </c>
      <c r="G55" t="s">
        <v>2</v>
      </c>
      <c r="H55">
        <v>0.286810882703321</v>
      </c>
      <c r="I55" t="s">
        <v>3</v>
      </c>
      <c r="J55">
        <v>-3.9723922870792499</v>
      </c>
      <c r="K55" t="s">
        <v>4</v>
      </c>
      <c r="L55">
        <v>1.2840297431057399</v>
      </c>
      <c r="M55" t="s">
        <v>5</v>
      </c>
      <c r="N55" t="s">
        <v>273</v>
      </c>
      <c r="O55" t="s">
        <v>197</v>
      </c>
      <c r="P55">
        <v>0</v>
      </c>
      <c r="Q55" t="s">
        <v>8</v>
      </c>
      <c r="R55" t="s">
        <v>9</v>
      </c>
      <c r="S55" t="s">
        <v>275</v>
      </c>
      <c r="T55" t="s">
        <v>197</v>
      </c>
      <c r="U55">
        <v>0</v>
      </c>
      <c r="V55" t="s">
        <v>12</v>
      </c>
      <c r="W55" s="7">
        <f t="shared" si="6"/>
        <v>0.84684684684684686</v>
      </c>
      <c r="X55">
        <f t="shared" si="7"/>
        <v>0.22336778742336511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4C456-9138-4ADF-9842-6D7A2FDF7CF2}">
  <dimension ref="A1:W36"/>
  <sheetViews>
    <sheetView zoomScale="85" zoomScaleNormal="85" workbookViewId="0">
      <selection activeCell="K18" sqref="K18"/>
    </sheetView>
  </sheetViews>
  <sheetFormatPr defaultRowHeight="16.5" x14ac:dyDescent="0.3"/>
  <sheetData>
    <row r="1" spans="1:23" x14ac:dyDescent="0.3">
      <c r="A1" s="28" t="s">
        <v>276</v>
      </c>
    </row>
    <row r="2" spans="1:23" x14ac:dyDescent="0.3">
      <c r="A2" t="s">
        <v>0</v>
      </c>
      <c r="B2">
        <v>1513</v>
      </c>
      <c r="C2" t="s">
        <v>1</v>
      </c>
      <c r="D2">
        <v>1270</v>
      </c>
      <c r="E2" t="s">
        <v>74</v>
      </c>
      <c r="F2">
        <v>175.460783985994</v>
      </c>
      <c r="G2" t="s">
        <v>2</v>
      </c>
      <c r="H2">
        <v>0.11596879311698199</v>
      </c>
      <c r="I2" t="s">
        <v>3</v>
      </c>
      <c r="J2">
        <v>-3.5211352646569498</v>
      </c>
      <c r="K2" t="s">
        <v>4</v>
      </c>
      <c r="L2">
        <v>1.6849560063318001</v>
      </c>
      <c r="M2" t="s">
        <v>5</v>
      </c>
      <c r="N2" t="s">
        <v>28</v>
      </c>
      <c r="O2" t="s">
        <v>29</v>
      </c>
      <c r="P2">
        <v>0</v>
      </c>
      <c r="Q2" t="s">
        <v>8</v>
      </c>
      <c r="R2" t="s">
        <v>9</v>
      </c>
      <c r="S2" t="s">
        <v>161</v>
      </c>
      <c r="T2" t="s">
        <v>29</v>
      </c>
      <c r="U2">
        <v>0</v>
      </c>
      <c r="V2" t="s">
        <v>12</v>
      </c>
      <c r="W2" s="10">
        <f>D2/B2</f>
        <v>0.83939193654990085</v>
      </c>
    </row>
    <row r="3" spans="1:23" x14ac:dyDescent="0.3">
      <c r="A3" t="s">
        <v>0</v>
      </c>
      <c r="B3">
        <v>1054</v>
      </c>
      <c r="C3" t="s">
        <v>1</v>
      </c>
      <c r="D3">
        <v>903</v>
      </c>
      <c r="E3" t="s">
        <v>74</v>
      </c>
      <c r="F3">
        <v>227.866797899419</v>
      </c>
      <c r="G3" t="s">
        <v>2</v>
      </c>
      <c r="H3">
        <v>0.21619240787421201</v>
      </c>
      <c r="I3" t="s">
        <v>3</v>
      </c>
      <c r="J3">
        <v>-3.66554615897472</v>
      </c>
      <c r="K3" t="s">
        <v>4</v>
      </c>
      <c r="L3">
        <v>1.3361566741826101</v>
      </c>
      <c r="M3" t="s">
        <v>5</v>
      </c>
      <c r="N3" t="s">
        <v>30</v>
      </c>
      <c r="O3" t="s">
        <v>31</v>
      </c>
      <c r="R3" t="s">
        <v>9</v>
      </c>
      <c r="S3" t="s">
        <v>162</v>
      </c>
      <c r="W3" s="10">
        <f t="shared" ref="W3:W9" si="0">D3/B3</f>
        <v>0.85673624288425043</v>
      </c>
    </row>
    <row r="4" spans="1:23" x14ac:dyDescent="0.3">
      <c r="A4" t="s">
        <v>0</v>
      </c>
      <c r="B4">
        <v>897</v>
      </c>
      <c r="C4" t="s">
        <v>1</v>
      </c>
      <c r="D4">
        <v>775</v>
      </c>
      <c r="E4" t="s">
        <v>74</v>
      </c>
      <c r="F4">
        <v>197.496367520597</v>
      </c>
      <c r="G4" t="s">
        <v>2</v>
      </c>
      <c r="H4">
        <v>0.220174322765438</v>
      </c>
      <c r="I4" t="s">
        <v>3</v>
      </c>
      <c r="J4">
        <v>-3.71368794311446</v>
      </c>
      <c r="K4" t="s">
        <v>4</v>
      </c>
      <c r="L4">
        <v>1.20015568073615</v>
      </c>
      <c r="M4" t="s">
        <v>5</v>
      </c>
      <c r="N4" t="s">
        <v>30</v>
      </c>
      <c r="O4" t="s">
        <v>31</v>
      </c>
      <c r="R4" t="s">
        <v>9</v>
      </c>
      <c r="S4" t="s">
        <v>162</v>
      </c>
      <c r="T4" t="s">
        <v>163</v>
      </c>
      <c r="U4">
        <v>0</v>
      </c>
      <c r="V4" t="s">
        <v>12</v>
      </c>
      <c r="W4" s="10">
        <f t="shared" si="0"/>
        <v>0.86399108138238578</v>
      </c>
    </row>
    <row r="5" spans="1:23" x14ac:dyDescent="0.3">
      <c r="A5" t="s">
        <v>0</v>
      </c>
      <c r="B5">
        <v>774</v>
      </c>
      <c r="C5" t="s">
        <v>1</v>
      </c>
      <c r="D5">
        <v>669</v>
      </c>
      <c r="E5" t="s">
        <v>74</v>
      </c>
      <c r="F5">
        <v>171.83126540866701</v>
      </c>
      <c r="G5" t="s">
        <v>2</v>
      </c>
      <c r="H5">
        <v>0.22200421887424601</v>
      </c>
      <c r="I5" t="s">
        <v>3</v>
      </c>
      <c r="J5">
        <v>-3.6951753447032201</v>
      </c>
      <c r="K5" t="s">
        <v>4</v>
      </c>
      <c r="L5">
        <v>1.0735109450884199</v>
      </c>
      <c r="M5" t="s">
        <v>5</v>
      </c>
      <c r="N5" t="s">
        <v>30</v>
      </c>
      <c r="O5" t="s">
        <v>31</v>
      </c>
      <c r="R5" t="s">
        <v>9</v>
      </c>
      <c r="S5" t="s">
        <v>164</v>
      </c>
      <c r="T5" t="s">
        <v>163</v>
      </c>
      <c r="U5">
        <v>0</v>
      </c>
      <c r="V5" t="s">
        <v>12</v>
      </c>
      <c r="W5" s="10">
        <f t="shared" si="0"/>
        <v>0.86434108527131781</v>
      </c>
    </row>
    <row r="6" spans="1:23" x14ac:dyDescent="0.3">
      <c r="A6" t="s">
        <v>0</v>
      </c>
      <c r="B6">
        <v>3810</v>
      </c>
      <c r="C6" t="s">
        <v>1</v>
      </c>
      <c r="D6">
        <v>3159</v>
      </c>
      <c r="E6" t="s">
        <v>74</v>
      </c>
      <c r="F6">
        <v>311.13746331700298</v>
      </c>
      <c r="G6" t="s">
        <v>2</v>
      </c>
      <c r="H6">
        <v>8.1663376198688603E-2</v>
      </c>
      <c r="I6" t="s">
        <v>3</v>
      </c>
      <c r="J6">
        <v>-3.5015840235423399</v>
      </c>
      <c r="K6" t="s">
        <v>4</v>
      </c>
      <c r="L6">
        <v>4.2005810872523401</v>
      </c>
      <c r="M6" t="s">
        <v>5</v>
      </c>
      <c r="N6" t="s">
        <v>28</v>
      </c>
      <c r="O6" t="s">
        <v>29</v>
      </c>
      <c r="P6">
        <v>0</v>
      </c>
      <c r="Q6" t="s">
        <v>8</v>
      </c>
      <c r="R6" t="s">
        <v>9</v>
      </c>
      <c r="S6" t="s">
        <v>165</v>
      </c>
      <c r="T6" t="s">
        <v>29</v>
      </c>
      <c r="U6">
        <v>0</v>
      </c>
      <c r="V6" t="s">
        <v>12</v>
      </c>
      <c r="W6" s="10">
        <f t="shared" si="0"/>
        <v>0.82913385826771657</v>
      </c>
    </row>
    <row r="7" spans="1:23" x14ac:dyDescent="0.3">
      <c r="A7" t="s">
        <v>0</v>
      </c>
      <c r="B7">
        <v>2647</v>
      </c>
      <c r="C7" t="s">
        <v>1</v>
      </c>
      <c r="D7">
        <v>2245</v>
      </c>
      <c r="E7" t="s">
        <v>74</v>
      </c>
      <c r="F7">
        <v>473.63635020650901</v>
      </c>
      <c r="G7" t="s">
        <v>2</v>
      </c>
      <c r="H7">
        <v>0.178933264150551</v>
      </c>
      <c r="I7" t="s">
        <v>3</v>
      </c>
      <c r="J7">
        <v>-3.7018940078734102</v>
      </c>
      <c r="K7" t="s">
        <v>4</v>
      </c>
      <c r="L7">
        <v>3.3079369820455198</v>
      </c>
      <c r="M7" t="s">
        <v>5</v>
      </c>
      <c r="N7" t="s">
        <v>33</v>
      </c>
      <c r="O7" t="s">
        <v>34</v>
      </c>
      <c r="P7">
        <v>0</v>
      </c>
      <c r="Q7" t="s">
        <v>8</v>
      </c>
      <c r="R7" t="s">
        <v>9</v>
      </c>
      <c r="S7" t="s">
        <v>166</v>
      </c>
      <c r="T7" t="s">
        <v>54</v>
      </c>
      <c r="U7">
        <v>0</v>
      </c>
      <c r="V7" t="s">
        <v>12</v>
      </c>
      <c r="W7" s="10">
        <f t="shared" si="0"/>
        <v>0.84812995844352101</v>
      </c>
    </row>
    <row r="8" spans="1:23" x14ac:dyDescent="0.3">
      <c r="A8" t="s">
        <v>0</v>
      </c>
      <c r="B8">
        <v>2278</v>
      </c>
      <c r="C8" t="s">
        <v>1</v>
      </c>
      <c r="D8">
        <v>1945</v>
      </c>
      <c r="E8" t="s">
        <v>74</v>
      </c>
      <c r="F8">
        <v>418.95594789913702</v>
      </c>
      <c r="G8" t="s">
        <v>2</v>
      </c>
      <c r="H8">
        <v>0.18391393674237799</v>
      </c>
      <c r="I8" t="s">
        <v>3</v>
      </c>
      <c r="J8">
        <v>-3.7032428587446802</v>
      </c>
      <c r="K8" t="s">
        <v>4</v>
      </c>
      <c r="L8">
        <v>2.9930286269508501</v>
      </c>
      <c r="M8" t="s">
        <v>5</v>
      </c>
      <c r="N8" t="s">
        <v>35</v>
      </c>
      <c r="O8" t="s">
        <v>36</v>
      </c>
      <c r="R8" t="s">
        <v>9</v>
      </c>
      <c r="S8" t="s">
        <v>167</v>
      </c>
      <c r="T8" t="s">
        <v>54</v>
      </c>
      <c r="U8">
        <v>0</v>
      </c>
      <c r="V8" t="s">
        <v>12</v>
      </c>
      <c r="W8" s="10">
        <f t="shared" si="0"/>
        <v>0.85381913959613698</v>
      </c>
    </row>
    <row r="9" spans="1:23" x14ac:dyDescent="0.3">
      <c r="A9" t="s">
        <v>0</v>
      </c>
      <c r="B9">
        <v>1970</v>
      </c>
      <c r="C9" t="s">
        <v>1</v>
      </c>
      <c r="D9">
        <v>1669</v>
      </c>
      <c r="E9" t="s">
        <v>74</v>
      </c>
      <c r="F9">
        <v>312.882134889101</v>
      </c>
      <c r="G9" t="s">
        <v>2</v>
      </c>
      <c r="H9">
        <v>0.15882341872543199</v>
      </c>
      <c r="I9" t="s">
        <v>3</v>
      </c>
      <c r="J9">
        <v>-3.68524420521728</v>
      </c>
      <c r="K9" t="s">
        <v>4</v>
      </c>
      <c r="L9">
        <v>2.7405081029634299</v>
      </c>
      <c r="M9" t="s">
        <v>5</v>
      </c>
      <c r="N9" t="s">
        <v>35</v>
      </c>
      <c r="O9" t="s">
        <v>36</v>
      </c>
      <c r="R9" t="s">
        <v>9</v>
      </c>
      <c r="S9" t="s">
        <v>168</v>
      </c>
      <c r="T9" t="s">
        <v>163</v>
      </c>
      <c r="U9">
        <v>0</v>
      </c>
      <c r="W9" s="10">
        <f t="shared" si="0"/>
        <v>0.84720812182741112</v>
      </c>
    </row>
    <row r="10" spans="1:23" x14ac:dyDescent="0.3">
      <c r="A10" s="28" t="s">
        <v>277</v>
      </c>
    </row>
    <row r="11" spans="1:23" x14ac:dyDescent="0.3">
      <c r="A11" t="s">
        <v>0</v>
      </c>
      <c r="B11">
        <v>1513</v>
      </c>
      <c r="C11" t="s">
        <v>1</v>
      </c>
      <c r="D11">
        <v>1266</v>
      </c>
      <c r="E11" t="s">
        <v>74</v>
      </c>
      <c r="F11">
        <v>160.88907804988699</v>
      </c>
      <c r="G11" t="s">
        <v>2</v>
      </c>
      <c r="H11">
        <v>0.106337791176395</v>
      </c>
      <c r="I11" t="s">
        <v>3</v>
      </c>
      <c r="J11">
        <v>-3.5742923578255601</v>
      </c>
      <c r="K11" t="s">
        <v>4</v>
      </c>
      <c r="L11">
        <v>1.7138154078085199</v>
      </c>
      <c r="M11" t="s">
        <v>5</v>
      </c>
      <c r="N11" t="s">
        <v>38</v>
      </c>
      <c r="O11" t="s">
        <v>29</v>
      </c>
      <c r="P11">
        <v>0</v>
      </c>
      <c r="Q11" t="s">
        <v>8</v>
      </c>
      <c r="R11" t="s">
        <v>9</v>
      </c>
      <c r="S11" t="s">
        <v>169</v>
      </c>
      <c r="T11" t="s">
        <v>29</v>
      </c>
      <c r="U11">
        <v>0</v>
      </c>
      <c r="V11" t="s">
        <v>12</v>
      </c>
      <c r="W11" s="10">
        <f>D11/B11</f>
        <v>0.83674818241903504</v>
      </c>
    </row>
    <row r="12" spans="1:23" x14ac:dyDescent="0.3">
      <c r="A12" t="s">
        <v>0</v>
      </c>
      <c r="B12">
        <v>1054</v>
      </c>
      <c r="C12" t="s">
        <v>1</v>
      </c>
      <c r="D12">
        <v>896</v>
      </c>
      <c r="E12" t="s">
        <v>74</v>
      </c>
      <c r="F12">
        <v>212.569353410079</v>
      </c>
      <c r="G12" t="s">
        <v>2</v>
      </c>
      <c r="H12">
        <v>0.20167870342512201</v>
      </c>
      <c r="I12" t="s">
        <v>3</v>
      </c>
      <c r="J12">
        <v>-3.6329504509522601</v>
      </c>
      <c r="K12" t="s">
        <v>4</v>
      </c>
      <c r="L12">
        <v>1.33390903863683</v>
      </c>
      <c r="M12" t="s">
        <v>5</v>
      </c>
      <c r="N12" t="s">
        <v>39</v>
      </c>
      <c r="O12" t="s">
        <v>31</v>
      </c>
      <c r="R12" t="s">
        <v>9</v>
      </c>
      <c r="S12" t="s">
        <v>170</v>
      </c>
      <c r="T12" t="s">
        <v>163</v>
      </c>
      <c r="U12">
        <v>0</v>
      </c>
      <c r="W12" s="10">
        <f t="shared" ref="W12:W18" si="1">D12/B12</f>
        <v>0.85009487666034156</v>
      </c>
    </row>
    <row r="13" spans="1:23" x14ac:dyDescent="0.3">
      <c r="A13" t="s">
        <v>0</v>
      </c>
      <c r="B13">
        <v>897</v>
      </c>
      <c r="C13" t="s">
        <v>1</v>
      </c>
      <c r="D13">
        <v>765</v>
      </c>
      <c r="E13" t="s">
        <v>74</v>
      </c>
      <c r="F13">
        <v>170.33540861694701</v>
      </c>
      <c r="G13" t="s">
        <v>2</v>
      </c>
      <c r="H13">
        <v>0.189894546953118</v>
      </c>
      <c r="I13" t="s">
        <v>3</v>
      </c>
      <c r="J13">
        <v>-3.6224872881082399</v>
      </c>
      <c r="K13" t="s">
        <v>4</v>
      </c>
      <c r="L13">
        <v>1.19408113528223</v>
      </c>
      <c r="M13" t="s">
        <v>5</v>
      </c>
      <c r="N13" t="s">
        <v>39</v>
      </c>
      <c r="O13" t="s">
        <v>31</v>
      </c>
      <c r="R13" t="s">
        <v>9</v>
      </c>
      <c r="S13" t="s">
        <v>170</v>
      </c>
      <c r="T13" t="s">
        <v>163</v>
      </c>
      <c r="U13">
        <v>0</v>
      </c>
      <c r="V13" t="s">
        <v>12</v>
      </c>
      <c r="W13" s="10">
        <f t="shared" si="1"/>
        <v>0.85284280936454848</v>
      </c>
    </row>
    <row r="14" spans="1:23" x14ac:dyDescent="0.3">
      <c r="A14" t="s">
        <v>0</v>
      </c>
      <c r="B14">
        <v>774</v>
      </c>
      <c r="C14" t="s">
        <v>1</v>
      </c>
      <c r="D14">
        <v>661</v>
      </c>
      <c r="E14" t="s">
        <v>74</v>
      </c>
      <c r="F14">
        <v>155.64934968031699</v>
      </c>
      <c r="G14" t="s">
        <v>2</v>
      </c>
      <c r="H14">
        <v>0.20109735100816101</v>
      </c>
      <c r="I14" t="s">
        <v>3</v>
      </c>
      <c r="J14">
        <v>-3.5451815865255401</v>
      </c>
      <c r="K14" t="s">
        <v>4</v>
      </c>
      <c r="L14">
        <v>1.06494949620962</v>
      </c>
      <c r="M14" t="s">
        <v>5</v>
      </c>
      <c r="N14" t="s">
        <v>39</v>
      </c>
      <c r="O14" t="s">
        <v>31</v>
      </c>
      <c r="R14" t="s">
        <v>9</v>
      </c>
      <c r="S14" t="s">
        <v>171</v>
      </c>
      <c r="T14" t="s">
        <v>172</v>
      </c>
      <c r="U14">
        <v>0</v>
      </c>
      <c r="V14" t="s">
        <v>12</v>
      </c>
      <c r="W14" s="10">
        <f t="shared" si="1"/>
        <v>0.85400516795865633</v>
      </c>
    </row>
    <row r="15" spans="1:23" x14ac:dyDescent="0.3">
      <c r="A15" t="s">
        <v>0</v>
      </c>
      <c r="B15">
        <v>3810</v>
      </c>
      <c r="C15" t="s">
        <v>1</v>
      </c>
      <c r="D15">
        <v>3167</v>
      </c>
      <c r="E15" t="s">
        <v>74</v>
      </c>
      <c r="F15">
        <v>314.51418052015401</v>
      </c>
      <c r="G15" t="s">
        <v>2</v>
      </c>
      <c r="H15">
        <v>8.2549653679830595E-2</v>
      </c>
      <c r="I15" t="s">
        <v>3</v>
      </c>
      <c r="J15">
        <v>-3.57603283347422</v>
      </c>
      <c r="K15" t="s">
        <v>4</v>
      </c>
      <c r="L15">
        <v>4.26167451744716</v>
      </c>
      <c r="M15" t="s">
        <v>5</v>
      </c>
      <c r="N15" t="s">
        <v>40</v>
      </c>
      <c r="O15" t="s">
        <v>29</v>
      </c>
      <c r="P15">
        <v>0</v>
      </c>
      <c r="Q15" t="s">
        <v>8</v>
      </c>
      <c r="R15" t="s">
        <v>9</v>
      </c>
      <c r="S15" t="s">
        <v>173</v>
      </c>
      <c r="T15" t="s">
        <v>29</v>
      </c>
      <c r="U15">
        <v>0</v>
      </c>
      <c r="V15" t="s">
        <v>12</v>
      </c>
      <c r="W15" s="10">
        <f t="shared" si="1"/>
        <v>0.83123359580052492</v>
      </c>
    </row>
    <row r="16" spans="1:23" x14ac:dyDescent="0.3">
      <c r="A16" t="s">
        <v>0</v>
      </c>
      <c r="B16">
        <v>2647</v>
      </c>
      <c r="C16" t="s">
        <v>1</v>
      </c>
      <c r="D16">
        <v>2228</v>
      </c>
      <c r="E16" t="s">
        <v>74</v>
      </c>
      <c r="F16">
        <v>430.885376767727</v>
      </c>
      <c r="G16" t="s">
        <v>2</v>
      </c>
      <c r="H16">
        <v>0.162782537501974</v>
      </c>
      <c r="I16" t="s">
        <v>3</v>
      </c>
      <c r="J16">
        <v>-3.6681085053823201</v>
      </c>
      <c r="K16" t="s">
        <v>4</v>
      </c>
      <c r="L16">
        <v>3.3589891915321299</v>
      </c>
      <c r="M16" t="s">
        <v>5</v>
      </c>
      <c r="N16" t="s">
        <v>39</v>
      </c>
      <c r="O16" t="s">
        <v>31</v>
      </c>
      <c r="R16" t="s">
        <v>9</v>
      </c>
      <c r="S16" t="s">
        <v>174</v>
      </c>
      <c r="T16" t="s">
        <v>54</v>
      </c>
      <c r="U16">
        <v>0</v>
      </c>
      <c r="V16" t="s">
        <v>12</v>
      </c>
      <c r="W16" s="10">
        <f t="shared" si="1"/>
        <v>0.8417075935020778</v>
      </c>
    </row>
    <row r="17" spans="1:23" x14ac:dyDescent="0.3">
      <c r="A17" t="s">
        <v>0</v>
      </c>
      <c r="B17">
        <v>2278</v>
      </c>
      <c r="C17" t="s">
        <v>1</v>
      </c>
      <c r="D17">
        <v>1921</v>
      </c>
      <c r="E17" t="s">
        <v>74</v>
      </c>
      <c r="F17">
        <v>342.32606461384398</v>
      </c>
      <c r="G17" t="s">
        <v>2</v>
      </c>
      <c r="H17">
        <v>0.150274830822583</v>
      </c>
      <c r="I17" t="s">
        <v>3</v>
      </c>
      <c r="J17">
        <v>-3.6656930093097899</v>
      </c>
      <c r="K17" t="s">
        <v>4</v>
      </c>
      <c r="L17">
        <v>3.0433080550424001</v>
      </c>
      <c r="M17" t="s">
        <v>5</v>
      </c>
      <c r="N17" t="s">
        <v>39</v>
      </c>
      <c r="O17" t="s">
        <v>31</v>
      </c>
      <c r="R17" t="s">
        <v>9</v>
      </c>
      <c r="S17" t="s">
        <v>175</v>
      </c>
      <c r="T17" t="s">
        <v>54</v>
      </c>
      <c r="U17">
        <v>0</v>
      </c>
      <c r="V17" t="s">
        <v>12</v>
      </c>
      <c r="W17" s="10">
        <f t="shared" si="1"/>
        <v>0.84328358208955223</v>
      </c>
    </row>
    <row r="18" spans="1:23" x14ac:dyDescent="0.3">
      <c r="A18" t="s">
        <v>0</v>
      </c>
      <c r="B18">
        <v>1970</v>
      </c>
      <c r="C18" t="s">
        <v>1</v>
      </c>
      <c r="D18">
        <v>1651</v>
      </c>
      <c r="E18" t="s">
        <v>74</v>
      </c>
      <c r="F18">
        <v>264.17572832159601</v>
      </c>
      <c r="G18" t="s">
        <v>2</v>
      </c>
      <c r="H18">
        <v>0.134099354477967</v>
      </c>
      <c r="I18" t="s">
        <v>3</v>
      </c>
      <c r="J18">
        <v>-3.6349190319023701</v>
      </c>
      <c r="K18" t="s">
        <v>4</v>
      </c>
      <c r="L18">
        <v>2.7776200873524202</v>
      </c>
      <c r="M18" t="s">
        <v>5</v>
      </c>
      <c r="N18" t="s">
        <v>39</v>
      </c>
      <c r="O18" t="s">
        <v>31</v>
      </c>
      <c r="R18" t="s">
        <v>9</v>
      </c>
      <c r="S18" t="s">
        <v>176</v>
      </c>
      <c r="T18" t="s">
        <v>54</v>
      </c>
      <c r="U18">
        <v>0</v>
      </c>
      <c r="V18" t="s">
        <v>12</v>
      </c>
      <c r="W18" s="10">
        <f t="shared" si="1"/>
        <v>0.83807106598984771</v>
      </c>
    </row>
    <row r="19" spans="1:23" x14ac:dyDescent="0.3">
      <c r="A19" s="28" t="s">
        <v>278</v>
      </c>
    </row>
    <row r="20" spans="1:23" x14ac:dyDescent="0.3">
      <c r="A20" t="s">
        <v>0</v>
      </c>
      <c r="B20">
        <v>1513</v>
      </c>
      <c r="C20" t="s">
        <v>1</v>
      </c>
      <c r="D20">
        <v>1262</v>
      </c>
      <c r="E20" t="s">
        <v>74</v>
      </c>
      <c r="F20">
        <v>112.42742842883</v>
      </c>
      <c r="G20" t="s">
        <v>2</v>
      </c>
      <c r="H20">
        <v>7.4307619582835993E-2</v>
      </c>
      <c r="I20" t="s">
        <v>3</v>
      </c>
      <c r="J20">
        <v>-3.99708183551241</v>
      </c>
      <c r="K20" t="s">
        <v>4</v>
      </c>
      <c r="L20">
        <v>1.8674807654544801</v>
      </c>
      <c r="M20" t="s">
        <v>5</v>
      </c>
      <c r="N20" t="s">
        <v>41</v>
      </c>
      <c r="O20" t="s">
        <v>29</v>
      </c>
      <c r="P20">
        <v>0</v>
      </c>
      <c r="Q20" t="s">
        <v>8</v>
      </c>
      <c r="R20" t="s">
        <v>9</v>
      </c>
      <c r="S20" t="s">
        <v>177</v>
      </c>
      <c r="T20" t="s">
        <v>178</v>
      </c>
      <c r="U20">
        <v>0</v>
      </c>
      <c r="V20" t="s">
        <v>12</v>
      </c>
      <c r="W20" s="10">
        <f>D20/B20</f>
        <v>0.83410442828816922</v>
      </c>
    </row>
    <row r="21" spans="1:23" x14ac:dyDescent="0.3">
      <c r="A21" t="s">
        <v>0</v>
      </c>
      <c r="B21">
        <v>1054</v>
      </c>
      <c r="C21" t="s">
        <v>1</v>
      </c>
      <c r="D21">
        <v>882</v>
      </c>
      <c r="E21" t="s">
        <v>74</v>
      </c>
      <c r="F21">
        <v>148.85469148034801</v>
      </c>
      <c r="G21" t="s">
        <v>2</v>
      </c>
      <c r="H21">
        <v>0.14122836003828099</v>
      </c>
      <c r="I21" t="s">
        <v>3</v>
      </c>
      <c r="J21">
        <v>-4.0677220911093004</v>
      </c>
      <c r="K21" t="s">
        <v>4</v>
      </c>
      <c r="L21">
        <v>1.4197148281471801</v>
      </c>
      <c r="M21" t="s">
        <v>5</v>
      </c>
      <c r="N21" t="s">
        <v>42</v>
      </c>
      <c r="O21" t="s">
        <v>7</v>
      </c>
      <c r="P21">
        <v>0</v>
      </c>
      <c r="Q21" t="s">
        <v>8</v>
      </c>
      <c r="R21" t="s">
        <v>9</v>
      </c>
      <c r="S21" t="s">
        <v>179</v>
      </c>
      <c r="T21" t="s">
        <v>54</v>
      </c>
      <c r="U21">
        <v>0</v>
      </c>
      <c r="V21" t="s">
        <v>12</v>
      </c>
      <c r="W21" s="10">
        <f t="shared" ref="W21:W27" si="2">D21/B21</f>
        <v>0.8368121442125237</v>
      </c>
    </row>
    <row r="22" spans="1:23" x14ac:dyDescent="0.3">
      <c r="A22" t="s">
        <v>0</v>
      </c>
      <c r="B22">
        <v>897</v>
      </c>
      <c r="C22" t="s">
        <v>1</v>
      </c>
      <c r="D22">
        <v>762</v>
      </c>
      <c r="E22" t="s">
        <v>74</v>
      </c>
      <c r="F22">
        <v>154.977198551627</v>
      </c>
      <c r="G22" t="s">
        <v>2</v>
      </c>
      <c r="H22">
        <v>0.17277279660159101</v>
      </c>
      <c r="I22" t="s">
        <v>3</v>
      </c>
      <c r="J22">
        <v>-4.0484431236088803</v>
      </c>
      <c r="K22" t="s">
        <v>4</v>
      </c>
      <c r="L22">
        <v>1.24606108217305</v>
      </c>
      <c r="M22" t="s">
        <v>5</v>
      </c>
      <c r="N22" t="s">
        <v>43</v>
      </c>
      <c r="O22" t="s">
        <v>44</v>
      </c>
      <c r="R22" t="s">
        <v>9</v>
      </c>
      <c r="S22" t="s">
        <v>180</v>
      </c>
      <c r="T22" t="s">
        <v>54</v>
      </c>
      <c r="U22">
        <v>0</v>
      </c>
      <c r="V22" t="s">
        <v>12</v>
      </c>
      <c r="W22" s="10">
        <f t="shared" si="2"/>
        <v>0.84949832775919731</v>
      </c>
    </row>
    <row r="23" spans="1:23" x14ac:dyDescent="0.3">
      <c r="A23" t="s">
        <v>0</v>
      </c>
      <c r="B23">
        <v>774</v>
      </c>
      <c r="C23" t="s">
        <v>1</v>
      </c>
      <c r="D23">
        <v>657</v>
      </c>
      <c r="E23" t="s">
        <v>74</v>
      </c>
      <c r="F23">
        <v>151.92063497174101</v>
      </c>
      <c r="G23" t="s">
        <v>2</v>
      </c>
      <c r="H23">
        <v>0.196279890144368</v>
      </c>
      <c r="I23" t="s">
        <v>3</v>
      </c>
      <c r="J23">
        <v>-3.9249118707976698</v>
      </c>
      <c r="K23" t="s">
        <v>4</v>
      </c>
      <c r="L23">
        <v>1.0927408458607599</v>
      </c>
      <c r="M23" t="s">
        <v>5</v>
      </c>
      <c r="N23" t="s">
        <v>43</v>
      </c>
      <c r="O23" t="s">
        <v>44</v>
      </c>
      <c r="R23" t="s">
        <v>9</v>
      </c>
      <c r="S23" t="s">
        <v>181</v>
      </c>
      <c r="T23" t="s">
        <v>182</v>
      </c>
      <c r="U23">
        <v>0</v>
      </c>
      <c r="V23" t="s">
        <v>12</v>
      </c>
      <c r="W23" s="10">
        <f t="shared" si="2"/>
        <v>0.84883720930232553</v>
      </c>
    </row>
    <row r="24" spans="1:23" x14ac:dyDescent="0.3">
      <c r="A24" t="s">
        <v>0</v>
      </c>
      <c r="B24">
        <v>3810</v>
      </c>
      <c r="C24" t="s">
        <v>1</v>
      </c>
      <c r="D24">
        <v>3160</v>
      </c>
      <c r="E24" t="s">
        <v>74</v>
      </c>
      <c r="F24">
        <v>269.45432018787398</v>
      </c>
      <c r="G24" t="s">
        <v>2</v>
      </c>
      <c r="H24">
        <v>7.0722918684481495E-2</v>
      </c>
      <c r="I24" t="s">
        <v>3</v>
      </c>
      <c r="J24">
        <v>-3.9333881171165999</v>
      </c>
      <c r="K24" t="s">
        <v>4</v>
      </c>
      <c r="L24">
        <v>4.5007153747552398</v>
      </c>
      <c r="M24" t="s">
        <v>5</v>
      </c>
      <c r="N24" t="s">
        <v>46</v>
      </c>
      <c r="O24" t="s">
        <v>7</v>
      </c>
      <c r="P24">
        <v>0</v>
      </c>
      <c r="Q24" t="s">
        <v>8</v>
      </c>
      <c r="R24" t="s">
        <v>9</v>
      </c>
      <c r="S24" t="s">
        <v>183</v>
      </c>
      <c r="T24" t="s">
        <v>178</v>
      </c>
      <c r="U24">
        <v>0</v>
      </c>
      <c r="V24" t="s">
        <v>12</v>
      </c>
      <c r="W24" s="10">
        <f t="shared" si="2"/>
        <v>0.82939632545931763</v>
      </c>
    </row>
    <row r="25" spans="1:23" x14ac:dyDescent="0.3">
      <c r="A25" t="s">
        <v>0</v>
      </c>
      <c r="B25">
        <v>2647</v>
      </c>
      <c r="C25" t="s">
        <v>1</v>
      </c>
      <c r="D25">
        <v>2205</v>
      </c>
      <c r="E25" t="s">
        <v>74</v>
      </c>
      <c r="F25">
        <v>328.09448407828899</v>
      </c>
      <c r="G25" t="s">
        <v>2</v>
      </c>
      <c r="H25">
        <v>0.12394955953089801</v>
      </c>
      <c r="I25" t="s">
        <v>3</v>
      </c>
      <c r="J25">
        <v>-4.1106731589405197</v>
      </c>
      <c r="K25" t="s">
        <v>4</v>
      </c>
      <c r="L25">
        <v>3.4799794655668199</v>
      </c>
      <c r="M25" t="s">
        <v>5</v>
      </c>
      <c r="N25" t="s">
        <v>46</v>
      </c>
      <c r="O25" t="s">
        <v>7</v>
      </c>
      <c r="P25">
        <v>0</v>
      </c>
      <c r="Q25" t="s">
        <v>8</v>
      </c>
      <c r="R25" t="s">
        <v>9</v>
      </c>
      <c r="S25" t="s">
        <v>184</v>
      </c>
      <c r="T25" t="s">
        <v>54</v>
      </c>
      <c r="U25">
        <v>0</v>
      </c>
      <c r="V25" t="s">
        <v>12</v>
      </c>
      <c r="W25" s="10">
        <f t="shared" si="2"/>
        <v>0.8330185115224783</v>
      </c>
    </row>
    <row r="26" spans="1:23" x14ac:dyDescent="0.3">
      <c r="A26" t="s">
        <v>0</v>
      </c>
      <c r="B26">
        <v>2278</v>
      </c>
      <c r="C26" t="s">
        <v>1</v>
      </c>
      <c r="D26">
        <v>1916</v>
      </c>
      <c r="E26" t="s">
        <v>74</v>
      </c>
      <c r="F26">
        <v>332.03284056417402</v>
      </c>
      <c r="G26" t="s">
        <v>2</v>
      </c>
      <c r="H26">
        <v>0.14575629524327199</v>
      </c>
      <c r="I26" t="s">
        <v>3</v>
      </c>
      <c r="J26">
        <v>-4.0332200087513499</v>
      </c>
      <c r="K26" t="s">
        <v>4</v>
      </c>
      <c r="L26">
        <v>3.08687713710159</v>
      </c>
      <c r="M26" t="s">
        <v>5</v>
      </c>
      <c r="N26" t="s">
        <v>46</v>
      </c>
      <c r="O26" t="s">
        <v>7</v>
      </c>
      <c r="P26">
        <v>0</v>
      </c>
      <c r="Q26" t="s">
        <v>8</v>
      </c>
      <c r="R26" t="s">
        <v>9</v>
      </c>
      <c r="S26" t="s">
        <v>185</v>
      </c>
      <c r="T26" t="s">
        <v>54</v>
      </c>
      <c r="U26">
        <v>0</v>
      </c>
      <c r="V26" t="s">
        <v>12</v>
      </c>
      <c r="W26" s="10">
        <f t="shared" si="2"/>
        <v>0.84108867427568046</v>
      </c>
    </row>
    <row r="27" spans="1:23" x14ac:dyDescent="0.3">
      <c r="A27" t="s">
        <v>0</v>
      </c>
      <c r="B27">
        <v>1970</v>
      </c>
      <c r="C27" t="s">
        <v>1</v>
      </c>
      <c r="D27">
        <v>1645</v>
      </c>
      <c r="E27" t="s">
        <v>74</v>
      </c>
      <c r="F27">
        <v>253.179348637076</v>
      </c>
      <c r="G27" t="s">
        <v>2</v>
      </c>
      <c r="H27">
        <v>0.128517435856384</v>
      </c>
      <c r="I27" t="s">
        <v>3</v>
      </c>
      <c r="J27">
        <v>-4.0253701259771901</v>
      </c>
      <c r="K27" t="s">
        <v>4</v>
      </c>
      <c r="L27">
        <v>2.8140619620775</v>
      </c>
      <c r="M27" t="s">
        <v>5</v>
      </c>
      <c r="N27" t="s">
        <v>46</v>
      </c>
      <c r="O27" t="s">
        <v>7</v>
      </c>
      <c r="P27">
        <v>0</v>
      </c>
      <c r="Q27" t="s">
        <v>8</v>
      </c>
      <c r="R27" t="s">
        <v>9</v>
      </c>
      <c r="S27" t="s">
        <v>186</v>
      </c>
      <c r="T27" t="s">
        <v>182</v>
      </c>
      <c r="U27">
        <v>0</v>
      </c>
      <c r="V27" t="s">
        <v>12</v>
      </c>
      <c r="W27" s="10">
        <f t="shared" si="2"/>
        <v>0.8350253807106599</v>
      </c>
    </row>
    <row r="28" spans="1:23" x14ac:dyDescent="0.3">
      <c r="A28" s="28" t="s">
        <v>279</v>
      </c>
    </row>
    <row r="29" spans="1:23" x14ac:dyDescent="0.3">
      <c r="A29" t="s">
        <v>0</v>
      </c>
      <c r="B29">
        <v>1513</v>
      </c>
      <c r="C29" t="s">
        <v>1</v>
      </c>
      <c r="D29">
        <v>1256</v>
      </c>
      <c r="E29" t="s">
        <v>74</v>
      </c>
      <c r="F29">
        <v>170.08364840747399</v>
      </c>
      <c r="G29" t="s">
        <v>2</v>
      </c>
      <c r="H29">
        <v>0.11241483701749699</v>
      </c>
      <c r="I29" t="s">
        <v>3</v>
      </c>
      <c r="J29">
        <v>-4.1248504852612804</v>
      </c>
      <c r="K29" t="s">
        <v>4</v>
      </c>
      <c r="L29">
        <v>1.9398369935642299</v>
      </c>
      <c r="M29" t="s">
        <v>5</v>
      </c>
      <c r="N29" t="s">
        <v>47</v>
      </c>
      <c r="O29" t="s">
        <v>29</v>
      </c>
      <c r="P29">
        <v>0</v>
      </c>
      <c r="Q29" t="s">
        <v>8</v>
      </c>
      <c r="R29" t="s">
        <v>9</v>
      </c>
      <c r="S29" t="s">
        <v>187</v>
      </c>
      <c r="T29" t="s">
        <v>29</v>
      </c>
      <c r="U29">
        <v>0</v>
      </c>
      <c r="V29" t="s">
        <v>12</v>
      </c>
      <c r="W29" s="10">
        <f>D29/B29</f>
        <v>0.83013879709187044</v>
      </c>
    </row>
    <row r="30" spans="1:23" x14ac:dyDescent="0.3">
      <c r="A30" t="s">
        <v>0</v>
      </c>
      <c r="B30">
        <v>1054</v>
      </c>
      <c r="C30" t="s">
        <v>1</v>
      </c>
      <c r="D30">
        <v>879</v>
      </c>
      <c r="E30" t="s">
        <v>74</v>
      </c>
      <c r="F30">
        <v>190.91991136329099</v>
      </c>
      <c r="G30" t="s">
        <v>2</v>
      </c>
      <c r="H30">
        <v>0.18113843582854899</v>
      </c>
      <c r="I30" t="s">
        <v>3</v>
      </c>
      <c r="J30">
        <v>-4.1698277737345499</v>
      </c>
      <c r="K30" t="s">
        <v>4</v>
      </c>
      <c r="L30">
        <v>1.4658748659916401</v>
      </c>
      <c r="M30" t="s">
        <v>5</v>
      </c>
      <c r="N30" t="s">
        <v>48</v>
      </c>
      <c r="O30" t="s">
        <v>7</v>
      </c>
      <c r="P30">
        <v>0</v>
      </c>
      <c r="Q30" t="s">
        <v>8</v>
      </c>
      <c r="R30" t="s">
        <v>9</v>
      </c>
      <c r="S30" t="s">
        <v>188</v>
      </c>
      <c r="T30" t="s">
        <v>163</v>
      </c>
      <c r="U30">
        <v>0</v>
      </c>
      <c r="V30" t="s">
        <v>12</v>
      </c>
      <c r="W30" s="10">
        <f t="shared" ref="W30:W36" si="3">D30/B30</f>
        <v>0.83396584440227706</v>
      </c>
    </row>
    <row r="31" spans="1:23" x14ac:dyDescent="0.3">
      <c r="A31" t="s">
        <v>0</v>
      </c>
      <c r="B31">
        <v>897</v>
      </c>
      <c r="C31" t="s">
        <v>1</v>
      </c>
      <c r="D31">
        <v>759</v>
      </c>
      <c r="E31" t="s">
        <v>74</v>
      </c>
      <c r="F31">
        <v>194.32310572471201</v>
      </c>
      <c r="G31" t="s">
        <v>2</v>
      </c>
      <c r="H31">
        <v>0.21663668419700399</v>
      </c>
      <c r="I31" t="s">
        <v>3</v>
      </c>
      <c r="J31">
        <v>-4.1262719310151397</v>
      </c>
      <c r="K31" t="s">
        <v>4</v>
      </c>
      <c r="L31">
        <v>1.30492310244814</v>
      </c>
      <c r="M31" t="s">
        <v>5</v>
      </c>
      <c r="N31" t="s">
        <v>49</v>
      </c>
      <c r="O31" t="s">
        <v>44</v>
      </c>
      <c r="R31" t="s">
        <v>9</v>
      </c>
      <c r="S31" t="s">
        <v>188</v>
      </c>
      <c r="T31" t="s">
        <v>163</v>
      </c>
      <c r="U31">
        <v>0</v>
      </c>
      <c r="V31" t="s">
        <v>12</v>
      </c>
      <c r="W31" s="10">
        <f t="shared" si="3"/>
        <v>0.84615384615384615</v>
      </c>
    </row>
    <row r="32" spans="1:23" x14ac:dyDescent="0.3">
      <c r="A32" t="s">
        <v>0</v>
      </c>
      <c r="B32">
        <v>774</v>
      </c>
      <c r="C32" t="s">
        <v>1</v>
      </c>
      <c r="D32">
        <v>655</v>
      </c>
      <c r="E32" t="s">
        <v>74</v>
      </c>
      <c r="F32">
        <v>165.49838385695</v>
      </c>
      <c r="G32" t="s">
        <v>2</v>
      </c>
      <c r="H32">
        <v>0.21382220136556901</v>
      </c>
      <c r="I32" t="s">
        <v>3</v>
      </c>
      <c r="J32">
        <v>-4.1214019995356903</v>
      </c>
      <c r="K32" t="s">
        <v>4</v>
      </c>
      <c r="L32">
        <v>1.1676432611085601</v>
      </c>
      <c r="M32" t="s">
        <v>5</v>
      </c>
      <c r="N32" t="s">
        <v>49</v>
      </c>
      <c r="O32" t="s">
        <v>44</v>
      </c>
      <c r="R32" t="s">
        <v>9</v>
      </c>
      <c r="S32" t="s">
        <v>189</v>
      </c>
      <c r="T32" t="s">
        <v>163</v>
      </c>
      <c r="U32">
        <v>0</v>
      </c>
      <c r="V32" t="s">
        <v>12</v>
      </c>
      <c r="W32" s="10">
        <f t="shared" si="3"/>
        <v>0.84625322997416019</v>
      </c>
    </row>
    <row r="33" spans="1:23" x14ac:dyDescent="0.3">
      <c r="A33" t="s">
        <v>0</v>
      </c>
      <c r="B33">
        <v>3810</v>
      </c>
      <c r="C33" t="s">
        <v>1</v>
      </c>
      <c r="D33">
        <v>3147</v>
      </c>
      <c r="E33" t="s">
        <v>74</v>
      </c>
      <c r="F33">
        <v>389.78575782009801</v>
      </c>
      <c r="G33" t="s">
        <v>2</v>
      </c>
      <c r="H33">
        <v>0.102305973181128</v>
      </c>
      <c r="I33" t="s">
        <v>3</v>
      </c>
      <c r="J33">
        <v>-4.0804176591960299</v>
      </c>
      <c r="K33" t="s">
        <v>4</v>
      </c>
      <c r="L33">
        <v>4.6344893181962004</v>
      </c>
      <c r="M33" t="s">
        <v>5</v>
      </c>
      <c r="N33" t="s">
        <v>51</v>
      </c>
      <c r="O33" t="s">
        <v>36</v>
      </c>
      <c r="R33" t="s">
        <v>9</v>
      </c>
      <c r="S33" t="s">
        <v>190</v>
      </c>
      <c r="T33" t="s">
        <v>29</v>
      </c>
      <c r="U33">
        <v>0</v>
      </c>
      <c r="V33" t="s">
        <v>12</v>
      </c>
      <c r="W33" s="10">
        <f t="shared" si="3"/>
        <v>0.82598425196850389</v>
      </c>
    </row>
    <row r="34" spans="1:23" x14ac:dyDescent="0.3">
      <c r="A34" t="s">
        <v>0</v>
      </c>
      <c r="B34">
        <v>2647</v>
      </c>
      <c r="C34" t="s">
        <v>1</v>
      </c>
      <c r="D34">
        <v>2202</v>
      </c>
      <c r="E34" t="s">
        <v>74</v>
      </c>
      <c r="F34">
        <v>455.875034852883</v>
      </c>
      <c r="G34" t="s">
        <v>2</v>
      </c>
      <c r="H34">
        <v>0.172223284795195</v>
      </c>
      <c r="I34" t="s">
        <v>3</v>
      </c>
      <c r="J34">
        <v>-4.19900281795866</v>
      </c>
      <c r="K34" t="s">
        <v>4</v>
      </c>
      <c r="L34">
        <v>3.5041243797953499</v>
      </c>
      <c r="M34" t="s">
        <v>5</v>
      </c>
      <c r="N34" t="s">
        <v>51</v>
      </c>
      <c r="O34" t="s">
        <v>36</v>
      </c>
      <c r="R34" t="s">
        <v>9</v>
      </c>
      <c r="S34" t="s">
        <v>191</v>
      </c>
      <c r="T34" t="s">
        <v>192</v>
      </c>
      <c r="U34">
        <v>0</v>
      </c>
      <c r="V34" t="s">
        <v>12</v>
      </c>
      <c r="W34" s="10">
        <f t="shared" si="3"/>
        <v>0.83188515300340005</v>
      </c>
    </row>
    <row r="35" spans="1:23" x14ac:dyDescent="0.3">
      <c r="A35" t="s">
        <v>0</v>
      </c>
      <c r="B35">
        <v>2278</v>
      </c>
      <c r="C35" t="s">
        <v>1</v>
      </c>
      <c r="D35">
        <v>1913</v>
      </c>
      <c r="E35" t="s">
        <v>74</v>
      </c>
      <c r="F35">
        <v>442.24713171163199</v>
      </c>
      <c r="G35" t="s">
        <v>2</v>
      </c>
      <c r="H35">
        <v>0.19413833701125199</v>
      </c>
      <c r="I35" t="s">
        <v>3</v>
      </c>
      <c r="J35">
        <v>-4.1323647435167299</v>
      </c>
      <c r="K35" t="s">
        <v>4</v>
      </c>
      <c r="L35">
        <v>3.14521437351388</v>
      </c>
      <c r="M35" t="s">
        <v>5</v>
      </c>
      <c r="N35" t="s">
        <v>51</v>
      </c>
      <c r="O35" t="s">
        <v>36</v>
      </c>
      <c r="R35" t="s">
        <v>9</v>
      </c>
      <c r="S35" t="s">
        <v>193</v>
      </c>
      <c r="T35" t="s">
        <v>192</v>
      </c>
      <c r="U35">
        <v>0</v>
      </c>
      <c r="V35" t="s">
        <v>12</v>
      </c>
      <c r="W35" s="10">
        <f t="shared" si="3"/>
        <v>0.83977172958735735</v>
      </c>
    </row>
    <row r="36" spans="1:23" x14ac:dyDescent="0.3">
      <c r="A36" t="s">
        <v>0</v>
      </c>
      <c r="B36">
        <v>1970</v>
      </c>
      <c r="C36" t="s">
        <v>1</v>
      </c>
      <c r="D36">
        <v>1645</v>
      </c>
      <c r="E36" t="s">
        <v>74</v>
      </c>
      <c r="F36">
        <v>337.351584536568</v>
      </c>
      <c r="G36" t="s">
        <v>2</v>
      </c>
      <c r="H36">
        <v>0.17124445915561801</v>
      </c>
      <c r="I36" t="s">
        <v>3</v>
      </c>
      <c r="J36">
        <v>-4.1370372971808296</v>
      </c>
      <c r="K36" t="s">
        <v>4</v>
      </c>
      <c r="L36">
        <v>2.84996481375142</v>
      </c>
      <c r="M36" t="s">
        <v>5</v>
      </c>
      <c r="N36" t="s">
        <v>51</v>
      </c>
      <c r="O36" t="s">
        <v>36</v>
      </c>
      <c r="R36" t="s">
        <v>9</v>
      </c>
      <c r="S36" t="s">
        <v>194</v>
      </c>
      <c r="T36" t="s">
        <v>192</v>
      </c>
      <c r="U36">
        <v>0</v>
      </c>
      <c r="V36" t="s">
        <v>12</v>
      </c>
      <c r="W36" s="10">
        <f t="shared" si="3"/>
        <v>0.8350253807106599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C63EB-9E06-433D-B04E-871B2445845B}">
  <dimension ref="A1:X49"/>
  <sheetViews>
    <sheetView tabSelected="1" zoomScale="70" zoomScaleNormal="70" workbookViewId="0">
      <selection activeCell="J9" sqref="J9"/>
    </sheetView>
  </sheetViews>
  <sheetFormatPr defaultRowHeight="16.5" x14ac:dyDescent="0.3"/>
  <cols>
    <col min="1" max="1" width="22.625" bestFit="1" customWidth="1"/>
    <col min="2" max="2" width="5.5" bestFit="1" customWidth="1"/>
    <col min="3" max="3" width="6.5" bestFit="1" customWidth="1"/>
    <col min="4" max="4" width="5.5" bestFit="1" customWidth="1"/>
    <col min="5" max="5" width="10.75" bestFit="1" customWidth="1"/>
    <col min="6" max="6" width="14.5" bestFit="1" customWidth="1"/>
    <col min="7" max="7" width="9.75" bestFit="1" customWidth="1"/>
    <col min="8" max="8" width="14.5" bestFit="1" customWidth="1"/>
    <col min="9" max="9" width="10.625" bestFit="1" customWidth="1"/>
    <col min="10" max="10" width="15.375" bestFit="1" customWidth="1"/>
    <col min="11" max="11" width="6" bestFit="1" customWidth="1"/>
    <col min="12" max="12" width="14.5" bestFit="1" customWidth="1"/>
    <col min="13" max="13" width="19" bestFit="1" customWidth="1"/>
    <col min="14" max="14" width="23.5" bestFit="1" customWidth="1"/>
    <col min="15" max="15" width="28.5" bestFit="1" customWidth="1"/>
    <col min="16" max="16" width="2.875" bestFit="1" customWidth="1"/>
    <col min="17" max="17" width="5.75" bestFit="1" customWidth="1"/>
    <col min="18" max="18" width="14.25" bestFit="1" customWidth="1"/>
    <col min="19" max="19" width="24.75" bestFit="1" customWidth="1"/>
    <col min="20" max="20" width="28.5" bestFit="1" customWidth="1"/>
    <col min="21" max="21" width="2.875" bestFit="1" customWidth="1"/>
    <col min="22" max="22" width="6.375" bestFit="1" customWidth="1"/>
    <col min="23" max="23" width="14.5" style="9" bestFit="1" customWidth="1"/>
    <col min="24" max="24" width="14.5" bestFit="1" customWidth="1"/>
  </cols>
  <sheetData>
    <row r="1" spans="1:24" x14ac:dyDescent="0.3">
      <c r="A1" s="1" t="s">
        <v>228</v>
      </c>
    </row>
    <row r="2" spans="1:24" x14ac:dyDescent="0.3">
      <c r="A2" t="s">
        <v>0</v>
      </c>
      <c r="B2">
        <v>897</v>
      </c>
      <c r="C2" t="s">
        <v>1</v>
      </c>
      <c r="D2">
        <v>552</v>
      </c>
      <c r="E2" t="s">
        <v>74</v>
      </c>
      <c r="F2">
        <v>70.292329712951499</v>
      </c>
      <c r="G2" t="s">
        <v>2</v>
      </c>
      <c r="H2">
        <v>7.8363801240748598E-2</v>
      </c>
      <c r="I2" t="s">
        <v>3</v>
      </c>
      <c r="J2">
        <v>-1.4455781677105399</v>
      </c>
      <c r="K2" t="s">
        <v>4</v>
      </c>
      <c r="L2">
        <v>0.92738050305977104</v>
      </c>
      <c r="M2" t="s">
        <v>5</v>
      </c>
      <c r="N2" t="s">
        <v>52</v>
      </c>
      <c r="O2" t="s">
        <v>53</v>
      </c>
      <c r="P2">
        <v>0</v>
      </c>
      <c r="Q2" t="s">
        <v>8</v>
      </c>
      <c r="R2" t="s">
        <v>9</v>
      </c>
      <c r="S2" t="s">
        <v>203</v>
      </c>
      <c r="T2" t="s">
        <v>54</v>
      </c>
      <c r="U2">
        <v>0</v>
      </c>
      <c r="V2" t="s">
        <v>12</v>
      </c>
      <c r="W2" s="9">
        <f>D2/B2</f>
        <v>0.61538461538461542</v>
      </c>
      <c r="X2">
        <f>H2/L2</f>
        <v>8.4500160378827738E-2</v>
      </c>
    </row>
    <row r="3" spans="1:24" x14ac:dyDescent="0.3">
      <c r="A3" t="s">
        <v>0</v>
      </c>
      <c r="B3">
        <v>623</v>
      </c>
      <c r="C3" t="s">
        <v>1</v>
      </c>
      <c r="D3">
        <v>395</v>
      </c>
      <c r="E3" t="s">
        <v>74</v>
      </c>
      <c r="F3">
        <v>45.950176725252703</v>
      </c>
      <c r="G3" t="s">
        <v>2</v>
      </c>
      <c r="H3">
        <v>7.3756302929779596E-2</v>
      </c>
      <c r="I3" t="s">
        <v>3</v>
      </c>
      <c r="J3">
        <v>-1.6225890526926501</v>
      </c>
      <c r="K3" t="s">
        <v>4</v>
      </c>
      <c r="L3">
        <v>0.80541277684409196</v>
      </c>
      <c r="M3" t="s">
        <v>5</v>
      </c>
      <c r="N3" t="s">
        <v>52</v>
      </c>
      <c r="O3" t="s">
        <v>53</v>
      </c>
      <c r="P3">
        <v>0</v>
      </c>
      <c r="Q3" t="s">
        <v>8</v>
      </c>
      <c r="R3" t="s">
        <v>9</v>
      </c>
      <c r="S3" t="s">
        <v>203</v>
      </c>
      <c r="T3" t="s">
        <v>54</v>
      </c>
      <c r="U3">
        <v>0</v>
      </c>
      <c r="V3" t="s">
        <v>12</v>
      </c>
      <c r="W3" s="9">
        <f t="shared" ref="W3:W29" si="0">D3/B3</f>
        <v>0.63402889245585869</v>
      </c>
      <c r="X3">
        <f t="shared" ref="X3:X29" si="1">H3/L3</f>
        <v>9.1575779588181278E-2</v>
      </c>
    </row>
    <row r="4" spans="1:24" x14ac:dyDescent="0.3">
      <c r="A4" t="s">
        <v>0</v>
      </c>
      <c r="B4">
        <v>534</v>
      </c>
      <c r="C4" t="s">
        <v>1</v>
      </c>
      <c r="D4">
        <v>340</v>
      </c>
      <c r="E4" t="s">
        <v>74</v>
      </c>
      <c r="F4">
        <v>89.439961052403106</v>
      </c>
      <c r="G4" t="s">
        <v>2</v>
      </c>
      <c r="H4">
        <v>0.16749056376854499</v>
      </c>
      <c r="I4" t="s">
        <v>3</v>
      </c>
      <c r="J4">
        <v>-1.3764528924466499</v>
      </c>
      <c r="K4" t="s">
        <v>4</v>
      </c>
      <c r="L4">
        <v>0.71101959308720497</v>
      </c>
      <c r="M4" t="s">
        <v>5</v>
      </c>
      <c r="N4" t="s">
        <v>55</v>
      </c>
      <c r="O4" t="s">
        <v>56</v>
      </c>
      <c r="P4">
        <v>0</v>
      </c>
      <c r="Q4" t="s">
        <v>8</v>
      </c>
      <c r="R4" t="s">
        <v>9</v>
      </c>
      <c r="S4" t="s">
        <v>203</v>
      </c>
      <c r="T4" t="s">
        <v>54</v>
      </c>
      <c r="U4">
        <v>0</v>
      </c>
      <c r="V4" t="s">
        <v>12</v>
      </c>
      <c r="W4" s="9">
        <f t="shared" si="0"/>
        <v>0.63670411985018727</v>
      </c>
      <c r="X4">
        <f t="shared" si="1"/>
        <v>0.23556392172163762</v>
      </c>
    </row>
    <row r="5" spans="1:24" x14ac:dyDescent="0.3">
      <c r="A5" t="s">
        <v>0</v>
      </c>
      <c r="B5">
        <v>456</v>
      </c>
      <c r="C5" t="s">
        <v>1</v>
      </c>
      <c r="D5">
        <v>289</v>
      </c>
      <c r="E5" t="s">
        <v>74</v>
      </c>
      <c r="F5">
        <v>78.900717117299294</v>
      </c>
      <c r="G5" t="s">
        <v>2</v>
      </c>
      <c r="H5">
        <v>0.17302788841513</v>
      </c>
      <c r="I5" t="s">
        <v>3</v>
      </c>
      <c r="J5">
        <v>-1.3128952916569501</v>
      </c>
      <c r="K5" t="s">
        <v>4</v>
      </c>
      <c r="L5">
        <v>0.60006191620680105</v>
      </c>
      <c r="M5" t="s">
        <v>5</v>
      </c>
      <c r="N5" t="s">
        <v>55</v>
      </c>
      <c r="O5" t="s">
        <v>56</v>
      </c>
      <c r="P5">
        <v>0</v>
      </c>
      <c r="Q5" t="s">
        <v>8</v>
      </c>
      <c r="R5" t="s">
        <v>9</v>
      </c>
      <c r="S5" t="s">
        <v>204</v>
      </c>
      <c r="T5" t="s">
        <v>56</v>
      </c>
      <c r="U5">
        <v>0</v>
      </c>
      <c r="V5" t="s">
        <v>12</v>
      </c>
      <c r="W5" s="9">
        <f t="shared" si="0"/>
        <v>0.63377192982456143</v>
      </c>
      <c r="X5">
        <f t="shared" si="1"/>
        <v>0.28835005812216702</v>
      </c>
    </row>
    <row r="6" spans="1:24" x14ac:dyDescent="0.3">
      <c r="A6" t="s">
        <v>0</v>
      </c>
      <c r="B6">
        <v>2277</v>
      </c>
      <c r="C6" t="s">
        <v>1</v>
      </c>
      <c r="D6">
        <v>1422</v>
      </c>
      <c r="E6" t="s">
        <v>74</v>
      </c>
      <c r="F6">
        <v>255.656783381341</v>
      </c>
      <c r="G6" t="s">
        <v>2</v>
      </c>
      <c r="H6">
        <v>0.11227790223159401</v>
      </c>
      <c r="I6" t="s">
        <v>3</v>
      </c>
      <c r="J6">
        <v>-1.4342495926873799</v>
      </c>
      <c r="K6" t="s">
        <v>4</v>
      </c>
      <c r="L6">
        <v>2.14654552388166</v>
      </c>
      <c r="M6" t="s">
        <v>5</v>
      </c>
      <c r="N6" t="s">
        <v>57</v>
      </c>
      <c r="O6" t="s">
        <v>58</v>
      </c>
      <c r="P6">
        <v>0</v>
      </c>
      <c r="Q6" t="s">
        <v>8</v>
      </c>
      <c r="R6" t="s">
        <v>9</v>
      </c>
      <c r="S6" t="s">
        <v>205</v>
      </c>
      <c r="T6" t="s">
        <v>178</v>
      </c>
      <c r="U6">
        <v>0</v>
      </c>
      <c r="V6" t="s">
        <v>12</v>
      </c>
      <c r="W6" s="9">
        <f t="shared" si="0"/>
        <v>0.62450592885375489</v>
      </c>
      <c r="X6">
        <f t="shared" si="1"/>
        <v>5.2306322406132179E-2</v>
      </c>
    </row>
    <row r="7" spans="1:24" x14ac:dyDescent="0.3">
      <c r="A7" t="s">
        <v>0</v>
      </c>
      <c r="B7">
        <v>1588</v>
      </c>
      <c r="C7" t="s">
        <v>1</v>
      </c>
      <c r="D7">
        <v>1023</v>
      </c>
      <c r="E7" t="s">
        <v>74</v>
      </c>
      <c r="F7">
        <v>201.77084081243899</v>
      </c>
      <c r="G7" t="s">
        <v>2</v>
      </c>
      <c r="H7">
        <v>0.12705972343352601</v>
      </c>
      <c r="I7" t="s">
        <v>3</v>
      </c>
      <c r="J7">
        <v>-1.5984765272593</v>
      </c>
      <c r="K7" t="s">
        <v>4</v>
      </c>
      <c r="L7">
        <v>1.8262543926467001</v>
      </c>
      <c r="M7" t="s">
        <v>5</v>
      </c>
      <c r="N7" t="s">
        <v>57</v>
      </c>
      <c r="O7" t="s">
        <v>58</v>
      </c>
      <c r="P7">
        <v>0</v>
      </c>
      <c r="Q7" t="s">
        <v>8</v>
      </c>
      <c r="R7" t="s">
        <v>9</v>
      </c>
      <c r="S7" t="s">
        <v>206</v>
      </c>
      <c r="T7" t="s">
        <v>54</v>
      </c>
      <c r="U7">
        <v>0</v>
      </c>
      <c r="V7" t="s">
        <v>12</v>
      </c>
      <c r="W7" s="9">
        <f t="shared" si="0"/>
        <v>0.64420654911838793</v>
      </c>
      <c r="X7">
        <f t="shared" si="1"/>
        <v>6.9573945418077626E-2</v>
      </c>
    </row>
    <row r="8" spans="1:24" x14ac:dyDescent="0.3">
      <c r="A8" t="s">
        <v>0</v>
      </c>
      <c r="B8">
        <v>1370</v>
      </c>
      <c r="C8" t="s">
        <v>1</v>
      </c>
      <c r="D8">
        <v>889</v>
      </c>
      <c r="E8" t="s">
        <v>74</v>
      </c>
      <c r="F8">
        <v>238.24635203931899</v>
      </c>
      <c r="G8" t="s">
        <v>2</v>
      </c>
      <c r="H8">
        <v>0.17390244674402799</v>
      </c>
      <c r="I8" t="s">
        <v>3</v>
      </c>
      <c r="J8">
        <v>-1.42265744188939</v>
      </c>
      <c r="K8" t="s">
        <v>4</v>
      </c>
      <c r="L8">
        <v>1.6606068780257399</v>
      </c>
      <c r="M8" t="s">
        <v>5</v>
      </c>
      <c r="N8" t="s">
        <v>55</v>
      </c>
      <c r="O8" t="s">
        <v>56</v>
      </c>
      <c r="P8">
        <v>0</v>
      </c>
      <c r="Q8" t="s">
        <v>8</v>
      </c>
      <c r="R8" t="s">
        <v>9</v>
      </c>
      <c r="S8" t="s">
        <v>206</v>
      </c>
      <c r="T8" t="s">
        <v>54</v>
      </c>
      <c r="U8">
        <v>0</v>
      </c>
      <c r="V8" t="s">
        <v>12</v>
      </c>
      <c r="W8" s="9">
        <f t="shared" si="0"/>
        <v>0.64890510948905111</v>
      </c>
      <c r="X8">
        <f t="shared" si="1"/>
        <v>0.10472222477530438</v>
      </c>
    </row>
    <row r="9" spans="1:24" x14ac:dyDescent="0.3">
      <c r="A9" t="s">
        <v>0</v>
      </c>
      <c r="B9">
        <v>1175</v>
      </c>
      <c r="C9" t="s">
        <v>1</v>
      </c>
      <c r="D9">
        <v>761</v>
      </c>
      <c r="E9" t="s">
        <v>74</v>
      </c>
      <c r="F9">
        <v>208.27452847472199</v>
      </c>
      <c r="G9" t="s">
        <v>2</v>
      </c>
      <c r="H9">
        <v>0.177254917850827</v>
      </c>
      <c r="I9" t="s">
        <v>3</v>
      </c>
      <c r="J9">
        <v>-1.39683444645054</v>
      </c>
      <c r="K9" t="s">
        <v>4</v>
      </c>
      <c r="L9">
        <v>1.4337363995249699</v>
      </c>
      <c r="M9" t="s">
        <v>5</v>
      </c>
      <c r="N9" t="s">
        <v>55</v>
      </c>
      <c r="O9" t="s">
        <v>56</v>
      </c>
      <c r="P9">
        <v>0</v>
      </c>
      <c r="Q9" t="s">
        <v>8</v>
      </c>
      <c r="R9" t="s">
        <v>9</v>
      </c>
      <c r="S9" t="s">
        <v>207</v>
      </c>
      <c r="T9" t="s">
        <v>54</v>
      </c>
      <c r="U9">
        <v>0</v>
      </c>
      <c r="V9" t="s">
        <v>12</v>
      </c>
      <c r="W9" s="9">
        <f t="shared" si="0"/>
        <v>0.64765957446808509</v>
      </c>
      <c r="X9">
        <f t="shared" si="1"/>
        <v>0.12363145548202283</v>
      </c>
    </row>
    <row r="11" spans="1:24" x14ac:dyDescent="0.3">
      <c r="A11" s="1" t="s">
        <v>213</v>
      </c>
    </row>
    <row r="12" spans="1:24" x14ac:dyDescent="0.3">
      <c r="A12" t="s">
        <v>0</v>
      </c>
      <c r="B12">
        <v>897</v>
      </c>
      <c r="C12" t="s">
        <v>1</v>
      </c>
      <c r="D12">
        <v>683</v>
      </c>
      <c r="E12" t="s">
        <v>74</v>
      </c>
      <c r="F12">
        <v>78.847908543241701</v>
      </c>
      <c r="G12" t="s">
        <v>2</v>
      </c>
      <c r="H12">
        <v>8.7901793247761095E-2</v>
      </c>
      <c r="I12" t="s">
        <v>3</v>
      </c>
      <c r="J12">
        <v>-1.9990453777755399</v>
      </c>
      <c r="K12" t="s">
        <v>4</v>
      </c>
      <c r="L12">
        <v>1.00561507352804</v>
      </c>
      <c r="M12" t="s">
        <v>5</v>
      </c>
      <c r="N12" t="s">
        <v>59</v>
      </c>
      <c r="O12" t="s">
        <v>29</v>
      </c>
      <c r="P12">
        <v>0</v>
      </c>
      <c r="Q12" t="s">
        <v>8</v>
      </c>
      <c r="R12" t="s">
        <v>9</v>
      </c>
      <c r="S12" t="s">
        <v>208</v>
      </c>
      <c r="T12" t="s">
        <v>29</v>
      </c>
      <c r="U12">
        <v>0</v>
      </c>
      <c r="V12" t="s">
        <v>12</v>
      </c>
      <c r="W12" s="9">
        <f t="shared" si="0"/>
        <v>0.76142697881828314</v>
      </c>
      <c r="X12">
        <f t="shared" si="1"/>
        <v>8.7410974200467853E-2</v>
      </c>
    </row>
    <row r="13" spans="1:24" x14ac:dyDescent="0.3">
      <c r="A13" t="s">
        <v>0</v>
      </c>
      <c r="B13">
        <v>623</v>
      </c>
      <c r="C13" t="s">
        <v>1</v>
      </c>
      <c r="D13">
        <v>497</v>
      </c>
      <c r="E13" t="s">
        <v>74</v>
      </c>
      <c r="F13">
        <v>114.77361270433499</v>
      </c>
      <c r="G13" t="s">
        <v>2</v>
      </c>
      <c r="H13">
        <v>0.184227307711614</v>
      </c>
      <c r="I13" t="s">
        <v>3</v>
      </c>
      <c r="J13">
        <v>-2.3055911517159799</v>
      </c>
      <c r="K13" t="s">
        <v>4</v>
      </c>
      <c r="L13">
        <v>0.81986990737473797</v>
      </c>
      <c r="M13" t="s">
        <v>5</v>
      </c>
      <c r="N13" t="s">
        <v>60</v>
      </c>
      <c r="O13" t="s">
        <v>23</v>
      </c>
      <c r="P13">
        <v>0</v>
      </c>
      <c r="Q13" t="s">
        <v>8</v>
      </c>
      <c r="R13" t="s">
        <v>9</v>
      </c>
      <c r="S13" t="s">
        <v>209</v>
      </c>
      <c r="T13" t="s">
        <v>54</v>
      </c>
      <c r="U13">
        <v>0</v>
      </c>
      <c r="V13" t="s">
        <v>12</v>
      </c>
      <c r="W13" s="9">
        <f t="shared" si="0"/>
        <v>0.797752808988764</v>
      </c>
      <c r="X13">
        <f t="shared" si="1"/>
        <v>0.22470309747252282</v>
      </c>
    </row>
    <row r="14" spans="1:24" s="12" customFormat="1" x14ac:dyDescent="0.3">
      <c r="A14" s="12" t="s">
        <v>0</v>
      </c>
      <c r="B14" s="12">
        <v>534</v>
      </c>
      <c r="C14" s="12" t="s">
        <v>1</v>
      </c>
      <c r="D14" s="12">
        <v>433</v>
      </c>
      <c r="E14" s="12" t="s">
        <v>74</v>
      </c>
      <c r="F14" s="12">
        <v>122.869185251132</v>
      </c>
      <c r="G14" s="12" t="s">
        <v>2</v>
      </c>
      <c r="H14" s="12">
        <v>0.23009210721185899</v>
      </c>
      <c r="I14" s="12" t="s">
        <v>3</v>
      </c>
      <c r="J14" s="12">
        <v>-2.19970993354063</v>
      </c>
      <c r="K14" s="12" t="s">
        <v>4</v>
      </c>
      <c r="L14" s="12">
        <v>0.73199302104774</v>
      </c>
      <c r="M14" s="12" t="s">
        <v>5</v>
      </c>
      <c r="N14" s="12" t="s">
        <v>61</v>
      </c>
      <c r="O14" s="12" t="s">
        <v>54</v>
      </c>
      <c r="P14" s="12">
        <v>0</v>
      </c>
      <c r="Q14" s="12" t="s">
        <v>8</v>
      </c>
      <c r="R14" s="12" t="s">
        <v>9</v>
      </c>
      <c r="S14" s="12" t="s">
        <v>209</v>
      </c>
      <c r="T14" s="12" t="s">
        <v>54</v>
      </c>
      <c r="U14" s="12">
        <v>0</v>
      </c>
      <c r="V14" s="12" t="s">
        <v>12</v>
      </c>
      <c r="W14" s="13">
        <f t="shared" si="0"/>
        <v>0.81086142322097376</v>
      </c>
      <c r="X14" s="12">
        <f t="shared" si="1"/>
        <v>0.31433647670918513</v>
      </c>
    </row>
    <row r="15" spans="1:24" s="12" customFormat="1" x14ac:dyDescent="0.3">
      <c r="A15" s="12" t="s">
        <v>0</v>
      </c>
      <c r="B15" s="12">
        <v>456</v>
      </c>
      <c r="C15" s="12" t="s">
        <v>1</v>
      </c>
      <c r="D15" s="12">
        <v>372</v>
      </c>
      <c r="E15" s="12" t="s">
        <v>74</v>
      </c>
      <c r="F15" s="12">
        <v>100.780137678805</v>
      </c>
      <c r="G15" s="12" t="s">
        <v>2</v>
      </c>
      <c r="H15" s="12">
        <v>0.221009073857029</v>
      </c>
      <c r="I15" s="12" t="s">
        <v>3</v>
      </c>
      <c r="J15" s="12">
        <v>-2.3343991422684902</v>
      </c>
      <c r="K15" s="12" t="s">
        <v>4</v>
      </c>
      <c r="L15" s="12">
        <v>0.65443310892983098</v>
      </c>
      <c r="M15" s="12" t="s">
        <v>5</v>
      </c>
      <c r="N15" s="12" t="s">
        <v>61</v>
      </c>
      <c r="O15" s="12" t="s">
        <v>54</v>
      </c>
      <c r="P15" s="12">
        <v>0</v>
      </c>
      <c r="Q15" s="12" t="s">
        <v>8</v>
      </c>
      <c r="R15" s="12" t="s">
        <v>9</v>
      </c>
      <c r="S15" s="12" t="s">
        <v>209</v>
      </c>
      <c r="T15" s="12" t="s">
        <v>54</v>
      </c>
      <c r="U15" s="12">
        <v>0</v>
      </c>
      <c r="V15" s="12" t="s">
        <v>12</v>
      </c>
      <c r="W15" s="13">
        <f t="shared" si="0"/>
        <v>0.81578947368421051</v>
      </c>
      <c r="X15" s="12">
        <f t="shared" si="1"/>
        <v>0.33771071610120179</v>
      </c>
    </row>
    <row r="16" spans="1:24" x14ac:dyDescent="0.3">
      <c r="A16" t="s">
        <v>0</v>
      </c>
      <c r="B16">
        <v>2277</v>
      </c>
      <c r="C16" t="s">
        <v>1</v>
      </c>
      <c r="D16">
        <v>1743</v>
      </c>
      <c r="E16" t="s">
        <v>74</v>
      </c>
      <c r="F16">
        <v>187.632341082067</v>
      </c>
      <c r="G16" t="s">
        <v>2</v>
      </c>
      <c r="H16">
        <v>8.2403311849831906E-2</v>
      </c>
      <c r="I16" t="s">
        <v>3</v>
      </c>
      <c r="J16">
        <v>-2.0701556348069099</v>
      </c>
      <c r="K16" t="s">
        <v>4</v>
      </c>
      <c r="L16">
        <v>2.42509551324846</v>
      </c>
      <c r="M16" t="s">
        <v>5</v>
      </c>
      <c r="N16" t="s">
        <v>62</v>
      </c>
      <c r="O16" t="s">
        <v>29</v>
      </c>
      <c r="P16">
        <v>0</v>
      </c>
      <c r="Q16" t="s">
        <v>8</v>
      </c>
      <c r="R16" t="s">
        <v>9</v>
      </c>
      <c r="S16" t="s">
        <v>210</v>
      </c>
      <c r="T16" t="s">
        <v>29</v>
      </c>
      <c r="U16">
        <v>0</v>
      </c>
      <c r="V16" t="s">
        <v>12</v>
      </c>
      <c r="W16" s="9">
        <f t="shared" si="0"/>
        <v>0.76548089591567847</v>
      </c>
      <c r="X16">
        <f t="shared" si="1"/>
        <v>3.3979408810769336E-2</v>
      </c>
    </row>
    <row r="17" spans="1:24" x14ac:dyDescent="0.3">
      <c r="A17" t="s">
        <v>0</v>
      </c>
      <c r="B17">
        <v>1588</v>
      </c>
      <c r="C17" t="s">
        <v>1</v>
      </c>
      <c r="D17">
        <v>1269</v>
      </c>
      <c r="E17" t="s">
        <v>74</v>
      </c>
      <c r="F17">
        <v>266.20383913063398</v>
      </c>
      <c r="G17" t="s">
        <v>2</v>
      </c>
      <c r="H17">
        <v>0.16763465940216199</v>
      </c>
      <c r="I17" t="s">
        <v>3</v>
      </c>
      <c r="J17">
        <v>-2.4101977675738899</v>
      </c>
      <c r="K17" t="s">
        <v>4</v>
      </c>
      <c r="L17">
        <v>1.97840451519976</v>
      </c>
      <c r="M17" t="s">
        <v>5</v>
      </c>
      <c r="N17" t="s">
        <v>60</v>
      </c>
      <c r="O17" t="s">
        <v>23</v>
      </c>
      <c r="P17">
        <v>0</v>
      </c>
      <c r="Q17" t="s">
        <v>8</v>
      </c>
      <c r="R17" t="s">
        <v>9</v>
      </c>
      <c r="S17" t="s">
        <v>211</v>
      </c>
      <c r="T17" t="s">
        <v>54</v>
      </c>
      <c r="U17">
        <v>0</v>
      </c>
      <c r="V17" t="s">
        <v>12</v>
      </c>
      <c r="W17" s="9">
        <f t="shared" si="0"/>
        <v>0.79911838790931988</v>
      </c>
      <c r="X17">
        <f t="shared" si="1"/>
        <v>8.4732246673646455E-2</v>
      </c>
    </row>
    <row r="18" spans="1:24" x14ac:dyDescent="0.3">
      <c r="A18" t="s">
        <v>0</v>
      </c>
      <c r="B18">
        <v>1370</v>
      </c>
      <c r="C18" t="s">
        <v>1</v>
      </c>
      <c r="D18">
        <v>1106</v>
      </c>
      <c r="E18" t="s">
        <v>74</v>
      </c>
      <c r="F18">
        <v>260.49889068145302</v>
      </c>
      <c r="G18" t="s">
        <v>2</v>
      </c>
      <c r="H18">
        <v>0.190145175679892</v>
      </c>
      <c r="I18" t="s">
        <v>3</v>
      </c>
      <c r="J18">
        <v>-2.3083679101375201</v>
      </c>
      <c r="K18" t="s">
        <v>4</v>
      </c>
      <c r="L18">
        <v>1.7495761161219401</v>
      </c>
      <c r="M18" t="s">
        <v>5</v>
      </c>
      <c r="N18" t="s">
        <v>63</v>
      </c>
      <c r="O18" t="s">
        <v>23</v>
      </c>
      <c r="P18">
        <v>0</v>
      </c>
      <c r="Q18" t="s">
        <v>8</v>
      </c>
      <c r="R18" t="s">
        <v>9</v>
      </c>
      <c r="S18" t="s">
        <v>211</v>
      </c>
      <c r="T18" t="s">
        <v>54</v>
      </c>
      <c r="U18">
        <v>0</v>
      </c>
      <c r="V18" t="s">
        <v>12</v>
      </c>
      <c r="W18" s="9">
        <f t="shared" si="0"/>
        <v>0.80729927007299274</v>
      </c>
      <c r="X18">
        <f t="shared" si="1"/>
        <v>0.10868071067485896</v>
      </c>
    </row>
    <row r="19" spans="1:24" x14ac:dyDescent="0.3">
      <c r="A19" t="s">
        <v>0</v>
      </c>
      <c r="B19">
        <v>1175</v>
      </c>
      <c r="C19" t="s">
        <v>1</v>
      </c>
      <c r="D19">
        <v>945</v>
      </c>
      <c r="E19" t="s">
        <v>74</v>
      </c>
      <c r="F19">
        <v>192.24562157627301</v>
      </c>
      <c r="G19" t="s">
        <v>2</v>
      </c>
      <c r="H19">
        <v>0.16361329495853</v>
      </c>
      <c r="I19" t="s">
        <v>3</v>
      </c>
      <c r="J19">
        <v>-2.3949493964131601</v>
      </c>
      <c r="K19" t="s">
        <v>4</v>
      </c>
      <c r="L19">
        <v>1.5763331921068799</v>
      </c>
      <c r="M19" t="s">
        <v>5</v>
      </c>
      <c r="N19" t="s">
        <v>63</v>
      </c>
      <c r="O19" t="s">
        <v>23</v>
      </c>
      <c r="P19">
        <v>0</v>
      </c>
      <c r="Q19" t="s">
        <v>8</v>
      </c>
      <c r="R19" t="s">
        <v>9</v>
      </c>
      <c r="S19" t="s">
        <v>212</v>
      </c>
      <c r="T19" t="s">
        <v>54</v>
      </c>
      <c r="U19">
        <v>0</v>
      </c>
      <c r="V19" t="s">
        <v>12</v>
      </c>
      <c r="W19" s="9">
        <f t="shared" si="0"/>
        <v>0.80425531914893622</v>
      </c>
      <c r="X19">
        <f t="shared" si="1"/>
        <v>0.10379359882655859</v>
      </c>
    </row>
    <row r="21" spans="1:24" x14ac:dyDescent="0.3">
      <c r="A21" s="1" t="s">
        <v>219</v>
      </c>
    </row>
    <row r="22" spans="1:24" x14ac:dyDescent="0.3">
      <c r="A22" t="s">
        <v>0</v>
      </c>
      <c r="B22">
        <v>897</v>
      </c>
      <c r="C22" t="s">
        <v>1</v>
      </c>
      <c r="D22">
        <v>687</v>
      </c>
      <c r="E22" t="s">
        <v>74</v>
      </c>
      <c r="F22">
        <v>-11.4131233329895</v>
      </c>
      <c r="G22" t="s">
        <v>2</v>
      </c>
      <c r="H22">
        <v>-1.2723660348929199E-2</v>
      </c>
      <c r="I22" t="s">
        <v>3</v>
      </c>
      <c r="J22">
        <v>-2.7886932435266099</v>
      </c>
      <c r="K22" t="s">
        <v>4</v>
      </c>
      <c r="L22">
        <v>1.22320273563574</v>
      </c>
      <c r="M22" t="s">
        <v>5</v>
      </c>
      <c r="N22" t="s">
        <v>64</v>
      </c>
      <c r="O22" t="s">
        <v>23</v>
      </c>
      <c r="P22">
        <v>0</v>
      </c>
      <c r="Q22" t="s">
        <v>8</v>
      </c>
      <c r="R22" t="s">
        <v>9</v>
      </c>
      <c r="S22" t="s">
        <v>214</v>
      </c>
      <c r="T22" t="s">
        <v>54</v>
      </c>
      <c r="U22">
        <v>0</v>
      </c>
      <c r="V22" t="s">
        <v>12</v>
      </c>
      <c r="W22" s="9">
        <f t="shared" si="0"/>
        <v>0.76588628762541811</v>
      </c>
      <c r="X22">
        <f t="shared" si="1"/>
        <v>-1.0401922737947673E-2</v>
      </c>
    </row>
    <row r="23" spans="1:24" x14ac:dyDescent="0.3">
      <c r="A23" t="s">
        <v>0</v>
      </c>
      <c r="B23">
        <v>623</v>
      </c>
      <c r="C23" t="s">
        <v>1</v>
      </c>
      <c r="D23">
        <v>496</v>
      </c>
      <c r="E23" t="s">
        <v>74</v>
      </c>
      <c r="F23">
        <v>28.002503750248</v>
      </c>
      <c r="G23" t="s">
        <v>2</v>
      </c>
      <c r="H23">
        <v>4.4947839085470398E-2</v>
      </c>
      <c r="I23" t="s">
        <v>3</v>
      </c>
      <c r="J23">
        <v>-3.3694530673202898</v>
      </c>
      <c r="K23" t="s">
        <v>4</v>
      </c>
      <c r="L23">
        <v>1.04634852671428</v>
      </c>
      <c r="M23" t="s">
        <v>5</v>
      </c>
      <c r="N23" t="s">
        <v>64</v>
      </c>
      <c r="O23" t="s">
        <v>23</v>
      </c>
      <c r="P23">
        <v>0</v>
      </c>
      <c r="Q23" t="s">
        <v>8</v>
      </c>
      <c r="R23" t="s">
        <v>9</v>
      </c>
      <c r="S23" t="s">
        <v>214</v>
      </c>
      <c r="T23" t="s">
        <v>54</v>
      </c>
      <c r="U23">
        <v>0</v>
      </c>
      <c r="V23" t="s">
        <v>12</v>
      </c>
      <c r="W23" s="9">
        <f t="shared" si="0"/>
        <v>0.7961476725521669</v>
      </c>
      <c r="X23">
        <f t="shared" si="1"/>
        <v>4.2956852270451977E-2</v>
      </c>
    </row>
    <row r="24" spans="1:24" x14ac:dyDescent="0.3">
      <c r="A24" t="s">
        <v>0</v>
      </c>
      <c r="B24">
        <v>534</v>
      </c>
      <c r="C24" t="s">
        <v>1</v>
      </c>
      <c r="D24">
        <v>429</v>
      </c>
      <c r="E24" t="s">
        <v>74</v>
      </c>
      <c r="F24">
        <v>49.915713158042898</v>
      </c>
      <c r="G24" t="s">
        <v>2</v>
      </c>
      <c r="H24">
        <v>9.34751182734887E-2</v>
      </c>
      <c r="I24" t="s">
        <v>3</v>
      </c>
      <c r="J24">
        <v>-3.1912168808070902</v>
      </c>
      <c r="K24" t="s">
        <v>4</v>
      </c>
      <c r="L24">
        <v>0.92731522234262698</v>
      </c>
      <c r="M24" t="s">
        <v>5</v>
      </c>
      <c r="N24" t="s">
        <v>64</v>
      </c>
      <c r="O24" t="s">
        <v>23</v>
      </c>
      <c r="P24">
        <v>0</v>
      </c>
      <c r="Q24" t="s">
        <v>8</v>
      </c>
      <c r="R24" t="s">
        <v>9</v>
      </c>
      <c r="S24" t="s">
        <v>214</v>
      </c>
      <c r="T24" t="s">
        <v>54</v>
      </c>
      <c r="U24">
        <v>0</v>
      </c>
      <c r="V24" t="s">
        <v>12</v>
      </c>
      <c r="W24" s="9">
        <f t="shared" si="0"/>
        <v>0.8033707865168539</v>
      </c>
      <c r="X24">
        <f t="shared" si="1"/>
        <v>0.10080188054860945</v>
      </c>
    </row>
    <row r="25" spans="1:24" x14ac:dyDescent="0.3">
      <c r="A25" t="s">
        <v>0</v>
      </c>
      <c r="B25">
        <v>456</v>
      </c>
      <c r="C25" t="s">
        <v>1</v>
      </c>
      <c r="D25">
        <v>364</v>
      </c>
      <c r="E25" t="s">
        <v>74</v>
      </c>
      <c r="F25">
        <v>34.5921302494272</v>
      </c>
      <c r="G25" t="s">
        <v>2</v>
      </c>
      <c r="H25">
        <v>7.5859934757515804E-2</v>
      </c>
      <c r="I25" t="s">
        <v>3</v>
      </c>
      <c r="J25">
        <v>-3.2149014105748099</v>
      </c>
      <c r="K25" t="s">
        <v>4</v>
      </c>
      <c r="L25">
        <v>0.80000922276519704</v>
      </c>
      <c r="M25" t="s">
        <v>5</v>
      </c>
      <c r="N25" t="s">
        <v>64</v>
      </c>
      <c r="O25" t="s">
        <v>23</v>
      </c>
      <c r="P25">
        <v>0</v>
      </c>
      <c r="Q25" t="s">
        <v>8</v>
      </c>
      <c r="R25" t="s">
        <v>9</v>
      </c>
      <c r="S25" t="s">
        <v>215</v>
      </c>
      <c r="T25" t="s">
        <v>54</v>
      </c>
      <c r="U25">
        <v>0</v>
      </c>
      <c r="V25" t="s">
        <v>12</v>
      </c>
      <c r="W25" s="9">
        <f t="shared" si="0"/>
        <v>0.79824561403508776</v>
      </c>
      <c r="X25">
        <f t="shared" si="1"/>
        <v>9.4823825274550258E-2</v>
      </c>
    </row>
    <row r="26" spans="1:24" x14ac:dyDescent="0.3">
      <c r="A26" t="s">
        <v>0</v>
      </c>
      <c r="B26">
        <v>2277</v>
      </c>
      <c r="C26" t="s">
        <v>1</v>
      </c>
      <c r="D26">
        <v>1738</v>
      </c>
      <c r="E26" t="s">
        <v>74</v>
      </c>
      <c r="F26">
        <v>-11.2593570888421</v>
      </c>
      <c r="G26" t="s">
        <v>2</v>
      </c>
      <c r="H26">
        <v>-4.9448208558814698E-3</v>
      </c>
      <c r="I26" t="s">
        <v>3</v>
      </c>
      <c r="J26">
        <v>-2.77628378109788</v>
      </c>
      <c r="K26" t="s">
        <v>4</v>
      </c>
      <c r="L26">
        <v>2.9145721101419899</v>
      </c>
      <c r="M26" t="s">
        <v>5</v>
      </c>
      <c r="N26" t="s">
        <v>65</v>
      </c>
      <c r="O26" t="s">
        <v>58</v>
      </c>
      <c r="P26">
        <v>0</v>
      </c>
      <c r="Q26" t="s">
        <v>8</v>
      </c>
      <c r="R26" t="s">
        <v>9</v>
      </c>
      <c r="S26" t="s">
        <v>216</v>
      </c>
      <c r="T26" t="s">
        <v>178</v>
      </c>
      <c r="U26">
        <v>0</v>
      </c>
      <c r="V26" t="s">
        <v>12</v>
      </c>
      <c r="W26" s="9">
        <f t="shared" si="0"/>
        <v>0.76328502415458932</v>
      </c>
      <c r="X26">
        <f t="shared" si="1"/>
        <v>-1.6965855257705638E-3</v>
      </c>
    </row>
    <row r="27" spans="1:24" x14ac:dyDescent="0.3">
      <c r="A27" t="s">
        <v>0</v>
      </c>
      <c r="B27">
        <v>1588</v>
      </c>
      <c r="C27" t="s">
        <v>1</v>
      </c>
      <c r="D27">
        <v>1258</v>
      </c>
      <c r="E27" t="s">
        <v>74</v>
      </c>
      <c r="F27">
        <v>93.524728915971593</v>
      </c>
      <c r="G27" t="s">
        <v>2</v>
      </c>
      <c r="H27">
        <v>5.88946655642138E-2</v>
      </c>
      <c r="I27" t="s">
        <v>3</v>
      </c>
      <c r="J27">
        <v>-3.3244385704502202</v>
      </c>
      <c r="K27" t="s">
        <v>4</v>
      </c>
      <c r="L27">
        <v>2.4517340781819299</v>
      </c>
      <c r="M27" t="s">
        <v>5</v>
      </c>
      <c r="N27" t="s">
        <v>65</v>
      </c>
      <c r="O27" t="s">
        <v>58</v>
      </c>
      <c r="P27">
        <v>0</v>
      </c>
      <c r="Q27" t="s">
        <v>8</v>
      </c>
      <c r="R27" t="s">
        <v>9</v>
      </c>
      <c r="S27" t="s">
        <v>217</v>
      </c>
      <c r="T27" t="s">
        <v>54</v>
      </c>
      <c r="U27">
        <v>0</v>
      </c>
      <c r="V27" t="s">
        <v>12</v>
      </c>
      <c r="W27" s="9">
        <f t="shared" si="0"/>
        <v>0.79219143576826201</v>
      </c>
      <c r="X27">
        <f t="shared" si="1"/>
        <v>2.4021636803240431E-2</v>
      </c>
    </row>
    <row r="28" spans="1:24" x14ac:dyDescent="0.3">
      <c r="A28" t="s">
        <v>0</v>
      </c>
      <c r="B28">
        <v>1370</v>
      </c>
      <c r="C28" t="s">
        <v>1</v>
      </c>
      <c r="D28">
        <v>1098</v>
      </c>
      <c r="E28" t="s">
        <v>74</v>
      </c>
      <c r="F28">
        <v>149.93843186404101</v>
      </c>
      <c r="G28" t="s">
        <v>2</v>
      </c>
      <c r="H28">
        <v>0.109444110849665</v>
      </c>
      <c r="I28" t="s">
        <v>3</v>
      </c>
      <c r="J28">
        <v>-3.1298941052663398</v>
      </c>
      <c r="K28" t="s">
        <v>4</v>
      </c>
      <c r="L28">
        <v>2.1746742663138101</v>
      </c>
      <c r="M28" t="s">
        <v>5</v>
      </c>
      <c r="N28" t="s">
        <v>66</v>
      </c>
      <c r="O28" t="s">
        <v>23</v>
      </c>
      <c r="P28">
        <v>0</v>
      </c>
      <c r="Q28" t="s">
        <v>8</v>
      </c>
      <c r="R28" t="s">
        <v>9</v>
      </c>
      <c r="S28" t="s">
        <v>217</v>
      </c>
      <c r="T28" t="s">
        <v>54</v>
      </c>
      <c r="U28">
        <v>0</v>
      </c>
      <c r="V28" t="s">
        <v>12</v>
      </c>
      <c r="W28" s="9">
        <f t="shared" si="0"/>
        <v>0.80145985401459852</v>
      </c>
      <c r="X28">
        <f t="shared" si="1"/>
        <v>5.0326668478575719E-2</v>
      </c>
    </row>
    <row r="29" spans="1:24" x14ac:dyDescent="0.3">
      <c r="A29" t="s">
        <v>0</v>
      </c>
      <c r="B29">
        <v>1175</v>
      </c>
      <c r="C29" t="s">
        <v>1</v>
      </c>
      <c r="D29">
        <v>938</v>
      </c>
      <c r="E29" t="s">
        <v>74</v>
      </c>
      <c r="F29">
        <v>101.810993916936</v>
      </c>
      <c r="G29" t="s">
        <v>2</v>
      </c>
      <c r="H29">
        <v>8.6647654397392498E-2</v>
      </c>
      <c r="I29" t="s">
        <v>3</v>
      </c>
      <c r="J29">
        <v>-3.2071091033310499</v>
      </c>
      <c r="K29" t="s">
        <v>4</v>
      </c>
      <c r="L29">
        <v>1.96200342735999</v>
      </c>
      <c r="M29" t="s">
        <v>5</v>
      </c>
      <c r="N29" t="s">
        <v>66</v>
      </c>
      <c r="O29" t="s">
        <v>23</v>
      </c>
      <c r="P29">
        <v>0</v>
      </c>
      <c r="Q29" t="s">
        <v>8</v>
      </c>
      <c r="R29" t="s">
        <v>9</v>
      </c>
      <c r="S29" t="s">
        <v>218</v>
      </c>
      <c r="T29" t="s">
        <v>54</v>
      </c>
      <c r="U29">
        <v>0</v>
      </c>
      <c r="V29" t="s">
        <v>12</v>
      </c>
      <c r="W29" s="9">
        <f t="shared" si="0"/>
        <v>0.79829787234042549</v>
      </c>
      <c r="X29">
        <f t="shared" si="1"/>
        <v>4.4162845583803519E-2</v>
      </c>
    </row>
    <row r="31" spans="1:24" x14ac:dyDescent="0.3">
      <c r="A31" s="1" t="s">
        <v>227</v>
      </c>
    </row>
    <row r="32" spans="1:24" x14ac:dyDescent="0.3">
      <c r="A32" t="s">
        <v>0</v>
      </c>
      <c r="B32">
        <v>897</v>
      </c>
      <c r="C32" t="s">
        <v>1</v>
      </c>
      <c r="D32">
        <v>665</v>
      </c>
      <c r="E32" t="s">
        <v>74</v>
      </c>
      <c r="F32">
        <v>27.358053340250301</v>
      </c>
      <c r="G32" t="s">
        <v>2</v>
      </c>
      <c r="H32">
        <v>3.04995020515611E-2</v>
      </c>
      <c r="I32" t="s">
        <v>3</v>
      </c>
      <c r="J32">
        <v>-2.1403101644388101</v>
      </c>
      <c r="K32" t="s">
        <v>4</v>
      </c>
      <c r="L32">
        <v>1.0733888993934899</v>
      </c>
      <c r="M32" t="s">
        <v>5</v>
      </c>
      <c r="N32" t="s">
        <v>67</v>
      </c>
      <c r="O32" t="s">
        <v>29</v>
      </c>
      <c r="P32">
        <v>0</v>
      </c>
      <c r="Q32" t="s">
        <v>8</v>
      </c>
      <c r="R32" t="s">
        <v>9</v>
      </c>
      <c r="S32" t="s">
        <v>220</v>
      </c>
      <c r="T32" t="s">
        <v>29</v>
      </c>
      <c r="U32">
        <v>0</v>
      </c>
      <c r="V32" t="s">
        <v>12</v>
      </c>
      <c r="W32" s="9">
        <f t="shared" ref="W32:W39" si="2">D32/B32</f>
        <v>0.74136008918617613</v>
      </c>
      <c r="X32">
        <f t="shared" ref="X32:X39" si="3">H32/L32</f>
        <v>2.8414214148101035E-2</v>
      </c>
    </row>
    <row r="33" spans="1:24" x14ac:dyDescent="0.3">
      <c r="A33" t="s">
        <v>0</v>
      </c>
      <c r="B33">
        <v>623</v>
      </c>
      <c r="C33" t="s">
        <v>1</v>
      </c>
      <c r="D33">
        <v>483</v>
      </c>
      <c r="E33" t="s">
        <v>74</v>
      </c>
      <c r="F33">
        <v>75.865266701766004</v>
      </c>
      <c r="G33" t="s">
        <v>2</v>
      </c>
      <c r="H33">
        <v>0.12177410385516201</v>
      </c>
      <c r="I33" t="s">
        <v>3</v>
      </c>
      <c r="J33">
        <v>-2.4069602027995098</v>
      </c>
      <c r="K33" t="s">
        <v>4</v>
      </c>
      <c r="L33">
        <v>0.88293179122769305</v>
      </c>
      <c r="M33" t="s">
        <v>5</v>
      </c>
      <c r="N33" t="s">
        <v>68</v>
      </c>
      <c r="O33" t="s">
        <v>23</v>
      </c>
      <c r="P33">
        <v>0</v>
      </c>
      <c r="Q33" t="s">
        <v>8</v>
      </c>
      <c r="R33" t="s">
        <v>9</v>
      </c>
      <c r="S33" t="s">
        <v>221</v>
      </c>
      <c r="T33" t="s">
        <v>222</v>
      </c>
      <c r="U33">
        <v>0</v>
      </c>
      <c r="V33" t="s">
        <v>12</v>
      </c>
      <c r="W33" s="9">
        <f t="shared" si="2"/>
        <v>0.7752808988764045</v>
      </c>
      <c r="X33">
        <f t="shared" si="3"/>
        <v>0.13792017125789341</v>
      </c>
    </row>
    <row r="34" spans="1:24" x14ac:dyDescent="0.3">
      <c r="A34" t="s">
        <v>0</v>
      </c>
      <c r="B34">
        <v>534</v>
      </c>
      <c r="C34" t="s">
        <v>1</v>
      </c>
      <c r="D34">
        <v>419</v>
      </c>
      <c r="E34" t="s">
        <v>74</v>
      </c>
      <c r="F34">
        <v>94.563920755226306</v>
      </c>
      <c r="G34" t="s">
        <v>2</v>
      </c>
      <c r="H34">
        <v>0.17708599392364399</v>
      </c>
      <c r="I34" t="s">
        <v>3</v>
      </c>
      <c r="J34">
        <v>-2.2114139414560801</v>
      </c>
      <c r="K34" t="s">
        <v>4</v>
      </c>
      <c r="L34">
        <v>0.78607667954859906</v>
      </c>
      <c r="M34" t="s">
        <v>5</v>
      </c>
      <c r="N34" t="s">
        <v>69</v>
      </c>
      <c r="O34" t="s">
        <v>54</v>
      </c>
      <c r="P34">
        <v>0</v>
      </c>
      <c r="Q34" t="s">
        <v>8</v>
      </c>
      <c r="R34" t="s">
        <v>9</v>
      </c>
      <c r="S34" t="s">
        <v>223</v>
      </c>
      <c r="T34" t="s">
        <v>222</v>
      </c>
      <c r="U34">
        <v>0</v>
      </c>
      <c r="V34" t="s">
        <v>12</v>
      </c>
      <c r="W34" s="9">
        <f t="shared" si="2"/>
        <v>0.78464419475655434</v>
      </c>
      <c r="X34">
        <f t="shared" si="3"/>
        <v>0.2252782693227012</v>
      </c>
    </row>
    <row r="35" spans="1:24" x14ac:dyDescent="0.3">
      <c r="A35" t="s">
        <v>0</v>
      </c>
      <c r="B35">
        <v>456</v>
      </c>
      <c r="C35" t="s">
        <v>1</v>
      </c>
      <c r="D35">
        <v>358</v>
      </c>
      <c r="E35" t="s">
        <v>74</v>
      </c>
      <c r="F35">
        <v>75.341433924028195</v>
      </c>
      <c r="G35" t="s">
        <v>2</v>
      </c>
      <c r="H35">
        <v>0.165222442815851</v>
      </c>
      <c r="I35" t="s">
        <v>3</v>
      </c>
      <c r="J35">
        <v>-2.2483956460014598</v>
      </c>
      <c r="K35" t="s">
        <v>4</v>
      </c>
      <c r="L35">
        <v>0.70108940210266102</v>
      </c>
      <c r="M35" t="s">
        <v>5</v>
      </c>
      <c r="N35" t="s">
        <v>69</v>
      </c>
      <c r="O35" t="s">
        <v>54</v>
      </c>
      <c r="P35">
        <v>0</v>
      </c>
      <c r="Q35" t="s">
        <v>8</v>
      </c>
      <c r="R35" t="s">
        <v>9</v>
      </c>
      <c r="S35" t="s">
        <v>223</v>
      </c>
      <c r="T35" t="s">
        <v>222</v>
      </c>
      <c r="U35">
        <v>0</v>
      </c>
      <c r="V35" t="s">
        <v>12</v>
      </c>
      <c r="W35" s="9">
        <f t="shared" si="2"/>
        <v>0.78508771929824561</v>
      </c>
      <c r="X35">
        <f t="shared" si="3"/>
        <v>0.23566529792110216</v>
      </c>
    </row>
    <row r="36" spans="1:24" x14ac:dyDescent="0.3">
      <c r="A36" t="s">
        <v>0</v>
      </c>
      <c r="B36">
        <v>2277</v>
      </c>
      <c r="C36" t="s">
        <v>1</v>
      </c>
      <c r="D36">
        <v>1695</v>
      </c>
      <c r="E36" t="s">
        <v>74</v>
      </c>
      <c r="F36">
        <v>145.76071154125299</v>
      </c>
      <c r="G36" t="s">
        <v>2</v>
      </c>
      <c r="H36">
        <v>6.4014366069940098E-2</v>
      </c>
      <c r="I36" t="s">
        <v>3</v>
      </c>
      <c r="J36">
        <v>-2.0921454244244702</v>
      </c>
      <c r="K36" t="s">
        <v>4</v>
      </c>
      <c r="L36">
        <v>2.5592896460821102</v>
      </c>
      <c r="M36" t="s">
        <v>5</v>
      </c>
      <c r="N36" t="s">
        <v>67</v>
      </c>
      <c r="O36" t="s">
        <v>29</v>
      </c>
      <c r="P36">
        <v>0</v>
      </c>
      <c r="Q36" t="s">
        <v>8</v>
      </c>
      <c r="R36" t="s">
        <v>9</v>
      </c>
      <c r="S36" t="s">
        <v>224</v>
      </c>
      <c r="T36" t="s">
        <v>29</v>
      </c>
      <c r="U36">
        <v>0</v>
      </c>
      <c r="V36" t="s">
        <v>12</v>
      </c>
      <c r="W36" s="9">
        <f t="shared" si="2"/>
        <v>0.74440052700922266</v>
      </c>
      <c r="X36">
        <f t="shared" si="3"/>
        <v>2.5012552279081238E-2</v>
      </c>
    </row>
    <row r="37" spans="1:24" x14ac:dyDescent="0.3">
      <c r="A37" t="s">
        <v>0</v>
      </c>
      <c r="B37">
        <v>1588</v>
      </c>
      <c r="C37" t="s">
        <v>1</v>
      </c>
      <c r="D37">
        <v>1231</v>
      </c>
      <c r="E37" t="s">
        <v>74</v>
      </c>
      <c r="F37">
        <v>232.51815108674401</v>
      </c>
      <c r="G37" t="s">
        <v>2</v>
      </c>
      <c r="H37">
        <v>0.14642200950046799</v>
      </c>
      <c r="I37" t="s">
        <v>3</v>
      </c>
      <c r="J37">
        <v>-2.37203032331777</v>
      </c>
      <c r="K37" t="s">
        <v>4</v>
      </c>
      <c r="L37">
        <v>2.1087463234967401</v>
      </c>
      <c r="M37" t="s">
        <v>5</v>
      </c>
      <c r="N37" t="s">
        <v>68</v>
      </c>
      <c r="O37" t="s">
        <v>23</v>
      </c>
      <c r="P37">
        <v>0</v>
      </c>
      <c r="Q37" t="s">
        <v>8</v>
      </c>
      <c r="R37" t="s">
        <v>9</v>
      </c>
      <c r="S37" t="s">
        <v>225</v>
      </c>
      <c r="T37" t="s">
        <v>222</v>
      </c>
      <c r="U37">
        <v>0</v>
      </c>
      <c r="V37" t="s">
        <v>12</v>
      </c>
      <c r="W37" s="9">
        <f t="shared" si="2"/>
        <v>0.77518891687657432</v>
      </c>
      <c r="X37">
        <f t="shared" si="3"/>
        <v>6.9435573102823403E-2</v>
      </c>
    </row>
    <row r="38" spans="1:24" x14ac:dyDescent="0.3">
      <c r="A38" t="s">
        <v>0</v>
      </c>
      <c r="B38">
        <v>1370</v>
      </c>
      <c r="C38" t="s">
        <v>1</v>
      </c>
      <c r="D38">
        <v>1068</v>
      </c>
      <c r="E38" t="s">
        <v>74</v>
      </c>
      <c r="F38">
        <v>228.84997631369299</v>
      </c>
      <c r="G38" t="s">
        <v>2</v>
      </c>
      <c r="H38">
        <v>0.16704377833116199</v>
      </c>
      <c r="I38" t="s">
        <v>3</v>
      </c>
      <c r="J38">
        <v>-2.2423145031029801</v>
      </c>
      <c r="K38" t="s">
        <v>4</v>
      </c>
      <c r="L38">
        <v>1.8894698098448099</v>
      </c>
      <c r="M38" t="s">
        <v>5</v>
      </c>
      <c r="N38" t="s">
        <v>69</v>
      </c>
      <c r="O38" t="s">
        <v>54</v>
      </c>
      <c r="P38">
        <v>0</v>
      </c>
      <c r="Q38" t="s">
        <v>8</v>
      </c>
      <c r="R38" t="s">
        <v>9</v>
      </c>
      <c r="S38" t="s">
        <v>226</v>
      </c>
      <c r="T38" t="s">
        <v>54</v>
      </c>
      <c r="U38">
        <v>0</v>
      </c>
      <c r="V38" t="s">
        <v>12</v>
      </c>
      <c r="W38" s="9">
        <f t="shared" si="2"/>
        <v>0.77956204379562044</v>
      </c>
      <c r="X38">
        <f t="shared" si="3"/>
        <v>8.8407751984606722E-2</v>
      </c>
    </row>
    <row r="39" spans="1:24" x14ac:dyDescent="0.3">
      <c r="A39" t="s">
        <v>0</v>
      </c>
      <c r="B39">
        <v>1175</v>
      </c>
      <c r="C39" t="s">
        <v>1</v>
      </c>
      <c r="D39">
        <v>910</v>
      </c>
      <c r="E39" t="s">
        <v>74</v>
      </c>
      <c r="F39">
        <v>159.52139684390099</v>
      </c>
      <c r="G39" t="s">
        <v>2</v>
      </c>
      <c r="H39">
        <v>0.13576289093097901</v>
      </c>
      <c r="I39" t="s">
        <v>3</v>
      </c>
      <c r="J39">
        <v>-2.2999078147764198</v>
      </c>
      <c r="K39" t="s">
        <v>4</v>
      </c>
      <c r="L39">
        <v>1.7045551802112999</v>
      </c>
      <c r="M39" t="s">
        <v>5</v>
      </c>
      <c r="N39" t="s">
        <v>69</v>
      </c>
      <c r="O39" t="s">
        <v>54</v>
      </c>
      <c r="P39">
        <v>0</v>
      </c>
      <c r="Q39" t="s">
        <v>8</v>
      </c>
      <c r="R39" t="s">
        <v>9</v>
      </c>
      <c r="S39" t="s">
        <v>226</v>
      </c>
      <c r="T39" t="s">
        <v>54</v>
      </c>
      <c r="U39">
        <v>0</v>
      </c>
      <c r="V39" t="s">
        <v>12</v>
      </c>
      <c r="W39" s="9">
        <f t="shared" si="2"/>
        <v>0.77446808510638299</v>
      </c>
      <c r="X39">
        <f t="shared" si="3"/>
        <v>7.9647108235093675E-2</v>
      </c>
    </row>
    <row r="41" spans="1:24" x14ac:dyDescent="0.3">
      <c r="A41" s="1" t="s">
        <v>235</v>
      </c>
    </row>
    <row r="42" spans="1:24" x14ac:dyDescent="0.3">
      <c r="A42" t="s">
        <v>0</v>
      </c>
      <c r="B42">
        <v>897</v>
      </c>
      <c r="C42" t="s">
        <v>1</v>
      </c>
      <c r="D42">
        <v>679</v>
      </c>
      <c r="E42" t="s">
        <v>74</v>
      </c>
      <c r="F42">
        <v>-38.965295566830697</v>
      </c>
      <c r="G42" t="s">
        <v>2</v>
      </c>
      <c r="H42">
        <v>-4.3439571423445601E-2</v>
      </c>
      <c r="I42" t="s">
        <v>3</v>
      </c>
      <c r="J42">
        <v>-2.99353256317755</v>
      </c>
      <c r="K42" t="s">
        <v>4</v>
      </c>
      <c r="L42">
        <v>1.3319213549609601</v>
      </c>
      <c r="M42" t="s">
        <v>5</v>
      </c>
      <c r="N42" t="s">
        <v>70</v>
      </c>
      <c r="O42" t="s">
        <v>29</v>
      </c>
      <c r="P42">
        <v>0</v>
      </c>
      <c r="Q42" t="s">
        <v>8</v>
      </c>
      <c r="R42" t="s">
        <v>9</v>
      </c>
      <c r="S42" t="s">
        <v>229</v>
      </c>
      <c r="T42" t="s">
        <v>29</v>
      </c>
      <c r="U42">
        <v>0</v>
      </c>
      <c r="V42" t="s">
        <v>12</v>
      </c>
      <c r="W42" s="9">
        <f t="shared" ref="W42:W49" si="4">D42/B42</f>
        <v>0.75696767001114829</v>
      </c>
      <c r="X42">
        <f t="shared" ref="X42:X49" si="5">H42/L42</f>
        <v>-3.2614216493825086E-2</v>
      </c>
    </row>
    <row r="43" spans="1:24" x14ac:dyDescent="0.3">
      <c r="A43" t="s">
        <v>0</v>
      </c>
      <c r="B43">
        <v>623</v>
      </c>
      <c r="C43" t="s">
        <v>1</v>
      </c>
      <c r="D43">
        <v>492</v>
      </c>
      <c r="E43" t="s">
        <v>74</v>
      </c>
      <c r="F43">
        <v>25.995166572025301</v>
      </c>
      <c r="G43" t="s">
        <v>2</v>
      </c>
      <c r="H43">
        <v>4.1725789040169103E-2</v>
      </c>
      <c r="I43" t="s">
        <v>3</v>
      </c>
      <c r="J43">
        <v>-3.4969650903059399</v>
      </c>
      <c r="K43" t="s">
        <v>4</v>
      </c>
      <c r="L43">
        <v>1.09573948844145</v>
      </c>
      <c r="M43" t="s">
        <v>5</v>
      </c>
      <c r="N43" t="s">
        <v>71</v>
      </c>
      <c r="O43" t="s">
        <v>23</v>
      </c>
      <c r="P43">
        <v>0</v>
      </c>
      <c r="Q43" t="s">
        <v>8</v>
      </c>
      <c r="R43" t="s">
        <v>9</v>
      </c>
      <c r="S43" t="s">
        <v>230</v>
      </c>
      <c r="T43" t="s">
        <v>222</v>
      </c>
      <c r="U43">
        <v>0</v>
      </c>
      <c r="V43" t="s">
        <v>12</v>
      </c>
      <c r="W43" s="9">
        <f t="shared" si="4"/>
        <v>0.7897271268057785</v>
      </c>
      <c r="X43">
        <f t="shared" si="5"/>
        <v>3.8080026758475896E-2</v>
      </c>
    </row>
    <row r="44" spans="1:24" x14ac:dyDescent="0.3">
      <c r="A44" t="s">
        <v>0</v>
      </c>
      <c r="B44">
        <v>534</v>
      </c>
      <c r="C44" t="s">
        <v>1</v>
      </c>
      <c r="D44">
        <v>428</v>
      </c>
      <c r="E44" t="s">
        <v>74</v>
      </c>
      <c r="F44">
        <v>66.380143076667807</v>
      </c>
      <c r="G44" t="s">
        <v>2</v>
      </c>
      <c r="H44">
        <v>0.12430738403870301</v>
      </c>
      <c r="I44" t="s">
        <v>3</v>
      </c>
      <c r="J44">
        <v>-3.25371372890271</v>
      </c>
      <c r="K44" t="s">
        <v>4</v>
      </c>
      <c r="L44">
        <v>0.95578835267447504</v>
      </c>
      <c r="M44" t="s">
        <v>5</v>
      </c>
      <c r="N44" t="s">
        <v>72</v>
      </c>
      <c r="O44" t="s">
        <v>54</v>
      </c>
      <c r="P44">
        <v>0</v>
      </c>
      <c r="Q44" t="s">
        <v>8</v>
      </c>
      <c r="R44" t="s">
        <v>9</v>
      </c>
      <c r="S44" t="s">
        <v>231</v>
      </c>
      <c r="T44" t="s">
        <v>222</v>
      </c>
      <c r="U44">
        <v>0</v>
      </c>
      <c r="V44" t="s">
        <v>12</v>
      </c>
      <c r="W44" s="9">
        <f t="shared" si="4"/>
        <v>0.80149812734082393</v>
      </c>
      <c r="X44">
        <f t="shared" si="5"/>
        <v>0.13005743760202521</v>
      </c>
    </row>
    <row r="45" spans="1:24" x14ac:dyDescent="0.3">
      <c r="A45" t="s">
        <v>0</v>
      </c>
      <c r="B45">
        <v>456</v>
      </c>
      <c r="C45" t="s">
        <v>1</v>
      </c>
      <c r="D45">
        <v>365</v>
      </c>
      <c r="E45" t="s">
        <v>74</v>
      </c>
      <c r="F45">
        <v>48.850973409193301</v>
      </c>
      <c r="G45" t="s">
        <v>2</v>
      </c>
      <c r="H45">
        <v>0.10712932765173901</v>
      </c>
      <c r="I45" t="s">
        <v>3</v>
      </c>
      <c r="J45">
        <v>-3.3205608371186499</v>
      </c>
      <c r="K45" t="s">
        <v>4</v>
      </c>
      <c r="L45">
        <v>0.87166633760304302</v>
      </c>
      <c r="M45" t="s">
        <v>5</v>
      </c>
      <c r="N45" t="s">
        <v>72</v>
      </c>
      <c r="O45" t="s">
        <v>54</v>
      </c>
      <c r="P45">
        <v>0</v>
      </c>
      <c r="Q45" t="s">
        <v>8</v>
      </c>
      <c r="R45" t="s">
        <v>9</v>
      </c>
      <c r="S45" t="s">
        <v>231</v>
      </c>
      <c r="T45" t="s">
        <v>222</v>
      </c>
      <c r="U45">
        <v>0</v>
      </c>
      <c r="V45" t="s">
        <v>12</v>
      </c>
      <c r="W45" s="9">
        <f t="shared" si="4"/>
        <v>0.80043859649122806</v>
      </c>
      <c r="X45">
        <f t="shared" si="5"/>
        <v>0.12290176071996682</v>
      </c>
    </row>
    <row r="46" spans="1:24" x14ac:dyDescent="0.3">
      <c r="A46" t="s">
        <v>0</v>
      </c>
      <c r="B46">
        <v>2277</v>
      </c>
      <c r="C46" t="s">
        <v>1</v>
      </c>
      <c r="D46">
        <v>1720</v>
      </c>
      <c r="E46" t="s">
        <v>74</v>
      </c>
      <c r="F46">
        <v>-38.224777022919497</v>
      </c>
      <c r="G46" t="s">
        <v>2</v>
      </c>
      <c r="H46">
        <v>-1.67873416877116E-2</v>
      </c>
      <c r="I46" t="s">
        <v>3</v>
      </c>
      <c r="J46">
        <v>-2.9308617540855701</v>
      </c>
      <c r="K46" t="s">
        <v>4</v>
      </c>
      <c r="L46">
        <v>3.08884034248794</v>
      </c>
      <c r="M46" t="s">
        <v>5</v>
      </c>
      <c r="N46" t="s">
        <v>70</v>
      </c>
      <c r="O46" t="s">
        <v>29</v>
      </c>
      <c r="P46">
        <v>0</v>
      </c>
      <c r="Q46" t="s">
        <v>8</v>
      </c>
      <c r="R46" t="s">
        <v>9</v>
      </c>
      <c r="S46" t="s">
        <v>232</v>
      </c>
      <c r="T46" t="s">
        <v>29</v>
      </c>
      <c r="U46">
        <v>0</v>
      </c>
      <c r="V46" t="s">
        <v>12</v>
      </c>
      <c r="W46" s="9">
        <f t="shared" si="4"/>
        <v>0.75537988581466842</v>
      </c>
      <c r="X46">
        <f t="shared" si="5"/>
        <v>-5.4348363224853676E-3</v>
      </c>
    </row>
    <row r="47" spans="1:24" x14ac:dyDescent="0.3">
      <c r="A47" t="s">
        <v>0</v>
      </c>
      <c r="B47">
        <v>1588</v>
      </c>
      <c r="C47" t="s">
        <v>1</v>
      </c>
      <c r="D47">
        <v>1248</v>
      </c>
      <c r="E47" t="s">
        <v>74</v>
      </c>
      <c r="F47">
        <v>89.982939771609693</v>
      </c>
      <c r="G47" t="s">
        <v>2</v>
      </c>
      <c r="H47">
        <v>5.6664319755421702E-2</v>
      </c>
      <c r="I47" t="s">
        <v>3</v>
      </c>
      <c r="J47">
        <v>-3.4545218502866302</v>
      </c>
      <c r="K47" t="s">
        <v>4</v>
      </c>
      <c r="L47">
        <v>2.5770678886659701</v>
      </c>
      <c r="M47" t="s">
        <v>5</v>
      </c>
      <c r="N47" t="s">
        <v>73</v>
      </c>
      <c r="O47" t="s">
        <v>58</v>
      </c>
      <c r="P47">
        <v>0</v>
      </c>
      <c r="Q47" t="s">
        <v>8</v>
      </c>
      <c r="R47" t="s">
        <v>9</v>
      </c>
      <c r="S47" t="s">
        <v>233</v>
      </c>
      <c r="T47" t="s">
        <v>222</v>
      </c>
      <c r="U47">
        <v>0</v>
      </c>
      <c r="V47" t="s">
        <v>12</v>
      </c>
      <c r="W47" s="9">
        <f t="shared" si="4"/>
        <v>0.78589420654911835</v>
      </c>
      <c r="X47">
        <f t="shared" si="5"/>
        <v>2.1987903386105293E-2</v>
      </c>
    </row>
    <row r="48" spans="1:24" x14ac:dyDescent="0.3">
      <c r="A48" t="s">
        <v>0</v>
      </c>
      <c r="B48">
        <v>1370</v>
      </c>
      <c r="C48" t="s">
        <v>1</v>
      </c>
      <c r="D48">
        <v>1091</v>
      </c>
      <c r="E48" t="s">
        <v>74</v>
      </c>
      <c r="F48">
        <v>162.815579832054</v>
      </c>
      <c r="G48" t="s">
        <v>2</v>
      </c>
      <c r="H48">
        <v>0.118843488928507</v>
      </c>
      <c r="I48" t="s">
        <v>3</v>
      </c>
      <c r="J48">
        <v>-3.2427212668186201</v>
      </c>
      <c r="K48" t="s">
        <v>4</v>
      </c>
      <c r="L48">
        <v>2.2986863011381802</v>
      </c>
      <c r="M48" t="s">
        <v>5</v>
      </c>
      <c r="N48" t="s">
        <v>72</v>
      </c>
      <c r="O48" t="s">
        <v>54</v>
      </c>
      <c r="P48">
        <v>0</v>
      </c>
      <c r="Q48" t="s">
        <v>8</v>
      </c>
      <c r="R48" t="s">
        <v>9</v>
      </c>
      <c r="S48" t="s">
        <v>234</v>
      </c>
      <c r="T48" t="s">
        <v>222</v>
      </c>
      <c r="U48">
        <v>0</v>
      </c>
      <c r="V48" t="s">
        <v>12</v>
      </c>
      <c r="W48" s="9">
        <f t="shared" si="4"/>
        <v>0.79635036496350364</v>
      </c>
      <c r="X48">
        <f t="shared" si="5"/>
        <v>5.1700612158197656E-2</v>
      </c>
    </row>
    <row r="49" spans="1:24" x14ac:dyDescent="0.3">
      <c r="A49" t="s">
        <v>0</v>
      </c>
      <c r="B49">
        <v>1175</v>
      </c>
      <c r="C49" t="s">
        <v>1</v>
      </c>
      <c r="D49">
        <v>933</v>
      </c>
      <c r="E49" t="s">
        <v>74</v>
      </c>
      <c r="F49">
        <v>112.788779395369</v>
      </c>
      <c r="G49" t="s">
        <v>2</v>
      </c>
      <c r="H49">
        <v>9.5990450549250705E-2</v>
      </c>
      <c r="I49" t="s">
        <v>3</v>
      </c>
      <c r="J49">
        <v>-3.3053526517101601</v>
      </c>
      <c r="K49" t="s">
        <v>4</v>
      </c>
      <c r="L49">
        <v>2.0918464586251599</v>
      </c>
      <c r="M49" t="s">
        <v>5</v>
      </c>
      <c r="N49" t="s">
        <v>72</v>
      </c>
      <c r="O49" t="s">
        <v>54</v>
      </c>
      <c r="P49">
        <v>0</v>
      </c>
      <c r="Q49" t="s">
        <v>8</v>
      </c>
      <c r="R49" t="s">
        <v>9</v>
      </c>
      <c r="S49" t="s">
        <v>234</v>
      </c>
      <c r="T49" t="s">
        <v>222</v>
      </c>
      <c r="U49">
        <v>0</v>
      </c>
      <c r="V49" t="s">
        <v>12</v>
      </c>
      <c r="W49" s="9">
        <f t="shared" si="4"/>
        <v>0.79404255319148931</v>
      </c>
      <c r="X49">
        <f t="shared" si="5"/>
        <v>4.5887904513001031E-2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E7EB6-BBAD-4F99-915D-6D9098ED1A28}">
  <dimension ref="A1:V13"/>
  <sheetViews>
    <sheetView workbookViewId="0">
      <selection activeCell="E16" sqref="E16"/>
    </sheetView>
  </sheetViews>
  <sheetFormatPr defaultRowHeight="16.5" x14ac:dyDescent="0.3"/>
  <cols>
    <col min="1" max="1" width="23.75" bestFit="1" customWidth="1"/>
    <col min="2" max="2" width="16.125" bestFit="1" customWidth="1"/>
    <col min="3" max="3" width="6.875" bestFit="1" customWidth="1"/>
    <col min="4" max="4" width="16" bestFit="1" customWidth="1"/>
    <col min="5" max="5" width="13.5" bestFit="1" customWidth="1"/>
    <col min="6" max="6" width="21" bestFit="1" customWidth="1"/>
    <col min="7" max="7" width="26.125" bestFit="1" customWidth="1"/>
    <col min="8" max="8" width="13.625" bestFit="1" customWidth="1"/>
    <col min="9" max="9" width="9.75" bestFit="1" customWidth="1"/>
    <col min="10" max="10" width="13.625" bestFit="1" customWidth="1"/>
    <col min="11" max="11" width="5.375" bestFit="1" customWidth="1"/>
    <col min="12" max="12" width="12.75" bestFit="1" customWidth="1"/>
    <col min="13" max="13" width="17.625" bestFit="1" customWidth="1"/>
    <col min="14" max="14" width="21" bestFit="1" customWidth="1"/>
    <col min="15" max="15" width="26.125" bestFit="1" customWidth="1"/>
    <col min="16" max="16" width="2.5" bestFit="1" customWidth="1"/>
    <col min="17" max="17" width="5.125" bestFit="1" customWidth="1"/>
    <col min="18" max="18" width="13.5" bestFit="1" customWidth="1"/>
    <col min="19" max="19" width="7.875" bestFit="1" customWidth="1"/>
    <col min="20" max="20" width="26.125" bestFit="1" customWidth="1"/>
    <col min="21" max="21" width="2.5" bestFit="1" customWidth="1"/>
    <col min="22" max="22" width="5.75" bestFit="1" customWidth="1"/>
  </cols>
  <sheetData>
    <row r="1" spans="1:22" x14ac:dyDescent="0.3">
      <c r="A1" t="s">
        <v>0</v>
      </c>
      <c r="B1">
        <v>374</v>
      </c>
      <c r="C1" t="s">
        <v>1</v>
      </c>
      <c r="D1">
        <v>313</v>
      </c>
      <c r="E1" t="s">
        <v>74</v>
      </c>
      <c r="F1">
        <v>18.731098301069501</v>
      </c>
      <c r="G1" t="s">
        <v>2</v>
      </c>
      <c r="H1">
        <v>5.0083150537619102E-2</v>
      </c>
      <c r="I1" t="s">
        <v>3</v>
      </c>
      <c r="J1">
        <v>-4.2333004884061003</v>
      </c>
      <c r="K1" t="s">
        <v>4</v>
      </c>
      <c r="L1">
        <v>2.1271496623749102</v>
      </c>
      <c r="M1" t="s">
        <v>5</v>
      </c>
      <c r="N1" t="s">
        <v>144</v>
      </c>
      <c r="O1" t="s">
        <v>138</v>
      </c>
      <c r="P1">
        <v>0</v>
      </c>
      <c r="Q1" t="s">
        <v>8</v>
      </c>
      <c r="R1" t="s">
        <v>9</v>
      </c>
      <c r="S1" t="s">
        <v>144</v>
      </c>
      <c r="T1" t="s">
        <v>138</v>
      </c>
      <c r="U1">
        <v>0</v>
      </c>
      <c r="V1" t="s">
        <v>12</v>
      </c>
    </row>
    <row r="2" spans="1:22" x14ac:dyDescent="0.3">
      <c r="A2" t="s">
        <v>0</v>
      </c>
      <c r="B2">
        <v>372</v>
      </c>
      <c r="C2" t="s">
        <v>1</v>
      </c>
      <c r="D2">
        <v>311</v>
      </c>
      <c r="E2" t="s">
        <v>74</v>
      </c>
      <c r="F2">
        <v>14.3610983010695</v>
      </c>
      <c r="G2" t="s">
        <v>2</v>
      </c>
      <c r="H2">
        <v>3.8605102959864399E-2</v>
      </c>
      <c r="I2" t="s">
        <v>3</v>
      </c>
      <c r="J2">
        <v>-4.2333004884061003</v>
      </c>
      <c r="K2" t="s">
        <v>4</v>
      </c>
      <c r="L2">
        <v>2.1142187722533099</v>
      </c>
      <c r="M2" t="s">
        <v>5</v>
      </c>
      <c r="N2" t="s">
        <v>144</v>
      </c>
      <c r="O2" t="s">
        <v>138</v>
      </c>
      <c r="P2">
        <v>0</v>
      </c>
      <c r="Q2" t="s">
        <v>8</v>
      </c>
      <c r="R2" t="s">
        <v>9</v>
      </c>
      <c r="S2" t="s">
        <v>144</v>
      </c>
      <c r="T2" t="s">
        <v>138</v>
      </c>
      <c r="U2">
        <v>0</v>
      </c>
      <c r="V2" t="s">
        <v>12</v>
      </c>
    </row>
    <row r="3" spans="1:22" x14ac:dyDescent="0.3">
      <c r="A3" t="s">
        <v>0</v>
      </c>
      <c r="B3">
        <v>332</v>
      </c>
      <c r="C3" t="s">
        <v>1</v>
      </c>
      <c r="D3">
        <v>279</v>
      </c>
      <c r="E3" t="s">
        <v>74</v>
      </c>
      <c r="F3">
        <v>29.845619508719601</v>
      </c>
      <c r="G3" t="s">
        <v>2</v>
      </c>
      <c r="H3">
        <v>8.9896444303372305E-2</v>
      </c>
      <c r="I3" t="s">
        <v>3</v>
      </c>
      <c r="J3">
        <v>-4.42490566037735</v>
      </c>
      <c r="K3" t="s">
        <v>4</v>
      </c>
      <c r="L3">
        <v>2.0115277226176902</v>
      </c>
      <c r="M3" t="s">
        <v>5</v>
      </c>
      <c r="N3" t="s">
        <v>144</v>
      </c>
      <c r="O3" t="s">
        <v>138</v>
      </c>
      <c r="P3">
        <v>0</v>
      </c>
      <c r="Q3" t="s">
        <v>8</v>
      </c>
      <c r="R3" t="s">
        <v>9</v>
      </c>
      <c r="S3" t="s">
        <v>144</v>
      </c>
      <c r="T3" t="s">
        <v>138</v>
      </c>
      <c r="U3">
        <v>0</v>
      </c>
      <c r="V3" t="s">
        <v>12</v>
      </c>
    </row>
    <row r="4" spans="1:22" s="1" customFormat="1" x14ac:dyDescent="0.3">
      <c r="A4" s="1" t="s">
        <v>0</v>
      </c>
      <c r="B4" s="1">
        <v>274</v>
      </c>
      <c r="C4" s="1" t="s">
        <v>1</v>
      </c>
      <c r="D4" s="1">
        <v>239</v>
      </c>
      <c r="E4" s="1" t="s">
        <v>74</v>
      </c>
      <c r="F4" s="1">
        <v>88.805619508719602</v>
      </c>
      <c r="G4" s="1" t="s">
        <v>2</v>
      </c>
      <c r="H4" s="1">
        <v>0.324108100396786</v>
      </c>
      <c r="I4" s="1" t="s">
        <v>3</v>
      </c>
      <c r="J4" s="1">
        <v>-3.242</v>
      </c>
      <c r="K4" s="1" t="s">
        <v>4</v>
      </c>
      <c r="L4" s="1">
        <v>1.3411108778424601</v>
      </c>
      <c r="M4" s="1" t="s">
        <v>5</v>
      </c>
      <c r="N4" s="1" t="s">
        <v>145</v>
      </c>
      <c r="O4" s="1" t="s">
        <v>141</v>
      </c>
      <c r="P4" s="1">
        <v>0</v>
      </c>
      <c r="Q4" s="1" t="s">
        <v>8</v>
      </c>
      <c r="R4" s="1" t="s">
        <v>9</v>
      </c>
      <c r="S4" s="1" t="s">
        <v>146</v>
      </c>
      <c r="T4" s="1" t="s">
        <v>21</v>
      </c>
      <c r="U4" s="1">
        <v>0</v>
      </c>
      <c r="V4" s="1" t="s">
        <v>12</v>
      </c>
    </row>
    <row r="5" spans="1:22" s="1" customFormat="1" x14ac:dyDescent="0.3">
      <c r="A5" s="1" t="s">
        <v>0</v>
      </c>
      <c r="B5" s="1">
        <v>213</v>
      </c>
      <c r="C5" s="1" t="s">
        <v>1</v>
      </c>
      <c r="D5" s="1">
        <v>187</v>
      </c>
      <c r="E5" s="1" t="s">
        <v>74</v>
      </c>
      <c r="F5" s="1">
        <v>81.235685815809205</v>
      </c>
      <c r="G5" s="1" t="s">
        <v>2</v>
      </c>
      <c r="H5" s="1">
        <v>0.38138819631835302</v>
      </c>
      <c r="I5" s="1" t="s">
        <v>3</v>
      </c>
      <c r="J5" s="1">
        <v>-3.125</v>
      </c>
      <c r="K5" s="1" t="s">
        <v>4</v>
      </c>
      <c r="L5" s="1">
        <v>1.18528311998108</v>
      </c>
      <c r="M5" s="1" t="s">
        <v>5</v>
      </c>
      <c r="N5" s="1" t="s">
        <v>147</v>
      </c>
      <c r="O5" s="1" t="s">
        <v>21</v>
      </c>
      <c r="P5" s="1">
        <v>0</v>
      </c>
      <c r="Q5" s="1" t="s">
        <v>8</v>
      </c>
      <c r="R5" s="1" t="s">
        <v>9</v>
      </c>
      <c r="S5" s="1" t="s">
        <v>146</v>
      </c>
      <c r="T5" s="1" t="s">
        <v>21</v>
      </c>
      <c r="U5" s="1">
        <v>0</v>
      </c>
      <c r="V5" s="1" t="s">
        <v>12</v>
      </c>
    </row>
    <row r="6" spans="1:22" x14ac:dyDescent="0.3">
      <c r="A6" t="s">
        <v>0</v>
      </c>
      <c r="B6">
        <v>234</v>
      </c>
      <c r="C6" t="s">
        <v>1</v>
      </c>
      <c r="D6">
        <v>202</v>
      </c>
      <c r="E6" t="s">
        <v>74</v>
      </c>
      <c r="F6">
        <v>74.625685815809106</v>
      </c>
      <c r="G6" t="s">
        <v>2</v>
      </c>
      <c r="H6">
        <v>0.31891318724704698</v>
      </c>
      <c r="I6" t="s">
        <v>3</v>
      </c>
      <c r="J6">
        <v>-3.1215625</v>
      </c>
      <c r="K6" t="s">
        <v>4</v>
      </c>
      <c r="L6">
        <v>1.25108228960775</v>
      </c>
      <c r="M6" t="s">
        <v>5</v>
      </c>
      <c r="N6" t="s">
        <v>147</v>
      </c>
      <c r="O6" t="s">
        <v>21</v>
      </c>
      <c r="P6">
        <v>0</v>
      </c>
      <c r="Q6" t="s">
        <v>8</v>
      </c>
      <c r="R6" t="s">
        <v>9</v>
      </c>
      <c r="S6" t="s">
        <v>146</v>
      </c>
      <c r="T6" t="s">
        <v>21</v>
      </c>
      <c r="U6">
        <v>0</v>
      </c>
      <c r="V6" t="s">
        <v>12</v>
      </c>
    </row>
    <row r="8" spans="1:22" x14ac:dyDescent="0.3">
      <c r="A8" t="s">
        <v>0</v>
      </c>
      <c r="B8">
        <v>374</v>
      </c>
      <c r="C8" t="s">
        <v>1</v>
      </c>
      <c r="D8">
        <v>317</v>
      </c>
      <c r="E8" t="s">
        <v>74</v>
      </c>
      <c r="F8">
        <v>-13.323776983417901</v>
      </c>
      <c r="G8" t="s">
        <v>2</v>
      </c>
      <c r="H8">
        <v>-3.5625072148176201E-2</v>
      </c>
      <c r="I8" t="s">
        <v>3</v>
      </c>
      <c r="J8">
        <v>-3.65736842105263</v>
      </c>
      <c r="K8" t="s">
        <v>4</v>
      </c>
      <c r="L8">
        <v>2.2620654518634802</v>
      </c>
      <c r="M8" t="s">
        <v>5</v>
      </c>
      <c r="N8" t="s">
        <v>137</v>
      </c>
      <c r="O8" t="s">
        <v>138</v>
      </c>
      <c r="P8">
        <v>0</v>
      </c>
      <c r="Q8" t="s">
        <v>8</v>
      </c>
      <c r="R8" t="s">
        <v>9</v>
      </c>
      <c r="S8" t="s">
        <v>139</v>
      </c>
      <c r="T8" t="s">
        <v>138</v>
      </c>
      <c r="U8">
        <v>0</v>
      </c>
      <c r="V8" t="s">
        <v>12</v>
      </c>
    </row>
    <row r="9" spans="1:22" x14ac:dyDescent="0.3">
      <c r="A9" t="s">
        <v>0</v>
      </c>
      <c r="B9">
        <v>372</v>
      </c>
      <c r="C9" t="s">
        <v>1</v>
      </c>
      <c r="D9">
        <v>315</v>
      </c>
      <c r="E9" t="s">
        <v>74</v>
      </c>
      <c r="F9">
        <v>-15.4137769834179</v>
      </c>
      <c r="G9" t="s">
        <v>2</v>
      </c>
      <c r="H9">
        <v>-4.1434884364026599E-2</v>
      </c>
      <c r="I9" t="s">
        <v>3</v>
      </c>
      <c r="J9">
        <v>-3.65736842105263</v>
      </c>
      <c r="K9" t="s">
        <v>4</v>
      </c>
      <c r="L9">
        <v>2.2559859249389498</v>
      </c>
      <c r="M9" t="s">
        <v>5</v>
      </c>
      <c r="N9" t="s">
        <v>137</v>
      </c>
      <c r="O9" t="s">
        <v>138</v>
      </c>
      <c r="P9">
        <v>0</v>
      </c>
      <c r="Q9" t="s">
        <v>8</v>
      </c>
      <c r="R9" t="s">
        <v>9</v>
      </c>
      <c r="S9" t="s">
        <v>139</v>
      </c>
      <c r="T9" t="s">
        <v>138</v>
      </c>
      <c r="U9">
        <v>0</v>
      </c>
      <c r="V9" t="s">
        <v>12</v>
      </c>
    </row>
    <row r="10" spans="1:22" x14ac:dyDescent="0.3">
      <c r="A10" t="s">
        <v>0</v>
      </c>
      <c r="B10">
        <v>332</v>
      </c>
      <c r="C10" t="s">
        <v>1</v>
      </c>
      <c r="D10">
        <v>282</v>
      </c>
      <c r="E10" t="s">
        <v>74</v>
      </c>
      <c r="F10">
        <v>-13.774121921421701</v>
      </c>
      <c r="G10" t="s">
        <v>2</v>
      </c>
      <c r="H10">
        <v>-4.1488319040426803E-2</v>
      </c>
      <c r="I10" t="s">
        <v>3</v>
      </c>
      <c r="J10">
        <v>-4.0005999999999897</v>
      </c>
      <c r="K10" t="s">
        <v>4</v>
      </c>
      <c r="L10">
        <v>2.1786123963991701</v>
      </c>
      <c r="M10" t="s">
        <v>5</v>
      </c>
      <c r="N10" t="s">
        <v>137</v>
      </c>
      <c r="O10" t="s">
        <v>138</v>
      </c>
      <c r="P10">
        <v>0</v>
      </c>
      <c r="Q10" t="s">
        <v>8</v>
      </c>
      <c r="R10" t="s">
        <v>9</v>
      </c>
      <c r="S10" t="s">
        <v>139</v>
      </c>
      <c r="T10" t="s">
        <v>138</v>
      </c>
      <c r="U10">
        <v>0</v>
      </c>
      <c r="V10" t="s">
        <v>12</v>
      </c>
    </row>
    <row r="11" spans="1:22" s="1" customFormat="1" x14ac:dyDescent="0.3">
      <c r="A11" s="1" t="s">
        <v>0</v>
      </c>
      <c r="B11" s="1">
        <v>274</v>
      </c>
      <c r="C11" s="1" t="s">
        <v>1</v>
      </c>
      <c r="D11" s="1">
        <v>239</v>
      </c>
      <c r="E11" s="1" t="s">
        <v>74</v>
      </c>
      <c r="F11" s="1">
        <v>51.345878078578203</v>
      </c>
      <c r="G11" s="1" t="s">
        <v>2</v>
      </c>
      <c r="H11" s="1">
        <v>0.18739371561524901</v>
      </c>
      <c r="I11" s="1" t="s">
        <v>3</v>
      </c>
      <c r="J11" s="1">
        <v>-2.4034285714285701</v>
      </c>
      <c r="K11" s="1" t="s">
        <v>4</v>
      </c>
      <c r="L11" s="1">
        <v>0.92330683811356795</v>
      </c>
      <c r="M11" s="1" t="s">
        <v>5</v>
      </c>
      <c r="N11" s="1" t="s">
        <v>140</v>
      </c>
      <c r="O11" s="1" t="s">
        <v>141</v>
      </c>
      <c r="P11" s="1">
        <v>0</v>
      </c>
      <c r="Q11" s="1" t="s">
        <v>8</v>
      </c>
      <c r="R11" s="1" t="s">
        <v>9</v>
      </c>
      <c r="S11" s="1" t="s">
        <v>142</v>
      </c>
      <c r="T11" s="1" t="s">
        <v>21</v>
      </c>
      <c r="U11" s="1">
        <v>0</v>
      </c>
      <c r="V11" s="1" t="s">
        <v>12</v>
      </c>
    </row>
    <row r="12" spans="1:22" s="1" customFormat="1" x14ac:dyDescent="0.3">
      <c r="A12" s="1" t="s">
        <v>0</v>
      </c>
      <c r="B12" s="1">
        <v>213</v>
      </c>
      <c r="C12" s="1" t="s">
        <v>1</v>
      </c>
      <c r="D12" s="1">
        <v>188</v>
      </c>
      <c r="E12" s="1" t="s">
        <v>74</v>
      </c>
      <c r="F12" s="1">
        <v>46.940066307089403</v>
      </c>
      <c r="G12" s="1" t="s">
        <v>2</v>
      </c>
      <c r="H12" s="1">
        <v>0.220375898155349</v>
      </c>
      <c r="I12" s="1" t="s">
        <v>3</v>
      </c>
      <c r="J12" s="1">
        <v>-2.4112</v>
      </c>
      <c r="K12" s="1" t="s">
        <v>4</v>
      </c>
      <c r="L12" s="1">
        <v>0.79273485750474104</v>
      </c>
      <c r="M12" s="1" t="s">
        <v>5</v>
      </c>
      <c r="N12" s="1" t="s">
        <v>143</v>
      </c>
      <c r="O12" s="1" t="s">
        <v>21</v>
      </c>
      <c r="P12" s="1">
        <v>0</v>
      </c>
      <c r="Q12" s="1" t="s">
        <v>8</v>
      </c>
      <c r="R12" s="1" t="s">
        <v>9</v>
      </c>
      <c r="S12" s="1" t="s">
        <v>142</v>
      </c>
      <c r="T12" s="1" t="s">
        <v>21</v>
      </c>
      <c r="U12" s="1">
        <v>0</v>
      </c>
      <c r="V12" s="1" t="s">
        <v>12</v>
      </c>
    </row>
    <row r="13" spans="1:22" x14ac:dyDescent="0.3">
      <c r="A13" t="s">
        <v>0</v>
      </c>
      <c r="B13">
        <v>234</v>
      </c>
      <c r="C13" t="s">
        <v>1</v>
      </c>
      <c r="D13">
        <v>203</v>
      </c>
      <c r="E13" t="s">
        <v>74</v>
      </c>
      <c r="F13">
        <v>42.260066307089403</v>
      </c>
      <c r="G13" t="s">
        <v>2</v>
      </c>
      <c r="H13">
        <v>0.18059857396192</v>
      </c>
      <c r="I13" t="s">
        <v>3</v>
      </c>
      <c r="J13">
        <v>-2.3774193548386999</v>
      </c>
      <c r="K13" t="s">
        <v>4</v>
      </c>
      <c r="L13">
        <v>0.844005280591686</v>
      </c>
      <c r="M13" t="s">
        <v>5</v>
      </c>
      <c r="N13" t="s">
        <v>143</v>
      </c>
      <c r="O13" t="s">
        <v>21</v>
      </c>
      <c r="P13">
        <v>0</v>
      </c>
      <c r="Q13" t="s">
        <v>8</v>
      </c>
      <c r="R13" t="s">
        <v>9</v>
      </c>
      <c r="S13" t="s">
        <v>142</v>
      </c>
      <c r="T13" t="s">
        <v>21</v>
      </c>
      <c r="U13">
        <v>0</v>
      </c>
      <c r="V13" t="s">
        <v>12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5E06D-5FC9-4277-876D-573F6B85B448}">
  <dimension ref="A1:V14"/>
  <sheetViews>
    <sheetView workbookViewId="0">
      <selection activeCell="C22" sqref="C22"/>
    </sheetView>
  </sheetViews>
  <sheetFormatPr defaultRowHeight="16.5" x14ac:dyDescent="0.3"/>
  <cols>
    <col min="1" max="2" width="4.5" bestFit="1" customWidth="1"/>
    <col min="3" max="3" width="5.875" bestFit="1" customWidth="1"/>
    <col min="4" max="4" width="4.5" bestFit="1" customWidth="1"/>
    <col min="5" max="5" width="9.75" bestFit="1" customWidth="1"/>
    <col min="6" max="6" width="12.75" bestFit="1" customWidth="1"/>
    <col min="7" max="7" width="8.875" bestFit="1" customWidth="1"/>
    <col min="8" max="8" width="12.75" bestFit="1" customWidth="1"/>
    <col min="9" max="9" width="9.75" bestFit="1" customWidth="1"/>
    <col min="10" max="10" width="13.625" bestFit="1" customWidth="1"/>
    <col min="11" max="11" width="5.375" bestFit="1" customWidth="1"/>
    <col min="12" max="12" width="12.75" bestFit="1" customWidth="1"/>
    <col min="13" max="13" width="17.625" bestFit="1" customWidth="1"/>
    <col min="14" max="14" width="22" bestFit="1" customWidth="1"/>
    <col min="15" max="15" width="26.125" bestFit="1" customWidth="1"/>
    <col min="16" max="16" width="2.5" bestFit="1" customWidth="1"/>
    <col min="17" max="17" width="5.125" bestFit="1" customWidth="1"/>
    <col min="18" max="18" width="13.5" bestFit="1" customWidth="1"/>
    <col min="19" max="19" width="22" bestFit="1" customWidth="1"/>
    <col min="20" max="20" width="26.125" bestFit="1" customWidth="1"/>
    <col min="21" max="21" width="2.5" bestFit="1" customWidth="1"/>
    <col min="22" max="22" width="5.75" bestFit="1" customWidth="1"/>
  </cols>
  <sheetData>
    <row r="1" spans="1:22" x14ac:dyDescent="0.3">
      <c r="A1">
        <v>7.5</v>
      </c>
    </row>
    <row r="2" spans="1:22" x14ac:dyDescent="0.3">
      <c r="A2" t="s">
        <v>0</v>
      </c>
      <c r="B2">
        <v>374</v>
      </c>
      <c r="C2" t="s">
        <v>1</v>
      </c>
      <c r="D2">
        <v>295</v>
      </c>
      <c r="E2" t="s">
        <v>74</v>
      </c>
      <c r="F2">
        <v>-4.5891836793751697</v>
      </c>
      <c r="G2" t="s">
        <v>2</v>
      </c>
      <c r="H2">
        <v>-1.22705445972598E-2</v>
      </c>
      <c r="I2" t="s">
        <v>3</v>
      </c>
      <c r="J2">
        <v>-5.0810444939119304</v>
      </c>
      <c r="K2" t="s">
        <v>4</v>
      </c>
      <c r="L2">
        <v>2.8989030724681601</v>
      </c>
      <c r="M2" t="s">
        <v>5</v>
      </c>
      <c r="N2" t="s">
        <v>155</v>
      </c>
      <c r="O2" t="s">
        <v>138</v>
      </c>
      <c r="P2">
        <v>0</v>
      </c>
      <c r="Q2" t="s">
        <v>8</v>
      </c>
      <c r="R2" t="s">
        <v>9</v>
      </c>
      <c r="S2" t="s">
        <v>156</v>
      </c>
      <c r="T2" t="s">
        <v>138</v>
      </c>
      <c r="U2">
        <v>0</v>
      </c>
      <c r="V2" t="s">
        <v>12</v>
      </c>
    </row>
    <row r="3" spans="1:22" x14ac:dyDescent="0.3">
      <c r="A3" t="s">
        <v>0</v>
      </c>
      <c r="B3">
        <v>372</v>
      </c>
      <c r="C3" t="s">
        <v>1</v>
      </c>
      <c r="D3">
        <v>293</v>
      </c>
      <c r="E3" t="s">
        <v>74</v>
      </c>
      <c r="F3">
        <v>-9.6191836793751797</v>
      </c>
      <c r="G3" t="s">
        <v>2</v>
      </c>
      <c r="H3">
        <v>-2.58580206434816E-2</v>
      </c>
      <c r="I3" t="s">
        <v>3</v>
      </c>
      <c r="J3">
        <v>-5.0810444939119304</v>
      </c>
      <c r="K3" t="s">
        <v>4</v>
      </c>
      <c r="L3">
        <v>2.8949845920502302</v>
      </c>
      <c r="M3" t="s">
        <v>5</v>
      </c>
      <c r="N3" t="s">
        <v>155</v>
      </c>
      <c r="O3" t="s">
        <v>138</v>
      </c>
      <c r="P3">
        <v>0</v>
      </c>
      <c r="Q3" t="s">
        <v>8</v>
      </c>
      <c r="R3" t="s">
        <v>9</v>
      </c>
      <c r="S3" t="s">
        <v>156</v>
      </c>
      <c r="T3" t="s">
        <v>138</v>
      </c>
      <c r="U3">
        <v>0</v>
      </c>
      <c r="V3" t="s">
        <v>12</v>
      </c>
    </row>
    <row r="4" spans="1:22" x14ac:dyDescent="0.3">
      <c r="A4" t="s">
        <v>0</v>
      </c>
      <c r="B4">
        <v>332</v>
      </c>
      <c r="C4" t="s">
        <v>1</v>
      </c>
      <c r="D4">
        <v>264</v>
      </c>
      <c r="E4" t="s">
        <v>74</v>
      </c>
      <c r="F4">
        <v>12.4597669064259</v>
      </c>
      <c r="G4" t="s">
        <v>2</v>
      </c>
      <c r="H4">
        <v>3.7529418392849297E-2</v>
      </c>
      <c r="I4" t="s">
        <v>3</v>
      </c>
      <c r="J4">
        <v>-5.4076644886216103</v>
      </c>
      <c r="K4" t="s">
        <v>4</v>
      </c>
      <c r="L4">
        <v>2.7994220790347799</v>
      </c>
      <c r="M4" t="s">
        <v>5</v>
      </c>
      <c r="N4" t="s">
        <v>155</v>
      </c>
      <c r="O4" t="s">
        <v>138</v>
      </c>
      <c r="P4">
        <v>0</v>
      </c>
      <c r="Q4" t="s">
        <v>8</v>
      </c>
      <c r="R4" t="s">
        <v>9</v>
      </c>
      <c r="S4" t="s">
        <v>156</v>
      </c>
      <c r="T4" t="s">
        <v>138</v>
      </c>
      <c r="U4">
        <v>0</v>
      </c>
      <c r="V4" t="s">
        <v>12</v>
      </c>
    </row>
    <row r="5" spans="1:22" x14ac:dyDescent="0.3">
      <c r="A5" t="s">
        <v>0</v>
      </c>
      <c r="B5">
        <v>274</v>
      </c>
      <c r="C5" t="s">
        <v>1</v>
      </c>
      <c r="D5">
        <v>224</v>
      </c>
      <c r="E5" t="s">
        <v>74</v>
      </c>
      <c r="F5">
        <v>82.530952132695802</v>
      </c>
      <c r="G5" t="s">
        <v>2</v>
      </c>
      <c r="H5">
        <v>0.30120785449888898</v>
      </c>
      <c r="I5" t="s">
        <v>3</v>
      </c>
      <c r="J5">
        <v>-4.1402000000000001</v>
      </c>
      <c r="K5" t="s">
        <v>4</v>
      </c>
      <c r="L5">
        <v>1.8059325033087601</v>
      </c>
      <c r="M5" t="s">
        <v>5</v>
      </c>
      <c r="N5" t="s">
        <v>157</v>
      </c>
      <c r="O5" t="s">
        <v>141</v>
      </c>
      <c r="P5">
        <v>0</v>
      </c>
      <c r="Q5" t="s">
        <v>8</v>
      </c>
      <c r="R5" t="s">
        <v>9</v>
      </c>
      <c r="S5" t="s">
        <v>158</v>
      </c>
      <c r="T5" t="s">
        <v>141</v>
      </c>
      <c r="U5">
        <v>0</v>
      </c>
      <c r="V5" t="s">
        <v>12</v>
      </c>
    </row>
    <row r="6" spans="1:22" s="1" customFormat="1" x14ac:dyDescent="0.3">
      <c r="A6" s="1" t="s">
        <v>0</v>
      </c>
      <c r="B6" s="1">
        <v>213</v>
      </c>
      <c r="C6" s="1" t="s">
        <v>1</v>
      </c>
      <c r="D6" s="1">
        <v>178</v>
      </c>
      <c r="E6" s="1" t="s">
        <v>74</v>
      </c>
      <c r="F6" s="1">
        <v>112.06572385416899</v>
      </c>
      <c r="G6" s="1" t="s">
        <v>2</v>
      </c>
      <c r="H6" s="1">
        <v>0.526130158939762</v>
      </c>
      <c r="I6" s="1" t="s">
        <v>3</v>
      </c>
      <c r="J6" s="1">
        <v>-3.4465714285714202</v>
      </c>
      <c r="K6" s="1" t="s">
        <v>4</v>
      </c>
      <c r="L6" s="1">
        <v>1.3382265145283101</v>
      </c>
      <c r="M6" s="1" t="s">
        <v>5</v>
      </c>
      <c r="N6" s="1" t="s">
        <v>159</v>
      </c>
      <c r="O6" s="1" t="s">
        <v>153</v>
      </c>
      <c r="P6" s="1">
        <v>0</v>
      </c>
      <c r="Q6" s="1" t="s">
        <v>8</v>
      </c>
      <c r="R6" s="1" t="s">
        <v>9</v>
      </c>
      <c r="S6" s="1" t="s">
        <v>160</v>
      </c>
      <c r="T6" s="1" t="s">
        <v>21</v>
      </c>
      <c r="U6" s="1">
        <v>0</v>
      </c>
      <c r="V6" s="1" t="s">
        <v>12</v>
      </c>
    </row>
    <row r="7" spans="1:22" x14ac:dyDescent="0.3">
      <c r="A7" t="s">
        <v>0</v>
      </c>
      <c r="B7">
        <v>234</v>
      </c>
      <c r="C7" t="s">
        <v>1</v>
      </c>
      <c r="D7">
        <v>193</v>
      </c>
      <c r="E7" t="s">
        <v>74</v>
      </c>
      <c r="F7">
        <v>104.45572385416899</v>
      </c>
      <c r="G7" t="s">
        <v>2</v>
      </c>
      <c r="H7">
        <v>0.44639198228277399</v>
      </c>
      <c r="I7" t="s">
        <v>3</v>
      </c>
      <c r="J7">
        <v>-3.5895121951219502</v>
      </c>
      <c r="K7" t="s">
        <v>4</v>
      </c>
      <c r="L7">
        <v>1.42443576204399</v>
      </c>
      <c r="M7" t="s">
        <v>5</v>
      </c>
      <c r="N7" t="s">
        <v>159</v>
      </c>
      <c r="O7" t="s">
        <v>153</v>
      </c>
      <c r="P7">
        <v>0</v>
      </c>
      <c r="Q7" t="s">
        <v>8</v>
      </c>
      <c r="R7" t="s">
        <v>9</v>
      </c>
      <c r="S7" t="s">
        <v>160</v>
      </c>
      <c r="T7" t="s">
        <v>21</v>
      </c>
      <c r="U7">
        <v>0</v>
      </c>
      <c r="V7" t="s">
        <v>12</v>
      </c>
    </row>
    <row r="8" spans="1:22" x14ac:dyDescent="0.3">
      <c r="A8">
        <v>10</v>
      </c>
    </row>
    <row r="9" spans="1:22" x14ac:dyDescent="0.3">
      <c r="A9" s="1" t="s">
        <v>0</v>
      </c>
      <c r="B9">
        <v>374</v>
      </c>
      <c r="C9" t="s">
        <v>1</v>
      </c>
      <c r="D9">
        <v>308</v>
      </c>
      <c r="E9" t="s">
        <v>74</v>
      </c>
      <c r="F9">
        <v>-7.9533157547559998</v>
      </c>
      <c r="G9" t="s">
        <v>2</v>
      </c>
      <c r="H9">
        <v>-2.1265550146406399E-2</v>
      </c>
      <c r="I9" t="s">
        <v>3</v>
      </c>
      <c r="J9">
        <v>-4.3847323476803002</v>
      </c>
      <c r="K9" t="s">
        <v>4</v>
      </c>
      <c r="L9">
        <v>2.4990736196685801</v>
      </c>
      <c r="M9" t="s">
        <v>5</v>
      </c>
      <c r="N9" t="s">
        <v>148</v>
      </c>
      <c r="O9" t="s">
        <v>138</v>
      </c>
      <c r="P9">
        <v>0</v>
      </c>
      <c r="Q9" t="s">
        <v>8</v>
      </c>
      <c r="R9" t="s">
        <v>9</v>
      </c>
      <c r="S9" t="s">
        <v>149</v>
      </c>
      <c r="T9" t="s">
        <v>138</v>
      </c>
      <c r="U9">
        <v>0</v>
      </c>
      <c r="V9" t="s">
        <v>12</v>
      </c>
    </row>
    <row r="10" spans="1:22" x14ac:dyDescent="0.3">
      <c r="A10" t="s">
        <v>0</v>
      </c>
      <c r="B10">
        <v>372</v>
      </c>
      <c r="C10" t="s">
        <v>1</v>
      </c>
      <c r="D10">
        <v>306</v>
      </c>
      <c r="E10" t="s">
        <v>74</v>
      </c>
      <c r="F10">
        <v>-12.3733157547559</v>
      </c>
      <c r="G10" t="s">
        <v>2</v>
      </c>
      <c r="H10">
        <v>-3.3261601491279401E-2</v>
      </c>
      <c r="I10" t="s">
        <v>3</v>
      </c>
      <c r="J10">
        <v>-4.3847323476803002</v>
      </c>
      <c r="K10" t="s">
        <v>4</v>
      </c>
      <c r="L10">
        <v>2.4945769759190402</v>
      </c>
      <c r="M10" t="s">
        <v>5</v>
      </c>
      <c r="N10" t="s">
        <v>148</v>
      </c>
      <c r="O10" t="s">
        <v>138</v>
      </c>
      <c r="P10">
        <v>0</v>
      </c>
      <c r="Q10" t="s">
        <v>8</v>
      </c>
      <c r="R10" t="s">
        <v>9</v>
      </c>
      <c r="S10" t="s">
        <v>149</v>
      </c>
      <c r="T10" t="s">
        <v>138</v>
      </c>
      <c r="U10">
        <v>0</v>
      </c>
      <c r="V10" t="s">
        <v>12</v>
      </c>
    </row>
    <row r="11" spans="1:22" x14ac:dyDescent="0.3">
      <c r="A11" t="s">
        <v>0</v>
      </c>
      <c r="B11">
        <v>332</v>
      </c>
      <c r="C11" t="s">
        <v>1</v>
      </c>
      <c r="D11">
        <v>275</v>
      </c>
      <c r="E11" t="s">
        <v>74</v>
      </c>
      <c r="F11">
        <v>3.7919957964208302</v>
      </c>
      <c r="G11" t="s">
        <v>2</v>
      </c>
      <c r="H11">
        <v>1.14216740856049E-2</v>
      </c>
      <c r="I11" t="s">
        <v>3</v>
      </c>
      <c r="J11">
        <v>-4.65403508771929</v>
      </c>
      <c r="K11" t="s">
        <v>4</v>
      </c>
      <c r="L11">
        <v>2.4083028602589902</v>
      </c>
      <c r="M11" t="s">
        <v>5</v>
      </c>
      <c r="N11" t="s">
        <v>148</v>
      </c>
      <c r="O11" t="s">
        <v>138</v>
      </c>
      <c r="P11">
        <v>0</v>
      </c>
      <c r="Q11" t="s">
        <v>8</v>
      </c>
      <c r="R11" t="s">
        <v>9</v>
      </c>
      <c r="S11" t="s">
        <v>149</v>
      </c>
      <c r="T11" t="s">
        <v>138</v>
      </c>
      <c r="U11">
        <v>0</v>
      </c>
      <c r="V11" t="s">
        <v>12</v>
      </c>
    </row>
    <row r="12" spans="1:22" x14ac:dyDescent="0.3">
      <c r="A12" t="s">
        <v>0</v>
      </c>
      <c r="B12">
        <v>274</v>
      </c>
      <c r="C12" t="s">
        <v>1</v>
      </c>
      <c r="D12">
        <v>232</v>
      </c>
      <c r="E12" t="s">
        <v>74</v>
      </c>
      <c r="F12">
        <v>64.351995796420894</v>
      </c>
      <c r="G12" t="s">
        <v>2</v>
      </c>
      <c r="H12">
        <v>0.23486129852708301</v>
      </c>
      <c r="I12" t="s">
        <v>3</v>
      </c>
      <c r="J12">
        <v>-3.3102380952380899</v>
      </c>
      <c r="K12" t="s">
        <v>4</v>
      </c>
      <c r="L12">
        <v>1.4358744545792099</v>
      </c>
      <c r="M12" t="s">
        <v>5</v>
      </c>
      <c r="N12" t="s">
        <v>150</v>
      </c>
      <c r="O12" t="s">
        <v>141</v>
      </c>
      <c r="P12">
        <v>0</v>
      </c>
      <c r="Q12" t="s">
        <v>8</v>
      </c>
      <c r="R12" t="s">
        <v>9</v>
      </c>
      <c r="S12" t="s">
        <v>151</v>
      </c>
      <c r="T12" t="s">
        <v>141</v>
      </c>
      <c r="U12">
        <v>0</v>
      </c>
      <c r="V12" t="s">
        <v>12</v>
      </c>
    </row>
    <row r="13" spans="1:22" s="1" customFormat="1" x14ac:dyDescent="0.3">
      <c r="A13" s="1" t="s">
        <v>0</v>
      </c>
      <c r="B13" s="1">
        <v>213</v>
      </c>
      <c r="C13" s="1" t="s">
        <v>1</v>
      </c>
      <c r="D13" s="1">
        <v>185</v>
      </c>
      <c r="E13" s="1" t="s">
        <v>74</v>
      </c>
      <c r="F13" s="1">
        <v>89.706049566515603</v>
      </c>
      <c r="G13" s="1" t="s">
        <v>2</v>
      </c>
      <c r="H13" s="1">
        <v>0.42115516228410999</v>
      </c>
      <c r="I13" s="1" t="s">
        <v>3</v>
      </c>
      <c r="J13" s="1">
        <v>-2.64</v>
      </c>
      <c r="K13" s="1" t="s">
        <v>4</v>
      </c>
      <c r="L13" s="1">
        <v>1.0273384774633001</v>
      </c>
      <c r="M13" s="1" t="s">
        <v>5</v>
      </c>
      <c r="N13" s="1" t="s">
        <v>152</v>
      </c>
      <c r="O13" s="1" t="s">
        <v>153</v>
      </c>
      <c r="P13" s="1">
        <v>0</v>
      </c>
      <c r="Q13" s="1" t="s">
        <v>8</v>
      </c>
      <c r="R13" s="1" t="s">
        <v>9</v>
      </c>
      <c r="S13" s="1" t="s">
        <v>154</v>
      </c>
      <c r="T13" s="1" t="s">
        <v>21</v>
      </c>
      <c r="U13" s="1">
        <v>0</v>
      </c>
      <c r="V13" s="1" t="s">
        <v>12</v>
      </c>
    </row>
    <row r="14" spans="1:22" x14ac:dyDescent="0.3">
      <c r="A14" t="s">
        <v>0</v>
      </c>
      <c r="B14">
        <v>234</v>
      </c>
      <c r="C14" t="s">
        <v>1</v>
      </c>
      <c r="D14">
        <v>200</v>
      </c>
      <c r="E14" t="s">
        <v>74</v>
      </c>
      <c r="F14">
        <v>81.636049566515595</v>
      </c>
      <c r="G14" t="s">
        <v>2</v>
      </c>
      <c r="H14">
        <v>0.34887200669451102</v>
      </c>
      <c r="I14" t="s">
        <v>3</v>
      </c>
      <c r="J14">
        <v>-2.7608823529411701</v>
      </c>
      <c r="K14" t="s">
        <v>4</v>
      </c>
      <c r="L14">
        <v>1.0910301603469099</v>
      </c>
      <c r="M14" t="s">
        <v>5</v>
      </c>
      <c r="N14" t="s">
        <v>152</v>
      </c>
      <c r="O14" t="s">
        <v>153</v>
      </c>
      <c r="P14">
        <v>0</v>
      </c>
      <c r="Q14" t="s">
        <v>8</v>
      </c>
      <c r="R14" t="s">
        <v>9</v>
      </c>
      <c r="S14" t="s">
        <v>154</v>
      </c>
      <c r="T14" t="s">
        <v>21</v>
      </c>
      <c r="U14">
        <v>0</v>
      </c>
      <c r="V14" t="s">
        <v>12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F2B63-AFD2-478A-B8B8-F201461872A5}">
  <dimension ref="A1:V20"/>
  <sheetViews>
    <sheetView workbookViewId="0">
      <selection activeCell="D16" sqref="D16:D17"/>
    </sheetView>
  </sheetViews>
  <sheetFormatPr defaultRowHeight="16.5" x14ac:dyDescent="0.3"/>
  <cols>
    <col min="1" max="1" width="23.75" bestFit="1" customWidth="1"/>
    <col min="2" max="2" width="16.125" bestFit="1" customWidth="1"/>
    <col min="3" max="3" width="6.875" bestFit="1" customWidth="1"/>
    <col min="4" max="4" width="16" bestFit="1" customWidth="1"/>
    <col min="5" max="5" width="16" customWidth="1"/>
    <col min="6" max="6" width="13.5" bestFit="1" customWidth="1"/>
    <col min="7" max="7" width="12.75" bestFit="1" customWidth="1"/>
    <col min="8" max="8" width="26.125" bestFit="1" customWidth="1"/>
    <col min="9" max="9" width="13.625" bestFit="1" customWidth="1"/>
    <col min="10" max="10" width="5.75" bestFit="1" customWidth="1"/>
    <col min="11" max="11" width="12.75" bestFit="1" customWidth="1"/>
    <col min="12" max="12" width="17.625" bestFit="1" customWidth="1"/>
    <col min="13" max="13" width="22" bestFit="1" customWidth="1"/>
    <col min="14" max="14" width="26.125" bestFit="1" customWidth="1"/>
    <col min="15" max="15" width="2.5" bestFit="1" customWidth="1"/>
    <col min="16" max="16" width="5.125" bestFit="1" customWidth="1"/>
    <col min="17" max="17" width="13.5" bestFit="1" customWidth="1"/>
    <col min="18" max="18" width="7.875" bestFit="1" customWidth="1"/>
    <col min="19" max="19" width="26.125" bestFit="1" customWidth="1"/>
    <col min="20" max="20" width="2.5" bestFit="1" customWidth="1"/>
    <col min="21" max="21" width="5.75" bestFit="1" customWidth="1"/>
  </cols>
  <sheetData>
    <row r="1" spans="1:22" x14ac:dyDescent="0.3">
      <c r="A1" s="16" t="s">
        <v>0</v>
      </c>
      <c r="B1" s="16">
        <v>1513</v>
      </c>
      <c r="C1" s="16" t="s">
        <v>1</v>
      </c>
      <c r="D1" s="16">
        <v>1266</v>
      </c>
      <c r="E1" s="16" t="s">
        <v>74</v>
      </c>
      <c r="F1" s="16">
        <v>160.88907804988699</v>
      </c>
      <c r="G1" s="16" t="s">
        <v>2</v>
      </c>
      <c r="H1" s="16">
        <v>0.106337791176395</v>
      </c>
      <c r="I1" s="16" t="s">
        <v>3</v>
      </c>
      <c r="J1" s="16">
        <v>-3.5742923578255601</v>
      </c>
      <c r="K1" s="16" t="s">
        <v>4</v>
      </c>
      <c r="L1" s="16">
        <v>1.7138154078085199</v>
      </c>
      <c r="M1" s="16" t="s">
        <v>5</v>
      </c>
      <c r="N1" s="16" t="s">
        <v>38</v>
      </c>
      <c r="O1" s="16" t="s">
        <v>29</v>
      </c>
      <c r="P1" s="16">
        <v>0</v>
      </c>
      <c r="Q1" s="16" t="s">
        <v>8</v>
      </c>
      <c r="R1" s="16" t="s">
        <v>9</v>
      </c>
      <c r="S1" s="16" t="s">
        <v>169</v>
      </c>
      <c r="T1" s="16" t="s">
        <v>29</v>
      </c>
      <c r="U1" s="16">
        <v>0</v>
      </c>
      <c r="V1" s="16" t="s">
        <v>12</v>
      </c>
    </row>
    <row r="2" spans="1:22" x14ac:dyDescent="0.3">
      <c r="A2" s="16" t="s">
        <v>0</v>
      </c>
      <c r="B2" s="16">
        <v>1054</v>
      </c>
      <c r="C2" s="16" t="s">
        <v>1</v>
      </c>
      <c r="D2" s="16">
        <v>896</v>
      </c>
      <c r="E2" s="16" t="s">
        <v>74</v>
      </c>
      <c r="F2" s="16">
        <v>212.569353410079</v>
      </c>
      <c r="G2" s="16" t="s">
        <v>2</v>
      </c>
      <c r="H2" s="16">
        <v>0.20167870342512201</v>
      </c>
      <c r="I2" s="16" t="s">
        <v>3</v>
      </c>
      <c r="J2" s="16">
        <v>-3.6329504509522601</v>
      </c>
      <c r="K2" s="16" t="s">
        <v>4</v>
      </c>
      <c r="L2" s="16">
        <v>1.33390903863683</v>
      </c>
      <c r="M2" s="16" t="s">
        <v>5</v>
      </c>
      <c r="N2" s="16" t="s">
        <v>39</v>
      </c>
      <c r="O2" s="16" t="s">
        <v>31</v>
      </c>
      <c r="P2" s="16"/>
      <c r="Q2" s="16"/>
      <c r="R2" s="16"/>
      <c r="S2" s="16"/>
      <c r="T2" s="16"/>
      <c r="U2" s="16"/>
      <c r="V2" s="16"/>
    </row>
    <row r="3" spans="1:22" x14ac:dyDescent="0.3">
      <c r="A3" s="16" t="s">
        <v>32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</row>
    <row r="4" spans="1:22" x14ac:dyDescent="0.3">
      <c r="A4" s="16" t="s">
        <v>14</v>
      </c>
      <c r="B4" s="16" t="s">
        <v>15</v>
      </c>
      <c r="C4" s="16" t="s">
        <v>16</v>
      </c>
      <c r="D4" s="16" t="s">
        <v>17</v>
      </c>
      <c r="E4" s="16" t="s">
        <v>9</v>
      </c>
      <c r="F4" s="16" t="s">
        <v>170</v>
      </c>
      <c r="G4" s="16" t="s">
        <v>163</v>
      </c>
      <c r="H4" s="16">
        <v>0</v>
      </c>
      <c r="I4" s="16" t="s">
        <v>12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</row>
    <row r="5" spans="1:22" s="1" customFormat="1" x14ac:dyDescent="0.3">
      <c r="A5" s="16" t="s">
        <v>0</v>
      </c>
      <c r="B5" s="16">
        <v>897</v>
      </c>
      <c r="C5" s="16" t="s">
        <v>1</v>
      </c>
      <c r="D5" s="16">
        <v>765</v>
      </c>
      <c r="E5" s="16" t="s">
        <v>74</v>
      </c>
      <c r="F5" s="16">
        <v>170.33540861694701</v>
      </c>
      <c r="G5" s="16" t="s">
        <v>2</v>
      </c>
      <c r="H5" s="16">
        <v>0.189894546953118</v>
      </c>
      <c r="I5" s="16" t="s">
        <v>3</v>
      </c>
      <c r="J5" s="16">
        <v>-3.6224872881082399</v>
      </c>
      <c r="K5" s="16" t="s">
        <v>4</v>
      </c>
      <c r="L5" s="16">
        <v>1.19408113528223</v>
      </c>
      <c r="M5" s="16" t="s">
        <v>5</v>
      </c>
      <c r="N5" s="16" t="s">
        <v>39</v>
      </c>
      <c r="O5" s="16" t="s">
        <v>31</v>
      </c>
      <c r="P5" s="16"/>
      <c r="Q5" s="16"/>
      <c r="R5" s="16"/>
      <c r="S5" s="16"/>
      <c r="T5" s="16"/>
      <c r="U5" s="16"/>
      <c r="V5" s="16"/>
    </row>
    <row r="6" spans="1:22" x14ac:dyDescent="0.3">
      <c r="A6" s="16" t="s">
        <v>32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</row>
    <row r="7" spans="1:22" x14ac:dyDescent="0.3">
      <c r="A7" s="16" t="s">
        <v>14</v>
      </c>
      <c r="B7" s="16" t="s">
        <v>15</v>
      </c>
      <c r="C7" s="16" t="s">
        <v>16</v>
      </c>
      <c r="D7" s="16" t="s">
        <v>17</v>
      </c>
      <c r="E7" s="16" t="s">
        <v>9</v>
      </c>
      <c r="F7" s="16" t="s">
        <v>170</v>
      </c>
      <c r="G7" s="16" t="s">
        <v>163</v>
      </c>
      <c r="H7" s="16">
        <v>0</v>
      </c>
      <c r="I7" s="16" t="s">
        <v>12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</row>
    <row r="8" spans="1:22" s="1" customFormat="1" x14ac:dyDescent="0.3">
      <c r="A8" s="16" t="s">
        <v>0</v>
      </c>
      <c r="B8" s="16">
        <v>774</v>
      </c>
      <c r="C8" s="16" t="s">
        <v>1</v>
      </c>
      <c r="D8" s="16">
        <v>661</v>
      </c>
      <c r="E8" s="16" t="s">
        <v>74</v>
      </c>
      <c r="F8" s="16">
        <v>155.64934968031699</v>
      </c>
      <c r="G8" s="16" t="s">
        <v>2</v>
      </c>
      <c r="H8" s="16">
        <v>0.20109735100816101</v>
      </c>
      <c r="I8" s="16" t="s">
        <v>3</v>
      </c>
      <c r="J8" s="16">
        <v>-3.5451815865255401</v>
      </c>
      <c r="K8" s="16" t="s">
        <v>4</v>
      </c>
      <c r="L8" s="16">
        <v>1.06494949620962</v>
      </c>
      <c r="M8" s="16" t="s">
        <v>5</v>
      </c>
      <c r="N8" s="16" t="s">
        <v>39</v>
      </c>
      <c r="O8" s="16" t="s">
        <v>31</v>
      </c>
      <c r="P8" s="16"/>
      <c r="Q8" s="16"/>
      <c r="R8" s="16"/>
      <c r="S8" s="16"/>
      <c r="T8" s="16"/>
      <c r="U8" s="16"/>
      <c r="V8" s="16"/>
    </row>
    <row r="9" spans="1:22" x14ac:dyDescent="0.3">
      <c r="A9" s="16" t="s">
        <v>32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</row>
    <row r="10" spans="1:22" x14ac:dyDescent="0.3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9</v>
      </c>
      <c r="F10" s="16" t="s">
        <v>171</v>
      </c>
      <c r="G10" s="16" t="s">
        <v>172</v>
      </c>
      <c r="H10" s="16">
        <v>0</v>
      </c>
      <c r="I10" s="16" t="s">
        <v>12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</row>
    <row r="11" spans="1:22" x14ac:dyDescent="0.3">
      <c r="A11" s="16" t="s">
        <v>0</v>
      </c>
      <c r="B11" s="16">
        <v>3810</v>
      </c>
      <c r="C11" s="16" t="s">
        <v>1</v>
      </c>
      <c r="D11" s="16">
        <v>3167</v>
      </c>
      <c r="E11" s="16" t="s">
        <v>74</v>
      </c>
      <c r="F11" s="16">
        <v>314.51418052015401</v>
      </c>
      <c r="G11" s="16" t="s">
        <v>2</v>
      </c>
      <c r="H11" s="16">
        <v>8.2549653679830595E-2</v>
      </c>
      <c r="I11" s="16" t="s">
        <v>3</v>
      </c>
      <c r="J11" s="16">
        <v>-3.57603283347422</v>
      </c>
      <c r="K11" s="16" t="s">
        <v>4</v>
      </c>
      <c r="L11" s="16">
        <v>4.26167451744716</v>
      </c>
      <c r="M11" s="16" t="s">
        <v>5</v>
      </c>
      <c r="N11" s="16" t="s">
        <v>40</v>
      </c>
      <c r="O11" s="16" t="s">
        <v>29</v>
      </c>
      <c r="P11" s="16">
        <v>0</v>
      </c>
      <c r="Q11" s="16" t="s">
        <v>8</v>
      </c>
      <c r="R11" s="16" t="s">
        <v>9</v>
      </c>
      <c r="S11" s="16" t="s">
        <v>173</v>
      </c>
      <c r="T11" s="16" t="s">
        <v>29</v>
      </c>
      <c r="U11" s="16">
        <v>0</v>
      </c>
      <c r="V11" s="16" t="s">
        <v>12</v>
      </c>
    </row>
    <row r="12" spans="1:22" x14ac:dyDescent="0.3">
      <c r="A12" s="16" t="s">
        <v>0</v>
      </c>
      <c r="B12" s="16">
        <v>2647</v>
      </c>
      <c r="C12" s="16" t="s">
        <v>1</v>
      </c>
      <c r="D12" s="16">
        <v>2228</v>
      </c>
      <c r="E12" s="16" t="s">
        <v>74</v>
      </c>
      <c r="F12" s="16">
        <v>430.885376767727</v>
      </c>
      <c r="G12" s="16" t="s">
        <v>2</v>
      </c>
      <c r="H12" s="16">
        <v>0.162782537501974</v>
      </c>
      <c r="I12" s="16" t="s">
        <v>3</v>
      </c>
      <c r="J12" s="16">
        <v>-3.6681085053823201</v>
      </c>
      <c r="K12" s="16" t="s">
        <v>4</v>
      </c>
      <c r="L12" s="16">
        <v>3.3589891915321299</v>
      </c>
      <c r="M12" s="16" t="s">
        <v>5</v>
      </c>
      <c r="N12" s="16" t="s">
        <v>39</v>
      </c>
      <c r="O12" s="16" t="s">
        <v>31</v>
      </c>
      <c r="P12" s="16"/>
      <c r="Q12" s="16"/>
      <c r="R12" s="16"/>
      <c r="S12" s="16"/>
      <c r="T12" s="16"/>
      <c r="U12" s="16"/>
      <c r="V12" s="16"/>
    </row>
    <row r="13" spans="1:22" x14ac:dyDescent="0.3">
      <c r="A13" s="16" t="s">
        <v>32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</row>
    <row r="14" spans="1:22" x14ac:dyDescent="0.3">
      <c r="A14" s="16" t="s">
        <v>14</v>
      </c>
      <c r="B14" s="16" t="s">
        <v>15</v>
      </c>
      <c r="C14" s="16" t="s">
        <v>16</v>
      </c>
      <c r="D14" s="16" t="s">
        <v>17</v>
      </c>
      <c r="E14" s="16" t="s">
        <v>9</v>
      </c>
      <c r="F14" s="16" t="s">
        <v>174</v>
      </c>
      <c r="G14" s="16" t="s">
        <v>54</v>
      </c>
      <c r="H14" s="16">
        <v>0</v>
      </c>
      <c r="I14" s="16" t="s">
        <v>12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</row>
    <row r="15" spans="1:22" x14ac:dyDescent="0.3">
      <c r="A15" s="16" t="s">
        <v>0</v>
      </c>
      <c r="B15" s="16">
        <v>2278</v>
      </c>
      <c r="C15" s="16" t="s">
        <v>1</v>
      </c>
      <c r="D15" s="16">
        <v>1921</v>
      </c>
      <c r="E15" s="16" t="s">
        <v>74</v>
      </c>
      <c r="F15" s="16">
        <v>342.32606461384398</v>
      </c>
      <c r="G15" s="16" t="s">
        <v>2</v>
      </c>
      <c r="H15" s="16">
        <v>0.150274830822583</v>
      </c>
      <c r="I15" s="16" t="s">
        <v>3</v>
      </c>
      <c r="J15" s="16">
        <v>-3.6656930093097899</v>
      </c>
      <c r="K15" s="16" t="s">
        <v>4</v>
      </c>
      <c r="L15" s="16">
        <v>3.0433080550424001</v>
      </c>
      <c r="M15" s="16" t="s">
        <v>5</v>
      </c>
      <c r="N15" s="16" t="s">
        <v>39</v>
      </c>
      <c r="O15" s="16" t="s">
        <v>31</v>
      </c>
      <c r="P15" s="16"/>
      <c r="Q15" s="16"/>
      <c r="R15" s="16"/>
      <c r="S15" s="16"/>
      <c r="T15" s="16"/>
      <c r="U15" s="16"/>
      <c r="V15" s="16"/>
    </row>
    <row r="16" spans="1:22" x14ac:dyDescent="0.3">
      <c r="A16" s="16" t="s">
        <v>32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</row>
    <row r="17" spans="1:22" x14ac:dyDescent="0.3">
      <c r="A17" s="16" t="s">
        <v>14</v>
      </c>
      <c r="B17" s="16" t="s">
        <v>15</v>
      </c>
      <c r="C17" s="16" t="s">
        <v>16</v>
      </c>
      <c r="D17" s="16" t="s">
        <v>17</v>
      </c>
      <c r="E17" s="16" t="s">
        <v>9</v>
      </c>
      <c r="F17" s="16" t="s">
        <v>175</v>
      </c>
      <c r="G17" s="16" t="s">
        <v>54</v>
      </c>
      <c r="H17" s="16">
        <v>0</v>
      </c>
      <c r="I17" s="16" t="s">
        <v>12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</row>
    <row r="18" spans="1:22" x14ac:dyDescent="0.3">
      <c r="A18" s="16" t="s">
        <v>0</v>
      </c>
      <c r="B18" s="16">
        <v>1970</v>
      </c>
      <c r="C18" s="16" t="s">
        <v>1</v>
      </c>
      <c r="D18" s="16">
        <v>1651</v>
      </c>
      <c r="E18" s="16" t="s">
        <v>74</v>
      </c>
      <c r="F18" s="16">
        <v>264.17572832159601</v>
      </c>
      <c r="G18" s="16" t="s">
        <v>2</v>
      </c>
      <c r="H18" s="16">
        <v>0.134099354477967</v>
      </c>
      <c r="I18" s="16" t="s">
        <v>3</v>
      </c>
      <c r="J18" s="16">
        <v>-3.6349190319023701</v>
      </c>
      <c r="K18" s="16" t="s">
        <v>4</v>
      </c>
      <c r="L18" s="16">
        <v>2.7776200873524202</v>
      </c>
      <c r="M18" s="16" t="s">
        <v>5</v>
      </c>
      <c r="N18" s="16" t="s">
        <v>39</v>
      </c>
      <c r="O18" s="16" t="s">
        <v>31</v>
      </c>
      <c r="P18" s="16"/>
      <c r="Q18" s="16"/>
      <c r="R18" s="16"/>
      <c r="S18" s="16"/>
      <c r="T18" s="16"/>
      <c r="U18" s="16"/>
      <c r="V18" s="16"/>
    </row>
    <row r="19" spans="1:22" x14ac:dyDescent="0.3">
      <c r="A19" s="16" t="s">
        <v>32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</row>
    <row r="20" spans="1:22" x14ac:dyDescent="0.3">
      <c r="A20" s="16" t="s">
        <v>14</v>
      </c>
      <c r="B20" s="16" t="s">
        <v>15</v>
      </c>
      <c r="C20" s="16" t="s">
        <v>16</v>
      </c>
      <c r="D20" s="16" t="s">
        <v>17</v>
      </c>
      <c r="E20" s="16" t="s">
        <v>9</v>
      </c>
      <c r="F20" s="16" t="s">
        <v>176</v>
      </c>
      <c r="G20" s="16" t="s">
        <v>54</v>
      </c>
      <c r="H20" s="16">
        <v>0</v>
      </c>
      <c r="I20" s="16" t="s">
        <v>12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1226D-FCE7-4ACB-8378-D3EF9D583A61}">
  <dimension ref="A1:V12"/>
  <sheetViews>
    <sheetView workbookViewId="0">
      <selection activeCell="D13" sqref="D13"/>
    </sheetView>
  </sheetViews>
  <sheetFormatPr defaultRowHeight="16.5" x14ac:dyDescent="0.3"/>
  <cols>
    <col min="1" max="1" width="23.75" bestFit="1" customWidth="1"/>
    <col min="2" max="2" width="16.125" bestFit="1" customWidth="1"/>
    <col min="3" max="3" width="6.875" bestFit="1" customWidth="1"/>
    <col min="4" max="4" width="16" bestFit="1" customWidth="1"/>
    <col min="5" max="5" width="16" customWidth="1"/>
    <col min="6" max="6" width="13.5" bestFit="1" customWidth="1"/>
    <col min="7" max="7" width="12.75" bestFit="1" customWidth="1"/>
    <col min="8" max="8" width="26.125" bestFit="1" customWidth="1"/>
    <col min="9" max="9" width="13.625" bestFit="1" customWidth="1"/>
    <col min="10" max="10" width="5.75" bestFit="1" customWidth="1"/>
    <col min="11" max="11" width="12.75" bestFit="1" customWidth="1"/>
    <col min="12" max="12" width="17.625" bestFit="1" customWidth="1"/>
    <col min="13" max="13" width="22" bestFit="1" customWidth="1"/>
    <col min="14" max="14" width="26.125" bestFit="1" customWidth="1"/>
    <col min="15" max="15" width="2.5" bestFit="1" customWidth="1"/>
    <col min="16" max="16" width="5.125" bestFit="1" customWidth="1"/>
    <col min="17" max="17" width="13.5" bestFit="1" customWidth="1"/>
    <col min="18" max="18" width="22" bestFit="1" customWidth="1"/>
    <col min="19" max="19" width="26.125" bestFit="1" customWidth="1"/>
    <col min="20" max="20" width="2.5" bestFit="1" customWidth="1"/>
    <col min="21" max="21" width="5.75" bestFit="1" customWidth="1"/>
  </cols>
  <sheetData>
    <row r="1" spans="1:22" x14ac:dyDescent="0.3">
      <c r="A1" t="s">
        <v>0</v>
      </c>
      <c r="B1">
        <v>1513</v>
      </c>
      <c r="C1" t="s">
        <v>1</v>
      </c>
      <c r="D1">
        <v>1262</v>
      </c>
      <c r="E1" t="s">
        <v>74</v>
      </c>
      <c r="F1">
        <v>112.42742842883</v>
      </c>
      <c r="G1" t="s">
        <v>2</v>
      </c>
      <c r="H1">
        <v>7.4307619582835993E-2</v>
      </c>
      <c r="I1" t="s">
        <v>3</v>
      </c>
      <c r="J1">
        <v>-3.99708183551241</v>
      </c>
      <c r="K1" t="s">
        <v>4</v>
      </c>
      <c r="L1">
        <v>1.8674807654544801</v>
      </c>
      <c r="M1" t="s">
        <v>5</v>
      </c>
      <c r="N1" t="s">
        <v>41</v>
      </c>
      <c r="O1" t="s">
        <v>29</v>
      </c>
      <c r="P1">
        <v>0</v>
      </c>
      <c r="Q1" t="s">
        <v>8</v>
      </c>
      <c r="R1" t="s">
        <v>9</v>
      </c>
      <c r="S1" t="s">
        <v>177</v>
      </c>
      <c r="T1" t="s">
        <v>178</v>
      </c>
      <c r="U1">
        <v>0</v>
      </c>
      <c r="V1" t="s">
        <v>12</v>
      </c>
    </row>
    <row r="2" spans="1:22" x14ac:dyDescent="0.3">
      <c r="A2" t="s">
        <v>0</v>
      </c>
      <c r="B2">
        <v>1054</v>
      </c>
      <c r="C2" t="s">
        <v>1</v>
      </c>
      <c r="D2">
        <v>882</v>
      </c>
      <c r="E2" t="s">
        <v>74</v>
      </c>
      <c r="F2">
        <v>148.85469148034801</v>
      </c>
      <c r="G2" t="s">
        <v>2</v>
      </c>
      <c r="H2">
        <v>0.14122836003828099</v>
      </c>
      <c r="I2" t="s">
        <v>3</v>
      </c>
      <c r="J2">
        <v>-4.0677220911093004</v>
      </c>
      <c r="K2" t="s">
        <v>4</v>
      </c>
      <c r="L2">
        <v>1.4197148281471801</v>
      </c>
      <c r="M2" t="s">
        <v>5</v>
      </c>
      <c r="N2" t="s">
        <v>42</v>
      </c>
      <c r="O2" t="s">
        <v>7</v>
      </c>
      <c r="P2">
        <v>0</v>
      </c>
      <c r="Q2" t="s">
        <v>8</v>
      </c>
      <c r="R2" t="s">
        <v>9</v>
      </c>
      <c r="S2" t="s">
        <v>179</v>
      </c>
      <c r="T2" t="s">
        <v>54</v>
      </c>
      <c r="U2">
        <v>0</v>
      </c>
      <c r="V2" t="s">
        <v>12</v>
      </c>
    </row>
    <row r="3" spans="1:22" s="1" customFormat="1" x14ac:dyDescent="0.3">
      <c r="A3" s="1" t="s">
        <v>0</v>
      </c>
      <c r="B3" s="1">
        <v>897</v>
      </c>
      <c r="C3" s="1" t="s">
        <v>1</v>
      </c>
      <c r="D3" s="1">
        <v>762</v>
      </c>
      <c r="E3" s="1" t="s">
        <v>74</v>
      </c>
      <c r="F3" s="1">
        <v>154.977198551627</v>
      </c>
      <c r="G3" s="1" t="s">
        <v>2</v>
      </c>
      <c r="H3" s="1">
        <v>0.17277279660159101</v>
      </c>
      <c r="I3" s="1" t="s">
        <v>3</v>
      </c>
      <c r="J3" s="1">
        <v>-4.0484431236088803</v>
      </c>
      <c r="K3" s="1" t="s">
        <v>4</v>
      </c>
      <c r="L3" s="1">
        <v>1.24606108217305</v>
      </c>
      <c r="M3" s="1" t="s">
        <v>5</v>
      </c>
      <c r="N3" s="1" t="s">
        <v>43</v>
      </c>
      <c r="O3" s="1" t="s">
        <v>44</v>
      </c>
    </row>
    <row r="4" spans="1:22" s="1" customFormat="1" x14ac:dyDescent="0.3">
      <c r="A4" s="1" t="s">
        <v>45</v>
      </c>
    </row>
    <row r="5" spans="1:22" x14ac:dyDescent="0.3">
      <c r="A5" t="s">
        <v>14</v>
      </c>
      <c r="B5" t="s">
        <v>15</v>
      </c>
      <c r="C5" t="s">
        <v>16</v>
      </c>
      <c r="D5" t="s">
        <v>17</v>
      </c>
      <c r="E5" t="s">
        <v>9</v>
      </c>
      <c r="F5" t="s">
        <v>180</v>
      </c>
      <c r="G5" t="s">
        <v>54</v>
      </c>
      <c r="H5">
        <v>0</v>
      </c>
      <c r="I5" t="s">
        <v>12</v>
      </c>
    </row>
    <row r="6" spans="1:22" x14ac:dyDescent="0.3">
      <c r="A6" t="s">
        <v>0</v>
      </c>
      <c r="B6">
        <v>774</v>
      </c>
      <c r="C6" t="s">
        <v>1</v>
      </c>
      <c r="D6">
        <v>657</v>
      </c>
      <c r="E6" t="s">
        <v>74</v>
      </c>
      <c r="F6">
        <v>151.92063497174101</v>
      </c>
      <c r="G6" t="s">
        <v>2</v>
      </c>
      <c r="H6">
        <v>0.196279890144368</v>
      </c>
      <c r="I6" t="s">
        <v>3</v>
      </c>
      <c r="J6">
        <v>-3.9249118707976698</v>
      </c>
      <c r="K6" t="s">
        <v>4</v>
      </c>
      <c r="L6">
        <v>1.0927408458607599</v>
      </c>
      <c r="M6" t="s">
        <v>5</v>
      </c>
      <c r="N6" t="s">
        <v>43</v>
      </c>
      <c r="O6" t="s">
        <v>44</v>
      </c>
    </row>
    <row r="7" spans="1:22" x14ac:dyDescent="0.3">
      <c r="A7" t="s">
        <v>45</v>
      </c>
    </row>
    <row r="8" spans="1:22" x14ac:dyDescent="0.3">
      <c r="A8" t="s">
        <v>14</v>
      </c>
      <c r="B8" t="s">
        <v>15</v>
      </c>
      <c r="C8" t="s">
        <v>16</v>
      </c>
      <c r="D8" t="s">
        <v>17</v>
      </c>
      <c r="E8" t="s">
        <v>9</v>
      </c>
      <c r="F8" t="s">
        <v>181</v>
      </c>
      <c r="G8" t="s">
        <v>182</v>
      </c>
      <c r="H8">
        <v>0</v>
      </c>
      <c r="I8" t="s">
        <v>12</v>
      </c>
    </row>
    <row r="9" spans="1:22" x14ac:dyDescent="0.3">
      <c r="A9" t="s">
        <v>0</v>
      </c>
      <c r="B9">
        <v>3810</v>
      </c>
      <c r="C9" t="s">
        <v>1</v>
      </c>
      <c r="D9">
        <v>3160</v>
      </c>
      <c r="E9" t="s">
        <v>74</v>
      </c>
      <c r="F9">
        <v>269.45432018787398</v>
      </c>
      <c r="G9" t="s">
        <v>2</v>
      </c>
      <c r="H9">
        <v>7.0722918684481495E-2</v>
      </c>
      <c r="I9" t="s">
        <v>3</v>
      </c>
      <c r="J9">
        <v>-3.9333881171165999</v>
      </c>
      <c r="K9" t="s">
        <v>4</v>
      </c>
      <c r="L9">
        <v>4.5007153747552398</v>
      </c>
      <c r="M9" t="s">
        <v>5</v>
      </c>
      <c r="N9" t="s">
        <v>46</v>
      </c>
      <c r="O9" t="s">
        <v>7</v>
      </c>
      <c r="P9">
        <v>0</v>
      </c>
      <c r="Q9" t="s">
        <v>8</v>
      </c>
      <c r="R9" t="s">
        <v>9</v>
      </c>
      <c r="S9" t="s">
        <v>183</v>
      </c>
      <c r="T9" t="s">
        <v>178</v>
      </c>
      <c r="U9">
        <v>0</v>
      </c>
      <c r="V9" t="s">
        <v>12</v>
      </c>
    </row>
    <row r="10" spans="1:22" x14ac:dyDescent="0.3">
      <c r="A10" t="s">
        <v>0</v>
      </c>
      <c r="B10">
        <v>2647</v>
      </c>
      <c r="C10" t="s">
        <v>1</v>
      </c>
      <c r="D10">
        <v>2205</v>
      </c>
      <c r="E10" t="s">
        <v>74</v>
      </c>
      <c r="F10">
        <v>328.09448407828899</v>
      </c>
      <c r="G10" t="s">
        <v>2</v>
      </c>
      <c r="H10">
        <v>0.12394955953089801</v>
      </c>
      <c r="I10" t="s">
        <v>3</v>
      </c>
      <c r="J10">
        <v>-4.1106731589405197</v>
      </c>
      <c r="K10" t="s">
        <v>4</v>
      </c>
      <c r="L10">
        <v>3.4799794655668199</v>
      </c>
      <c r="M10" t="s">
        <v>5</v>
      </c>
      <c r="N10" t="s">
        <v>46</v>
      </c>
      <c r="O10" t="s">
        <v>7</v>
      </c>
      <c r="P10">
        <v>0</v>
      </c>
      <c r="Q10" t="s">
        <v>8</v>
      </c>
      <c r="R10" t="s">
        <v>9</v>
      </c>
      <c r="S10" t="s">
        <v>184</v>
      </c>
      <c r="T10" t="s">
        <v>54</v>
      </c>
      <c r="U10">
        <v>0</v>
      </c>
      <c r="V10" t="s">
        <v>12</v>
      </c>
    </row>
    <row r="11" spans="1:22" x14ac:dyDescent="0.3">
      <c r="A11" t="s">
        <v>0</v>
      </c>
      <c r="B11">
        <v>2278</v>
      </c>
      <c r="C11" t="s">
        <v>1</v>
      </c>
      <c r="D11">
        <v>1916</v>
      </c>
      <c r="E11" t="s">
        <v>74</v>
      </c>
      <c r="F11">
        <v>332.03284056417402</v>
      </c>
      <c r="G11" t="s">
        <v>2</v>
      </c>
      <c r="H11">
        <v>0.14575629524327199</v>
      </c>
      <c r="I11" t="s">
        <v>3</v>
      </c>
      <c r="J11">
        <v>-4.0332200087513499</v>
      </c>
      <c r="K11" t="s">
        <v>4</v>
      </c>
      <c r="L11">
        <v>3.08687713710159</v>
      </c>
      <c r="M11" t="s">
        <v>5</v>
      </c>
      <c r="N11" t="s">
        <v>46</v>
      </c>
      <c r="O11" t="s">
        <v>7</v>
      </c>
      <c r="P11">
        <v>0</v>
      </c>
      <c r="Q11" t="s">
        <v>8</v>
      </c>
      <c r="R11" t="s">
        <v>9</v>
      </c>
      <c r="S11" t="s">
        <v>185</v>
      </c>
      <c r="T11" t="s">
        <v>54</v>
      </c>
      <c r="U11">
        <v>0</v>
      </c>
      <c r="V11" t="s">
        <v>12</v>
      </c>
    </row>
    <row r="12" spans="1:22" x14ac:dyDescent="0.3">
      <c r="A12" t="s">
        <v>0</v>
      </c>
      <c r="B12">
        <v>1970</v>
      </c>
      <c r="C12" t="s">
        <v>1</v>
      </c>
      <c r="D12">
        <v>1645</v>
      </c>
      <c r="E12" t="s">
        <v>74</v>
      </c>
      <c r="F12">
        <v>253.179348637076</v>
      </c>
      <c r="G12" t="s">
        <v>2</v>
      </c>
      <c r="H12">
        <v>0.128517435856384</v>
      </c>
      <c r="I12" t="s">
        <v>3</v>
      </c>
      <c r="J12">
        <v>-4.0253701259771901</v>
      </c>
      <c r="K12" t="s">
        <v>4</v>
      </c>
      <c r="L12">
        <v>2.8140619620775</v>
      </c>
      <c r="M12" t="s">
        <v>5</v>
      </c>
      <c r="N12" t="s">
        <v>46</v>
      </c>
      <c r="O12" t="s">
        <v>7</v>
      </c>
      <c r="P12">
        <v>0</v>
      </c>
      <c r="Q12" t="s">
        <v>8</v>
      </c>
      <c r="R12" t="s">
        <v>9</v>
      </c>
      <c r="S12" t="s">
        <v>186</v>
      </c>
      <c r="T12" t="s">
        <v>182</v>
      </c>
      <c r="U12">
        <v>0</v>
      </c>
      <c r="V12" t="s">
        <v>12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59D40-B99D-4312-B88C-5A3D1D75E42E}">
  <dimension ref="A1:V20"/>
  <sheetViews>
    <sheetView workbookViewId="0">
      <selection activeCell="F20" sqref="F20"/>
    </sheetView>
  </sheetViews>
  <sheetFormatPr defaultRowHeight="16.5" x14ac:dyDescent="0.3"/>
  <cols>
    <col min="1" max="1" width="23.75" bestFit="1" customWidth="1"/>
    <col min="2" max="2" width="16.125" bestFit="1" customWidth="1"/>
    <col min="3" max="3" width="6.875" bestFit="1" customWidth="1"/>
    <col min="4" max="4" width="16" bestFit="1" customWidth="1"/>
    <col min="5" max="5" width="16" customWidth="1"/>
    <col min="6" max="6" width="12.75" style="1" bestFit="1" customWidth="1"/>
    <col min="7" max="7" width="13.5" bestFit="1" customWidth="1"/>
    <col min="8" max="8" width="12.75" bestFit="1" customWidth="1"/>
    <col min="9" max="9" width="26.125" bestFit="1" customWidth="1"/>
    <col min="10" max="10" width="13.625" bestFit="1" customWidth="1"/>
    <col min="11" max="11" width="5.75" bestFit="1" customWidth="1"/>
    <col min="12" max="12" width="12.75" bestFit="1" customWidth="1"/>
    <col min="13" max="13" width="17.625" bestFit="1" customWidth="1"/>
    <col min="14" max="14" width="22" bestFit="1" customWidth="1"/>
    <col min="15" max="15" width="26.125" bestFit="1" customWidth="1"/>
    <col min="16" max="16" width="2.5" bestFit="1" customWidth="1"/>
    <col min="17" max="17" width="5.125" bestFit="1" customWidth="1"/>
    <col min="18" max="18" width="13.5" bestFit="1" customWidth="1"/>
    <col min="19" max="19" width="22" bestFit="1" customWidth="1"/>
    <col min="20" max="20" width="26.125" bestFit="1" customWidth="1"/>
    <col min="21" max="21" width="2.5" bestFit="1" customWidth="1"/>
    <col min="22" max="22" width="5.75" bestFit="1" customWidth="1"/>
  </cols>
  <sheetData>
    <row r="1" spans="1:22" x14ac:dyDescent="0.3">
      <c r="A1" t="s">
        <v>0</v>
      </c>
      <c r="B1">
        <v>1513</v>
      </c>
      <c r="C1" t="s">
        <v>1</v>
      </c>
      <c r="D1">
        <v>1256</v>
      </c>
      <c r="E1" t="s">
        <v>74</v>
      </c>
      <c r="F1" s="1">
        <v>170.08364840747399</v>
      </c>
      <c r="G1" t="s">
        <v>2</v>
      </c>
      <c r="H1">
        <v>0.11241483701749699</v>
      </c>
      <c r="I1" t="s">
        <v>3</v>
      </c>
      <c r="J1">
        <v>-4.1248504852612804</v>
      </c>
      <c r="K1" t="s">
        <v>4</v>
      </c>
      <c r="L1">
        <v>1.9398369935642299</v>
      </c>
      <c r="M1" t="s">
        <v>5</v>
      </c>
      <c r="N1" t="s">
        <v>47</v>
      </c>
      <c r="O1" t="s">
        <v>29</v>
      </c>
      <c r="P1">
        <v>0</v>
      </c>
      <c r="Q1" t="s">
        <v>8</v>
      </c>
      <c r="R1" t="s">
        <v>9</v>
      </c>
      <c r="S1" t="s">
        <v>187</v>
      </c>
      <c r="T1" t="s">
        <v>29</v>
      </c>
      <c r="U1">
        <v>0</v>
      </c>
      <c r="V1" t="s">
        <v>12</v>
      </c>
    </row>
    <row r="2" spans="1:22" x14ac:dyDescent="0.3">
      <c r="A2" t="s">
        <v>0</v>
      </c>
      <c r="B2">
        <v>1054</v>
      </c>
      <c r="C2" t="s">
        <v>1</v>
      </c>
      <c r="D2">
        <v>879</v>
      </c>
      <c r="E2" t="s">
        <v>74</v>
      </c>
      <c r="F2" s="1">
        <v>190.91991136329099</v>
      </c>
      <c r="G2" t="s">
        <v>2</v>
      </c>
      <c r="H2">
        <v>0.18113843582854899</v>
      </c>
      <c r="I2" t="s">
        <v>3</v>
      </c>
      <c r="J2">
        <v>-4.1698277737345499</v>
      </c>
      <c r="K2" t="s">
        <v>4</v>
      </c>
      <c r="L2">
        <v>1.4658748659916401</v>
      </c>
      <c r="M2" t="s">
        <v>5</v>
      </c>
      <c r="N2" t="s">
        <v>48</v>
      </c>
      <c r="O2" t="s">
        <v>7</v>
      </c>
      <c r="P2">
        <v>0</v>
      </c>
      <c r="Q2" t="s">
        <v>8</v>
      </c>
      <c r="R2" t="s">
        <v>9</v>
      </c>
      <c r="S2" t="s">
        <v>188</v>
      </c>
      <c r="T2" t="s">
        <v>163</v>
      </c>
      <c r="U2">
        <v>0</v>
      </c>
      <c r="V2" t="s">
        <v>12</v>
      </c>
    </row>
    <row r="3" spans="1:22" x14ac:dyDescent="0.3">
      <c r="A3" t="s">
        <v>0</v>
      </c>
      <c r="B3">
        <v>897</v>
      </c>
      <c r="C3" t="s">
        <v>1</v>
      </c>
      <c r="D3">
        <v>759</v>
      </c>
      <c r="E3" t="s">
        <v>74</v>
      </c>
      <c r="F3" s="1">
        <v>194.32310572471201</v>
      </c>
      <c r="G3" t="s">
        <v>2</v>
      </c>
      <c r="H3">
        <v>0.21663668419700399</v>
      </c>
      <c r="I3" t="s">
        <v>3</v>
      </c>
      <c r="J3">
        <v>-4.1262719310151397</v>
      </c>
      <c r="K3" t="s">
        <v>4</v>
      </c>
      <c r="L3">
        <v>1.30492310244814</v>
      </c>
      <c r="M3" t="s">
        <v>5</v>
      </c>
      <c r="N3" t="s">
        <v>49</v>
      </c>
      <c r="O3" t="s">
        <v>44</v>
      </c>
    </row>
    <row r="4" spans="1:22" s="1" customFormat="1" x14ac:dyDescent="0.3">
      <c r="A4" s="1" t="s">
        <v>50</v>
      </c>
    </row>
    <row r="5" spans="1:22" x14ac:dyDescent="0.3">
      <c r="A5" t="s">
        <v>14</v>
      </c>
      <c r="B5" t="s">
        <v>15</v>
      </c>
      <c r="C5" t="s">
        <v>16</v>
      </c>
      <c r="D5" t="s">
        <v>17</v>
      </c>
      <c r="E5" t="s">
        <v>9</v>
      </c>
      <c r="F5" s="1" t="s">
        <v>188</v>
      </c>
      <c r="G5" t="s">
        <v>163</v>
      </c>
      <c r="H5">
        <v>0</v>
      </c>
      <c r="I5" t="s">
        <v>12</v>
      </c>
    </row>
    <row r="6" spans="1:22" x14ac:dyDescent="0.3">
      <c r="A6" t="s">
        <v>0</v>
      </c>
      <c r="B6">
        <v>774</v>
      </c>
      <c r="C6" t="s">
        <v>1</v>
      </c>
      <c r="D6">
        <v>655</v>
      </c>
      <c r="E6" t="s">
        <v>74</v>
      </c>
      <c r="F6" s="1">
        <v>165.49838385695</v>
      </c>
      <c r="G6" t="s">
        <v>2</v>
      </c>
      <c r="H6">
        <v>0.21382220136556901</v>
      </c>
      <c r="I6" t="s">
        <v>3</v>
      </c>
      <c r="J6">
        <v>-4.1214019995356903</v>
      </c>
      <c r="K6" t="s">
        <v>4</v>
      </c>
      <c r="L6">
        <v>1.1676432611085601</v>
      </c>
      <c r="M6" t="s">
        <v>5</v>
      </c>
      <c r="N6" t="s">
        <v>49</v>
      </c>
      <c r="O6" t="s">
        <v>44</v>
      </c>
    </row>
    <row r="7" spans="1:22" x14ac:dyDescent="0.3">
      <c r="A7" t="s">
        <v>50</v>
      </c>
    </row>
    <row r="8" spans="1:22" x14ac:dyDescent="0.3">
      <c r="A8" t="s">
        <v>14</v>
      </c>
      <c r="B8" t="s">
        <v>15</v>
      </c>
      <c r="C8" t="s">
        <v>16</v>
      </c>
      <c r="D8" t="s">
        <v>17</v>
      </c>
      <c r="E8" t="s">
        <v>9</v>
      </c>
      <c r="F8" s="1" t="s">
        <v>189</v>
      </c>
      <c r="G8" t="s">
        <v>163</v>
      </c>
      <c r="H8">
        <v>0</v>
      </c>
      <c r="I8" t="s">
        <v>12</v>
      </c>
    </row>
    <row r="9" spans="1:22" x14ac:dyDescent="0.3">
      <c r="A9" t="s">
        <v>0</v>
      </c>
      <c r="B9">
        <v>3810</v>
      </c>
      <c r="C9" t="s">
        <v>1</v>
      </c>
      <c r="D9">
        <v>3147</v>
      </c>
      <c r="E9" t="s">
        <v>74</v>
      </c>
      <c r="F9" s="1">
        <v>389.78575782009801</v>
      </c>
      <c r="G9" t="s">
        <v>2</v>
      </c>
      <c r="H9">
        <v>0.102305973181128</v>
      </c>
      <c r="I9" t="s">
        <v>3</v>
      </c>
      <c r="J9">
        <v>-4.0804176591960299</v>
      </c>
      <c r="K9" t="s">
        <v>4</v>
      </c>
      <c r="L9">
        <v>4.6344893181962004</v>
      </c>
      <c r="M9" t="s">
        <v>5</v>
      </c>
      <c r="N9" t="s">
        <v>51</v>
      </c>
      <c r="O9" t="s">
        <v>36</v>
      </c>
    </row>
    <row r="10" spans="1:22" x14ac:dyDescent="0.3">
      <c r="A10" t="s">
        <v>37</v>
      </c>
    </row>
    <row r="11" spans="1:22" x14ac:dyDescent="0.3">
      <c r="A11" t="s">
        <v>14</v>
      </c>
      <c r="B11" t="s">
        <v>15</v>
      </c>
      <c r="C11" t="s">
        <v>16</v>
      </c>
      <c r="D11" t="s">
        <v>17</v>
      </c>
      <c r="E11" t="s">
        <v>9</v>
      </c>
      <c r="F11" s="1" t="s">
        <v>190</v>
      </c>
      <c r="G11" t="s">
        <v>29</v>
      </c>
      <c r="H11">
        <v>0</v>
      </c>
      <c r="I11" t="s">
        <v>12</v>
      </c>
    </row>
    <row r="12" spans="1:22" x14ac:dyDescent="0.3">
      <c r="A12" t="s">
        <v>0</v>
      </c>
      <c r="B12">
        <v>2647</v>
      </c>
      <c r="C12" t="s">
        <v>1</v>
      </c>
      <c r="D12">
        <v>2202</v>
      </c>
      <c r="E12" t="s">
        <v>74</v>
      </c>
      <c r="F12" s="1">
        <v>455.875034852883</v>
      </c>
      <c r="G12" t="s">
        <v>2</v>
      </c>
      <c r="H12">
        <v>0.172223284795195</v>
      </c>
      <c r="I12" t="s">
        <v>3</v>
      </c>
      <c r="J12">
        <v>-4.19900281795866</v>
      </c>
      <c r="K12" t="s">
        <v>4</v>
      </c>
      <c r="L12">
        <v>3.5041243797953499</v>
      </c>
      <c r="M12" t="s">
        <v>5</v>
      </c>
      <c r="N12" t="s">
        <v>51</v>
      </c>
      <c r="O12" t="s">
        <v>36</v>
      </c>
    </row>
    <row r="13" spans="1:22" x14ac:dyDescent="0.3">
      <c r="A13" t="s">
        <v>37</v>
      </c>
    </row>
    <row r="14" spans="1:22" x14ac:dyDescent="0.3">
      <c r="A14" t="s">
        <v>14</v>
      </c>
      <c r="B14" t="s">
        <v>15</v>
      </c>
      <c r="C14" t="s">
        <v>16</v>
      </c>
      <c r="D14" t="s">
        <v>17</v>
      </c>
      <c r="E14" t="s">
        <v>9</v>
      </c>
      <c r="F14" s="1" t="s">
        <v>191</v>
      </c>
      <c r="G14" t="s">
        <v>192</v>
      </c>
      <c r="H14">
        <v>0</v>
      </c>
      <c r="I14" t="s">
        <v>12</v>
      </c>
    </row>
    <row r="15" spans="1:22" x14ac:dyDescent="0.3">
      <c r="A15" t="s">
        <v>0</v>
      </c>
      <c r="B15">
        <v>2278</v>
      </c>
      <c r="C15" t="s">
        <v>1</v>
      </c>
      <c r="D15">
        <v>1913</v>
      </c>
      <c r="E15" t="s">
        <v>74</v>
      </c>
      <c r="F15" s="1">
        <v>442.24713171163199</v>
      </c>
      <c r="G15" t="s">
        <v>2</v>
      </c>
      <c r="H15">
        <v>0.19413833701125199</v>
      </c>
      <c r="I15" t="s">
        <v>3</v>
      </c>
      <c r="J15">
        <v>-4.1323647435167299</v>
      </c>
      <c r="K15" t="s">
        <v>4</v>
      </c>
      <c r="L15">
        <v>3.14521437351388</v>
      </c>
      <c r="M15" t="s">
        <v>5</v>
      </c>
      <c r="N15" t="s">
        <v>51</v>
      </c>
      <c r="O15" t="s">
        <v>36</v>
      </c>
    </row>
    <row r="16" spans="1:22" x14ac:dyDescent="0.3">
      <c r="A16" t="s">
        <v>37</v>
      </c>
    </row>
    <row r="17" spans="1:15" x14ac:dyDescent="0.3">
      <c r="A17" t="s">
        <v>14</v>
      </c>
      <c r="B17" t="s">
        <v>15</v>
      </c>
      <c r="C17" t="s">
        <v>16</v>
      </c>
      <c r="D17" t="s">
        <v>17</v>
      </c>
      <c r="E17" t="s">
        <v>9</v>
      </c>
      <c r="F17" s="1" t="s">
        <v>193</v>
      </c>
      <c r="G17" t="s">
        <v>192</v>
      </c>
      <c r="H17">
        <v>0</v>
      </c>
      <c r="I17" t="s">
        <v>12</v>
      </c>
    </row>
    <row r="18" spans="1:15" x14ac:dyDescent="0.3">
      <c r="A18" t="s">
        <v>0</v>
      </c>
      <c r="B18">
        <v>1970</v>
      </c>
      <c r="C18" t="s">
        <v>1</v>
      </c>
      <c r="D18">
        <v>1645</v>
      </c>
      <c r="E18" t="s">
        <v>74</v>
      </c>
      <c r="F18" s="1">
        <v>337.351584536568</v>
      </c>
      <c r="G18" t="s">
        <v>2</v>
      </c>
      <c r="H18">
        <v>0.17124445915561801</v>
      </c>
      <c r="I18" t="s">
        <v>3</v>
      </c>
      <c r="J18">
        <v>-4.1370372971808296</v>
      </c>
      <c r="K18" t="s">
        <v>4</v>
      </c>
      <c r="L18">
        <v>2.84996481375142</v>
      </c>
      <c r="M18" t="s">
        <v>5</v>
      </c>
      <c r="N18" t="s">
        <v>51</v>
      </c>
      <c r="O18" t="s">
        <v>36</v>
      </c>
    </row>
    <row r="19" spans="1:15" x14ac:dyDescent="0.3">
      <c r="A19" t="s">
        <v>37</v>
      </c>
    </row>
    <row r="20" spans="1:15" x14ac:dyDescent="0.3">
      <c r="A20" t="s">
        <v>14</v>
      </c>
      <c r="B20" t="s">
        <v>15</v>
      </c>
      <c r="C20" t="s">
        <v>16</v>
      </c>
      <c r="D20" t="s">
        <v>17</v>
      </c>
      <c r="E20" t="s">
        <v>9</v>
      </c>
      <c r="F20" s="1" t="s">
        <v>194</v>
      </c>
      <c r="G20" t="s">
        <v>192</v>
      </c>
      <c r="H20">
        <v>0</v>
      </c>
      <c r="I20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naked</vt:lpstr>
      <vt:lpstr>bwb</vt:lpstr>
      <vt:lpstr>strangle</vt:lpstr>
      <vt:lpstr>111type</vt:lpstr>
      <vt:lpstr>frontlongbackshort</vt:lpstr>
      <vt:lpstr>weeklyput</vt:lpstr>
      <vt:lpstr>weeklystrangle</vt:lpstr>
      <vt:lpstr>1112</vt:lpstr>
      <vt:lpstr>1121</vt:lpstr>
      <vt:lpstr>1122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 희관</dc:creator>
  <cp:lastModifiedBy>문 희관</cp:lastModifiedBy>
  <dcterms:created xsi:type="dcterms:W3CDTF">2023-10-28T15:03:58Z</dcterms:created>
  <dcterms:modified xsi:type="dcterms:W3CDTF">2023-10-30T00:44:48Z</dcterms:modified>
</cp:coreProperties>
</file>